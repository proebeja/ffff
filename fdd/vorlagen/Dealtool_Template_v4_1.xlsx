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externalLinks/_rels/externalLink1.xml.rels" ContentType="application/vnd.openxmlformats-package.relationships+xml"/>
  <Override PartName="/xl/externalLinks/externalLink1.xml" ContentType="application/vnd.openxmlformats-officedocument.spreadsheetml.externalLink+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Disclaimer" sheetId="1" state="visible" r:id="rId3"/>
    <sheet name="Cockpit" sheetId="2" state="visible" r:id="rId4"/>
    <sheet name="Mastersheet" sheetId="3" state="visible" r:id="rId5"/>
    <sheet name="Datengrundlage" sheetId="4" state="visible" r:id="rId6"/>
    <sheet name="Abkürzungsverzeichnis" sheetId="5" state="visible" r:id="rId7"/>
    <sheet name="Think Cell" sheetId="6" state="visible" r:id="rId8"/>
    <sheet name="Lead &gt;&gt;" sheetId="7" state="visible" r:id="rId9"/>
    <sheet name="Trial Balance Dropdown" sheetId="8" state="visible" r:id="rId10"/>
    <sheet name="Lead PL" sheetId="9" state="visible" r:id="rId11"/>
    <sheet name="Lead NA" sheetId="10" state="visible" r:id="rId12"/>
    <sheet name="Lead CF" sheetId="11" state="visible" r:id="rId13"/>
    <sheet name="PL &gt;&gt;" sheetId="12" state="visible" r:id="rId14"/>
    <sheet name="PL_Top customer" sheetId="13" state="visible" r:id="rId15"/>
    <sheet name="PL_PEX" sheetId="14" state="visible" r:id="rId16"/>
    <sheet name="PL_oOPEX" sheetId="15" state="visible" r:id="rId17"/>
    <sheet name="PL_YTD" sheetId="16" state="visible" r:id="rId18"/>
    <sheet name="PL_QoE" sheetId="17" state="visible" r:id="rId19"/>
    <sheet name="NA &gt;&gt;" sheetId="18" state="visible" r:id="rId20"/>
    <sheet name="NA_Ford LuL" sheetId="19" state="visible" r:id="rId21"/>
    <sheet name="NA_Verb LuL" sheetId="20" state="visible" r:id="rId22"/>
    <sheet name="NA_TWC" sheetId="21" state="visible" r:id="rId23"/>
    <sheet name="NA_Net Debt" sheetId="22" state="visible" r:id="rId24"/>
    <sheet name="NA_monthly" sheetId="23" state="visible" r:id="rId25"/>
    <sheet name="NA_CAPEX" sheetId="24" state="visible" r:id="rId26"/>
    <sheet name="NA_Vorräte" sheetId="25" state="visible" r:id="rId27"/>
    <sheet name="Weitere Vorlagen &gt;&gt;" sheetId="26" state="visible" r:id="rId28"/>
    <sheet name="PL_monthly" sheetId="27" state="visible" r:id="rId29"/>
    <sheet name="PL_Dummy" sheetId="28" state="visible" r:id="rId30"/>
    <sheet name="PL_Rohergebnis" sheetId="29" state="visible" r:id="rId31"/>
    <sheet name="PL_Preis_Menge" sheetId="30" state="visible" r:id="rId32"/>
    <sheet name="CF_monthly" sheetId="31" state="visible" r:id="rId33"/>
    <sheet name="NA_Dummy" sheetId="32" state="visible" r:id="rId34"/>
    <sheet name="NA_Sachanlagen" sheetId="33" state="visible" r:id="rId35"/>
    <sheet name="NA_Cons" sheetId="34" state="visible" r:id="rId36"/>
    <sheet name="PL_Cons" sheetId="35" state="visible" r:id="rId37"/>
    <sheet name="Delta_JA_SuSa" sheetId="36" state="visible" r:id="rId38"/>
    <sheet name="Plan_IST_Vergleich" sheetId="37" state="visible" r:id="rId39"/>
    <sheet name="UPSLIDE_UndoFormatting" sheetId="38" state="hidden" r:id="rId40"/>
    <sheet name="UPSLIDE_Undo" sheetId="39" state="hidden" r:id="rId41"/>
  </sheets>
  <externalReferences>
    <externalReference r:id="rId42"/>
  </externalReferences>
  <definedNames>
    <definedName function="false" hidden="false" localSheetId="30" name="_xlnm.Print_Area" vbProcedure="false">CF_monthly!$A$3:$CM$71</definedName>
    <definedName function="false" hidden="false" localSheetId="10" name="_xlnm.Print_Area" vbProcedure="false">'Lead CF'!$A$3:$P$71</definedName>
    <definedName function="false" hidden="false" localSheetId="9" name="_xlnm.Print_Area" vbProcedure="false">'Lead NA'!$A$1:$N$67</definedName>
    <definedName function="false" hidden="false" localSheetId="23" name="_xlnm.Print_Area" vbProcedure="false">NA_CAPEX!$A$2:$M$26</definedName>
    <definedName function="false" hidden="false" localSheetId="31" name="_xlnm.Print_Area" vbProcedure="false">NA_Dummy!$A$1:$O$20</definedName>
    <definedName function="false" hidden="false" localSheetId="18" name="_xlnm.Print_Area" vbProcedure="false">'NA_Ford LuL'!$A$2:$J$33</definedName>
    <definedName function="false" hidden="false" localSheetId="21" name="_xlnm.Print_Area" vbProcedure="false">'NA_Net Debt'!$A$2:$N$49</definedName>
    <definedName function="false" hidden="false" localSheetId="32" name="_xlnm.Print_Area" vbProcedure="false">NA_Sachanlagen!$A$3:$M$28</definedName>
    <definedName function="false" hidden="false" localSheetId="20" name="_xlnm.Print_Area" vbProcedure="false">NA_TWC!$A$2:$O$83</definedName>
    <definedName function="false" hidden="false" localSheetId="19" name="_xlnm.Print_Area" vbProcedure="false">'NA_Verb LuL'!$A$2:$J$31</definedName>
    <definedName function="false" hidden="false" localSheetId="24" name="_xlnm.Print_Area" vbProcedure="false">NA_Vorräte!$A$3:$J$49</definedName>
    <definedName function="false" hidden="false" localSheetId="27" name="_xlnm.Print_Area" vbProcedure="false">PL_Dummy!$A$3:$S$22</definedName>
    <definedName function="false" hidden="false" localSheetId="14" name="_xlnm.Print_Area" vbProcedure="false">PL_oOPEX!$A$3:$Q$49</definedName>
    <definedName function="false" hidden="false" localSheetId="13" name="_xlnm.Print_Area" vbProcedure="false">PL_PEX!$A$2:$S$44</definedName>
    <definedName function="false" hidden="false" localSheetId="29" name="_xlnm.Print_Area" vbProcedure="false">PL_Preis_Menge!$A$2:$R$41</definedName>
    <definedName function="false" hidden="false" localSheetId="16" name="_xlnm.Print_Area" vbProcedure="false">PL_QoE!$A$2:$O$47</definedName>
    <definedName function="false" hidden="false" localSheetId="28" name="_xlnm.Print_Area" vbProcedure="false">PL_Rohergebnis!$A$2:$S$35</definedName>
    <definedName function="false" hidden="true" name="a" vbProcedure="false">{#N/A,#N/A,FALSE,"Mittelherkunft";#N/A,#N/A,FALSE,"Mittelverwendung"}</definedName>
    <definedName function="false" hidden="true" name="A10_UK" vbProcedure="false">{"BS",#N/A,FALSE,"USA"}</definedName>
    <definedName function="false" hidden="true" name="a1a" vbProcedure="false">{#N/A,"PURCHM",FALSE,"Business Analysis";#N/A,"SPADD",FALSE,"Business Analysis"}</definedName>
    <definedName function="false" hidden="true" name="a1b" vbProcedure="false">{#N/A,"PURADD",FALSE,"Business Analysis";#N/A,"PURSPP",FALSE,"Business Analysis";#N/A,"CTGIND",FALSE,"Business Analysis";#N/A,"PURCHM",FALSE,"Business Analysis";#N/A,"SPADD",FALSE,"Business Analysis";#N/A,"EPOXY",FALSE,"Business Analysis";#N/A,"PURPER",FALSE,"Business Analysis"}</definedName>
    <definedName function="false" hidden="true" name="A1_00근거" vbProcedure="false">{#N/A,#N/A,FALSE,"단축1";#N/A,#N/A,FALSE,"단축2";#N/A,#N/A,FALSE,"단축3";#N/A,#N/A,FALSE,"장축";#N/A,#N/A,FALSE,"4WD"}</definedName>
    <definedName function="false" hidden="true" name="a2a" vbProcedure="false">{"detail",#N/A,FALSE,"mfg";"summary",#N/A,FALSE,"mfg"}</definedName>
    <definedName function="false" hidden="true" name="aa" vbProcedure="false">{#N/A,#N/A,TRUE,"Cont_Stell";#N/A,#N/A,TRUE,"BTG";#N/A,#N/A,TRUE,"SH";#N/A,#N/A,TRUE,"GUV";#N/A,#N/A,TRUE,"Bilanz";#N/A,#N/A,TRUE,"WC";#N/A,#N/A,TRUE,"Beweg_bil";#N/A,#N/A,TRUE,"Kap_fluß";#N/A,#N/A,TRUE,"KENNZ";#N/A,#N/A,TRUE,"ANALYSE"}</definedName>
    <definedName function="false" hidden="true" name="AA.Report.Files" vbProcedure="false">#REF!</definedName>
    <definedName function="false" hidden="true" name="AA.Reports.Available" vbProcedure="false">#REF!</definedName>
    <definedName function="false" hidden="true" name="aaa" vbProcedure="false">{#N/A,#N/A,TRUE,"Cont_Stell";#N/A,#N/A,TRUE,"BTG";#N/A,#N/A,TRUE,"SH";#N/A,#N/A,TRUE,"GUV";#N/A,#N/A,TRUE,"Bilanz";#N/A,#N/A,TRUE,"WC";#N/A,#N/A,TRUE,"Beweg_bil";#N/A,#N/A,TRUE,"Kap_fluß";#N/A,#N/A,TRUE,"KENNZ";#N/A,#N/A,TRUE,"ANALYSE"}</definedName>
    <definedName function="false" hidden="true" name="aaa0" vbProcedure="false">{#N/A,#N/A,FALSE,"Aging Summary";#N/A,#N/A,FALSE,"Ratio Analysis";#N/A,#N/A,FALSE,"Test 120 Day Accts";#N/A,#N/A,FALSE,"Tickmarks"}</definedName>
    <definedName function="false" hidden="true" name="aaaa" vbProcedure="false">{#N/A,#N/A,FALSE,"Model";#N/A,#N/A,FALSE,"Division"}</definedName>
    <definedName function="false" hidden="true" name="aaaaa" vbProcedure="false">{"general",#N/A,FALSE,"Assumptions"}</definedName>
    <definedName function="false" hidden="true" name="AAAAAA" vbProcedure="false">{"casespecific",#N/A,FALSE,"Assumptions"}</definedName>
    <definedName function="false" hidden="true" name="aaaaaaa" vbProcedure="false">{#N/A,#N/A,FALSE,"REPORT"}</definedName>
    <definedName function="false" hidden="true" name="aaaaaaaa" vbProcedure="false">{#N/A,#N/A,FALSE,"ADNAMES.XLS";#N/A,#N/A,FALSE,"EQNAMES.XLS";#N/A,#N/A,FALSE,"INNAMES.XLS";#N/A,#N/A,FALSE,"HYNAMES.XLS";#N/A,#N/A,FALSE,"FIXNAMES.XLS";#N/A,#N/A,FALSE,"MONNAMES.XLS";#N/A,#N/A,FALSE,"TECNAMES.XLS"}</definedName>
    <definedName function="false" hidden="true" name="aaaaaaaaa" vbProcedure="false">{#N/A,#N/A,TRUE,"Staffnos &amp; cost"}</definedName>
    <definedName function="false" hidden="true" name="aaaaaaaaaa" vbProcedure="false">{#N/A,#N/A,FALSE,"ADNAMES.XLS";#N/A,#N/A,FALSE,"EQNAMES.XLS";#N/A,#N/A,FALSE,"INNAMES.XLS";#N/A,#N/A,FALSE,"HYNAMES.XLS";#N/A,#N/A,FALSE,"FIXNAMES.XLS";#N/A,#N/A,FALSE,"MONNAMES.XLS";#N/A,#N/A,FALSE,"TECNAMES.XLS"}</definedName>
    <definedName function="false" hidden="true" name="aaaaaaaaaaa" vbProcedure="false">{#N/A,#N/A,FALSE,"Staffnos &amp; cost"}</definedName>
    <definedName function="false" hidden="true" name="aaaaaaaaaaaa" vbProcedure="false">{#N/A,#N/A,TRUE,"CF brut";#N/A,#N/A,TRUE,"CashFlow";#N/A,#N/A,TRUE,"RCE";#N/A,#N/A,TRUE,"amort"}</definedName>
    <definedName function="false" hidden="true" name="aaaaaaaaaaaaa" vbProcedure="false">{"COMNUS2000",#N/A,FALSE,"BL2000"}</definedName>
    <definedName function="false" hidden="true" name="aaaaaaaaaaaaaa" vbProcedure="false">{"'Data'!$A$1:$D$17"}</definedName>
    <definedName function="false" hidden="true" name="aaaaaaaaaaaaaaa" vbProcedure="false">{#N/A,#N/A,FALSE,"Pharm";#N/A,#N/A,FALSE,"WWCM"}</definedName>
    <definedName function="false" hidden="true" name="aaaaaaaaaaaaaaaaa" vbProcedure="false">{"AnaM1",#N/A,FALSE,"AnalisisM";"AnaM2",#N/A,FALSE,"AnalisisM";"AnaM3",#N/A,FALSE,"AnalisisM"}</definedName>
    <definedName function="false" hidden="true" name="aaaaaaaaaaaaaaaaaa" vbProcedure="false">{#N/A,#N/A,FALSE,"Calc";#N/A,#N/A,FALSE,"Sensitivity";#N/A,#N/A,FALSE,"LT Earn.Dil.";#N/A,#N/A,FALSE,"Dil. AVP"}</definedName>
    <definedName function="false" hidden="true" name="aaaaaaaaaaaaaaaaaaaaaaaa" vbProcedure="false">{"COMJPN2000",#N/A,FALSE,"BL2000"}</definedName>
    <definedName function="false" hidden="true" name="aaaaaaaaaaaaaaaaaaaaaaaaaa" vbProcedure="false">{"detail",#N/A,FALSE,"mfg";"summary",#N/A,FALSE,"mfg"}</definedName>
    <definedName function="false" hidden="true" name="aaaaab" vbProcedure="false">{#N/A,#N/A,FALSE,"Model";#N/A,#N/A,FALSE,"Division"}</definedName>
    <definedName function="false" hidden="true" name="AAAAS" vbProcedure="false">{#N/A,#N/A,FALSE,"정공"}</definedName>
    <definedName function="false" hidden="true" name="aaasb" vbProcedure="false">{#N/A,#N/A,FALSE,"Pharm";#N/A,#N/A,FALSE,"WWCM"}</definedName>
    <definedName function="false" hidden="true" name="aaa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1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1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1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1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1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2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2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2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2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2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3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3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3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3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3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4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4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4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4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4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5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5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5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5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5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AAA_DOCTOPS" vbProcedure="false">"AAA_SET"</definedName>
    <definedName function="false" hidden="true" name="AAA_dtemplate" vbProcedure="false">"OFF"</definedName>
    <definedName function="false" hidden="true" name="AAA_duser" vbProcedure="false">"OFF"</definedName>
    <definedName function="false" hidden="true" name="AAA_Options" vbProcedure="false">"NYN"</definedName>
    <definedName function="false" hidden="true" name="AAA_u999999" vbProcedure="false">"jmalinchak@970313143838"</definedName>
    <definedName function="false" hidden="true" name="aab" vbProcedure="false">{#N/A,#N/A,FALSE,"Pharm";#N/A,#N/A,FALSE,"WWCM"}</definedName>
    <definedName function="false" hidden="true" name="AABBCC" vbProcedure="false">main.sapf4help()</definedName>
    <definedName function="false" hidden="true" name="AAB_Addin5" vbProcedure="false">"AAB_Description for addin 5,Description for addin 5,Description for addin 5,Description for addin 5,Description for addin 5,Description for addin 5"</definedName>
    <definedName function="false" hidden="true" name="AAB_GSPPG" vbProcedure="false">"AAB_Goldman Sachs PPG Chart Utilities 1.0g"</definedName>
    <definedName function="false" hidden="true" name="aachart2" vbProcedure="false">#REF!</definedName>
    <definedName function="false" hidden="true" name="aachart6" vbProcedure="false">#REF!</definedName>
    <definedName function="false" hidden="true" name="Aachen" vbProcedure="false">{#N/A,#N/A,FALSE,"Mittelherkunft";#N/A,#N/A,FALSE,"Mittelverwendung"}</definedName>
    <definedName function="false" hidden="true" name="aada" vbProcedure="false">#REF!</definedName>
    <definedName function="false" hidden="true" name="aaddd" vbProcedure="false">{#N/A,#N/A,FALSE,"REPORT"}</definedName>
    <definedName function="false" hidden="true" name="aas" vbProcedure="false">{#N/A,#N/A,FALSE,"1";#N/A,#N/A,FALSE,"2";#N/A,#N/A,FALSE,"16 - 17";#N/A,#N/A,FALSE,"18 - 19";#N/A,#N/A,FALSE,"26";#N/A,#N/A,FALSE,"27";#N/A,#N/A,FALSE,"28"}</definedName>
    <definedName function="false" hidden="true" name="aasda" vbProcedure="false">{"PrintView",#N/A,FALSE,"Cash &amp; Equiv";"PrintView",#N/A,FALSE,"Investments";"Other Assets Print View",#N/A,FALSE,"Other Assets"}</definedName>
    <definedName function="false" hidden="true" name="aasf" vbProcedure="false">#REF!</definedName>
    <definedName function="false" hidden="true" name="aass" vbProcedure="false">{"detail",#N/A,FALSE,"mfg";"summary",#N/A,FALSE,"mfg"}</definedName>
    <definedName function="false" hidden="true" name="aawe" vbProcedure="false">{"weichwaren",#N/A,FALSE,"Liste 1";"hartwaren",#N/A,FALSE,"Liste 1";"food",#N/A,FALSE,"Liste 1";"fleisch",#N/A,FALSE,"Liste 1"}</definedName>
    <definedName function="false" hidden="true" name="aawewfa" vbProcedure="false">{#N/A,#N/A,TRUE,"Historicals";#N/A,#N/A,TRUE,"Charts";#N/A,#N/A,TRUE,"Forecasts"}</definedName>
    <definedName function="false" hidden="true" name="aawfasdf" vbProcedure="false">{#N/A,#N/A,TRUE,"Historicals";#N/A,#N/A,TRUE,"Charts";#N/A,#N/A,TRUE,"Forecasts"}</definedName>
    <definedName function="false" hidden="true" name="aaww" vbProcedure="false">{"weichwaren",#N/A,FALSE,"Liste 1";"hartwaren",#N/A,FALSE,"Liste 1";"food",#N/A,FALSE,"Liste 1";"fleisch",#N/A,FALSE,"Liste 1"}</definedName>
    <definedName function="false" hidden="true" name="aax" vbProcedure="false">{"detail",#N/A,FALSE,"mfg";"summary",#N/A,FALSE,"mfg"}</definedName>
    <definedName function="false" hidden="true" name="ab" vbProcedure="false">{"FY98Q1 var",#N/A,FALSE,"FY98 - Q1";"FY98Q2 var",#N/A,FALSE,"FY98 - Q2";"FY98Q3 var",#N/A,FALSE,"FY98 - Q3";"FY98Q4 var",#N/A,FALSE,"FY98 - Q4"}</definedName>
    <definedName function="false" hidden="true" name="abbb" vbProcedure="false">{"Fiesta Facer Page",#N/A,FALSE,"Q_C_S";"Fiesta Main Page",#N/A,FALSE,"V_L";"Fiesta 95BP Struct",#N/A,FALSE,"StructBP";"Fiesta Post 95BP Struct",#N/A,FALSE,"AdjStructBP"}</definedName>
    <definedName function="false" hidden="true" name="abc" vbProcedure="false">{#N/A,#N/A,TRUE,"Cover sheet";#N/A,#N/A,TRUE,"DCF analysis";#N/A,#N/A,TRUE,"WACC calculation"}</definedName>
    <definedName function="false" hidden="true" name="abc0mq" vbProcedure="false">{#N/A,"PURCHM",FALSE,"Business Analysis";#N/A,"SPADD",FALSE,"Business Analysis"}</definedName>
    <definedName function="false" hidden="true" name="abc0nks" vbProcedure="false">{"detail",#N/A,FALSE,"mfg";"summary",#N/A,FALSE,"mfg"}</definedName>
    <definedName function="false" hidden="true" name="abc101a" vbProcedure="false">{#N/A,"PURCHM",FALSE,"Business Analysis";#N/A,"SPADD",FALSE,"Business Analysis"}</definedName>
    <definedName function="false" hidden="true" name="abc109a" vbProcedure="false">{"detail",#N/A,FALSE,"mfg";"summary",#N/A,FALSE,"mfg"}</definedName>
    <definedName function="false" hidden="true" name="abc11a" vbProcedure="false">{"detail",#N/A,FALSE,"mfg";"summary",#N/A,FALSE,"mfg"}</definedName>
    <definedName function="false" hidden="true" name="abc11ab" vbProcedure="false">{#N/A,"PURCHM",FALSE,"Business Analysis";#N/A,"SPADD",FALSE,"Business Analysis"}</definedName>
    <definedName function="false" hidden="true" name="abc12a" vbProcedure="false">{"detail",#N/A,FALSE,"mfg";"summary",#N/A,FALSE,"mfg"}</definedName>
    <definedName function="false" hidden="true" name="abc13a" vbProcedure="false">{"detail",#N/A,FALSE,"mfg";"summary",#N/A,FALSE,"mfg"}</definedName>
    <definedName function="false" hidden="true" name="abc14a" vbProcedure="false">{"detail",#N/A,FALSE,"mfg";"summary",#N/A,FALSE,"mfg"}</definedName>
    <definedName function="false" hidden="true" name="abc1b" vbProcedure="false">{#N/A,"PURCHM",FALSE,"Business Analysis";#N/A,"SPADD",FALSE,"Business Analysis"}</definedName>
    <definedName function="false" hidden="true" name="abc200a" vbProcedure="false">{"detail",#N/A,FALSE,"mfg";"summary",#N/A,FALSE,"mfg"}</definedName>
    <definedName function="false" hidden="true" name="abc202a" vbProcedure="false">{"detail",#N/A,FALSE,"mfg";"summary",#N/A,FALSE,"mfg"}</definedName>
    <definedName function="false" hidden="true" name="abc202b" vbProcedure="false">{#N/A,"PURCHM",FALSE,"Business Analysis";#N/A,"SPADD",FALSE,"Business Analysis"}</definedName>
    <definedName function="false" hidden="true" name="abc213a" vbProcedure="false">{"detail",#N/A,FALSE,"mfg";"summary",#N/A,FALSE,"mfg"}</definedName>
    <definedName function="false" hidden="true" name="abc2a" vbProcedure="false">{"detail",#N/A,FALSE,"mfg";"summary",#N/A,FALSE,"mfg"}</definedName>
    <definedName function="false" hidden="true" name="abc312b" vbProcedure="false">{"detail",#N/A,FALSE,"mfg";"summary",#N/A,FALSE,"mfg"}</definedName>
    <definedName function="false" hidden="true" name="abc31a" vbProcedure="false">{"detail",#N/A,FALSE,"mfg";"summary",#N/A,FALSE,"mfg"}</definedName>
    <definedName function="false" hidden="true" name="abc32b" vbProcedure="false">{"detail",#N/A,FALSE,"mfg";"summary",#N/A,FALSE,"mfg"}</definedName>
    <definedName function="false" hidden="true" name="abc35b" vbProcedure="false">{"detail",#N/A,FALSE,"mfg";"summary",#N/A,FALSE,"mfg"}</definedName>
    <definedName function="false" hidden="true" name="abc36b" vbProcedure="false">{"detail",#N/A,FALSE,"mfg";"summary",#N/A,FALSE,"mfg"}</definedName>
    <definedName function="false" hidden="true" name="abc37b" vbProcedure="false">{"detail",#N/A,FALSE,"mfg";"summary",#N/A,FALSE,"mfg"}</definedName>
    <definedName function="false" hidden="true" name="abc38b" vbProcedure="false">{"detail",#N/A,FALSE,"mfg";"summary",#N/A,FALSE,"mfg"}</definedName>
    <definedName function="false" hidden="true" name="abc41b" vbProcedure="false">{"detail",#N/A,FALSE,"mfg";"summary",#N/A,FALSE,"mfg"}</definedName>
    <definedName function="false" hidden="true" name="abc42b" vbProcedure="false">{"detail",#N/A,FALSE,"mfg";"summary",#N/A,FALSE,"mfg"}</definedName>
    <definedName function="false" hidden="true" name="abc51b" vbProcedure="false">{"detail",#N/A,FALSE,"mfg";"summary",#N/A,FALSE,"mfg"}</definedName>
    <definedName function="false" hidden="true" name="abc61b" vbProcedure="false">{"detail",#N/A,FALSE,"mfg";"summary",#N/A,FALSE,"mfg"}</definedName>
    <definedName function="false" hidden="true" name="abc67v" vbProcedure="false">{#N/A,"PURCHM",FALSE,"Business Analysis";#N/A,"SPADD",FALSE,"Business Analysis"}</definedName>
    <definedName function="false" hidden="true" name="abc71b" vbProcedure="false">{"detail",#N/A,FALSE,"mfg";"summary",#N/A,FALSE,"mfg"}</definedName>
    <definedName function="false" hidden="true" name="abc9bn" vbProcedure="false">{"detail",#N/A,FALSE,"mfg";"summary",#N/A,FALSE,"mfg"}</definedName>
    <definedName function="false" hidden="true" name="abc9er" vbProcedure="false">{"detail",#N/A,FALSE,"mfg";"summary",#N/A,FALSE,"mfg"}</definedName>
    <definedName function="false" hidden="true" name="abc9kn" vbProcedure="false">{"detail",#N/A,FALSE,"mfg";"summary",#N/A,FALSE,"mfg"}</definedName>
    <definedName function="false" hidden="true" name="abca312" vbProcedure="false">{"detail",#N/A,FALSE,"mfg";"summary",#N/A,FALSE,"mfg"}</definedName>
    <definedName function="false" hidden="true" name="abca312b" vbProcedure="false">{"detail",#N/A,FALSE,"mfg";"summary",#N/A,FALSE,"mfg"}</definedName>
    <definedName function="false" hidden="true" name="abcd"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abcd1" vbProcedure="false">{#N/A,"PURCHM",FALSE,"Business Analysis";#N/A,"SPADD",FALSE,"Business Analysis"}</definedName>
    <definedName function="false" hidden="true" name="abcd10" vbProcedure="false">{#N/A,"PURCHM",FALSE,"Business Analysis";#N/A,"SPADD",FALSE,"Business Analysis"}</definedName>
    <definedName function="false" hidden="true" name="abcd101" vbProcedure="false">{#N/A,"PURCHM",FALSE,"Business Analysis";#N/A,"SPADD",FALSE,"Business Analysis"}</definedName>
    <definedName function="false" hidden="true" name="abcd10a" vbProcedure="false">{#N/A,"PURCHM",FALSE,"Business Analysis";#N/A,"SPADD",FALSE,"Business Analysis"}</definedName>
    <definedName function="false" hidden="true" name="abcd11" vbProcedure="false">{#N/A,"PURCHM",FALSE,"Business Analysis";#N/A,"SPADD",FALSE,"Business Analysis"}</definedName>
    <definedName function="false" hidden="true" name="abcd12" vbProcedure="false">{#N/A,"PURCHM",FALSE,"Business Analysis";#N/A,"SPADD",FALSE,"Business Analysis"}</definedName>
    <definedName function="false" hidden="true" name="abcd12b" vbProcedure="false">{#N/A,"PURCHM",FALSE,"Business Analysis";#N/A,"SPADD",FALSE,"Business Analysis"}</definedName>
    <definedName function="false" hidden="true" name="abcd2" vbProcedure="false">{#N/A,"PURCHM",FALSE,"Business Analysis";#N/A,"SPADD",FALSE,"Business Analysis"}</definedName>
    <definedName function="false" hidden="true" name="abcd200" vbProcedure="false">{#N/A,"PURCHM",FALSE,"Business Analysis";#N/A,"SPADD",FALSE,"Business Analysis"}</definedName>
    <definedName function="false" hidden="true" name="abcd200b" vbProcedure="false">{#N/A,"PURCHM",FALSE,"Business Analysis";#N/A,"SPADD",FALSE,"Business Analysis"}</definedName>
    <definedName function="false" hidden="true" name="abcd202" vbProcedure="false">{#N/A,"PURCHM",FALSE,"Business Analysis";#N/A,"SPADD",FALSE,"Business Analysis"}</definedName>
    <definedName function="false" hidden="true" name="abcd21" vbProcedure="false">{#N/A,"PURCHM",FALSE,"Business Analysis";#N/A,"SPADD",FALSE,"Business Analysis"}</definedName>
    <definedName function="false" hidden="true" name="abcd212" vbProcedure="false">{#N/A,"PURCHM",FALSE,"Business Analysis";#N/A,"SPADD",FALSE,"Business Analysis"}</definedName>
    <definedName function="false" hidden="true" name="abcd21225b" vbProcedure="false">{#N/A,"PURCHM",FALSE,"Business Analysis";#N/A,"SPADD",FALSE,"Business Analysis"}</definedName>
    <definedName function="false" hidden="true" name="abcd212b" vbProcedure="false">{#N/A,"PURCHM",FALSE,"Business Analysis";#N/A,"SPADD",FALSE,"Business Analysis"}</definedName>
    <definedName function="false" hidden="true" name="abcd213" vbProcedure="false">{#N/A,"PURCHM",FALSE,"Business Analysis";#N/A,"SPADD",FALSE,"Business Analysis"}</definedName>
    <definedName function="false" hidden="true" name="abcd213b" vbProcedure="false">{#N/A,"PURCHM",FALSE,"Business Analysis";#N/A,"SPADD",FALSE,"Business Analysis"}</definedName>
    <definedName function="false" hidden="true" name="abcd21kb" vbProcedure="false">{#N/A,"PURCHM",FALSE,"Business Analysis";#N/A,"SPADD",FALSE,"Business Analysis"}</definedName>
    <definedName function="false" hidden="true" name="abcd254" vbProcedure="false">{#N/A,"PURCHM",FALSE,"Business Analysis";#N/A,"SPADD",FALSE,"Business Analysis"}</definedName>
    <definedName function="false" hidden="true" name="abcd2ab" vbProcedure="false">{#N/A,"PURCHM",FALSE,"Business Analysis";#N/A,"SPADD",FALSE,"Business Analysis"}</definedName>
    <definedName function="false" hidden="true" name="abcd312" vbProcedure="false">{#N/A,"PURCHM",FALSE,"Business Analysis";#N/A,"SPADD",FALSE,"Business Analysis"}</definedName>
    <definedName function="false" hidden="true" name="abcd312bd" vbProcedure="false">{#N/A,"PURCHM",FALSE,"Business Analysis";#N/A,"SPADD",FALSE,"Business Analysis"}</definedName>
    <definedName function="false" hidden="true" name="abcd32" vbProcedure="false">{#N/A,"PURCHM",FALSE,"Business Analysis";#N/A,"SPADD",FALSE,"Business Analysis"}</definedName>
    <definedName function="false" hidden="true" name="abcd32b" vbProcedure="false">{#N/A,"PURCHM",FALSE,"Business Analysis";#N/A,"SPADD",FALSE,"Business Analysis"}</definedName>
    <definedName function="false" hidden="true" name="abcd33" vbProcedure="false">{"detail",#N/A,FALSE,"mfg";"summary",#N/A,FALSE,"mfg"}</definedName>
    <definedName function="false" hidden="true" name="abcd33b" vbProcedure="false">{"detail",#N/A,FALSE,"mfg";"summary",#N/A,FALSE,"mfg"}</definedName>
    <definedName function="false" hidden="true" name="abcd34" vbProcedure="false">{#N/A,"PURCHM",FALSE,"Business Analysis";#N/A,"SPADD",FALSE,"Business Analysis"}</definedName>
    <definedName function="false" hidden="true" name="abcd34b" vbProcedure="false">{#N/A,"PURCHM",FALSE,"Business Analysis";#N/A,"SPADD",FALSE,"Business Analysis"}</definedName>
    <definedName function="false" hidden="true" name="abcd35" vbProcedure="false">{#N/A,"PURCHM",FALSE,"Business Analysis";#N/A,"SPADD",FALSE,"Business Analysis"}</definedName>
    <definedName function="false" hidden="true" name="abcd35b" vbProcedure="false">{#N/A,"PURCHM",FALSE,"Business Analysis";#N/A,"SPADD",FALSE,"Business Analysis"}</definedName>
    <definedName function="false" hidden="true" name="abcd36" vbProcedure="false">{"detail",#N/A,FALSE,"mfg";"summary",#N/A,FALSE,"mfg"}</definedName>
    <definedName function="false" hidden="true" name="abcd36b" vbProcedure="false">{"detail",#N/A,FALSE,"mfg";"summary",#N/A,FALSE,"mfg"}</definedName>
    <definedName function="false" hidden="true" name="abcd39" vbProcedure="false">{#N/A,"PURCHM",FALSE,"Business Analysis";#N/A,"SPADD",FALSE,"Business Analysis"}</definedName>
    <definedName function="false" hidden="true" name="abcd39bd" vbProcedure="false">{#N/A,"PURCHM",FALSE,"Business Analysis";#N/A,"SPADD",FALSE,"Business Analysis"}</definedName>
    <definedName function="false" hidden="true" name="ABCD41" vbProcedure="false">{#N/A,"PURCHM",FALSE,"Business Analysis";#N/A,"SPADD",FALSE,"Business Analysis"}</definedName>
    <definedName function="false" hidden="true" name="abcd412" vbProcedure="false">{#N/A,"PURCHM",FALSE,"Business Analysis";#N/A,"SPADD",FALSE,"Business Analysis"}</definedName>
    <definedName function="false" hidden="true" name="abcd412bd" vbProcedure="false">{#N/A,"PURCHM",FALSE,"Business Analysis";#N/A,"SPADD",FALSE,"Business Analysis"}</definedName>
    <definedName function="false" hidden="true" name="abcd41bd" vbProcedure="false">{#N/A,"PURCHM",FALSE,"Business Analysis";#N/A,"SPADD",FALSE,"Business Analysis"}</definedName>
    <definedName function="false" hidden="true" name="abcd42" vbProcedure="false">{#N/A,"PURCHM",FALSE,"Business Analysis";#N/A,"SPADD",FALSE,"Business Analysis"}</definedName>
    <definedName function="false" hidden="true" name="abcd42bd" vbProcedure="false">{#N/A,"PURCHM",FALSE,"Business Analysis";#N/A,"SPADD",FALSE,"Business Analysis"}</definedName>
    <definedName function="false" hidden="true" name="abcd45" vbProcedure="false">{#N/A,"PURCHM",FALSE,"Business Analysis";#N/A,"SPADD",FALSE,"Business Analysis"}</definedName>
    <definedName function="false" hidden="true" name="abcd45bd" vbProcedure="false">{#N/A,"PURCHM",FALSE,"Business Analysis";#N/A,"SPADD",FALSE,"Business Analysis"}</definedName>
    <definedName function="false" hidden="true" name="abcd50" vbProcedure="false">{#N/A,"PURCHM",FALSE,"Business Analysis";#N/A,"SPADD",FALSE,"Business Analysis"}</definedName>
    <definedName function="false" hidden="true" name="abcd51" vbProcedure="false">{#N/A,"PURCHM",FALSE,"Business Analysis";#N/A,"SPADD",FALSE,"Business Analysis"}</definedName>
    <definedName function="false" hidden="true" name="abcd51bd" vbProcedure="false">{#N/A,"PURCHM",FALSE,"Business Analysis";#N/A,"SPADD",FALSE,"Business Analysis"}</definedName>
    <definedName function="false" hidden="true" name="abcd61" vbProcedure="false">{#N/A,"PURCHM",FALSE,"Business Analysis";#N/A,"SPADD",FALSE,"Business Analysis"}</definedName>
    <definedName function="false" hidden="true" name="abcd61bd" vbProcedure="false">{#N/A,"PURCHM",FALSE,"Business Analysis";#N/A,"SPADD",FALSE,"Business Analysis"}</definedName>
    <definedName function="false" hidden="true" name="abcd71" vbProcedure="false">{#N/A,"PURCHM",FALSE,"Business Analysis";#N/A,"SPADD",FALSE,"Business Analysis"}</definedName>
    <definedName function="false" hidden="true" name="abcd71bd" vbProcedure="false">{#N/A,"PURCHM",FALSE,"Business Analysis";#N/A,"SPADD",FALSE,"Business Analysis"}</definedName>
    <definedName function="false" hidden="true" name="abcd90" vbProcedure="false">{#N/A,"PURCHM",FALSE,"Business Analysis";#N/A,"SPADD",FALSE,"Business Analysis"}</definedName>
    <definedName function="false" hidden="true" name="abcd98b" vbProcedure="false">{#N/A,"PURCHM",FALSE,"Business Analysis";#N/A,"SPADD",FALSE,"Business Analysis"}</definedName>
    <definedName function="false" hidden="true" name="abcda" vbProcedure="false">{#N/A,"PURCHM",FALSE,"Business Analysis";#N/A,"SPADD",FALSE,"Business Analysis"}</definedName>
    <definedName function="false" hidden="true" name="abcda101" vbProcedure="false">{#N/A,"PURCHM",FALSE,"Business Analysis";#N/A,"SPADD",FALSE,"Business Analysis"}</definedName>
    <definedName function="false" hidden="true" name="abcde" vbProcedure="false">{#N/A,#N/A,FALSE,"Fluktuation TSI"}</definedName>
    <definedName function="false" hidden="true" name="ABCDEF" vbProcedure="false">{#N/A,#N/A,FALSE,"정공"}</definedName>
    <definedName function="false" hidden="true" name="abcdefg" vbProcedure="false">{#N/A,#N/A,FALSE,"Performance Flash Report"}</definedName>
    <definedName function="false" hidden="true" name="ABCDEFGHK" vbProcedure="false">{#N/A,#N/A,FALSE,"Calc";#N/A,#N/A,FALSE,"Sensitivity";#N/A,#N/A,FALSE,"LT Earn.Dil.";#N/A,#N/A,FALSE,"Dil. AVP"}</definedName>
    <definedName function="false" hidden="true" name="abcdmibh" vbProcedure="false">{#N/A,"PURCHM",FALSE,"Business Analysis";#N/A,"SPADD",FALSE,"Business Analysis"}</definedName>
    <definedName function="false" hidden="true" name="abcdv102" vbProcedure="false">{#N/A,"PURCHM",FALSE,"Business Analysis";#N/A,"SPADD",FALSE,"Business Analysis"}</definedName>
    <definedName function="false" hidden="true" name="abcdv102d" vbProcedure="false">{#N/A,"PURCHM",FALSE,"Business Analysis";#N/A,"SPADD",FALSE,"Business Analysis"}</definedName>
    <definedName function="false" hidden="true" name="ABCD관리" vbProcedure="false">{#N/A,#N/A,FALSE,"정공"}</definedName>
    <definedName function="false" hidden="true" name="abci9" vbProcedure="false">{#N/A,"PURCHM",FALSE,"Business Analysis";#N/A,"SPADD",FALSE,"Business Analysis"}</definedName>
    <definedName function="false" hidden="true" name="abci92" vbProcedure="false">{#N/A,"PURCHM",FALSE,"Business Analysis";#N/A,"SPADD",FALSE,"Business Analysis"}</definedName>
    <definedName function="false" hidden="true" name="abcj9i" vbProcedure="false">{"detail",#N/A,FALSE,"mfg";"summary",#N/A,FALSE,"mfg"}</definedName>
    <definedName function="false" hidden="true" name="abckg" vbProcedure="false">{#N/A,"PURCHM",FALSE,"Business Analysis";#N/A,"SPADD",FALSE,"Business Analysis"}</definedName>
    <definedName function="false" hidden="true" name="abcklg" vbProcedure="false">{"detail",#N/A,FALSE,"mfg";"summary",#N/A,FALSE,"mfg"}</definedName>
    <definedName function="false" hidden="true" name="abcl96\" vbProcedure="false">{#N/A,"PURCHM",FALSE,"Business Analysis";#N/A,"SPADD",FALSE,"Business Analysis"}</definedName>
    <definedName function="false" hidden="true" name="abclkj" vbProcedure="false">{"detail",#N/A,FALSE,"mfg";"summary",#N/A,FALSE,"mfg"}</definedName>
    <definedName function="false" hidden="true" name="abclxs" vbProcedure="false">{"detail",#N/A,FALSE,"mfg";"summary",#N/A,FALSE,"mfg"}</definedName>
    <definedName function="false" hidden="true" name="abcoi" vbProcedure="false">{"detail",#N/A,FALSE,"mfg";"summary",#N/A,FALSE,"mfg"}</definedName>
    <definedName function="false" hidden="true" name="abcois" vbProcedure="false">{"detail",#N/A,FALSE,"mfg";"summary",#N/A,FALSE,"mfg"}</definedName>
    <definedName function="false" hidden="true" name="abc_Control" vbProcedure="false">{"'Data'!$A$1:$D$17"}</definedName>
    <definedName function="false" hidden="true" name="abd"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abda"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abdc" vbProcedure="false">{"'Data'!$A$1:$D$17"}</definedName>
    <definedName function="false" hidden="true" name="ABDD" vbProcedure="false">{#N/A,#N/A,FALSE,"단축1";#N/A,#N/A,FALSE,"단축2";#N/A,#N/A,FALSE,"단축3";#N/A,#N/A,FALSE,"장축";#N/A,#N/A,FALSE,"4WD"}</definedName>
    <definedName function="false" hidden="true" name="abe" vbProcedure="false">{"GuVGmbH",#N/A,FALSE,"ratios";"BilanzGmbH",#N/A,FALSE,"ratios";"BilanzKG",#N/A,FALSE,"ratios";"GuVKG",#N/A,FALSE,"ratios"}</definedName>
    <definedName function="false" hidden="true" name="ABF" vbProcedure="false">{"'Demand Units'!$X$11:$AD$45"}</definedName>
    <definedName function="false" hidden="true" name="ABG" vbProcedure="false">{"'Demand Units'!$X$11:$AD$45"}</definedName>
    <definedName function="false" hidden="true" name="ABH" vbProcedure="false">{"'Demand Units'!$X$11:$AD$45"}</definedName>
    <definedName function="false" hidden="true" name="abji" vbProcedure="false">{#N/A,"PURCHM",FALSE,"Business Analysis";#N/A,"SPADD",FALSE,"Business Analysis"}</definedName>
    <definedName function="false" hidden="true" name="abki9" vbProcedure="false">{#N/A,"PURCHM",FALSE,"Business Analysis";#N/A,"SPADD",FALSE,"Business Analysis"}</definedName>
    <definedName function="false" hidden="true" name="ablo5" vbProcedure="false">{#N/A,"PURCHM",FALSE,"Business Analysis";#N/A,"SPADD",FALSE,"Business Analysis"}</definedName>
    <definedName function="false" hidden="true" name="ABRIL" vbProcedure="false">{"'ALUMINIO'!$A$26:$K$53"}</definedName>
    <definedName function="false" hidden="true" name="abx" vbProcedure="false">{#N/A,#N/A,FALSE,"invpln"}</definedName>
    <definedName function="false" hidden="true" name="ac" vbProcedure="false">{"weichwaren",#N/A,FALSE,"Liste 1";"hartwaren",#N/A,FALSE,"Liste 1";"food",#N/A,FALSE,"Liste 1";"fleisch",#N/A,FALSE,"Liste 1"}</definedName>
    <definedName function="false" hidden="true" name="acc" vbProcedure="false">{"'comite'!$A$9:$G$44","'comite'!$A$1:$G$6"}</definedName>
    <definedName function="false" hidden="true" name="AccessDatabase" vbProcedure="false">"C:\DATA\théma.mdb"</definedName>
    <definedName function="false" hidden="true" name="Access_Button" vbProcedure="false">"modgraph_feuille_1_Liste"</definedName>
    <definedName function="false" hidden="true" name="Access_Button1" vbProcedure="false">"機能ｺｰﾄﾞ一覧_BLK→機能_List"</definedName>
    <definedName function="false" hidden="true" name="Access_Button2" vbProcedure="false">"機能ｺｰﾄﾞ一覧_BLK→機能_List"</definedName>
    <definedName function="false" hidden="true" name="Access_Button3" vbProcedure="false">"카드발송_카드발송_List1"</definedName>
    <definedName function="false" hidden="true" name="Access_Button4" vbProcedure="false">"업체현황_카드발송_List"</definedName>
    <definedName function="false" hidden="true" name="ACCLINK.XLS_Localization_Table_List" vbProcedure="false">"$A$1:$B$11"</definedName>
    <definedName function="false" hidden="true" name="ACCLINK.XLS_Localization_Table_List1" vbProcedure="false">"$A$13:$B$31"</definedName>
    <definedName function="false" hidden="true" name="ACCLINK.XLS_Localization_Table_List10" vbProcedure="false">"$A$13:$B$33"</definedName>
    <definedName function="false" hidden="true" name="ACCLINK.XLS_Localization_Table_List11" vbProcedure="false">"$A$13:$B$33"</definedName>
    <definedName function="false" hidden="true" name="ACCLINK.XLS_Localization_Table_List12" vbProcedure="false">"$A$13:$B$33"</definedName>
    <definedName function="false" hidden="true" name="ACCLINK.XLS_Localization_Table_List13" vbProcedure="false">"$A$13:$B$33"</definedName>
    <definedName function="false" hidden="true" name="ACCLINK.XLS_Localization_Table_List14" vbProcedure="false">"$A$13:$B$33"</definedName>
    <definedName function="false" hidden="true" name="ACCLINK.XLS_Localization_Table_List15" vbProcedure="false">"$A$13:$B$33"</definedName>
    <definedName function="false" hidden="true" name="ACCLINK.XLS_Localization_Table_List16" vbProcedure="false">"$A$13:$B$33"</definedName>
    <definedName function="false" hidden="true" name="ACCLINK.XLS_Localization_Table_List17" vbProcedure="false">"$A$13:$B$33"</definedName>
    <definedName function="false" hidden="true" name="ACCLINK.XLS_Localization_Table_List18" vbProcedure="false">"$A$13:$B$33"</definedName>
    <definedName function="false" hidden="true" name="ACCLINK.XLS_Localization_Table_List19" vbProcedure="false">"$A$13:$B$33"</definedName>
    <definedName function="false" hidden="true" name="ACCLINK.XLS_Localization_Table_List2" vbProcedure="false">"$A$13:$B$31"</definedName>
    <definedName function="false" hidden="true" name="ACCLINK.XLS_Localization_Table_List3" vbProcedure="false">"$A$13:$B$31"</definedName>
    <definedName function="false" hidden="true" name="ACCLINK.XLS_Localization_Table_List4" vbProcedure="false">"$A$13:$B$31"</definedName>
    <definedName function="false" hidden="true" name="ACCLINK.XLS_Localization_Table_List5" vbProcedure="false">"$A$13:$B$31"</definedName>
    <definedName function="false" hidden="true" name="ACCLINK.XLS_Localization_Table_List6" vbProcedure="false">"$A$13:$B$31"</definedName>
    <definedName function="false" hidden="true" name="ACCLINK.XLS_Localization_Table_List7" vbProcedure="false">"$A$13:$B$31"</definedName>
    <definedName function="false" hidden="true" name="ACCLINK.XLS_Localization_Table_List8" vbProcedure="false">"$A$13:$B$31"</definedName>
    <definedName function="false" hidden="true" name="ACCLINK.XLS_Localization_Table_List9" vbProcedure="false">"$A$13:$B$33"</definedName>
    <definedName function="false" hidden="true" name="ACCOUNTS_PAY" vbProcedure="false">"ACCOUNTS_PAY"</definedName>
    <definedName function="false" hidden="true" name="ACCOUNT_CHANGE" vbProcedure="false">"ACCOUNT_CHANGE"</definedName>
    <definedName function="false" hidden="true" name="ACCRUED_EXP" vbProcedure="false">"ACCRUED_EXP"</definedName>
    <definedName function="false" hidden="true" name="accs" vbProcedure="false">{"detail",#N/A,FALSE,"mfg";"summary",#N/A,FALSE,"mfg"}</definedName>
    <definedName function="false" hidden="true" name="achart2" vbProcedure="false">#REF!</definedName>
    <definedName function="false" hidden="true" name="achart3" vbProcedure="false">#REF!</definedName>
    <definedName function="false" hidden="true" name="achart4" vbProcedure="false">#REF!</definedName>
    <definedName function="false" hidden="true" name="achart5" vbProcedure="false">#REF!</definedName>
    <definedName function="false" hidden="true" name="aclskn" vbProcedure="false">{#N/A,#N/A,FALSE,"FY97";#N/A,#N/A,FALSE,"FY98";#N/A,#N/A,FALSE,"FY99";#N/A,#N/A,FALSE,"FY00";#N/A,#N/A,FALSE,"FY01"}</definedName>
    <definedName function="false" hidden="true" name="acob" vbProcedure="false">{"'Form'!$A$2:$J$81"}</definedName>
    <definedName function="false" hidden="true" name="actionplan" vbProcedure="false">{#N/A,"PURADD",FALSE,"Business Analysis";#N/A,"PURSPP",FALSE,"Business Analysis";#N/A,"CTGIND",FALSE,"Business Analysis";#N/A,"PURCHM",FALSE,"Business Analysis";#N/A,"SPADD",FALSE,"Business Analysis";#N/A,"EPOXY",FALSE,"Business Analysis";#N/A,"PURPER",FALSE,"Business Analysis"}</definedName>
    <definedName function="false" hidden="true" name="activations" vbProcedure="false">{"'Hardware Req.'!$A$1:$C$23"}</definedName>
    <definedName function="false" hidden="true" name="ActualMarginYOY" vbProcedure="false">{#N/A,#N/A,FALSE,"Hoja10";#N/A,#N/A,FALSE,"Hoja9";#N/A,#N/A,FALSE,"Hoja8";#N/A,#N/A,FALSE,"Hoja7";#N/A,#N/A,FALSE,"Hoja6";#N/A,#N/A,FALSE,"Hoja5";#N/A,#N/A,FALSE,"Hoja4";#N/A,#N/A,FALSE,"Hoja2";#N/A,#N/A,FALSE,"Hoja3";#N/A,#N/A,FALSE,"HOJA1";#N/A,#N/A,FALSE,"CashFlow";#N/A,#N/A,FALSE,"FinStmts"}</definedName>
    <definedName function="false" hidden="true" name="ACwvu.BS." vbProcedure="false">#REF!</definedName>
    <definedName function="false" hidden="true" name="ACwvu.summary1." vbProcedure="false">#REF!</definedName>
    <definedName function="false" hidden="true" name="ACwvu.summary2." vbProcedure="false">#REF!</definedName>
    <definedName function="false" hidden="true" name="ACwvu.summary3." vbProcedure="false">#REF!</definedName>
    <definedName function="false" hidden="true" name="ad" vbProcedure="false">{"CHART",#N/A,FALSE,"Arch Communications"}</definedName>
    <definedName function="false" hidden="true" name="adasd" vbProcedure="false">{#N/A,#N/A,FALSE,"KA CH  (2)"}</definedName>
    <definedName function="false" hidden="true" name="adc" vbProcedure="false">{#N/A,#N/A,TRUE,"Main";#N/A,#N/A,TRUE,"FCF_10Yr";#N/A,#N/A,TRUE,"FCF_15Yr";#N/A,#N/A,TRUE,"Assume"}</definedName>
    <definedName function="false" hidden="true" name="addg" vbProcedure="false">{#N/A,#N/A,FALSE,"CBE";#N/A,#N/A,FALSE,"SWK"}</definedName>
    <definedName function="false" hidden="true" name="addg1" vbProcedure="false">{#N/A,#N/A,FALSE,"CBE";#N/A,#N/A,FALSE,"SWK"}</definedName>
    <definedName function="false" hidden="true" name="ADD_PAID_IN" vbProcedure="false">"ADD_PAID_IN"</definedName>
    <definedName function="false" hidden="true" name="adf"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adfa" vbProcedure="false">{#N/A,#N/A,TRUE,"Cover";#N/A,#N/A,TRUE,"Input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function="false" hidden="true" name="adfadf" vbProcedure="false">{"'Sheet1'!$A$1:$J$121"}</definedName>
    <definedName function="false" hidden="true" name="adfadfasfdadf"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adfas" vbProcedure="false">{#N/A,#N/A,TRUE,"PSG Total Contacts";#N/A,#N/A,TRUE,"PSG Rep Total";#N/A,#N/A,TRUE,"Core Rep Detail";#N/A,#N/A,TRUE,"BC Rep Detail";#N/A,#N/A,TRUE,"Marlboro";#N/A,#N/A,TRUE,"Covington";#N/A,#N/A,TRUE,"Dallas";#N/A,#N/A,TRUE,"VRS Stats";#N/A,#N/A,TRUE,"Internet";#N/A,#N/A,TRUE,"NCO and Call Mix";#N/A,#N/A,TRUE,"VRS &amp; Rep Calls"}</definedName>
    <definedName function="false" hidden="true" name="adfasfadfda"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adfasfasdfasfdasdf"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adfd" vbProcedure="false">{"sales growth",#N/A,FALSE,"summary";"oper income",#N/A,FALSE,"summary";"oros rank",#N/A,FALSE,"summary";"net assets",#N/A,FALSE,"summary";"asset turnover",#N/A,FALSE,"summary";"orona",#N/A,FALSE,"summary"}</definedName>
    <definedName function="false" hidden="true" name="adfga" vbProcedure="false">{14;45;"$A$1";"05-09-00 16:37";"DADMIN";45;"CONTROL.IBS!Scrollbar_change";"";"";"";""}</definedName>
    <definedName function="false" hidden="true" name="adfgasdg" vbProcedure="false">{"regression corrigées",#N/A,FALSE,"Regressions"}</definedName>
    <definedName function="false" hidden="true" name="adfgasdysty" vbProcedure="false">{#N/A,#N/A,FALSE,"REPORT"}</definedName>
    <definedName function="false" hidden="true" name="adfgdzf" vbProcedure="false">{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function="false" hidden="true" name="adfhzdf" vbProcedure="false">{"sales",#N/A,FALSE,"Sales";"sales existing",#N/A,FALSE,"Sales";"sales rd1",#N/A,FALSE,"Sales";"sales rd2",#N/A,FALSE,"Sales"}</definedName>
    <definedName function="false" hidden="true" name="adfsf" vbProcedure="false">{#N/A,#N/A,TRUE,"Cover";#N/A,#N/A,TRUE,"Input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function="false" hidden="true" name="adfsfjfjky" vbProcedure="false">{#N/A,#N/A,FALSE,"REPORT"}</definedName>
    <definedName function="false" hidden="true" name="adfsgsdf5352"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dg" vbProcedure="false">{"'Sheet1'!$A$1:$O$40"}</definedName>
    <definedName function="false" hidden="true" name="adgadgadgadsgasdg" vbProcedure="false">{"'Title Transfer Units6,7,&amp;8'!$A$1:$B$4","'Title Transfer Units6,7,&amp;8'!$C$6"}</definedName>
    <definedName function="false" hidden="true" name="adgfgd" vbProcedure="false">{"detail",#N/A,FALSE,"mfg";"summary",#N/A,FALSE,"mfg"}</definedName>
    <definedName function="false" hidden="true" name="adjustment" vbProcedure="false">{#N/A,#N/A,TRUE,"PSG Total Contacts";#N/A,#N/A,TRUE,"PSG Rep Total";#N/A,#N/A,TRUE,"Core Rep Detail";#N/A,#N/A,TRUE,"BC Rep Detail";#N/A,#N/A,TRUE,"Marlboro";#N/A,#N/A,TRUE,"Covington";#N/A,#N/A,TRUE,"Dallas";#N/A,#N/A,TRUE,"VRS Stats";#N/A,#N/A,TRUE,"Internet";#N/A,#N/A,TRUE,"NCO and Call Mix";#N/A,#N/A,TRUE,"VRS &amp; Rep Calls"}</definedName>
    <definedName function="false" hidden="true" name="admin" vbProcedure="false">{#N/A,#N/A,FALSE,"Staffnos &amp; cost"}</definedName>
    <definedName function="false" hidden="true" name="ADMIN1" vbProcedure="false">{#N/A,#N/A,TRUE,"PSG Total Contacts";#N/A,#N/A,TRUE,"PSG Rep Total";#N/A,#N/A,TRUE,"Core Rep Detail";#N/A,#N/A,TRUE,"BC Rep Detail";#N/A,#N/A,TRUE,"Marlboro";#N/A,#N/A,TRUE,"Covington";#N/A,#N/A,TRUE,"Dallas";#N/A,#N/A,TRUE,"VRS Stats";#N/A,#N/A,TRUE,"Internet";#N/A,#N/A,TRUE,"NCO and Call Mix";#N/A,#N/A,TRUE,"VRS &amp; Rep Calls"}</definedName>
    <definedName function="false" hidden="true" name="AdminSlideMTD" vbProcedure="false">{#N/A,#N/A,TRUE,"Expenses";#N/A,#N/A,TRUE,"BalanceSheet";#N/A,#N/A,TRUE,"CashFlow";#N/A,#N/A,TRUE,"OtherCurrentAssets";#N/A,#N/A,TRUE,"OtherAssets";#N/A,#N/A,TRUE,"AccruedExpenses"}</definedName>
    <definedName function="false" hidden="true" name="AdminSlideYTD" vbProcedure="false">{#N/A,#N/A,TRUE,"Expenses";#N/A,#N/A,TRUE,"BalanceSheet";#N/A,#N/A,TRUE,"CashFlow";#N/A,#N/A,TRUE,"OtherCurrentAssets";#N/A,#N/A,TRUE,"OtherAssets";#N/A,#N/A,TRUE,"AccruedExpenses"}</definedName>
    <definedName function="false" hidden="true" name="adminsti" vbProcedure="false">{#N/A,#N/A,TRUE,"PSG Total Contacts";#N/A,#N/A,TRUE,"PSG Rep Total";#N/A,#N/A,TRUE,"Core Rep Detail";#N/A,#N/A,TRUE,"BC Rep Detail";#N/A,#N/A,TRUE,"Marlboro";#N/A,#N/A,TRUE,"Covington";#N/A,#N/A,TRUE,"Dallas";#N/A,#N/A,TRUE,"VRS Stats";#N/A,#N/A,TRUE,"Internet";#N/A,#N/A,TRUE,"NCO and Call Mix";#N/A,#N/A,TRUE,"VRS &amp; Rep Calls"}</definedName>
    <definedName function="false" hidden="true" name="adrharh" vbProcedure="false">{"WACC",#N/A,FALSE,"Bewertung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function="false" hidden="true" name="ads"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adsaf45t234"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DSAFD" vbProcedure="false">{"P&amp;L",#N/A,FALSE,"P&amp;LPlan";"Cashflow",#N/A,FALSE,"Cash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function="false" hidden="true" name="ADSDF" vbProcedure="false">{#N/A,#N/A,TRUE,"Y생산";#N/A,#N/A,TRUE,"Y판매";#N/A,#N/A,TRUE,"Y총물량";#N/A,#N/A,TRUE,"Y능력";#N/A,#N/A,TRUE,"YKD"}</definedName>
    <definedName function="false" hidden="true" name="adsf" vbProcedure="false">{#N/A,#N/A,TRUE,"Cover";#N/A,#N/A,TRUE,"Input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function="false" hidden="true" name="adsfadfnkf" vbProcedure="false">{"'Title Transfer Units6,7,&amp;8'!$A$1:$B$4","'Title Transfer Units6,7,&amp;8'!$C$6"}</definedName>
    <definedName function="false" hidden="true" name="adsfadgadg" vbProcedure="false">{"'Title Transfer Units6,7,&amp;8'!$A$1:$B$4","'Title Transfer Units6,7,&amp;8'!$C$6"}</definedName>
    <definedName function="false" hidden="true" name="adsfadgadgg" vbProcedure="false">{"'Title Transfer Units6,7,&amp;8'!$A$1:$B$4","'Title Transfer Units6,7,&amp;8'!$C$6"}</definedName>
    <definedName function="false" hidden="true" name="adsfadsfasdfasdf"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dsfasdfadsf" vbProcedure="false">{"'Title Transfer Units6,7,&amp;8'!$A$1:$B$4","'Title Transfer Units6,7,&amp;8'!$C$6"}</definedName>
    <definedName function="false" hidden="true" name="adsfdafdsaf2" vbProcedure="false">{#N/A,#N/A,FALSE,"Index";#N/A,#N/A,FALSE,"1.1";#N/A,#N/A,FALSE,"Scenario Summary"}</definedName>
    <definedName function="false" hidden="true" name="adsfdsafdsaf" vbProcedure="false">{#N/A,#N/A,FALSE,"Index";#N/A,#N/A,FALSE,"1.1";#N/A,#N/A,FALSE,"Scenario Summary"}</definedName>
    <definedName function="false" hidden="true" name="adsfgadg" vbProcedure="false">{"'Title Transfer Units6,7,&amp;8'!$A$1:$B$4","'Title Transfer Units6,7,&amp;8'!$C$6"}</definedName>
    <definedName function="false" hidden="true" name="adsfgds" vbProcedure="false">{#N/A,#N/A,FALSE,"Umsatz CH";#N/A,#N/A,FALSE,"ER CH";#N/A,#N/A,FALSE,"EA CH (2) ";#N/A,#N/A,FALSE,"EA CH";#N/A,#N/A,FALSE,"EA CH (3) ";#N/A,#N/A,FALSE,"EA CH (4)";#N/A,#N/A,FALSE,"KA CH";#N/A,#N/A,FALSE,"KA CH  (2)";#N/A,#N/A,FALSE,"KA CH  (3)";#N/A,#N/A,FALSE,"KA CH (4)"}</definedName>
    <definedName function="false" hidden="true" name="adsfgreg" vbProcedure="false">{#N/A,#N/A,TRUE,"Historicals";#N/A,#N/A,TRUE,"Charts";#N/A,#N/A,TRUE,"Forecasts"}</definedName>
    <definedName function="false" hidden="true" name="adsfregh" vbProcedure="false">{#N/A,#N/A,TRUE,"Historicals";#N/A,#N/A,TRUE,"Charts";#N/A,#N/A,TRUE,"Forecasts"}</definedName>
    <definedName function="false" hidden="true" name="adsfrergre" vbProcedure="false">{#N/A,#N/A,TRUE,"Historicals";#N/A,#N/A,TRUE,"Charts";#N/A,#N/A,TRUE,"Forecasts"}</definedName>
    <definedName function="false" hidden="true" name="adsfsrg5t"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dsgadgag" vbProcedure="false">{"'Title Transfer Units6,7,&amp;8'!$A$1:$B$4","'Title Transfer Units6,7,&amp;8'!$C$6"}</definedName>
    <definedName function="false" hidden="true" name="adsgadhgadgasdfaf" vbProcedure="false">{"'Title Transfer Units6,7,&amp;8'!$A$1:$B$4","'Title Transfer Units6,7,&amp;8'!$C$6"}</definedName>
    <definedName function="false" hidden="true" name="adsgsdfhg56"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dssd234"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dvasdg" vbProcedure="false">{"'Title Transfer Units6,7,&amp;8'!$A$1:$B$4","'Title Transfer Units6,7,&amp;8'!$C$6"}</definedName>
    <definedName function="false" hidden="true" name="ae" vbProcedure="false">{#N/A,#N/A,FALSE,"Calc";#N/A,#N/A,FALSE,"Sensitivity";#N/A,#N/A,FALSE,"LT Earn.Dil.";#N/A,#N/A,FALSE,"Dil. AVP"}</definedName>
    <definedName function="false" hidden="true" name="ae5ze5" vbProcedure="false">word</definedName>
    <definedName function="false" hidden="true" name="aeradfaereawt" vbProcedure="false">{"var_page",#N/A,FALSE,"template"}</definedName>
    <definedName function="false" hidden="true" name="aerhaerhaerh"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aerhrea" vbProcedure="false">{#N/A,#N/A,FALSE,"단축1";#N/A,#N/A,FALSE,"단축2";#N/A,#N/A,FALSE,"단축3";#N/A,#N/A,FALSE,"장축";#N/A,#N/A,FALSE,"4WD"}</definedName>
    <definedName function="false" hidden="true" name="aert" vbProcedure="false">{#N/A,#N/A,FALSE,"Layout Aktiva";#N/A,#N/A,FALSE,"Layout Passiva";#N/A,#N/A,FALSE,"Layout GuV";#N/A,#N/A,FALSE,"Layout Cash Flow";#N/A,#N/A,FALSE,"Mittelherkunft";#N/A,#N/A,FALSE,"Mittelverwendung";#N/A,#N/A,FALSE,"Finanzbedarfsrechnung"}</definedName>
    <definedName function="false" hidden="true" name="aertaejtae" vbProcedure="false">{#N/A,#N/A,FALSE,"ACQ_GRAPHS";#N/A,#N/A,FALSE,"T_1 GRAPHS";#N/A,#N/A,FALSE,"T_2 GRAPHS";#N/A,#N/A,FALSE,"COMB_GRAPHS"}</definedName>
    <definedName function="false" hidden="true" name="aew" vbProcedure="false">{#N/A,"PURCHM",FALSE,"Business Analysis";#N/A,"SPADD",FALSE,"Business Analysis"}</definedName>
    <definedName function="false" hidden="true" name="aewr" vbProcedure="false">{"mgmt forecast",#N/A,FALSE,"Mgmt Forecast";"dcf table",#N/A,FALSE,"Mgmt Forecast";"sensitivity",#N/A,FALSE,"Mgmt Forecast";"table inputs",#N/A,FALSE,"Mgmt Forecast";"calculations",#N/A,FALSE,"Mgmt Forecast"}</definedName>
    <definedName function="false" hidden="true" name="aezeeeeeee"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aezer"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af" vbProcedure="false">#N/A</definedName>
    <definedName function="false" hidden="true" name="afc" vbProcedure="false">{"detail",#N/A,FALSE,"mfg";"summary",#N/A,FALSE,"mfg"}</definedName>
    <definedName function="false" hidden="true" name="af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fda" vbProcedure="false">#REF!</definedName>
    <definedName function="false" hidden="true" name="AFDADSFDAS" vbProcedure="false">{#N/A,#N/A,FALSE,"REPORT"}</definedName>
    <definedName function="false" hidden="true" name="afdafds" vbProcedure="false">{#N/A,#N/A,FALSE,"Performance Flash Report"}</definedName>
    <definedName function="false" hidden="true" name="afds" vbProcedure="false">{"YTD",#N/A,FALSE,"SUM"}</definedName>
    <definedName function="false" hidden="true" name="afgggrtgh" vbProcedure="false">{#N/A,#N/A,TRUE,"Historicals";#N/A,#N/A,TRUE,"Charts";#N/A,#N/A,TRUE,"Forecasts"}</definedName>
    <definedName function="false" hidden="true" name="afhsrhsrgh" vbProcedure="false">{#N/A,#N/A,FALSE,"INPUTS";#N/A,#N/A,FALSE,"PROFORMA BSHEET";#N/A,#N/A,FALSE,"COMBINED";#N/A,#N/A,FALSE,"ACQUIROR";#N/A,#N/A,FALSE,"TARGET 1";#N/A,#N/A,FALSE,"TARGET 2";#N/A,#N/A,FALSE,"HIGH YIELD";#N/A,#N/A,FALSE,"OVERFUND"}</definedName>
    <definedName function="false" hidden="true" name="AFR" vbProcedure="false">{"'Demand Units'!$X$11:$AD$45"}</definedName>
    <definedName function="false" hidden="true" name="africa" vbProcedure="false">{#N/A,#N/A,FALSE,"CNS";#N/A,#N/A,FALSE,"Serz";#N/A,#N/A,FALSE,"Ace"}</definedName>
    <definedName function="false" hidden="true" name="afsdf"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afsdgfsfdhg55"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fvh"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ag" vbProcedure="false">{TRUE,TRUE,-1.25,-15.5,456.75,279.75,FALSE,FALSE,TRUE,TRUE,0,1,8,1,4,6,3,4,TRUE,TRUE,3,TRUE,1,TRUE,100,"Swvu.turnover.","ACwvu.turnover.",1,FALSE,FALSE,0.511811023622047,0.511811023622047,0.511811023622047,0.511811023622047,1,"","",FALSE,FALSE,FALSE,FALSE,1,#N/A,1,1,#DIV/0!,FALSE,"Rwvu.turnover.",#N/A,FALSE,FALSE}</definedName>
    <definedName function="false" hidden="true" name="aga" vbProcedure="false">{#N/A,#N/A,FALSE,"Bezirk SW";#N/A,#N/A,FALSE,"Dir S (GK)";#N/A,#N/A,FALSE,"Dir FR (PK)"}</definedName>
    <definedName function="false" hidden="true" name="agafdhsdh" vbProcedure="false">{#N/A,#N/A,FALSE,"REPORT"}</definedName>
    <definedName function="false" hidden="true" name="agag" vbProcedure="false">{#N/A,#N/A,FALSE,"Aging Summary";#N/A,#N/A,FALSE,"Ratio Analysis";#N/A,#N/A,FALSE,"Test 120 Day Accts";#N/A,#N/A,FALSE,"Tickmarks"}</definedName>
    <definedName function="false" hidden="true" name="agarewg"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agcd22" vbProcedure="false">{#N/A,"PURCHM",FALSE,"Business Analysis";#N/A,"SPADD",FALSE,"Business Analysis"}</definedName>
    <definedName function="false" hidden="true" name="agcd22bd" vbProcedure="false">{#N/A,"PURCHM",FALSE,"Business Analysis";#N/A,"SPADD",FALSE,"Business Analysis"}</definedName>
    <definedName function="false" hidden="true" name="AGE" vbProcedure="false">{#N/A,#N/A,FALSE,"Staffnos &amp; cost"}</definedName>
    <definedName function="false" hidden="true" name="age1New"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ageNew"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agfdg" vbProcedure="false">{#N/A,#N/A,FALSE,"PMW Gruppe 99_98";#N/A,#N/A,FALSE,"PMW KG 98_99";#N/A,#N/A,FALSE,"PMW Inc. 99_98";#N/A,#N/A,FALSE,"PMW VTECH 99_98";#N/A,#N/A,FALSE,"PMW Thail. 99_98";#N/A,#N/A,FALSE,"PMW Canada 99_98";#N/A,#N/A,FALSE,"Währungsabw. 99_98"}</definedName>
    <definedName function="false" hidden="true" name="agfds" vbProcedure="false">{TRUE,TRUE,-1.25,-15.5,456.75,279.75,FALSE,FALSE,TRUE,TRUE,0,1,8,1,4,6,3,4,TRUE,TRUE,3,TRUE,1,TRUE,100,"Swvu.turnover.","ACwvu.turnover.",1,FALSE,FALSE,0.511811023622047,0.511811023622047,0.511811023622047,0.511811023622047,1,"","",FALSE,FALSE,FALSE,FALSE,1,#N/A,1,1,#DIV/0!,FALSE,"Rwvu.turnover.",#N/A,FALSE,FALSE}</definedName>
    <definedName function="false" hidden="true" name="AGG" vbProcedure="false">#N/A</definedName>
    <definedName function="false" hidden="true" name="ago" vbProcedure="false">{#N/A,#N/A,TRUE,"Cont_Stell";#N/A,#N/A,TRUE,"BTG";#N/A,#N/A,TRUE,"SH";#N/A,#N/A,TRUE,"GUV";#N/A,#N/A,TRUE,"Bilanz";#N/A,#N/A,TRUE,"WC";#N/A,#N/A,TRUE,"Beweg_bil";#N/A,#N/A,TRUE,"Kap_fluß";#N/A,#N/A,TRUE,"KENNZ";#N/A,#N/A,TRUE,"ANALYSE"}</definedName>
    <definedName function="false" hidden="true" name="agsgaghgfj" vbProcedure="false">{#N/A,#N/A,FALSE,"Pharm";#N/A,#N/A,FALSE,"WWCM"}</definedName>
    <definedName function="false" hidden="true" name="ah" vbProcedure="false">{"detail",#N/A,FALSE,"mfg";"summary",#N/A,FALSE,"mfg"}</definedName>
    <definedName function="false" hidden="true" name="ahadhasdgaefhgh" vbProcedure="false">{"'Title Transfer Units6,7,&amp;8'!$A$1:$B$4","'Title Transfer Units6,7,&amp;8'!$C$6"}</definedName>
    <definedName function="false" hidden="true" name="ahll"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Aida_2" vbProcedure="false">{#N/A,#N/A,FALSE,"Finanzplan";#N/A,#N/A,FALSE,"Bilanz";#N/A,#N/A,FALSE,"GuV"}</definedName>
    <definedName function="false" hidden="true" name="Aida_4" vbProcedure="false">{#N/A,#N/A,FALSE,"Finanzplan";#N/A,#N/A,FALSE,"Bilanz";#N/A,#N/A,FALSE,"GuV"}</definedName>
    <definedName function="false" hidden="true" name="aim" vbProcedure="false">{#N/A,#N/A,FALSE,"Cover";#N/A,#N/A,FALSE,"Contents-Pg1";#N/A,#N/A,FALSE,"High-Com-pg2";#N/A,#N/A,FALSE,"1 Full";#N/A,#N/A,FALSE,"1chts";#N/A,#N/A,FALSE,"Table 2";#N/A,#N/A,FALSE,"3New Iss";#N/A,#N/A,FALSE,"4Money raised";#N/A,#N/A,FALSE,"5Aim";#N/A,#N/A,FALSE,"AiM charts";#N/A,#N/A,FALSE,"6FT Smll";#N/A,#N/A,FALSE,"11SEATS";#N/A,#N/A,FALSE,"12Notes"}</definedName>
    <definedName function="false" hidden="true" name="aimband" vbProcedure="false">{#N/A,#N/A,FALSE,"Cover";#N/A,#N/A,FALSE,"Contents-Pg1";#N/A,#N/A,FALSE,"High-Com-pg2";#N/A,#N/A,FALSE,"1 Full";#N/A,#N/A,FALSE,"1chts";#N/A,#N/A,FALSE,"Table 2";#N/A,#N/A,FALSE,"3New Iss";#N/A,#N/A,FALSE,"4Money raised";#N/A,#N/A,FALSE,"5Aim";#N/A,#N/A,FALSE,"AiM charts";#N/A,#N/A,FALSE,"6FT Smll";#N/A,#N/A,FALSE,"11SEATS";#N/A,#N/A,FALSE,"12Notes"}</definedName>
    <definedName function="false" hidden="true" name="aj" vbProcedure="false">{"detail",#N/A,FALSE,"mfg";"summary",#N/A,FALSE,"mfg"}</definedName>
    <definedName function="false" hidden="true" name="ajdklaj" vbProcedure="false">#REF!</definedName>
    <definedName function="false" hidden="true" name="AJHFkjDGHF" vbProcedure="false">{"Annual_Income",#N/A,FALSE,"Report Page";"Balance_Cash_Flow",#N/A,FALSE,"Report Page";"Quarterly_Income",#N/A,FALSE,"Report Page"}</definedName>
    <definedName function="false" hidden="true" name="alb" vbProcedure="false">{#N/A,#N/A,FALSE,"Summary";#N/A,#N/A,FALSE,"Edit";#N/A,#N/A,FALSE,"MedProf";#N/A,#N/A,FALSE,"Proj Mgt";#N/A,#N/A,FALSE,"Creat Svc";#N/A,#N/A,FALSE,"Meet Svc";#N/A,#N/A,FALSE,"Non-OCC";#N/A,#N/A,FALSE,"Client Svc";#N/A,#N/A,FALSE,"Bus Dev";#N/A,#N/A,FALSE,"Indirect"}</definedName>
    <definedName function="false" hidden="true" name="alex" vbProcedure="false">{#N/A,#N/A,FALSE,"REPORT"}</definedName>
    <definedName function="false" hidden="true" name="alexan" vbProcedure="false">{#N/A,#N/A,FALSE,"REPORT"}</definedName>
    <definedName function="false" hidden="true" name="ALo" vbProcedure="false">MIN(IF((LEFT(#REF!,LEN(#REF!))=#REF!)*ROW(#REF!)=0,"",(LEFT(#REF!,LEN(#REF!))=#REF!)*ROW(#REF!)))</definedName>
    <definedName function="false" hidden="true" name="Alpena" vbProcedure="false">{#N/A,#N/A,FALSE,"10yr Plan Inputs";#N/A,#N/A,FALSE,"10yr Plan Results";#N/A,#N/A,FALSE,"JV Cost Splits";#N/A,#N/A,FALSE,"JV Variable Costs";#N/A,#N/A,FALSE,"JV Fixed Costs";#N/A,#N/A,FALSE,"Dow Alt Cost 98";#N/A,#N/A,FALSE,"Case Summary"}</definedName>
    <definedName function="false" hidden="true" name="ALu" vbProcedure="false">MAX((LEFT(#REF!:INDEX(#REF!,#REF!()),LEN(#REF!))=#REF!)*ROW(#REF!:INDEX(#REF!,#REF!())))</definedName>
    <definedName function="false" hidden="true" name="AMORTIZATION" vbProcedure="false">"AMORTIZATION"</definedName>
    <definedName function="false" hidden="true" name="ando" vbProcedure="false">{"'下期集計（10.27迄・速報値）'!$Q$16"}</definedName>
    <definedName function="false" hidden="true" name="andy" vbProcedure="false">{#N/A,#N/A,FALSE,"REPORT"}</definedName>
    <definedName function="false" hidden="true" name="Anja"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Anlageverm." vbProcedure="false">{#N/A,#N/A,FALSE,"Aktiva";#N/A,#N/A,FALSE,"Passiva";#N/A,#N/A,FALSE,"guv";#N/A,#N/A,FALSE,"Anl-1";#N/A,#N/A,FALSE,"Anl-2";#N/A,#N/A,FALSE,"Anl-III";#N/A,#N/A,FALSE,"Ta-1-Anh";#N/A,#N/A,FALSE,"Ta-2-Anh";#N/A,#N/A,FALSE,"Ta-3-Anh";#N/A,#N/A,FALSE,"Kontroll-Blatt"}</definedName>
    <definedName function="false" hidden="true" name="ANM" vbProcedure="false">{"'comite'!$A$9:$G$44","'comite'!$A$1:$G$6"}</definedName>
    <definedName function="false" hidden="true" name="annahmen" vbProcedure="false">{"budget95",#N/A,TRUE,"Tabelle1";"Tab1",#N/A,TRUE,"Tabelle2"}</definedName>
    <definedName function="false" hidden="true" name="anotherrange" vbProcedure="false">{#N/A,#N/A,FALSE,"Performance Flash Report"}</definedName>
    <definedName function="false" hidden="true" name="anscount" vbProcedure="false">1</definedName>
    <definedName function="false" hidden="true" name="anu" vbProcedure="false">{#N/A,#N/A,FALSE,"SUMMARY";#N/A,#N/A,FALSE,"RECEIVABLE";"Report recd",#N/A,FALSE,"RECEIVED"}</definedName>
    <definedName function="false" hidden="true" name="anything" vbProcedure="false">{#N/A,#N/A,FALSE,"Output";#N/A,#N/A,FALSE,"Cover Sheet";#N/A,#N/A,FALSE,"Current Mkt. Projections"}</definedName>
    <definedName function="false" hidden="true" name="AOCNFTHSDLR" vbProcedure="false">{#N/A,#N/A,FALSE,"정공"}</definedName>
    <definedName function="false" hidden="true" name="aof" vbProcedure="false">{"'SIVA Pricing Model'!$A$1:$F$39"}</definedName>
    <definedName function="false" hidden="true" name="ap"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PDX" vbProcedure="false">{#N/A,#N/A,FALSE,"Cover Page";#N/A,#N/A,FALSE,"Facing Page";#N/A,#N/A,FALSE,"Main Page";#N/A,#N/A,FALSE,"Risk-Adjusted";#N/A,#N/A,FALSE,"Profit Improvement"}</definedName>
    <definedName function="false" hidden="true" name="Appendix" vbProcedure="false">{#N/A,#N/A,FALSE,"Cover Page";#N/A,#N/A,FALSE,"Facing Page";#N/A,#N/A,FALSE,"Main Page";#N/A,#N/A,FALSE,"Risk-Adjusted";#N/A,#N/A,FALSE,"Profit Improvement"}</definedName>
    <definedName function="false" hidden="true" name="appendix4" vbProcedure="false">{#N/A,#N/A,TRUE,"Cover sheet";#N/A,#N/A,TRUE,"Summary";#N/A,#N/A,TRUE,"Key Assumptions";#N/A,#N/A,TRUE,"Profit &amp; Loss";#N/A,#N/A,TRUE,"Balance Sheet";#N/A,#N/A,TRUE,"Cashflow";#N/A,#N/A,TRUE,"IRR";#N/A,#N/A,TRUE,"Ratios";#N/A,#N/A,TRUE,"Debt analysis"}</definedName>
    <definedName function="false" hidden="true" name="Apr00" vbProcedure="false">{"Statement of Income",#N/A,TRUE,"Mar99";"Balance Sheet",#N/A,TRUE,"Mar99"}</definedName>
    <definedName function="false" hidden="true" name="Apr00TB" vbProcedure="false">{"Statement of Income",#N/A,TRUE,"Mar99";"Balance Sheet",#N/A,TRUE,"Mar99"}</definedName>
    <definedName function="false" hidden="true" name="APWREFVCOUGAR" vbProcedure="false">"'CVLT-US"</definedName>
    <definedName function="false" hidden="true" name="aq" vbProcedure="false">{"Summary",#N/A,FALSE,"Summary";"A&amp;A's",#N/A,FALSE,"Aids &amp; A's";"MajorWorks",#N/A,FALSE,"Major Works";"EstateImps",#N/A,FALSE,"Estate Imps";"CatC",#N/A,FALSE,"Cat C Voids";"CycProg",#N/A,FALSE,"Cyclical Prog inc MR"}</definedName>
    <definedName function="false" hidden="true" name="aqe4h5taet"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qw" vbProcedure="false">{#N/A,"PURCHM",FALSE,"Business Analysis";#N/A,"SPADD",FALSE,"Business Analysis"}</definedName>
    <definedName function="false" hidden="true" name="ar" vbProcedure="false">{#N/A,#N/A,FALSE,"Aktiva";#N/A,#N/A,FALSE,"Passiva";#N/A,#N/A,FALSE,"guv";#N/A,#N/A,FALSE,"Anl-1";#N/A,#N/A,FALSE,"Anl-2";#N/A,#N/A,FALSE,"Anl-III";#N/A,#N/A,FALSE,"Ta-1-Anh";#N/A,#N/A,FALSE,"Ta-2-Anh";#N/A,#N/A,FALSE,"Ta-3-Anh";#N/A,#N/A,FALSE,"Kontroll-Blatt"}</definedName>
    <definedName function="false" hidden="true" name="arancio" vbProcedure="false">{"FY98Q1 var",#N/A,FALSE,"FY98 - Q1";"FY98Q2 var",#N/A,FALSE,"FY98 - Q2";"FY98Q3 var",#N/A,FALSE,"FY98 - Q3";"FY98Q4 var",#N/A,FALSE,"FY98 - Q4"}</definedName>
    <definedName function="false" hidden="true" name="are" vbProcedure="false">{#N/A,#N/A,FALSE,"Sheet1"}</definedName>
    <definedName function="false" hidden="true" name="areherhdfa"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reta"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argsrmsrymas" vbProcedure="false">{"vi1",#N/A,FALSE,"Financial Statements";"vi2",#N/A,FALSE,"Financial Statements";#N/A,#N/A,FALSE,"DCF"}</definedName>
    <definedName function="false" hidden="true" name="arhsyhsrth"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arinhalt" vbProcedure="false">{#N/A,#N/A,FALSE,"Aktiva";#N/A,#N/A,FALSE,"Passiva";#N/A,#N/A,FALSE,"guv";#N/A,#N/A,FALSE,"Anl-1";#N/A,#N/A,FALSE,"Anl-2";#N/A,#N/A,FALSE,"Anl-III";#N/A,#N/A,FALSE,"Ta-1-Anh";#N/A,#N/A,FALSE,"Ta-2-Anh";#N/A,#N/A,FALSE,"Ta-3-Anh";#N/A,#N/A,FALSE,"Kontroll-Blatt"}</definedName>
    <definedName function="false" hidden="true" name="arjagnargna" vbProcedure="false">{#N/A,#N/A,FALSE,"ACQ_GRAPHS";#N/A,#N/A,FALSE,"T_1 GRAPHS";#N/A,#N/A,FALSE,"T_2 GRAPHS";#N/A,#N/A,FALSE,"COMB_GRAPHS"}</definedName>
    <definedName function="false" hidden="true" name="arm" vbProcedure="false">#REF!</definedName>
    <definedName function="false" hidden="true" name="arne"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false" name="Art" vbProcedure="false">#REF!</definedName>
    <definedName function="false" hidden="true" name="arta"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artajtajea" vbProcedure="false">{#N/A,#N/A,FALSE,"Valuation Assumptions";#N/A,#N/A,FALSE,"Summary";#N/A,#N/A,FALSE,"DCF";#N/A,#N/A,FALSE,"Valuation";#N/A,#N/A,FALSE,"WACC";#N/A,#N/A,FALSE,"UBVH";#N/A,#N/A,FALSE,"Free Cash Flow"}</definedName>
    <definedName function="false" hidden="true" name="artjawrja" vbProcedure="false">{#N/A,#N/A,FALSE,"INPUTS";#N/A,#N/A,FALSE,"PROFORMA BSHEET";#N/A,#N/A,FALSE,"COMBINED";#N/A,#N/A,FALSE,"HIGH YIELD";#N/A,#N/A,FALSE,"COMB_GRAPHS"}</definedName>
    <definedName function="false" hidden="true" name="as" vbProcedure="false">TEXT(sve,"T.M.JJJJ")</definedName>
    <definedName function="false" hidden="true" name="AS2DocOpenMode" vbProcedure="false">"AS2DocumentEdit"</definedName>
    <definedName function="false" hidden="true" name="AS2HasNoAutoHeaderFooter" vbProcedure="false">" "</definedName>
    <definedName function="false" hidden="true" name="AS2NamedRange" vbProcedure="false">6</definedName>
    <definedName function="false" hidden="true" name="AS2ReportLS" vbProcedure="false">1</definedName>
    <definedName function="false" hidden="true" name="AS2StaticLS" vbProcedure="false">#REF!</definedName>
    <definedName function="false" hidden="true" name="AS2SyncStepLS" vbProcedure="false">0</definedName>
    <definedName function="false" hidden="true" name="AS2TaxWorkpaper" vbProcedure="false">" "</definedName>
    <definedName function="false" hidden="true" name="AS2TickmarkLS" vbProcedure="false">#REF!</definedName>
    <definedName function="false" hidden="true" name="AS2VersionLS" vbProcedure="false">300</definedName>
    <definedName function="false" hidden="true" name="asa" vbProcedure="false">#N/A</definedName>
    <definedName function="false" hidden="true" name="asad" vbProcedure="false">{"away stand alones",#N/A,FALSE,"Target"}</definedName>
    <definedName function="false" hidden="true" name="ASaQSS"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asas" vbProcedure="false">{#N/A,#N/A,FALSE,"Pharm";#N/A,#N/A,FALSE,"WWCM"}</definedName>
    <definedName function="false" hidden="true" name="asasas" vbProcedure="false">{"comp1",#N/A,FALSE,"COMPS";"footnotes",#N/A,FALSE,"COMPS"}</definedName>
    <definedName function="false" hidden="true" name="asd"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asdas" vbProcedure="false">{#N/A,#N/A,FALSE,"ADNAMES.XLS";#N/A,#N/A,FALSE,"EQNAMES.XLS";#N/A,#N/A,FALSE,"INNAMES.XLS";#N/A,#N/A,FALSE,"HYNAMES.XLS";#N/A,#N/A,FALSE,"FIXNAMES.XLS";#N/A,#N/A,FALSE,"MONNAMES.XLS";#N/A,#N/A,FALSE,"TECNAMES.XLS"}</definedName>
    <definedName function="false" hidden="true" name="asdas1" vbProcedure="false">{#N/A,#N/A,FALSE,"Performance Flash Report"}</definedName>
    <definedName function="false" hidden="true" name="asdas2" vbProcedure="false">{#N/A,#N/A,FALSE,"Performance Flash Report"}</definedName>
    <definedName function="false" hidden="true" name="asdasd" vbProcedure="false">{"toc1",#N/A,FALSE,"TOC";"cover",#N/A,FALSE,"Cover";"ts1",#N/A,FALSE,"Transaction Summary";"ei3",#N/A,FALSE,"Earnings Impact";"ad3",#N/A,FALSE,"accretion dilution"}</definedName>
    <definedName function="false" hidden="true" name="asdasda" vbProcedure="false">{"Teilenummer","Auftragsnummer","Bedarfsnummer","Ist-Menge","Ist-Datum","Sortierbegriff Bedar","Auftragsstatus","Teilenummer","Benennung 1","Benennung 2","Zeichnungsnummer","POSITIONSNUMMER"}</definedName>
    <definedName function="false" hidden="true" name="asdasdfa" vbProcedure="false">{#N/A,#N/A,FALSE,"Mittelherkunft";#N/A,#N/A,FALSE,"Mittelverwendung"}</definedName>
    <definedName function="false" hidden="true" name="asdd" vbProcedure="false">#REF!</definedName>
    <definedName function="false" hidden="true" name="asdde"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ASDDGGHHH" vbProcedure="false">{"'Data'!$A$1:$D$17"}</definedName>
    <definedName function="false" hidden="true" name="asdf" vbProcedure="false">{#N/A,#N/A,FALSE,"Calc";#N/A,#N/A,FALSE,"Sensitivity";#N/A,#N/A,FALSE,"LT Earn.Dil.";#N/A,#N/A,FALSE,"Dil. AVP"}</definedName>
    <definedName function="false" hidden="true" name="asdf.kjahsdf" vbProcedure="false">{"'Title Transfer Units6,7,&amp;8'!$A$1:$B$4","'Title Transfer Units6,7,&amp;8'!$C$6"}</definedName>
    <definedName function="false" hidden="true" name="asdf1" vbProcedure="false">#REF!</definedName>
    <definedName function="false" hidden="true" name="asdf23r23r"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sdfa" vbProcedure="false">{#N/A,#N/A,FALSE,"10yr Plan Inputs";#N/A,#N/A,FALSE,"10yr Plan Results";#N/A,#N/A,FALSE,"JV Cost Splits";#N/A,#N/A,FALSE,"JV Variable Costs";#N/A,#N/A,FALSE,"JV Fixed Costs";#N/A,#N/A,FALSE,"Dow Alt Cost 98";#N/A,#N/A,FALSE,"Case Summary"}</definedName>
    <definedName function="false" hidden="true" name="asdfadf" vbProcedure="false">#REF!</definedName>
    <definedName function="false" hidden="true" name="asdfadfsdaf2" vbProcedure="false">{#N/A,#N/A,FALSE,"Index";#N/A,#N/A,FALSE,"1.1";#N/A,#N/A,FALSE,"Scenario Summary"}</definedName>
    <definedName function="false" hidden="true" name="asdfadg"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asdfads" vbProcedure="false">{#N/A,#N/A,FALSE,"Inputs";#N/A,#N/A,FALSE,"10yr Plan";#N/A,#N/A,FALSE,"JV_Costs";#N/A,#N/A,FALSE,"Case Summary";#N/A,#N/A,FALSE,"Prdn";#N/A,#N/A,FALSE,"Variable"}</definedName>
    <definedName function="false" hidden="true" name="asdfadsf" vbProcedure="false">{"'Sheet1'!$A$1:$J$121"}</definedName>
    <definedName function="false" hidden="true" name="asdfadsfa" vbProcedure="false">{"'Title Transfer Units6,7,&amp;8'!$A$1:$B$4","'Title Transfer Units6,7,&amp;8'!$C$6"}</definedName>
    <definedName function="false" hidden="true" name="asdfadsfgr45"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sdfalkjadf" vbProcedure="false">{"'Title Transfer Units6,7,&amp;8'!$A$1:$B$4","'Title Transfer Units6,7,&amp;8'!$C$6"}</definedName>
    <definedName function="false" hidden="true" name="asdfasd" vbProcedure="false">"c1376"</definedName>
    <definedName function="false" hidden="true" name="asdfasd645tw54"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sdfasdf" vbProcedure="false">{#N/A,#N/A,FALSE,"CBE";#N/A,#N/A,FALSE,"SWK"}</definedName>
    <definedName function="false" hidden="true" name="asdfasdfasd" vbProcedure="false">{"ReportTop",#N/A,FALSE,"report top"}</definedName>
    <definedName function="false" hidden="true" name="asdfasdfasdf" vbProcedure="false">{"comp1",#N/A,FALSE,"COMPS";"footnotes",#N/A,FALSE,"COMPS"}</definedName>
    <definedName function="false" hidden="true" name="asdfasdfsad" vbProcedure="false">{#N/A,#N/A,FALSE,"output";#N/A,#N/A,FALSE,"contrib";#N/A,#N/A,FALSE,"profile";#N/A,#N/A,FALSE,"comps"}</definedName>
    <definedName function="false" hidden="true" name="asdfasdre"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name="asdfasf" vbProcedure="false">38939.6653819444</definedName>
    <definedName function="false" hidden="true" name="asdfdd" vbProcedure="false">{"mgmt forecast",#N/A,FALSE,"Mgmt Forecast";"dcf table",#N/A,FALSE,"Mgmt Forecast";"sensitivity",#N/A,FALSE,"Mgmt Forecast";"table inputs",#N/A,FALSE,"Mgmt Forecast";"calculations",#N/A,FALSE,"Mgmt Forecast"}</definedName>
    <definedName function="false" hidden="true" name="asdfdfddfsf"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asdfg" vbProcedure="false">{#N/A,#N/A,FALSE,"Pharm";#N/A,#N/A,FALSE,"WWCM"}</definedName>
    <definedName function="false" hidden="true" name="asdfgh" vbProcedure="false">{#N/A,#N/A,FALSE,"Staffnos &amp; cost"}</definedName>
    <definedName function="false" hidden="true" name="ASDFGHJKK" vbProcedure="false">{"Fiesta Facer Page",#N/A,FALSE,"Q_C_S";"Fiesta Main Page",#N/A,FALSE,"V_L";"Fiesta 95BP Struct",#N/A,FALSE,"StructBP";"Fiesta Post 95BP Struct",#N/A,FALSE,"AdjStructBP"}</definedName>
    <definedName function="false" hidden="true" name="asdfgkj" vbProcedure="false">{#N/A,#N/A,FALSE,"단축1";#N/A,#N/A,FALSE,"단축2";#N/A,#N/A,FALSE,"단축3";#N/A,#N/A,FALSE,"장축";#N/A,#N/A,FALSE,"4WD"}</definedName>
    <definedName function="false" hidden="true" name="asdfgsdfgsfdg54"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sdfqwef"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sdfreghrsgd" vbProcedure="false">{#N/A,#N/A,TRUE,"Historicals";#N/A,#N/A,TRUE,"Charts";#N/A,#N/A,TRUE,"Forecasts"}</definedName>
    <definedName function="false" hidden="true" name="asdfsa" vbProcedure="false">{#N/A,#N/A,FALSE,"Performance Flash Report"}</definedName>
    <definedName function="false" hidden="true" name="asdfsadf" vbProcedure="false">{#N/A,#N/A,FALSE,"Index";#N/A,#N/A,FALSE,"1.1";#N/A,#N/A,FALSE,"Scenario Summary"}</definedName>
    <definedName function="false" hidden="true" name="asdfsadfsdaf" vbProcedure="false">{#N/A,#N/A,FALSE,"Index";#N/A,#N/A,FALSE,"1.1";#N/A,#N/A,FALSE,"Scenario Summary"}</definedName>
    <definedName function="false" hidden="true" name="asdfsdafdsafdsaf" vbProcedure="false">{#N/A,#N/A,FALSE,"Index";#N/A,#N/A,FALSE,"1.1";#N/A,#N/A,FALSE,"Scenario Summary"}</definedName>
    <definedName function="false" hidden="true" name="asdfsdf" vbProcedure="false">{#N/A,#N/A,FALSE,"Table of Contents"}</definedName>
    <definedName function="false" hidden="true" name="asdfw" vbProcedure="false">{"indirect labor",#N/A,FALSE,"labor"}</definedName>
    <definedName function="false" hidden="true" name="asdfwe" vbProcedure="false">{#N/A,#N/A,TRUE,"Historicals";#N/A,#N/A,TRUE,"Charts";#N/A,#N/A,TRUE,"Forecasts"}</definedName>
    <definedName function="false" hidden="true" name="asdfwer" vbProcedure="false">{#N/A,#N/A,FALSE,"Layout Aktiva";#N/A,#N/A,FALSE,"Layout Passiva";#N/A,#N/A,FALSE,"Layout GuV";#N/A,#N/A,FALSE,"Layout Cash Flow";#N/A,#N/A,FALSE,"Mittelherkunft";#N/A,#N/A,FALSE,"Mittelverwendung";#N/A,#N/A,FALSE,"Finanzbedarfsrechnung"}</definedName>
    <definedName function="false" hidden="true" name="asdg5we5rg"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sdgafgew"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sdgahdfhth" vbProcedure="false">{#N/A,#N/A,FALSE,"REPORT"}</definedName>
    <definedName function="false" hidden="true" name="asdgasfkjdkjlf" vbProcedure="false">{"'Title Transfer Units6,7,&amp;8'!$A$1:$B$4","'Title Transfer Units6,7,&amp;8'!$C$6"}</definedName>
    <definedName function="false" hidden="true" name="asdgayery" vbProcedure="false">{#N/A,#N/A,FALSE,"Pharm";#N/A,#N/A,FALSE,"WWCM"}</definedName>
    <definedName function="false" hidden="true" name="asdgfdytyet" vbProcedure="false">{#N/A,#N/A,FALSE,"REPORT"}</definedName>
    <definedName function="false" hidden="true" name="asdgtryukuio" vbProcedure="false">{#N/A,#N/A,FALSE,"REPORT"}</definedName>
    <definedName function="false" hidden="true" name="asdjgkl" vbProcedure="false">{#N/A,#N/A,FALSE,"Pharm";#N/A,#N/A,FALSE,"WWCM"}</definedName>
    <definedName function="false" hidden="true" name="asdrae" vbProcedure="false">#REF!</definedName>
    <definedName function="false" hidden="true" name="asds" vbProcedure="false">{#N/A,#N/A,FALSE,"Umsatz CH";#N/A,#N/A,FALSE,"ER CH";#N/A,#N/A,FALSE,"EA CH (2) ";#N/A,#N/A,FALSE,"EA CH";#N/A,#N/A,FALSE,"EA CH (3) ";#N/A,#N/A,FALSE,"EA CH (4)";#N/A,#N/A,FALSE,"KA CH";#N/A,#N/A,FALSE,"KA CH  (2)";#N/A,#N/A,FALSE,"KA CH  (3)";#N/A,#N/A,FALSE,"KA CH (4)"}</definedName>
    <definedName function="false" hidden="true" name="asdsa" vbProcedure="false">{"FY97Tot nvs",#N/A,FALSE,"FY97 - Total";"FY98Tot nvs",#N/A,FALSE,"FY98 - Total"}</definedName>
    <definedName function="false" hidden="true" name="asdsad" vbProcedure="false">{"consolidated",#N/A,FALSE,"Sheet1";"cms",#N/A,FALSE,"Sheet1";"fse",#N/A,FALSE,"Sheet1"}</definedName>
    <definedName function="false" hidden="true" name="asdse" vbProcedure="false">{#N/A,#N/A,FALSE,"Model";#N/A,#N/A,FALSE,"Division"}</definedName>
    <definedName function="false" hidden="true" name="asdtf" vbProcedure="false">{"'Standalone List Price Trends'!$A$1:$X$56"}</definedName>
    <definedName function="false" hidden="true" name="ase" vbProcedure="false">{"Tages_D",#N/A,FALSE,"Tagesbericht";"Tages_PL",#N/A,FALSE,"Tagesbericht"}</definedName>
    <definedName function="false" hidden="true" name="ased" vbProcedure="false">{"Tages_D",#N/A,FALSE,"Tagesbericht";"Tages_PL",#N/A,FALSE,"Tagesbericht"}</definedName>
    <definedName function="false" hidden="true" name="asedfdf" vbProcedure="false">{"apci",#N/A,FALSE,"Chem_CY";"eastman",#N/A,FALSE,"Eastman";"betz",#N/A,FALSE,"Betz";"great lakes",#N/A,FALSE,"Great_Lakes";"hercules",#N/A,FALSE,"Hercules Chem Seg Data";"rohm",#N/A,FALSE,"Rohm";"union carbide",#N/A,FALSE,"Union";"witco",#N/A,FALSE,"Witco"}</definedName>
    <definedName function="false" hidden="true" name="aser" vbProcedure="false">{"FY97Tot nvs",#N/A,FALSE,"FY97 - Total";"FY98Tot nvs",#N/A,FALSE,"FY98 - Total"}</definedName>
    <definedName function="false" hidden="true" name="asf"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sfadsf" vbProcedure="false">{"ONE",#N/A,FALSE,"96DDCOD";"TWO",#N/A,FALSE,"96DDCOD"}</definedName>
    <definedName function="false" hidden="true" name="asfasdf" vbProcedure="false">#REF!</definedName>
    <definedName function="false" hidden="true" name="ASFD" vbProcedure="false">{#N/A,#N/A,FALSE,"인원";#N/A,#N/A,FALSE,"비용2";#N/A,#N/A,FALSE,"비용1";#N/A,#N/A,FALSE,"비용";#N/A,#N/A,FALSE,"보증2";#N/A,#N/A,FALSE,"보증1";#N/A,#N/A,FALSE,"보증";#N/A,#N/A,FALSE,"손익1";#N/A,#N/A,FALSE,"손익";#N/A,#N/A,FALSE,"부서별매출";#N/A,#N/A,FALSE,"매출"}</definedName>
    <definedName function="false" hidden="true" name="asffghujyki" vbProcedure="false">{#N/A,#N/A,FALSE,"Pharm";#N/A,#N/A,FALSE,"WWCM"}</definedName>
    <definedName function="false" hidden="true" name="asfg" vbProcedure="false">{#N/A,#N/A,TRUE,"Cover sheet";#N/A,#N/A,TRUE,"Summary";#N/A,#N/A,TRUE,"Key Assumptions";#N/A,#N/A,TRUE,"Profit &amp; Loss";#N/A,#N/A,TRUE,"Balance Sheet";#N/A,#N/A,TRUE,"Cashflow";#N/A,#N/A,TRUE,"IRR";#N/A,#N/A,TRUE,"Ratios";#N/A,#N/A,TRUE,"Debt analysis"}</definedName>
    <definedName function="false" hidden="true" name="asgf" vbProcedure="false">{#N/A,#N/A,FALSE,"Sheet1"}</definedName>
    <definedName function="false" hidden="true" name="asgg"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asggdasgasdg" vbProcedure="false">{"'Standalone List Price Trends'!$A$1:$X$56"}</definedName>
    <definedName function="false" hidden="true" name="asghx" vbProcedure="false">{"DCF","UPSIDE CASE",FALSE,"Sheet1";"DCF","BASE CASE",FALSE,"Sheet1";"DCF","DOWNSIDE CASE",FALSE,"Sheet1"}</definedName>
    <definedName function="false" hidden="true" name="ash" vbProcedure="false">{#N/A,#N/A,TRUE,"Staffnos &amp; cost"}</definedName>
    <definedName function="false" hidden="true" name="asjdlksaj" vbProcedure="false">{"'Data'!$A$1:$D$17"}</definedName>
    <definedName function="false" hidden="true" name="askdjfhaskjf" vbProcedure="false">{#N/A,#N/A,FALSE,"Cover";#N/A,#N/A,FALSE,"Profits";#N/A,#N/A,FALSE,"ABS";#N/A,#N/A,FALSE,"TFLE Detail";#N/A,#N/A,FALSE,"TFLE Walk";#N/A,#N/A,FALSE,"Variable Cost";#N/A,#N/A,FALSE,"V.C. Walk"}</definedName>
    <definedName function="false" hidden="true" name="askjdb" vbProcedure="false">{"HEADCOUNT",#N/A,FALSE,"labor"}</definedName>
    <definedName function="false" hidden="true" name="asqq" vbProcedure="false">{"Performance Details",#N/A,FALSE,"Current Yr";"Performance Details",#N/A,FALSE,"Budget";"Performance Details",#N/A,FALSE,"Prior Year"}</definedName>
    <definedName function="false" hidden="true" name="ASR" vbProcedure="false">{"SUM GER",#N/A,FALSE,"SUM GER";"SUM FRA",#N/A,FALSE,"SUM FRA";"SUM ITA",#N/A,FALSE,"SUM ITA";"SUM SPA",#N/A,FALSE,"SUM SPA";"SUM EGB",#N/A,FALSE,"SUM EGB";"SUM IND",#N/A,FALSE,"SUM IND"}</definedName>
    <definedName function="false" hidden="true" name="ass" vbProcedure="false">{#N/A,#N/A,FALSE,"Balance Sheet";#N/A,#N/A,FALSE,"Income Statement";#N/A,#N/A,FALSE,"Changes in Financial Position"}</definedName>
    <definedName function="false" hidden="true" name="ASSA" vbProcedure="false">{#N/A,#N/A,FALSE,"1";#N/A,#N/A,FALSE,"2";#N/A,#N/A,FALSE,"16 - 17";#N/A,#N/A,FALSE,"18 - 19";#N/A,#N/A,FALSE,"26";#N/A,#N/A,FALSE,"27";#N/A,#N/A,FALSE,"28"}</definedName>
    <definedName function="false" hidden="true" name="assd" vbProcedure="false">{1;"Konsol_Eingabe";2;"Konsol_Ausgabe";"Yellow";"No value";TRUE}</definedName>
    <definedName function="false" hidden="true" name="Assets_Baxter_FooterType" vbProcedure="false">"INTERNAL"</definedName>
    <definedName function="false" hidden="true" name="Assets_Bieffe_FooterType" vbProcedure="false">"INTERNAL"</definedName>
    <definedName function="false" hidden="true" name="Assets_CVG_FooterType" vbProcedure="false">"INTERNAL"</definedName>
    <definedName function="false" hidden="true" name="ASSET_TURNS" vbProcedure="false">"ASSET_TURNS"</definedName>
    <definedName function="false" hidden="true" name="Assumptions_2" vbProcedure="false">{"'Form'!$A$2:$J$81"}</definedName>
    <definedName function="false" hidden="true" name="Assump_FooterType" vbProcedure="false">"INTERNAL"</definedName>
    <definedName function="false" hidden="true" name="ASSY" vbProcedure="false">{#N/A,#N/A,FALSE,"단축1";#N/A,#N/A,FALSE,"단축2";#N/A,#N/A,FALSE,"단축3";#N/A,#N/A,FALSE,"장축";#N/A,#N/A,FALSE,"4WD"}</definedName>
    <definedName function="false" hidden="true" name="aswe" vbProcedure="false">{"TXO2N2_GP",#N/A,FALSE,"MTHLYGP";"TXH2_GP",#N/A,FALSE,"MTHLYGP";"LOUIS_GP",#N/A,FALSE,"MTHLYGP";"H2_GP",#N/A,FALSE,"MTHLYGP";"O2N2_GP",#N/A,FALSE,"MTHLYGP";"PACKAGE_GP",#N/A,FALSE,"MTHLYGP";"OTHER_GP",#N/A,FALSE,"MTHLYGP"}</definedName>
    <definedName function="false" hidden="true" name="at"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ta" vbProcedure="false">#N/A</definedName>
    <definedName function="false" hidden="true" name="atahd"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ATES" vbProcedure="false">{"Y.1",#N/A,TRUE,"SIEMENS";"Y.2",#N/A,TRUE,"ALCATEL";"Y.3",#N/A,TRUE,"MOTOROLA";"Y.4",#N/A,TRUE,"DİĞER";"Y.5",#N/A,TRUE,"LG-5";"Y.6",#N/A,TRUE,"LG-5";"Y.7",#N/A,TRUE,"LG-4";"Y.8",#N/A,TRUE,"LG-4";"Y.10",#N/A,TRUE,"LG-4";"Y.9",#N/A,TRUE,"LG-4";"TERMİNAL",#N/A,TRUE,"TERMİNAL";"DETECON",#N/A,TRUE,"DETECON";"Y.10",#N/A,TRUE,"TEMİNAT";"Y.11",#N/A,TRUE,"TEMİNAT"}</definedName>
    <definedName function="false" hidden="true" name="atgwe" vbProcedure="false">{#N/A,#N/A,TRUE,"Cover sheet";#N/A,#N/A,TRUE,"Summary";#N/A,#N/A,TRUE,"Key Assumptions";#N/A,#N/A,TRUE,"Profit &amp; Loss";#N/A,#N/A,TRUE,"Balance Sheet";#N/A,#N/A,TRUE,"Cashflow";#N/A,#N/A,TRUE,"IRR";#N/A,#N/A,TRUE,"Ratios";#N/A,#N/A,TRUE,"Debt analysis"}</definedName>
    <definedName function="false" hidden="true" name="athsthae" vbProcedure="false">{#N/A,#N/A,FALSE,"INPUTS";#N/A,#N/A,FALSE,"PROFORMA BSHEET";#N/A,#N/A,FALSE,"COMBINED";#N/A,#N/A,FALSE,"HIGH YIELD";#N/A,#N/A,FALSE,"COMB_GRAPHS"}</definedName>
    <definedName function="false" hidden="true" name="atjwerja" vbProcedure="false">{#N/A,#N/A,FALSE,"Valuation Assumptions";#N/A,#N/A,FALSE,"Summary";#N/A,#N/A,FALSE,"DCF";#N/A,#N/A,FALSE,"Valuation";#N/A,#N/A,FALSE,"WACC";#N/A,#N/A,FALSE,"UBVH";#N/A,#N/A,FALSE,"Free Cash Flow"}</definedName>
    <definedName function="false" hidden="true" name="atnantea"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TSeXToEUR" vbProcedure="false">1/eurextoats</definedName>
    <definedName function="false" hidden="true" name="att" vbProcedure="false">{#N/A,#N/A,FALSE,"COVER PAGE";#N/A,#N/A,FALSE,"Page 2";#N/A,#N/A,FALSE,"Page 2";#N/A,#N/A,FALSE,"Page 4";#N/A,#N/A,FALSE,"Page5";#N/A,#N/A,FALSE,"Page 6";#N/A,#N/A,FALSE,"Page 7";#N/A,#N/A,FALSE,"Page 8";#N/A,#N/A,FALSE,"Page 10";#N/A,#N/A,FALSE,"Long-Term OCF Mult.";#N/A,#N/A,FALSE,"PCS Comp";#N/A,#N/A,FALSE,"OCS-CAPEX";#N/A,#N/A,FALSE,"Blank"}</definedName>
    <definedName function="false" hidden="true" name="Aug" vbProcedure="false">{#N/A,#N/A,FALSE,"Staffnos &amp; cost"}</definedName>
    <definedName function="false" hidden="true" name="AUSENT" vbProcedure="false">{"'Data'!$A$1:$D$17"}</definedName>
    <definedName function="false" hidden="true" name="AustinTest" vbProcedure="false">{#N/A,#N/A,FALSE,"Photos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function="false" hidden="true" name="AuswertungsBereichsName" vbProcedure="false">#REF!</definedName>
    <definedName function="false" hidden="true" name="AuszAnleihenKred" vbProcedure="false">#REF!</definedName>
    <definedName function="false" hidden="true" name="AuszAnleihenKredN" vbProcedure="false">#REF!</definedName>
    <definedName function="false" hidden="true" name="AuszAnleihenKred_" vbProcedure="false">#REF!</definedName>
    <definedName function="false" hidden="true" name="AuszBeschaeftigte" vbProcedure="false">#REF!</definedName>
    <definedName function="false" hidden="true" name="AuszBeschaeftigteN" vbProcedure="false">#REF!</definedName>
    <definedName function="false" hidden="true" name="AuszBeschaeftigte_" vbProcedure="false">#REF!</definedName>
    <definedName function="false" hidden="true" name="AuszFAVInvest" vbProcedure="false">#REF!</definedName>
    <definedName function="false" hidden="true" name="AuszFAVInvestN" vbProcedure="false">#REF!</definedName>
    <definedName function="false" hidden="true" name="AuszFAVInvest_" vbProcedure="false">#REF!</definedName>
    <definedName function="false" hidden="true" name="AuszImmatVerm" vbProcedure="false">#REF!</definedName>
    <definedName function="false" hidden="true" name="AuszImmatVermN" vbProcedure="false">#REF!</definedName>
    <definedName function="false" hidden="true" name="AuszImmatVerm_" vbProcedure="false">[1]DATENHALTUNG!$AK$48</definedName>
    <definedName function="false" hidden="true" name="AuszKfrFinDisp" vbProcedure="false">#REF!</definedName>
    <definedName function="false" hidden="true" name="AuszKfrFinDispN" vbProcedure="false">#REF!</definedName>
    <definedName function="false" hidden="true" name="AuszKfrFinDisp_" vbProcedure="false">#REF!</definedName>
    <definedName function="false" hidden="true" name="AuszLieferanten" vbProcedure="false">#REF!</definedName>
    <definedName function="false" hidden="true" name="AuszLieferantenN" vbProcedure="false">#REF!</definedName>
    <definedName function="false" hidden="true" name="AuszLieferanten_" vbProcedure="false">#REF!</definedName>
    <definedName function="false" hidden="true" name="AuszSAVInvest" vbProcedure="false">#REF!</definedName>
    <definedName function="false" hidden="true" name="AuszSAVInvestN" vbProcedure="false">#REF!</definedName>
    <definedName function="false" hidden="true" name="AuszSAVInvest_" vbProcedure="false">#REF!</definedName>
    <definedName function="false" hidden="true" name="AuszUnternEigner" vbProcedure="false">#REF!</definedName>
    <definedName function="false" hidden="true" name="AuszUnternEignerN" vbProcedure="false">#REF!</definedName>
    <definedName function="false" hidden="true" name="AuszUnternEigner_" vbProcedure="false">#REF!</definedName>
    <definedName function="false" hidden="true" name="Author" vbProcedure="false">"Kirill Lapin"</definedName>
    <definedName function="false" hidden="true" name="AUto1" vbProcedure="false">{#N/A,#N/A,FALSE,"Sheet1"}</definedName>
    <definedName function="false" hidden="true" name="automobile"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AVB" vbProcedure="false">main.sapf4help()</definedName>
    <definedName function="false" hidden="true" name="avdd" vbProcedure="false">{#N/A,#N/A,FALSE,"Calc";#N/A,#N/A,FALSE,"Sensitivity";#N/A,#N/A,FALSE,"LT Earn.Dil.";#N/A,#N/A,FALSE,"Dil. AVP"}</definedName>
    <definedName function="false" hidden="true" name="ave"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avegmultiple" vbProcedure="false">#REF!</definedName>
    <definedName function="false" hidden="true" name="AVIR" vbProcedure="false">{#N/A,#N/A,FALSE,"Staffnos &amp; cost"}</definedName>
    <definedName function="false" hidden="true" name="aw"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AWE" vbProcedure="false">{#N/A,#N/A,FALSE,"초도품";#N/A,#N/A,FALSE,"초도품 (2)";#N/A,#N/A,FALSE,"초도품 (3)";#N/A,#N/A,FALSE,"초도품 (4)";#N/A,#N/A,FALSE,"초도품 (5)";#N/A,#N/A,FALSE,"초도품 (6)"}</definedName>
    <definedName function="false" hidden="true" name="aweraer" vbProcedure="false">{#N/A,#N/A,FALSE,"5yr.hist."}</definedName>
    <definedName function="false" hidden="true" name="awerfawer" vbProcedure="false">{"direct labor",#N/A,FALSE,"labor";"direct labor1",#N/A,FALSE,"labor"}</definedName>
    <definedName function="false" hidden="true" name="aweroiu" vbProcedure="false">{"'SIVA Pricing Model'!$A$1:$F$39"}</definedName>
    <definedName function="false" hidden="true" name="awert" vbProcedure="false">{#N/A,#N/A,FALSE,"ORIX CSC"}</definedName>
    <definedName function="false" hidden="true" name="awerwer" vbProcedure="false">{"HEADCOUNT",#N/A,FALSE,"labor"}</definedName>
    <definedName function="false" hidden="true" name="awq" vbProcedure="false">{"YTD",#N/A,FALSE,"SUM"}</definedName>
    <definedName function="false" hidden="true" name="awqe" vbProcedure="false">{"net assets",#N/A,FALSE,"summary";"asset turnover",#N/A,FALSE,"summary";"orona",#N/A,FALSE,"summary"}</definedName>
    <definedName function="false" hidden="true" name="awqx" vbProcedure="false">{"Comp_of_Price_Effect",#N/A,FALSE,"QTRDPVAR"}</definedName>
    <definedName function="false" hidden="true" name="awreport" vbProcedure="false">{"Summary",#N/A,FALSE,"Summary";"A&amp;A's",#N/A,FALSE,"Aids &amp; A's";"MajorWorks",#N/A,FALSE,"Major Works";"EstateImps",#N/A,FALSE,"Estate Imps";"CatC",#N/A,FALSE,"Cat C Voids";"CycProg",#N/A,FALSE,"Cyclical Prog inc MR"}</definedName>
    <definedName function="false" hidden="true" name="aws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aww" vbProcedure="false">{#N/A,#N/A,FALSE,"Title Page";#N/A,#N/A,FALSE,"Summary Sheet";#N/A,#N/A,FALSE,"Fiscal Year Income Statement";#N/A,#N/A,FALSE,"Valuation Summary";#N/A,#N/A,FALSE,"Comps with IVT";#N/A,#N/A,FALSE,"Comps without IVT"}</definedName>
    <definedName function="false" hidden="true" name="awww"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name="AX" vbProcedure="false">{#N/A,#N/A,FALSE,"Pharm";#N/A,#N/A,FALSE,"WWCM"}</definedName>
    <definedName function="false" hidden="true" name="axcdf" vbProcedure="false">{#N/A,#N/A,FALSE,"정공"}</definedName>
    <definedName function="false" hidden="true" name="AXD" vbProcedure="false">{#N/A,#N/A,FALSE,"초도품";#N/A,#N/A,FALSE,"초도품 (2)";#N/A,#N/A,FALSE,"초도품 (3)";#N/A,#N/A,FALSE,"초도품 (4)";#N/A,#N/A,FALSE,"초도품 (5)";#N/A,#N/A,FALSE,"초도품 (6)"}</definedName>
    <definedName function="false" hidden="true" name="axs" vbProcedure="false">{"QTD",#N/A,FALSE,"SUM"}</definedName>
    <definedName function="false" hidden="true" name="axz" vbProcedure="false">{#N/A,"PURCHM",FALSE,"Business Analysis";#N/A,"SPADD",FALSE,"Business Analysis"}</definedName>
    <definedName function="false" hidden="true" name="ayman" vbProcedure="false">{#N/A,#N/A,FALSE,"1";#N/A,#N/A,FALSE,"2";#N/A,#N/A,FALSE,"16 - 17";#N/A,#N/A,FALSE,"18 - 19";#N/A,#N/A,FALSE,"26";#N/A,#N/A,FALSE,"27";#N/A,#N/A,FALSE,"28"}</definedName>
    <definedName function="false" hidden="true" name="ayman1" vbProcedure="false">{#N/A,#N/A,FALSE,"Pharm";#N/A,#N/A,FALSE,"WWCM"}</definedName>
    <definedName function="false" hidden="true" name="ayman2" vbProcedure="false">{#N/A,#N/A,FALSE,"Pharm";#N/A,#N/A,FALSE,"WWCM"}</definedName>
    <definedName function="false" hidden="true" name="ayman7" vbProcedure="false">{#N/A,#N/A,FALSE,"REPORT"}</definedName>
    <definedName function="false" hidden="true" name="ayman8" vbProcedure="false">{#N/A,#N/A,FALSE,"REPORT"}</definedName>
    <definedName function="false" hidden="true" name="az" vbProcedure="false">{#N/A,#N/A,FALSE,"Pharm";#N/A,#N/A,FALSE,"WWCM"}</definedName>
    <definedName function="false" hidden="true" name="azeazr" vbProcedure="false">{#N/A,#N/A,FALSE,"Sales Graph";#N/A,#N/A,FALSE,"BUC Graph";#N/A,#N/A,FALSE,"P&amp;L - YTD"}</definedName>
    <definedName function="false" hidden="true" name="azerety" vbProcedure="false">{#N/A,#N/A,FALSE,"Pharm";#N/A,#N/A,FALSE,"WWCM"}</definedName>
    <definedName function="false" hidden="true" name="azrzar"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A\" vbProcedure="false">#REF!</definedName>
    <definedName function="false" hidden="true" name="a_nm" vbProcedure="false">{"'Data'!$A$1:$D$17"}</definedName>
    <definedName function="false" hidden="true" name="añ" vbProcedure="false">{"Performance Details",#N/A,FALSE,"Current Yr";"Performance Details",#N/A,FALSE,"Budget";"Performance Details",#N/A,FALSE,"Prior Year"}</definedName>
    <definedName function="false" hidden="true" name="b" vbProcedure="false">{#N/A,#N/A,FALSE,"Layout Aktiva";#N/A,#N/A,FALSE,"Layout Passiva"}</definedName>
    <definedName function="false" hidden="true" name="B1.1" vbProcedure="false">#REF!</definedName>
    <definedName function="false" hidden="true" name="ba" vbProcedure="false">{"IS",#N/A,FALSE,"IS";"RPTIS",#N/A,FALSE,"RPTIS";"STATS",#N/A,FALSE,"STATS";"CELL",#N/A,FALSE,"CELL";"BS",#N/A,FALSE,"BS"}</definedName>
    <definedName function="false" hidden="true" name="baba" vbProcedure="false">{"A_Vorstand",#N/A,TRUE,"PK Szenario ";"B_Nord",#N/A,TRUE,"PK Szenario ";"C_Nordwest",#N/A,TRUE,"PK Szenario ";"D_West",#N/A,TRUE,"PK Szenario ";"E_Südwest",#N/A,TRUE,"PK Szenario ";"F_Süd",#N/A,TRUE,"PK Szenario ";"G_Ost",#N/A,TRUE,"PK Szenario ";"H_Gesamt",#N/A,TRUE,"PK Szenario "}</definedName>
    <definedName function="false" hidden="true" name="bacd1101bd" vbProcedure="false">{#N/A,"PURCHM",FALSE,"Business Analysis";#N/A,"SPADD",FALSE,"Business Analysis"}</definedName>
    <definedName function="false" hidden="true" name="bacd31" vbProcedure="false">{#N/A,"PURCHM",FALSE,"Business Analysis";#N/A,"SPADD",FALSE,"Business Analysis"}</definedName>
    <definedName function="false" hidden="true" name="bacd31bd" vbProcedure="false">{#N/A,"PURCHM",FALSE,"Business Analysis";#N/A,"SPADD",FALSE,"Business Analysis"}</definedName>
    <definedName function="false" hidden="true" name="back" vbProcedure="false">{"fdb1_Rapport_Report",#N/A,FALSE,"Report"}</definedName>
    <definedName function="false" hidden="true" name="back2" vbProcedure="false">{"fdb2_print",#N/A,FALSE,"Report"}</definedName>
    <definedName function="false" hidden="true" name="backup2_yo" vbProcedure="false">{"fdb2_print",#N/A,FALSE,"Report"}</definedName>
    <definedName function="false" hidden="true" name="backup_yo" vbProcedure="false">{"fdb1_Rapport_Report",#N/A,FALSE,"Report"}</definedName>
    <definedName function="false" hidden="true" name="Bank" vbProcedure="false">{TRUE,TRUE,-1.25,-15.5,456.75,279.75,FALSE,FALSE,TRUE,TRUE,0,1,21,1,127,6,3,4,TRUE,TRUE,3,TRUE,1,TRUE,100,"Swvu.profits.","ACwvu.profits.",1,FALSE,FALSE,0.511811023622047,0.511811023622047,0.511811023622047,0.511811023622047,1,"","",FALSE,FALSE,FALSE,FALSE,1,#N/A,1,1,#DIV/0!,FALSE,"Rwvu.profits.",#N/A,FALSE,FALSE}</definedName>
    <definedName function="false" hidden="true" name="bank1" vbProcedure="false">{TRUE,TRUE,-1.25,-15.5,456.75,279.75,FALSE,FALSE,TRUE,TRUE,0,1,21,1,127,6,3,4,TRUE,TRUE,3,TRUE,1,TRUE,100,"Swvu.profits.","ACwvu.profits.",1,FALSE,FALSE,0.511811023622047,0.511811023622047,0.511811023622047,0.511811023622047,1,"","",FALSE,FALSE,FALSE,FALSE,1,#N/A,1,1,#DIV/0!,FALSE,"Rwvu.profits.",#N/A,FALSE,FALSE}</definedName>
    <definedName function="false" hidden="true" name="BASIC_EPS_EXCL" vbProcedure="false">"BASIC_EPS_EXCL"</definedName>
    <definedName function="false" hidden="true" name="BASIC_EPS_INCL" vbProcedure="false">"BASIC_EPS_INCL"</definedName>
    <definedName function="false" hidden="true" name="BASIC_NORMAL_EPS" vbProcedure="false">"BASIC_NORMAL_EPS"</definedName>
    <definedName function="false" hidden="true" name="BASIC_WEIGHT" vbProcedure="false">"BASIC_WEIGHT"</definedName>
    <definedName function="false" hidden="true" name="bb" vbProcedure="false">{#N/A,#N/A,TRUE,"Cont_Stell";#N/A,#N/A,TRUE,"BTG";#N/A,#N/A,TRUE,"SH";#N/A,#N/A,TRUE,"GUV";#N/A,#N/A,TRUE,"Bilanz";#N/A,#N/A,TRUE,"WC";#N/A,#N/A,TRUE,"Beweg_bil";#N/A,#N/A,TRUE,"Kap_fluß";#N/A,#N/A,TRUE,"KENNZ";#N/A,#N/A,TRUE,"ANALYSE"}</definedName>
    <definedName function="false" hidden="true" name="bb.gb._98" vbProcedure="false">{#N/A,#N/A,FALSE,"Umsatz 99";#N/A,#N/A,FALSE,"ER 99 "}</definedName>
    <definedName function="false" hidden="true" name="bb.gb._99" vbProcedure="false">{#N/A,#N/A,FALSE,"Umsatz 99";#N/A,#N/A,FALSE,"ER 99 "}</definedName>
    <definedName function="false" hidden="true" name="bbb" vbProcedure="false">{#N/A,#N/A,FALSE,"Pharm";#N/A,#N/A,FALSE,"WWCM"}</definedName>
    <definedName function="false" hidden="true" name="bbbb" vbProcedure="false">{#N/A,#N/A,FALSE,"REPORT"}</definedName>
    <definedName function="false" hidden="true" name="bbbbb" vbProcedure="false">{"consolidated",#N/A,FALSE,"Sheet1";"cms",#N/A,FALSE,"Sheet1";"fse",#N/A,FALSE,"Sheet1"}</definedName>
    <definedName function="false" hidden="true" name="BBBBBB" vbProcedure="false">{#N/A,#N/A,FALSE,"REPORT"}</definedName>
    <definedName function="false" hidden="true" name="bbbbbbb" vbProcedure="false">{"detail",#N/A,FALSE,"mfg";"summary",#N/A,FALSE,"mfg"}</definedName>
    <definedName function="false" hidden="true" name="bbbbbbbb" vbProcedure="false">{"cap_structure",#N/A,FALSE,"Graph-Mkt Cap";"price",#N/A,FALSE,"Graph-Price";"ebit",#N/A,FALSE,"Graph-EBITDA";"ebitda",#N/A,FALSE,"Graph-EBITDA"}</definedName>
    <definedName function="false" hidden="true" name="BBBBBBBBB" vbProcedure="false">{#N/A,#N/A,FALSE,"REPORT"}</definedName>
    <definedName function="false" hidden="true" name="bbbbbbbbbb" vbProcedure="false">{"detail",#N/A,FALSE,"mfg";"summary",#N/A,FALSE,"mfg"}</definedName>
    <definedName function="false" hidden="true" name="bbbbbbbbbbbb" vbProcedure="false">{"'Data'!$A$1:$D$17"}</definedName>
    <definedName function="false" hidden="true" name="bbbbbbbbbbbbb" vbProcedure="false">{#N/A,#N/A,FALSE,"Pharm";#N/A,#N/A,FALSE,"WWCM"}</definedName>
    <definedName function="false" hidden="true" name="bbbbbbbbbbbbbb" vbProcedure="false">{"RES-2000",#N/A,FALSE,"BL2000";"A1-2000",#N/A,FALSE,"BL2000";"A2-2000",#N/A,FALSE,"BL2000"}</definedName>
    <definedName function="false" hidden="true" name="bbbbbbbbbbbbbbb" vbProcedure="false">{#N/A,#N/A,TRUE,"Cont_Stell";#N/A,#N/A,TRUE,"BTG";#N/A,#N/A,TRUE,"SH";#N/A,#N/A,TRUE,"GUV";#N/A,#N/A,TRUE,"Bilanz";#N/A,#N/A,TRUE,"WC";#N/A,#N/A,TRUE,"Beweg_bil";#N/A,#N/A,TRUE,"Kap_fluß";#N/A,#N/A,TRUE,"KENNZ";#N/A,#N/A,TRUE,"ANALYSE"}</definedName>
    <definedName function="false" hidden="true" name="bbbbbbbbbbbbbbbbbbbb" vbProcedure="false">{"detail",#N/A,FALSE,"mfg";"summary",#N/A,FALSE,"mfg"}</definedName>
    <definedName function="false" hidden="true" name="bbchart1" vbProcedure="false">#REF!</definedName>
    <definedName function="false" hidden="true" name="bbchart2" vbProcedure="false">#REF!</definedName>
    <definedName function="false" hidden="true" name="bbchart3" vbProcedure="false">#REF!</definedName>
    <definedName function="false" hidden="true" name="bbchart4" vbProcedure="false">#REF!</definedName>
    <definedName function="false" hidden="true" name="bbchart5" vbProcedure="false">#REF!</definedName>
    <definedName function="false" hidden="true" name="bbvcx" vbProcedure="false">{#N/A,#N/A,FALSE,"Umsatz HM";#N/A,#N/A,FALSE,"ER HM";#N/A,#N/A,FALSE,"EA HM  (2)";#N/A,#N/A,FALSE,"EA HM ";#N/A,#N/A,FALSE,"EA HM  (4)";#N/A,#N/A,FALSE,"EA HM  (3)";#N/A,#N/A,FALSE,"KA HM  (2)";#N/A,#N/A,FALSE,"KA HM";#N/A,#N/A,FALSE,"KA HM  (3)";#N/A,#N/A,FALSE,"KA HM (4)"}</definedName>
    <definedName function="false" hidden="true" name="bcahrt2" vbProcedure="false">#REF!</definedName>
    <definedName function="false" hidden="true" name="bcahrt4" vbProcedure="false">#REF!</definedName>
    <definedName function="false" hidden="true" name="bcdbdb" vbProcedure="false">{#N/A,#N/A,FALSE,"Layout Aktiva";#N/A,#N/A,FALSE,"Layout Passiva"}</definedName>
    <definedName function="false" hidden="true" name="bchart1" vbProcedure="false">#REF!</definedName>
    <definedName function="false" hidden="true" name="bchart5" vbProcedure="false">#REF!</definedName>
    <definedName function="false" hidden="true" name="bdfgbrt" vbProcedure="false">{#N/A,#N/A,TRUE,"Historicals";#N/A,#N/A,TRUE,"Charts";#N/A,#N/A,TRUE,"Forecasts"}</definedName>
    <definedName function="false" hidden="true" name="bdfstry" vbProcedure="false">{#N/A,#N/A,TRUE,"Historicals";#N/A,#N/A,TRUE,"Charts";#N/A,#N/A,TRUE,"Forecasts"}</definedName>
    <definedName function="false" hidden="true" name="Bear" vbProcedure="false">{#N/A,#N/A,FALSE,"TS";#N/A,#N/A,FALSE,"Combo";#N/A,#N/A,FALSE,"FAIR";#N/A,#N/A,FALSE,"RBC";#N/A,#N/A,FALSE,"xxxx";#N/A,#N/A,FALSE,"A_D";#N/A,#N/A,FALSE,"WACC";#N/A,#N/A,FALSE,"DCF";#N/A,#N/A,FALSE,"LBO";#N/A,#N/A,FALSE,"AcqMults";#N/A,#N/A,FALSE,"CompMults"}</definedName>
    <definedName function="false" hidden="true" name="bearr" vbProcedure="false">{#N/A,#N/A,FALSE,"TS";#N/A,#N/A,FALSE,"Combo";#N/A,#N/A,FALSE,"FAIR";#N/A,#N/A,FALSE,"RBC";#N/A,#N/A,FALSE,"xxxx";#N/A,#N/A,FALSE,"A_D";#N/A,#N/A,FALSE,"WACC";#N/A,#N/A,FALSE,"DCF";#N/A,#N/A,FALSE,"LBO";#N/A,#N/A,FALSE,"AcqMults";#N/A,#N/A,FALSE,"CompMults"}</definedName>
    <definedName function="false" hidden="true" name="BEFeXToEUR" vbProcedure="false">1/eurextobef</definedName>
    <definedName function="false" hidden="true" name="bein" vbProcedure="false">{"fleisch",#N/A,FALSE,"WG HK";"food",#N/A,FALSE,"WG HK";"hartwaren",#N/A,FALSE,"WG HK";"weichwaren",#N/A,FALSE,"WG HK"}</definedName>
    <definedName function="false" hidden="true" name="bel" vbProcedure="false">{"'Munka1'!$B$1:$G$101"}</definedName>
    <definedName function="false" hidden="true" name="Belgium" vbProcedure="false">{"'Sheet1'!$A$1:$O$22"}</definedName>
    <definedName function="false" hidden="true" name="bello" vbProcedure="false">{"FY98Q1",#N/A,FALSE,"FY98 - Q1";"FY98Q2",#N/A,FALSE,"FY98 - Q2";"FY98Q3",#N/A,FALSE,"FY98 - Q3";"FY98Q4",#N/A,FALSE,"FY98 - Q4"}</definedName>
    <definedName function="false" hidden="true" name="belnew" vbProcedure="false">{"IS",#N/A,FALSE,"IS";"RPTIS",#N/A,FALSE,"RPTIS";"STATS",#N/A,FALSE,"STATS";"CELL",#N/A,FALSE,"CELL";"BS",#N/A,FALSE,"BS"}</definedName>
    <definedName function="false" hidden="true" name="Benchmarking" vbProcedure="false">{"résultats_édition client",#N/A,FALSE,"Résultats"}</definedName>
    <definedName function="false" hidden="true" name="bene" vbProcedure="false">{"Tages_D",#N/A,FALSE,"Tagesbericht";"Tages_PL",#N/A,FALSE,"Tagesbericht"}</definedName>
    <definedName function="false" hidden="true" name="Benschmarking" vbProcedure="false">{"reg_edition client",#N/A,FALSE,"Regressions"}</definedName>
    <definedName function="false" hidden="true" name="Beratung" vbProcedure="false">#N/A</definedName>
    <definedName function="false" hidden="true" name="Bermudez" vbProcedure="false">{"'Data'!$A$1:$D$17"}</definedName>
    <definedName function="false" hidden="true" name="Bermudez1" vbProcedure="false">{"'Data'!$A$1:$D$17"}</definedName>
    <definedName function="false" hidden="true" name="Bestätigungsvermerk" vbProcedure="false">#REF!</definedName>
    <definedName function="false" hidden="true" name="BetrieblRohertrag" vbProcedure="false">#REF!</definedName>
    <definedName function="false" hidden="true" name="BetrieblRohertragK" vbProcedure="false">#REF!</definedName>
    <definedName function="false" hidden="true" name="BetrieblRohertragM" vbProcedure="false">#REF!</definedName>
    <definedName function="false" hidden="true" name="BetrieblRohertragN" vbProcedure="false">#REF!</definedName>
    <definedName function="false" hidden="true" name="BetrieblRohertrag_" vbProcedure="false">#REF!</definedName>
    <definedName function="false" hidden="true" name="Betriebsergebnis" vbProcedure="false">#REF!</definedName>
    <definedName function="false" hidden="true" name="BetriebsergebnisK" vbProcedure="false">#REF!</definedName>
    <definedName function="false" hidden="true" name="BetriebsergebnisM" vbProcedure="false">#REF!</definedName>
    <definedName function="false" hidden="true" name="BetriebsergebnisN" vbProcedure="false">#REF!</definedName>
    <definedName function="false" hidden="true" name="Betriebsergebnis_" vbProcedure="false">#REF!</definedName>
    <definedName function="false" hidden="true" name="BEx1IDQ7M0421D4DN8VXRBK4JZT0" vbProcedure="false">#REF!</definedName>
    <definedName function="false" hidden="true" name="BEx1ITM1S86N1IN1OTGCXNKU3P73" vbProcedure="false">#REF!</definedName>
    <definedName function="false" hidden="true" name="BEx1IWB0ZHM6S0OUL4XLX6A70SRR" vbProcedure="false">#REF!</definedName>
    <definedName function="false" hidden="true" name="BEx1K59IF7UUJL5EZY6MNI7UXEBI" vbProcedure="false">#REF!</definedName>
    <definedName function="false" hidden="true" name="BEx1LJB752WZ5G42I1EKC1FS8189" vbProcedure="false">#REF!</definedName>
    <definedName function="false" hidden="true" name="BEx1LTT04O07ZCH09JL1KABT04JX" vbProcedure="false">#REF!</definedName>
    <definedName function="false" hidden="true" name="BEx1MMVF7W3RT5QXO7JJDFGNO0OP" vbProcedure="false">#REF!</definedName>
    <definedName function="false" hidden="true" name="BEx1NSZ9ZUUC5A862WFTOO3ZG8YK" vbProcedure="false">#REF!</definedName>
    <definedName function="false" hidden="true" name="BEx1P1MWNI4KG7ZK4XYU4AASHD0C" vbProcedure="false">#REF!</definedName>
    <definedName function="false" hidden="true" name="BEx1R25WATEVTJPPGLNDJM3HSGQL" vbProcedure="false">#REF!</definedName>
    <definedName function="false" hidden="true" name="BEx1SK9BMZYHF5JNWZSOKT8KIY2M" vbProcedure="false">#REF!</definedName>
    <definedName function="false" hidden="true" name="BEx1V5RJT1TBRY0VQLFT9KK7LH3Q" vbProcedure="false">#REF!</definedName>
    <definedName function="false" hidden="true" name="BEx1XDXNEEUSVRNNP5QZ64V9HVUF" vbProcedure="false">#REF!</definedName>
    <definedName function="false" hidden="true" name="BEx3CBQFM9GXQBG4UTMCZJ6VQAVP" vbProcedure="false">#REF!</definedName>
    <definedName function="false" hidden="true" name="BEx3GUX699VHM6MM4L34NEZM1KJ3" vbProcedure="false">#REF!</definedName>
    <definedName function="false" hidden="true" name="BEx3IMGE82LOSS38Q59NDPTQFTEQ" vbProcedure="false">#REF!</definedName>
    <definedName function="false" hidden="true" name="BEx3J2HJ5GKLVMW9O8KEV2L525EL" vbProcedure="false">#REF!</definedName>
    <definedName function="false" hidden="true" name="BEx3NYEXBV5OBCVLSUJLP3Q1FUA0" vbProcedure="false">#REF!</definedName>
    <definedName function="false" hidden="true" name="BEx3PG7KZRR7XXSCVGK5732TALJT" vbProcedure="false">#REF!</definedName>
    <definedName function="false" hidden="true" name="BEx3QKD8TKSD4J0CFVWZUBXS4AWP" vbProcedure="false">#REF!</definedName>
    <definedName function="false" hidden="true" name="BEx3QZ1XNJ49Y6HF2VKVTJQJUUH5" vbProcedure="false">#REF!</definedName>
    <definedName function="false" hidden="true" name="BEx3R0JV9EY14TSESSS8P16DKLTZ" vbProcedure="false">#REF!</definedName>
    <definedName function="false" hidden="true" name="BEx3SM8T9CVWG8MQLEQSUVK1IFNK" vbProcedure="false">#REF!</definedName>
    <definedName function="false" hidden="true" name="BEx3U5U6L2VXOTBE92W8590Z0903" vbProcedure="false">#REF!</definedName>
    <definedName function="false" hidden="true" name="BEx3UOF5GM7S550VBT4DHFCIXFRZ" vbProcedure="false">#REF!</definedName>
    <definedName function="false" hidden="true" name="BEx58TLFGI04CBYALB4LG55S2MZI" vbProcedure="false">#REF!</definedName>
    <definedName function="false" hidden="true" name="BEx5B824UTHKGB3IB0OS84KQANSU" vbProcedure="false">#REF!</definedName>
    <definedName function="false" hidden="true" name="BEx5BMQV645QZREIU2NYIGJ2NZBR" vbProcedure="false">#REF!</definedName>
    <definedName function="false" hidden="true" name="BEx5BQHRV2SX9JY7SS46FLI1T6TZ" vbProcedure="false">#REF!</definedName>
    <definedName function="false" hidden="true" name="BEx5E1ID5ZV1T2GZMQYD2L2L2E22" vbProcedure="false">#REF!</definedName>
    <definedName function="false" hidden="true" name="BEx5K0E303B4KW00O6TLGH37SYJD" vbProcedure="false">#REF!</definedName>
    <definedName function="false" hidden="true" name="BEx5NXPAUOC902M08UL3UCIF9J97" vbProcedure="false">#REF!</definedName>
    <definedName function="false" hidden="true" name="BEx5PMJGMEZRQ5UBWCI1GXYS3KTQ" vbProcedure="false">#REF!</definedName>
    <definedName function="false" hidden="true" name="BEx749P2TDAUJNURPB5VI2WC1VC0" vbProcedure="false">#REF!</definedName>
    <definedName function="false" hidden="true" name="BEx77L4OQEB8LMJP5DKVSWANV31T" vbProcedure="false">#REF!</definedName>
    <definedName function="false" hidden="true" name="BEx7ADJ0E7R8TLF1AI19JZWDHEDK" vbProcedure="false">#REF!</definedName>
    <definedName function="false" hidden="true" name="BEx7AO5ZNEJFCC46DPGUFV69YUJU" vbProcedure="false">#REF!</definedName>
    <definedName function="false" hidden="true" name="BEx7BDCA4QX9GQS3EXFP9OBD2ULD" vbProcedure="false">#REF!</definedName>
    <definedName function="false" hidden="true" name="BEx7DK5TME6QD8VHX3VRZX5QDJ49" vbProcedure="false">#REF!</definedName>
    <definedName function="false" hidden="true" name="BEx7HUSYKZQI0ORPY2I28ML7XE03" vbProcedure="false">#REF!</definedName>
    <definedName function="false" hidden="true" name="BEx7IPTRQ19OVA9COQKE4N8LA5OV" vbProcedure="false">#REF!</definedName>
    <definedName function="false" hidden="true" name="BEx7KAMBGUZMW9ATOBUGUHXELRJF" vbProcedure="false">#REF!</definedName>
    <definedName function="false" hidden="true" name="BEx7L21IEPV662LIEEFDM4GF7TKW" vbProcedure="false">#REF!</definedName>
    <definedName function="false" hidden="true" name="BEx7L451MNVZ7KNOEDQ62PEUWG8Z" vbProcedure="false">#REF!</definedName>
    <definedName function="false" hidden="true" name="BEx7LI2OJMUAISL0A35CF9EDZVQ9" vbProcedure="false">#REF!</definedName>
    <definedName function="false" hidden="true" name="BEx7MI1GMHKLZ71AIB48OMA0PLAE" vbProcedure="false">#REF!</definedName>
    <definedName function="false" hidden="true" name="BEx7MZPZWWD041H30X762NXR6Y0X" vbProcedure="false">#REF!</definedName>
    <definedName function="false" hidden="true" name="BEx92YJ11LS4F22DKCAWD8SN16W3" vbProcedure="false">#REF!</definedName>
    <definedName function="false" hidden="true" name="BEx959EFHDGCJNANDK7BC6L0MPSP" vbProcedure="false">#REF!</definedName>
    <definedName function="false" hidden="true" name="BEx95BHTHXPLPF1J0VNB1UB4SJB7" vbProcedure="false">#REF!</definedName>
    <definedName function="false" hidden="true" name="BEx962BKRSB7VWO1I9611IG3HJL9" vbProcedure="false">#REF!</definedName>
    <definedName function="false" hidden="true" name="BEx97D2LAVHU8BI66YB5E0CCVA3V" vbProcedure="false">#REF!</definedName>
    <definedName function="false" hidden="true" name="BEx97ZZXW8RBVTX62K94E0KH8F8B" vbProcedure="false">#REF!</definedName>
    <definedName function="false" hidden="true" name="BEx9GL512RQFDX1LOJTG2QMK1OVT" vbProcedure="false">#REF!</definedName>
    <definedName function="false" hidden="true" name="BEx9GZZ185PHP7N5T5MAHGGHCDKU" vbProcedure="false">#REF!</definedName>
    <definedName function="false" hidden="true" name="BEx9I814A2QZ12Y6MGOBRRU627KO" vbProcedure="false">#REF!</definedName>
    <definedName function="false" hidden="true" name="BEx9I8BXW4HE0T7XGRP6MQTTE4Q7" vbProcedure="false">#REF!</definedName>
    <definedName function="false" hidden="true" name="BEx9IM9KUL7LYM3VOPB9PF1GFLW5" vbProcedure="false">#REF!</definedName>
    <definedName function="false" hidden="true" name="BExAX6Q2VN84G1DWN3NED34DRUHJ" vbProcedure="false">#REF!</definedName>
    <definedName function="false" hidden="true" name="BExAXQT14FRI5ZZH0GQI77F0XZYN" vbProcedure="false">#REF!</definedName>
    <definedName function="false" hidden="true" name="BExAYUYTQ1SD8NBET1T97UWM9W4T" vbProcedure="false">#REF!</definedName>
    <definedName function="false" hidden="true" name="BExAZP33VG7O8VRRPLDTWYILV3J2" vbProcedure="false">#REF!</definedName>
    <definedName function="false" hidden="true" name="BExB0HENX8SR0PGFBHD5PMVEJ9EF" vbProcedure="false">#REF!</definedName>
    <definedName function="false" hidden="true" name="BExB1W7FMHU3GX93215QDY9HQXDE" vbProcedure="false">#REF!</definedName>
    <definedName function="false" hidden="true" name="BExB2XDBSLJG7UHQ8FKZ1SNEIWSH" vbProcedure="false">#REF!</definedName>
    <definedName function="false" hidden="true" name="BExB4GNXMG0F03BSH98AFDS8N4ZD" vbProcedure="false">#REF!</definedName>
    <definedName function="false" hidden="true" name="BExB87Z7EMMXDFMJOG8F6WSTVCZR" vbProcedure="false">#REF!</definedName>
    <definedName function="false" hidden="true" name="BExBB7VBQ30NOJQ6R3BD21BB3H5W" vbProcedure="false">#REF!</definedName>
    <definedName function="false" hidden="true" name="BExBB9YVEGJF0J28ABUHI8V3A6UT" vbProcedure="false">#REF!</definedName>
    <definedName function="false" hidden="true" name="BExBBGV0A5JO6H643JURO343PSOK" vbProcedure="false">#REF!</definedName>
    <definedName function="false" hidden="true" name="BExCU767J1MMS6P4R606V0VP7YOX" vbProcedure="false">#REF!</definedName>
    <definedName function="false" hidden="true" name="BExCWGOU935MT45X4BVGTGDKJG8R" vbProcedure="false">#REF!</definedName>
    <definedName function="false" hidden="true" name="BExD29VOLBIF669L1YK3G2UVXXQW" vbProcedure="false">#REF!</definedName>
    <definedName function="false" hidden="true" name="BExD2TYLCCBCE4EDZXGNEZM5QSQH" vbProcedure="false">#REF!</definedName>
    <definedName function="false" hidden="true" name="BExD7AG7KPJG7DDCEBEIRH81IVF8" vbProcedure="false">#REF!</definedName>
    <definedName function="false" hidden="true" name="BExDAIVPM6Y042YEELGF2X8J1WZS" vbProcedure="false">#REF!</definedName>
    <definedName function="false" hidden="true" name="BExDB640575VXEMAO4KG2XVOVL2A" vbProcedure="false">#REF!</definedName>
    <definedName function="false" hidden="true" name="BExEOQWKWC66X76ULCQLSWA7IJ5G" vbProcedure="false">#REF!</definedName>
    <definedName function="false" hidden="true" name="BExERN785USYT3L8QP563K7JZX0H" vbProcedure="false">#REF!</definedName>
    <definedName function="false" hidden="true" name="BExES5HCNLSYJ12S577PWUA856NC" vbProcedure="false">#REF!</definedName>
    <definedName function="false" hidden="true" name="BExEUV1BKGGP9Z9G66TL39X6QDI7" vbProcedure="false">#REF!</definedName>
    <definedName function="false" hidden="true" name="BExEWFDM69IBICX9EAEV3SPFS5Y7" vbProcedure="false">#REF!</definedName>
    <definedName function="false" hidden="true" name="BExEXMU3J4SF1LOC4QBWAS77UPQ2" vbProcedure="false">#REF!</definedName>
    <definedName function="false" hidden="true" name="BExEYYXSDUURMUHCIWA85TIUDEGH" vbProcedure="false">#REF!</definedName>
    <definedName function="false" hidden="true" name="BExF3N2FTV6VRL8ZJ30MX9IGNB7S" vbProcedure="false">#REF!</definedName>
    <definedName function="false" hidden="true" name="BExF5RXQNH59YI0ZEAQVXFI0TW8L" vbProcedure="false">#REF!</definedName>
    <definedName function="false" hidden="true" name="BExF8BNDR46CRQI8TCZS9UJ92VCE" vbProcedure="false">#REF!</definedName>
    <definedName function="false" hidden="true" name="BExF95X4OALM2P9QFRWZL8B4KMWT" vbProcedure="false">#REF!</definedName>
    <definedName function="false" hidden="true" name="BExF9EM29OWG8W0UAUZYNHSN6Q21" vbProcedure="false">#REF!</definedName>
    <definedName function="false" hidden="true" name="BExGKIJKL9J642289LV0OJJ1TILI" vbProcedure="false">#REF!</definedName>
    <definedName function="false" hidden="true" name="BExGLIT3CJRMEXWRS00UQJKI32BM" vbProcedure="false">#REF!</definedName>
    <definedName function="false" hidden="true" name="BExGM6HHXVXOGCSXWE4U1FIEVKND" vbProcedure="false">#REF!</definedName>
    <definedName function="false" hidden="true" name="BExGOZS8O1YXQ4OJW2B77SDB0CXD" vbProcedure="false">#REF!</definedName>
    <definedName function="false" hidden="true" name="BExGQKQ8Z6UCL3YH6145CH91N8L7" vbProcedure="false">#REF!</definedName>
    <definedName function="false" hidden="true" name="BExGQN9UOX9PBA01P2LJW0D75ZWX" vbProcedure="false">#REF!</definedName>
    <definedName function="false" hidden="true" name="BExGSQSQNHAKQX43KZ40QVJMC0OW" vbProcedure="false">#REF!</definedName>
    <definedName function="false" hidden="true" name="BExGV3GPRSH8ALZLWOSQ5GTSUADF" vbProcedure="false">#REF!</definedName>
    <definedName function="false" hidden="true" name="BExGVMSKMONN37R60ZU7NEEX6JBU" vbProcedure="false">#REF!</definedName>
    <definedName function="false" hidden="true" name="BExH2KQSV2F3ROJG9BWJCDDRKWGK" vbProcedure="false">#REF!</definedName>
    <definedName function="false" hidden="true" name="BExH2RSA7DMRCQNRHSWDVHW9NX3J" vbProcedure="false">#REF!</definedName>
    <definedName function="false" hidden="true" name="BExIIX6U8T313DEW3IXO3OJ0ZXHN" vbProcedure="false">#REF!</definedName>
    <definedName function="false" hidden="true" name="BExIKEU16FGFEKA9EM9T8LJ7ZA4C" vbProcedure="false">#REF!</definedName>
    <definedName function="false" hidden="true" name="BExIKVM92S3I94HPZRFHACRFNWOI" vbProcedure="false">#REF!</definedName>
    <definedName function="false" hidden="true" name="BExIMGESG5W36YYYYI2XA852ON3M" vbProcedure="false">#REF!</definedName>
    <definedName function="false" hidden="true" name="BExIOZYYUSRAPJ4CI6637X6NYY5R" vbProcedure="false">#REF!</definedName>
    <definedName function="false" hidden="true" name="BExIRGOJOXHXOIVAXQ3PZK4QFKLD" vbProcedure="false">#REF!</definedName>
    <definedName function="false" hidden="true" name="BExIRJZ8W6U7Z84N4Z61WEBKU77Q" vbProcedure="false">#REF!</definedName>
    <definedName function="false" hidden="true" name="BExIU6U2OD7JEWOBZEIKHKZ7YNWA" vbProcedure="false">#REF!</definedName>
    <definedName function="false" hidden="true" name="BExIX5DJRVFMD00ZY76LAAL5A82T" vbProcedure="false">#REF!</definedName>
    <definedName function="false" hidden="true" name="BExIXL9FA3SHL0EFTUUV1N9MJ9IL" vbProcedure="false">#REF!</definedName>
    <definedName function="false" hidden="true" name="BExIYCDRVVSW6XOZEYS64FDQK7DG" vbProcedure="false">#REF!</definedName>
    <definedName function="false" hidden="true" name="BExIYJFERQKKE8MUBIN6FOB6B51A" vbProcedure="false">#REF!</definedName>
    <definedName function="false" hidden="true" name="BExKGBKL9RFL9UXUXODJ2S3BUS2M" vbProcedure="false">#REF!</definedName>
    <definedName function="false" hidden="true" name="BExKKX05AJOQK8KSB3MY0TTO7R35" vbProcedure="false">#REF!</definedName>
    <definedName function="false" hidden="true" name="BExKP6LLTRTTIXCRAMB6TYZV6M20" vbProcedure="false">#REF!</definedName>
    <definedName function="false" hidden="true" name="BExKQ0PVJDU8WB35W0PVH0G27D9Q" vbProcedure="false">#REF!</definedName>
    <definedName function="false" hidden="true" name="BExKRIO093H91C8J6PYK2CRQ9Z78" vbProcedure="false">#REF!</definedName>
    <definedName function="false" hidden="true" name="BExKU7645H8FOT548TM16VOGWHJ8" vbProcedure="false">#REF!</definedName>
    <definedName function="false" hidden="true" name="BExKU7M8XMN7TAR95Y2AIHGTFDUT" vbProcedure="false">#REF!</definedName>
    <definedName function="false" hidden="true" name="BExKUN7A2I138KPXPQQMKXC0R1H1" vbProcedure="false">#REF!</definedName>
    <definedName function="false" hidden="true" name="BExMAIV4P2IJPE304VKSLEHS0J2D" vbProcedure="false">#REF!</definedName>
    <definedName function="false" hidden="true" name="BExMDFLZZ2FNY6GE74IZ7OO1KPTE" vbProcedure="false">#REF!</definedName>
    <definedName function="false" hidden="true" name="BExMF2I3NNMY6MB5RIZY0ZGPM94L" vbProcedure="false">#REF!</definedName>
    <definedName function="false" hidden="true" name="BExMHGIK3CUR8FB6NNEH5I94HC9Y" vbProcedure="false">#REF!</definedName>
    <definedName function="false" hidden="true" name="BExMHJYPZ6Z39C833AGPK3BP9W8T" vbProcedure="false">#REF!</definedName>
    <definedName function="false" hidden="true" name="BExMIETVRD00R889OKQQ0BFDQ0XV" vbProcedure="false">#REF!</definedName>
    <definedName function="false" hidden="true" name="BExMIJMJ6HE9F3FT1TQOM2PGPPAM" vbProcedure="false">#REF!</definedName>
    <definedName function="false" hidden="true" name="BExMJVKWJL1V3M0BO2UAK3GTEI4T" vbProcedure="false">#REF!</definedName>
    <definedName function="false" hidden="true" name="BExMK9D7BGN7AG0UZIQ966BK3IFE" vbProcedure="false">#REF!</definedName>
    <definedName function="false" hidden="true" name="BExML2L3ZHF8SPRJKKEJM6L0ARYA" vbProcedure="false">#REF!</definedName>
    <definedName function="false" hidden="true" name="BExMLWEMCZ9NW871Q2U94CN470YU" vbProcedure="false">#REF!</definedName>
    <definedName function="false" hidden="true" name="BExMLX06Q0PJ9OXXQATF8LDLLAE5" vbProcedure="false">#REF!</definedName>
    <definedName function="false" hidden="true" name="BExMP5AF8XKG63B5H99EA0KVQYLR" vbProcedure="false">#REF!</definedName>
    <definedName function="false" hidden="true" name="BExMPXRE43BI4DPNSP1SIPLGHGAQ" vbProcedure="false">#REF!</definedName>
    <definedName function="false" hidden="true" name="BExMRIEGLN75EV8GQSCCQJB08SYV" vbProcedure="false">#REF!</definedName>
    <definedName function="false" hidden="true" name="BExO5EQKFHHDQRTF781X1Z743LPV" vbProcedure="false">#REF!</definedName>
    <definedName function="false" hidden="true" name="BExO5RBOVVWJQJYJ6949QI1Z58BQ" vbProcedure="false">#REF!</definedName>
    <definedName function="false" hidden="true" name="BExOHFNNI1NFJVPVJ33U9A7JGFCJ" vbProcedure="false">#REF!</definedName>
    <definedName function="false" hidden="true" name="BExOMCRYBVN6OC3RGPXLZNMCZCXC" vbProcedure="false">#REF!</definedName>
    <definedName function="false" hidden="true" name="BExONOKUPIR8IOH1UAIP71BQYTLP" vbProcedure="false">#REF!</definedName>
    <definedName function="false" hidden="true" name="BExQ3CASVAPPF9ESQPA1ORK7L7KE" vbProcedure="false">#REF!</definedName>
    <definedName function="false" hidden="true" name="BExQ3SBZBISF6C8NNOKNT57LNIW5" vbProcedure="false">#REF!</definedName>
    <definedName function="false" hidden="true" name="BExQ41H5AMLT1OM3QIFPF08MTWNC" vbProcedure="false">#REF!</definedName>
    <definedName function="false" hidden="true" name="BExQ7ILKG84PSVGQQJDF0GPL9ISE" vbProcedure="false">#REF!</definedName>
    <definedName function="false" hidden="true" name="BExQ7IWDM245VCM5W6V8Q0T6BG8T" vbProcedure="false">#REF!</definedName>
    <definedName function="false" hidden="true" name="BExQ84XBNFEG0TZ0LCXRJ6IESUSQ" vbProcedure="false">#REF!</definedName>
    <definedName function="false" hidden="true" name="BExQ8PR5BB0H6C1MQNPCMCDFFFP7" vbProcedure="false">#REF!</definedName>
    <definedName function="false" hidden="true" name="BExQA1PICGJDW2S5MQYWT1Z7GO1A" vbProcedure="false">#REF!</definedName>
    <definedName function="false" hidden="true" name="BExQAL6SVVBNLAPD6GR61CLZOMUN" vbProcedure="false">#REF!</definedName>
    <definedName function="false" hidden="true" name="BExQB36679KBE8A52KOP82FG33KP" vbProcedure="false">#REF!</definedName>
    <definedName function="false" hidden="true" name="BExQDB6U9VBJDAKONQC4UZAY4Y6N" vbProcedure="false">#REF!</definedName>
    <definedName function="false" hidden="true" name="BExQEFHZKF2WPAVE3HIJR09H148G" vbProcedure="false">#REF!</definedName>
    <definedName function="false" hidden="true" name="BExS13F1ULV3PWNVSHQYP22NFA9Q" vbProcedure="false">#REF!</definedName>
    <definedName function="false" hidden="true" name="BExS38AI7RFDD6C80K9RZASV5W53" vbProcedure="false">#REF!</definedName>
    <definedName function="false" hidden="true" name="BExS564AUZ4DA33T6FWXSOYHE359" vbProcedure="false">#REF!</definedName>
    <definedName function="false" hidden="true" name="BExS5XOYCAFG2MQSZE3C6SN1D6UN" vbProcedure="false">#REF!</definedName>
    <definedName function="false" hidden="true" name="BExS5XZQMBVPEK541IVLQFYD6GW6" vbProcedure="false">#REF!</definedName>
    <definedName function="false" hidden="true" name="BExS621BO93B1QZ51EOBYA1ACKIP" vbProcedure="false">#REF!</definedName>
    <definedName function="false" hidden="true" name="BExSA9OQX4RLQLQ5V7DC0J6HD1B7" vbProcedure="false">#REF!</definedName>
    <definedName function="false" hidden="true" name="BExSAYPLADSLSTF3QHQYAZFCZC8X" vbProcedure="false">#REF!</definedName>
    <definedName function="false" hidden="true" name="BExSCTZS3DSTL6J8Y11DQNQYL3SZ" vbProcedure="false">#REF!</definedName>
    <definedName function="false" hidden="true" name="BExSFGEELYR8NVDQ6ZJPQ0APVFDX" vbProcedure="false">#REF!</definedName>
    <definedName function="false" hidden="true" name="BExSFP8LN5RTTUXVT2J6NKQUAI8L" vbProcedure="false">#REF!</definedName>
    <definedName function="false" hidden="true" name="BExTV6THKOJDWWQ0O69QBUG3LEQA" vbProcedure="false">#REF!</definedName>
    <definedName function="false" hidden="true" name="BExTZHWVY43ZG4P9JRO8E8A91BDB" vbProcedure="false">#REF!</definedName>
    <definedName function="false" hidden="true" name="BExU0S7RULNDHU8WSNSPM8JP9ZFR" vbProcedure="false">#REF!</definedName>
    <definedName function="false" hidden="true" name="BExU37Q81N19795CDCNWRI5GQHQZ" vbProcedure="false">#REF!</definedName>
    <definedName function="false" hidden="true" name="BExU3U1XUP6X26EU0FYOA66AUW8G" vbProcedure="false">#REF!</definedName>
    <definedName function="false" hidden="true" name="BExU4QKJHG1CHQSC6RM1SMC0B5IT" vbProcedure="false">#REF!</definedName>
    <definedName function="false" hidden="true" name="BExU7Q60549IDBMP1FBUR0LKIKK8" vbProcedure="false">#REF!</definedName>
    <definedName function="false" hidden="true" name="BExUEKYVD1J9DXYDPYV7JKGTU7VA" vbProcedure="false">#REF!</definedName>
    <definedName function="false" hidden="true" name="BExVYSRXH0R65LYU8C4FIS8HXMAS" vbProcedure="false">#REF!</definedName>
    <definedName function="false" hidden="true" name="BExW1DZ74B6NQ0OZX0RSUGHPJICB" vbProcedure="false">#REF!</definedName>
    <definedName function="false" hidden="true" name="BExW3GRATC3UVOX92NLXDCNQQKGC" vbProcedure="false">#REF!</definedName>
    <definedName function="false" hidden="true" name="BExW68EMLS8G29P0J5CFWTV6X36S" vbProcedure="false">#REF!</definedName>
    <definedName function="false" hidden="true" name="BExW6EJQH55323MKKZ0AELPY13ZR" vbProcedure="false">#REF!</definedName>
    <definedName function="false" hidden="true" name="BExW7BIMAOADT5901EFZIB40CZY4" vbProcedure="false">#REF!</definedName>
    <definedName function="false" hidden="true" name="BExW8GFB0Z700HK4ISQR04D1XFBV" vbProcedure="false">#REF!</definedName>
    <definedName function="false" hidden="true" name="BExW8R2F60VGA54F807KPKIVPY4Z" vbProcedure="false">#REF!</definedName>
    <definedName function="false" hidden="true" name="BExXQH9DMUEIC3SU2JBR19HL9YPP" vbProcedure="false">#REF!</definedName>
    <definedName function="false" hidden="true" name="BExXRJBNSW11EARW4O3VJOLO7B5D" vbProcedure="false">#REF!</definedName>
    <definedName function="false" hidden="true" name="BExXS7LMF3TF19N0J5W4UZIZHXWP" vbProcedure="false">#REF!</definedName>
    <definedName function="false" hidden="true" name="BExXTER5X3ZAG49R8JU3R04VTRLZ" vbProcedure="false">#REF!</definedName>
    <definedName function="false" hidden="true" name="BExXVETZW21U5CVVS0IJVX2U020T" vbProcedure="false">#REF!</definedName>
    <definedName function="false" hidden="true" name="BExXVWNWMXG58VDP36YI0DW3AYL2" vbProcedure="false">#REF!</definedName>
    <definedName function="false" hidden="true" name="BExXWV4PQE9ID8RF20OERLDY34PK" vbProcedure="false">#REF!</definedName>
    <definedName function="false" hidden="true" name="BExXYW3X0BIOCO8X4IXM8JINNMJ2" vbProcedure="false">#REF!</definedName>
    <definedName function="false" hidden="true" name="BExXZ9LFVDX0TVUXUPQYFMOHCDLO" vbProcedure="false">#REF!</definedName>
    <definedName function="false" hidden="true" name="BExY2HQ69NQBHTM3R0GDALECRMSK" vbProcedure="false">#REF!</definedName>
    <definedName function="false" hidden="true" name="BExY2VTBFYP66RBQZKKUZIIGVNE9" vbProcedure="false">#REF!</definedName>
    <definedName function="false" hidden="true" name="BExY2ZUVTZKKA15QYRQ79ZCTSZML" vbProcedure="false">#REF!</definedName>
    <definedName function="false" hidden="true" name="BExY31NMTDW8NZRPDS0C42AU3NKB" vbProcedure="false">#REF!</definedName>
    <definedName function="false" hidden="true" name="BExY3MSEEWIBIXH8RONHQWSHQIDX" vbProcedure="false">#REF!</definedName>
    <definedName function="false" hidden="true" name="BExY3Q31FN4S96P3GRWXL0J00T9B" vbProcedure="false">#REF!</definedName>
    <definedName function="false" hidden="true" name="BExZJ6GKROPE324YJWCRTDUSJTL4" vbProcedure="false">#REF!</definedName>
    <definedName function="false" hidden="true" name="BExZKOPDECSFGF39CY31ZHZKJXFP" vbProcedure="false">#REF!</definedName>
    <definedName function="false" hidden="true" name="BExZKPR7NXT61BEWKH7MCRCDPWYX" vbProcedure="false">#REF!</definedName>
    <definedName function="false" hidden="true" name="BExZL6OQQTEQIR8XKZXLR3CI02TT" vbProcedure="false">#REF!</definedName>
    <definedName function="false" hidden="true" name="BExZOETNII823DJ9QJHQABZX7X4B" vbProcedure="false">#REF!</definedName>
    <definedName function="false" hidden="true" name="BExZQ07TIV32LFXTYZ2VB7E53SJ9" vbProcedure="false">#REF!</definedName>
    <definedName function="false" hidden="true" name="BExZU07Z52O5A79OL7J5DRU5T2VK" vbProcedure="false">#REF!</definedName>
    <definedName function="false" hidden="true" name="BExZWV5ZCEKKY7OBZSYHYZPRIPJI" vbProcedure="false">#REF!</definedName>
    <definedName function="false" hidden="true" name="BExZXHN727IU1B1FGHQ2U2XVOX2V" vbProcedure="false">#REF!</definedName>
    <definedName function="false" hidden="true" name="BExZYFYJWGLQMVH49A5SS9R1BYGU" vbProcedure="false">#REF!</definedName>
    <definedName function="false" hidden="true" name="BezogeneLeistungen" vbProcedure="false">#REF!</definedName>
    <definedName function="false" hidden="true" name="BezogeneLeistungenK" vbProcedure="false">#REF!</definedName>
    <definedName function="false" hidden="true" name="BezogeneLeistungenM" vbProcedure="false">#REF!</definedName>
    <definedName function="false" hidden="true" name="BezogeneLeistungenN" vbProcedure="false">#REF!</definedName>
    <definedName function="false" hidden="true" name="BezogeneLeistungen_" vbProcedure="false">#REF!</definedName>
    <definedName function="false" hidden="true" name="bff" vbProcedure="false">{#N/A,#N/A,FALSE,"Profit Status";#N/A,#N/A,FALSE,"Invest";#N/A,#N/A,FALSE,"Revenue";#N/A,#N/A,FALSE,"Variable Cost";#N/A,#N/A,FALSE,"Options &amp; Series"}</definedName>
    <definedName function="false" hidden="true" name="bfg" vbProcedure="false">{#N/A,#N/A,TRUE,"Historicals";#N/A,#N/A,TRUE,"Charts";#N/A,#N/A,TRUE,"Forecasts"}</definedName>
    <definedName function="false" hidden="true" name="BG" vbProcedure="false">{#N/A,#N/A,TRUE,"Cover sheet";#N/A,#N/A,TRUE,"DCF analysis";#N/A,#N/A,TRUE,"WACC calculation"}</definedName>
    <definedName function="false" hidden="true" name="bgh" vbProcedure="false">{"histincome",#N/A,FALSE,"hyfins";"closing balance",#N/A,FALSE,"hyfins"}</definedName>
    <definedName function="false" hidden="true" name="bgn" vbProcedure="false">{#N/A,#N/A,FALSE,"Cover";#N/A,#N/A,FALSE,"Contents-Pg1";#N/A,#N/A,FALSE,"High-Com-pg2";#N/A,#N/A,FALSE,"1 Full";#N/A,#N/A,FALSE,"1chts";#N/A,#N/A,FALSE,"Table 2";#N/A,#N/A,FALSE,"3New Iss";#N/A,#N/A,FALSE,"4Money raised";#N/A,#N/A,FALSE,"5Aim";#N/A,#N/A,FALSE,"AiM charts";#N/A,#N/A,FALSE,"6FT Smll";#N/A,#N/A,FALSE,"11SEATS";#N/A,#N/A,FALSE,"12Notes"}</definedName>
    <definedName function="false" hidden="true" name="bgns" vbProcedure="false">{#N/A,#N/A,FALSE,"Cover";#N/A,#N/A,FALSE,"Contents-Pg1";#N/A,#N/A,FALSE,"High-Com-pg2";#N/A,#N/A,FALSE,"1 Full";#N/A,#N/A,FALSE,"1chts";#N/A,#N/A,FALSE,"Table 2";#N/A,#N/A,FALSE,"3New Iss";#N/A,#N/A,FALSE,"4Money raised";#N/A,#N/A,FALSE,"5Aim";#N/A,#N/A,FALSE,"AiM charts";#N/A,#N/A,FALSE,"6FT Smll";#N/A,#N/A,FALSE,"11SEATS";#N/A,#N/A,FALSE,"12Notes"}</definedName>
    <definedName function="false" hidden="true" name="bgns2" vbProcedure="false">{#N/A,#N/A,FALSE,"Cover";#N/A,#N/A,FALSE,"Contents-Pg1";#N/A,#N/A,FALSE,"High-Com-pg2";#N/A,#N/A,FALSE,"1 Full";#N/A,#N/A,FALSE,"1chts";#N/A,#N/A,FALSE,"Table 2";#N/A,#N/A,FALSE,"3New Iss";#N/A,#N/A,FALSE,"4Money raised";#N/A,#N/A,FALSE,"5Aim";#N/A,#N/A,FALSE,"AiM charts";#N/A,#N/A,FALSE,"6FT Smll";#N/A,#N/A,FALSE,"11SEATS";#N/A,#N/A,FALSE,"12Notes"}</definedName>
    <definedName function="false" hidden="true" name="bgns6" vbProcedure="false">{#N/A,#N/A,FALSE,"Cover";#N/A,#N/A,FALSE,"Contents-Pg1";#N/A,#N/A,FALSE,"High-Com-pg2";#N/A,#N/A,FALSE,"1 Full";#N/A,#N/A,FALSE,"1chts";#N/A,#N/A,FALSE,"Table 2";#N/A,#N/A,FALSE,"3New Iss";#N/A,#N/A,FALSE,"4Money raised";#N/A,#N/A,FALSE,"5Aim";#N/A,#N/A,FALSE,"AiM charts";#N/A,#N/A,FALSE,"6FT Smll";#N/A,#N/A,FALSE,"11SEATS";#N/A,#N/A,FALSE,"12Notes"}</definedName>
    <definedName function="false" hidden="true" name="BG_Del" vbProcedure="false">15</definedName>
    <definedName function="false" hidden="true" name="BG_Ins" vbProcedure="false">4</definedName>
    <definedName function="false" hidden="true" name="BG_Mod" vbProcedure="false">6</definedName>
    <definedName function="false" hidden="true" name="bh" vbProcedure="false">{"Tages_D",#N/A,FALSE,"Tagesbericht";"Tages_PL",#N/A,FALSE,"Tagesbericht"}</definedName>
    <definedName function="false" hidden="true" name="bhjb" vbProcedure="false">{"résultats_édition client",#N/A,FALSE,"Résultats"}</definedName>
    <definedName function="false" hidden="true" name="bhjbu" vbProcedure="false">{"weichwaren",#N/A,FALSE,"Liste 1";"hartwaren",#N/A,FALSE,"Liste 1";"food",#N/A,FALSE,"Liste 1";"fleisch",#N/A,FALSE,"Liste 1"}</definedName>
    <definedName function="false" hidden="true" name="BHUVAN" vbProcedure="false">{"'subnets'!$A$1:$F$20"}</definedName>
    <definedName function="false" hidden="true" name="bih" vbProcedure="false">{"Tages_D",#N/A,FALSE,"Tagesbericht";"Tages_PL",#N/A,FALSE,"Tagesbericht"}</definedName>
    <definedName function="false" hidden="true" name="bil" vbProcedure="false">{"K Bilanz o. Kommentar",#N/A,FALSE,"Kaufhof"}</definedName>
    <definedName function="false" hidden="true" name="bilan4" vbProcedure="false">{"K Bilanz o. Kommentar",#N/A,FALSE,"Kaufhof"}</definedName>
    <definedName function="false" hidden="true" name="bilan5" vbProcedure="false">{"K Bilanz o. Kommentar",#N/A,FALSE,"Kaufhof"}</definedName>
    <definedName function="false" hidden="true" name="bilanz" vbProcedure="false">{"K Bilanz o. Kommentar",#N/A,FALSE,"Kaufhof"}</definedName>
    <definedName function="false" hidden="true" name="bilanzeid" vbProcedure="false">{#N/A,#N/A,FALSE,"Aktiva";#N/A,#N/A,FALSE,"Passiva";#N/A,#N/A,FALSE,"guv";#N/A,#N/A,FALSE,"Anl-1";#N/A,#N/A,FALSE,"Anl-2";#N/A,#N/A,FALSE,"Anl-III";#N/A,#N/A,FALSE,"Ta-1-Anh";#N/A,#N/A,FALSE,"Ta-2-Anh";#N/A,#N/A,FALSE,"Ta-3-Anh";#N/A,#N/A,FALSE,"Kontroll-Blatt"}</definedName>
    <definedName function="false" hidden="true" name="bilanzen" vbProcedure="false">{"K Bilanz o. Kommentar",#N/A,FALSE,"Kaufhof"}</definedName>
    <definedName function="false" hidden="true" name="bill" vbProcedure="false">{#N/A,#N/A,FALSE,"Cover";#N/A,#N/A,FALSE,"Assumptions";#N/A,#N/A,FALSE,"Volumes";#N/A,#N/A,FALSE,"Pricing";#N/A,#N/A,FALSE,"TFLE Walk";#N/A,#N/A,FALSE,"Variable Cost";#N/A,#N/A,FALSE,"Sensitivity";#N/A,#N/A,FALSE,"Investment";#N/A,#N/A,FALSE,"Profitability"}</definedName>
    <definedName function="false" hidden="true" name="BILL1" vbProcedure="false">{#N/A,#N/A,FALSE,"Cover";#N/A,#N/A,FALSE,"Assumptions";#N/A,#N/A,FALSE,"Volumes";#N/A,#N/A,FALSE,"Pricing";#N/A,#N/A,FALSE,"TFLE Walk";#N/A,#N/A,FALSE,"Variable Cost";#N/A,#N/A,FALSE,"Sensitivity";#N/A,#N/A,FALSE,"Investment";#N/A,#N/A,FALSE,"Profitability"}</definedName>
    <definedName function="false" hidden="true" name="bimdk2" vbProcedure="false">{#N/A,"PURADD",FALSE,"Business Analysis";#N/A,"PURSPP",FALSE,"Business Analysis";#N/A,"CTGIND",FALSE,"Business Analysis";#N/A,"PURCHM",FALSE,"Business Analysis";#N/A,"SPADD",FALSE,"Business Analysis";#N/A,"EPOXY",FALSE,"Business Analysis";#N/A,"PURPER",FALSE,"Business Analysis"}</definedName>
    <definedName function="false" hidden="true" name="bimw09" vbProcedure="false">{#N/A,"PURADD",FALSE,"Business Analysis";#N/A,"PURSPP",FALSE,"Business Analysis";#N/A,"CTGIND",FALSE,"Business Analysis";#N/A,"PURCHM",FALSE,"Business Analysis";#N/A,"SPADD",FALSE,"Business Analysis";#N/A,"EPOXY",FALSE,"Business Analysis";#N/A,"PURPER",FALSE,"Business Analysis"}</definedName>
    <definedName function="false" hidden="true" name="Binder" vbProcedure="false">{"'Data'!$A$1:$D$17"}</definedName>
    <definedName function="false" hidden="true" name="bj" vbProcedure="false">{"'Data'!$A$1:$D$17"}</definedName>
    <definedName function="false" hidden="true" name="BJW" vbProcedure="false">{#N/A,#N/A,FALSE,"Cover";#N/A,#N/A,FALSE,"Profits";#N/A,#N/A,FALSE,"ABS";#N/A,#N/A,FALSE,"TFLE Detail";#N/A,#N/A,FALSE,"TFLE Walk";#N/A,#N/A,FALSE,"Variable Cost";#N/A,#N/A,FALSE,"V.C. Walk"}</definedName>
    <definedName function="false" hidden="true" name="bkls" vbProcedure="false">{#N/A,"PURCHM",FALSE,"Business Analysis";#N/A,"SPADD",FALSE,"Business Analysis"}</definedName>
    <definedName function="false" hidden="true" name="bla" vbProcedure="false">{#N/A,#N/A,TRUE,"Main assumptions";#N/A,#N/A,TRUE,"Subscriber projections";#N/A,#N/A,TRUE,"Revenues";#N/A,#N/A,TRUE,"Opex";#N/A,#N/A,TRUE,"Capex";#N/A,#N/A,TRUE,"Working capital";#N/A,#N/A,TRUE,"P&amp;L";#N/A,#N/A,TRUE,"Cash";#N/A,#N/A,TRUE,"Balance";#N/A,#N/A,TRUE,"Valuation";#N/A,#N/A,TRUE,"Bench"}</definedName>
    <definedName function="false" hidden="true" name="blabla"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blabla2"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blah" vbProcedure="false">{"multiple",#N/A,FALSE,"client (2)";"margins",#N/A,FALSE,"client (2)";"data",#N/A,FALSE,"client (2)";"multiple",#N/A,FALSE,"client";"margins",#N/A,FALSE,"client";"data",#N/A,FALSE,"client"}</definedName>
    <definedName function="false" hidden="true" name="blah2" vbProcedure="false">{"multiple",#N/A,FALSE,"client (2)";"margins",#N/A,FALSE,"client (2)";"data",#N/A,FALSE,"client (2)";"multiple",#N/A,FALSE,"client";"margins",#N/A,FALSE,"client";"data",#N/A,FALSE,"client"}</definedName>
    <definedName function="false" hidden="true" name="blah3" vbProcedure="false">{"multiple",#N/A,FALSE,"client";"margins",#N/A,FALSE,"client";"data",#N/A,FALSE,"client"}</definedName>
    <definedName function="false" hidden="true" name="blah4" vbProcedure="false">{#N/A,#N/A,FALSE,"Performance Flash Report"}</definedName>
    <definedName function="false" hidden="true" name="bla_2" vbProcedure="false">{#N/A,#N/A,TRUE,"Main assumptions";#N/A,#N/A,TRUE,"Subscriber projections";#N/A,#N/A,TRUE,"Revenues";#N/A,#N/A,TRUE,"Opex";#N/A,#N/A,TRUE,"Capex";#N/A,#N/A,TRUE,"Working capital";#N/A,#N/A,TRUE,"P&amp;L";#N/A,#N/A,TRUE,"Cash";#N/A,#N/A,TRUE,"Balance";#N/A,#N/A,TRUE,"Valuation";#N/A,#N/A,TRUE,"Bench"}</definedName>
    <definedName function="false" hidden="true" name="bleine.erg" vbProcedure="false">{"fleisch",#N/A,FALSE,"WG HK";"food",#N/A,FALSE,"WG HK";"hartwaren",#N/A,FALSE,"WG HK";"weichwaren",#N/A,FALSE,"WG HK"}</definedName>
    <definedName function="false" hidden="true" name="blkh" vbProcedure="false">{"fleisch",#N/A,FALSE,"WG HK";"food",#N/A,FALSE,"WG HK";"hartwaren",#N/A,FALSE,"WG HK";"weichwaren",#N/A,FALSE,"WG HK"}</definedName>
    <definedName function="false" hidden="true" name="BLPH1" vbProcedure="false">#REF!</definedName>
    <definedName function="false" hidden="true" name="BLPH10" vbProcedure="false">#REF!</definedName>
    <definedName function="false" hidden="true" name="BLPH100" vbProcedure="false">#REF!</definedName>
    <definedName function="false" hidden="true" name="BLPH101" vbProcedure="false">#REF!</definedName>
    <definedName function="false" hidden="true" name="BLPH102" vbProcedure="false">#REF!</definedName>
    <definedName function="false" hidden="true" name="BLPH103" vbProcedure="false">#REF!</definedName>
    <definedName function="false" hidden="true" name="BLPH104" vbProcedure="false">#REF!</definedName>
    <definedName function="false" hidden="true" name="BLPH105" vbProcedure="false">#REF!</definedName>
    <definedName function="false" hidden="true" name="BLPH106" vbProcedure="false">#REF!</definedName>
    <definedName function="false" hidden="true" name="BLPH107" vbProcedure="false">#REF!</definedName>
    <definedName function="false" hidden="true" name="BLPH108" vbProcedure="false">#REF!</definedName>
    <definedName function="false" hidden="true" name="BLPH109" vbProcedure="false">#REF!</definedName>
    <definedName function="false" hidden="true" name="BLPH11" vbProcedure="false">#REF!</definedName>
    <definedName function="false" hidden="true" name="BLPH110" vbProcedure="false">#REF!</definedName>
    <definedName function="false" hidden="true" name="BLPH1100001" vbProcedure="false">#REF!</definedName>
    <definedName function="false" hidden="true" name="BLPH1100002" vbProcedure="false">#REF!</definedName>
    <definedName function="false" hidden="true" name="BLPH1100003" vbProcedure="false">#REF!</definedName>
    <definedName function="false" hidden="true" name="BLPH1100004" vbProcedure="false">#REF!</definedName>
    <definedName function="false" hidden="true" name="BLPH1100005" vbProcedure="false">#REF!</definedName>
    <definedName function="false" hidden="true" name="BLPH1100006" vbProcedure="false">#REF!</definedName>
    <definedName function="false" hidden="true" name="BLPH1100007" vbProcedure="false">#REF!</definedName>
    <definedName function="false" hidden="true" name="BLPH1100008" vbProcedure="false">#REF!</definedName>
    <definedName function="false" hidden="true" name="BLPH1100009" vbProcedure="false">#REF!</definedName>
    <definedName function="false" hidden="true" name="BLPH1100010" vbProcedure="false">#REF!</definedName>
    <definedName function="false" hidden="true" name="BLPH1100011" vbProcedure="false">#REF!</definedName>
    <definedName function="false" hidden="true" name="BLPH1100012" vbProcedure="false">#REF!</definedName>
    <definedName function="false" hidden="true" name="BLPH1100013" vbProcedure="false">#REF!</definedName>
    <definedName function="false" hidden="true" name="BLPH1100014" vbProcedure="false">#REF!</definedName>
    <definedName function="false" hidden="true" name="BLPH1100015" vbProcedure="false">#REF!</definedName>
    <definedName function="false" hidden="true" name="BLPH1100016" vbProcedure="false">#REF!</definedName>
    <definedName function="false" hidden="true" name="BLPH1100017" vbProcedure="false">#REF!</definedName>
    <definedName function="false" hidden="true" name="BLPH1100018" vbProcedure="false">#REF!</definedName>
    <definedName function="false" hidden="true" name="BLPH1100019" vbProcedure="false">#REF!</definedName>
    <definedName function="false" hidden="true" name="BLPH1100020" vbProcedure="false">#REF!</definedName>
    <definedName function="false" hidden="true" name="BLPH1100021" vbProcedure="false">#REF!</definedName>
    <definedName function="false" hidden="true" name="BLPH1100022" vbProcedure="false">#REF!</definedName>
    <definedName function="false" hidden="true" name="BLPH1100023" vbProcedure="false">#REF!</definedName>
    <definedName function="false" hidden="true" name="BLPH1100024" vbProcedure="false">#REF!</definedName>
    <definedName function="false" hidden="true" name="BLPH1100025" vbProcedure="false">#REF!</definedName>
    <definedName function="false" hidden="true" name="BLPH1100026" vbProcedure="false">#REF!</definedName>
    <definedName function="false" hidden="true" name="BLPH1100027" vbProcedure="false">#REF!</definedName>
    <definedName function="false" hidden="true" name="BLPH1100028" vbProcedure="false">#REF!</definedName>
    <definedName function="false" hidden="true" name="BLPH1100029" vbProcedure="false">#REF!</definedName>
    <definedName function="false" hidden="true" name="BLPH1100030" vbProcedure="false">#REF!</definedName>
    <definedName function="false" hidden="true" name="BLPH1100031" vbProcedure="false">#REF!</definedName>
    <definedName function="false" hidden="true" name="BLPH1100032" vbProcedure="false">#REF!</definedName>
    <definedName function="false" hidden="true" name="BLPH1100033" vbProcedure="false">#REF!</definedName>
    <definedName function="false" hidden="true" name="BLPH1100034" vbProcedure="false">#REF!</definedName>
    <definedName function="false" hidden="true" name="BLPH111" vbProcedure="false">#REF!</definedName>
    <definedName function="false" hidden="true" name="BLPH112" vbProcedure="false">#REF!</definedName>
    <definedName function="false" hidden="true" name="BLPH113" vbProcedure="false">#REF!</definedName>
    <definedName function="false" hidden="true" name="BLPH114" vbProcedure="false">#REF!</definedName>
    <definedName function="false" hidden="true" name="BLPH115" vbProcedure="false">#REF!</definedName>
    <definedName function="false" hidden="true" name="BLPH116" vbProcedure="false">#REF!</definedName>
    <definedName function="false" hidden="true" name="BLPH117" vbProcedure="false">#REF!</definedName>
    <definedName function="false" hidden="true" name="BLPH118" vbProcedure="false">#REF!</definedName>
    <definedName function="false" hidden="true" name="BLPH119" vbProcedure="false">#REF!</definedName>
    <definedName function="false" hidden="true" name="BLPH12" vbProcedure="false">#REF!</definedName>
    <definedName function="false" hidden="true" name="BLPH120" vbProcedure="false">#REF!</definedName>
    <definedName function="false" hidden="true" name="BLPH121" vbProcedure="false">#REF!</definedName>
    <definedName function="false" hidden="true" name="BLPH122" vbProcedure="false">#REF!</definedName>
    <definedName function="false" hidden="true" name="BLPH123" vbProcedure="false">#REF!</definedName>
    <definedName function="false" hidden="true" name="BLPH124" vbProcedure="false">#REF!</definedName>
    <definedName function="false" hidden="true" name="BLPH125" vbProcedure="false">#REF!</definedName>
    <definedName function="false" hidden="true" name="BLPH126" vbProcedure="false">#REF!</definedName>
    <definedName function="false" hidden="true" name="BLPH127" vbProcedure="false">#REF!</definedName>
    <definedName function="false" hidden="true" name="BLPH128" vbProcedure="false">#REF!</definedName>
    <definedName function="false" hidden="true" name="BLPH129" vbProcedure="false">#REF!</definedName>
    <definedName function="false" hidden="true" name="BLPH13" vbProcedure="false">#REF!</definedName>
    <definedName function="false" hidden="true" name="BLPH130" vbProcedure="false">#REF!</definedName>
    <definedName function="false" hidden="true" name="BLPH13000001" vbProcedure="false">#REF!</definedName>
    <definedName function="false" hidden="true" name="BLPH13000002" vbProcedure="false">#REF!</definedName>
    <definedName function="false" hidden="true" name="BLPH13000003" vbProcedure="false">#REF!</definedName>
    <definedName function="false" hidden="true" name="BLPH13000004" vbProcedure="false">#REF!</definedName>
    <definedName function="false" hidden="true" name="BLPH13000005" vbProcedure="false">#REF!</definedName>
    <definedName function="false" hidden="true" name="BLPH13000006" vbProcedure="false">#REF!</definedName>
    <definedName function="false" hidden="true" name="BLPH13000007" vbProcedure="false">#REF!</definedName>
    <definedName function="false" hidden="true" name="BLPH13000008" vbProcedure="false">#REF!</definedName>
    <definedName function="false" hidden="true" name="BLPH13000009" vbProcedure="false">#REF!</definedName>
    <definedName function="false" hidden="true" name="BLPH13000010" vbProcedure="false">#REF!</definedName>
    <definedName function="false" hidden="true" name="BLPH13000011" vbProcedure="false">#REF!</definedName>
    <definedName function="false" hidden="true" name="BLPH13000012" vbProcedure="false">#REF!</definedName>
    <definedName function="false" hidden="true" name="BLPH13000013" vbProcedure="false">#REF!</definedName>
    <definedName function="false" hidden="true" name="BLPH13000014" vbProcedure="false">#REF!</definedName>
    <definedName function="false" hidden="true" name="BLPH13000015" vbProcedure="false">#REF!</definedName>
    <definedName function="false" hidden="true" name="BLPH13000016" vbProcedure="false">#REF!</definedName>
    <definedName function="false" hidden="true" name="BLPH13000017" vbProcedure="false">#REF!</definedName>
    <definedName function="false" hidden="true" name="BLPH13000018" vbProcedure="false">#REF!</definedName>
    <definedName function="false" hidden="true" name="BLPH13000019" vbProcedure="false">#REF!</definedName>
    <definedName function="false" hidden="true" name="BLPH13000020" vbProcedure="false">#REF!</definedName>
    <definedName function="false" hidden="true" name="BLPH13000021" vbProcedure="false">#REF!</definedName>
    <definedName function="false" hidden="true" name="BLPH13000022" vbProcedure="false">#REF!</definedName>
    <definedName function="false" hidden="true" name="BLPH13000023" vbProcedure="false">#REF!</definedName>
    <definedName function="false" hidden="true" name="BLPH13000024" vbProcedure="false">#REF!</definedName>
    <definedName function="false" hidden="true" name="BLPH13000025" vbProcedure="false">#REF!</definedName>
    <definedName function="false" hidden="true" name="BLPH13000026" vbProcedure="false">#REF!</definedName>
    <definedName function="false" hidden="true" name="BLPH13000027" vbProcedure="false">#REF!</definedName>
    <definedName function="false" hidden="true" name="BLPH13000028" vbProcedure="false">#REF!</definedName>
    <definedName function="false" hidden="true" name="BLPH13000029" vbProcedure="false">#REF!</definedName>
    <definedName function="false" hidden="true" name="BLPH13000030" vbProcedure="false">#REF!</definedName>
    <definedName function="false" hidden="true" name="BLPH13000031" vbProcedure="false">#REF!</definedName>
    <definedName function="false" hidden="true" name="BLPH13000032" vbProcedure="false">#REF!</definedName>
    <definedName function="false" hidden="true" name="BLPH13000033" vbProcedure="false">#REF!</definedName>
    <definedName function="false" hidden="true" name="BLPH13000034" vbProcedure="false">#REF!</definedName>
    <definedName function="false" hidden="true" name="BLPH13000035" vbProcedure="false">#REF!</definedName>
    <definedName function="false" hidden="true" name="BLPH13000036" vbProcedure="false">#REF!</definedName>
    <definedName function="false" hidden="true" name="BLPH13000037" vbProcedure="false">#REF!</definedName>
    <definedName function="false" hidden="true" name="BLPH13000038" vbProcedure="false">#REF!</definedName>
    <definedName function="false" hidden="true" name="BLPH13000039" vbProcedure="false">#REF!</definedName>
    <definedName function="false" hidden="true" name="BLPH13000040" vbProcedure="false">#REF!</definedName>
    <definedName function="false" hidden="true" name="BLPH13000041" vbProcedure="false">#REF!</definedName>
    <definedName function="false" hidden="true" name="BLPH13000042" vbProcedure="false">#REF!</definedName>
    <definedName function="false" hidden="true" name="BLPH13000043" vbProcedure="false">#REF!</definedName>
    <definedName function="false" hidden="true" name="BLPH13000044" vbProcedure="false">#REF!</definedName>
    <definedName function="false" hidden="true" name="BLPH13000045" vbProcedure="false">#REF!</definedName>
    <definedName function="false" hidden="true" name="BLPH13000046" vbProcedure="false">#REF!</definedName>
    <definedName function="false" hidden="true" name="BLPH13000047" vbProcedure="false">#REF!</definedName>
    <definedName function="false" hidden="true" name="BLPH13000048" vbProcedure="false">#REF!</definedName>
    <definedName function="false" hidden="true" name="BLPH13000049" vbProcedure="false">#REF!</definedName>
    <definedName function="false" hidden="true" name="BLPH13000050" vbProcedure="false">#REF!</definedName>
    <definedName function="false" hidden="true" name="BLPH13000051" vbProcedure="false">#REF!</definedName>
    <definedName function="false" hidden="true" name="BLPH13000052" vbProcedure="false">#REF!</definedName>
    <definedName function="false" hidden="true" name="BLPH13000053" vbProcedure="false">#REF!</definedName>
    <definedName function="false" hidden="true" name="BLPH13000054" vbProcedure="false">#REF!</definedName>
    <definedName function="false" hidden="true" name="BLPH13000055" vbProcedure="false">#REF!</definedName>
    <definedName function="false" hidden="true" name="BLPH13000056" vbProcedure="false">#REF!</definedName>
    <definedName function="false" hidden="true" name="BLPH13000057" vbProcedure="false">#REF!</definedName>
    <definedName function="false" hidden="true" name="BLPH13000058" vbProcedure="false">#REF!</definedName>
    <definedName function="false" hidden="true" name="BLPH13000059" vbProcedure="false">#REF!</definedName>
    <definedName function="false" hidden="true" name="BLPH13000060" vbProcedure="false">#REF!</definedName>
    <definedName function="false" hidden="true" name="BLPH13000061" vbProcedure="false">#REF!</definedName>
    <definedName function="false" hidden="true" name="BLPH13000062" vbProcedure="false">#REF!</definedName>
    <definedName function="false" hidden="true" name="BLPH13000063" vbProcedure="false">#REF!</definedName>
    <definedName function="false" hidden="true" name="BLPH13000064" vbProcedure="false">#REF!</definedName>
    <definedName function="false" hidden="true" name="BLPH13000125" vbProcedure="false">#REF!</definedName>
    <definedName function="false" hidden="true" name="BLPH13000126" vbProcedure="false">#REF!</definedName>
    <definedName function="false" hidden="true" name="BLPH13000127" vbProcedure="false">#REF!</definedName>
    <definedName function="false" hidden="true" name="BLPH13000128" vbProcedure="false">#REF!</definedName>
    <definedName function="false" hidden="true" name="BLPH13000129" vbProcedure="false">#REF!</definedName>
    <definedName function="false" hidden="true" name="BLPH13000130" vbProcedure="false">#REF!</definedName>
    <definedName function="false" hidden="true" name="BLPH13000131" vbProcedure="false">#REF!</definedName>
    <definedName function="false" hidden="true" name="BLPH13000132" vbProcedure="false">#REF!</definedName>
    <definedName function="false" hidden="true" name="BLPH13000133" vbProcedure="false">#REF!</definedName>
    <definedName function="false" hidden="true" name="BLPH13000134" vbProcedure="false">#REF!</definedName>
    <definedName function="false" hidden="true" name="BLPH13000135" vbProcedure="false">#REF!</definedName>
    <definedName function="false" hidden="true" name="BLPH13000136" vbProcedure="false">#REF!</definedName>
    <definedName function="false" hidden="true" name="BLPH13000137" vbProcedure="false">#REF!</definedName>
    <definedName function="false" hidden="true" name="BLPH13000138" vbProcedure="false">#REF!</definedName>
    <definedName function="false" hidden="true" name="BLPH13000139" vbProcedure="false">#REF!</definedName>
    <definedName function="false" hidden="true" name="BLPH13000140" vbProcedure="false">#REF!</definedName>
    <definedName function="false" hidden="true" name="BLPH13000141" vbProcedure="false">#REF!</definedName>
    <definedName function="false" hidden="true" name="BLPH13000142" vbProcedure="false">#REF!</definedName>
    <definedName function="false" hidden="true" name="BLPH13000143" vbProcedure="false">#REF!</definedName>
    <definedName function="false" hidden="true" name="BLPH13000144" vbProcedure="false">#REF!</definedName>
    <definedName function="false" hidden="true" name="BLPH13000145" vbProcedure="false">#REF!</definedName>
    <definedName function="false" hidden="true" name="BLPH13000146" vbProcedure="false">#REF!</definedName>
    <definedName function="false" hidden="true" name="BLPH13000147" vbProcedure="false">#REF!</definedName>
    <definedName function="false" hidden="true" name="BLPH13000148" vbProcedure="false">#REF!</definedName>
    <definedName function="false" hidden="true" name="BLPH13000149" vbProcedure="false">#REF!</definedName>
    <definedName function="false" hidden="true" name="BLPH131" vbProcedure="false">#REF!</definedName>
    <definedName function="false" hidden="true" name="BLPH132" vbProcedure="false">#REF!</definedName>
    <definedName function="false" hidden="true" name="BLPH133" vbProcedure="false">#REF!</definedName>
    <definedName function="false" hidden="true" name="BLPH134" vbProcedure="false">#REF!</definedName>
    <definedName function="false" hidden="true" name="BLPH135" vbProcedure="false">#REF!</definedName>
    <definedName function="false" hidden="true" name="BLPH136" vbProcedure="false">#REF!</definedName>
    <definedName function="false" hidden="true" name="BLPH137" vbProcedure="false">#REF!</definedName>
    <definedName function="false" hidden="true" name="BLPH138" vbProcedure="false">#REF!</definedName>
    <definedName function="false" hidden="true" name="BLPH139" vbProcedure="false">#REF!</definedName>
    <definedName function="false" hidden="true" name="BLPH14" vbProcedure="false">#REF!</definedName>
    <definedName function="false" hidden="true" name="BLPH140" vbProcedure="false">#REF!</definedName>
    <definedName function="false" hidden="true" name="BLPH141" vbProcedure="false">#REF!</definedName>
    <definedName function="false" hidden="true" name="BLPH142" vbProcedure="false">#REF!</definedName>
    <definedName function="false" hidden="true" name="BLPH143" vbProcedure="false">#REF!</definedName>
    <definedName function="false" hidden="true" name="BLPH144" vbProcedure="false">#REF!</definedName>
    <definedName function="false" hidden="true" name="BLPH145" vbProcedure="false">#REF!</definedName>
    <definedName function="false" hidden="true" name="BLPH146" vbProcedure="false">#REF!</definedName>
    <definedName function="false" hidden="true" name="BLPH147" vbProcedure="false">#REF!</definedName>
    <definedName function="false" hidden="true" name="BLPH148" vbProcedure="false">#REF!</definedName>
    <definedName function="false" hidden="true" name="BLPH149" vbProcedure="false">#REF!</definedName>
    <definedName function="false" hidden="true" name="BLPH15" vbProcedure="false">#REF!</definedName>
    <definedName function="false" hidden="true" name="BLPH150" vbProcedure="false">#REF!</definedName>
    <definedName function="false" hidden="true" name="BLPH151" vbProcedure="false">#REF!</definedName>
    <definedName function="false" hidden="true" name="BLPH152" vbProcedure="false">#REF!</definedName>
    <definedName function="false" hidden="true" name="BLPH153" vbProcedure="false">#REF!</definedName>
    <definedName function="false" hidden="true" name="BLPH154" vbProcedure="false">#REF!</definedName>
    <definedName function="false" hidden="true" name="BLPH155" vbProcedure="false">#REF!</definedName>
    <definedName function="false" hidden="true" name="BLPH156" vbProcedure="false">#REF!</definedName>
    <definedName function="false" hidden="true" name="BLPH157" vbProcedure="false">#REF!</definedName>
    <definedName function="false" hidden="true" name="BLPH158" vbProcedure="false">#REF!</definedName>
    <definedName function="false" hidden="true" name="BLPH159" vbProcedure="false">#REF!</definedName>
    <definedName function="false" hidden="true" name="BLPH16" vbProcedure="false">#REF!</definedName>
    <definedName function="false" hidden="true" name="BLPH160" vbProcedure="false">#REF!</definedName>
    <definedName function="false" hidden="true" name="BLPH161" vbProcedure="false">#REF!</definedName>
    <definedName function="false" hidden="true" name="BLPH162" vbProcedure="false">#REF!</definedName>
    <definedName function="false" hidden="true" name="BLPH163" vbProcedure="false">#REF!</definedName>
    <definedName function="false" hidden="true" name="BLPH164" vbProcedure="false">#REF!</definedName>
    <definedName function="false" hidden="true" name="BLPH165" vbProcedure="false">#REF!</definedName>
    <definedName function="false" hidden="true" name="BLPH166" vbProcedure="false">#REF!</definedName>
    <definedName function="false" hidden="true" name="BLPH167" vbProcedure="false">#REF!</definedName>
    <definedName function="false" hidden="true" name="BLPH168" vbProcedure="false">#REF!</definedName>
    <definedName function="false" hidden="true" name="BLPH169" vbProcedure="false">#REF!</definedName>
    <definedName function="false" hidden="true" name="BLPH17" vbProcedure="false">#REF!</definedName>
    <definedName function="false" hidden="true" name="BLPH170" vbProcedure="false">#REF!</definedName>
    <definedName function="false" hidden="true" name="BLPH171" vbProcedure="false">#REF!</definedName>
    <definedName function="false" hidden="true" name="BLPH172" vbProcedure="false">#REF!</definedName>
    <definedName function="false" hidden="true" name="BLPH173" vbProcedure="false">#REF!</definedName>
    <definedName function="false" hidden="true" name="BLPH174" vbProcedure="false">#REF!</definedName>
    <definedName function="false" hidden="true" name="BLPH175" vbProcedure="false">#REF!</definedName>
    <definedName function="false" hidden="true" name="BLPH176" vbProcedure="false">#REF!</definedName>
    <definedName function="false" hidden="true" name="BLPH177" vbProcedure="false">#REF!</definedName>
    <definedName function="false" hidden="true" name="BLPH178" vbProcedure="false">#REF!</definedName>
    <definedName function="false" hidden="true" name="BLPH179" vbProcedure="false">#REF!</definedName>
    <definedName function="false" hidden="true" name="BLPH18" vbProcedure="false">#REF!</definedName>
    <definedName function="false" hidden="true" name="BLPH180" vbProcedure="false">#REF!</definedName>
    <definedName function="false" hidden="true" name="BLPH181" vbProcedure="false">#REF!</definedName>
    <definedName function="false" hidden="true" name="BLPH182" vbProcedure="false">#REF!</definedName>
    <definedName function="false" hidden="true" name="BLPH183" vbProcedure="false">#REF!</definedName>
    <definedName function="false" hidden="true" name="BLPH184" vbProcedure="false">#REF!</definedName>
    <definedName function="false" hidden="true" name="BLPH185" vbProcedure="false">#REF!</definedName>
    <definedName function="false" hidden="true" name="BLPH186" vbProcedure="false">#REF!</definedName>
    <definedName function="false" hidden="true" name="BLPH187" vbProcedure="false">#REF!</definedName>
    <definedName function="false" hidden="true" name="BLPH188" vbProcedure="false">#REF!</definedName>
    <definedName function="false" hidden="true" name="BLPH189" vbProcedure="false">#REF!</definedName>
    <definedName function="false" hidden="true" name="BLPH19" vbProcedure="false">#REF!</definedName>
    <definedName function="false" hidden="true" name="BLPH190" vbProcedure="false">#REF!</definedName>
    <definedName function="false" hidden="true" name="BLPH191" vbProcedure="false">#REF!</definedName>
    <definedName function="false" hidden="true" name="BLPH192" vbProcedure="false">#REF!</definedName>
    <definedName function="false" hidden="true" name="BLPH193" vbProcedure="false">#REF!</definedName>
    <definedName function="false" hidden="true" name="BLPH194" vbProcedure="false">#REF!</definedName>
    <definedName function="false" hidden="true" name="BLPH195" vbProcedure="false">#REF!</definedName>
    <definedName function="false" hidden="true" name="BLPH196" vbProcedure="false">#REF!</definedName>
    <definedName function="false" hidden="true" name="BLPH197" vbProcedure="false">#REF!</definedName>
    <definedName function="false" hidden="true" name="BLPH198" vbProcedure="false">#REF!</definedName>
    <definedName function="false" hidden="true" name="BLPH199" vbProcedure="false">#REF!</definedName>
    <definedName function="false" hidden="true" name="BLPH2" vbProcedure="false">#REF!</definedName>
    <definedName function="false" hidden="true" name="BLPH20" vbProcedure="false">#REF!</definedName>
    <definedName function="false" hidden="true" name="BLPH200" vbProcedure="false">#REF!</definedName>
    <definedName function="false" hidden="true" name="BLPH201" vbProcedure="false">#REF!</definedName>
    <definedName function="false" hidden="true" name="BLPH202" vbProcedure="false">#REF!</definedName>
    <definedName function="false" hidden="true" name="BLPH203" vbProcedure="false">#REF!</definedName>
    <definedName function="false" hidden="true" name="BLPH204" vbProcedure="false">#REF!</definedName>
    <definedName function="false" hidden="true" name="BLPH205" vbProcedure="false">#REF!</definedName>
    <definedName function="false" hidden="true" name="BLPH206" vbProcedure="false">#REF!</definedName>
    <definedName function="false" hidden="true" name="BLPH207" vbProcedure="false">#REF!</definedName>
    <definedName function="false" hidden="true" name="BLPH208" vbProcedure="false">#REF!</definedName>
    <definedName function="false" hidden="true" name="BLPH209" vbProcedure="false">#REF!</definedName>
    <definedName function="false" hidden="true" name="BLPH21" vbProcedure="false">#REF!</definedName>
    <definedName function="false" hidden="true" name="BLPH210" vbProcedure="false">#REF!</definedName>
    <definedName function="false" hidden="true" name="BLPH211" vbProcedure="false">#REF!</definedName>
    <definedName function="false" hidden="true" name="BLPH212" vbProcedure="false">#REF!</definedName>
    <definedName function="false" hidden="true" name="BLPH213" vbProcedure="false">#REF!</definedName>
    <definedName function="false" hidden="true" name="BLPH214" vbProcedure="false">#REF!</definedName>
    <definedName function="false" hidden="true" name="BLPH215" vbProcedure="false">#REF!</definedName>
    <definedName function="false" hidden="true" name="BLPH216" vbProcedure="false">#REF!</definedName>
    <definedName function="false" hidden="true" name="BLPH217" vbProcedure="false">#REF!</definedName>
    <definedName function="false" hidden="true" name="BLPH218" vbProcedure="false">#REF!</definedName>
    <definedName function="false" hidden="true" name="BLPH219" vbProcedure="false">#REF!</definedName>
    <definedName function="false" hidden="true" name="BLPH22" vbProcedure="false">#REF!</definedName>
    <definedName function="false" hidden="true" name="BLPH220" vbProcedure="false">#REF!</definedName>
    <definedName function="false" hidden="true" name="BLPH221" vbProcedure="false">#REF!</definedName>
    <definedName function="false" hidden="true" name="BLPH222" vbProcedure="false">#REF!</definedName>
    <definedName function="false" hidden="true" name="BLPH223" vbProcedure="false">#REF!</definedName>
    <definedName function="false" hidden="true" name="BLPH224" vbProcedure="false">#REF!</definedName>
    <definedName function="false" hidden="true" name="BLPH225" vbProcedure="false">#REF!</definedName>
    <definedName function="false" hidden="true" name="BLPH226" vbProcedure="false">#REF!</definedName>
    <definedName function="false" hidden="true" name="BLPH227" vbProcedure="false">#REF!</definedName>
    <definedName function="false" hidden="true" name="BLPH228" vbProcedure="false">#REF!</definedName>
    <definedName function="false" hidden="true" name="BLPH229" vbProcedure="false">#REF!</definedName>
    <definedName function="false" hidden="true" name="BLPH23" vbProcedure="false">#REF!</definedName>
    <definedName function="false" hidden="true" name="BLPH230" vbProcedure="false">#REF!</definedName>
    <definedName function="false" hidden="true" name="BLPH231" vbProcedure="false">#REF!</definedName>
    <definedName function="false" hidden="true" name="BLPH232" vbProcedure="false">#REF!</definedName>
    <definedName function="false" hidden="true" name="BLPH233" vbProcedure="false">#REF!</definedName>
    <definedName function="false" hidden="true" name="BLPH234" vbProcedure="false">#REF!</definedName>
    <definedName function="false" hidden="true" name="BLPH235" vbProcedure="false">#REF!</definedName>
    <definedName function="false" hidden="true" name="BLPH236" vbProcedure="false">#REF!</definedName>
    <definedName function="false" hidden="true" name="BLPH237" vbProcedure="false">#REF!</definedName>
    <definedName function="false" hidden="true" name="BLPH238" vbProcedure="false">#REF!</definedName>
    <definedName function="false" hidden="true" name="BLPH239" vbProcedure="false">#REF!</definedName>
    <definedName function="false" hidden="true" name="BLPH24" vbProcedure="false">#REF!</definedName>
    <definedName function="false" hidden="true" name="BLPH240" vbProcedure="false">#REF!</definedName>
    <definedName function="false" hidden="true" name="BLPH241" vbProcedure="false">#REF!</definedName>
    <definedName function="false" hidden="true" name="BLPH242" vbProcedure="false">#REF!</definedName>
    <definedName function="false" hidden="true" name="BLPH243" vbProcedure="false">#REF!</definedName>
    <definedName function="false" hidden="true" name="BLPH244" vbProcedure="false">#REF!</definedName>
    <definedName function="false" hidden="true" name="BLPH245" vbProcedure="false">#REF!</definedName>
    <definedName function="false" hidden="true" name="BLPH246" vbProcedure="false">#REF!</definedName>
    <definedName function="false" hidden="true" name="BLPH247" vbProcedure="false">#REF!</definedName>
    <definedName function="false" hidden="true" name="BLPH248" vbProcedure="false">#REF!</definedName>
    <definedName function="false" hidden="true" name="BLPH249" vbProcedure="false">#REF!</definedName>
    <definedName function="false" hidden="true" name="BLPH25" vbProcedure="false">#REF!</definedName>
    <definedName function="false" hidden="true" name="BLPH250" vbProcedure="false">#REF!</definedName>
    <definedName function="false" hidden="true" name="BLPH251" vbProcedure="false">#REF!</definedName>
    <definedName function="false" hidden="true" name="BLPH252" vbProcedure="false">#REF!</definedName>
    <definedName function="false" hidden="true" name="BLPH253" vbProcedure="false">#REF!</definedName>
    <definedName function="false" hidden="true" name="BLPH254" vbProcedure="false">#REF!</definedName>
    <definedName function="false" hidden="true" name="BLPH255" vbProcedure="false">#REF!</definedName>
    <definedName function="false" hidden="true" name="BLPH256" vbProcedure="false">#REF!</definedName>
    <definedName function="false" hidden="true" name="BLPH257" vbProcedure="false">#REF!</definedName>
    <definedName function="false" hidden="true" name="BLPH258" vbProcedure="false">#REF!</definedName>
    <definedName function="false" hidden="true" name="BLPH259" vbProcedure="false">#REF!</definedName>
    <definedName function="false" hidden="true" name="BLPH26" vbProcedure="false">#REF!</definedName>
    <definedName function="false" hidden="true" name="BLPH260" vbProcedure="false">#REF!</definedName>
    <definedName function="false" hidden="true" name="BLPH261" vbProcedure="false">#REF!</definedName>
    <definedName function="false" hidden="true" name="BLPH262" vbProcedure="false">#REF!</definedName>
    <definedName function="false" hidden="true" name="BLPH263" vbProcedure="false">#REF!</definedName>
    <definedName function="false" hidden="true" name="BLPH264" vbProcedure="false">#REF!</definedName>
    <definedName function="false" hidden="true" name="BLPH265" vbProcedure="false">#REF!</definedName>
    <definedName function="false" hidden="true" name="BLPH266" vbProcedure="false">#REF!</definedName>
    <definedName function="false" hidden="true" name="BLPH267" vbProcedure="false">#REF!</definedName>
    <definedName function="false" hidden="true" name="BLPH268" vbProcedure="false">#REF!</definedName>
    <definedName function="false" hidden="true" name="BLPH269" vbProcedure="false">#REF!</definedName>
    <definedName function="false" hidden="true" name="BLPH27" vbProcedure="false">#REF!</definedName>
    <definedName function="false" hidden="true" name="BLPH270" vbProcedure="false">#REF!</definedName>
    <definedName function="false" hidden="true" name="BLPH271" vbProcedure="false">#REF!</definedName>
    <definedName function="false" hidden="true" name="BLPH272" vbProcedure="false">#REF!</definedName>
    <definedName function="false" hidden="true" name="BLPH273" vbProcedure="false">#REF!</definedName>
    <definedName function="false" hidden="true" name="BLPH274" vbProcedure="false">#REF!</definedName>
    <definedName function="false" hidden="true" name="BLPH275" vbProcedure="false">#REF!</definedName>
    <definedName function="false" hidden="true" name="BLPH276" vbProcedure="false">#REF!</definedName>
    <definedName function="false" hidden="true" name="BLPH277" vbProcedure="false">#REF!</definedName>
    <definedName function="false" hidden="true" name="BLPH278" vbProcedure="false">#REF!</definedName>
    <definedName function="false" hidden="true" name="BLPH279" vbProcedure="false">#REF!</definedName>
    <definedName function="false" hidden="true" name="BLPH28" vbProcedure="false">#N/A</definedName>
    <definedName function="false" hidden="true" name="BLPH280" vbProcedure="false">#REF!</definedName>
    <definedName function="false" hidden="true" name="BLPH281" vbProcedure="false">#REF!</definedName>
    <definedName function="false" hidden="true" name="BLPH282" vbProcedure="false">#REF!</definedName>
    <definedName function="false" hidden="true" name="BLPH283" vbProcedure="false">#REF!</definedName>
    <definedName function="false" hidden="true" name="BLPH284" vbProcedure="false">#REF!</definedName>
    <definedName function="false" hidden="true" name="BLPH285" vbProcedure="false">#REF!</definedName>
    <definedName function="false" hidden="true" name="BLPH286" vbProcedure="false">#REF!</definedName>
    <definedName function="false" hidden="true" name="BLPH287" vbProcedure="false">#REF!</definedName>
    <definedName function="false" hidden="true" name="BLPH288" vbProcedure="false">#REF!</definedName>
    <definedName function="false" hidden="true" name="BLPH289" vbProcedure="false">#REF!</definedName>
    <definedName function="false" hidden="true" name="BLPH29" vbProcedure="false">#N/A</definedName>
    <definedName function="false" hidden="true" name="BLPH290" vbProcedure="false">#REF!</definedName>
    <definedName function="false" hidden="true" name="BLPH291" vbProcedure="false">#REF!</definedName>
    <definedName function="false" hidden="true" name="BLPH292" vbProcedure="false">#REF!</definedName>
    <definedName function="false" hidden="true" name="BLPH293" vbProcedure="false">#REF!</definedName>
    <definedName function="false" hidden="true" name="BLPH294" vbProcedure="false">#REF!</definedName>
    <definedName function="false" hidden="true" name="BLPH295" vbProcedure="false">#REF!</definedName>
    <definedName function="false" hidden="true" name="BLPH296" vbProcedure="false">#REF!</definedName>
    <definedName function="false" hidden="true" name="BLPH297" vbProcedure="false">#REF!</definedName>
    <definedName function="false" hidden="true" name="BLPH298" vbProcedure="false">#REF!</definedName>
    <definedName function="false" hidden="true" name="BLPH299" vbProcedure="false">#REF!</definedName>
    <definedName function="false" hidden="true" name="BLPH3" vbProcedure="false">#REF!</definedName>
    <definedName function="false" hidden="true" name="BLPH30" vbProcedure="false">#N/A</definedName>
    <definedName function="false" hidden="true" name="BLPH300" vbProcedure="false">#REF!</definedName>
    <definedName function="false" hidden="true" name="BLPH301" vbProcedure="false">#REF!</definedName>
    <definedName function="false" hidden="true" name="BLPH302" vbProcedure="false">#REF!</definedName>
    <definedName function="false" hidden="true" name="BLPH303" vbProcedure="false">#REF!</definedName>
    <definedName function="false" hidden="true" name="BLPH304" vbProcedure="false">#REF!</definedName>
    <definedName function="false" hidden="true" name="BLPH305" vbProcedure="false">#REF!</definedName>
    <definedName function="false" hidden="true" name="BLPH306" vbProcedure="false">#REF!</definedName>
    <definedName function="false" hidden="true" name="BLPH307" vbProcedure="false">#REF!</definedName>
    <definedName function="false" hidden="true" name="BLPH308" vbProcedure="false">#REF!</definedName>
    <definedName function="false" hidden="true" name="BLPH309" vbProcedure="false">#REF!</definedName>
    <definedName function="false" hidden="true" name="BLPH31" vbProcedure="false">#N/A</definedName>
    <definedName function="false" hidden="true" name="BLPH310" vbProcedure="false">#REF!</definedName>
    <definedName function="false" hidden="true" name="BLPH311" vbProcedure="false">#REF!</definedName>
    <definedName function="false" hidden="true" name="BLPH312" vbProcedure="false">#REF!</definedName>
    <definedName function="false" hidden="true" name="BLPH313" vbProcedure="false">#REF!</definedName>
    <definedName function="false" hidden="true" name="BLPH314" vbProcedure="false">#REF!</definedName>
    <definedName function="false" hidden="true" name="BLPH315" vbProcedure="false">#REF!</definedName>
    <definedName function="false" hidden="true" name="BLPH316" vbProcedure="false">#REF!</definedName>
    <definedName function="false" hidden="true" name="BLPH317" vbProcedure="false">#REF!</definedName>
    <definedName function="false" hidden="true" name="BLPH318" vbProcedure="false">#REF!</definedName>
    <definedName function="false" hidden="true" name="BLPH319" vbProcedure="false">#REF!</definedName>
    <definedName function="false" hidden="true" name="BLPH32" vbProcedure="false">#N/A</definedName>
    <definedName function="false" hidden="true" name="BLPH320" vbProcedure="false">#REF!</definedName>
    <definedName function="false" hidden="true" name="BLPH321" vbProcedure="false">#REF!</definedName>
    <definedName function="false" hidden="true" name="BLPH322" vbProcedure="false">#REF!</definedName>
    <definedName function="false" hidden="true" name="BLPH323" vbProcedure="false">#REF!</definedName>
    <definedName function="false" hidden="true" name="BLPH324" vbProcedure="false">#REF!</definedName>
    <definedName function="false" hidden="true" name="BLPH325" vbProcedure="false">#REF!</definedName>
    <definedName function="false" hidden="true" name="BLPH326" vbProcedure="false">#REF!</definedName>
    <definedName function="false" hidden="true" name="BLPH327" vbProcedure="false">#REF!</definedName>
    <definedName function="false" hidden="true" name="BLPH328" vbProcedure="false">#REF!</definedName>
    <definedName function="false" hidden="true" name="BLPH329" vbProcedure="false">#REF!</definedName>
    <definedName function="false" hidden="true" name="BLPH33" vbProcedure="false">#N/A</definedName>
    <definedName function="false" hidden="true" name="BLPH330" vbProcedure="false">#REF!</definedName>
    <definedName function="false" hidden="true" name="BLPH331" vbProcedure="false">#REF!</definedName>
    <definedName function="false" hidden="true" name="BLPH332" vbProcedure="false">#REF!</definedName>
    <definedName function="false" hidden="true" name="BLPH333" vbProcedure="false">#REF!</definedName>
    <definedName function="false" hidden="true" name="BLPH334" vbProcedure="false">#REF!</definedName>
    <definedName function="false" hidden="true" name="BLPH335" vbProcedure="false">#REF!</definedName>
    <definedName function="false" hidden="true" name="BLPH336" vbProcedure="false">#REF!</definedName>
    <definedName function="false" hidden="true" name="BLPH337" vbProcedure="false">#REF!</definedName>
    <definedName function="false" hidden="true" name="BLPH338" vbProcedure="false">#REF!</definedName>
    <definedName function="false" hidden="true" name="BLPH339" vbProcedure="false">#REF!</definedName>
    <definedName function="false" hidden="true" name="BLPH34" vbProcedure="false">#REF!</definedName>
    <definedName function="false" hidden="true" name="BLPH340" vbProcedure="false">#REF!</definedName>
    <definedName function="false" hidden="true" name="BLPH341" vbProcedure="false">#REF!</definedName>
    <definedName function="false" hidden="true" name="BLPH342" vbProcedure="false">#REF!</definedName>
    <definedName function="false" hidden="true" name="BLPH343" vbProcedure="false">#REF!</definedName>
    <definedName function="false" hidden="true" name="BLPH344" vbProcedure="false">#REF!</definedName>
    <definedName function="false" hidden="true" name="BLPH345" vbProcedure="false">#REF!</definedName>
    <definedName function="false" hidden="true" name="BLPH346" vbProcedure="false">#REF!</definedName>
    <definedName function="false" hidden="true" name="BLPH347" vbProcedure="false">#REF!</definedName>
    <definedName function="false" hidden="true" name="BLPH348" vbProcedure="false">#REF!</definedName>
    <definedName function="false" hidden="true" name="BLPH349" vbProcedure="false">#REF!</definedName>
    <definedName function="false" hidden="true" name="BLPH35" vbProcedure="false">#REF!</definedName>
    <definedName function="false" hidden="true" name="BLPH350" vbProcedure="false">#REF!</definedName>
    <definedName function="false" hidden="true" name="BLPH351" vbProcedure="false">#REF!</definedName>
    <definedName function="false" hidden="true" name="BLPH352" vbProcedure="false">#REF!</definedName>
    <definedName function="false" hidden="true" name="BLPH353" vbProcedure="false">#REF!</definedName>
    <definedName function="false" hidden="true" name="BLPH354" vbProcedure="false">#REF!</definedName>
    <definedName function="false" hidden="true" name="BLPH355" vbProcedure="false">#REF!</definedName>
    <definedName function="false" hidden="true" name="BLPH356" vbProcedure="false">#REF!</definedName>
    <definedName function="false" hidden="true" name="BLPH357" vbProcedure="false">#REF!</definedName>
    <definedName function="false" hidden="true" name="BLPH358" vbProcedure="false">#REF!</definedName>
    <definedName function="false" hidden="true" name="BLPH359" vbProcedure="false">#REF!</definedName>
    <definedName function="false" hidden="true" name="BLPH36" vbProcedure="false">#REF!</definedName>
    <definedName function="false" hidden="true" name="BLPH360" vbProcedure="false">#REF!</definedName>
    <definedName function="false" hidden="true" name="BLPH361" vbProcedure="false">#REF!</definedName>
    <definedName function="false" hidden="true" name="BLPH362" vbProcedure="false">#REF!</definedName>
    <definedName function="false" hidden="true" name="BLPH363" vbProcedure="false">#REF!</definedName>
    <definedName function="false" hidden="true" name="BLPH364" vbProcedure="false">#REF!</definedName>
    <definedName function="false" hidden="true" name="BLPH365" vbProcedure="false">#REF!</definedName>
    <definedName function="false" hidden="true" name="BLPH366" vbProcedure="false">#REF!</definedName>
    <definedName function="false" hidden="true" name="BLPH367" vbProcedure="false">#REF!</definedName>
    <definedName function="false" hidden="true" name="BLPH368" vbProcedure="false">#REF!</definedName>
    <definedName function="false" hidden="true" name="BLPH369" vbProcedure="false">#REF!</definedName>
    <definedName function="false" hidden="true" name="BLPH37" vbProcedure="false">#REF!</definedName>
    <definedName function="false" hidden="true" name="BLPH370" vbProcedure="false">#REF!</definedName>
    <definedName function="false" hidden="true" name="BLPH371" vbProcedure="false">#REF!</definedName>
    <definedName function="false" hidden="true" name="BLPH372" vbProcedure="false">#REF!</definedName>
    <definedName function="false" hidden="true" name="BLPH373" vbProcedure="false">#REF!</definedName>
    <definedName function="false" hidden="true" name="BLPH374" vbProcedure="false">#REF!</definedName>
    <definedName function="false" hidden="true" name="BLPH375" vbProcedure="false">#REF!</definedName>
    <definedName function="false" hidden="true" name="BLPH376" vbProcedure="false">#REF!</definedName>
    <definedName function="false" hidden="true" name="BLPH377" vbProcedure="false">#REF!</definedName>
    <definedName function="false" hidden="true" name="BLPH378" vbProcedure="false">#REF!</definedName>
    <definedName function="false" hidden="true" name="BLPH379" vbProcedure="false">#REF!</definedName>
    <definedName function="false" hidden="true" name="BLPH38" vbProcedure="false">#REF!</definedName>
    <definedName function="false" hidden="true" name="BLPH380" vbProcedure="false">#REF!</definedName>
    <definedName function="false" hidden="true" name="BLPH381" vbProcedure="false">#REF!</definedName>
    <definedName function="false" hidden="true" name="BLPH382" vbProcedure="false">#REF!</definedName>
    <definedName function="false" hidden="true" name="BLPH383" vbProcedure="false">#REF!</definedName>
    <definedName function="false" hidden="true" name="BLPH384" vbProcedure="false">#REF!</definedName>
    <definedName function="false" hidden="true" name="BLPH385" vbProcedure="false">#REF!</definedName>
    <definedName function="false" hidden="true" name="BLPH386" vbProcedure="false">#REF!</definedName>
    <definedName function="false" hidden="true" name="BLPH387" vbProcedure="false">#REF!</definedName>
    <definedName function="false" hidden="true" name="BLPH388" vbProcedure="false">#REF!</definedName>
    <definedName function="false" hidden="true" name="BLPH389" vbProcedure="false">#REF!</definedName>
    <definedName function="false" hidden="true" name="BLPH39" vbProcedure="false">#REF!</definedName>
    <definedName function="false" hidden="true" name="BLPH390" vbProcedure="false">#REF!</definedName>
    <definedName function="false" hidden="true" name="BLPH391" vbProcedure="false">#REF!</definedName>
    <definedName function="false" hidden="true" name="BLPH392" vbProcedure="false">#REF!</definedName>
    <definedName function="false" hidden="true" name="BLPH393" vbProcedure="false">#REF!</definedName>
    <definedName function="false" hidden="true" name="BLPH394" vbProcedure="false">#REF!</definedName>
    <definedName function="false" hidden="true" name="BLPH395" vbProcedure="false">#REF!</definedName>
    <definedName function="false" hidden="true" name="BLPH396" vbProcedure="false">#REF!</definedName>
    <definedName function="false" hidden="true" name="BLPH397" vbProcedure="false">#REF!</definedName>
    <definedName function="false" hidden="true" name="BLPH398" vbProcedure="false">#REF!</definedName>
    <definedName function="false" hidden="true" name="BLPH399" vbProcedure="false">#REF!</definedName>
    <definedName function="false" hidden="true" name="BLPH4" vbProcedure="false">#REF!</definedName>
    <definedName function="false" hidden="true" name="BLPH40" vbProcedure="false">#REF!</definedName>
    <definedName function="false" hidden="true" name="BLPH400" vbProcedure="false">#REF!</definedName>
    <definedName function="false" hidden="true" name="BLPH401" vbProcedure="false">#REF!</definedName>
    <definedName function="false" hidden="true" name="BLPH402" vbProcedure="false">#REF!</definedName>
    <definedName function="false" hidden="true" name="BLPH403" vbProcedure="false">#REF!</definedName>
    <definedName function="false" hidden="true" name="BLPH404" vbProcedure="false">#REF!</definedName>
    <definedName function="false" hidden="true" name="BLPH405" vbProcedure="false">#REF!</definedName>
    <definedName function="false" hidden="true" name="BLPH406" vbProcedure="false">#REF!</definedName>
    <definedName function="false" hidden="true" name="BLPH407" vbProcedure="false">#REF!</definedName>
    <definedName function="false" hidden="true" name="BLPH408" vbProcedure="false">#REF!</definedName>
    <definedName function="false" hidden="true" name="BLPH409" vbProcedure="false">#REF!</definedName>
    <definedName function="false" hidden="true" name="BLPH41" vbProcedure="false">#REF!</definedName>
    <definedName function="false" hidden="true" name="BLPH410" vbProcedure="false">#REF!</definedName>
    <definedName function="false" hidden="true" name="BLPH411" vbProcedure="false">#REF!</definedName>
    <definedName function="false" hidden="true" name="BLPH412" vbProcedure="false">#REF!</definedName>
    <definedName function="false" hidden="true" name="BLPH413" vbProcedure="false">#REF!</definedName>
    <definedName function="false" hidden="true" name="BLPH414" vbProcedure="false">#REF!</definedName>
    <definedName function="false" hidden="true" name="BLPH415" vbProcedure="false">#REF!</definedName>
    <definedName function="false" hidden="true" name="BLPH416" vbProcedure="false">#REF!</definedName>
    <definedName function="false" hidden="true" name="BLPH417" vbProcedure="false">#REF!</definedName>
    <definedName function="false" hidden="true" name="BLPH418" vbProcedure="false">#REF!</definedName>
    <definedName function="false" hidden="true" name="BLPH419" vbProcedure="false">#REF!</definedName>
    <definedName function="false" hidden="true" name="BLPH42" vbProcedure="false">#REF!</definedName>
    <definedName function="false" hidden="true" name="BLPH420" vbProcedure="false">#REF!</definedName>
    <definedName function="false" hidden="true" name="BLPH421" vbProcedure="false">#REF!</definedName>
    <definedName function="false" hidden="true" name="BLPH422" vbProcedure="false">#REF!</definedName>
    <definedName function="false" hidden="true" name="BLPH423" vbProcedure="false">#REF!</definedName>
    <definedName function="false" hidden="true" name="BLPH424" vbProcedure="false">#REF!</definedName>
    <definedName function="false" hidden="true" name="BLPH425" vbProcedure="false">#REF!</definedName>
    <definedName function="false" hidden="true" name="BLPH426" vbProcedure="false">#REF!</definedName>
    <definedName function="false" hidden="true" name="BLPH43" vbProcedure="false">#REF!</definedName>
    <definedName function="false" hidden="true" name="BLPH44" vbProcedure="false">#REF!</definedName>
    <definedName function="false" hidden="true" name="BLPH445" vbProcedure="false">#REF!</definedName>
    <definedName function="false" hidden="true" name="BLPH446" vbProcedure="false">#REF!</definedName>
    <definedName function="false" hidden="true" name="BLPH447" vbProcedure="false">#REF!</definedName>
    <definedName function="false" hidden="true" name="BLPH448" vbProcedure="false">#REF!</definedName>
    <definedName function="false" hidden="true" name="BLPH45" vbProcedure="false">#REF!</definedName>
    <definedName function="false" hidden="true" name="BLPH451" vbProcedure="false">#REF!</definedName>
    <definedName function="false" hidden="true" name="BLPH452" vbProcedure="false">#REF!</definedName>
    <definedName function="false" hidden="true" name="BLPH453" vbProcedure="false">#REF!</definedName>
    <definedName function="false" hidden="true" name="BLPH454" vbProcedure="false">#REF!</definedName>
    <definedName function="false" hidden="true" name="BLPH46" vbProcedure="false">#REF!</definedName>
    <definedName function="false" hidden="true" name="BLPH47" vbProcedure="false">#REF!</definedName>
    <definedName function="false" hidden="true" name="BLPH48" vbProcedure="false">#REF!</definedName>
    <definedName function="false" hidden="true" name="BLPH49" vbProcedure="false">#REF!</definedName>
    <definedName function="false" hidden="true" name="BLPH5" vbProcedure="false">#REF!</definedName>
    <definedName function="false" hidden="true" name="BLPH50" vbProcedure="false">#REF!</definedName>
    <definedName function="false" hidden="true" name="BLPH51" vbProcedure="false">#REF!</definedName>
    <definedName function="false" hidden="true" name="BLPH52" vbProcedure="false">#REF!</definedName>
    <definedName function="false" hidden="true" name="BLPH53" vbProcedure="false">#REF!</definedName>
    <definedName function="false" hidden="true" name="BLPH54" vbProcedure="false">#REF!</definedName>
    <definedName function="false" hidden="true" name="BLPH55" vbProcedure="false">#REF!</definedName>
    <definedName function="false" hidden="true" name="BLPH56" vbProcedure="false">#REF!</definedName>
    <definedName function="false" hidden="true" name="BLPH57" vbProcedure="false">#REF!</definedName>
    <definedName function="false" hidden="true" name="BLPH58" vbProcedure="false">#REF!</definedName>
    <definedName function="false" hidden="true" name="BLPH59" vbProcedure="false">#REF!</definedName>
    <definedName function="false" hidden="true" name="BLPH6" vbProcedure="false">#REF!</definedName>
    <definedName function="false" hidden="true" name="BLPH60" vbProcedure="false">#REF!</definedName>
    <definedName function="false" hidden="true" name="BLPH61" vbProcedure="false">#REF!</definedName>
    <definedName function="false" hidden="true" name="BLPH62" vbProcedure="false">#REF!</definedName>
    <definedName function="false" hidden="true" name="BLPH63" vbProcedure="false">#REF!</definedName>
    <definedName function="false" hidden="true" name="BLPH64" vbProcedure="false">#REF!</definedName>
    <definedName function="false" hidden="true" name="BLPH65" vbProcedure="false">#REF!</definedName>
    <definedName function="false" hidden="true" name="BLPH66" vbProcedure="false">#REF!</definedName>
    <definedName function="false" hidden="true" name="BLPH67" vbProcedure="false">#REF!</definedName>
    <definedName function="false" hidden="true" name="BLPH68" vbProcedure="false">#REF!</definedName>
    <definedName function="false" hidden="true" name="BLPH69" vbProcedure="false">#REF!</definedName>
    <definedName function="false" hidden="true" name="BLPH7" vbProcedure="false">#REF!</definedName>
    <definedName function="false" hidden="true" name="BLPH70" vbProcedure="false">#REF!</definedName>
    <definedName function="false" hidden="true" name="BLPH71" vbProcedure="false">#REF!</definedName>
    <definedName function="false" hidden="true" name="BLPH72" vbProcedure="false">#REF!</definedName>
    <definedName function="false" hidden="true" name="BLPH73" vbProcedure="false">#REF!</definedName>
    <definedName function="false" hidden="true" name="BLPH74" vbProcedure="false">#REF!</definedName>
    <definedName function="false" hidden="true" name="BLPH75" vbProcedure="false">#REF!</definedName>
    <definedName function="false" hidden="true" name="BLPH76" vbProcedure="false">#REF!</definedName>
    <definedName function="false" hidden="true" name="BLPH77" vbProcedure="false">#REF!</definedName>
    <definedName function="false" hidden="true" name="BLPH78" vbProcedure="false">#REF!</definedName>
    <definedName function="false" hidden="true" name="BLPH79" vbProcedure="false">#REF!</definedName>
    <definedName function="false" hidden="true" name="BLPH8" vbProcedure="false">#REF!</definedName>
    <definedName function="false" hidden="true" name="BLPH80" vbProcedure="false">#REF!</definedName>
    <definedName function="false" hidden="true" name="BLPH81" vbProcedure="false">#REF!</definedName>
    <definedName function="false" hidden="true" name="BLPH82" vbProcedure="false">#REF!</definedName>
    <definedName function="false" hidden="true" name="BLPH83" vbProcedure="false">#REF!</definedName>
    <definedName function="false" hidden="true" name="BLPH84" vbProcedure="false">#REF!</definedName>
    <definedName function="false" hidden="true" name="BLPH85" vbProcedure="false">#REF!</definedName>
    <definedName function="false" hidden="true" name="BLPH86" vbProcedure="false">#REF!</definedName>
    <definedName function="false" hidden="true" name="BLPH87" vbProcedure="false">#REF!</definedName>
    <definedName function="false" hidden="true" name="BLPH88" vbProcedure="false">#REF!</definedName>
    <definedName function="false" hidden="true" name="BLPH89" vbProcedure="false">#REF!</definedName>
    <definedName function="false" hidden="true" name="BLPH9" vbProcedure="false">#REF!</definedName>
    <definedName function="false" hidden="true" name="BLPH90" vbProcedure="false">#REF!</definedName>
    <definedName function="false" hidden="true" name="BLPH900011" vbProcedure="false">#REF!</definedName>
    <definedName function="false" hidden="true" name="BLPH900012" vbProcedure="false">#REF!</definedName>
    <definedName function="false" hidden="true" name="BLPH900013" vbProcedure="false">#REF!</definedName>
    <definedName function="false" hidden="true" name="BLPH91" vbProcedure="false">#REF!</definedName>
    <definedName function="false" hidden="true" name="BLPH92" vbProcedure="false">#REF!</definedName>
    <definedName function="false" hidden="true" name="BLPH93" vbProcedure="false">#REF!</definedName>
    <definedName function="false" hidden="true" name="BLPH94" vbProcedure="false">#REF!</definedName>
    <definedName function="false" hidden="true" name="BLPH95" vbProcedure="false">#REF!</definedName>
    <definedName function="false" hidden="true" name="BLPH96" vbProcedure="false">#REF!</definedName>
    <definedName function="false" hidden="true" name="BLPH97" vbProcedure="false">#REF!</definedName>
    <definedName function="false" hidden="true" name="BLPH98" vbProcedure="false">#REF!</definedName>
    <definedName function="false" hidden="true" name="BLPH99" vbProcedure="false">#REF!</definedName>
    <definedName function="false" hidden="true" name="bmbnmn" vbProcedure="false">{#N/A,#N/A,FALSE,"KA CH  (2)"}</definedName>
    <definedName function="false" hidden="true" name="bmt4Updated" vbProcedure="false">41157.727037037</definedName>
    <definedName function="false" hidden="true" name="bmv" vbProcedure="false">{#N/A,#N/A,FALSE,"DCF";#N/A,#N/A,FALSE,"WACC";#N/A,#N/A,FALSE,"Sales_EBIT";#N/A,#N/A,FALSE,"Capex_Depreciation";#N/A,#N/A,FALSE,"WC";#N/A,#N/A,FALSE,"Interest";#N/A,#N/A,FALSE,"Assumptions"}</definedName>
    <definedName function="false" hidden="true" name="bn"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bnbn" vbProcedure="false">{"oct_res_comm",#N/A,FALSE,"VarToBud"}</definedName>
    <definedName function="false" hidden="true" name="BNCVHDO" vbProcedure="false">{"'Demand Units'!$X$11:$AD$45"}</definedName>
    <definedName function="false" hidden="true" name="bndwfb" vbProcedure="false">{"FY97Total var",#N/A,FALSE,"FY97 - Total";"FY98Total var",#N/A,FALSE,"FY98 - Total"}</definedName>
    <definedName function="false" hidden="true" name="BNFJRFKJ" vbProcedure="false">{"'Demand Units'!$X$11:$AD$45"}</definedName>
    <definedName function="false" hidden="true" name="BNGHFKFD" vbProcedure="false">{"'Demand Units'!$X$11:$AD$45"}</definedName>
    <definedName function="false" hidden="true" name="bnkj" vbProcedure="false">{#N/A,#N/A,FALSE,"output";#N/A,#N/A,FALSE,"contrib";#N/A,#N/A,FALSE,"profile";#N/A,#N/A,FALSE,"comps"}</definedName>
    <definedName function="false" hidden="true" name="bnkj1" vbProcedure="false">{#N/A,#N/A,FALSE,"output";#N/A,#N/A,FALSE,"contrib";#N/A,#N/A,FALSE,"profile";#N/A,#N/A,FALSE,"comps"}</definedName>
    <definedName function="false" hidden="true" name="bnm" vbProcedure="false">{#N/A,#N/A,FALSE,"REPORT"}</definedName>
    <definedName function="false" hidden="true" name="bnmk" vbProcedure="false">{#N/A,#N/A,FALSE,"Produkte Erw.";#N/A,#N/A,FALSE,"Produkte Plan";#N/A,#N/A,FALSE,"Leistungen Erw.";#N/A,#N/A,FALSE,"Leistungen Plan";#N/A,#N/A,FALSE,"KA Allg.Kosten (2)";#N/A,#N/A,FALSE,"KA All.Kosten"}</definedName>
    <definedName function="false" hidden="true" name="bnmm" vbProcedure="false">{"detail",#N/A,FALSE,"mfg";"summary",#N/A,FALSE,"mfg"}</definedName>
    <definedName function="false" hidden="true" name="bnnn" vbProcedure="false">{"consolidated",#N/A,FALSE,"Sheet1";"cms",#N/A,FALSE,"Sheet1";"fse",#N/A,FALSE,"Sheet1"}</definedName>
    <definedName function="false" hidden="true" name="bno" vbProcedure="false">{#N/A,#N/A,FALSE,"Index";#N/A,#N/A,FALSE,"1.1";#N/A,#N/A,FALSE,"Scenario Summary"}</definedName>
    <definedName function="false" hidden="true" name="both203" vbProcedure="false">{"detail",#N/A,FALSE,"mfg";"summary",#N/A,FALSE,"mfg"}</definedName>
    <definedName function="false" hidden="true" name="both204" vbProcedure="false">{"detail",#N/A,FALSE,"mfg";"summary",#N/A,FALSE,"mfg"}</definedName>
    <definedName function="false" hidden="true" name="both89n" vbProcedure="false">{"detail",#N/A,FALSE,"mfg";"summary",#N/A,FALSE,"mfg"}</definedName>
    <definedName function="false" hidden="true" name="both8mj" vbProcedure="false">{"detail",#N/A,FALSE,"mfg";"summary",#N/A,FALSE,"mfg"}</definedName>
    <definedName function="false" hidden="true" name="br" vbProcedure="false">{"'Munka1'!$B$1:$G$101"}</definedName>
    <definedName function="false" hidden="false" name="BraRepKumuliert" vbProcedure="false">#REF!</definedName>
    <definedName function="false" hidden="true" name="brgew" vbProcedure="false">{"'Munka1'!$B$1:$G$101"}</definedName>
    <definedName function="false" hidden="true" name="Bridge" vbProcedure="false">{"Inc.",#N/A,FALSE,"ORIGNAL";"Allocations",#N/A,FALSE,"ORIGNAL";#N/A,#N/A,FALSE,"Inv.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function="false" hidden="true" name="Brightline" vbProcedure="false">{"Curr Month",#N/A,FALSE,"Curr Mo";"Total West",#N/A,FALSE,"Curr Mo";"YTD",#N/A,FALSE,"Curr Mo";"12 Months",#N/A,FALSE,"Curr Mo";"13 Months",#N/A,FALSE,"Curr Mo";"14 Months",#N/A,FALSE,"Curr Mo";"15 Months",#N/A,FALSE,"Curr Mo";"43 Months",#N/A,FALSE,"Curr Mo";"45 Months",#N/A,FALSE,"Curr Mo";"63 Months",#N/A,FALSE,"Curr Mo"}</definedName>
    <definedName function="false" hidden="true" name="Briteline" vbProcedure="false">{"Curr Month",#N/A,FALSE,"Curr Mo";"Total West",#N/A,FALSE,"Curr Mo";"YTD",#N/A,FALSE,"Curr Mo";"12 Months",#N/A,FALSE,"Curr Mo";"13 Months",#N/A,FALSE,"Curr Mo";"14 Months",#N/A,FALSE,"Curr Mo";"15 Months",#N/A,FALSE,"Curr Mo";"43 Months",#N/A,FALSE,"Curr Mo";"45 Months",#N/A,FALSE,"Curr Mo";"63 Months",#N/A,FALSE,"Curr Mo"}</definedName>
    <definedName function="false" hidden="true" name="briteline___" vbProcedure="false">{"Curr Month",#N/A,FALSE,"Curr Mo";"Total West",#N/A,FALSE,"Curr Mo";"YTD",#N/A,FALSE,"Curr Mo";"12 Months",#N/A,FALSE,"Curr Mo";"13 Months",#N/A,FALSE,"Curr Mo";"14 Months",#N/A,FALSE,"Curr Mo";"15 Months",#N/A,FALSE,"Curr Mo";"43 Months",#N/A,FALSE,"Curr Mo";"45 Months",#N/A,FALSE,"Curr Mo";"63 Months",#N/A,FALSE,"Curr Mo"}</definedName>
    <definedName function="false" hidden="true" name="Broker" vbProcedure="false">{"'Analysis'!$A$1:$B$4,$A$6:$N$129"}</definedName>
    <definedName function="false" hidden="true" name="Broker2" vbProcedure="false">{"'Analysis'!$A$1:$B$4,$A$6:$N$129"}</definedName>
    <definedName function="false" hidden="true" name="BROW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true" name="Bryan" vbProcedure="false">{#N/A,"PURADD",FALSE,"Business Analysis";#N/A,"PURSPP",FALSE,"Business Analysis";#N/A,"CTGIND",FALSE,"Business Analysis";#N/A,"PURCHM",FALSE,"Business Analysis";#N/A,"SPADD",FALSE,"Business Analysis";#N/A,"EPOXY",FALSE,"Business Analysis";#N/A,"PURPER",FALSE,"Business Analysis"}</definedName>
    <definedName function="false" hidden="true" name="bs" vbProcedure="false">{#N/A,#N/A,FALSE,"Acq-Val";#N/A,#N/A,FALSE,"Acq-Mult Val"}</definedName>
    <definedName function="false" hidden="true" name="BSIWhichPageSetup" vbProcedure="false">1</definedName>
    <definedName function="false" hidden="true" name="BSIWhichPageSetup_0" vbProcedure="false">"0þ"</definedName>
    <definedName function="false" hidden="true" name="BS차이내역" vbProcedure="false">{#N/A,#N/A,FALSE,"정공"}</definedName>
    <definedName function="false" hidden="true" name="bt"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Budget_ASM_Set" vbProcedure="false">{"'Sheet1'!$A$1:$H$96"}</definedName>
    <definedName function="false" hidden="true" name="budjsett1" vbProcedure="false">{#N/A,#N/A,FALSE,"PrintH"}</definedName>
    <definedName function="false" hidden="true" name="budjsett_halvår1" vbProcedure="false">{#N/A,#N/A,FALSE,"PrintH"}</definedName>
    <definedName function="false" hidden="true" name="budsjett_per1" vbProcedure="false">{#N/A,#N/A,FALSE,"Sheet2"}</definedName>
    <definedName function="false" hidden="true" name="budsjett_per_mnd1" vbProcedure="false">{#N/A,#N/A,FALSE,"PrintM"}</definedName>
    <definedName function="false" hidden="true" name="buibd"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bull" vbProcedure="false">{#N/A,#N/A,FALSE,"Combo-Ass ";#N/A,#N/A,FALSE,"Combo-AD sum";#N/A,#N/A,FALSE,"Combo-Syn Sens";#N/A,#N/A,FALSE,"Combo-Contr";#N/A,#N/A,FALSE,"Combo-Credit Sum";#N/A,#N/A,FALSE,"Combo-Credit";#N/A,#N/A,FALSE,"Combo-AD";#N/A,#N/A,FALSE,"Combo-AD CF"}</definedName>
    <definedName function="false" hidden="true" name="bull2" vbProcedure="false">{#N/A,"PURCHM",FALSE,"Business Analysis";#N/A,"SPADD",FALSE,"Business Analysis"}</definedName>
    <definedName function="false" hidden="true" name="bull3" vbProcedure="false">{"detail",#N/A,FALSE,"mfg";"summary",#N/A,FALSE,"mfg"}</definedName>
    <definedName function="false" hidden="true" name="bull4" vbProcedure="false">{#N/A,"PURCHM",FALSE,"Business Analysis";#N/A,"SPADD",FALSE,"Business Analysis"}</definedName>
    <definedName function="false" hidden="true" name="bull5" vbProcedure="false">{#N/A,"PURADD",FALSE,"Business Analysis";#N/A,"PURSPP",FALSE,"Business Analysis";#N/A,"CTGIND",FALSE,"Business Analysis";#N/A,"PURCHM",FALSE,"Business Analysis";#N/A,"SPADD",FALSE,"Business Analysis";#N/A,"EPOXY",FALSE,"Business Analysis";#N/A,"PURPER",FALSE,"Business Analysis"}</definedName>
    <definedName function="false" hidden="true" name="bullsf" vbProcedure="false">{#N/A,#N/A,TRUE,"Tar-Ass";#N/A,#N/A,TRUE,"Tar-Ass LBO";#N/A,#N/A,TRUE,"LBO Ret";#N/A,#N/A,TRUE,"Tar-BS LBO";#N/A,#N/A,TRUE,"Tar-IS LBO";#N/A,#N/A,TRUE,"Tar-CF LBO";#N/A,#N/A,TRUE,"Tar-Debt LBO";#N/A,#N/A,TRUE,"Tar-Int LBO";#N/A,#N/A,TRUE,"Tar-Taxes LBO";#N/A,#N/A,TRUE,"Tar-Val LBO"}</definedName>
    <definedName function="false" hidden="true" name="bumper" vbProcedure="false">{#N/A,#N/A,FALSE,"Assumptions";#N/A,#N/A,FALSE,"Volumes";#N/A,#N/A,FALSE,"Pricing";#N/A,#N/A,FALSE,"Variable Cost";#N/A,#N/A,FALSE,"Investment";#N/A,#N/A,FALSE,"Profitability";#N/A,#N/A,FALSE,"Business Comparison"}</definedName>
    <definedName function="false" hidden="true" name="bus" vbProcedure="false">{#N/A,#N/A,TRUE,"PSG Total Contacts";#N/A,#N/A,TRUE,"PSG Rep Total";#N/A,#N/A,TRUE,"Core Rep Detail";#N/A,#N/A,TRUE,"BC Rep Detail";#N/A,#N/A,TRUE,"Marlboro";#N/A,#N/A,TRUE,"Covington";#N/A,#N/A,TRUE,"Dallas";#N/A,#N/A,TRUE,"VRS Stats";#N/A,#N/A,TRUE,"Internet";#N/A,#N/A,TRUE,"NCO and Call Mix";#N/A,#N/A,TRUE,"VRS &amp; Rep Calls"}</definedName>
    <definedName function="false" hidden="true" name="busais"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busarea201"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busarea203"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but" vbProcedure="false">{#N/A,#N/A,FALSE,"DK1VER";#N/A,#N/A,FALSE,"DK1VER"}</definedName>
    <definedName function="false" hidden="true" name="bvbx" vbProcedure="false">{#N/A,#N/A,TRUE,"Historicals";#N/A,#N/A,TRUE,"Charts";#N/A,#N/A,TRUE,"Forecasts"}</definedName>
    <definedName function="false" hidden="true" name="bvcx" vbProcedure="false">{#N/A,#N/A,TRUE,"Historicals";#N/A,#N/A,TRUE,"Charts";#N/A,#N/A,TRUE,"Forecasts"}</definedName>
    <definedName function="false" hidden="true" name="BV_OVER_SHARES" vbProcedure="false">"BV_OVER_SHARES"</definedName>
    <definedName function="false" hidden="true" name="BY" vbProcedure="false">{"'Data'!$A$1:$D$17"}</definedName>
    <definedName function="false" hidden="true" name="bz" vbProcedure="false">{"budget95",#N/A,TRUE,"Tabelle1";"Tab1",#N/A,TRUE,"Tabelle2"}</definedName>
    <definedName function="false" hidden="true" name="c.LTMYear" vbProcedure="false">#REF!</definedName>
    <definedName function="false" hidden="true" name="cab" vbProcedure="false">{"'Munka1'!$B$1:$G$101"}</definedName>
    <definedName function="false" hidden="true" name="Cable" vbProcedure="false">{#N/A,#N/A,FALSE,"Operations";#N/A,#N/A,FALSE,"Financials"}</definedName>
    <definedName function="false" hidden="true" name="Cable2" vbProcedure="false">{#N/A,#N/A,FALSE,"Operations";#N/A,#N/A,FALSE,"Financials"}</definedName>
    <definedName function="false" hidden="true" name="cabt" vbProcedure="false">{"'Munka1'!$B$1:$G$101"}</definedName>
    <definedName function="false" hidden="true" name="CabTec" vbProcedure="false">{"'Munka1'!$B$1:$G$101"}</definedName>
    <definedName function="false" hidden="true" name="cabtec2" vbProcedure="false">{"'Munka1'!$B$1:$G$101"}</definedName>
    <definedName function="false" hidden="true" name="Cabtec3" vbProcedure="false">{"'Munka1'!$B$1:$G$101"}</definedName>
    <definedName function="false" hidden="true" name="CAE해석" vbProcedure="false">{#N/A,#N/A,FALSE,"단축1";#N/A,#N/A,FALSE,"단축2";#N/A,#N/A,FALSE,"단축3";#N/A,#N/A,FALSE,"장축";#N/A,#N/A,FALSE,"4WD"}</definedName>
    <definedName function="false" hidden="true" name="cagnew" vbProcedure="false">{"IS",#N/A,FALSE,"IS";"RPTIS",#N/A,FALSE,"RPTIS";"STATS",#N/A,FALSE,"STATS";"CELL",#N/A,FALSE,"CELL";"BS",#N/A,FALSE,"BS"}</definedName>
    <definedName function="false" hidden="true" name="calle" vbProcedure="false">{#N/A,#N/A,FALSE,"PrintS"}</definedName>
    <definedName function="false" hidden="true" name="calle1" vbProcedure="false">{#N/A,#N/A,FALSE,"PrintS"}</definedName>
    <definedName function="false" hidden="true" name="caos" vbProcedure="false">{"FY97Total",#N/A,FALSE,"FY97 - Total";"FY98Total",#N/A,FALSE,"FY98 - Total"}</definedName>
    <definedName function="false" hidden="true" name="CAPA" vbProcedure="false">{#N/A,#N/A,FALSE,"인원";#N/A,#N/A,FALSE,"비용2";#N/A,#N/A,FALSE,"비용1";#N/A,#N/A,FALSE,"비용";#N/A,#N/A,FALSE,"보증2";#N/A,#N/A,FALSE,"보증1";#N/A,#N/A,FALSE,"보증";#N/A,#N/A,FALSE,"손익1";#N/A,#N/A,FALSE,"손익";#N/A,#N/A,FALSE,"부서별매출";#N/A,#N/A,FALSE,"매출"}</definedName>
    <definedName function="false" hidden="true" name="Capacity" vbProcedure="false">{#N/A,#N/A,FALSE,"IPO";#N/A,#N/A,FALSE,"DCF";#N/A,#N/A,FALSE,"LBO";#N/A,#N/A,FALSE,"MULT_VAL";#N/A,#N/A,FALSE,"Status Quo";#N/A,#N/A,FALSE,"Recap"}</definedName>
    <definedName function="false" hidden="true" name="CAPEX" vbProcedure="false">"CAPEX"</definedName>
    <definedName function="false" hidden="true" name="capitalized" vbProcedure="false">{#N/A,#N/A,FALSE,"Title Page";#N/A,#N/A,FALSE,"Conclusions";#N/A,#N/A,FALSE,"Assum.";#N/A,#N/A,FALSE,"Sun  DCF-WC-Dep";#N/A,#N/A,FALSE,"MarketValue";#N/A,#N/A,FALSE,"BalSheet";#N/A,#N/A,FALSE,"WACC";#N/A,#N/A,FALSE,"PC+ Info.";#N/A,#N/A,FALSE,"PC+Info_2"}</definedName>
    <definedName function="false" hidden="true" name="CapitalStructure" vbProcedure="false">#REF!</definedName>
    <definedName function="false" hidden="true" name="CAPITAL_EXPEN" vbProcedure="false">"CAPITAL_EXPEN"</definedName>
    <definedName function="false" hidden="true" name="CAPITAL_LEASE" vbProcedure="false">"CAPITAL_LEASE"</definedName>
    <definedName function="false" hidden="true" name="CapSpendingExcludesSanFu" vbProcedure="false">{"detail",#N/A,FALSE,"mfg";"summary",#N/A,FALSE,"mfg"}</definedName>
    <definedName function="false" hidden="true" name="carla" vbProcedure="false">{"FY98Q1",#N/A,FALSE,"FY98 - Q1";"FY98Q2",#N/A,FALSE,"FY98 - Q2";"FY98Q3",#N/A,FALSE,"FY98 - Q3";"FY98Q4",#N/A,FALSE,"FY98 - Q4"}</definedName>
    <definedName function="false" hidden="true" name="casca" vbProcedure="false">{"'Data'!$A$1:$D$17"}</definedName>
    <definedName function="false" hidden="true" name="CashflFinanzierg" vbProcedure="false">#REF!</definedName>
    <definedName function="false" hidden="true" name="CashflFinanzierg_" vbProcedure="false">#REF!</definedName>
    <definedName function="false" hidden="true" name="CashflInvestition" vbProcedure="false">#REF!</definedName>
    <definedName function="false" hidden="true" name="CashflInvestition_" vbProcedure="false">#REF!</definedName>
    <definedName function="false" hidden="true" name="CashflLfdGesch" vbProcedure="false">#REF!</definedName>
    <definedName function="false" hidden="true" name="CashflLfdGesch_" vbProcedure="false">#REF!</definedName>
    <definedName function="false" hidden="true" name="CASH_DUE_BANKS" vbProcedure="false">"CASH_DUE_BANKS"</definedName>
    <definedName function="false" hidden="true" name="CASH_EQUIV" vbProcedure="false">"CASH_EQUIV"</definedName>
    <definedName function="false" hidden="true" name="CASH_INTEREST" vbProcedure="false">"CASH_INTEREST"</definedName>
    <definedName function="false" hidden="true" name="CASH_ST" vbProcedure="false">"CASH_ST"</definedName>
    <definedName function="false" hidden="true" name="CASH_TAXES" vbProcedure="false">"CASH_TAXES"</definedName>
    <definedName function="false" hidden="true" name="cast" vbProcedure="false">{#N/A,#N/A,TRUE,"PSG Total Contacts";#N/A,#N/A,TRUE,"PSG Rep Total";#N/A,#N/A,TRUE,"Core Rep Detail";#N/A,#N/A,TRUE,"BC Rep Detail";#N/A,#N/A,TRUE,"Marlboro";#N/A,#N/A,TRUE,"Covington";#N/A,#N/A,TRUE,"Dallas";#N/A,#N/A,TRUE,"VRS Stats";#N/A,#N/A,TRUE,"Internet";#N/A,#N/A,TRUE,"NCO and Call Mix";#N/A,#N/A,TRUE,"VRS &amp; Rep Calls"}</definedName>
    <definedName function="false" hidden="true" name="casta" vbProcedure="false">{"FY97Total var",#N/A,FALSE,"FY97 - Total";"FY98Total var",#N/A,FALSE,"FY98 - Total"}</definedName>
    <definedName function="false" hidden="true" name="CBWorkbookPriority" vbProcedure="false">-1131501022</definedName>
    <definedName function="false" hidden="true" name="cb_Add_CalloutChart_24_opts" vbProcedure="false">"1, 9, 1, False, 2, False, False, , 0, False, False, 1, 1"</definedName>
    <definedName function="false" hidden="true" name="cb_Add_CalloutChart_25_opts" vbProcedure="false">"1, 10, 1, False, 2, False, False, , 0, False, True, 1, 1"</definedName>
    <definedName function="false" hidden="true" name="cb_Add_CalloutChart_26_opts" vbProcedure="false">"1, 9, 1, False, 2, False, False, , 0, False, True, 1, 1"</definedName>
    <definedName function="false" hidden="true" name="cb_ALT_STACKED_COLUMNChart_22_opts" vbProcedure="false">"1, 3, 1, False, 2, True, False, , 0, False, True, 1, 2"</definedName>
    <definedName function="false" hidden="true" name="cb_ALT_STACKED_COLUMNChart_23_opts" vbProcedure="false">"1, 3, 1, False, 2, True, False, , 0, False, True, 1, 2"</definedName>
    <definedName function="false" hidden="true" name="cb_bChart595EC34_opts" vbProcedure="false">"1, 9, 1, False, 2, False, False, , 0, False, True, 1, 1"</definedName>
    <definedName function="false" hidden="true" name="cb_bChart9876793_opts" vbProcedure="false">"1, 2, 1, False, 2, False, False, , 0, False, False, 2, 2"</definedName>
    <definedName function="false" hidden="true" name="cb_Chart_100032_opts" vbProcedure="false">"1, 10, 1, False, 2, True, False, , 0, False, False, 2, 2"</definedName>
    <definedName function="false" hidden="true" name="cb_Chart_10104_opts" vbProcedure="false">"1, 5, 1, False, 2, True, False, , 0, True, False, 2, 1"</definedName>
    <definedName function="false" hidden="true" name="cb_Chart_10401_opts" vbProcedure="false">"1, 5, 1, False, 2, False, False, , 0, True, False, 2, 1"</definedName>
    <definedName function="false" hidden="true" name="cb_Chart_10736_opts" vbProcedure="false">"1, 10, 1, False, 2, False, False, , 0, False, False, 2, 2"</definedName>
    <definedName function="false" hidden="true" name="cb_Chart_10_opts" vbProcedure="false">"1, 8, 1, False, 2, False, False, , 0, False, False, 2, 2"</definedName>
    <definedName function="false" hidden="true" name="cb_Chart_11_opts" vbProcedure="false">"1, 1, 1, False, 2, False, False, , 0, False, False, 2, 2"</definedName>
    <definedName function="false" hidden="true" name="cb_Chart_12_opts" vbProcedure="false">"1, 8, 1, False, 2, False, False, , 0, False, False, 2, 2"</definedName>
    <definedName function="false" hidden="true" name="cb_Chart_13_opts" vbProcedure="false">"1, 8, 1, False, 2, False, False, , 0, False, False, 2, 2"</definedName>
    <definedName function="false" hidden="true" name="cb_Chart_14_opts" vbProcedure="false">"1, 8, 1, False, 2, False, False, , 0, False, False, 2, 2"</definedName>
    <definedName function="false" hidden="true" name="cb_Chart_1501_opts" vbProcedure="false">"1, 10, 1, False, 2, True, False, , 0, False, False, 2, 2"</definedName>
    <definedName function="false" hidden="true" name="cb_Chart_15_opts" vbProcedure="false">"2, 1, 2, True, 2, False, False, , 0, False, True, 1, 2"</definedName>
    <definedName function="false" hidden="true" name="cb_Chart_1670_opts" vbProcedure="false">"1, 5, 1, False, 2, True, False, , 0, False, False, 2, 1"</definedName>
    <definedName function="false" hidden="true" name="cb_Chart_16_opts" vbProcedure="false">"1, 8, 1, False, 2, False, False, , 0, False, False, 2, 2"</definedName>
    <definedName function="false" hidden="true" name="cb_Chart_17_opts" vbProcedure="false">"1, 6, 1, False, 2, False, False, , 0, False, True, 2, 2"</definedName>
    <definedName function="false" hidden="true" name="cb_Chart_18_opts" vbProcedure="false">"1, 9, 1, False, 2, False, False, , 0, False, False, 1, 1"</definedName>
    <definedName function="false" hidden="true" name="cb_Chart_19_opts" vbProcedure="false">"1, 2, 1, False, 2, True, False, , 0, True, False, 2, 1"</definedName>
    <definedName function="false" hidden="true" name="cb_Chart_1opts1" vbProcedure="false">"1, 9, 1, False, 2, False, True, , 1, False, True, 1, 1"</definedName>
    <definedName function="false" hidden="true" name="cb_Chart_1_opts" vbProcedure="false">"1, 6, 1, False, 2, False, False, , 0, False, True, 1, 2"</definedName>
    <definedName function="false" hidden="true" name="cb_Chart_20_opts" vbProcedure="false">"1, 9, 1, False, 2, False, False, , 0, False, False, 1, 1"</definedName>
    <definedName function="false" hidden="true" name="cb_Chart_21_opts" vbProcedure="false">"1, 2, 1, False, 2, False, False, , 0, False, False, 2, 1"</definedName>
    <definedName function="false" hidden="true" name="cb_Chart_22784_opts" vbProcedure="false">"1, 9, 1, False, 2, False, False, , 0, False, True, 1, 2"</definedName>
    <definedName function="false" hidden="true" name="cb_Chart_22_opts" vbProcedure="false">"1, 2, 1, False, 2, True, False, , 0, False, False, 2, 1"</definedName>
    <definedName function="false" hidden="true" name="cb_Chart_23_opts" vbProcedure="false">"1, 9, 1, False, 2, False, False, , 0, False, False, 1, 1"</definedName>
    <definedName function="false" hidden="true" name="cb_Chart_24490_opts" vbProcedure="false">"1, 10, 1, False, 2, True, False, , 0, False, False, 2, 2"</definedName>
    <definedName function="false" hidden="true" name="cb_Chart_24_opts" vbProcedure="false">"1, 2, 1, False, 2, False, False, , 0, False, False, 2, 1"</definedName>
    <definedName function="false" hidden="true" name="cb_Chart_25_opts" vbProcedure="false">"1, 3, 1, False, 2, False, False, , 0, True, True, 1, 2"</definedName>
    <definedName function="false" hidden="true" name="cb_Chart_26476_opts" vbProcedure="false">"1, 1, 1, False, 2, True, False, , 0, False, False, 1, 2"</definedName>
    <definedName function="false" hidden="true" name="cb_Chart_26_opts" vbProcedure="false">"1, 8, 1, False, 2, False, False, , 0, False, False, 2, 2"</definedName>
    <definedName function="false" hidden="true" name="cb_Chart_27_opts" vbProcedure="false">"1, 1, 1, False, 2, True, False, , 0, False, True, 1, 2"</definedName>
    <definedName function="false" hidden="true" name="cb_Chart_28031_opts" vbProcedure="false">"1, 1, 1, False, 2, True, False, , 0, False, False, 1, 2"</definedName>
    <definedName function="false" hidden="true" name="cb_Chart_28545_opts" vbProcedure="false">"1, 5, 1, False, 2, True, False, , 0, False, True, 2, 1"</definedName>
    <definedName function="false" hidden="true" name="cb_Chart_28_opts" vbProcedure="false">"1, 3, 1, False, 2, True, False, , 0, False, True, 1, 2"</definedName>
    <definedName function="false" hidden="true" name="cb_Chart_29053_opts" vbProcedure="false">"1, 10, 1, False, 2, True, False, , 0, False, False, 2, 2"</definedName>
    <definedName function="false" hidden="true" name="cb_Chart_29913_opts" vbProcedure="false">"1, 1, 1, False, 2, False, False, , 0, False, False, 1, 1"</definedName>
    <definedName function="false" hidden="true" name="cb_Chart_29_opts" vbProcedure="false">"1, 3, 1, False, 2, False, False, , 0, False, False, 1, 1"</definedName>
    <definedName function="false" hidden="true" name="cb_Chart_2_opts" vbProcedure="false">"1, 6, 1, False, 2, False, False, , 0, False, False, 1, 2"</definedName>
    <definedName function="false" hidden="true" name="cb_Chart_30292_opts" vbProcedure="false">"1, 1, 1, False, 2, False, False, , 0, False, False, 1, 2"</definedName>
    <definedName function="false" hidden="true" name="cb_Chart_30_opts" vbProcedure="false">"1, 3, 1, False, 2, True, False, , 0, False, True, 1, 2"</definedName>
    <definedName function="false" hidden="true" name="cb_Chart_31_opts" vbProcedure="false">"1, 1, 1, False, 2, True, False, , 0, True, True, 2, 2"</definedName>
    <definedName function="false" hidden="true" name="cb_Chart_32_opts" vbProcedure="false">"1, 1, 1, False, 2, True, False, , 0, False, False, 2, 2"</definedName>
    <definedName function="false" hidden="true" name="cb_Chart_33_opts" vbProcedure="false">"1, 1, 1, False, 2, True, False, , 0, False, True, 3, 2"</definedName>
    <definedName function="false" hidden="true" name="cb_Chart_34_opts" vbProcedure="false">"1, 3, 1, False, 2, True, False, , 0, False, True, 2, 1"</definedName>
    <definedName function="false" hidden="true" name="cb_Chart_36498_opts" vbProcedure="false">"1, 1, 1, False, 2, True, False, , 0, False, False, 1, 2"</definedName>
    <definedName function="false" hidden="true" name="cb_Chart_37450_opts" vbProcedure="false">"1, 10, 1, False, 2, True, False, , 0, False, False, 2, 2"</definedName>
    <definedName function="false" hidden="true" name="cb_Chart_3_opts" vbProcedure="false">"1, 1, 1, False, 2, True, False, , 0, False, False, 2, 2"</definedName>
    <definedName function="false" hidden="true" name="cb_Chart_40_opts" vbProcedure="false">"1, 1, 1, False, 2, False, False, , 0, False, False, 3, 2"</definedName>
    <definedName function="false" hidden="true" name="cb_Chart_41499_opts" vbProcedure="false">"1, 10, 1, False, 2, True, False, , 0, False, False, 2, 2"</definedName>
    <definedName function="false" hidden="true" name="cb_Chart_41_opts" vbProcedure="false">"1, 10, 1, False, 2, True, False, , 0, False, False, 2, 1"</definedName>
    <definedName function="false" hidden="true" name="cb_Chart_42_opts" vbProcedure="false">"1, 3, 1, False, 2, True, False, , 0, False, True, 1, 2"</definedName>
    <definedName function="false" hidden="true" name="cb_Chart_43_opts" vbProcedure="false">"1, 10, 1, False, 2, True, False, , 0, False, False, 2, 1"</definedName>
    <definedName function="false" hidden="true" name="cb_Chart_4634_opts" vbProcedure="false">"1, 10, 1, False, 2, True, False, , 0, False, False, 2, 2"</definedName>
    <definedName function="false" hidden="true" name="cb_Chart_4664_opts" vbProcedure="false">"1, 5, 1, False, 2, True, False, , 0, False, True, 1, 2"</definedName>
    <definedName function="false" hidden="true" name="cb_Chart_46965_opts" vbProcedure="false">"1, 1, 1, False, 2, False, False, , 0, False, False, 1, 1"</definedName>
    <definedName function="false" hidden="true" name="cb_Chart_48_opts" vbProcedure="false">"2, 1, 2, True, 2, False, False, , 0, False, True, 1, 1"</definedName>
    <definedName function="false" hidden="true" name="cb_Chart_49_opts" vbProcedure="false">"2, 1, 2, True, 2, False, False, , 0, False, True, 1, 1"</definedName>
    <definedName function="false" hidden="true" name="cb_Chart_4_opts" vbProcedure="false">"1, 7, 1, False, 2, False, False, , 0, False, True, 1, 2"</definedName>
    <definedName function="false" hidden="true" name="cb_Chart_5" vbProcedure="false">#N/A</definedName>
    <definedName function="false" hidden="true" name="cb_Chart_50_opts" vbProcedure="false">"2, 1, 2, True, 2, False, False, , 0, False, True, 1, 1"</definedName>
    <definedName function="false" hidden="true" name="cb_Chart_51_opts" vbProcedure="false">"1, 2, 1, False, 2, False, False, , 0, False, False, 2, 1"</definedName>
    <definedName function="false" hidden="true" name="cb_Chart_52582_opts" vbProcedure="false">"1, 1, 1, False, 2, False, False, , 0, False, False, 1, 2"</definedName>
    <definedName function="false" hidden="true" name="cb_Chart_52_opts" vbProcedure="false">"1, 2, 1, False, 2, False, False, , 0, False, False, 2, 1"</definedName>
    <definedName function="false" hidden="true" name="cb_Chart_53437_opts" vbProcedure="false">"1, 10, 1, False, 2, True, False, , 0, False, False, 2, 2"</definedName>
    <definedName function="false" hidden="true" name="cb_Chart_53482_opts" vbProcedure="false">"1, 10, 1, False, 2, True, False, , 0, False, False, 2, 2"</definedName>
    <definedName function="false" hidden="true" name="cb_Chart_53_opts" vbProcedure="false">"1, 9, 1, False, 2, False, True, , 3, False, False, 1, 1"</definedName>
    <definedName function="false" hidden="true" name="cb_Chart_5449_opts" vbProcedure="false">"1, 1, 1, False, 2, False, False, , 0, False, False, 1, 1"</definedName>
    <definedName function="false" hidden="true" name="cb_Chart_54_opts" vbProcedure="false">"1, 2, 1, False, 2, False, False, , 0, False, False, 2, 1"</definedName>
    <definedName function="false" hidden="true" name="cb_Chart_55_opts" vbProcedure="false">"1, 7, 1, False, 2, False, False, , 0, False, True, 2, 2"</definedName>
    <definedName function="false" hidden="true" name="cb_Chart_5723_opts" vbProcedure="false">"1, 1, 1, False, 2, True, False, , 0, False, True, 1, 2"</definedName>
    <definedName function="false" hidden="true" name="cb_Chart_57613_opts" vbProcedure="false">"1, 5, 1, False, 2, True, False, , 0, False, True, 2, 1"</definedName>
    <definedName function="false" hidden="true" name="cb_Chart_58046_opts" vbProcedure="false">"1, 10, 1, False, 2, True, False, , 0, False, False, 2, 2"</definedName>
    <definedName function="false" hidden="true" name="cb_Chart_59010_opts" vbProcedure="false">"1, 2, 1, False, 2, False, False, , 0, False, False, 2, 1"</definedName>
    <definedName function="false" hidden="true" name="cb_Chart_59340_opts" vbProcedure="false">"1, 1, 1, False, 2, False, False, , 0, False, False, 1, 1"</definedName>
    <definedName function="false" hidden="true" name="cb_Chart_5_opts" vbProcedure="false">"1, 8, 1, False, 2, False, False, , 0, False, False, 1, 2"</definedName>
    <definedName function="false" hidden="true" name="cb_Chart_62364_opts" vbProcedure="false">"1, 1, 1, False, 2, True, False, , 0, False, False, 1, 2"</definedName>
    <definedName function="false" hidden="true" name="cb_Chart_64876_opts" vbProcedure="false">"1, 1, 1, False, 2, True, False, , 0, False, False, 1, 2"</definedName>
    <definedName function="false" hidden="true" name="cb_Chart_66_opts" vbProcedure="false">"1, 1, 1, False, 2, False, False, , 0, False, False, 1, 1"</definedName>
    <definedName function="false" hidden="true" name="cb_Chart_67711_opts" vbProcedure="false">"1, 10, 1, False, 2, True, False, , 0, False, False, 2, 2"</definedName>
    <definedName function="false" hidden="true" name="cb_Chart_69605_opts" vbProcedure="false">"1, 2, 1, False, 2, False, False, , 0, False, False, 2, 1"</definedName>
    <definedName function="false" hidden="true" name="cb_Chart_6_opts" vbProcedure="false">"1, 10, 1, False, 2, True, False, , 0, False, False, 2, 2"</definedName>
    <definedName function="false" hidden="true" name="cb_Chart_70648_opts" vbProcedure="false">"1, 1, 1, False, 2, True, False, , 0, False, False, 2, 2"</definedName>
    <definedName function="false" hidden="true" name="cb_Chart_70997_opts" vbProcedure="false">"1, 10, 1, False, 2, False, False, , 0, False, False, 1, 1"</definedName>
    <definedName function="false" hidden="true" name="cb_Chart_70_opts" vbProcedure="false">"1, 10, 1, False, 2, True, False, , 0, False, False, 1, 1"</definedName>
    <definedName function="false" hidden="true" name="cb_Chart_71_opts" vbProcedure="false">"1, 10, 1, False, 2, False, False, , 0, False, False, 1, 1"</definedName>
    <definedName function="false" hidden="true" name="cb_Chart_72_opts" vbProcedure="false">"1, 10, 1, False, 2, True, False, , 0, False, False, 1, 1"</definedName>
    <definedName function="false" hidden="true" name="cb_Chart_73_opts" vbProcedure="false">"1, 10, 1, False, 2, False, False, , 0, False, False, 1, 1"</definedName>
    <definedName function="false" hidden="true" name="cb_Chart_76165_opts" vbProcedure="false">"1, 10, 1, False, 2, True, False, , 0, False, False, 2, 2"</definedName>
    <definedName function="false" hidden="true" name="cb_Chart_76804_opts" vbProcedure="false">"1, 1, 1, False, 2, False, False, , 0, False, False, 1, 1"</definedName>
    <definedName function="false" hidden="true" name="cb_Chart_77567_opts" vbProcedure="false">"1, 10, 1, False, 2, False, False, , 0, False, False, 1, 1"</definedName>
    <definedName function="false" hidden="true" name="cb_Chart_79140_opts" vbProcedure="false">"1, 10, 1, False, 2, True, False, , 0, False, False, 2, 2"</definedName>
    <definedName function="false" hidden="true" name="cb_Chart_79981_opts" vbProcedure="false">"1, 5, 1, False, 2, True, False, , 0, True, False, 2, 1"</definedName>
    <definedName function="false" hidden="true" name="cb_Chart_7_opts" vbProcedure="false">"2, 1, 2, True, 2, False, False, , 0, False, True, 1, 2"</definedName>
    <definedName function="false" hidden="true" name="cb_Chart_81541_opts" vbProcedure="false">"1, 10, 1, False, 2, True, False, , 0, False, False, 2, 2"</definedName>
    <definedName function="false" hidden="true" name="cb_Chart_82552_opts" vbProcedure="false">"1, 1, 1, False, 2, True, False, , 0, False, False, 1, 2"</definedName>
    <definedName function="false" hidden="true" name="cb_Chart_83072_opts" vbProcedure="false">"1, 1, 1, False, 2, True, False, , 0, False, False, 1, 2"</definedName>
    <definedName function="false" hidden="true" name="cb_Chart_86354_opts" vbProcedure="false">"1, 10, 1, False, 2, False, False, , 0, False, False, 1, 1"</definedName>
    <definedName function="false" hidden="true" name="cb_Chart_87236_opts" vbProcedure="false">"1, 1, 1, False, 2, True, False, , 0, False, False, 1, 2"</definedName>
    <definedName function="false" hidden="true" name="cb_Chart_8_opts" vbProcedure="false">"1, 7, 1, False, 2, False, False, , 0, False, True, 2, 2"</definedName>
    <definedName function="false" hidden="true" name="cb_Chart_91188_opts" vbProcedure="false">"1, 8, 1, False, 2, False, False, , 0, False, False, 1, 2"</definedName>
    <definedName function="false" hidden="true" name="cb_Chart_95047_opts" vbProcedure="false">"1, 1, 1, False, 2, False, False, , 0, False, False, 1, 2"</definedName>
    <definedName function="false" hidden="true" name="cb_Chart_96286_opts" vbProcedure="false">"1, 10, 1, False, 2, True, False, , 0, False, False, 2, 2"</definedName>
    <definedName function="false" hidden="true" name="cb_Chart_98091_opts" vbProcedure="false">"1, 2, 1, False, 2, False, False, , 0, False, False, 2, 1"</definedName>
    <definedName function="false" hidden="true" name="cb_Chart_98700_opts" vbProcedure="false">"1, 8, 1, False, 2, False, False, , 0, False, False, 1, 2"</definedName>
    <definedName function="false" hidden="true" name="cb_Chart_9_opts" vbProcedure="false">"1, 8, 1, False, 2, False, False, , 0, False, False, 1, 1"</definedName>
    <definedName function="false" hidden="true" name="cb_Copy_Chart_w_New_DataChart_10_opts" vbProcedure="false">"2, 1, 1, True, 4, False, False, , 0, False, False, 2, 2"</definedName>
    <definedName function="false" hidden="true" name="cb_Copy_Chart_w_New_DataChart_7_opts" vbProcedure="false">"2, 1, 1, True, 4, False, False, , 0, False, False, 2, 2"</definedName>
    <definedName function="false" hidden="true" name="cb_Copy_Chart_w_New_DataChart_8_opts" vbProcedure="false">"2, 1, 1, True, 4, False, False, , 0, False, False, 2, 2"</definedName>
    <definedName function="false" hidden="true" name="cb_Copy_Chart_w_New_DataChart_9_opts" vbProcedure="false">"2, 1, 1, True, 4, False, False, , 0, False, False, 2, 2"</definedName>
    <definedName function="false" hidden="true" name="cb_Dimension_Pie_ChartsChart_1_opts" vbProcedure="false">"1, 1, 1, False, 2, True, False, , 0, False, False, 2, 2"</definedName>
    <definedName function="false" hidden="true" name="cb_Dimension_Pie_ChartsChart_2_opts" vbProcedure="false">"1, 10, 1, False, 2, True, False, , 0, False, False, 2, 2"</definedName>
    <definedName function="false" hidden="true" name="cb_Export_LegendChart_14_opts" vbProcedure="false">"1, 10, 1, False, 2, True, False, , 0, False, False, 2, 2"</definedName>
    <definedName function="false" hidden="true" name="cb_Export_LegendChart_15_opts" vbProcedure="false">"1, 10, 1, False, 2, True, False, , 0, False, False, 2, 2"</definedName>
    <definedName function="false" hidden="true" name="cb_PieChart_16_opts" vbProcedure="false">"1, 10, 1, False, 2, True, False, , 0, False, False, 2, 2"</definedName>
    <definedName function="false" hidden="true" name="cb_sChart105F0196_opts" vbProcedure="false">"1, 2, 1, False, 2, False, False, , 1, False, False, 2, 1"</definedName>
    <definedName function="false" hidden="true" name="cb_sChart10D6460A_opts" vbProcedure="false">"1, 1, 1, False, 2, True, False, , 0, False, False, 1, 1"</definedName>
    <definedName function="false" hidden="true" name="cb_sChart10D65256_opts" vbProcedure="false">"1, 1, 1, False, 2, True, False, , 0, False, False, 1, 1"</definedName>
    <definedName function="false" hidden="true" name="cb_sChart10D653EB_opts" vbProcedure="false">"1, 1, 1, False, 2, True, False, , 0, False, False, 1, 1"</definedName>
    <definedName function="false" hidden="true" name="cb_sChart10D65893_opts" vbProcedure="false">"1, 1, 1, False, 2, True, False, , 0, False, False, 1, 1"</definedName>
    <definedName function="false" hidden="true" name="cb_sChart12595BBC_opts" vbProcedure="false">"1, 1, 1, False, 2, True, False, , 0, False, False, 2, 2"</definedName>
    <definedName function="false" hidden="true" name="cb_sChart12595E44_opts" vbProcedure="false">"1, 3, 1, False, 2, True, False, , 0, True, False, 2, 2"</definedName>
    <definedName function="false" hidden="true" name="cb_sChart12D83A2_opts" vbProcedure="false">"1, 1, 1, False, 2, False, False, , 0, False, True, 2, 2"</definedName>
    <definedName function="false" hidden="true" name="cb_sChart12D852C_opts" vbProcedure="false">"1, 1, 1, False, 2, False, False, , 0, False, True, 2, 2"</definedName>
    <definedName function="false" hidden="true" name="cb_sChart12D89EB_opts" vbProcedure="false">"1, 1, 1, False, 2, False, False, , 0, False, True, 2, 2"</definedName>
    <definedName function="false" hidden="true" name="cb_sChart12DAD51_opts" vbProcedure="false">"1, 1, 1, False, 2, False, False, , 0, False, True, 2, 2"</definedName>
    <definedName function="false" hidden="true" name="cb_sChart12E7B7B_opts" vbProcedure="false">"1, 1, 1, False, 2, True, False, , 0, False, True, 2, 2"</definedName>
    <definedName function="false" hidden="true" name="cb_sChart12E83C1_opts" vbProcedure="false">"1, 1, 1, False, 2, False, False, , 0, False, True, 2, 1"</definedName>
    <definedName function="false" hidden="true" name="cb_sChart12E85B3_opts" vbProcedure="false">"1, 1, 1, False, 2, False, False, , 0, False, True, 2, 2"</definedName>
    <definedName function="false" hidden="true" name="cb_sChart12E8C9E_opts" vbProcedure="false">"1, 2, 1, False, 2, False, False, , 0, False, False, 2, 1"</definedName>
    <definedName function="false" hidden="true" name="cb_sChart12EA8E0_opts" vbProcedure="false">"1, 1, 1, False, 2, True, False, , 0, False, False, 2, 2"</definedName>
    <definedName function="false" hidden="true" name="cb_sChart12EB078_opts" vbProcedure="false">"1, 1, 1, False, 2, False, False, , 0, False, False, 2, 2"</definedName>
    <definedName function="false" hidden="true" name="cb_sChart12EBD15_opts" vbProcedure="false">"1, 1, 1, False, 2, False, False, , 0, False, False, 2, 2"</definedName>
    <definedName function="false" hidden="true" name="cb_sChart12FE48A_opts" vbProcedure="false">"1, 2, 1, False, 2, False, False, , 0, False, False, 2, 1"</definedName>
    <definedName function="false" hidden="true" name="cb_sChart12FE9EB_opts" vbProcedure="false">"1, 1, 1, False, 2, False, False, , 0, False, False, 1, 2"</definedName>
    <definedName function="false" hidden="true" name="cb_sChart12FEDFD_opts" vbProcedure="false">"1, 1, 1, False, 2, False, False, , 0, False, False, 1, 2"</definedName>
    <definedName function="false" hidden="true" name="cb_sChart12FF231_opts" vbProcedure="false">"1, 1, 1, False, 2, False, False, , 0, False, False, 1, 2"</definedName>
    <definedName function="false" hidden="true" name="cb_sChart12FF8BF_opts" vbProcedure="false">"1, 1, 1, False, 2, False, False, , 0, False, False, 1, 2"</definedName>
    <definedName function="false" hidden="true" name="cb_sChart12FF933_opts" vbProcedure="false">"1, 3, 1, False, 2, False, False, , 0, False, False, 1, 2"</definedName>
    <definedName function="false" hidden="true" name="cb_sChart12FFC46_opts" vbProcedure="false">"1, 1, 1, False, 2, False, False, , 0, False, False, 1, 2"</definedName>
    <definedName function="false" hidden="true" name="cb_sChart13476674_opts" vbProcedure="false">"2, 1, 1, True, 2, False, False, , 0, False, False, 1, 1"</definedName>
    <definedName function="false" hidden="true" name="cb_sChart13485B52_opts" vbProcedure="false">"2, 1, 1, False, 2, False, False, , 0, False, False, 1, 1"</definedName>
    <definedName function="false" hidden="true" name="cb_sChart13786B54_opts" vbProcedure="false">"2, 1, 1, False, 2, False, False, , 0, False, True, 1, 1"</definedName>
    <definedName function="false" hidden="true" name="cb_sChart1385548A_opts" vbProcedure="false">"2, 1, 1, False, 2, False, False, , 0, False, True, 1, 1"</definedName>
    <definedName function="false" hidden="true" name="cb_sChart1386774B_opts" vbProcedure="false">"2, 1, 2, True, 2, False, False, , 0, False, True, 1, 1"</definedName>
    <definedName function="false" hidden="true" name="cb_sChart1386B158_opts" vbProcedure="false">"2, 1, 2, True, 2, False, False, , 0, False, True, 1, 1"</definedName>
    <definedName function="false" hidden="true" name="cb_sChart1386B304_opts" vbProcedure="false">"2, 1, 1, False, 2, False, False, , 0, False, False, 1, 1"</definedName>
    <definedName function="false" hidden="true" name="cb_sChart1386B3E0_opts" vbProcedure="false">"2, 1, 1, True, 2, False, False, , 0, False, False, 1, 1"</definedName>
    <definedName function="false" hidden="true" name="cb_sChart13893CA8_opts" vbProcedure="false">"1, 3, 1, False, 2, False, False, , 0, False, True, 1, 1"</definedName>
    <definedName function="false" hidden="true" name="cb_sChart138A89C6_opts" vbProcedure="false">"1, 5, 1, False, 2, True, False, , 0, False, True, 1, 1"</definedName>
    <definedName function="false" hidden="true" name="cb_sChart138A98B2_opts" vbProcedure="false">"1, 3, 1, False, 2, False, False, , 0, False, False, 1, 1"</definedName>
    <definedName function="false" hidden="true" name="cb_sChart138A9A2F_opts" vbProcedure="false">"1, 5, 1, False, 2, False, False, , 0, False, False, 1, 1"</definedName>
    <definedName function="false" hidden="true" name="cb_sChart138B4149_opts" vbProcedure="false">"1, 5, 1, False, 2, False, False, , 0, False, False, 1, 1"</definedName>
    <definedName function="false" hidden="true" name="cb_sChart139636EA_opts" vbProcedure="false">"1, 1, 1, False, 2, False, False, , 0, False, False, 1, 1"</definedName>
    <definedName function="false" hidden="true" name="cb_sChart139637E9_opts" vbProcedure="false">"1, 1, 1, False, 2, False, False, , 0, False, False, 3, 1"</definedName>
    <definedName function="false" hidden="true" name="cb_sChart139638B9_opts" vbProcedure="false">"1, 1, 1, False, 2, False, False, , 0, False, False, 1, 2"</definedName>
    <definedName function="false" hidden="true" name="cb_sChart1396821A_opts" vbProcedure="false">"1, 9, 1, False, 2, False, False, , 0, False, True, 1, 1"</definedName>
    <definedName function="false" hidden="true" name="cb_sChart1396872A_opts" vbProcedure="false">"1, 9, 1, False, 2, False, False, , 0, False, True, 1, 1"</definedName>
    <definedName function="false" hidden="true" name="cb_sChart1396D1AC_opts" vbProcedure="false">"1, 9, 1, False, 2, False, False, , 0, False, True, 1, 1"</definedName>
    <definedName function="false" hidden="true" name="cb_sChart139AA6C1_opts" vbProcedure="false">"2, 1, 1, True, 2, False, False, , 0, False, True, 1, 1"</definedName>
    <definedName function="false" hidden="true" name="cb_sChart155036A2_opts" vbProcedure="false">"1, 1, 1, False, 2, True, False, , 0, False, False, 1, 1"</definedName>
    <definedName function="false" hidden="true" name="cb_sChart155F5559_opts" vbProcedure="false">"1, 1, 1, False, 2, False, False, , 0, False, False, 1, 1"</definedName>
    <definedName function="false" hidden="true" name="cb_sChart155F5734_opts" vbProcedure="false">"1, 1, 1, False, 2, False, False, , 0, False, False, 2, 1"</definedName>
    <definedName function="false" hidden="true" name="cb_sChart155F57B3_opts" vbProcedure="false">"1, 1, 1, False, 2, False, False, , 0, False, False, 1, 1"</definedName>
    <definedName function="false" hidden="true" name="cb_sChart16EBA7BA_opts" vbProcedure="false">"1, 1, 1, False, 2, True, False, , 0, False, True, 1, 2"</definedName>
    <definedName function="false" hidden="true" name="cb_sChart181DCCD8_opts" vbProcedure="false">"1, 9, 1, False, 2, False, False, , 0, False, True, 1, 2"</definedName>
    <definedName function="false" hidden="true" name="cb_sChart181DCFF7_opts" vbProcedure="false">"1, 3, 1, False, 2, True, False, , 0, True, True, 2, 1"</definedName>
    <definedName function="false" hidden="true" name="cb_sChart181DDD93_opts" vbProcedure="false">"1, 3, 1, False, 2, True, False, , 0, True, True, 2, 1"</definedName>
    <definedName function="false" hidden="true" name="cb_sChart181DDEEE_opts" vbProcedure="false">"1, 3, 1, False, 2, True, False, , 0, True, True, 2, 1"</definedName>
    <definedName function="false" hidden="true" name="cb_sChart181DE1C7_opts" vbProcedure="false">"1, 10, 1, False, 2, True, False, , 0, False, True, 2, 1"</definedName>
    <definedName function="false" hidden="true" name="cb_sChart181E8791_opts" vbProcedure="false">"2, 1, 2, True, 2, True, False, , 0, False, True, 1, 2"</definedName>
    <definedName function="false" hidden="true" name="cb_sChart181E96D9_opts" vbProcedure="false">"1, 9, 1, False, 2, False, False, , 0, False, True, 1, 2"</definedName>
    <definedName function="false" hidden="true" name="cb_sChart19DDC996_opts" vbProcedure="false">"1, 10, 1, False, 2, False, False, , 0, False, False, 2, 2"</definedName>
    <definedName function="false" hidden="true" name="cb_sChart1AC0211C_opts" vbProcedure="false">"1, 1, 1, False, 2, False, False, , 0, False, False, 2, 2"</definedName>
    <definedName function="false" hidden="true" name="cb_sChart1AC021B3_opts" vbProcedure="false">"1, 1, 1, False, 2, False, False, , 0, False, False, 2, 2"</definedName>
    <definedName function="false" hidden="true" name="cb_sChart1AC02226_opts" vbProcedure="false">"1, 1, 1, False, 2, False, False, , 0, False, False, 2, 2"</definedName>
    <definedName function="false" hidden="true" name="cb_sChart1AC02446_opts" vbProcedure="false">"1, 1, 1, False, 2, True, False, , 0, False, True, 2, 2"</definedName>
    <definedName function="false" hidden="true" name="cb_sChart1AC02765_opts" vbProcedure="false">"1, 1, 1, False, 2, True, False, , 0, False, True, 2, 2"</definedName>
    <definedName function="false" hidden="true" name="cb_sChart1AC027D9_opts" vbProcedure="false">"1, 1, 1, False, 2, True, False, , 0, False, True, 2, 2"</definedName>
    <definedName function="false" hidden="true" name="cb_sChart1B34D814_opts" vbProcedure="false">"1, 1, 1, False, 2, True, False, , 0, False, False, 1, 1"</definedName>
    <definedName function="false" hidden="true" name="cb_sChart1B34D894_opts" vbProcedure="false">"1, 1, 1, False, 2, True, False, , 0, False, False, 1, 2"</definedName>
    <definedName function="false" hidden="true" name="cb_sChart1B34D987_opts" vbProcedure="false">"1, 1, 1, False, 2, False, False, , 0, False, False, 1, 2"</definedName>
    <definedName function="false" hidden="true" name="cb_sChart1B7AB11_opts" vbProcedure="false">"1, 7, 1, False, 2, False, False, , 0, False, True, 1, 1"</definedName>
    <definedName function="false" hidden="true" name="cb_sChart1B7ECF0_opts" vbProcedure="false">"1, 9, 1, False, 2, False, False, , 0, False, False, 1, 1"</definedName>
    <definedName function="false" hidden="true" name="cb_sChart1B8AF1F_opts" vbProcedure="false">"1, 9, 1, False, 2, False, True, , 0, False, False, 1, 1"</definedName>
    <definedName function="false" hidden="true" name="cb_sChart1B99DE1_opts" vbProcedure="false">"1, 7, 1, False, 2, False, False, , 0, False, True, 1, 2"</definedName>
    <definedName function="false" hidden="true" name="cb_sChart1BA8AA_opts" vbProcedure="false">"1, 1, 1, False, 2, False, False, , 0, False, False, 1, 2"</definedName>
    <definedName function="false" hidden="true" name="cb_sChart1BADD1_opts" vbProcedure="false">"1, 1, 1, False, 2, False, False, , 0, False, False, 2, 2"</definedName>
    <definedName function="false" hidden="true" name="cb_sChart1CAAAF_opts" vbProcedure="false">"1, 1, 1, False, 2, False, False, , 0, False, False, 3, 2"</definedName>
    <definedName function="false" hidden="true" name="cb_sChart1D05BD_opts" vbProcedure="false">"1, 4, 1, False, 2, True, False, , 0, False, False, 2, 1"</definedName>
    <definedName function="false" hidden="true" name="cb_sChart1D0E49_opts" vbProcedure="false">"1, 1, 1, False, 2, True, False, , 0, False, True, 2, 1"</definedName>
    <definedName function="false" hidden="true" name="cb_sChart1D0EF7_opts" vbProcedure="false">"1, 5, 1, False, 2, True, False, , 0, False, True, 2, 1"</definedName>
    <definedName function="false" hidden="true" name="cb_sChart1D3AE8_opts" vbProcedure="false">"1, 6, 1, False, 2, False, False, , 0, False, True, 2, 2"</definedName>
    <definedName function="false" hidden="true" name="cb_sChart1D3EEF_opts" vbProcedure="false">"1, 7, 1, False, 2, False, False, , 0, False, True, 2, 2"</definedName>
    <definedName function="false" hidden="true" name="cb_sChart1D41EA_opts" vbProcedure="false">"1, 8, 1, False, 2, False, False, , 0, False, False, 2, 2"</definedName>
    <definedName function="false" hidden="true" name="cb_sChart1D4AB240_opts" vbProcedure="false">"1, 9, 1, False, 2, False, False, , 0, False, True, 2, 2"</definedName>
    <definedName function="false" hidden="true" name="cb_sChart1D5372A5_opts" vbProcedure="false">"1, 5, 1, False, 2, False, False, , 0, False, False, 1, 1"</definedName>
    <definedName function="false" hidden="true" name="cb_sChart1D5891_opts" vbProcedure="false">"1, 9, 1, False, 2, False, False, , 0, False, True, 2, 2"</definedName>
    <definedName function="false" hidden="true" name="cb_sChart1D9CE2_opts" vbProcedure="false">"1, 10, 1, False, 2, True, False, , 0, False, False, 2, 2"</definedName>
    <definedName function="false" hidden="true" name="cb_sChart1DA03A_opts" vbProcedure="false">"2, 1, 1, True, 3, False, False, , 0, False, True, 1, 2"</definedName>
    <definedName function="false" hidden="true" name="cb_sChart1DA590_opts" vbProcedure="false">"2, 1, 1, True, 3, False, False, , 0, False, True, 2, 2"</definedName>
    <definedName function="false" hidden="true" name="cb_sChart1DB9B8D4_opts" vbProcedure="false">"1, 10, 1, False, 2, False, False, , 0, False, False, 1, 1"</definedName>
    <definedName function="false" hidden="true" name="cb_sChart1DB9C5CE_opts" vbProcedure="false">"1, 10, 1, False, 2, False, False, , 0, False, False, 1, 1"</definedName>
    <definedName function="false" hidden="true" name="cb_sChart1DBAAD_opts" vbProcedure="false">"2, 1, 2, True, 2, False, False, , 0, False, True, 1, 2"</definedName>
    <definedName function="false" hidden="true" name="cb_sChart1DBB89_opts" vbProcedure="false">"2, 1, 2, True, 2, False, False, , 0, False, True, 1, 1"</definedName>
    <definedName function="false" hidden="true" name="cb_sChart1DBCD0EE_opts" vbProcedure="false">"1, 10, 1, False, 2, False, False, , 0, False, False, 1, 1"</definedName>
    <definedName function="false" hidden="true" name="cb_sChart1DBCD418_opts" vbProcedure="false">"1, 10, 1, False, 2, False, False, , 0, False, False, 1, 1"</definedName>
    <definedName function="false" hidden="true" name="cb_sChart1DCA97_opts" vbProcedure="false">"2, 1, 1, True, 2, False, False, , 0, False, True, 2, 1"</definedName>
    <definedName function="false" hidden="true" name="cb_sChart1DCCF1_opts" vbProcedure="false">"2, 1, 1, True, 2, False, False, , 0, False, True, 1, 2"</definedName>
    <definedName function="false" hidden="true" name="cb_sChart1E1206_opts" vbProcedure="false">"2, 1, 3, False, 2, False, False, , 0, False, True, 2, 2"</definedName>
    <definedName function="false" hidden="true" name="cb_sChart1E17F2_opts" vbProcedure="false">"1, 9, 1, False, 2, False, False, , 0, False, True, 1, 1"</definedName>
    <definedName function="false" hidden="true" name="cb_sChart1E2D49_opts" vbProcedure="false">"1, 10, 1, False, 2, True, False, , 0, False, False, 3, 2"</definedName>
    <definedName function="false" hidden="true" name="cb_sChart1E2DEB_opts" vbProcedure="false">"1, 10, 1, False, 2, True, False, , 0, False, False, 2, 2"</definedName>
    <definedName function="false" hidden="true" name="cb_sChart1E3944_opts" vbProcedure="false">"1, 10, 1, False, 2, True, False, , 0, False, False, 2, 2"</definedName>
    <definedName function="false" hidden="true" name="cb_sChart1E3BE4_opts" vbProcedure="false">"1, 10, 1, False, 2, True, False, , 0, False, False, 2, 2"</definedName>
    <definedName function="false" hidden="true" name="cb_sChart1E3E3D_opts" vbProcedure="false">"1, 10, 1, False, 2, True, False, , 0, False, False, 1, 2"</definedName>
    <definedName function="false" hidden="true" name="cb_sChart1E4314_opts" vbProcedure="false">"1, 10, 1, False, 2, True, False, , 0, False, False, 2, 2"</definedName>
    <definedName function="false" hidden="true" name="cb_sChart1E4E56_opts" vbProcedure="false">"1, 1, 1, False, 2, False, False, , 0, False, False, 2, 2"</definedName>
    <definedName function="false" hidden="true" name="cb_sChart1E5372_opts" vbProcedure="false">"1, 1, 1, False, 2, True, False, , 0, False, True, 2, 2"</definedName>
    <definedName function="false" hidden="true" name="cb_sChart1E5975_opts" vbProcedure="false">"2, 1, 2, True, 2, False, False, , 0, False, True, 1, 2"</definedName>
    <definedName function="false" hidden="true" name="cb_sChart1E5C43_opts" vbProcedure="false">"2, 1, 2, True, 2, False, False, , 0, False, True, 2, 2"</definedName>
    <definedName function="false" hidden="true" name="cb_sChart1E5F4A_opts" vbProcedure="false">"2, 1, 2, True, 2, False, False, , 0, False, True, 1, 2"</definedName>
    <definedName function="false" hidden="true" name="cb_sChart23F891A_opts" vbProcedure="false">"1, 9, 1, False, 2, False, False, , 0, False, True, 1, 1"</definedName>
    <definedName function="false" hidden="true" name="cb_sChart24ED245_opts" vbProcedure="false">"1, 9, 1, False, 2, False, False, , 0, False, True, 1, 1"</definedName>
    <definedName function="false" hidden="true" name="cb_sChart24ED930_opts" vbProcedure="false">"1, 9, 1, False, 2, False, False, , 0, False, False, 1, 1"</definedName>
    <definedName function="false" hidden="true" name="cb_sChart26CA498_opts" vbProcedure="false">"1, 9, 1, False, 2, False, False, , 0, False, False, 1, 1"</definedName>
    <definedName function="false" hidden="true" name="cb_sChart27D31D5_opts" vbProcedure="false">"1, 9, 1, False, 2, False, False, , 0, False, True, 1, 1"</definedName>
    <definedName function="false" hidden="true" name="cb_sChart27D3990_opts" vbProcedure="false">"1, 9, 1, False, 2, False, False, , 0, False, True, 1, 1"</definedName>
    <definedName function="false" hidden="true" name="cb_sChart2A64D8F_opts" vbProcedure="false">"1, 8, 1, False, 2, False, False, , 0, False, True, 1, 1"</definedName>
    <definedName function="false" hidden="true" name="cb_sChart2A65748_opts" vbProcedure="false">"1, 8, 1, False, 2, False, False, , 0, False, True, 1, 1"</definedName>
    <definedName function="false" hidden="true" name="cb_sChart2A667D4_opts" vbProcedure="false">"1, 8, 1, False, 2, False, False, , 0, False, True, 1, 1"</definedName>
    <definedName function="false" hidden="true" name="cb_sChart2A66D9D_opts" vbProcedure="false">"1, 8, 1, False, 2, False, False, , 0, False, True, 1, 1"</definedName>
    <definedName function="false" hidden="true" name="cb_sChart2A67124_opts" vbProcedure="false">"2, 1, 3, False, 2, False, False, , 0, False, True, 1, 1"</definedName>
    <definedName function="false" hidden="true" name="cb_sChart2A673A1_opts" vbProcedure="false">"1, 8, 1, False, 2, False, False, , 0, False, True, 1, 1"</definedName>
    <definedName function="false" hidden="true" name="cb_sChart2A67A0C_opts" vbProcedure="false">"1, 8, 1, False, 2, False, False, , 0, False, True, 1, 1"</definedName>
    <definedName function="false" hidden="true" name="cb_sChart2A68670_opts" vbProcedure="false">"1, 8, 1, False, 2, False, False, , 0, False, True, 1, 1"</definedName>
    <definedName function="false" hidden="true" name="cb_sChart2A6C43D_opts" vbProcedure="false">"1, 9, 1, False, 2, False, False, , 0, False, True, 1, 1"</definedName>
    <definedName function="false" hidden="true" name="cb_sChart2A74E8A_opts" vbProcedure="false">"1, 9, 1, False, 2, False, False, , 0, False, True, 1, 1"</definedName>
    <definedName function="false" hidden="true" name="cb_sChart2A76BA8_opts" vbProcedure="false">"1, 9, 1, False, 2, False, False, , 0, False, True, 1, 1"</definedName>
    <definedName function="false" hidden="true" name="cb_sChart2D6F93B_opts" vbProcedure="false">"1, 9, 1, False, 2, False, False, , 0, False, True, 1, 1"</definedName>
    <definedName function="false" hidden="true" name="cb_sChart2D714FE_opts" vbProcedure="false">"1, 9, 1, False, 2, False, False, , 0, False, True, 1, 2"</definedName>
    <definedName function="false" hidden="true" name="cb_sChart2D737E5_opts" vbProcedure="false">"1, 9, 1, False, 2, False, False, , 0, False, False, 1, 2"</definedName>
    <definedName function="false" hidden="true" name="cb_sChart2D73A28_opts" vbProcedure="false">"1, 9, 1, False, 2, False, False, , 0, False, True, 1, 1"</definedName>
    <definedName function="false" hidden="true" name="cb_sChart2D759D9_opts" vbProcedure="false">"1, 10, 1, False, 2, False, False, , 0, False, False, 1, 2"</definedName>
    <definedName function="false" hidden="true" name="cb_sChart2D76823_opts" vbProcedure="false">"1, 9, 1, False, 2, False, False, , 0, False, True, 1, 2"</definedName>
    <definedName function="false" hidden="true" name="cb_sChart2D76BFA_opts" vbProcedure="false">"1, 9, 1, False, 2, False, False, , 0, False, True, 1, 2"</definedName>
    <definedName function="false" hidden="true" name="cb_sChart2D9FB96_opts" vbProcedure="false">"1, 9, 1, False, 2, False, False, , 0, False, True, 1, 2"</definedName>
    <definedName function="false" hidden="true" name="cb_sChart2D9FE6F_opts" vbProcedure="false">"1, 9, 1, False, 2, False, False, , 0, False, True, 1, 2"</definedName>
    <definedName function="false" hidden="true" name="cb_sChart2DA6F48_opts" vbProcedure="false">"1, 9, 1, False, 2, False, False, , 0, False, True, 1, 2"</definedName>
    <definedName function="false" hidden="true" name="cb_sChart2DAB5B8_opts" vbProcedure="false">"1, 7, 1, False, 2, False, False, , 0, False, True, 1, 1"</definedName>
    <definedName function="false" hidden="true" name="cb_sChart2DAC2D5_opts" vbProcedure="false">"1, 7, 1, False, 2, False, False, , 0, False, True, 1, 1"</definedName>
    <definedName function="false" hidden="true" name="cb_sChart2DADDDE_opts" vbProcedure="false">"1, 7, 1, False, 2, False, False, , 0, False, False, 1, 1"</definedName>
    <definedName function="false" hidden="true" name="cb_sChart2DADE5D_opts" vbProcedure="false">"1, 7, 1, False, 2, False, False, , 0, False, True, 1, 1"</definedName>
    <definedName function="false" hidden="true" name="cb_sChart2DAF358_opts" vbProcedure="false">"1, 7, 1, False, 2, False, False, , 0, False, True, 1, 1"</definedName>
    <definedName function="false" hidden="true" name="cb_sChart2DB05D6_opts" vbProcedure="false">"1, 7, 1, False, 2, False, False, , 0, False, True, 1, 1"</definedName>
    <definedName function="false" hidden="true" name="cb_sChart2DBCB46_opts" vbProcedure="false">"1, 7, 1, False, 2, False, False, , 0, False, True, 1, 1"</definedName>
    <definedName function="false" hidden="true" name="cb_sChart2E6278B_opts" vbProcedure="false">"1, 9, 1, False, 2, False, False, , 0, False, True, 1, 1"</definedName>
    <definedName function="false" hidden="true" name="cb_sChart2EB0678_opts" vbProcedure="false">"1, 1, 1, False, 2, True, False, , 0, False, True, 2, 2"</definedName>
    <definedName function="false" hidden="true" name="cb_sChart2F3EBCE_opts" vbProcedure="false">"2, 1, 1, False, 2, False, False, , 0, False, True, 2, 2"</definedName>
    <definedName function="false" hidden="true" name="cb_sChart2F3F63F_opts" vbProcedure="false">"1, 5, 1, False, 2, True, False, , 0, False, False, 1, 1"</definedName>
    <definedName function="false" hidden="true" name="cb_sChart2F3F90D_opts" vbProcedure="false">"1, 5, 1, False, 2, True, False, , 0, False, False, 2, 2"</definedName>
    <definedName function="false" hidden="true" name="cb_sChart2F46DBE_opts" vbProcedure="false">"2, 1, 1, True, 2, False, False, , 0, False, True, 1, 2"</definedName>
    <definedName function="false" hidden="true" name="cb_sChart2F470D1_opts" vbProcedure="false">"2, 1, 1, False, 2, True, False, , 0, False, True, 1, 2"</definedName>
    <definedName function="false" hidden="true" name="cb_sChart2F4952A_opts" vbProcedure="false">"1, 5, 1, False, 2, False, False, , 0, False, False, 1, 1"</definedName>
    <definedName function="false" hidden="true" name="cb_sChart2F49CDA_opts" vbProcedure="false">"1, 5, 1, False, 2, False, False, , 0, False, False, 1, 1"</definedName>
    <definedName function="false" hidden="true" name="cb_sChart2F4A3D0_opts" vbProcedure="false">"1, 5, 1, False, 2, False, False, , 0, False, False, 1, 1"</definedName>
    <definedName function="false" hidden="true" name="cb_sChart2F4A9B1_opts" vbProcedure="false">"1, 5, 1, False, 2, False, False, , 0, False, False, 1, 1"</definedName>
    <definedName function="false" hidden="true" name="cb_sChart2F65E86_opts" vbProcedure="false">"1, 1, 1, False, 2, True, False, , 0, False, False, 2, 2"</definedName>
    <definedName function="false" hidden="true" name="cb_sChart2F6A8C2_opts" vbProcedure="false">"1, 1, 1, False, 2, True, False, , 0, False, False, 1, 2"</definedName>
    <definedName function="false" hidden="true" name="cb_sChart2F6AAB4_opts" vbProcedure="false">"1, 1, 1, False, 2, True, False, , 0, False, True, 1, 2"</definedName>
    <definedName function="false" hidden="true" name="cb_sChart2F6B601_opts" vbProcedure="false">"1, 1, 1, False, 2, False, False, , 0, False, False, 1, 1"</definedName>
    <definedName function="false" hidden="true" name="cb_sChart2F730C1_opts" vbProcedure="false">"1, 4, 1, False, 2, False, False, , 0, False, False, 1, 1"</definedName>
    <definedName function="false" hidden="true" name="cb_sChart2FA9A3C_opts" vbProcedure="false">"1, 3, 1, False, 2, False, False, , 0, False, True, 1, 2"</definedName>
    <definedName function="false" hidden="true" name="cb_sChart2FA9CC4_opts" vbProcedure="false">"1, 3, 1, False, 2, False, False, , 0, False, True, 1, 2"</definedName>
    <definedName function="false" hidden="true" name="cb_sChart33FC2FF_opts" vbProcedure="false">"1, 5, 1, False, 2, False, False, , 0, False, False, 1, 2"</definedName>
    <definedName function="false" hidden="true" name="cb_sChart33FC8D4_opts" vbProcedure="false">"1, 5, 1, False, 2, False, False, , 0, False, False, 1, 2"</definedName>
    <definedName function="false" hidden="true" name="cb_sChart33FE8BF_opts" vbProcedure="false">"1, 5, 1, False, 2, False, False, , 0, False, False, 1, 2"</definedName>
    <definedName function="false" hidden="true" name="cb_sChart34010F1_opts" vbProcedure="false">"1, 5, 1, False, 2, False, False, , 0, False, False, 1, 2"</definedName>
    <definedName function="false" hidden="true" name="cb_sChart3401AFA_opts" vbProcedure="false">"1, 5, 1, False, 2, False, False, , 0, False, False, 1, 2"</definedName>
    <definedName function="false" hidden="true" name="cb_sChart3409186_opts" vbProcedure="false">"1, 5, 1, False, 2, False, False, , 0, False, False, 1, 2"</definedName>
    <definedName function="false" hidden="true" name="cb_sChart340A263_opts" vbProcedure="false">"1, 5, 1, False, 2, False, False, , 0, False, False, 1, 1"</definedName>
    <definedName function="false" hidden="true" name="cb_sChart340F629_opts" vbProcedure="false">"1, 8, 1, False, 2, False, False, , 0, False, False, 1, 2"</definedName>
    <definedName function="false" hidden="true" name="cb_sChart340FD14_opts" vbProcedure="false">"1, 8, 1, False, 2, False, False, , 0, False, False, 1, 2"</definedName>
    <definedName function="false" hidden="true" name="cb_sChart34107E2_opts" vbProcedure="false">"1, 8, 1, False, 2, False, False, , 0, False, False, 1, 1"</definedName>
    <definedName function="false" hidden="true" name="cb_sChart3434ED7_opts" vbProcedure="false">"1, 5, 1, False, 2, False, False, , 0, False, False, 1, 2"</definedName>
    <definedName function="false" hidden="true" name="cb_sChart343DEED_opts" vbProcedure="false">"2, 1, 2, True, 2, False, False, , 0, False, True, 1, 2"</definedName>
    <definedName function="false" hidden="true" name="cb_sChart344EE9A_opts" vbProcedure="false">"1, 9, 1, False, 2, False, False, , 0, False, True, 1, 1"</definedName>
    <definedName function="false" hidden="true" name="cb_sChart344F24F_opts" vbProcedure="false">"1, 9, 1, False, 2, False, False, , 0, False, True, 1, 2"</definedName>
    <definedName function="false" hidden="true" name="cb_sChart3450777_opts" vbProcedure="false">"1, 9, 1, False, 2, False, True, 13, 2, False, False, 1, 1"</definedName>
    <definedName function="false" hidden="true" name="cb_sChart3450E85_opts" vbProcedure="false">"1, 9, 1, False, 2, False, False, , 0, False, True, 1, 2"</definedName>
    <definedName function="false" hidden="true" name="cb_sChart3452C22_opts" vbProcedure="false">"1, 3, 1, False, 2, False, False, , 0, False, True, 1, 2"</definedName>
    <definedName function="false" hidden="true" name="cb_sChart345311B_opts" vbProcedure="false">"1, 3, 1, False, 2, False, False, , 0, False, True, 1, 2"</definedName>
    <definedName function="false" hidden="true" name="cb_sChart3453B0D_opts" vbProcedure="false">"2, 1, 1, True, 2, False, False, , 0, False, True, 1, 2"</definedName>
    <definedName function="false" hidden="true" name="cb_sChart34647CA_opts" vbProcedure="false">"1, 8, 1, False, 2, False, False, , 0, False, False, 2, 2"</definedName>
    <definedName function="false" hidden="true" name="cb_sChart346520D_opts" vbProcedure="false">"1, 8, 1, False, 2, False, False, , 0, False, False, 1, 2"</definedName>
    <definedName function="false" hidden="true" name="cb_sChart34654DB_opts" vbProcedure="false">"1, 8, 1, False, 2, False, False, , 0, False, False, 1, 2"</definedName>
    <definedName function="false" hidden="true" name="cb_sChart346953C_opts" vbProcedure="false">"2, 1, 1, False, 2, False, False, , 0, False, False, 2, 2"</definedName>
    <definedName function="false" hidden="true" name="cb_sChart346A27B_opts" vbProcedure="false">"1, 3, 1, False, 2, False, False, , 0, False, True, 2, 2"</definedName>
    <definedName function="false" hidden="true" name="cb_sChart347102A_opts" vbProcedure="false">"2, 1, 1, False, 2, False, False, , 0, False, True, 2, 2"</definedName>
    <definedName function="false" hidden="true" name="cb_sChart34E448E_opts" vbProcedure="false">"1, 1, 1, False, 2, False, False, , 0, False, False, 1, 1"</definedName>
    <definedName function="false" hidden="true" name="cb_sChart34F5376_opts" vbProcedure="false">"2, 1, 2, True, 2, False, False, , 0, False, True, 1, 2"</definedName>
    <definedName function="false" hidden="true" name="cb_sChart34F577C_opts" vbProcedure="false">"2, 1, 2, True, 2, False, False, , 0, False, True, 1, 2"</definedName>
    <definedName function="false" hidden="true" name="cb_sChart34F5A05_opts" vbProcedure="false">"2, 1, 2, True, 2, False, False, , 0, False, True, 1, 2"</definedName>
    <definedName function="false" hidden="true" name="cb_sChart34F5F2C_opts" vbProcedure="false">"2, 1, 2, True, 2, False, False, , 0, False, True, 1, 2"</definedName>
    <definedName function="false" hidden="true" name="cb_sChart34F92FC_opts" vbProcedure="false">"1, 1, 1, False, 2, True, False, , 0, False, False, 1, 2"</definedName>
    <definedName function="false" hidden="true" name="cb_sChart34F9B08_opts" vbProcedure="false">"1, 4, 1, False, 2, False, False, , 0, False, False, 1, 1"</definedName>
    <definedName function="false" hidden="true" name="cb_sChart34FAEB3_opts" vbProcedure="false">"1, 3, 1, False, 2, False, False, , 0, False, True, 1, 1"</definedName>
    <definedName function="false" hidden="true" name="cb_sChart34FB053_opts" vbProcedure="false">"1, 3, 1, False, 2, True, False, , 0, False, False, 1, 1"</definedName>
    <definedName function="false" hidden="true" name="cb_sChart352F02B_opts" vbProcedure="false">"1, 5, 1, False, 2, True, False, , 0, False, False, 1, 2"</definedName>
    <definedName function="false" hidden="true" name="cb_sChart3532FF6_opts" vbProcedure="false">"2, 1, 1, False, 2, False, False, , 0, False, True, 1, 2"</definedName>
    <definedName function="false" hidden="true" name="cb_sChart355BCAD_opts" vbProcedure="false">"2, 1, 1, False, 2, False, False, , 0, False, True, 1, 2"</definedName>
    <definedName function="false" hidden="true" name="cb_sChart35FF6A2_opts" vbProcedure="false">"1, 8, 1, False, 2, False, False, , 0, False, False, 1, 2"</definedName>
    <definedName function="false" hidden="true" name="cb_sChart3624091_opts" vbProcedure="false">"1, 8, 1, False, 2, False, False, , 0, False, False, 1, 2"</definedName>
    <definedName function="false" hidden="true" name="cb_sChart36406CE_opts" vbProcedure="false">"1, 3, 1, False, 2, True, False, , 0, False, True, 1, 1"</definedName>
    <definedName function="false" hidden="true" name="cb_sChart3AB73A1_opts" vbProcedure="false">"2, 1, 1, False, 2, True, False, , 0, False, True, 2, 2"</definedName>
    <definedName function="false" hidden="true" name="cb_sChart3ABAD51_opts" vbProcedure="false">"1, 5, 1, False, 2, True, False, , 0, False, False, 2, 2"</definedName>
    <definedName function="false" hidden="true" name="cb_sChart3AE4A4F_opts" vbProcedure="false">"2, 1, 1, True, 2, False, False, , 0, False, True, 2, 2"</definedName>
    <definedName function="false" hidden="true" name="cb_sChart3AEA7B7_opts" vbProcedure="false">"2, 1, 1, True, 2, False, False, , 0, False, True, 1, 1"</definedName>
    <definedName function="false" hidden="true" name="cb_sChart3AEAB83_opts" vbProcedure="false">"2, 1, 1, True, 2, False, False, , 0, False, True, 2, 2"</definedName>
    <definedName function="false" hidden="true" name="cb_sChart3AF2834_opts" vbProcedure="false">"1, 3, 1, False, 2, False, False, , 0, False, False, 2, 2"</definedName>
    <definedName function="false" hidden="true" name="cb_sChart3AF5310_opts" vbProcedure="false">"1, 1, 1, False, 2, False, False, , 0, False, False, 1, 2"</definedName>
    <definedName function="false" hidden="true" name="cb_sChart3AF68AD_opts" vbProcedure="false">"1, 1, 1, False, 2, False, False, , 0, False, False, 2, 2"</definedName>
    <definedName function="false" hidden="true" name="cb_sChart3AF71DA_opts" vbProcedure="false">"1, 1, 1, False, 2, False, False, , 0, False, False, 1, 1"</definedName>
    <definedName function="false" hidden="true" name="cb_sChart3AF76D4_opts" vbProcedure="false">"1, 1, 1, False, 2, False, False, , 0, False, False, 2, 2"</definedName>
    <definedName function="false" hidden="true" name="cb_sChart3AF8492_opts" vbProcedure="false">"1, 1, 1, False, 2, False, False, , 0, False, False, 1, 1"</definedName>
    <definedName function="false" hidden="true" name="cb_sChart3AFF994_opts" vbProcedure="false">"1, 1, 1, False, 2, False, False, , 0, False, False, 2, 2"</definedName>
    <definedName function="false" hidden="true" name="cb_sChart3B004D6_opts" vbProcedure="false">"1, 1, 1, False, 2, False, False, , 0, False, False, 1, 1"</definedName>
    <definedName function="false" hidden="true" name="cb_sChart3B03C44_opts" vbProcedure="false">"1, 1, 1, False, 2, False, False, , 0, False, False, 1, 1"</definedName>
    <definedName function="false" hidden="true" name="cb_sChart3B08D31_opts" vbProcedure="false">"1, 8, 1, False, 2, False, False, , 0, False, False, 2, 2"</definedName>
    <definedName function="false" hidden="true" name="cb_sChart3B09A9F_opts" vbProcedure="false">"1, 8, 1, False, 2, False, False, , 0, False, False, 2, 2"</definedName>
    <definedName function="false" hidden="true" name="cb_sChart3B09F8C_opts" vbProcedure="false">"1, 8, 1, False, 2, False, False, , 0, False, False, 2, 2"</definedName>
    <definedName function="false" hidden="true" name="cb_sChart3B0ABD8_opts" vbProcedure="false">"1, 8, 1, False, 2, False, False, , 0, False, False, 2, 2"</definedName>
    <definedName function="false" hidden="true" name="cb_sChart3B12357_opts" vbProcedure="false">"1, 8, 1, False, 2, False, False, , 0, False, False, 2, 2"</definedName>
    <definedName function="false" hidden="true" name="cb_sChart3B12816_opts" vbProcedure="false">"1, 8, 1, False, 2, False, False, , 0, False, False, 2, 2"</definedName>
    <definedName function="false" hidden="true" name="cb_sChart3B12D0F_opts" vbProcedure="false">"1, 8, 1, False, 2, False, False, , 0, False, False, 2, 2"</definedName>
    <definedName function="false" hidden="true" name="cb_sChart3BA9EF5_opts" vbProcedure="false">"1, 9, 1, False, 2, False, False, , 0, False, True, 1, 1"</definedName>
    <definedName function="false" hidden="true" name="cb_sChart3BAA0A1_opts" vbProcedure="false">"1, 9, 1, False, 2, False, False, , 0, False, True, 1, 1"</definedName>
    <definedName function="false" hidden="true" name="cb_sChart3BAA29E_opts" vbProcedure="false">"1, 9, 1, False, 2, False, False, , 0, False, True, 1, 1"</definedName>
    <definedName function="false" hidden="true" name="cb_sChart3BAACED_opts" vbProcedure="false">"1, 9, 1, False, 2, False, False, , 0, False, True, 1, 1"</definedName>
    <definedName function="false" hidden="true" name="cb_sChart3BAD7A6_opts" vbProcedure="false">"2, 1, 2, True, 2, False, False, , 0, False, True, 1, 2"</definedName>
    <definedName function="false" hidden="true" name="cb_sChart3BBD972_opts" vbProcedure="false">"1, 1, 1, False, 2, False, False, , 0, False, False, 1, 1"</definedName>
    <definedName function="false" hidden="true" name="cb_sChart3BC0E91_opts" vbProcedure="false">"2, 1, 1, False, 2, True, False, , 0, False, True, 1, 1"</definedName>
    <definedName function="false" hidden="true" name="cb_sChart3BFC30E_opts" vbProcedure="false">"1, 4, 1, False, 2, False, False, , 0, False, False, 1, 1"</definedName>
    <definedName function="false" hidden="true" name="cb_sChart3BFD9FA_opts" vbProcedure="false">"2, 1, 1, True, 2, False, False, , 0, False, True, 2, 2"</definedName>
    <definedName function="false" hidden="true" name="cb_sChart3BFEF23_opts" vbProcedure="false">"1, 4, 1, False, 2, False, False, , 0, False, False, 1, 1"</definedName>
    <definedName function="false" hidden="true" name="cb_sChart3BFF2E3_opts" vbProcedure="false">"1, 1, 1, False, 2, False, False, , 0, False, False, 1, 1"</definedName>
    <definedName function="false" hidden="true" name="cb_sChart463330_opts" vbProcedure="false">"2, 1, 2, True, 2, False, False, , 0, False, True, 1, 2"</definedName>
    <definedName function="false" hidden="true" name="cb_sChart4665D3_opts" vbProcedure="false">"1, 9, 1, False, 2, False, False, , 0, False, True, 2, 2"</definedName>
    <definedName function="false" hidden="true" name="cb_sChart4680DD_opts" vbProcedure="false">"1, 10, 1, False, 2, True, False, , 0, False, False, 2, 2"</definedName>
    <definedName function="false" hidden="true" name="cb_sChart468801_opts" vbProcedure="false">"1, 10, 1, False, 2, True, False, , 0, False, False, 2, 2"</definedName>
    <definedName function="false" hidden="true" name="cb_sChart46BC0B_opts" vbProcedure="false">"2, 1, 2, True, 2, False, False, , 0, False, True, 1, 2"</definedName>
    <definedName function="false" hidden="true" name="cb_sChart4828C3_opts" vbProcedure="false">"1, 1, 1, False, 2, False, False, , 0, False, False, 1, 2"</definedName>
    <definedName function="false" hidden="true" name="cb_sChart482D03_opts" vbProcedure="false">"1, 1, 1, False, 2, False, False, , 0, False, False, 1, 2"</definedName>
    <definedName function="false" hidden="true" name="cb_sChart595EE0E_opts" vbProcedure="false">"1, 9, 1, False, 2, False, True, , 3, False, True, 1, 1"</definedName>
    <definedName function="false" hidden="true" name="cb_sChart5D0C805_opts" vbProcedure="false">"1, 4, 1, False, 2, False, False, , 0, False, False, 1, 1"</definedName>
    <definedName function="false" hidden="true" name="cb_sChart5D375C8_opts" vbProcedure="false">"1, 9, 1, False, 2, False, False, , 0, False, True, 1, 1"</definedName>
    <definedName function="false" hidden="true" name="cb_sChart6A2ED7_opts" vbProcedure="false">"1, 10, 1, False, 2, True, False, , 0, False, False, 1, 1"</definedName>
    <definedName function="false" hidden="true" name="cb_sChart6A6617_opts" vbProcedure="false">"1, 10, 1, False, 2, True, False, , 0, False, False, 1, 1"</definedName>
    <definedName function="false" hidden="true" name="cb_sChart6A66F3_opts" vbProcedure="false">"1, 10, 1, False, 2, True, False, , 0, False, False, 1, 1"</definedName>
    <definedName function="false" hidden="true" name="cb_sChart6A7DF6_opts" vbProcedure="false">"1, 3, 1, False, 2, True, False, , 0, False, True, 2, 1"</definedName>
    <definedName function="false" hidden="true" name="cb_sChart74E984_opts" vbProcedure="false">"1, 1, 1, False, 2, False, False, , 0, False, False, 2, 2"</definedName>
    <definedName function="false" hidden="true" name="cb_sChart8CD287E_opts" vbProcedure="false">"1, 1, 1, False, 2, False, False, , 0, False, False, 1, 1"</definedName>
    <definedName function="false" hidden="true" name="cb_sChartD086F3E_opts" vbProcedure="false">"1, 1, 1, False, 2, False, False, , 1, False, True, 2, 2"</definedName>
    <definedName function="false" hidden="true" name="cb_sChartD0876B3_opts" vbProcedure="false">"2, 2, 2, True, 2, False, False, , 1, False, True, 2, 2"</definedName>
    <definedName function="false" hidden="true" name="cb_sChartE2218BA_opts" vbProcedure="false">"1, 4, 1, False, 2, False, False, , 0, False, True, 1, 1"</definedName>
    <definedName function="false" hidden="true" name="cb_sChartE221ADA_opts" vbProcedure="false">"1, 5, 1, False, 2, False, False, , 0, False, False, 1, 1"</definedName>
    <definedName function="false" hidden="true" name="cb_sChartEB337E1_opts" vbProcedure="false">"1, 10, 1, False, 2, False, False, , 1, False, True, 2, 2"</definedName>
    <definedName function="false" hidden="true" name="cb_sChartEB33A80_opts" vbProcedure="false">"1, 10, 1, False, 2, False, False, , 1, False, True, 2, 2"</definedName>
    <definedName function="false" hidden="true" name="cb_sChartEB33EA9_opts" vbProcedure="false">"1, 10, 1, False, 2, False, False, , 1, False, True, 2, 2"</definedName>
    <definedName function="false" hidden="true" name="cb_sChartEB340BD_opts" vbProcedure="false">"1, 10, 1, False, 2, False, False, , 1, False, True, 2, 2"</definedName>
    <definedName function="false" hidden="true" name="cb_sChartEB344DA_opts" vbProcedure="false">"1, 10, 1, False, 2, False, False, , 1, False, False, 2, 2"</definedName>
    <definedName function="false" hidden="true" name="cb_sChartEB3479C_opts" vbProcedure="false">"1, 1, 1, False, 2, False, False, , 1, False, True, 2, 1"</definedName>
    <definedName function="false" hidden="true" name="cb_sChartEB34833_opts" vbProcedure="false">"1, 10, 1, False, 2, False, False, , 1, False, True, 2, 1"</definedName>
    <definedName function="false" hidden="true" name="cb_sChartEB34DCE_opts" vbProcedure="false">"1, 10, 1, False, 2, False, False, , 1, False, True, 2, 1"</definedName>
    <definedName function="false" hidden="true" name="cb_sChartEB36CAF_opts" vbProcedure="false">"1, 9, 1, False, 2, False, False, , 1, False, True, 1, 2"</definedName>
    <definedName function="false" hidden="true" name="cb_sChartEB38838_opts" vbProcedure="false">"1, 9, 1, False, 2, False, False, , 1, False, True, 2, 2"</definedName>
    <definedName function="false" hidden="true" name="cb_sChartEB38E8C_opts" vbProcedure="false">"1, 10, 1, False, 2, False, False, , 1, False, True, 2, 2"</definedName>
    <definedName function="false" hidden="true" name="cb_sChartEB3980B_opts" vbProcedure="false">"1, 2, 1, False, 2, False, False, , 1, False, False, 2, 1"</definedName>
    <definedName function="false" hidden="true" name="cb_sChartEB39C1C_opts" vbProcedure="false">"1, 2, 1, False, 2, False, False, , 1, False, False, 2, 1"</definedName>
    <definedName function="false" hidden="true" name="cb_sChartEE4CE1B_opts" vbProcedure="false">"1, 4, 1, False, 2, False, False, , 0, False, False, 1, 1"</definedName>
    <definedName function="false" hidden="true" name="cb_sChartEE4CF99_opts" vbProcedure="false">"1, 1, 1, False, 2, False, False, , 0, False, False, 1, 1"</definedName>
    <definedName function="false" hidden="true" name="cb_sChartEE4DD06_opts" vbProcedure="false">"1, 1, 1, False, 2, False, False, , 0, False, False, 1, 2"</definedName>
    <definedName function="false" hidden="true" name="cb_sChartEE4E93B_opts" vbProcedure="false">"1, 1, 1, False, 2, False, False, , 0, False, False, 1, 1"</definedName>
    <definedName function="false" hidden="true" name="cb_sChartEE51E95_opts" vbProcedure="false">"1, 1, 1, False, 2, False, False, , 0, False, False, 1, 1"</definedName>
    <definedName function="false" hidden="true" name="cb_sChartEED7645_opts" vbProcedure="false">"1, 1, 1, False, 2, False, False, , 0, False, False, 1, 1"</definedName>
    <definedName function="false" hidden="true" name="cb_sChartEEDA195_opts" vbProcedure="false">"1, 1, 1, False, 2, False, False, , 0, False, False, 1, 1"</definedName>
    <definedName function="false" hidden="true" name="cb_sChartEEDC338_opts" vbProcedure="false">"1, 1, 1, False, 2, False, False, , 0, False, False, 1, 1"</definedName>
    <definedName function="false" hidden="true" name="cb_sChartEEDEDB8_opts" vbProcedure="false">"1, 1, 1, False, 2, False, False, , 0, False, True, 1, 1"</definedName>
    <definedName function="false" hidden="true" name="cb_sChartEEDEE5A_opts" vbProcedure="false">"1, 3, 1, False, 2, True, False, , 0, False, True, 1, 1"</definedName>
    <definedName function="false" hidden="true" name="cb_sChartEEDF178_opts" vbProcedure="false">"1, 3, 1, False, 2, False, False, , 0, False, True, 1, 1"</definedName>
    <definedName function="false" hidden="true" name="cb_sChartF0FF3D7_opts" vbProcedure="false">"1, 8, 1, False, 2, False, False, , 1, False, True, 1, 2"</definedName>
    <definedName function="false" hidden="true" name="cb_sChartF1BF8C8_opts" vbProcedure="false">"1, 8, 1, False, 2, False, False, , 1, False, True, 1, 2"</definedName>
    <definedName function="false" hidden="true" name="cb_sChartF1C057C_opts" vbProcedure="false">"1, 2, 1, False, 2, False, False, , 1, False, False, 2, 1"</definedName>
    <definedName function="false" hidden="true" name="cb_sChartF1C0A0D_opts" vbProcedure="false">"1, 8, 1, False, 2, False, False, , 1, False, True, 1, 1"</definedName>
    <definedName function="false" hidden="true" name="cb_sChartF1C9DF0_opts" vbProcedure="false">"1, 8, 1, False, 2, False, False, , 1, False, True, 1, 2"</definedName>
    <definedName function="false" hidden="true" name="cb_sChartF1F24F5_opts" vbProcedure="false">"1, 8, 1, False, 2, False, False, , 1, False, True, 1, 2"</definedName>
    <definedName function="false" hidden="true" name="cb_sChartF6A6B11_opts" vbProcedure="false">"1, 1, 1, False, 2, True, False, , 0, False, False, 1, 1"</definedName>
    <definedName function="false" hidden="true" name="cb_sChartFD191DC_opts" vbProcedure="false">"1, 3, 1, False, 2, True, False, , 0, False, True, 1, 1"</definedName>
    <definedName function="false" hidden="true" name="cb_sChartFD1A245_opts" vbProcedure="false">"1, 3, 1, False, 2, True, False, , 0, False, True, 1, 1"</definedName>
    <definedName function="false" hidden="true" name="cb_sChartFD3F0E9_opts" vbProcedure="false">"1, 3, 1, False, 2, True, False, , 0, False, False, 1, 1"</definedName>
    <definedName function="false" hidden="true" name="cb_sChartFD3F27E_opts" vbProcedure="false">"1, 3, 1, False, 2, True, False, , 0, False, True, 1, 1"</definedName>
    <definedName function="false" hidden="true" name="cb_sChartFD58483_opts" vbProcedure="false">"1, 1, 1, False, 2, True, False, , 0, False, False, 1, 1"</definedName>
    <definedName function="false" hidden="true" name="cb_sChartFD5C4CD_opts" vbProcedure="false">"1, 1, 1, False, 2, True, False, , 0, False, False, 1, 1"</definedName>
    <definedName function="false" hidden="true" name="cb_sChartFD5D4CE_opts" vbProcedure="false">"1, 1, 1, False, 2, True, False, , 0, False, False, 1, 1"</definedName>
    <definedName function="false" hidden="true" name="cb_sChartFD5DF34_opts" vbProcedure="false">"1, 1, 1, False, 2, True, False, , 0, False, False, 1, 1"</definedName>
    <definedName function="false" hidden="true" name="cb_sChartFD5EFC0_opts" vbProcedure="false">"1, 1, 1, False, 2, True, False, , 0, False, False, 1, 1"</definedName>
    <definedName function="false" hidden="true" name="cb_sChartFD5FDB9_opts" vbProcedure="false">"1, 1, 1, False, 2, True, False, , 0, False, False, 1, 1"</definedName>
    <definedName function="false" hidden="true" name="cb_sChartFE54712_opts" vbProcedure="false">"1, 3, 1, False, 2, True, False, , 0, False, True, 1, 1"</definedName>
    <definedName function="false" hidden="true" name="cb_sChart_1501_opts" vbProcedure="false">"1, 1, 1, False, 2, True, False, , 0, False, False, 1, 2"</definedName>
    <definedName function="false" hidden="true" name="cb_sChart_26476_opts" vbProcedure="false">"1, 4, 1, False, 2, True, False, , 0, False, False, 1, 2"</definedName>
    <definedName function="false" hidden="true" name="cb_sChart_28031_opts" vbProcedure="false">"1, 4, 1, False, 2, True, False, , 0, False, False, 1, 1"</definedName>
    <definedName function="false" hidden="true" name="cb_sChart_29053_opts" vbProcedure="false">"1, 2, 1, False, 2, False, False, , 0, False, False, 2, 1"</definedName>
    <definedName function="false" hidden="true" name="cb_sChart_29913_opts" vbProcedure="false">"1, 3, 1, False, 2, False, False, , 0, False, True, 2, 2"</definedName>
    <definedName function="false" hidden="true" name="cb_sChart_30292_opts" vbProcedure="false">"1, 1, 1, False, 2, True, False, , 0, False, False, 1, 2"</definedName>
    <definedName function="false" hidden="true" name="cb_sChart_36498_opts" vbProcedure="false">"1, 3, 1, False, 2, False, False, , 0, False, False, 1, 2"</definedName>
    <definedName function="false" hidden="true" name="cb_sChart_37450_opts" vbProcedure="false">"1, 5, 1, False, 2, True, False, , 0, False, True, 2, 1"</definedName>
    <definedName function="false" hidden="true" name="cb_sChart_41499_opts" vbProcedure="false">"1, 2, 1, False, 2, False, False, , 0, False, False, 2, 1"</definedName>
    <definedName function="false" hidden="true" name="cb_sChart_4634_opts" vbProcedure="false">"1, 2, 1, False, 2, False, False, , 0, False, False, 2, 1"</definedName>
    <definedName function="false" hidden="true" name="cb_sChart_46965_opts" vbProcedure="false">"1, 1, 1, False, 2, False, False, , 0, False, False, 1, 1"</definedName>
    <definedName function="false" hidden="true" name="cb_sChart_52582_opts" vbProcedure="false">"1, 5, 1, False, 2, False, False, , 0, False, True, 1, 2"</definedName>
    <definedName function="false" hidden="true" name="cb_sChart_53437_opts" vbProcedure="false">"1, 9, 1, False, 2, False, False, , 0, False, True, 2, 2"</definedName>
    <definedName function="false" hidden="true" name="cb_sChart_5449_opts" vbProcedure="false">"1, 3, 1, False, 2, False, False, , 0, False, True, 2, 2"</definedName>
    <definedName function="false" hidden="true" name="cb_sChart_5723_opts" vbProcedure="false">"1, 3, 1, False, 2, False, False, , 0, False, True, 2, 2"</definedName>
    <definedName function="false" hidden="true" name="cb_sChart_58046_opts" vbProcedure="false">"1, 9, 1, False, 2, False, False, , 0, False, True, 2, 2"</definedName>
    <definedName function="false" hidden="true" name="cb_sChart_59010_opts" vbProcedure="false">"1, 5, 1, False, 2, True, False, , 0, False, False, 2, 1"</definedName>
    <definedName function="false" hidden="true" name="cb_sChart_59340_opts" vbProcedure="false">"1, 3, 1, False, 2, False, False, , 0, False, True, 2, 2"</definedName>
    <definedName function="false" hidden="true" name="cb_sChart_62364_opts" vbProcedure="false">"1, 3, 1, False, 2, False, False, , 0, False, True, 2, 2"</definedName>
    <definedName function="false" hidden="true" name="cb_sChart_64876_opts" vbProcedure="false">"1, 5, 1, False, 2, True, False, , 0, False, False, 2, 2"</definedName>
    <definedName function="false" hidden="true" name="cb_sChart_70648_opts" vbProcedure="false">"1, 8, 1, False, 2, False, False, , 0, False, False, 2, 2"</definedName>
    <definedName function="false" hidden="true" name="cb_sChart_70997_opts" vbProcedure="false">"1, 2, 1, False, 2, False, False, , 0, False, False, 2, 1"</definedName>
    <definedName function="false" hidden="true" name="cb_sChart_76165_opts" vbProcedure="false">"1, 2, 1, False, 2, False, False, , 0, False, False, 2, 1"</definedName>
    <definedName function="false" hidden="true" name="cb_sChart_76804_opts" vbProcedure="false">"1, 3, 1, False, 2, False, False, , 0, False, True, 2, 2"</definedName>
    <definedName function="false" hidden="true" name="cb_sChart_77567_opts" vbProcedure="false">"1, 1, 1, False, 2, True, False, , 0, False, False, 1, 2"</definedName>
    <definedName function="false" hidden="true" name="cb_sChart_79140_opts" vbProcedure="false">"1, 5, 1, False, 2, False, False, , 0, False, True, 2, 1"</definedName>
    <definedName function="false" hidden="true" name="cb_sChart_81541_opts" vbProcedure="false">"1, 2, 1, False, 2, False, False, , 0, False, False, 2, 1"</definedName>
    <definedName function="false" hidden="true" name="cb_sChart_82552_opts" vbProcedure="false">"1, 4, 1, False, 2, True, False, , 0, False, False, 2, 1"</definedName>
    <definedName function="false" hidden="true" name="cb_sChart_83072_opts" vbProcedure="false">"1, 4, 1, False, 2, True, False, , 0, False, False, 2, 1"</definedName>
    <definedName function="false" hidden="true" name="cb_sChart_86354_opts" vbProcedure="false">"1, 4, 1, False, 2, True, False, , 0, False, False, 1, 1"</definedName>
    <definedName function="false" hidden="true" name="cb_sChart_87236_opts" vbProcedure="false">"1, 1, 1, False, 2, False, False, , 0, False, False, 1, 1"</definedName>
    <definedName function="false" hidden="true" name="cb_sChart_95047_opts" vbProcedure="false">"1, 6, 1, False, 2, False, False, , 0, False, True, 2, 2"</definedName>
    <definedName function="false" hidden="true" name="cb_sChart_96286_opts" vbProcedure="false">"1, 2, 1, False, 2, False, False, , 0, False, False, 2, 1"</definedName>
    <definedName function="false" hidden="true" name="cb_Size_by_height_and_widthChart_16_opts" vbProcedure="false">"1, 4, 1, False, 2, False, False, , 0, False, False, 1, 1"</definedName>
    <definedName function="false" hidden="true" name="cb_Size_by_height_and_widthChart_7_opts" vbProcedure="false">"1, 4, 1, False, 2, False, False, , 0, False, False, 1, 1"</definedName>
    <definedName function="false" hidden="true" name="cb_Size_by_height_and_widthChart_8_opts" vbProcedure="false">"1, 4, 1, False, 2, False, False, , 0, False, False, 1, 1"</definedName>
    <definedName function="false" hidden="true" name="cc" vbProcedure="false">#REF!</definedName>
    <definedName function="false" hidden="true" name="ccac" vbProcedure="false">{"hist_rev",#N/A,FALSE,"Revenue buildup-hist";"hist_rev_growth",#N/A,FALSE,"Revenue buildup-hist";"hist_exp",#N/A,FALSE,"Revenue buildup-hist";"hist_exp_growth",#N/A,FALSE,"Revenue buildup-hist";"historical_workcap",#N/A,FALSE,"Assumptions"}</definedName>
    <definedName function="false" hidden="true" name="ccc"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cccc" vbProcedure="false">{#N/A,#N/A,TRUE,"Cont_Stell";#N/A,#N/A,TRUE,"BTG";#N/A,#N/A,TRUE,"SH";#N/A,#N/A,TRUE,"GUV";#N/A,#N/A,TRUE,"Bilanz";#N/A,#N/A,TRUE,"WC";#N/A,#N/A,TRUE,"Beweg_bil";#N/A,#N/A,TRUE,"Kap_fluß";#N/A,#N/A,TRUE,"KENNZ";#N/A,#N/A,TRUE,"ANALYSE"}</definedName>
    <definedName function="false" hidden="true" name="ccccc" vbProcedure="false">{#N/A,#N/A,FALSE,"Layout Cash Flow"}</definedName>
    <definedName function="false" hidden="true" name="CCCCCCCCC" vbProcedure="false">{#N/A,#N/A,FALSE,"Cover Sheet";#N/A,#N/A,FALSE,"Ave_Trans_Shp_Abs";#N/A,#N/A,FALSE,"Det_Shp_Abs";#N/A,#N/A,FALSE,"Ave_Trans_Inst_Abs";#N/A,#N/A,FALSE,"Det_Ins_Abs";#N/A,#N/A,FALSE,"Ave_Trans_Tot_ABS";#N/A,#N/A,FALSE,"Det_Total_ABS"}</definedName>
    <definedName function="false" hidden="true" name="CCCCCCCCCCCCCCCCCC" vbProcedure="false">#REF!</definedName>
    <definedName function="false" hidden="true" name="cccddd" vbProcedure="false">{#N/A,#N/A,FALSE,"단축1";#N/A,#N/A,FALSE,"단축2";#N/A,#N/A,FALSE,"단축3";#N/A,#N/A,FALSE,"장축";#N/A,#N/A,FALSE,"4WD"}</definedName>
    <definedName function="false" hidden="true" name="ccchart1" vbProcedure="false">#REF!</definedName>
    <definedName function="false" hidden="true" name="ccchart2" vbProcedure="false">#REF!</definedName>
    <definedName function="false" hidden="true" name="ccchart3" vbProcedure="false">#REF!</definedName>
    <definedName function="false" hidden="true" name="ccchart4" vbProcedure="false">#REF!</definedName>
    <definedName function="false" hidden="true" name="ccchart5" vbProcedure="false">#REF!</definedName>
    <definedName function="false" hidden="true" name="ccczz" vbProcedure="false">{#N/A,"VB",FALSE,"output";#N/A,"VS",FALSE,"output";#N/A,"VC",FALSE,"output";#N/A,"VG",FALSE,"output";#N/A,"J1",FALSE,"output";#N/A,"PT",FALSE,"output"}</definedName>
    <definedName function="false" hidden="true" name="ccf" vbProcedure="false">{"YD PRS",#N/A,FALSE,"YTD"}</definedName>
    <definedName function="false" hidden="true" name="cchart1" vbProcedure="false">#REF!</definedName>
    <definedName function="false" hidden="true" name="cchart2" vbProcedure="false">#REF!</definedName>
    <definedName function="false" hidden="true" name="cchart4" vbProcedure="false">#REF!</definedName>
    <definedName function="false" hidden="true" name="cchart5" vbProcedure="false">#REF!</definedName>
    <definedName function="false" hidden="true" name="CC_Budget_2005_7810" vbProcedure="false">{"'Raumplanung April'!$A$1:$H$30"}</definedName>
    <definedName function="false" hidden="true" name="cd"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cdalt" vbProcedure="false">{"budget95",#N/A,TRUE,"Tabelle1";"Tab1",#N/A,TRUE,"Tabelle2"}</definedName>
    <definedName function="false" hidden="true" name="cdAM" vbProcedure="false">{"budget95",#N/A,TRUE,"Tabelle1";"Tab1",#N/A,TRUE,"Tabelle2"}</definedName>
    <definedName function="false" hidden="true" name="cdam00" vbProcedure="false">{"budget95",#N/A,TRUE,"Tabelle1";"Tab1",#N/A,TRUE,"Tabelle2"}</definedName>
    <definedName function="false" hidden="true" name="cdam1100" vbProcedure="false">{"budget95",#N/A,TRUE,"Tabelle1";"Tab1",#N/A,TRUE,"Tabelle2"}</definedName>
    <definedName function="false" hidden="true" name="cdamend" vbProcedure="false">{"budget95",#N/A,TRUE,"Tabelle1";"Tab1",#N/A,TRUE,"Tabelle2"}</definedName>
    <definedName function="false" hidden="true" name="cdamend1" vbProcedure="false">{"budget95",#N/A,TRUE,"Tabelle1";"Tab1",#N/A,TRUE,"Tabelle2"}</definedName>
    <definedName function="false" hidden="true" name="cdamend2" vbProcedure="false">{"budget95",#N/A,TRUE,"Tabelle1";"Tab1",#N/A,TRUE,"Tabelle2"}</definedName>
    <definedName function="false" hidden="true" name="cddd" vbProcedure="false">{"budget95",#N/A,TRUE,"Tabelle1";"Tab1",#N/A,TRUE,"Tabelle2"}</definedName>
    <definedName function="false" hidden="true" name="cdds" vbProcedure="false">{"detail",#N/A,FALSE,"mfg";"summary",#N/A,FALSE,"mfg"}</definedName>
    <definedName function="false" hidden="true" name="cde"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cdf" vbProcedure="false">{"sales growth",#N/A,FALSE,"summary";"oper income",#N/A,FALSE,"summary";"oros rank",#N/A,FALSE,"summary";"net assets",#N/A,FALSE,"summary";"asset turnover",#N/A,FALSE,"summary";"orona",#N/A,FALSE,"summary"}</definedName>
    <definedName function="false" hidden="true" name="cdff"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cdfor" vbProcedure="false">{"budget95",#N/A,TRUE,"Tabelle1";"Tab1",#N/A,TRUE,"Tabelle2"}</definedName>
    <definedName function="false" hidden="true" name="cdol" vbProcedure="false">{"budget95",#N/A,TRUE,"Tabelle1";"Tab1",#N/A,TRUE,"Tabelle2"}</definedName>
    <definedName function="false" hidden="true" name="CDpers" vbProcedure="false">{"budget95",#N/A,TRUE,"Tabelle1";"Tab1",#N/A,TRUE,"Tabelle2"}</definedName>
    <definedName function="false" hidden="true" name="cds" vbProcedure="false">{"detail",#N/A,FALSE,"mfg";"summary",#N/A,FALSE,"mfg"}</definedName>
    <definedName function="false" hidden="true" name="cea" vbProcedure="false">{"Cover",#N/A,FALSE,"Cover";"Key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function="false" hidden="true" name="certo" vbProcedure="false">{"FY97Q1",#N/A,FALSE,"FY97 - Q1";"FY97Q2",#N/A,FALSE,"FY97 - Q2";"FY97Q3",#N/A,FALSE,"FY97 - Q3";"FY97Q4",#N/A,FALSE,"FY97 - Q4"}</definedName>
    <definedName function="false" hidden="true" name="certro" vbProcedure="false">{"FY98Q1",#N/A,FALSE,"FY98 - Q1";"FY98Q2",#N/A,FALSE,"FY98 - Q2";"FY98Q3",#N/A,FALSE,"FY98 - Q3";"FY98Q4",#N/A,FALSE,"FY98 - Q4"}</definedName>
    <definedName function="false" hidden="true" name="cew" vbProcedure="false">{"ICD Details",#N/A,FALSE,"Current Yr";"ICD Details",#N/A,FALSE,"Budget";"ICD Details",#N/A,FALSE,"Prior Year"}</definedName>
    <definedName function="false" hidden="true" name="cfg" vbProcedure="false">{"Act_vs_Budget",#N/A,FALSE,"QTRDPVAR";"Act_vs_Prior_Year",#N/A,FALSE,"QTRDPVAR"}</definedName>
    <definedName function="false" hidden="true" name="CFiniN" vbProcedure="false">0</definedName>
    <definedName function="false" hidden="true" name="cfs" vbProcedure="false">{"YD LOUISIANA",#N/A,FALSE,"YTD"}</definedName>
    <definedName function="false" hidden="true" name="CFSheetVisible" vbProcedure="false">#REF!</definedName>
    <definedName function="false" hidden="true" name="cghj" vbProcedure="false">{"ReportTop",#N/A,FALSE,"report top"}</definedName>
    <definedName function="false" hidden="true" name="ch" vbProcedure="false">{"sbfk2",#N/A,FALSE,"A";"sbkf3",#N/A,FALSE,"A";"sbkf4",#N/A,FALSE,"A";"sbkf1",#N/A,FALSE,"A"}</definedName>
    <definedName function="false" hidden="true" name="CH14_6" vbProcedure="false">{"SCM_Detail",#N/A,FALSE,"SCM";"SCM_Top",#N/A,FALSE,"SCM"}</definedName>
    <definedName function="false" hidden="true" name="CH21_6" vbProcedure="false">{"SCM_Detail",#N/A,FALSE,"SCM";"SCM_Top",#N/A,FALSE,"SCM"}</definedName>
    <definedName function="false" hidden="true" name="chang" vbProcedure="false">{#N/A,#N/A,FALSE,"을지 (4)";#N/A,#N/A,FALSE,"을지 (5)";#N/A,#N/A,FALSE,"을지 (6)"}</definedName>
    <definedName function="false" hidden="true" name="ChangAT" vbProcedure="false">{#N/A,"VB",FALSE,"output";#N/A,"VS",FALSE,"output";#N/A,"VC",FALSE,"output";#N/A,"VG",FALSE,"output";#N/A,"J1",FALSE,"output";#N/A,"PT",FALSE,"output"}</definedName>
    <definedName function="false" hidden="true" name="change" vbProcedure="false">{1;"Konsol_Eingabe";2;"Konsol_Ausgabe";"Yellow";"No value";TRUE}</definedName>
    <definedName function="false" hidden="true" name="ChangeRange" vbProcedure="false">#REF!</definedName>
    <definedName function="false" hidden="true" name="ChangeRange1" vbProcedure="false">#REF!</definedName>
    <definedName function="false" hidden="true" name="CHANGES_WORK_CAP" vbProcedure="false">"CHANGES_WORK_CAP"</definedName>
    <definedName function="false" hidden="true" name="Chart" vbProcedure="false">#REF!</definedName>
    <definedName function="false" hidden="true" name="chartNew" vbProcedure="false">{#N/A,#N/A,FALSE,"SUMMARY";#N/A,#N/A,FALSE,"mcsh";#N/A,#N/A,FALSE,"vol&amp;rev";#N/A,#N/A,FALSE,"wkgcap";#N/A,#N/A,FALSE,"DEPR&amp;DT";#N/A,#N/A,FALSE,"ASSETS";#N/A,#N/A,FALSE,"NI&amp;OTH&amp;DIV";#N/A,#N/A,FALSE,"CASHFLOW";#N/A,#N/A,FALSE,"CAPEMPL";#N/A,#N/A,FALSE,"ROCE"}</definedName>
    <definedName function="false" hidden="true" name="Charts2" vbProcedure="false">#REF!</definedName>
    <definedName function="false" hidden="true" name="checkthis" vbProcedure="false">#REF!</definedName>
    <definedName function="false" hidden="true" name="chgcvhgvvg" vbProcedure="false">#REF!</definedName>
    <definedName function="false" hidden="true" name="CHIARA" vbProcedure="false">{"'Future Reviews'!$A$1:$D$58"}</definedName>
    <definedName function="false" hidden="true" name="chiho" vbProcedure="false">{"'下期集計（10.27迄・速報値）'!$Q$16"}</definedName>
    <definedName function="false" hidden="true" name="chk" vbProcedure="false">{#N/A,#N/A,TRUE,"Cover";#N/A,#N/A,TRUE,"Input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function="false" hidden="true" name="chosie" vbProcedure="false">{#N/A,#N/A,FALSE,"Pharm";#N/A,#N/A,FALSE,"WWCM"}</definedName>
    <definedName function="false" hidden="true" name="ci" vbProcedure="false">{#N/A,#N/A,FALSE,"단축1";#N/A,#N/A,FALSE,"단축2";#N/A,#N/A,FALSE,"단축3";#N/A,#N/A,FALSE,"장축";#N/A,#N/A,FALSE,"4WD"}</definedName>
    <definedName function="false" hidden="true" name="ciao" vbProcedure="false">{"FY98Q1 var",#N/A,FALSE,"FY98 - Q1";"FY98Q2 var",#N/A,FALSE,"FY98 - Q2";"FY98Q3 var",#N/A,FALSE,"FY98 - Q3";"FY98Q4 var",#N/A,FALSE,"FY98 - Q4"}</definedName>
    <definedName function="false" hidden="true" name="cieco" vbProcedure="false">{"Allocation Matrix p1",#N/A,FALSE,"Allocation Matrix";"Allocation Matrix p2",#N/A,FALSE,"Allocation Matrix";"Allocation Matrix p3",#N/A,FALSE,"Allocation Matrix"}</definedName>
    <definedName function="false" hidden="true" name="cifra" vbProcedure="false">{"FY97Q1 var",#N/A,FALSE,"FY97 - Q1";"FY97Q2 var",#N/A,FALSE,"FY97 - Q2";"FY97Q3 var",#N/A,FALSE,"FY97 - Q3";"FY97Q4 var",#N/A,FALSE,"FY97 - Q4"}</definedName>
    <definedName function="false" hidden="true" name="CIQANR_76cee6ac8ea746c4b5aac5c94447979c" vbProcedure="false">#REF!</definedName>
    <definedName function="false" hidden="true" name="CIQANR_96c1cddfe61944a0bc15fe251fce345b" vbProcedure="false">#REF!</definedName>
    <definedName function="false" hidden="true" name="CIQANR_d9968032b4694a8b9fc09ae21794208a" vbProcedure="false">#REF!</definedName>
    <definedName function="false" hidden="true" name="CIQWBGuid" vbProcedure="false">"69f10468-471b-4a41-8315-57f4187deb2b"</definedName>
    <definedName function="false" hidden="true" name="CIQWBGuid2" vbProcedure="false">"1624847b-4375-42fb-9dd7-40ba87e6aaa1"</definedName>
    <definedName function="false" hidden="true" name="CIQWBGuid_1" vbProcedure="false">"45c41a06-4b14-428c-b2bf-cfa5f0eafbc0"</definedName>
    <definedName function="false" hidden="true" name="CIQWBGuil2" vbProcedure="false">"c74735fe-0900-4227-b020-948d12a31ac8"</definedName>
    <definedName function="false" hidden="true" name="CIQWBInfo" vbProcedure="false">"{ ""CIQVersion"":""9.48.1616.5174"" }"</definedName>
    <definedName function="false" hidden="true" name="CITY" vbProcedure="false">"CITY"</definedName>
    <definedName function="false" hidden="true" name="cjghjhj" vbProcedure="false">{#N/A,#N/A,FALSE,"Umsatz CH";#N/A,#N/A,FALSE,"ER CH";#N/A,#N/A,FALSE,"EA CH (2) ";#N/A,#N/A,FALSE,"EA CH";#N/A,#N/A,FALSE,"EA CH (3) ";#N/A,#N/A,FALSE,"EA CH (4)";#N/A,#N/A,FALSE,"KA CH";#N/A,#N/A,FALSE,"KA CH  (2)";#N/A,#N/A,FALSE,"KA CH  (3)";#N/A,#N/A,FALSE,"KA CH (4)"}</definedName>
    <definedName function="false" hidden="true" name="CL" vbProcedure="false">1</definedName>
    <definedName function="false" hidden="true" name="CLsysID" vbProcedure="false">"BWP"</definedName>
    <definedName function="false" hidden="true" name="Co50py" vbProcedure="false">{#N/A,"DR",FALSE,"increm pf";#N/A,"MAMSI",FALSE,"increm pf";#N/A,"MAXI",FALSE,"increm pf";#N/A,"PCAM",FALSE,"increm pf";#N/A,"PHSV",FALSE,"increm pf";#N/A,"SIE",FALSE,"increm pf"}</definedName>
    <definedName function="false" hidden="true" name="COGstandard" vbProcedure="false">{#N/A,#N/A,FALSE,"Pharm";#N/A,#N/A,FALSE,"WWCM"}</definedName>
    <definedName function="false" hidden="true" name="Coltrol29" vbProcedure="false">{"'Data'!$A$1:$D$17"}</definedName>
    <definedName function="false" hidden="true" name="Column" vbProcedure="false">#REF!</definedName>
    <definedName function="false" hidden="true" name="comeonnow" vbProcedure="false">{#N/A,#N/A,FALSE,"Performance Flash Report"}</definedName>
    <definedName function="false" hidden="true" name="comite" vbProcedure="false">{"'comite'!$A$9:$G$44","'comite'!$A$1:$G$6"}</definedName>
    <definedName function="false" hidden="true" name="commonstart" vbProcedure="false">#REF!</definedName>
    <definedName function="false" hidden="true" name="COMMON_STOCK" vbProcedure="false">"COMMON_STOCK"</definedName>
    <definedName function="false" hidden="true" name="comp2" vbProcedure="false">{"'Sheet1'!$A$1:$H$96"}</definedName>
    <definedName function="false" hidden="true" name="comp21" vbProcedure="false">#REF!</definedName>
    <definedName function="false" hidden="true" name="comp22" vbProcedure="false">#REF!</definedName>
    <definedName function="false" hidden="true" name="comp23" vbProcedure="false">#REF!</definedName>
    <definedName function="false" hidden="true" name="comp24" vbProcedure="false">#REF!</definedName>
    <definedName function="false" hidden="true" name="comp25" vbProcedure="false">#REF!</definedName>
    <definedName function="false" hidden="true" name="comp26" vbProcedure="false">#REF!</definedName>
    <definedName function="false" hidden="true" name="comp27" vbProcedure="false">#REF!</definedName>
    <definedName function="false" hidden="true" name="comp28" vbProcedure="false">#REF!</definedName>
    <definedName function="false" hidden="true" name="comp29" vbProcedure="false">#REF!</definedName>
    <definedName function="false" hidden="true" name="comp30" vbProcedure="false">#REF!</definedName>
    <definedName function="false" hidden="true" name="comp31" vbProcedure="false">#REF!</definedName>
    <definedName function="false" hidden="true" name="comp32" vbProcedure="false">#REF!</definedName>
    <definedName function="false" hidden="true" name="comp33" vbProcedure="false">#REF!</definedName>
    <definedName function="false" hidden="true" name="comp34" vbProcedure="false">#REF!</definedName>
    <definedName function="false" hidden="true" name="comp35" vbProcedure="false">#REF!</definedName>
    <definedName function="false" hidden="true" name="comp36" vbProcedure="false">#REF!</definedName>
    <definedName function="false" hidden="true" name="CompanyName" vbProcedure="false">#REF!</definedName>
    <definedName function="false" hidden="true" name="COMPANY_ADDRESS" vbProcedure="false">"COMPANY_ADDRESS"</definedName>
    <definedName function="false" hidden="true" name="Company_Code" vbProcedure="false">"USDO"</definedName>
    <definedName function="false" hidden="true" name="COMPANY_NAME" vbProcedure="false">"COMPANY_NAME"</definedName>
    <definedName function="false" hidden="true" name="COMPANY_PHONE" vbProcedure="false">"COMPANY_PHONE"</definedName>
    <definedName function="false" hidden="true" name="COMPANY_STREET1" vbProcedure="false">"COMPANY_STREET1"</definedName>
    <definedName function="false" hidden="true" name="COMPANY_STREET2" vbProcedure="false">"COMPANY_STREET2"</definedName>
    <definedName function="false" hidden="true" name="COMPANY_TICKER" vbProcedure="false">"COMPANY_TICKER"</definedName>
    <definedName function="false" hidden="true" name="COMPANY_WEBSITE" vbProcedure="false">"COMPANY_WEBSITE"</definedName>
    <definedName function="false" hidden="true" name="COMPANY_ZIP" vbProcedure="false">"COMPANY_ZIP"</definedName>
    <definedName function="false" hidden="true" name="Comparable" vbProcedure="false">{"First Page",#N/A,FALSE,"Surfactants LBO";"Second Page",#N/A,FALSE,"Surfactants LBO"}</definedName>
    <definedName function="false" hidden="true" name="Comparative_Period" vbProcedure="false">#REF!</definedName>
    <definedName function="false" hidden="true" name="Compco1" vbProcedure="false">{"Page1",#N/A,FALSE,"CompCo";"Page2",#N/A,FALSE,"CompCo"}</definedName>
    <definedName function="false" hidden="true" name="Compco2" vbProcedure="false">{"Page1",#N/A,FALSE,"CompCo";"Page2",#N/A,FALSE,"CompCo"}</definedName>
    <definedName function="false" hidden="true" name="compnam" vbProcedure="false">#REF!</definedName>
    <definedName function="false" hidden="true" name="compresult" vbProcedure="false">{"FCB_ALL",#N/A,FALSE,"FCB"}</definedName>
    <definedName function="false" hidden="true" name="compresult2" vbProcedure="false">{"FCB_ALL",#N/A,FALSE,"FCB"}</definedName>
    <definedName function="false" hidden="true" name="compresults" vbProcedure="false">{"FCB_ALL",#N/A,FALSE,"FCB"}</definedName>
    <definedName function="false" hidden="true" name="CompYear" vbProcedure="false">#REF!</definedName>
    <definedName function="false" hidden="true" name="CONCEPT" vbProcedure="false">{#N/A,#N/A,FALSE,"단축1";#N/A,#N/A,FALSE,"단축2";#N/A,#N/A,FALSE,"단축3";#N/A,#N/A,FALSE,"장축";#N/A,#N/A,FALSE,"4WD"}</definedName>
    <definedName function="false" hidden="true" name="Condensed" vbProcedure="false">{"execsum",#N/A,FALSE,"ExecSum";"finstatement",#N/A,FALSE,"Fin_St"}</definedName>
    <definedName function="false" hidden="true" name="CONFI" vbProcedure="false">{#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function="false" hidden="true" name="Confused" vbProcedure="false">#REF!</definedName>
    <definedName function="false" hidden="true" name="consolidation" vbProcedure="false">{#N/A,#N/A,FALSE,"단축1";#N/A,#N/A,FALSE,"단축2";#N/A,#N/A,FALSE,"단축3";#N/A,#N/A,FALSE,"장축";#N/A,#N/A,FALSE,"4WD"}</definedName>
    <definedName function="false" hidden="true" name="ConsoliDent" vbProcedure="false">39216.5878819444</definedName>
    <definedName function="false" hidden="true" name="ContentsHelp" vbProcedure="false">#REF!</definedName>
    <definedName function="false" hidden="true" name="cooper2" vbProcedure="false">{#N/A,#N/A,TRUE,"Pro Forma";#N/A,#N/A,TRUE,"PF_Bal";#N/A,#N/A,TRUE,"PF_INC";#N/A,#N/A,TRUE,"CBE";#N/A,#N/A,TRUE,"SWK"}</definedName>
    <definedName function="false" hidden="true" name="COPY" vbProcedure="false">{#N/A,#N/A,FALSE,"Pharm";#N/A,#N/A,FALSE,"WWCM"}</definedName>
    <definedName function="false" hidden="true" name="copy1" vbProcedure="false">{#N/A,#N/A,FALSE,"Pharm";#N/A,#N/A,FALSE,"WWCM"}</definedName>
    <definedName function="false" hidden="true" name="COPY2" vbProcedure="false">{#N/A,#N/A,FALSE,"Pharm";#N/A,#N/A,FALSE,"WWCM"}</definedName>
    <definedName function="false" hidden="true" name="copy233" vbProcedure="false">{#N/A,#N/A,FALSE,"Pharm";#N/A,#N/A,FALSE,"WWCM"}</definedName>
    <definedName function="false" hidden="true" name="copy3" vbProcedure="false">{#N/A,#N/A,TRUE,"Pro Forma";#N/A,#N/A,TRUE,"PF_Bal";#N/A,#N/A,TRUE,"PF_INC";#N/A,#N/A,TRUE,"CBE";#N/A,#N/A,TRUE,"SWK"}</definedName>
    <definedName function="false" hidden="true" name="copy33" vbProcedure="false">{#N/A,#N/A,FALSE,"Pharm";#N/A,#N/A,FALSE,"WWCM"}</definedName>
    <definedName function="false" hidden="true" name="copy38" vbProcedure="false">{#N/A,#N/A,FALSE,"Pharm";#N/A,#N/A,FALSE,"WWCM"}</definedName>
    <definedName function="false" hidden="true" name="Corporate"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Corporate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CORTE" vbProcedure="false">{"Capital",#N/A,FALSE,"capital"}</definedName>
    <definedName function="false" hidden="true" name="cost" vbProcedure="false">{#N/A,#N/A,FALSE,"Key No's by Month - Disc";#N/A,#N/A,FALSE,"Key No's - YTD";#N/A,#N/A,FALSE,"Key No's by Qua";#N/A,#N/A,FALSE,"BR W.Fall";#N/A,#N/A,FALSE,"CR W.Fall";#N/A,#N/A,FALSE,"PBT W.Fall";#N/A,#N/A,FALSE,"Costs W.Fall";#N/A,#N/A,FALSE,"Master";#N/A,#N/A,FALSE,"cr,br,pbt,costs";#N/A,#N/A,FALSE,"Cost Analysis - DC";#N/A,#N/A,FALSE,"Cost Analysis - DT";#N/A,#N/A,FALSE,"Cost Analysis - POS";#N/A,#N/A,FALSE,"Cost Analysis - Po4";#N/A,#N/A,FALSE,"Cost Analysis - SL";#N/A,#N/A,FALSE,"Cost Analysis - ET";#N/A,#N/A,FALSE,"Cost Analysis - HQ";#N/A,#N/A,FALSE,"Cost Analysis - Elim";#N/A,#N/A,FALSE,"Cost Analysis - Cont";#N/A,#N/A,FALSE,"Cost Analysis - Top";#N/A,#N/A,FALSE,"Manexec Report";#N/A,#N/A,FALSE,"Bal Sheet"}</definedName>
    <definedName function="false" hidden="true" name="Costwalk" vbProcedure="false">{"REVISED",#N/A,FALSE,"Sheet1"}</definedName>
    <definedName function="false" hidden="true" name="COST_REVENUE" vbProcedure="false">"COST_REVENUE"</definedName>
    <definedName function="false" hidden="true" name="Cotrans_Grafik" vbProcedure="false">{"general",#N/A,FALSE,"Assumptions"}</definedName>
    <definedName function="false" hidden="true" name="coucou" vbProcedure="false">{#N/A,#N/A,TRUE,"Cover sheet";#N/A,#N/A,TRUE,"INPUTS";#N/A,#N/A,TRUE,"OUTPUTS";#N/A,#N/A,TRUE,"VALUATION"}</definedName>
    <definedName function="false" hidden="true" name="coun" vbProcedure="false">{#N/A,#N/A,FALSE,"Assessment";#N/A,#N/A,FALSE,"Staffing";#N/A,#N/A,FALSE,"Hires";#N/A,#N/A,FALSE,"Assumptions"}</definedName>
    <definedName function="false" hidden="true" name="COUNT2" vbProcedure="false">{#N/A,#N/A,FALSE,"Assessment";#N/A,#N/A,FALSE,"Staffing";#N/A,#N/A,FALSE,"Hires";#N/A,#N/A,FALSE,"Assumptions"}</definedName>
    <definedName function="false" hidden="true" name="COUNTRY_NAME" vbProcedure="false">"COUNTRY_NAME"</definedName>
    <definedName function="false" hidden="true" name="COVER1" vbProcedure="false">#REF!</definedName>
    <definedName function="false" hidden="true" name="cover2" vbProcedure="false">#N/A</definedName>
    <definedName function="false" hidden="true" name="cox" vbProcedure="false">{#N/A,#N/A,FALSE,"Time Warner";#N/A,#N/A,FALSE,"Entertainment Group";#N/A,#N/A,FALSE,"EBITDA";#N/A,#N/A,FALSE,"Notes"}</definedName>
    <definedName function="false" hidden="true" name="CR" vbProcedure="false">#N/A</definedName>
    <definedName function="false" hidden="true" name="Crap" vbProcedure="false">{"budget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function="false" hidden="true" name="CreateTable" vbProcedure="false">#REF!</definedName>
    <definedName function="false" hidden="true" name="CreditStats" vbProcedure="false">#REF!</definedName>
    <definedName function="false" hidden="true" name="CROSSMBR" vbProcedure="false">{#N/A,#N/A,FALSE,"단축1";#N/A,#N/A,FALSE,"단축2";#N/A,#N/A,FALSE,"단축3";#N/A,#N/A,FALSE,"장축";#N/A,#N/A,FALSE,"4WD"}</definedName>
    <definedName function="false" hidden="true" name="Crystal_1_1_WEBI_DataGrid" vbProcedure="false">#REF!</definedName>
    <definedName function="false" hidden="true" name="Crystal_1_1_WEBI_HHeading" vbProcedure="false">#REF!</definedName>
    <definedName function="false" hidden="true" name="Crystal_1_1_WEBI_Table" vbProcedure="false">#REF!</definedName>
    <definedName function="false" hidden="true" name="csa" vbProcedure="false">{"TXO2N2_GP",#N/A,FALSE,"MTHLYGP";"TXH2_GP",#N/A,FALSE,"MTHLYGP";"LOUIS_GP",#N/A,FALSE,"MTHLYGP";"H2_GP",#N/A,FALSE,"MTHLYGP";"O2N2_GP",#N/A,FALSE,"MTHLYGP";"PACKAGE_GP",#N/A,FALSE,"MTHLYGP";"OTHER_GP",#N/A,FALSE,"MTHLYGP"}</definedName>
    <definedName function="false" hidden="true" name="csd" vbProcedure="false">#N/A</definedName>
    <definedName function="false" hidden="true" name="ctc" vbProcedure="false">#REF!</definedName>
    <definedName function="false" hidden="true" name="cu102.ShareScalingFactor" vbProcedure="false">1000000</definedName>
    <definedName function="false" hidden="true" name="cu103.EmployeeScalingFactor" vbProcedure="false">1000</definedName>
    <definedName function="false" hidden="true" name="cu107.DPSSymbol" vbProcedure="false">"€"</definedName>
    <definedName function="false" hidden="true" name="cu107.EPSSymbol" vbProcedure="false">"€"</definedName>
    <definedName function="false" hidden="true" name="cu71.ScalingFactor" vbProcedure="false">1000000</definedName>
    <definedName function="false" hidden="true" name="cuiao" vbProcedure="false">{"Allocation Matrix p1",#N/A,FALSE,"Allocation Matrix";"Allocation Matrix p2",#N/A,FALSE,"Allocation Matrix";"Allocation Matrix p3",#N/A,FALSE,"Allocation Matrix"}</definedName>
    <definedName function="false" hidden="true" name="culo" vbProcedure="false">{#N/A,#N/A,FALSE,"Table of Contents";#N/A,#N/A,FALSE,"summary";#N/A,#N/A,FALSE,"5yr.hist.";"bridge",#N/A,FALSE,"labor";"direct labor",#N/A,FALSE,"labor";"headcount",#N/A,FALSE,"labor";"summary",#N/A,FALSE,"labor";"INDIRECT LABOR",#N/A,FALSE,"labor";"Material",#N/A,FALSE,"material";"scrap",#N/A,FALSE,"scrap";"Burden",#N/A,FALSE,"burden";"Capital",#N/A,FALSE,"capital";"Clearing",#N/A,FALSE,"clearing"}</definedName>
    <definedName function="false" hidden="true" name="cun" vbProcedure="false">{#N/A,#N/A,FALSE,"WOB_1.XLS";#N/A,#N/A,FALSE,"WOB_2.XLS";#N/A,#N/A,FALSE,"WOB_3.XLS";#N/A,#N/A,FALSE,"WOB_4.XLS";#N/A,#N/A,FALSE,"WOB_5.XLS"}</definedName>
    <definedName function="false" hidden="true" name="CUNDEZ" vbProcedure="false">{#N/A,#N/A,FALSE,"WOB_1.XLS";#N/A,#N/A,FALSE,"WOB_2.XLS";#N/A,#N/A,FALSE,"WOB_3.XLS";#N/A,#N/A,FALSE,"WOB_4.XLS";#N/A,#N/A,FALSE,"WOB_5.XLS"}</definedName>
    <definedName function="false" hidden="true" name="CURRENT_PORT" vbProcedure="false">"CURRENT_PORT"</definedName>
    <definedName function="false" hidden="true" name="CURRENT_RATIO" vbProcedure="false">"CURRENT_RATIO"</definedName>
    <definedName function="false" hidden="true" name="CurrYear" vbProcedure="false">#REF!</definedName>
    <definedName function="false" hidden="true" name="curse" vbProcedure="false">#REF!</definedName>
    <definedName function="false" hidden="true" name="cursource" vbProcedure="false">#N/A</definedName>
    <definedName function="false" hidden="true" name="cutting" vbProcedure="false">#REF!</definedName>
    <definedName function="false" hidden="true" name="cv"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cvb" vbProcedure="false">{#N/A,#N/A,FALSE,"Operations";#N/A,#N/A,FALSE,"Financials"}</definedName>
    <definedName function="false" hidden="true" name="cvbn" vbProcedure="false">{"vol data",#N/A,FALSE,"Datasheet";"vol graph",#N/A,FALSE,"Volume";"price data",#N/A,FALSE,"Datasheet";"price graph",#N/A,FALSE,"Price";"dp data",#N/A,FALSE,"Datasheet";"dp graph",#N/A,FALSE,"DirectProfit"}</definedName>
    <definedName function="false" hidden="true" name="cvbncvnvbn" vbProcedure="false">{#N/A,#N/A,FALSE,"Operations";#N/A,#N/A,FALSE,"Financials"}</definedName>
    <definedName function="false" hidden="true" name="cvc" vbProcedure="false">{#N/A,#N/A,FALSE,"KA CH  (2)"}</definedName>
    <definedName function="false" hidden="true" name="cvcv" vbProcedure="false">{"AS REP",#N/A,FALSE,"EEFSNAP2";"PROP",#N/A,FALSE,"EEFSNAP2";"RISKS",#N/A,FALSE,"EEFSNAP2";"VIEW ALL",#N/A,FALSE,"EEFSNAP2"}</definedName>
    <definedName function="false" hidden="true" name="cvf" vbProcedure="false">{#N/A,#N/A,FALSE,"Finanzbedarfsrechnung"}</definedName>
    <definedName function="false" hidden="true" name="CVNCVNBVN" vbProcedure="false">{"comp1",#N/A,FALSE,"COMPS";"footnotes",#N/A,FALSE,"COMPS"}</definedName>
    <definedName function="false" hidden="true" name="Cwvu.ALL." vbProcedure="false">#REF!,#REF!</definedName>
    <definedName function="false" hidden="true" name="Cwvu.all.2" vbProcedure="false">#REF!,#REF!</definedName>
    <definedName function="false" hidden="true" name="Cwvu.GREY_ALL." vbProcedure="false">#REF!</definedName>
    <definedName function="false" hidden="true" name="Cwvu.PRT." vbProcedure="false">#REF!,#REF!,#REF!,#REF!,#REF!</definedName>
    <definedName function="false" hidden="true" name="Cwvu.prt.2" vbProcedure="false">#REF!,#REF!,#REF!,#REF!,#REF!</definedName>
    <definedName function="false" hidden="true" name="cxv"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cxvsd"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CXVZ" vbProcedure="false">{#N/A,#N/A,FALSE,"인원";#N/A,#N/A,FALSE,"비용2";#N/A,#N/A,FALSE,"비용1";#N/A,#N/A,FALSE,"비용";#N/A,#N/A,FALSE,"보증2";#N/A,#N/A,FALSE,"보증1";#N/A,#N/A,FALSE,"보증";#N/A,#N/A,FALSE,"손익1";#N/A,#N/A,FALSE,"손익";#N/A,#N/A,FALSE,"부서별매출";#N/A,#N/A,FALSE,"매출"}</definedName>
    <definedName function="false" hidden="true" name="cxz" vbProcedure="false">{"cover",#N/A,TRUE,"Cover";"toc6",#N/A,TRUE,"TOC";"over",#N/A,TRUE,"Overview";"ts2",#N/A,TRUE,"Det_Trans_Sum";"ei",#N/A,TRUE,"Earnings Impact";"ad",#N/A,TRUE,"accretion dilution";"hg",#N/A,TRUE,"Has-Gets";"pfis",#N/A,TRUE,"Pro Forma Income Statement";"ca",#N/A,TRUE,"Contribution_Analysis";"acq",#N/A,TRUE,"Acquirer";"tar",#N/A,TRUE,"Target"}</definedName>
    <definedName function="false" hidden="true" name="CY_15_IS" vbProcedure="false">#REF!</definedName>
    <definedName function="false" hidden="true" name="CY_16_IS" vbProcedure="false">#REF!</definedName>
    <definedName function="false" hidden="true" name="cz" vbProcedure="false">{"pro_view",#N/A,FALSE,"EEFSNAP2";"rep_view",#N/A,FALSE,"EEFSNAP2"}</definedName>
    <definedName function="false" hidden="true" name="czf" vbProcedure="false">{"AS REP",#N/A,FALSE,"EEFSNAP2";"PROP",#N/A,FALSE,"EEFSNAP2";"RISKS",#N/A,FALSE,"EEFSNAP2";"VIEW ALL",#N/A,FALSE,"EEFSNAP2"}</definedName>
    <definedName function="false" hidden="true" name="d" vbProcedure="false">{#N/A,#N/A,FALSE,"Finanzbedarsrechnung"}</definedName>
    <definedName function="false" hidden="true" name="DAD" vbProcedure="false">{#N/A,#N/A,FALSE,"REPORT"}</definedName>
    <definedName function="false" hidden="true" name="DADF" vbProcedure="false">{#N/A,#N/A,FALSE,"REPORT"}</definedName>
    <definedName function="false" hidden="true" name="daf" vbProcedure="false">{#N/A,#N/A,FALSE,"1";#N/A,#N/A,FALSE,"2";#N/A,#N/A,FALSE,"16 - 17";#N/A,#N/A,FALSE,"18 - 19";#N/A,#N/A,FALSE,"26";#N/A,#N/A,FALSE,"27";#N/A,#N/A,FALSE,"28"}</definedName>
    <definedName function="false" hidden="true" name="dafA" vbProcedure="false">#REF!</definedName>
    <definedName function="false" hidden="true" name="DAFAFAE" vbProcedure="false">{#N/A,#N/A,FALSE,"단축1";#N/A,#N/A,FALSE,"단축2";#N/A,#N/A,FALSE,"단축3";#N/A,#N/A,FALSE,"장축";#N/A,#N/A,FALSE,"4WD"}</definedName>
    <definedName function="false" hidden="true" name="dafd" vbProcedure="false">{"bs",#N/A,FALSE,"SCF"}</definedName>
    <definedName function="false" hidden="true" name="dafs"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dag" vbProcedure="false">{"Total",#N/A,FALSE,"Six Fields";"PDP",#N/A,FALSE,"Six Fields";"PNP",#N/A,FALSE,"Six Fields";"PUD",#N/A,FALSE,"Six Fields";"Prob",#N/A,FALSE,"Six Fields"}</definedName>
    <definedName function="false" hidden="true" name="dakfkjafgkeaj" vbProcedure="false">{#N/A,#N/A,FALSE,"Pharm";#N/A,#N/A,FALSE,"WWCM"}</definedName>
    <definedName function="false" hidden="true" name="das" vbProcedure="false">{#N/A,#N/A,TRUE,"Cover";#N/A,#N/A,TRUE,"Summary";#N/A,#N/A,TRUE,"P&amp;L";#N/A,#N/A,TRUE,"CF";#N/A,#N/A,TRUE,"BS";#N/A,#N/A,TRUE,"BS_Assumptions";#N/A,#N/A,TRUE,"GSM1800 -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function="false" hidden="true" name="dasf" vbProcedure="false">#REF!</definedName>
    <definedName function="false" hidden="true" name="Dat" vbProcedure="false">{#N/A,#N/A,TRUE,"Total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function="false" hidden="true" name="Data.Dump" vbProcedure="false">OFFSET(#REF!,1,0)</definedName>
    <definedName function="false" hidden="true" name="Database.File" vbProcedure="false">#REF!</definedName>
    <definedName function="false" hidden="true" name="datadownfour" vbProcedure="false">#REF!</definedName>
    <definedName function="false" hidden="true" name="datadownone" vbProcedure="false">#REF!</definedName>
    <definedName function="false" hidden="true" name="datadownthree" vbProcedure="false">#REF!</definedName>
    <definedName function="false" hidden="true" name="datadowntwo" vbProcedure="false">#REF!</definedName>
    <definedName function="false" hidden="true" name="datatoggle" vbProcedure="false">#REF!</definedName>
    <definedName function="false" hidden="true" name="datatoggletwo" vbProcedure="false">#REF!</definedName>
    <definedName function="false" hidden="true" name="DataValDate" vbProcedure="false">#REF!</definedName>
    <definedName function="false" hidden="true" name="datavaldate2" vbProcedure="false">#REF!</definedName>
    <definedName function="false" hidden="true" name="datavaldate3" vbProcedure="false">#REF!</definedName>
    <definedName function="false" hidden="true" name="DATA_01" vbProcedure="false">#REF!</definedName>
    <definedName function="false" hidden="true" name="Data_FooterType" vbProcedure="false">"INTERNAL"</definedName>
    <definedName function="false" hidden="true" name="Data_summary" vbProcedure="false">{#N/A,#N/A,TRUE,"Total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function="false" hidden="true" name="DateRangePrice" vbProcedure="false">OFFSET(#REF!,5,0,COUNTA(#REF!)-COUNTA(#REF!),1)</definedName>
    <definedName function="false" hidden="true" name="DateRangePriceMain" vbProcedure="false">#REF!</definedName>
    <definedName function="false" hidden="true" name="dave" vbProcedure="false">{"'Form'!$A$2:$J$81"}</definedName>
    <definedName function="false" hidden="true" name="daws" vbProcedure="false">{#N/A,#N/A,FALSE,"Renewals In Process";#N/A,#N/A,FALSE,"New Clients In Process";#N/A,#N/A,FALSE,"Completed New Clients";#N/A,#N/A,FALSE,"Completed Renewals"}</definedName>
    <definedName function="false" hidden="true" name="DAYS_PAY_OUTST" vbProcedure="false">"DAYS_PAY_OUTST"</definedName>
    <definedName function="false" hidden="true" name="DAYS_SALES_OUTST" vbProcedure="false">"DAYS_SALES_OUTST"</definedName>
    <definedName function="false" hidden="true" name="dbed" vbProcedure="false">{"histincome",#N/A,FALSE,"hyfins";"closing balance",#N/A,FALSE,"hyfins"}</definedName>
    <definedName function="false" hidden="true" name="DCF" vbProcedure="false">{#N/A,#N/A,FALSE,"DCF Summary";#N/A,#N/A,FALSE,"Casema";#N/A,#N/A,FALSE,"Casema NoTel";#N/A,#N/A,FALSE,"UK";#N/A,#N/A,FALSE,"RCF";#N/A,#N/A,FALSE,"Intercable CZ";#N/A,#N/A,FALSE,"Interkabel P"}</definedName>
    <definedName function="false" hidden="true" name="DCF_"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name="dchart1" vbProcedure="false">#REF!</definedName>
    <definedName function="false" hidden="true" name="dchart4" vbProcedure="false">#REF!</definedName>
    <definedName function="false" hidden="true" name="dcrutu"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dd" vbProcedure="false">{#N/A,#N/A,FALSE,"Layout Aktiva";#N/A,#N/A,FALSE,"Layout Passiva"}</definedName>
    <definedName function="false" hidden="true" name="ddchart1" vbProcedure="false">#REF!</definedName>
    <definedName function="false" hidden="true" name="ddd"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az" vbProcedure="false">{#N/A,#N/A,FALSE,"Pharm";#N/A,#N/A,FALSE,"WWCM"}</definedName>
    <definedName function="false" hidden="true" name="dddd" vbProcedure="false">{"'Munka1'!$B$1:$G$101"}</definedName>
    <definedName function="false" hidden="true" name="ddddd" vbProcedure="false">{"Tages_D",#N/A,FALSE,"Tagesbericht";"Tages_PL",#N/A,FALSE,"Tagesbericht"}</definedName>
    <definedName function="false" hidden="true" name="dddddd" vbProcedure="false">{#N/A,#N/A,FALSE,"Pharm";#N/A,#N/A,FALSE,"WWCM"}</definedName>
    <definedName function="false" hidden="true" name="ddddddd" vbProcedure="false">{"detail",#N/A,FALSE,"mfg";"summary",#N/A,FALSE,"mfg"}</definedName>
    <definedName function="false" hidden="true" name="ddde" vbProcedure="false">{#N/A,#N/A,FALSE,"A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function="false" hidden="true" name="dddfg" vbProcedure="false">{#N/A,#N/A,FALSE,"정공"}</definedName>
    <definedName function="false" hidden="true" name="ddds" vbProcedure="false">{"cap_structure",#N/A,FALSE,"Graph-Mkt Cap";"price",#N/A,FALSE,"Graph-Price";"ebit",#N/A,FALSE,"Graph-EBITDA";"ebitda",#N/A,FALSE,"Graph-EBITDA"}</definedName>
    <definedName function="false" hidden="true" name="ddd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1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1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1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1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1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2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2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2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2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2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3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3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3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3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3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4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4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4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4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4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5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5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5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5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d_5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ddee" vbProcedure="false">{#N/A,#N/A,FALSE,"Finanzbedarsrechnung"}</definedName>
    <definedName function="false" hidden="true" name="ddf" vbProcedure="false">{#N/A,#N/A,FALSE,"KA CH  (2)"}</definedName>
    <definedName function="false" hidden="true" name="dDFA" vbProcedure="false">{#N/A,#N/A,FALSE,"단축1";#N/A,#N/A,FALSE,"단축2";#N/A,#N/A,FALSE,"단축3";#N/A,#N/A,FALSE,"장축";#N/A,#N/A,FALSE,"4WD"}</definedName>
    <definedName function="false" hidden="true" name="ddfdsfg"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ddff" vbProcedure="false">{"Bilanz grob",#N/A,TRUE,"Planbilanz";"Erfolgsrechnung grob",#N/A,TRUE,"Plan-ER";#N/A,#N/A,TRUE,"Geldfluss";"Bilanz fein",#N/A,TRUE,"Planbilanz";"Erfolgsrechnung fein",#N/A,TRUE,"Plan-ER";#N/A,#N/A,TRUE,"Absatzplan";#N/A,#N/A,TRUE,"Einkaufsplan";#N/A,#N/A,TRUE,"Investitionsplan";#N/A,#N/A,TRUE,"KK Aktionäre"}</definedName>
    <definedName function="false" hidden="true" name="DDO" vbProcedure="false">{"'Future Reviews'!$A$1:$D$58"}</definedName>
    <definedName function="false" hidden="true" name="DDS" vbProcedure="false">{#N/A,#N/A,FALSE,"을지 (4)";#N/A,#N/A,FALSE,"을지 (5)";#N/A,#N/A,FALSE,"을지 (6)"}</definedName>
    <definedName function="false" hidden="true" name="ddsad" vbProcedure="false">{#N/A,"Foundation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function="false" hidden="true" name="ddsafdsf" vbProcedure="false">{#N/A,#N/A,FALSE,"Index";#N/A,#N/A,FALSE,"1.1";#N/A,#N/A,FALSE,"Scenario Summary"}</definedName>
    <definedName function="false" hidden="true" name="ddx" vbProcedure="false">{"YD LAPO2",#N/A,FALSE,"YTD";"YD LPH2",#N/A,FALSE,"YTD";"YD LOUISIANA",#N/A,FALSE,"YTD";"YD GENERALH2",#N/A,FALSE,"YTD";"YD PRS",#N/A,FALSE,"YTD";"YD PACKAGE",#N/A,FALSE,"YTD";"YD OTHER",#N/A,FALSE,"YTD"}</definedName>
    <definedName function="false" hidden="true" name="DE" vbProcedure="false">{#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function="false" hidden="true" name="debt000" vbProcedure="false">{"NP-New Acquisition",#N/A,FALSE,"NOTE PAYMENTS";"NP-Strategic Loan",#N/A,FALSE,"NOTE PAYMENTS";"NP-Tech Loan",#N/A,FALSE,"NOTE PAYMENTS";"NP-Existing Debt",#N/A,FALSE,"NOTE PAYMENTS";"NP-Curr Maturity",#N/A,FALSE,"NOTE PAYMENTS";"NP-Interest Exp",#N/A,FALSE,"NOTE PAYMENTS"}</definedName>
    <definedName function="false" hidden="true" name="debt1" vbProcedure="false">{"NP-New Acquisition",#N/A,FALSE,"NOTE PAYMENTS";"NP-Strategic Loan",#N/A,FALSE,"NOTE PAYMENTS";"NP-Tech Loan",#N/A,FALSE,"NOTE PAYMENTS";"NP-Existing Debt",#N/A,FALSE,"NOTE PAYMENTS";"NP-Curr Maturity",#N/A,FALSE,"NOTE PAYMENTS";"NP-Interest Exp",#N/A,FALSE,"NOTE PAYMENTS"}</definedName>
    <definedName function="false" hidden="true" name="debt10" vbProcedure="false">{"NP-New Acquisition",#N/A,FALSE,"NOTE PAYMENTS";"NP-Strategic Loan",#N/A,FALSE,"NOTE PAYMENTS";"NP-Tech Loan",#N/A,FALSE,"NOTE PAYMENTS";"NP-Existing Debt",#N/A,FALSE,"NOTE PAYMENTS";"NP-Curr Maturity",#N/A,FALSE,"NOTE PAYMENTS";"NP-Interest Exp",#N/A,FALSE,"NOTE PAYMENTS"}</definedName>
    <definedName function="false" hidden="true" name="debt2" vbProcedure="false">{"NP-New Acquisition",#N/A,FALSE,"NOTE PAYMENTS";"NP-Strategic Loan",#N/A,FALSE,"NOTE PAYMENTS";"NP-Tech Loan",#N/A,FALSE,"NOTE PAYMENTS";"NP-Existing Debt",#N/A,FALSE,"NOTE PAYMENTS";"NP-Curr Maturity",#N/A,FALSE,"NOTE PAYMENTS";"NP-Interest Exp",#N/A,FALSE,"NOTE PAYMENTS"}</definedName>
    <definedName function="false" hidden="true" name="debt21" vbProcedure="false">{"NP-New Acquisition",#N/A,FALSE,"NOTE PAYMENTS";"NP-Strategic Loan",#N/A,FALSE,"NOTE PAYMENTS";"NP-Tech Loan",#N/A,FALSE,"NOTE PAYMENTS";"NP-Existing Debt",#N/A,FALSE,"NOTE PAYMENTS";"NP-Curr Maturity",#N/A,FALSE,"NOTE PAYMENTS";"NP-Interest Exp",#N/A,FALSE,"NOTE PAYMENTS"}</definedName>
    <definedName function="false" hidden="true" name="debt25" vbProcedure="false">{"NP-New Acquisition",#N/A,FALSE,"NOTE PAYMENTS";"NP-Strategic Loan",#N/A,FALSE,"NOTE PAYMENTS";"NP-Tech Loan",#N/A,FALSE,"NOTE PAYMENTS";"NP-Existing Debt",#N/A,FALSE,"NOTE PAYMENTS";"NP-Curr Maturity",#N/A,FALSE,"NOTE PAYMENTS";"NP-Interest Exp",#N/A,FALSE,"NOTE PAYMENTS"}</definedName>
    <definedName function="false" hidden="true" name="debt26" vbProcedure="false">{"NP-New Acquisition",#N/A,FALSE,"NOTE PAYMENTS";"NP-Strategic Loan",#N/A,FALSE,"NOTE PAYMENTS";"NP-Tech Loan",#N/A,FALSE,"NOTE PAYMENTS";"NP-Existing Debt",#N/A,FALSE,"NOTE PAYMENTS";"NP-Curr Maturity",#N/A,FALSE,"NOTE PAYMENTS";"NP-Interest Exp",#N/A,FALSE,"NOTE PAYMENTS"}</definedName>
    <definedName function="false" hidden="true" name="debt27" vbProcedure="false">{"NP-New Acquisition",#N/A,FALSE,"NOTE PAYMENTS";"NP-Strategic Loan",#N/A,FALSE,"NOTE PAYMENTS";"NP-Tech Loan",#N/A,FALSE,"NOTE PAYMENTS";"NP-Existing Debt",#N/A,FALSE,"NOTE PAYMENTS";"NP-Curr Maturity",#N/A,FALSE,"NOTE PAYMENTS";"NP-Interest Exp",#N/A,FALSE,"NOTE PAYMENTS"}</definedName>
    <definedName function="false" hidden="true" name="debt35" vbProcedure="false">{"NP-New Acquisition",#N/A,FALSE,"NOTE PAYMENTS";"NP-Strategic Loan",#N/A,FALSE,"NOTE PAYMENTS";"NP-Tech Loan",#N/A,FALSE,"NOTE PAYMENTS";"NP-Existing Debt",#N/A,FALSE,"NOTE PAYMENTS";"NP-Curr Maturity",#N/A,FALSE,"NOTE PAYMENTS";"NP-Interest Exp",#N/A,FALSE,"NOTE PAYMENTS"}</definedName>
    <definedName function="false" hidden="true" name="debt5" vbProcedure="false">{"NP-New Acquisition",#N/A,FALSE,"NOTE PAYMENTS";"NP-Strategic Loan",#N/A,FALSE,"NOTE PAYMENTS";"NP-Tech Loan",#N/A,FALSE,"NOTE PAYMENTS";"NP-Existing Debt",#N/A,FALSE,"NOTE PAYMENTS";"NP-Curr Maturity",#N/A,FALSE,"NOTE PAYMENTS";"NP-Interest Exp",#N/A,FALSE,"NOTE PAYMENTS"}</definedName>
    <definedName function="false" hidden="true" name="debt6" vbProcedure="false">{"NP-New Acquisition",#N/A,FALSE,"NOTE PAYMENTS";"NP-Strategic Loan",#N/A,FALSE,"NOTE PAYMENTS";"NP-Tech Loan",#N/A,FALSE,"NOTE PAYMENTS";"NP-Existing Debt",#N/A,FALSE,"NOTE PAYMENTS";"NP-Curr Maturity",#N/A,FALSE,"NOTE PAYMENTS";"NP-Interest Exp",#N/A,FALSE,"NOTE PAYMENTS"}</definedName>
    <definedName function="false" hidden="true" name="debt66" vbProcedure="false">{"NP-New Acquisition",#N/A,FALSE,"NOTE PAYMENTS";"NP-Strategic Loan",#N/A,FALSE,"NOTE PAYMENTS";"NP-Tech Loan",#N/A,FALSE,"NOTE PAYMENTS";"NP-Existing Debt",#N/A,FALSE,"NOTE PAYMENTS";"NP-Curr Maturity",#N/A,FALSE,"NOTE PAYMENTS";"NP-Interest Exp",#N/A,FALSE,"NOTE PAYMENTS"}</definedName>
    <definedName function="false" hidden="true" name="debt7" vbProcedure="false">{"NP-New Acquisition",#N/A,FALSE,"NOTE PAYMENTS";"NP-Strategic Loan",#N/A,FALSE,"NOTE PAYMENTS";"NP-Tech Loan",#N/A,FALSE,"NOTE PAYMENTS";"NP-Existing Debt",#N/A,FALSE,"NOTE PAYMENTS";"NP-Curr Maturity",#N/A,FALSE,"NOTE PAYMENTS";"NP-Interest Exp",#N/A,FALSE,"NOTE PAYMENTS"}</definedName>
    <definedName function="false" hidden="true" name="debt8" vbProcedure="false">{"NP-New Acquisition",#N/A,FALSE,"NOTE PAYMENTS";"NP-Strategic Loan",#N/A,FALSE,"NOTE PAYMENTS";"NP-Tech Loan",#N/A,FALSE,"NOTE PAYMENTS";"NP-Existing Debt",#N/A,FALSE,"NOTE PAYMENTS";"NP-Curr Maturity",#N/A,FALSE,"NOTE PAYMENTS";"NP-Interest Exp",#N/A,FALSE,"NOTE PAYMENTS"}</definedName>
    <definedName function="false" hidden="true" name="debtpref" vbProcedure="false">#REF!</definedName>
    <definedName function="false" hidden="true" name="debt_ratedBBB" vbProcedure="false">{#N/A,#N/A,FALSE,"Aging Summary";#N/A,#N/A,FALSE,"Ratio Analysis";#N/A,#N/A,FALSE,"Test 120 Day Accts";#N/A,#N/A,FALSE,"Tickmarks"}</definedName>
    <definedName function="false" hidden="true" name="Deckblatt"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Dec_Plan_Income_Month" vbProcedure="false">{"Oct_Plan_Income_Month",#N/A,FALSE,"OctInc";"Oct_Month_Lastyear_Inc",#N/A,FALSE,"OctInc"}</definedName>
    <definedName function="false" hidden="true" name="dede" vbProcedure="false">{#N/A,#N/A,FALSE,"Pharm";#N/A,#N/A,FALSE,"WWCM"}</definedName>
    <definedName function="false" hidden="true" name="DEDED" vbProcedure="false">{#N/A,#N/A,FALSE,"Card";#N/A,#N/A,FALSE,"Prav";#N/A,#N/A,FALSE,"Irbe";#N/A,#N/A,FALSE,"Plavix";#N/A,#N/A,FALSE,"Capt";#N/A,#N/A,FALSE,"Fosi"}</definedName>
    <definedName function="false" hidden="true" name="DEDEDZE" vbProcedure="false">{#N/A,#N/A,FALSE,"Pharm";#N/A,#N/A,FALSE,"WWCM"}</definedName>
    <definedName function="false" hidden="true" name="deds" vbProcedure="false">{#N/A,#N/A,FALSE,"Layout GuV"}</definedName>
    <definedName function="false" hidden="true" name="DEDZD" vbProcedure="false">{#N/A,#N/A,FALSE,"Pharm";#N/A,#N/A,FALSE,"WWCM"}</definedName>
    <definedName function="false" hidden="true" name="DEE" vbProcedure="false">{#N/A,#N/A,FALSE,"Pharm";#N/A,#N/A,FALSE,"WWCM"}</definedName>
    <definedName function="false" hidden="true" name="def" vbProcedure="false">{"510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function="false" hidden="true" name="DEFERRED_INC_TAX" vbProcedure="false">"DEFERRED_INC_TAX"</definedName>
    <definedName function="false" hidden="true" name="DEFERRED_TAXES" vbProcedure="false">"DEFERRED_TAXES"</definedName>
    <definedName function="false" hidden="true" name="degzer" vbProcedure="false">{#N/A,#N/A,FALSE,"Layout Cash Flow"}</definedName>
    <definedName function="false" hidden="true" name="delete" vbProcedure="false">{"'Sheet1'!$A$1:$O$22"}</definedName>
    <definedName function="false" hidden="true" name="delete11" vbProcedure="false">{"Page1",#N/A,FALSE,"CompCo";"Page2",#N/A,FALSE,"CompCo"}</definedName>
    <definedName function="false" hidden="true" name="delete20" vbProcedure="false">{"Page1",#N/A,FALSE,"CompCo";"Page2",#N/A,FALSE,"CompCo"}</definedName>
    <definedName function="false" hidden="true" name="delete5" vbProcedure="false">{"Page1",#N/A,FALSE,"CompCo";"Page2",#N/A,FALSE,"CompCo"}</definedName>
    <definedName function="false" hidden="true" name="deleteme" vbProcedure="false">{"PA1",#N/A,FALSE,"BORDMW";"pa2",#N/A,FALSE,"BORDMW";"PA3",#N/A,FALSE,"BORDMW";"PA4",#N/A,FALSE,"BORDMW"}</definedName>
    <definedName function="false" hidden="true" name="deleteme1" vbProcedure="false">{#N/A,#N/A,FALSE,"Summary";#N/A,#N/A,FALSE,"CF";#N/A,#N/A,FALSE,"P&amp;L";#N/A,#N/A,FALSE,"BS";#N/A,#N/A,FALSE,"Returns";#N/A,#N/A,FALSE,"Assumptions";#N/A,#N/A,FALSE,"Analysis"}</definedName>
    <definedName function="false" hidden="true" name="deleteme2" vbProcedure="false">{#N/A,#N/A,TRUE,"Main assumptions";#N/A,#N/A,TRUE,"Subscriber projections";#N/A,#N/A,TRUE,"Revenues";#N/A,#N/A,TRUE,"Opex";#N/A,#N/A,TRUE,"Capex";#N/A,#N/A,TRUE,"Working capital";#N/A,#N/A,TRUE,"P&amp;L";#N/A,#N/A,TRUE,"Cash";#N/A,#N/A,TRUE,"Balance";#N/A,#N/A,TRUE,"Valuation";#N/A,#N/A,TRUE,"Bench"}</definedName>
    <definedName function="false" hidden="true" name="deleteme3" vbProcedure="false">{#N/A,#N/A,FALSE,"Summary";#N/A,#N/A,FALSE,"CF";#N/A,#N/A,FALSE,"P&amp;L";"summary",#N/A,FALSE,"Returns";#N/A,#N/A,FALSE,"BS";"summary",#N/A,FALSE,"Analysis";#N/A,#N/A,FALSE,"Assumptions"}</definedName>
    <definedName function="false" hidden="true" name="DeleteRange" vbProcedure="false">#REF!</definedName>
    <definedName function="false" hidden="true" name="DeleteTable" vbProcedure="false">#REF!</definedName>
    <definedName function="false" hidden="true" name="Delete_ME" vbProcedure="false">{"'Server Configuration'!$A$1:$DB$281"}</definedName>
    <definedName function="false" hidden="true" name="DEMeXToEUR" vbProcedure="false">#REF!</definedName>
    <definedName function="false" hidden="true" name="DEMeXToEUR1a" vbProcedure="false">#REF!</definedName>
    <definedName function="false" hidden="true" name="DEPRE_AMORT" vbProcedure="false">"DEPRE_AMORT"</definedName>
    <definedName function="false" hidden="true" name="DEPRE_AMORT_SUPPL" vbProcedure="false">"DEPRE_AMORT_SUPPL"</definedName>
    <definedName function="false" hidden="true" name="DEPRE_DEPLE" vbProcedure="false">"DEPRE_DEPLE"</definedName>
    <definedName function="false" hidden="true" name="DEPRE_SUPP" vbProcedure="false">"DEPRE_SUPP"</definedName>
    <definedName function="false" hidden="true" name="DER" vbProcedure="false">{"'Demand Units'!$X$11:$AD$45"}</definedName>
    <definedName function="false" hidden="true" name="derf"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derta" vbProcedure="false">{"FY97Q1 nvs",#N/A,FALSE,"FY97 - Q1";"FY97Q2 nvs",#N/A,FALSE,"FY97 - Q2";"FY97Q3 nvs",#N/A,FALSE,"FY97 - Q3";"FY97Q4 nvs",#N/A,FALSE,"FY97 - Q4"}</definedName>
    <definedName function="false" hidden="true" name="des"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DESCRIPTION_LONG" vbProcedure="false">"DESCRIPTION_LONG"</definedName>
    <definedName function="false" hidden="true" name="dessd"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desto" vbProcedure="false">{"FY98Q1 nvs",#N/A,FALSE,"FY98 - Q1";"FY98Q2 nvs",#N/A,FALSE,"FY98 - Q2";"FY98Q3 nvs",#N/A,FALSE,"FY98 - Q3";"FY98Q4 nvs",#N/A,FALSE,"FY98 - Q4"}</definedName>
    <definedName function="false" hidden="true" name="DETAIL1" vbProcedure="false">{#N/A,#N/A,FALSE,"인원";#N/A,#N/A,FALSE,"비용2";#N/A,#N/A,FALSE,"비용1";#N/A,#N/A,FALSE,"비용";#N/A,#N/A,FALSE,"보증2";#N/A,#N/A,FALSE,"보증1";#N/A,#N/A,FALSE,"보증";#N/A,#N/A,FALSE,"손익1";#N/A,#N/A,FALSE,"손익";#N/A,#N/A,FALSE,"부서별매출";#N/A,#N/A,FALSE,"매출"}</definedName>
    <definedName function="false" hidden="true" name="DetailedPLinclLM" vbProcedure="false">main.sapf4help()</definedName>
    <definedName function="false" hidden="true" name="detto" vbProcedure="false">{"FY97Q1",#N/A,FALSE,"FY97 - Q1";"FY97Q2",#N/A,FALSE,"FY97 - Q2";"FY97Q3",#N/A,FALSE,"FY97 - Q3";"FY97Q4",#N/A,FALSE,"FY97 - Q4"}</definedName>
    <definedName function="false" hidden="true" name="devc" vbProcedure="false">{"TOTTEXAS",#N/A,FALSE,"CM"}</definedName>
    <definedName function="false" hidden="true" name="dev_tech" vbProcedure="false">#REF!</definedName>
    <definedName function="false" hidden="true" name="DEZLFEZKLHF" vbProcedure="false">{#N/A,#N/A,FALSE,"Pharm";#N/A,#N/A,FALSE,"WWCM"}</definedName>
    <definedName function="false" hidden="true" name="df" vbProcedure="false">{"comps",#N/A,FALSE,"comps";"notes",#N/A,FALSE,"comps"}</definedName>
    <definedName function="false" hidden="true" name="dfA"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dfadfadsfa" vbProcedure="false">{#VALUE!,#N/A,FALSE,0;#N/A,#N/A,FALSE,0;#N/A,#N/A,FALSE,0;#N/A,#N/A,FALSE,0}</definedName>
    <definedName function="false" hidden="true" name="dfafa" vbProcedure="false">#N/A</definedName>
    <definedName function="false" hidden="true" name="dfagdfg" vbProcedure="false">{"résultats_édition client",#N/A,FALSE,"Résultats"}</definedName>
    <definedName function="false" hidden="true" name="dfaggdfg" vbProcedure="false">{"regression corrigées",#N/A,FALSE,"Regressions"}</definedName>
    <definedName function="false" hidden="true" name="DFASD" vbProcedure="false">{#N/A,#N/A,FALSE,"인원";#N/A,#N/A,FALSE,"비용2";#N/A,#N/A,FALSE,"비용1";#N/A,#N/A,FALSE,"비용";#N/A,#N/A,FALSE,"보증2";#N/A,#N/A,FALSE,"보증1";#N/A,#N/A,FALSE,"보증";#N/A,#N/A,FALSE,"손익1";#N/A,#N/A,FALSE,"손익";#N/A,#N/A,FALSE,"부서별매출";#N/A,#N/A,FALSE,"매출"}</definedName>
    <definedName function="false" hidden="true" name="dfasdf" vbProcedure="false">#REF!</definedName>
    <definedName function="false" hidden="true" name="dfbfhyt" vbProcedure="false">{#N/A,#N/A,TRUE,"Historicals";#N/A,#N/A,TRUE,"Charts";#N/A,#N/A,TRUE,"Forecasts"}</definedName>
    <definedName function="false" hidden="true" name="dfbg" vbProcedure="false">{#N/A,#N/A,FALSE,"V3 Stab-Geb Index";#N/A,#N/A,FALSE,"Vertrieb";#N/A,#N/A,FALSE,"V Daten";#N/A,#N/A,FALSE,"V-Z-Index";#N/A,#N/A,FALSE,"V-1 Daten";#N/A,#N/A,FALSE,"V-1 Index";#N/A,#N/A,FALSE,"V-2 Index";#N/A,#N/A,FALSE,"V-3 Daten";#N/A,#N/A,FALSE,"V3 Stab-Geb Index";#N/A,#N/A,FALSE,"V-3 VG's Index";#N/A,#N/A,FALSE,"V-4 Index";#N/A,#N/A,FALSE,"V-5 Index"}</definedName>
    <definedName function="false" hidden="true" name="dfd" vbProcedure="false">{"comp1",#N/A,FALSE,"COMPS";"footnotes",#N/A,FALSE,"COMPS"}</definedName>
    <definedName function="false" hidden="true" name="dfdadf" vbProcedure="false">{#N/A,"DR",FALSE,"increm pf";#N/A,"MAMSI",FALSE,"increm pf";#N/A,"MAXI",FALSE,"increm pf";#N/A,"PCAM",FALSE,"increm pf";#N/A,"PHSV",FALSE,"increm pf";#N/A,"SIE",FALSE,"increm pf"}</definedName>
    <definedName function="false" hidden="true" name="dfdas" vbProcedure="false">{"FCB_ALL",#N/A,FALSE,"FCB";"GREY_ALL",#N/A,FALSE,"GREY"}</definedName>
    <definedName function="false" hidden="true" name="DFDD" vbProcedure="false">{#N/A,#N/A,FALSE,"REPORT"}</definedName>
    <definedName function="false" hidden="true" name="dfdf"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dfdfdfd" vbProcedure="false">{#N/A,#N/A,FALSE,"AD_Purchase";#N/A,#N/A,FALSE,"Credit";#N/A,#N/A,FALSE,"PF Acquisition";#N/A,#N/A,FALSE,"PF Offering"}</definedName>
    <definedName function="false" hidden="true" name="dfdfdfldsj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dfdfsfdsdffdfdfdsdfsdfsdf" vbProcedure="false">{#N/A,#N/A,FALSE,"Cover";#N/A,#N/A,FALSE,"Assumptions";#N/A,#N/A,FALSE,"Volumes";#N/A,#N/A,FALSE,"Pricing";#N/A,#N/A,FALSE,"TFLE Walk";#N/A,#N/A,FALSE,"Variable Cost";#N/A,#N/A,FALSE,"Sensitivity";#N/A,#N/A,FALSE,"Investment";#N/A,#N/A,FALSE,"Profitability"}</definedName>
    <definedName function="false" hidden="true" name="dfdgdfg" vbProcedure="false">{"LEVEL1","UKCONSGAAP",TRUE," Corp PL 2 (LEVEL 1)";"LEVEL2",#N/A,TRUE,"Sum  Div (LEVEL 2)";"LEVEL1","CORE",TRUE," Corp PL 2 (LEVEL 1)";"LEVEL2",#N/A,TRUE,"Sum  Div (LEVEL 2)";"LEVEL1","HSSUNDRIES_GAAP",TRUE," Corp PL 2 (LEVEL 1)";"LEVEL2",#N/A,TRUE,"Sum  Div (LEVEL 2)";"LEVEL1","KENTEXP_GAAP",TRUE," Corp PL 2 (LEVEL 1)";"LEVEL2",#N/A,TRUE,"Sum  Div (LEVEL 2)";"LEVEL1","BUDGET_GAAP",TRUE," Corp PL 2 (LEVEL 1)";"LEVEL2",#N/A,TRUE,"Sum  Div (LEVEL 2)";"LEVEL1","BLACKWELL_GAAP",TRUE," Corp PL 2 (LEVEL 1)";"LEVEL2",#N/A,TRUE,"Sum  Div (LEVEL 2)";"LEVEL1","ZAHNLAB_GAAP",TRUE," Corp PL 2 (LEVEL 1)";"LEVEL2",#N/A,TRUE,"Sum  Div (LEVEL 2)";"LEVEL1","HSUKHOLD_GAAP",TRUE," Corp PL 2 (LEVEL 1)";"LEVEL2",#N/A,TRUE,"Sum  Div (LEVEL 2)";"LEVEL1","HSFINANCE_GAAP",TRUE," Corp PL 2 (LEVEL 1)";"LEVEL2",#N/A,TRUE,"Sum  Div (LEVEL 2)";"LEVEL1","HSSALESELIM",TRUE," Corp PL 2 (LEVEL 1)";"LEVEL2",#N/A,TRUE,"Sum  Div (LEVEL 2)";"LEVEL1","HSEQUIP_GAAP",TRUE," Corp PL 2 (LEVEL 1)";"LEVEL2",#N/A,TRUE,"Sum  Div (LEVEL 2)";"LEVEL1","HSTECHIR_GAAP",TRUE," Corp PL 2 (LEVEL 1)";"LEVEL2",#N/A,TRUE,"Sum  Div (LEVEL 2)";"LEVEL1","HSKM_GAAP",TRUE," Corp PL 2 (LEVEL 1)";"LEVEL2",#N/A,TRUE,"Sum  Div (LEVEL 2)";"LEVEL1","HSIRELAND_GAAP",TRUE," Corp PL 2 (LEVEL 1)";"LEVEL2",#N/A,TRUE,"Sum  Div (LEVEL 2)";"LEVEL1","ZAHNDENTAL_GAAP",TRUE," Corp PL 2 (LEVEL 1)";"LEVEL2",#N/A,TRUE,"Sum  Div (LEVEL 2)";"LEVEL1","BAINTERN_GAAP",TRUE," Corp PL 2 (LEVEL 1)";"LEVEL2",#N/A,TRUE,"Sum  Div (LEVEL 2)";"LEVEL1","PORTNASH_GAAP",TRUE," Corp PL 2 (LEVEL 1)";"LEVEL2",#N/A,TRUE,"Sum  Div (LEVEL 2)"}</definedName>
    <definedName function="false" hidden="true" name="dfdsfsf" vbProcedure="false">{#N/A,#N/A,FALSE,"Mittelherkunft";#N/A,#N/A,FALSE,"Mittelverwendung"}</definedName>
    <definedName function="false" hidden="true" name="dfegf" vbProcedure="false">{"'MVS'!$A$5:$O$716"}</definedName>
    <definedName function="false" hidden="true" name="dfere" vbProcedure="false">{"ReportTop",#N/A,FALSE,"report top"}</definedName>
    <definedName function="false" hidden="true" name="DFF" vbProcedure="false">{#N/A,#N/A,FALSE,"단축1";#N/A,#N/A,FALSE,"단축2";#N/A,#N/A,FALSE,"단축3";#N/A,#N/A,FALSE,"장축";#N/A,#N/A,FALSE,"4WD"}</definedName>
    <definedName function="false" hidden="true" name="dffadfadf" vbProcedure="false">{"'Title Transfer Units6,7,&amp;8'!$A$1:$B$4","'Title Transfer Units6,7,&amp;8'!$C$6"}</definedName>
    <definedName function="false" hidden="true" name="DFG" vbProcedure="false">{#N/A,#N/A,FALSE,"Assumptions";#N/A,#N/A,FALSE,"N-IS-Sum";#N/A,#N/A,FALSE,"N-St-Sum";#N/A,#N/A,FALSE,"Inc Stmt";#N/A,#N/A,FALSE,"Stats"}</definedName>
    <definedName function="false" hidden="true" name="dfgd" vbProcedure="false">{"subs",#N/A,FALSE,"database ";"proportional",#N/A,FALSE,"database "}</definedName>
    <definedName function="false" hidden="true" name="dfgderzeer5z"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dfgdfg" vbProcedure="false">{#N/A,#N/A,TRUE,"Cover sheet";#N/A,#N/A,TRUE,"Summary";#N/A,#N/A,TRUE,"Key Assumptions";#N/A,#N/A,TRUE,"Profit &amp; Loss";#N/A,#N/A,TRUE,"Balance Sheet";#N/A,#N/A,TRUE,"Cashflow";#N/A,#N/A,TRUE,"IRR";#N/A,#N/A,TRUE,"Ratios";#N/A,#N/A,TRUE,"Debt analysis"}</definedName>
    <definedName function="false" hidden="true" name="dfgds" vbProcedure="false">38922.8233796296</definedName>
    <definedName function="false" hidden="true" name="dfgfdg" vbProcedure="false">{#N/A,#N/A,FALSE,"Umsatz CH";#N/A,#N/A,FALSE,"ER CH";#N/A,#N/A,FALSE,"EA CH (2) ";#N/A,#N/A,FALSE,"EA CH";#N/A,#N/A,FALSE,"EA CH (3) ";#N/A,#N/A,FALSE,"EA CH (4)";#N/A,#N/A,FALSE,"KA CH";#N/A,#N/A,FALSE,"KA CH  (2)";#N/A,#N/A,FALSE,"KA CH  (3)";#N/A,#N/A,FALSE,"KA CH (4)"}</definedName>
    <definedName function="false" hidden="true" name="dfgfdgf" vbProcedure="false">{#N/A,#N/A,FALSE,"Produkte Erw.";#N/A,#N/A,FALSE,"Produkte Plan";#N/A,#N/A,FALSE,"Leistungen Erw.";#N/A,#N/A,FALSE,"Leistungen Plan";#N/A,#N/A,FALSE,"KA Allg.Kosten (2)";#N/A,#N/A,FALSE,"KA All.Kosten"}</definedName>
    <definedName function="false" hidden="true" name="dfgfg" vbProcedure="false">{#N/A,#N/A,FALSE,"Umsatz HM";#N/A,#N/A,FALSE,"ER HM";#N/A,#N/A,FALSE,"EA HM  (2)";#N/A,#N/A,FALSE,"EA HM ";#N/A,#N/A,FALSE,"EA HM  (4)";#N/A,#N/A,FALSE,"EA HM  (3)";#N/A,#N/A,FALSE,"KA HM  (2)";#N/A,#N/A,FALSE,"KA HM";#N/A,#N/A,FALSE,"KA HM  (3)";#N/A,#N/A,FALSE,"KA HM (4)"}</definedName>
    <definedName function="false" hidden="true" name="dfggfhhj" vbProcedure="false">{#N/A,#N/A,FALSE,"Umsatz CH";#N/A,#N/A,FALSE,"ER CH";#N/A,#N/A,FALSE,"EA CH (2) ";#N/A,#N/A,FALSE,"EA CH";#N/A,#N/A,FALSE,"EA CH (3) ";#N/A,#N/A,FALSE,"EA CH (4)";#N/A,#N/A,FALSE,"KA CH";#N/A,#N/A,FALSE,"KA CH  (2)";#N/A,#N/A,FALSE,"KA CH  (3)";#N/A,#N/A,FALSE,"KA CH (4)"}</definedName>
    <definedName function="false" hidden="true" name="dfgh"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dfgh56hzu" vbProcedure="false">{#N/A,#N/A,FALSE,"Layout GuV"}</definedName>
    <definedName function="false" hidden="true" name="dfghd" vbProcedure="false">{#N/A,#N/A,FALSE,"Layout Cash Flow"}</definedName>
    <definedName function="false" hidden="true" name="dfghdfhdg" vbProcedure="false">{#N/A,#N/A,FALSE,"Umsatz 99";#N/A,#N/A,FALSE,"ER 99 "}</definedName>
    <definedName function="false" hidden="true" name="dfgsdgsdfgsdfg"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dfgt" vbProcedure="false">{"cover",#N/A,TRUE,"Cover";"toc6",#N/A,TRUE,"TOC";"over",#N/A,TRUE,"Overview";"ts2",#N/A,TRUE,"Det_Trans_Sum";"ei1",#N/A,TRUE,"Earnings Impact";"ad1",#N/A,TRUE,"accretion dilution";"hg1",#N/A,TRUE,"Has-Gets";"pfis1",#N/A,TRUE,"Pro Forma Income Statement";"ca1",#N/A,TRUE,"Contribution_Analysis";"acq1",#N/A,TRUE,"Acquirer";"tar1",#N/A,TRUE,"Target"}</definedName>
    <definedName function="false" hidden="true" name="dfgxc" vbProcedure="false">{"targetdcf",#N/A,FALSE,"Merger consequences";"TARGETASSU",#N/A,FALSE,"Merger consequences";"TERMINAL VALUE",#N/A,FALSE,"Merger consequences"}</definedName>
    <definedName function="false" hidden="true" name="dfgxcv" vbProcedure="false">{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function="false" hidden="true" name="dfgzrtz" vbProcedure="false">{#N/A,#N/A,FALSE,"Layout GuV"}</definedName>
    <definedName function="false" hidden="true" name="dfh" vbProcedure="false">#REF!</definedName>
    <definedName function="false" hidden="true" name="dfhd" vbProcedure="false">{"vi1",#N/A,FALSE,"Financial Statements";"vi2",#N/A,FALSE,"Financial Statements";#N/A,#N/A,FALSE,"DCF"}</definedName>
    <definedName function="false" hidden="true" name="DFHFDHFDH" vbProcedure="false">{#N/A,#N/A,FALSE,"Operations";#N/A,#N/A,FALSE,"Financials"}</definedName>
    <definedName function="false" hidden="true" name="DFHJ" vbProcedure="false">{#N/A,#N/A,FALSE,"단축1";#N/A,#N/A,FALSE,"단축2";#N/A,#N/A,FALSE,"단축3";#N/A,#N/A,FALSE,"장축";#N/A,#N/A,FALSE,"4WD"}</definedName>
    <definedName function="false" hidden="true" name="dfk"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dfk1New"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dfkNew"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dfr" vbProcedure="false">{TRUE,TRUE,-1.25,-15.5,456.75,279.75,FALSE,FALSE,TRUE,TRUE,0,1,21,1,127,6,3,4,TRUE,TRUE,3,TRUE,1,TRUE,100,"Swvu.profits.","ACwvu.profits.",1,FALSE,FALSE,0.511811023622047,0.511811023622047,0.511811023622047,0.511811023622047,1,"","",FALSE,FALSE,FALSE,FALSE,1,#N/A,1,1,#DIV/0!,FALSE,"Rwvu.profits.",#N/A,FALSE,FALSE}</definedName>
    <definedName function="false" hidden="true" name="dfre" vbProcedure="false">{"Cover",#N/A,FALSE,"Cover";"Key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function="false" hidden="true" name="dfs" vbProcedure="false">{#N/A,#N/A,FALSE,"Index";#N/A,#N/A,FALSE,"1.1";#N/A,#N/A,FALSE,"Scenario Summary"}</definedName>
    <definedName function="false" hidden="true" name="dfsaadsfa" vbProcedure="false">{#N/A,#N/A,FALSE,"Calc";#N/A,#N/A,FALSE,"Sensitivity";#N/A,#N/A,FALSE,"LT Earn.Dil.";#N/A,#N/A,FALSE,"Dil. AVP"}</definedName>
    <definedName function="false" hidden="true" name="dfsafd" vbProcedure="false">{"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function="false" hidden="true" name="dfsd" vbProcedure="false">{#N/A,#N/A,FALSE,"Cover";#N/A,#N/A,FALSE,"Cover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function="false" hidden="true" name="dfsdfdsf" vbProcedure="false">{#N/A,#N/A,FALSE,"Umsatz CH";#N/A,#N/A,FALSE,"ER CH";#N/A,#N/A,FALSE,"EA CH (2) ";#N/A,#N/A,FALSE,"EA CH";#N/A,#N/A,FALSE,"EA CH (3) ";#N/A,#N/A,FALSE,"EA CH (4)";#N/A,#N/A,FALSE,"KA CH";#N/A,#N/A,FALSE,"KA CH  (2)";#N/A,#N/A,FALSE,"KA CH  (3)";#N/A,#N/A,FALSE,"KA CH (4)"}</definedName>
    <definedName function="false" hidden="true" name="dfsdfsd" vbProcedure="false">{#N/A,#N/A,FALSE,"Layout Aktiva";#N/A,#N/A,FALSE,"Layout Passiva";#N/A,#N/A,FALSE,"Layout GuV";#N/A,#N/A,FALSE,"Layout Cash Flow";#N/A,#N/A,FALSE,"Mittelherkunft";#N/A,#N/A,FALSE,"Mittelverwendung";#N/A,#N/A,FALSE,"Finanzbedarfsrechnung"}</definedName>
    <definedName function="false" hidden="true" name="dfsfa" vbProcedure="false">{"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function="false" hidden="true" name="dfsgsrtg5"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dfssdf" vbProcedure="false">{#N/A,#N/A,FALSE,"Finanzbedarfsrechnung"}</definedName>
    <definedName function="false" hidden="true" name="dft" vbProcedure="false">{"EVA",#N/A,FALSE,"EVA";"WACC",#N/A,FALSE,"WACC"}</definedName>
    <definedName function="false" hidden="true" name="dfwerf" vbProcedure="false">{#N/A,#N/A,FALSE,"Layout Aktiva";#N/A,#N/A,FALSE,"Layout Passiva";#N/A,#N/A,FALSE,"Layout GuV";#N/A,#N/A,FALSE,"Layout Cash Flow";#N/A,#N/A,FALSE,"Mittelherkunft";#N/A,#N/A,FALSE,"Mittelverwendung";#N/A,#N/A,FALSE,"Finanzbedarfsrechnung"}</definedName>
    <definedName function="false" hidden="true" name="dfxc" vbProcedure="false">{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function="false" hidden="true" name="DG" vbProcedure="false">{#N/A,#N/A,FALSE,"Staffnos &amp; cost"}</definedName>
    <definedName function="false" hidden="true" name="dga" vbProcedure="false">{"'Title Transfer Units6,7,&amp;8'!$A$1:$B$4","'Title Transfer Units6,7,&amp;8'!$C$6"}</definedName>
    <definedName function="false" hidden="true" name="dgdfgdgfdg" vbProcedure="false">{"hiden",#N/A,FALSE,"14";"hidden",#N/A,FALSE,"16";"hidden",#N/A,FALSE,"18";"hidden",#N/A,FALSE,"20"}</definedName>
    <definedName function="false" hidden="true" name="dgdfgfd" vbProcedure="false">{"up stand alones",#N/A,FALSE,"Acquiror"}</definedName>
    <definedName function="false" hidden="true" name="dgdg" vbProcedure="false">{#N/A,#N/A,FALSE,"Calc";#N/A,#N/A,FALSE,"Sensitivity";#N/A,#N/A,FALSE,"LT Earn.Dil.";#N/A,#N/A,FALSE,"Dil. AVP"}</definedName>
    <definedName function="false" hidden="true" name="dgdgdfg" vbProcedure="false">{"away stand alones",#N/A,FALSE,"Target"}</definedName>
    <definedName function="false" hidden="true" name="dgdgdgfd" vbProcedure="false">{#N/A,#N/A,FALSE,"Operations";#N/A,#N/A,FALSE,"Financials"}</definedName>
    <definedName function="false" hidden="true" name="dgdgdgfdg" vbProcedure="false">{"assumption 50 50",#N/A,TRUE,"Merger";"has gets cash",#N/A,TRUE,"Merger";"accretion dilution",#N/A,TRUE,"Merger";"comparison credit stats",#N/A,TRUE,"Merger";"pf credit stats",#N/A,TRUE,"Merger";"pf sheets",#N/A,TRUE,"Merger"}</definedName>
    <definedName function="false" hidden="true" name="dgdgfd" vbProcedure="false">{"assumption 50 50",#N/A,TRUE,"Merger";"has gets cash",#N/A,TRUE,"Merger";"accretion dilution",#N/A,TRUE,"Merger";"comparison credit stats",#N/A,TRUE,"Merger";"pf credit stats",#N/A,TRUE,"Merger";"pf sheets",#N/A,TRUE,"Merger"}</definedName>
    <definedName function="false" hidden="true" name="dgdgfdgfdgfd" vbProcedure="false">{"assumption cash",#N/A,TRUE,"Merger";"has gets cash",#N/A,TRUE,"Merger";"accretion dilution",#N/A,TRUE,"Merger";"comparison credit stats",#N/A,TRUE,"Merger";"pf credit stats",#N/A,TRUE,"Merger";"pf sheets",#N/A,TRUE,"Merger"}</definedName>
    <definedName function="false" hidden="true" name="dgdgss" vbProcedure="false">{"consolidated",#N/A,FALSE,"Sheet1";"cms",#N/A,FALSE,"Sheet1";"fse",#N/A,FALSE,"Sheet1"}</definedName>
    <definedName function="false" hidden="true" name="dgdsgdsg" vbProcedure="false">{"comps2",#N/A,FALSE,"AERO";"footnotes",#N/A,FALSE,"AERO"}</definedName>
    <definedName function="false" hidden="true" name="DGF" vbProcedure="false">{#N/A,#N/A,FALSE,"단축1";#N/A,#N/A,FALSE,"단축2";#N/A,#N/A,FALSE,"단축3";#N/A,#N/A,FALSE,"장축";#N/A,#N/A,FALSE,"4WD"}</definedName>
    <definedName function="false" hidden="true" name="dgfdgfdg" vbProcedure="false">{#N/A,#N/A,FALSE,"Calc";#N/A,#N/A,FALSE,"Sensitivity";#N/A,#N/A,FALSE,"LT Earn.Dil.";#N/A,#N/A,FALSE,"Dil. AVP"}</definedName>
    <definedName function="false" hidden="true" name="dgfhgf" vbProcedure="false">{#N/A,#N/A,FALSE,"ORIX CSC"}</definedName>
    <definedName function="false" hidden="true" name="DGFMASEH" vbProcedure="false">{"'גיליון1'!$W$156:$AB$173","'גיליון1'!$S$154:$AB$158"}</definedName>
    <definedName function="false" hidden="true" name="dghgh" vbProcedure="false">{#N/A,#N/A,FALSE,"Produkte Erw.";#N/A,#N/A,FALSE,"Produkte Plan";#N/A,#N/A,FALSE,"Leistungen Erw.";#N/A,#N/A,FALSE,"Leistungen Plan";#N/A,#N/A,FALSE,"KA Allg.Kosten (2)";#N/A,#N/A,FALSE,"KA All.Kosten"}</definedName>
    <definedName function="false" hidden="true" name="dgj" vbProcedure="false">{"EVA",#N/A,FALSE,"EVA";"WACC",#N/A,FALSE,"WACC"}</definedName>
    <definedName function="false" hidden="true" name="DGJSRGH" vbProcedure="false">{#N/A,#N/A,FALSE,"단축1";#N/A,#N/A,FALSE,"단축2";#N/A,#N/A,FALSE,"단축3";#N/A,#N/A,FALSE,"장축";#N/A,#N/A,FALSE,"4WD"}</definedName>
    <definedName function="false" hidden="true" name="dgs"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dgxcv" vbProcedure="false">{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function="false" hidden="true" name="dgy" vbProcedure="false">{"mgmt forecast",#N/A,FALSE,"Mgmt Forecast";"dcf table",#N/A,FALSE,"Mgmt Forecast";"sensitivity",#N/A,FALSE,"Mgmt Forecast";"table inputs",#N/A,FALSE,"Mgmt Forecast";"calculations",#N/A,FALSE,"Mgmt Forecast"}</definedName>
    <definedName function="false" hidden="true" name="dhg" vbProcedure="false">{"GuVGmbH",#N/A,FALSE,"ratios";"BilanzGmbH",#N/A,FALSE,"ratios";"BilanzKG",#N/A,FALSE,"ratios";"GuVKG",#N/A,FALSE,"ratios"}</definedName>
    <definedName function="false" hidden="true" name="dhgdh" vbProcedure="false">{"mgmt forecast",#N/A,FALSE,"Mgmt Forecast";"dcf table",#N/A,FALSE,"Mgmt Forecast";"sensitivity",#N/A,FALSE,"Mgmt Forecast";"table inputs",#N/A,FALSE,"Mgmt Forecast";"calculations",#N/A,FALSE,"Mgmt Forecast"}</definedName>
    <definedName function="false" hidden="true" name="dhgkghkds" vbProcedure="false">{"DCF1",#N/A,FALSE,"SIERRA DCF";"MATRIX1",#N/A,FALSE,"SIERRA DCF"}</definedName>
    <definedName function="false" hidden="true" name="dicci" vbProcedure="false">{"FY97Total",#N/A,FALSE,"FY97 - Total";"FY98Total",#N/A,FALSE,"FY98 - Total"}</definedName>
    <definedName function="false" hidden="true" name="DIE" vbProcedure="false">{#N/A,#N/A,FALSE,"단축1";#N/A,#N/A,FALSE,"단축2";#N/A,#N/A,FALSE,"단축3";#N/A,#N/A,FALSE,"장축";#N/A,#N/A,FALSE,"4WD"}</definedName>
    <definedName function="false" hidden="true" name="DIESEL" vbProcedure="false">{#N/A,#N/A,FALSE,"단축1";#N/A,#N/A,FALSE,"단축2";#N/A,#N/A,FALSE,"단축3";#N/A,#N/A,FALSE,"장축";#N/A,#N/A,FALSE,"4WD"}</definedName>
    <definedName function="false" hidden="true" name="DIESELLL" vbProcedure="false">{#N/A,#N/A,FALSE,"단축1";#N/A,#N/A,FALSE,"단축2";#N/A,#N/A,FALSE,"단축3";#N/A,#N/A,FALSE,"장축";#N/A,#N/A,FALSE,"4WD"}</definedName>
    <definedName function="false" hidden="true" name="Differences" vbProcedure="false">{"Operating Data",#N/A,TRUE,"Sheet1";"Valuation Matrix",#N/A,TRUE,"Sheet1";"Sales Analysis",#N/A,TRUE,"Sheet1";"Closed Remodelled New",#N/A,TRUE,"Sheet1";"Competitive and FSP",#N/A,TRUE,"Sheet1";"Working Capital and Capex",#N/A,TRUE,"Sheet1";"depreciation",#N/A,TRUE,"Sheet1"}</definedName>
    <definedName function="false" hidden="true" name="digital" vbProcedure="false">#N/A</definedName>
    <definedName function="false" hidden="true" name="digitalboost" vbProcedure="false">{"sbfk2",#N/A,FALSE,"A";"sbkf3",#N/A,FALSE,"A";"sbkf4",#N/A,FALSE,"A";"sbkf1",#N/A,FALSE,"A"}</definedName>
    <definedName function="false" hidden="true" name="DILUT_ADJUST" vbProcedure="false">"DILUT_ADJUST"</definedName>
    <definedName function="false" hidden="true" name="DILUT_EPS_EXCL" vbProcedure="false">"DILUT_EPS_EXCL"</definedName>
    <definedName function="false" hidden="true" name="DILUT_EPS_INCL" vbProcedure="false">"DILUT_EPS_INCL"</definedName>
    <definedName function="false" hidden="true" name="DILUT_NORMAL_EPS" vbProcedure="false">"DILUT_NORMAL_EPS"</definedName>
    <definedName function="false" hidden="true" name="DILUT_WEIGHT" vbProcedure="false">"DILUT_WEIGHT"</definedName>
    <definedName function="false" hidden="true" name="dimmi" vbProcedure="false">{"FY97Q1 nvs",#N/A,FALSE,"FY97 - Q1";"FY97Q2 nvs",#N/A,FALSE,"FY97 - Q2";"FY97Q3 nvs",#N/A,FALSE,"FY97 - Q3";"FY97Q4 nvs",#N/A,FALSE,"FY97 - Q4"}</definedName>
    <definedName function="false" hidden="true" name="dirlo" vbProcedure="false">{"FY97Tot nvs",#N/A,FALSE,"FY97 - Total";"FY98Tot nvs",#N/A,FALSE,"FY98 - Total"}</definedName>
    <definedName function="false" hidden="true" name="DISCONT_OPER" vbProcedure="false">"DISCONT_OPER"</definedName>
    <definedName function="false" hidden="true" name="display_area_2" vbProcedure="false">#REF!</definedName>
    <definedName function="false" hidden="true" name="DivFpb" vbProcedure="false">#REF!</definedName>
    <definedName function="false" hidden="true" name="DIVID_SHARE" vbProcedure="false">"DIVID_SHARE"</definedName>
    <definedName function="false" hidden="true" name="djd"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djd1New"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djdNew"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DJFHJ" vbProcedure="false">{#N/A,#N/A,FALSE,"단축1";#N/A,#N/A,FALSE,"단축2";#N/A,#N/A,FALSE,"단축3";#N/A,#N/A,FALSE,"장축";#N/A,#N/A,FALSE,"4WD"}</definedName>
    <definedName function="false" hidden="true" name="DJGHJ" vbProcedure="false">{#N/A,#N/A,FALSE,"단축1";#N/A,#N/A,FALSE,"단축2";#N/A,#N/A,FALSE,"단축3";#N/A,#N/A,FALSE,"장축";#N/A,#N/A,FALSE,"4WD"}</definedName>
    <definedName function="false" hidden="true" name="DJHD" vbProcedure="false">{#N/A,#N/A,FALSE,"단축1";#N/A,#N/A,FALSE,"단축2";#N/A,#N/A,FALSE,"단축3";#N/A,#N/A,FALSE,"장축";#N/A,#N/A,FALSE,"4WD"}</definedName>
    <definedName function="false" hidden="true" name="DJKDNF" vbProcedure="false">{"'Demand Units'!$X$11:$AD$45"}</definedName>
    <definedName function="false" hidden="true" name="djksljd" vbProcedure="false">{#N/A,#N/A,FALSE,"Other";#N/A,#N/A,FALSE,"Ace";#N/A,#N/A,FALSE,"Derm"}</definedName>
    <definedName function="false" hidden="true" name="djm"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DJQ" vbProcedure="false">{#N/A,#N/A,FALSE,"초도품";#N/A,#N/A,FALSE,"초도품 (2)";#N/A,#N/A,FALSE,"초도품 (3)";#N/A,#N/A,FALSE,"초도품 (4)";#N/A,#N/A,FALSE,"초도품 (5)";#N/A,#N/A,FALSE,"초도품 (6)"}</definedName>
    <definedName function="false" hidden="true" name="dkdk" vbProcedure="false">{#N/A,#N/A,FALSE,"단축1";#N/A,#N/A,FALSE,"단축2";#N/A,#N/A,FALSE,"단축3";#N/A,#N/A,FALSE,"장축";#N/A,#N/A,FALSE,"4WD"}</definedName>
    <definedName function="false" hidden="true" name="dkfjdfNew"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dkfjdk"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dkfjdk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dkgahirghigf" vbProcedure="false">{#N/A,#N/A,FALSE,"Pharm";#N/A,#N/A,FALSE,"WWCM"}</definedName>
    <definedName function="false" hidden="true" name="dkj"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DLDL" vbProcedure="false">{#N/A,#N/A,FALSE,"단축1";#N/A,#N/A,FALSE,"단축2";#N/A,#N/A,FALSE,"단축3";#N/A,#N/A,FALSE,"장축";#N/A,#N/A,FALSE,"4WD"}</definedName>
    <definedName function="false" hidden="true" name="dma" vbProcedure="false">{"GLI-Income Statement",#N/A,FALSE,"gli";"GLI - Balance Sheet Wksht",#N/A,FALSE,"gli";"GLI-Cash Flow",#N/A,FALSE,"gli";"GLI Qtrly Stats",#N/A,FALSE,"gli"}</definedName>
    <definedName function="false" hidden="true" name="DME_Dirty" vbProcedure="false">"False"</definedName>
    <definedName function="false" hidden="true" name="DME_DocumentFlags" vbProcedure="false">"1"</definedName>
    <definedName function="false" hidden="true" name="DME_DocumentID" vbProcedure="false">"::ODMA\DME-MSE\London-36832"</definedName>
    <definedName function="false" hidden="true" name="DME_DocumentOpened" vbProcedure="false">"True"</definedName>
    <definedName function="false" hidden="true" name="DME_DocumentTitle" vbProcedure="false">"London-36832 - Standard Mini Model"</definedName>
    <definedName function="false" hidden="true" name="DME_LocalFile" vbProcedure="false">"False"</definedName>
    <definedName function="false" hidden="true" name="DME_NextWindowNumber" vbProcedure="false">"2"</definedName>
    <definedName function="false" hidden="true" name="DME_ODMALinks1" vbProcedure="false">"::ODMA\DME-MSE\London-44590=C:\TEMP\Dme\London-44590.xls"</definedName>
    <definedName function="false" hidden="true" name="DME_ODMALinksCount" vbProcedure="false">"1"</definedName>
    <definedName function="false" hidden="true" name="doc" vbProcedure="false">{#N/A,#N/A,FALSE,"Header &amp; Contents";#N/A,#N/A,FALSE,"Section1 - Inv Smry";#N/A,#N/A,FALSE,"Section2 - Exec Smry";#N/A,#N/A,FALSE,"Section 3 - Cost Bdwn";#N/A,#N/A,FALSE,"Section 5 - Load &amp; Cap";#N/A,#N/A,FALSE,"Section 6 - Financial";#N/A,#N/A,FALSE,"Section 8 - Assumptions Summary";#N/A,#N/A,FALSE,"Section 9 - Local Signatures";#N/A,#N/A,FALSE,"Section 10 - Liberated Assets";#N/A,#N/A,FALSE,"Section 11 - Suppl Auth"}</definedName>
    <definedName function="false" hidden="true" name="DoCoMo" vbProcedure="false">{"test2",#N/A,TRUE,"Prices"}</definedName>
    <definedName function="false" hidden="true" name="dog" vbProcedure="false">{"ROI",#N/A,TRUE,"Summary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function="false" hidden="true" name="dos" vbProcedure="false">{#N/A,#N/A,FALSE,"summary"}</definedName>
    <definedName function="false" hidden="true" name="doug" vbProcedure="false">{"budget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function="false" hidden="true" name="down" vbProcedure="false">{#N/A,#N/A,FALSE,"Umsatz";#N/A,#N/A,FALSE,"Base V.02";#N/A,#N/A,FALSE,"Charts"}</definedName>
    <definedName function="false" hidden="true" name="DPNA" vbProcedure="false">{"'Future Reviews'!$A$1:$D$58"}</definedName>
    <definedName function="false" hidden="true" name="dq" vbProcedure="false">{"Comp_of_Price_Effect",#N/A,FALSE,"QTRDPVAR"}</definedName>
    <definedName function="false" hidden="true" name="dr" vbProcedure="false">{"bkod1",#N/A,FALSE,"A";"bokd2",#N/A,FALSE,"A";"bokd3",#N/A,FALSE,"A";"bkod4",#N/A,FALSE,"A";"bokd5",#N/A,FALSE,"A";"bokd6",#N/A,FALSE,"A";"bokd7",#N/A,FALSE,"A"}</definedName>
    <definedName function="false" hidden="true" name="draka" vbProcedure="false">{"QIncStmt",#N/A,FALSE,"Quarter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function="false" hidden="true" name="drdf" vbProcedure="false">{#N/A,#N/A,TRUE,"Staffnos &amp; cost"}</definedName>
    <definedName function="false" hidden="true" name="dre" vbProcedure="false">{"weichwaren",#N/A,FALSE,"Liste 1";"hartwaren",#N/A,FALSE,"Liste 1";"food",#N/A,FALSE,"Liste 1";"fleisch",#N/A,FALSE,"Liste 1"}</definedName>
    <definedName function="false" hidden="true" name="drg" vbProcedure="false">{"cover",#N/A,TRUE,"Cover";"toc5",#N/A,TRUE,"TOC";"over",#N/A,TRUE,"Overview";"ts2",#N/A,TRUE,"Det_Trans_Sum";"ei3",#N/A,TRUE,"Earnings Impact";"ad3",#N/A,TRUE,"accretion dilution";"pfis3",#N/A,TRUE,"Pro Forma Income Statement";"ca3",#N/A,TRUE,"Contribution_Analysis";"acq3",#N/A,TRUE,"Acquirer";"tar3",#N/A,TRUE,"Target"}</definedName>
    <definedName function="false" hidden="true" name="DRIVEABILITY" vbProcedure="false">{#N/A,#N/A,FALSE,"단축1";#N/A,#N/A,FALSE,"단축2";#N/A,#N/A,FALSE,"단축3";#N/A,#N/A,FALSE,"장축";#N/A,#N/A,FALSE,"4WD"}</definedName>
    <definedName function="false" hidden="true" name="DRS" vbProcedure="false">39454.4051388889</definedName>
    <definedName function="false" hidden="true" name="drw" vbProcedure="false">{"PAGE 1",#N/A,FALSE,"COS";"PAGE 2",#N/A,FALSE,"COS";"PAGE 3",#N/A,FALSE,"COS"}</definedName>
    <definedName function="false" hidden="true" name="ds" vbProcedure="false">{"WACC",#N/A,FALSE,"Bewertung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function="false" hidden="true" name="dsaf"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dsafa" vbProcedure="false">{"comp1",#N/A,FALSE,"COMPS";"footnotes",#N/A,FALSE,"COMPS"}</definedName>
    <definedName function="false" hidden="true" name="dsafd" vbProcedure="false">{"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function="false" hidden="true" name="dsafdsf" vbProcedure="false">#REF!</definedName>
    <definedName function="false" hidden="true" name="dsafergre" vbProcedure="false">{#N/A,#N/A,TRUE,"Historicals";#N/A,#N/A,TRUE,"Charts";#N/A,#N/A,TRUE,"Forecasts"}</definedName>
    <definedName function="false" hidden="true" name="dsafertge" vbProcedure="false">{#N/A,#N/A,TRUE,"Historicals";#N/A,#N/A,TRUE,"Charts";#N/A,#N/A,TRUE,"Forecasts"}</definedName>
    <definedName function="false" hidden="true" name="dsafg" vbProcedure="false">{"reg_edition client",#N/A,FALSE,"Regressions"}</definedName>
    <definedName function="false" hidden="true" name="dsafge" vbProcedure="false">{#N/A,#N/A,TRUE,"Historicals";#N/A,#N/A,TRUE,"Charts";#N/A,#N/A,TRUE,"Forecasts"}</definedName>
    <definedName function="false" hidden="true" name="dsafsdaf" vbProcedure="false">{#N/A,#N/A,FALSE,"Index";#N/A,#N/A,FALSE,"1.1";#N/A,#N/A,FALSE,"Scenario Summary"}</definedName>
    <definedName function="false" hidden="true" name="dsafwer" vbProcedure="false">{#N/A,#N/A,TRUE,"Historicals";#N/A,#N/A,TRUE,"Charts";#N/A,#N/A,TRUE,"Forecasts"}</definedName>
    <definedName function="false" hidden="true" name="dscasca" vbProcedure="false">{"dcf_summary_value",#N/A,FALSE,"depr and amort";"dcf_discountedCF",#N/A,FALSE,"depr and amort";"dcf_terminalCF",#N/A,FALSE,"depr and amort";"dcf_terminal_value",#N/A,FALSE,"depr and amort";"dcf_implied_multiples",#N/A,FALSE,"depr and amort";"dcf_is_annual",#N/A,FALSE,"depr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efinedName>
    <definedName function="false" hidden="true" name="dsd" vbProcedure="false">{#N/A,#N/A,FALSE,"Summary";#N/A,#N/A,FALSE,"Rollup";#N/A,#N/A,FALSE,"SG&amp;A";#N/A,#N/A,FALSE,"Sales_Rollup";"mixstar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function="false" hidden="true" name="dsdafgsa" vbProcedure="false">{"Performance Details",#N/A,FALSE,"Current Yr";"Performance Details",#N/A,FALSE,"Budget";"Performance Details",#N/A,FALSE,"Prior Year"}</definedName>
    <definedName function="false" hidden="true" name="dsdd" vbProcedure="false">{#N/A,#N/A,FALSE,"Summary";#N/A,#N/A,FALSE,"Rollup";#N/A,#N/A,FALSE,"SG&amp;A";#N/A,#N/A,FALSE,"Sales_Rollup";"mixstar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function="false" hidden="true" name="dsd_old" vbProcedure="false">{#N/A,#N/A,FALSE,"Summary";#N/A,#N/A,FALSE,"Rollup";#N/A,#N/A,FALSE,"SG&amp;A";#N/A,#N/A,FALSE,"Sales_Rollup";"mixstar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function="false" hidden="true" name="dse" vbProcedure="false">{"FY97Tot nvs",#N/A,FALSE,"FY97 - Total";"FY98Tot nvs",#N/A,FALSE,"FY98 - Total"}</definedName>
    <definedName function="false" hidden="true" name="DSF" vbProcedure="false">{#N/A,#N/A,FALSE,"Renewals In Process";#N/A,#N/A,FALSE,"New Clients In Process";#N/A,#N/A,FALSE,"Completed New Clients";#N/A,#N/A,FALSE,"Completed Renewals"}</definedName>
    <definedName function="false" hidden="true" name="DSFA" vbProcedure="false">{#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function="false" hidden="true" name="dsfadsf" vbProcedure="false">{"histincome",#N/A,FALSE,"hyfins";"closing balance",#N/A,FALSE,"hyfins"}</definedName>
    <definedName function="false" hidden="true" name="dsfasf" vbProcedure="false">{#N/A,#N/A,FALSE,"Cover";#N/A,#N/A,FALSE,"Profits";#N/A,#N/A,FALSE,"ABS";#N/A,#N/A,FALSE,"TFLE Detail";#N/A,#N/A,FALSE,"TFLE Walk";#N/A,#N/A,FALSE,"Variable Cost";#N/A,#N/A,FALSE,"V.C. Walk"}</definedName>
    <definedName function="false" hidden="true" name="dsfergersa" vbProcedure="false">{#N/A,#N/A,TRUE,"Historicals";#N/A,#N/A,TRUE,"Charts";#N/A,#N/A,TRUE,"Forecasts"}</definedName>
    <definedName function="false" hidden="true" name="dsferghrt" vbProcedure="false">{#N/A,#N/A,TRUE,"Historicals";#N/A,#N/A,TRUE,"Charts";#N/A,#N/A,TRUE,"Forecasts"}</definedName>
    <definedName function="false" hidden="true" name="dsfff"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dsfgdsgfsdfg" vbProcedure="false">{"'Plan_vs_Actual'!$B$3:$U$27"}</definedName>
    <definedName function="false" hidden="true" name="dsfgf" vbProcedure="false">{"'Plan_vs_Actual'!$B$3:$U$27"}</definedName>
    <definedName function="false" hidden="true" name="dsfsf" vbProcedure="false">{"SUM GER",#N/A,FALSE,"SUM GER";"SUM FRA",#N/A,FALSE,"SUM FRA";"SUM ITA",#N/A,FALSE,"SUM ITA";"SUM SPA",#N/A,FALSE,"SUM SPA";"SUM EGB",#N/A,FALSE,"SUM EGB";"SUM IND",#N/A,FALSE,"SUM IND"}</definedName>
    <definedName function="false" hidden="true" name="dsfsffss" vbProcedure="false">{#N/A,#N/A,FALSE,"Pharm";#N/A,#N/A,FALSE,"WWCM"}</definedName>
    <definedName function="false" hidden="true" name="dsg" vbProcedure="false">{#N/A,#N/A,FALSE,"Calc";#N/A,#N/A,FALSE,"Sensitivity";#N/A,#N/A,FALSE,"LT Earn.Dil.";#N/A,#N/A,FALSE,"Dil. AVP"}</definedName>
    <definedName function="false" hidden="true" name="dsgds"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dsgf"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dsgfhgfv" vbProcedure="false">{#N/A,"PURADD",FALSE,"Business Analysis";#N/A,"PURSPP",FALSE,"Business Analysis";#N/A,"CTGIND",FALSE,"Business Analysis";#N/A,"PURCHM",FALSE,"Business Analysis";#N/A,"SPADD",FALSE,"Business Analysis";#N/A,"EPOXY",FALSE,"Business Analysis";#N/A,"PURPER",FALSE,"Business Analysis"}</definedName>
    <definedName function="false" hidden="true" name="DSHiddenYear1" vbProcedure="false">#REF!</definedName>
    <definedName function="false" hidden="true" name="DSHiddenYear2" vbProcedure="false">#REF!</definedName>
    <definedName function="false" hidden="true" name="DSHiddenYear3" vbProcedure="false">#REF!</definedName>
    <definedName function="false" hidden="true" name="DSHiddenYear4" vbProcedure="false">#REF!</definedName>
    <definedName function="false" hidden="true" name="DSIndHiddenYear1" vbProcedure="false">#REF!</definedName>
    <definedName function="false" hidden="true" name="DSIndHiddenYear2" vbProcedure="false">#REF!</definedName>
    <definedName function="false" hidden="true" name="DSIndHiddenYear3" vbProcedure="false">#REF!</definedName>
    <definedName function="false" hidden="true" name="DSIndHiddenYear4" vbProcedure="false">#REF!</definedName>
    <definedName function="false" hidden="true" name="DSIndHistHiddenYear1" vbProcedure="false">#REF!</definedName>
    <definedName function="false" hidden="true" name="DSIndHistHiddenYear2" vbProcedure="false">#REF!</definedName>
    <definedName function="false" hidden="true" name="DSIndHistHiddenYear3" vbProcedure="false">#REF!</definedName>
    <definedName function="false" hidden="true" name="DSIndHistHiddenYear4" vbProcedure="false">#REF!</definedName>
    <definedName function="false" hidden="true" name="DSIndHistHiddenYear5" vbProcedure="false">#REF!</definedName>
    <definedName function="false" hidden="true" name="DSL" vbProcedure="false">{#N/A,#N/A,FALSE,"단축1";#N/A,#N/A,FALSE,"단축2";#N/A,#N/A,FALSE,"단축3";#N/A,#N/A,FALSE,"장축";#N/A,#N/A,FALSE,"4WD"}</definedName>
    <definedName function="false" hidden="true" name="DsLink_DistDueBack" vbProcedure="false">""</definedName>
    <definedName function="false" hidden="true" name="DsLink_DistEmailFrom" vbProcedure="false">"richard_tse@dell.ca"</definedName>
    <definedName function="false" hidden="true" name="DsLink_DistEmailMessage" vbProcedure="false">"You have received a Distributed Spreadsheet.  Please open Excel and select the menu option, Distributed Spreadsheet, Receive and Open Spreadsheet."</definedName>
    <definedName function="false" hidden="true" name="DsLink_DistEmailReturnTo" vbProcedure="false">"richard_tse@dell.ca"</definedName>
    <definedName function="false" hidden="true" name="DsLink_DistEmailSubject" vbProcedure="false">"Distributed Spreadsheet Received"</definedName>
    <definedName function="false" hidden="true" name="DsLink_DistInstruction" vbProcedure="false">"You have received a Distributed Spreadsheet that needs to be completed and returned."</definedName>
    <definedName function="false" hidden="true" name="DSO" vbProcedure="false">{#N/A,#N/A,FALSE,"ACQ_GRAPHS";#N/A,#N/A,FALSE,"T_1 GRAPHS";#N/A,#N/A,FALSE,"T_2 GRAPHS";#N/A,#N/A,FALSE,"COMB_GRAPHS"}</definedName>
    <definedName function="false" hidden="true" name="dsrfgds" vbProcedure="false">{#N/A,#N/A,TRUE,"Historicals";#N/A,#N/A,TRUE,"Charts";#N/A,#N/A,TRUE,"Forecasts"}</definedName>
    <definedName function="false" hidden="true" name="dss" vbProcedure="false">{#N/A,#N/A,FALSE,"ACQ_GRAPHS";#N/A,#N/A,FALSE,"T_1 GRAPHS";#N/A,#N/A,FALSE,"T_2 GRAPHS";#N/A,#N/A,FALSE,"COMB_GRAPHS"}</definedName>
    <definedName function="false" hidden="true" name="dswe"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dthdftd" vbProcedure="false">{#N/A,#N/A,TRUE,"Historicals";#N/A,#N/A,TRUE,"Charts";#N/A,#N/A,TRUE,"Forecasts"}</definedName>
    <definedName function="false" hidden="true" name="dthdfthfd" vbProcedure="false">{#N/A,#N/A,TRUE,"Historicals";#N/A,#N/A,TRUE,"Charts";#N/A,#N/A,TRUE,"Forecasts"}</definedName>
    <definedName function="false" hidden="true" name="dthdtyhfgg" vbProcedure="false">{#N/A,#N/A,TRUE,"Historicals";#N/A,#N/A,TRUE,"Charts";#N/A,#N/A,TRUE,"Forecasts"}</definedName>
    <definedName function="false" hidden="true" name="dtu" vbProcedure="false">{#N/A,#N/A,TRUE,"financial";#N/A,#N/A,TRUE,"plants"}</definedName>
    <definedName function="false" hidden="true" name="dtzzkj"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Dummy"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dummy2" vbProcedure="false">{"REVISED",#N/A,FALSE,"Sheet1"}</definedName>
    <definedName function="false" hidden="true" name="dummy3" vbProcedure="false">{"REVISED",#N/A,FALSE,"Sheet1"}</definedName>
    <definedName function="false" hidden="true" name="Dummyw"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duplicate123A" vbProcedure="false">#REF!</definedName>
    <definedName function="false" hidden="true" name="DVSVSDVsdvsD" vbProcedure="false">{"'Planning Data'!$A$2:$X$120"}</definedName>
    <definedName function="false" hidden="true" name="dw" vbProcedure="false">#N/A</definedName>
    <definedName function="false" hidden="true" name="dwe" vbProcedure="false">#N/A</definedName>
    <definedName function="false" hidden="true" name="dwx" vbProcedure="false">{"Comp_of_Price_Effect",#N/A,FALSE,"QTRDPVAR"}</definedName>
    <definedName function="false" hidden="true" name="dx" vbProcedure="false">{"Month Summary",#N/A,FALSE,"Summary";"Total Details",#N/A,FALSE,"Current Yr";"Polymers Details",#N/A,FALSE,"Current Yr";"Performance Details",#N/A,FALSE,"Current Yr";"ICD Details",#N/A,FALSE,"Current Yr"}</definedName>
    <definedName function="false" hidden="true" name="DZ.IndSpec_Left" vbProcedure="false">#REF!</definedName>
    <definedName function="false" hidden="true" name="DZ.IndSpec_Right" vbProcedure="false">#REF!</definedName>
    <definedName function="false" hidden="true" name="DZ.LTM" vbProcedure="false">#REF!</definedName>
    <definedName function="false" hidden="true" name="DZ.LTMPlus" vbProcedure="false">#REF!</definedName>
    <definedName function="false" hidden="true" name="e" vbProcedure="false">{#N/A,#N/A,FALSE,"Layout GuV"}</definedName>
    <definedName function="false" hidden="true" name="e0" vbProcedure="false">{"'Demand Units'!$Z$2:$AF$53"}</definedName>
    <definedName function="false" hidden="true" name="E01_Sender" vbProcedure="false">"0669/PREMIER7/0685/P_NOSTAL/"</definedName>
    <definedName function="false" hidden="true" name="E05_OrderCustom" vbProcedure="false">6</definedName>
    <definedName function="false" hidden="true" name="E50ﾄﾞﾗﾍﾙ西端" vbProcedure="false">1</definedName>
    <definedName function="false" hidden="true" name="eaf" vbProcedure="false">#REF!</definedName>
    <definedName function="false" hidden="true" name="earn1" vbProcedure="false">#REF!</definedName>
    <definedName function="false" hidden="true" name="eartert" vbProcedure="false">{#N/A,#N/A,FALSE,"Layout GuV"}</definedName>
    <definedName function="false" hidden="true" name="eata43qrfed"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EAWR" vbProcedure="false">{#N/A,#N/A,FALSE,"단축1";#N/A,#N/A,FALSE,"단축2";#N/A,#N/A,FALSE,"단축3";#N/A,#N/A,FALSE,"장축";#N/A,#N/A,FALSE,"4WD"}</definedName>
    <definedName function="false" hidden="true" name="EBITDADec" vbProcedure="false">{#N/A,#N/A,TRUE,"RESULTATRÄKNING";#N/A,#N/A,TRUE,"BALANSRÄKNING";#N/A,#N/A,TRUE,"BALANSRÄKNING2";#N/A,#N/A,TRUE,"Bilaga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function="false" hidden="true" name="EBITDA_10K" vbProcedure="false">"EBITDA_10K"</definedName>
    <definedName function="false" hidden="true" name="EBITDA_10Q" vbProcedure="false">"EBITDA_10Q"</definedName>
    <definedName function="false" hidden="true" name="EBITDA_10Q1" vbProcedure="false">"EBITDA_10Q1"</definedName>
    <definedName function="false" hidden="true" name="EBITDA_CAPEX_OVER_TOTAL_IE" vbProcedure="false">"EBITDA_CAPEX_OVER_TOTAL_IE"</definedName>
    <definedName function="false" hidden="true" name="EBITDA_GROWTH_1" vbProcedure="false">"EBITDA_GROWTH_1"</definedName>
    <definedName function="false" hidden="true" name="EBITDA_GROWTH_2" vbProcedure="false">"EBITDA_GROWTH_2"</definedName>
    <definedName function="false" hidden="true" name="EBITDA_OVER_TOTAL_IE" vbProcedure="false">"EBITDA_OVER_TOTAL_IE"</definedName>
    <definedName function="false" hidden="true" name="EBIT_10K" vbProcedure="false">"EBIT_10K"</definedName>
    <definedName function="false" hidden="true" name="EBIT_10Q" vbProcedure="false">"EBIT_10Q"</definedName>
    <definedName function="false" hidden="true" name="EBIT_10Q1" vbProcedure="false">"EBIT_10Q1"</definedName>
    <definedName function="false" hidden="true" name="EBIT_GROWTH_1" vbProcedure="false">"EBIT_GROWTH_1"</definedName>
    <definedName function="false" hidden="true" name="EBIT_GROWTH_2" vbProcedure="false">"EBIT_GROWTH_2"</definedName>
    <definedName function="false" hidden="true" name="EBIT_MARGIN" vbProcedure="false">"EBIT_MARGIN"</definedName>
    <definedName function="false" hidden="true" name="EBIT_OVER_IE" vbProcedure="false">"EBIT_OVER_IE"</definedName>
    <definedName function="false" hidden="true" name="ed5dyx" vbProcedure="false">{#N/A,#N/A,FALSE,"CBE";#N/A,#N/A,FALSE,"SWK"}</definedName>
    <definedName function="false" hidden="true" name="EDFedf" vbProcedure="false">{#N/A,#N/A,FALSE,"Staffnos &amp; cost"}</definedName>
    <definedName function="false" hidden="true" name="edp" vbProcedure="false">{"assumption 50 50",#N/A,TRUE,"Merger";"has gets cash",#N/A,TRUE,"Merger";"accretion dilution",#N/A,TRUE,"Merger";"comparison credit stats",#N/A,TRUE,"Merger";"pf credit stats",#N/A,TRUE,"Merger";"pf sheets",#N/A,TRUE,"Merger"}</definedName>
    <definedName function="false" hidden="true" name="ee" vbProcedure="false">{"FY97Q1 nvs",#N/A,FALSE,"FY97 - Q1";"FY97Q2 nvs",#N/A,FALSE,"FY97 - Q2";"FY97Q3 nvs",#N/A,FALSE,"FY97 - Q3";"FY97Q4 nvs",#N/A,FALSE,"FY97 - Q4"}</definedName>
    <definedName function="false" hidden="true" name="EEE" vbProcedure="false">{#N/A,#N/A,FALSE,"Pharm";#N/A,#N/A,FALSE,"WWCM"}</definedName>
    <definedName function="false" hidden="true" name="eee.lll" vbProcedure="false">{#N/A,#N/A,FALSE,"PMW Gruppe 99_98";#N/A,#N/A,FALSE,"PMW KG 98_99";#N/A,#N/A,FALSE,"PMW Inc. 99_98";#N/A,#N/A,FALSE,"PMW VTECH 99_98";#N/A,#N/A,FALSE,"PMW Thail. 99_98";#N/A,#N/A,FALSE,"PMW Canada 99_98";#N/A,#N/A,FALSE,"Währungsabw. 99_98"}</definedName>
    <definedName function="false" hidden="true" name="eeee" vbProcedure="false">{#N/A,#N/A,FALSE,"Calc";#N/A,#N/A,FALSE,"Sensitivity";#N/A,#N/A,FALSE,"LT Earn.Dil.";#N/A,#N/A,FALSE,"Dil. AVP"}</definedName>
    <definedName function="false" hidden="true" name="eeeee" vbProcedure="false">{#N/A,#N/A,FALSE,"Pharm";#N/A,#N/A,FALSE,"WWCM"}</definedName>
    <definedName function="false" hidden="true" name="eeeeeee" vbProcedure="false">#N/A</definedName>
    <definedName function="false" hidden="true" name="eeeeeeee" vbProcedure="false">{"Pg1",#N/A,FALSE,"OpExYTDvsBud";"Pg2",#N/A,FALSE,"OpExYTDvsBud"}</definedName>
    <definedName function="false" hidden="true" name="eeeeeeeee" vbProcedure="false">{"Pa1",#N/A,FALSE,"OpExYTDvsPY";"Pa2",#N/A,FALSE,"OpExYTDvsPY"}</definedName>
    <definedName function="false" hidden="true" name="eeeeeeeeee"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eeeeeeeeeee" vbProcedure="false">{#N/A,"PURCHM",FALSE,"Business Analysis";#N/A,"SPADD",FALSE,"Business Analysis"}</definedName>
    <definedName function="false" hidden="true" name="eeeeeeeeeeee" vbProcedure="false">{"pro_view",#N/A,FALSE,"EEFSNAP2";"rep_view",#N/A,FALSE,"EEFSNAP2"}</definedName>
    <definedName function="false" hidden="true" name="eeeeeeeeeeeeeee" vbProcedure="false">{#N/A,"PURADD",FALSE,"Business Analysis";#N/A,"PURSPP",FALSE,"Business Analysis";#N/A,"CTGIND",FALSE,"Business Analysis";#N/A,"PURCHM",FALSE,"Business Analysis";#N/A,"SPADD",FALSE,"Business Analysis";#N/A,"EPOXY",FALSE,"Business Analysis";#N/A,"PURPER",FALSE,"Business Analysis"}</definedName>
    <definedName function="false" hidden="true" name="EEEEEEEEEEEEEEEEEE" vbProcedure="false">{"Summary",#N/A,FALSE,"Summary";"A&amp;A's",#N/A,FALSE,"Aids &amp; A's";"MajorWorks",#N/A,FALSE,"Major Works";"EstateImps",#N/A,FALSE,"Estate Imps";"CatC",#N/A,FALSE,"Cat C Voids";"CycProg",#N/A,FALSE,"Cyclical Prog inc MR"}</definedName>
    <definedName function="false" hidden="true" name="eeeeeeeeeeeeeeeeeeeeeeeeee" vbProcedure="false">{"London cttee condensed",#N/A,FALSE,"Dev Panel Cut Report";"South East cttee condensed",#N/A,FALSE,"Dev Panel Cut Report"}</definedName>
    <definedName function="false" hidden="true" name="eek" vbProcedure="false">{#N/A,#N/A,FALSE,"FCF Corporate Services";#N/A,#N/A,FALSE,"FCF Assum Corporate Services";#N/A,#N/A,FALSE,"DCF Corp. Services Sensitivity";#N/A,#N/A,FALSE,"AVP Corporate Services";"FCF in percent",#N/A,FALSE,"FCF Corporate Services"}</definedName>
    <definedName function="false" hidden="true" name="eer" vbProcedure="false">{#N/A,#N/A,TRUE,"Cover sheet";#N/A,#N/A,TRUE,"Summary";#N/A,#N/A,TRUE,"Key Assumptions";#N/A,#N/A,TRUE,"Profit &amp; Loss";#N/A,#N/A,TRUE,"Balance Sheet";#N/A,#N/A,TRUE,"Cashflow";#N/A,#N/A,TRUE,"IRR";#N/A,#N/A,TRUE,"Ratios";#N/A,#N/A,TRUE,"Debt analysis"}</definedName>
    <definedName function="false" hidden="true" name="eererer" vbProcedure="false">{"mgmt forecast",#N/A,FALSE,"Mgmt Forecast";"dcf table",#N/A,FALSE,"Mgmt Forecast";"sensitivity",#N/A,FALSE,"Mgmt Forecast";"table inputs",#N/A,FALSE,"Mgmt Forecast";"calculations",#N/A,FALSE,"Mgmt Forecast"}</definedName>
    <definedName function="false" hidden="true" name="eert" vbProcedure="false">{#N/A,#N/A,FALSE,"Umsatz EO BP";#N/A,#N/A,FALSE,"Umsatz EO OP";#N/A,#N/A,FALSE,"ER EO BP";#N/A,#N/A,FALSE,"ER EO OP";#N/A,#N/A,FALSE,"EA EO (2)";#N/A,#N/A,FALSE,"EA EO";#N/A,#N/A,FALSE,"EA EO (3)";#N/A,#N/A,FALSE,"EA EO (4)";#N/A,#N/A,FALSE,"KA EO  (2)";#N/A,#N/A,FALSE,"KA EO";#N/A,#N/A,FALSE,"KA EO  (3)";#N/A,#N/A,FALSE,"KA EO (4)"}</definedName>
    <definedName function="false" hidden="true" name="EERYREYREYERY" vbProcedure="false">{"up stand alones",#N/A,FALSE,"Acquiror"}</definedName>
    <definedName function="false" hidden="true" name="eeutzuitzu" vbProcedure="false">{#N/A,#N/A,FALSE,"Layout Cash Flow"}</definedName>
    <definedName function="false" hidden="true" name="EF" vbProcedure="false">{#N/A,#N/A,TRUE,"Cover sheet";#N/A,#N/A,TRUE,"DCF analysis";#N/A,#N/A,TRUE,"WACC calculation"}</definedName>
    <definedName function="false" hidden="true" name="efaf" vbProcedure="false">{"'SIVA Pricing Model'!$A$1:$F$39"}</definedName>
    <definedName function="false" hidden="true" name="efaf2" vbProcedure="false">{"'SIVA Pricing Model'!$A$1:$F$39"}</definedName>
    <definedName function="false" hidden="true" name="efbar" vbProcedure="false">{#N/A,#N/A,FALSE,"Performance Flash Report"}</definedName>
    <definedName function="false" hidden="true" name="EFFECT_SPECIAL_CHARGE" vbProcedure="false">"EFFECT_SPECIAL_CHARGE"</definedName>
    <definedName function="false" hidden="true" name="effodd" vbProcedure="false">{"'Standalone List Price Trends'!$A$1:$X$56"}</definedName>
    <definedName function="false" hidden="true" name="EFFOG" vbProcedure="false">{#N/A,#N/A,FALSE,"단축1";#N/A,#N/A,FALSE,"단축2";#N/A,#N/A,FALSE,"단축3";#N/A,#N/A,FALSE,"장축";#N/A,#N/A,FALSE,"4WD"}</definedName>
    <definedName function="false" hidden="true" name="efin" vbProcedure="false">{#N/A,#N/A,FALSE,"Output";#N/A,#N/A,FALSE,"Cover Sheet";#N/A,#N/A,FALSE,"Current Mkt. Projections"}</definedName>
    <definedName function="false" hidden="true" name="efn" vbProcedure="false">{#N/A,#N/A,TRUE,"DCF Summary";#N/A,#N/A,TRUE,"Casema";#N/A,#N/A,TRUE,"UK";#N/A,#N/A,TRUE,"RCF";#N/A,#N/A,TRUE,"Intercable CZ";#N/A,#N/A,TRUE,"Interkabel P";#N/A,#N/A,TRUE,"LBO-Total";#N/A,#N/A,TRUE,"LBO-Casema"}</definedName>
    <definedName function="false" hidden="true" name="EFqef"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efr" vbProcedure="false">{#N/A,#N/A,FALSE,"Layout Aktiva";#N/A,#N/A,FALSE,"Layout Passiva"}</definedName>
    <definedName function="false" hidden="true" name="EF제동" vbProcedure="false">{#N/A,#N/A,FALSE,"단축1";#N/A,#N/A,FALSE,"단축2";#N/A,#N/A,FALSE,"단축3";#N/A,#N/A,FALSE,"장축";#N/A,#N/A,FALSE,"4WD"}</definedName>
    <definedName function="false" hidden="true" name="egfh" vbProcedure="false">{"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function="false" hidden="true" name="eh" vbProcedure="false">{"cover",#N/A,TRUE,"Cover";"toc3",#N/A,TRUE,"TOC";"over",#N/A,TRUE,"Overview";"ts2",#N/A,TRUE,"Det_Trans_Sum";"ei2c",#N/A,TRUE,"Earnings Impact";"ad2",#N/A,TRUE,"accretion dilution";"pfis2",#N/A,TRUE,"Pro Forma Income Statement";"acq2c",#N/A,TRUE,"Acquirer";"tar2c",#N/A,TRUE,"Target"}</definedName>
    <definedName function="false" hidden="true" name="eHÜ0101200001000" vbProcedure="false">#REF!</definedName>
    <definedName function="false" hidden="true" name="eHÜ0101200002000" vbProcedure="false">#REF!</definedName>
    <definedName function="false" hidden="true" name="eHÜ0102200001000" vbProcedure="false">#REF!</definedName>
    <definedName function="false" hidden="true" name="eHÜ0102200002000" vbProcedure="false">#REF!</definedName>
    <definedName function="false" hidden="true" name="eHÜ0102200003000" vbProcedure="false">#REF!</definedName>
    <definedName function="false" hidden="true" name="eHÜ0103200002000" vbProcedure="false">#REF!</definedName>
    <definedName function="false" hidden="true" name="eHÜ0103200003000" vbProcedure="false">#REF!</definedName>
    <definedName function="false" hidden="true" name="eHÜ0103200004000" vbProcedure="false">#REF!</definedName>
    <definedName function="false" hidden="true" name="eHÜ0104200001000" vbProcedure="false">#REF!</definedName>
    <definedName function="false" hidden="true" name="eHÜ0105200001000" vbProcedure="false">#REF!</definedName>
    <definedName function="false" hidden="true" name="eHÜ0106200001000" vbProcedure="false">#REF!</definedName>
    <definedName function="false" hidden="true" name="eHÜ0106200002000" vbProcedure="false">#REF!</definedName>
    <definedName function="false" hidden="true" name="eHÜ0107100007000" vbProcedure="false">#REF!</definedName>
    <definedName function="false" hidden="true" name="eHÜ0107200002000" vbProcedure="false">#REF!</definedName>
    <definedName function="false" hidden="true" name="eHÜ0107200003000" vbProcedure="false">#REF!</definedName>
    <definedName function="false" hidden="true" name="eHÜ0107200004000" vbProcedure="false">#REF!</definedName>
    <definedName function="false" hidden="true" name="eHÜ0107200005000" vbProcedure="false">#REF!</definedName>
    <definedName function="false" hidden="true" name="eHÜ0107200006000" vbProcedure="false">#REF!</definedName>
    <definedName function="false" hidden="true" name="eHÜ0107200008000" vbProcedure="false">#REF!</definedName>
    <definedName function="false" hidden="true" name="eHÜ0107200009000" vbProcedure="false">#REF!</definedName>
    <definedName function="false" hidden="true" name="eHÜ0107200010000" vbProcedure="false">#REF!</definedName>
    <definedName function="false" hidden="true" name="eHÜ0112200001000" vbProcedure="false">#REF!</definedName>
    <definedName function="false" hidden="true" name="eHÜ0112200002000" vbProcedure="false">#REF!</definedName>
    <definedName function="false" hidden="true" name="ei"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Eigenkapital" vbProcedure="false">{#N/A,#N/A,FALSE,"Aging Summary";#N/A,#N/A,FALSE,"Ratio Analysis";#N/A,#N/A,FALSE,"Test 120 Day Accts";#N/A,#N/A,FALSE,"Tickmarks"}</definedName>
    <definedName function="false" hidden="true" name="Eigenkapitalplanung" vbProcedure="false">{#N/A,#N/A,FALSE,"Aging Summary";#N/A,#N/A,FALSE,"Ratio Analysis";#N/A,#N/A,FALSE,"Test 120 Day Accts";#N/A,#N/A,FALSE,"Tickmarks"}</definedName>
    <definedName function="false" hidden="true" name="Eigenverbrauch" vbProcedure="false">#REF!</definedName>
    <definedName function="false" hidden="true" name="EigenverbrauchN" vbProcedure="false">#REF!</definedName>
    <definedName function="false" hidden="true" name="Eigenverbrauch_" vbProcedure="false">[1]DATENHALTUNG!$AK$69</definedName>
    <definedName function="false" hidden="true" name="EIJI" vbProcedure="false">{"ALLOCATION1",#N/A,FALSE,"EXPENSE ALLOCATIONS";"ALLOCATION2",#N/A,FALSE,"EXPENSE ALLOCATIONS";"ALLOCATION3",#N/A,FALSE,"EXPENSE ALLOCATIONS";"ALLOCATION4",#N/A,FALSE,"EXPENSE ALLOCATIONS"}</definedName>
    <definedName function="false" hidden="true" name="Eiji1" vbProcedure="false">{"ALLOCATION1",#N/A,FALSE,"EXPENSE ALLOCATIONS";"ALLOCATION2",#N/A,FALSE,"EXPENSE ALLOCATIONS";"ALLOCATION3",#N/A,FALSE,"EXPENSE ALLOCATIONS";"ALLOCATION4",#N/A,FALSE,"EXPENSE ALLOCATIONS"}</definedName>
    <definedName function="false" hidden="true" name="EIJIA" vbProcedure="false">{"ALLOCATION1",#N/A,FALSE,"EXPENSE ALLOCATIONS";"ALLOCATION2",#N/A,FALSE,"EXPENSE ALLOCATIONS";"ALLOCATION3",#N/A,FALSE,"EXPENSE ALLOCATIONS";"ALLOCATION4",#N/A,FALSE,"EXPENSE ALLOCATIONS"}</definedName>
    <definedName function="false" hidden="true" name="EIJIB" vbProcedure="false">{"TOTALASSEMBLY",#N/A,FALSE,"ASSEMBLY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function="false" hidden="true" name="EIJIC" vbProcedure="false">{"TOTALDPAK",#N/A,FALSE,"DPAK PRODUCTION";"HADPAK",#N/A,FALSE,"DPAK PRODUCTION";"PSIDPAK",#N/A,FALSE,"DPAK PRODUCTION"}</definedName>
    <definedName function="false" hidden="true" name="EIJID"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eings" vbProcedure="false">{#N/A,"PURCHM",FALSE,"Business Analysis";#N/A,"SPADD",FALSE,"Business Analysis"}</definedName>
    <definedName function="false" hidden="true" name="EInheiten"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EinzAnleihen_Kred" vbProcedure="false">#REF!</definedName>
    <definedName function="false" hidden="true" name="EinzAnleihen_KredN" vbProcedure="false">#REF!</definedName>
    <definedName function="false" hidden="true" name="EinzAnleihen_Kred_" vbProcedure="false">#REF!</definedName>
    <definedName function="false" hidden="true" name="EinzEigenkapital" vbProcedure="false">#REF!</definedName>
    <definedName function="false" hidden="true" name="EinzEigenkapitalN" vbProcedure="false">#REF!</definedName>
    <definedName function="false" hidden="true" name="EinzEigenkapital_" vbProcedure="false">#REF!</definedName>
    <definedName function="false" hidden="true" name="EinzEKZufuehrung" vbProcedure="false">#REF!</definedName>
    <definedName function="false" hidden="true" name="EinzEKZufuehrungN" vbProcedure="false">#REF!</definedName>
    <definedName function="false" hidden="true" name="EinzEKZufuehrung_" vbProcedure="false">#REF!</definedName>
    <definedName function="false" hidden="true" name="EinzFAVVerkauf" vbProcedure="false">#REF!</definedName>
    <definedName function="false" hidden="true" name="EinzFAVVerkaufN" vbProcedure="false">#REF!</definedName>
    <definedName function="false" hidden="true" name="EinzFAVVerkauf_" vbProcedure="false">#REF!</definedName>
    <definedName function="false" hidden="true" name="EinzImmatVerm" vbProcedure="false">#REF!</definedName>
    <definedName function="false" hidden="true" name="EinzImmatVermN" vbProcedure="false">#REF!</definedName>
    <definedName function="false" hidden="true" name="EinzImmatVerm_" vbProcedure="false">#REF!</definedName>
    <definedName function="false" hidden="true" name="EinzKfrFinDisp" vbProcedure="false">#REF!</definedName>
    <definedName function="false" hidden="true" name="EinzKfrFinDispN" vbProcedure="false">#REF!</definedName>
    <definedName function="false" hidden="true" name="EinzKfrFinDisp_" vbProcedure="false">#REF!</definedName>
    <definedName function="false" hidden="true" name="EinzKunden" vbProcedure="false">#REF!</definedName>
    <definedName function="false" hidden="true" name="EinzKundenN" vbProcedure="false">#REF!</definedName>
    <definedName function="false" hidden="true" name="EinzKunden_" vbProcedure="false">#REF!</definedName>
    <definedName function="false" hidden="true" name="EinzSAVVerkauf" vbProcedure="false">#REF!</definedName>
    <definedName function="false" hidden="true" name="EinzSAVVerkaufN" vbProcedure="false">#REF!</definedName>
    <definedName function="false" hidden="true" name="EinzSAVVerkauf_" vbProcedure="false">#REF!</definedName>
    <definedName function="false" hidden="true" name="EJ" vbProcedure="false">TEXT(EJE,"TT.MM.JJJJ")</definedName>
    <definedName function="false" hidden="true" name="EJE" vbProcedure="false">40087</definedName>
    <definedName function="false" hidden="true" name="ejejejej" vbProcedure="false">{#N/A,#N/A,FALSE,"COVER";#N/A,#N/A,FALSE,"SUMMARY";#N/A,#N/A,FALSE,"INCOME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function="false" hidden="true" name="EJK" vbProcedure="false">TEXT(EJE,"T.M.JJJJ")</definedName>
    <definedName function="false" hidden="true" name="ejkfgkjze" vbProcedure="false">{#N/A,#N/A,FALSE,"Pharm";#N/A,#N/A,FALSE,"WWCM"}</definedName>
    <definedName function="false" hidden="true" name="EK" vbProcedure="false">{#N/A,#N/A,FALSE,"Aging Summary";#N/A,#N/A,FALSE,"Ratio Analysis";#N/A,#N/A,FALSE,"Test 120 Day Accts";#N/A,#N/A,FALSE,"Tickmarks"}</definedName>
    <definedName function="false" hidden="true" name="Eken" vbProcedure="false">{#N/A,#N/A,FALSE,"INPUTS";#N/A,#N/A,FALSE,"PROFORMA BSHEET";#N/A,#N/A,FALSE,"COMBINED";#N/A,#N/A,FALSE,"HIGH YIELD";#N/A,#N/A,FALSE,"COMB_GRAPHS"}</definedName>
    <definedName function="false" hidden="true" name="Eken.cs" vbProcedure="false">{#N/A,#N/A,FALSE,"INPUTS";#N/A,#N/A,FALSE,"PROFORMA BSHEET";#N/A,#N/A,FALSE,"COMBINED";#N/A,#N/A,FALSE,"ACQUIROR";#N/A,#N/A,FALSE,"TARGET 1";#N/A,#N/A,FALSE,"TARGET 2";#N/A,#N/A,FALSE,"HIGH YIELD";#N/A,#N/A,FALSE,"OVERFUND"}</definedName>
    <definedName function="false" hidden="true" name="EKVR" vbProcedure="false">{#N/A,#N/A,FALSE,"Aktiva";#N/A,#N/A,FALSE,"Passiva";#N/A,#N/A,FALSE,"guv";#N/A,#N/A,FALSE,"Anl-1";#N/A,#N/A,FALSE,"Anl-2";#N/A,#N/A,FALSE,"Anl-III";#N/A,#N/A,FALSE,"Ta-1-Anh";#N/A,#N/A,FALSE,"Ta-2-Anh";#N/A,#N/A,FALSE,"Ta-3-Anh";#N/A,#N/A,FALSE,"Kontroll-Blatt"}</definedName>
    <definedName function="false" hidden="true" name="ekvre" vbProcedure="false">{#N/A,#N/A,FALSE,"Aktiva";#N/A,#N/A,FALSE,"Passiva";#N/A,#N/A,FALSE,"guv";#N/A,#N/A,FALSE,"Anl-1";#N/A,#N/A,FALSE,"Anl-2";#N/A,#N/A,FALSE,"Anl-III";#N/A,#N/A,FALSE,"Ta-1-Anh";#N/A,#N/A,FALSE,"Ta-2-Anh";#N/A,#N/A,FALSE,"Ta-3-Anh";#N/A,#N/A,FALSE,"Kontroll-Blatt"}</definedName>
    <definedName function="false" hidden="true" name="emil1" vbProcedure="false">{#N/A,#N/A,FALSE,"Calc";#N/A,#N/A,FALSE,"Sensitivity";#N/A,#N/A,FALSE,"LT Earn.Dil.";#N/A,#N/A,FALSE,"Dil. AVP"}</definedName>
    <definedName function="false" hidden="true" name="emily" vbProcedure="false">{#N/A,#N/A,FALSE,"Calc";#N/A,#N/A,FALSE,"Sensitivity";#N/A,#N/A,FALSE,"LT Earn.Dil.";#N/A,#N/A,FALSE,"Dil. AVP"}</definedName>
    <definedName function="false" hidden="true" name="emily1" vbProcedure="false">{#N/A,#N/A,FALSE,"Calc";#N/A,#N/A,FALSE,"Sensitivity";#N/A,#N/A,FALSE,"LT Earn.Dil.";#N/A,#N/A,FALSE,"Dil. AVP"}</definedName>
    <definedName function="false" hidden="true" name="emily10" vbProcedure="false">{#N/A,#N/A,FALSE,"Calc";#N/A,#N/A,FALSE,"Sensitivity";#N/A,#N/A,FALSE,"LT Earn.Dil.";#N/A,#N/A,FALSE,"Dil. AVP"}</definedName>
    <definedName function="false" hidden="true" name="emily100" vbProcedure="false">{#N/A,#N/A,FALSE,"Calc";#N/A,#N/A,FALSE,"Sensitivity";#N/A,#N/A,FALSE,"LT Earn.Dil.";#N/A,#N/A,FALSE,"Dil. AVP"}</definedName>
    <definedName function="false" hidden="true" name="EMPLOYEES" vbProcedure="false">"EMPLOYEES"</definedName>
    <definedName function="false" hidden="true" name="EMS" vbProcedure="false">{"'Data'!$A$1:$D$17"}</definedName>
    <definedName function="false" hidden="true" name="ENG_BI_EXEC_CMD_ARGS" vbProcedure="false">"03304607807808310008509207808203605007003304907412708906908707207908410406808007306906512505112706312512707306708509308007306605313413009611212310611910211610507306609207808209007408306207006908008207908709108905109208308709708805509105413413209511611"</definedName>
    <definedName function="false" hidden="true" name="ENG_BI_EXEC_CMD_ARGS_2" vbProcedure="false">"91061191011161050730660760720850650850800720661200551230541341320951161191061191011161050730660940900700820700831021171111181211051191120851191061151261270951161191051271041171010770670810700830870920790910770610870720830660810580530550510680560490480"</definedName>
    <definedName function="false" hidden="true" name="ENG_BI_EXEC_CMD_ARGS_3" vbProcedure="false">"68050050055059060058059058065056063056055060053054053064055066066057050068051051053059058054059058062052063055049054063050052058059059055050059058053053064050058054059059063054063054051054063049058062059064055060050058053060057057063055049059134123099"</definedName>
    <definedName function="false" hidden="true" name="ENG_BI_EXEC_CMD_ARGS_4" vbProcedure="false">"117118099112105103081065087078068079077070062106110129128079091077069086074069081069082069082083070056126"</definedName>
    <definedName function="false" hidden="true" name="ENG_BI_EXE_NAME" vbProcedure="false">"BICORE.EXE"</definedName>
    <definedName function="false" hidden="true" name="ENG_BI_GEN_LIC" vbProcedure="false">"1"</definedName>
    <definedName function="false" hidden="true" name="ENG_BI_GEN_LIC_WS" vbProcedure="false">"True"</definedName>
    <definedName function="false" hidden="true" name="ENG_BI_LBI" vbProcedure="false">"B70E71BI55"</definedName>
    <definedName function="false" hidden="true" name="ENG_BI_TLA" vbProcedure="false">"168;115;40;151;9;31;124;198;22;131;31;134;248;39;32;154;128;244;35;261;244;57;70;103;103;150;232;183;259;32;212;256"</definedName>
    <definedName function="false" hidden="true" name="ENG_BI_TLA2" vbProcedure="false">"152;120;133;91;249;21;39;191;31;68;207;73;225;167;47;216;175;109;105;194;178;125;73;16;103;190;84;195;53;158;61;126"</definedName>
    <definedName function="false" hidden="true" name="ENTERPRISE_VALUE" vbProcedure="false">"ENTERPRISE_VALUE"</definedName>
    <definedName function="false" hidden="true" name="entntfnyh"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eo" vbProcedure="false">{"'B1'!$B$3:$E$3"}</definedName>
    <definedName function="false" hidden="true" name="eoflsru" vbProcedure="false">{"QTD",#N/A,FALSE,"SUM"}</definedName>
    <definedName function="false" hidden="true" name="EOGH" vbProcedure="false">{#N/A,#N/A,FALSE,"단축1";#N/A,#N/A,FALSE,"단축2";#N/A,#N/A,FALSE,"단축3";#N/A,#N/A,FALSE,"장축";#N/A,#N/A,FALSE,"4WD"}</definedName>
    <definedName function="false" hidden="true" name="eoil" vbProcedure="false">{"detail",#N/A,FALSE,"mfg";"summary",#N/A,FALSE,"mfg"}</definedName>
    <definedName function="false" hidden="true" name="EO계획" vbProcedure="false">#N/A</definedName>
    <definedName function="false" hidden="true" name="EPMWorkbookOptions_1" vbProcedure="false">"SAEAAB|LCAAAAAAABADtvQdgHEmWJSYvbcp7f0r1StfgdKEIgGATJNiQQBDswYjN5pLsHWlHIymrKoHKZVZlXWYWQMztnbz33nvvvffee||997o7nU4n99//P1xmZAFs9s5K2smeIYCqyB8/fnwfPyIe/x7vFmV6mddNUS0/|2h3vPNRmi|n1axYXnz20bo939799KPf4|g3Th5/t6rfTqrq7Zerlpo2Kb23bB69a4rPPpq37erR3btXV1fjq3v"</definedName>
    <definedName function="false" hidden="true" name="EPMWorkbookOptions_2" vbProcedure="false">"jqr64u7ezs3v39/7i|evpPF9k28WyabPlNP/IvjW7|a2PqNc0ffwqP6/zZv7l8stVvjw6z8omf3w3/JDbnZR5Vj/N2uzL5evsMjctux9zWzOWl3XV5tM2n5nW/S/C9lez9C6IYRsqNY7|H0p|MExIAQAA"</definedName>
    <definedName function="false" hidden="true" name="EPS" vbProcedure="false">"EPS"</definedName>
    <definedName function="false" hidden="true" name="epsltm" vbProcedure="false">#REF!</definedName>
    <definedName function="false" hidden="true" name="EPS_10K" vbProcedure="false">"EPS_10K"</definedName>
    <definedName function="false" hidden="true" name="EPS_10Q" vbProcedure="false">"EPS_10Q"</definedName>
    <definedName function="false" hidden="true" name="EPS_10Q1" vbProcedure="false">"EPS_10Q1"</definedName>
    <definedName function="false" hidden="true" name="EPS_EST" vbProcedure="false">"EPS_EST"</definedName>
    <definedName function="false" hidden="true" name="EPS_EST_1" vbProcedure="false">"EPS_EST_1"</definedName>
    <definedName function="false" hidden="true" name="eqrwwe" vbProcedure="false">{#N/A,#N/A,TRUE,"Historicals";#N/A,#N/A,TRUE,"Charts";#N/A,#N/A,TRUE,"Forecasts"}</definedName>
    <definedName function="false" hidden="true" name="equity2row" vbProcedure="false">#REF!</definedName>
    <definedName function="false" hidden="true" name="equityrow" vbProcedure="false">#REF!</definedName>
    <definedName function="false" hidden="true" name="EQUITY_AFFIL" vbProcedure="false">"EQUITY_AFFIL"</definedName>
    <definedName function="false" hidden="true" name="EQUITY_MARKET_VAL" vbProcedure="false">"EQUITY_MARKET_VAL"</definedName>
    <definedName function="false" hidden="true" name="EQV_OVER_BV" vbProcedure="false">"EQV_OVER_BV"</definedName>
    <definedName function="false" hidden="true" name="EQV_OVER_LTM_PRETAX_INC" vbProcedure="false">"EQV_OVER_LTM_PRETAX_INC"</definedName>
    <definedName function="false" hidden="true" name="er" vbProcedure="false">{#N/A,#N/A,FALSE,"Staffnos &amp; cost"}</definedName>
    <definedName function="false" hidden="true" name="eraefewef" vbProcedure="false">{#N/A,#N/A,FALSE,"summary"}</definedName>
    <definedName function="false" hidden="true" name="erase2" vbProcedure="false">{#N/A,#N/A,FALSE,"Summary";#N/A,#N/A,FALSE,"CF";#N/A,#N/A,FALSE,"P&amp;L";#N/A,#N/A,FALSE,"BS";#N/A,#N/A,FALSE,"Returns";#N/A,#N/A,FALSE,"Assumptions";#N/A,#N/A,FALSE,"Analysis"}</definedName>
    <definedName function="false" hidden="true" name="erase3" vbProcedure="false">{#N/A,#N/A,FALSE,"Summary";#N/A,#N/A,FALSE,"CF";#N/A,#N/A,FALSE,"P&amp;L";"summary",#N/A,FALSE,"Returns";#N/A,#N/A,FALSE,"BS";"summary",#N/A,FALSE,"Analysis";#N/A,#N/A,FALSE,"Assumptions"}</definedName>
    <definedName function="false" hidden="true" name="erd" vbProcedure="false">{#N/A,#N/A,FALSE,"Pharm";#N/A,#N/A,FALSE,"WWCM"}</definedName>
    <definedName function="false" hidden="true" name="ere" vbProcedure="false">{#N/A,#N/A,TRUE,"FR_HC";#N/A,#N/A,TRUE,"FR_REST";#N/A,#N/A,TRUE,"FR_RETA";#N/A,#N/A,TRUE,"FR_TECSOF";#N/A,#N/A,TRUE,"FR_NETTEC";#N/A,#N/A,TRUE,"FR_CLISER"}</definedName>
    <definedName function="false" hidden="true" name="erer"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ererer" vbProcedure="false">#REF!</definedName>
    <definedName function="false" hidden="true" name="ererer3"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erererer" vbProcedure="false">{"Aktiva_Gittelde",#N/A,TRUE,"Bilanz-Gittelde";"Liabilities_gittelde",#N/A,TRUE,"Bilanz-Gittelde";"GuV_Gittelde",#N/A,TRUE,"GuV-Gittelde";"Aktiva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function="false" hidden="true" name="ereserweer" vbProcedure="false">{#N/A,#N/A,FALSE,"mfg - consol";#N/A,#N/A,FALSE,"mfg - flo";#N/A,#N/A,FALSE,"mfg - lindsay"}</definedName>
    <definedName function="false" hidden="true" name="erew" vbProcedure="false">{#N/A,#N/A,FALSE,"Sheet1"}</definedName>
    <definedName function="false" hidden="true" name="erf"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ergebni"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ergebnis"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ErgebnisVorSteuern" vbProcedure="false">#REF!</definedName>
    <definedName function="false" hidden="true" name="ErgebnisVorSteuernK" vbProcedure="false">#REF!</definedName>
    <definedName function="false" hidden="true" name="ErgebnisVorSteuernM" vbProcedure="false">#REF!</definedName>
    <definedName function="false" hidden="true" name="ErgebnisVorSteuernN" vbProcedure="false">#REF!</definedName>
    <definedName function="false" hidden="true" name="ErgebnisVorSteuern_" vbProcedure="false">#REF!</definedName>
    <definedName function="false" hidden="true" name="erghr" vbProcedure="false">{"graph",#N/A,FALSE,"WWJU";"graph",#N/A,FALSE,"WWSEM";"graph",#N/A,FALSE,"GOMJU";"graph",#N/A,FALSE,"GOMSEM";"graph",#N/A,FALSE,"NSJU";"graph",#N/A,FALSE,"NSSEM";"graph",#N/A,FALSE,"WAJU";"graph",#N/A,FALSE,"STOCKPRI";"graph",#N/A,FALSE,"CFTEV";"graph",#N/A,FALSE,"NAV-RCV";"graph",#N/A,FALSE,"CRUDEWW"}</definedName>
    <definedName function="false" hidden="true" name="ErhaltDividenden" vbProcedure="false">#REF!</definedName>
    <definedName function="false" hidden="true" name="ErhaltDividendenN" vbProcedure="false">#REF!</definedName>
    <definedName function="false" hidden="true" name="ErhaltDividenden_" vbProcedure="false">#REF!</definedName>
    <definedName function="false" hidden="true" name="ErhaltZinsen" vbProcedure="false">#REF!</definedName>
    <definedName function="false" hidden="true" name="ErhaltZinsenN" vbProcedure="false">#REF!</definedName>
    <definedName function="false" hidden="true" name="ErhaltZinsen_" vbProcedure="false">#REF!</definedName>
    <definedName function="false" hidden="true" name="ErhaltZuschuesse" vbProcedure="false">#REF!</definedName>
    <definedName function="false" hidden="true" name="ErhaltZuschuesseN" vbProcedure="false">#REF!</definedName>
    <definedName function="false" hidden="true" name="ErhaltZuschuesse_" vbProcedure="false">#REF!</definedName>
    <definedName function="false" hidden="true" name="erhfgbdgh" vbProcedure="false">{#N/A,#N/A,TRUE,"Historicals";#N/A,#N/A,TRUE,"Charts";#N/A,#N/A,TRUE,"Forecasts"}</definedName>
    <definedName function="false" hidden="true" name="eric" vbProcedure="false">{#N/A,#N/A,FALSE,"Profit Status";#N/A,#N/A,FALSE,"Invest";#N/A,#N/A,FALSE,"Revenue";#N/A,#N/A,FALSE,"Variable Cost";#N/A,#N/A,FALSE,"Options &amp; Series"}</definedName>
    <definedName function="false" hidden="true" name="ermgkrtnbnvmd" vbProcedure="false">word</definedName>
    <definedName function="false" hidden="true" name="err.g." vbProcedure="false">{#N/A,#N/A,FALSE,"KA CH  (2)"}</definedName>
    <definedName function="false" hidden="true" name="ERRA" vbProcedure="false">{"Allocation Matrix p1",#N/A,FALSE,"Allocation Matrix";"Allocation Matrix p2",#N/A,FALSE,"Allocation Matrix";"Allocation Matrix p3",#N/A,FALSE,"Allocation Matrix"}</definedName>
    <definedName function="false" hidden="true" name="erre" vbProcedure="false">{"weichwaren",#N/A,FALSE,"Liste 1";"hartwaren",#N/A,FALSE,"Liste 1";"food",#N/A,FALSE,"Liste 1";"fleisch",#N/A,FALSE,"Liste 1"}</definedName>
    <definedName function="false" hidden="true" name="errr.g" vbProcedure="false">{#N/A,#N/A,FALSE,"KA CH  (2)"}</definedName>
    <definedName function="false" hidden="true" name="erryeyetyuu" vbProcedure="false">{#N/A,#N/A,FALSE,"Pharm";#N/A,#N/A,FALSE,"WWCM"}</definedName>
    <definedName function="false" hidden="true" name="ert" vbProcedure="false">{#N/A,#N/A,FALSE,"1. PTI Ziele";#N/A,#N/A,FALSE,"2. Zielkatalog ";#N/A,#N/A,FALSE,"3. Masterterminplan"}</definedName>
    <definedName function="false" hidden="true" name="ertaertaer" vbProcedure="false">{#N/A,#N/A,FALSE,"Layout Aktiva";#N/A,#N/A,FALSE,"Layout Passiva"}</definedName>
    <definedName function="false" hidden="true" name="ertaz" vbProcedure="false">{#N/A,#N/A,FALSE,"Operations";#N/A,#N/A,FALSE,"Financials"}</definedName>
    <definedName function="false" hidden="true" name="erterg" vbProcedure="false">{#N/A,#N/A,FALSE,"Layout Cash Flow"}</definedName>
    <definedName function="false" hidden="true" name="ertr" vbProcedure="false">{#N/A,#N/A,FALSE,"Umsatz 99";#N/A,#N/A,FALSE,"ER 99 "}</definedName>
    <definedName function="false" hidden="true" name="Ertragsteuerzlg" vbProcedure="false">#REF!</definedName>
    <definedName function="false" hidden="true" name="ErtragsteuerzlgN" vbProcedure="false">#REF!</definedName>
    <definedName function="false" hidden="true" name="Ertragsteuerzlg_" vbProcedure="false">#REF!</definedName>
    <definedName function="false" hidden="true" name="Ertragswert_Sz6" vbProcedure="false">{#N/A,#N/A,FALSE,"Mittelherkunft";#N/A,#N/A,FALSE,"Mittelverwendung"}</definedName>
    <definedName function="false" hidden="true" name="ervnj" vbProcedure="false">{"YTDACT",#N/A,FALSE,"YTD Cum";"YTDBUD",#N/A,FALSE,"YTD Cum";"YTDPRIOR",#N/A,FALSE,"YTD Cum"}</definedName>
    <definedName function="false" hidden="true" name="erw" vbProcedure="false">{#N/A,#N/A,FALSE,"Fluktuation TSI"}</definedName>
    <definedName function="false" hidden="true" name="erwefasgrghehwet" vbProcedure="false">{"'Sheet1'!$L$16"}</definedName>
    <definedName function="false" hidden="true" name="erwerer" vbProcedure="false">{#N/A,#N/A,FALSE,"mfg - consol";#N/A,#N/A,FALSE,"mfg - flo";#N/A,#N/A,FALSE,"mfg - lindsay"}</definedName>
    <definedName function="false" hidden="true" name="eryert" vbProcedure="false">{"MATERIAL",#N/A,FALSE,"material"}</definedName>
    <definedName function="false" hidden="true" name="er\" vbProcedure="false">{#N/A,#N/A,FALSE,"TS";#N/A,#N/A,FALSE,"Combo";#N/A,#N/A,FALSE,"FAIR";#N/A,#N/A,FALSE,"RBC";#N/A,#N/A,FALSE,"xxxx";#N/A,#N/A,FALSE,"A_D";#N/A,#N/A,FALSE,"WACC";#N/A,#N/A,FALSE,"DCF";#N/A,#N/A,FALSE,"LBO";#N/A,#N/A,FALSE,"AcqMults";#N/A,#N/A,FALSE,"CompMults"}</definedName>
    <definedName function="false" hidden="true" name="esdqcfq1de3w" vbProcedure="false">#REF!</definedName>
    <definedName function="false" hidden="true" name="esdrt" vbProcedure="false">#REF!</definedName>
    <definedName function="false" hidden="true" name="esnrc100c1_values" vbProcedure="false">{"FTSE100","COMPANIES",TRUE}</definedName>
    <definedName function="false" hidden="true" name="esnrc15c1_values" vbProcedure="false">{"EUWAT","COMPANIES",TRUE}</definedName>
    <definedName function="false" hidden="true" name="esnrc198c1_values" vbProcedure="false">{"EUENG","COMPANIES",TRUE}</definedName>
    <definedName function="false" hidden="true" name="esnrc1c1_values" vbProcedure="false">{"HUBAN","COMPANIES",TRUE}</definedName>
    <definedName function="false" hidden="true" name="esnrc33c1_values" vbProcedure="false">{"EUMOT","COMPANIES",TRUE}</definedName>
    <definedName function="false" hidden="true" name="esnrc46c1_values" vbProcedure="false">{"PL","COMPANIES",TRUE}</definedName>
    <definedName function="false" hidden="true" name="esnrc4c1_values" vbProcedure="false">{"GRBAN","COMPANIES",TRUE}</definedName>
    <definedName function="false" hidden="true" name="esnrc56c1_values" vbProcedure="false">{"ASCONGRP","COMPANIES",TRUE}</definedName>
    <definedName function="false" hidden="true" name="esnrc63c1_values" vbProcedure="false">{"EUUTIGRP","COMPANIES",TRUE}</definedName>
    <definedName function="false" hidden="true" name="esnrc91c1_values" vbProcedure="false">{"EUUTI","COMPANIES",TRUE}</definedName>
    <definedName function="false" hidden="true" name="ESOP_DEBT" vbProcedure="false">"ESOP_DEBT"</definedName>
    <definedName function="false" hidden="true" name="ESPeXToEUR" vbProcedure="false">1/eurextoesp</definedName>
    <definedName function="false" hidden="true" name="esr" vbProcedure="false">{"qchm_dcf",#N/A,FALSE,"QCHMDCF2";"qchm_terminal",#N/A,FALSE,"QCHMDCF2"}</definedName>
    <definedName function="false" hidden="true" name="ess" vbProcedure="false">{#N/A,#N/A,TRUE,"PSG Total Contacts";#N/A,#N/A,TRUE,"PSG Rep Total";#N/A,#N/A,TRUE,"Core Rep Detail";#N/A,#N/A,TRUE,"BC Rep Detail";#N/A,#N/A,TRUE,"Marlboro";#N/A,#N/A,TRUE,"Covington";#N/A,#N/A,TRUE,"Dallas";#N/A,#N/A,TRUE,"VRS Stats";#N/A,#N/A,TRUE,"Internet";#N/A,#N/A,TRUE,"NCO and Call Mix";#N/A,#N/A,TRUE,"VRS &amp; Rep Calls"}</definedName>
    <definedName function="false" hidden="true" name="ESSAI" vbProcedure="false">{#N/A,#N/A,FALSE,"Pharm";#N/A,#N/A,FALSE,"WWCM"}</definedName>
    <definedName function="false" hidden="true" name="essai2" vbProcedure="false">{"'LU_GMP'!$A$10:$U$254"}</definedName>
    <definedName function="false" hidden="true" name="essais" vbProcedure="false">{#N/A,#N/A,FALSE,"F_Plan";#N/A,#N/A,FALSE,"Parameter"}</definedName>
    <definedName function="false" hidden="true" name="essais2" vbProcedure="false">{#N/A,#N/A,FALSE,"F_Plan";#N/A,#N/A,FALSE,"Parameter"}</definedName>
    <definedName function="false" hidden="true" name="essb" vbProcedure="false">{#N/A,#N/A,TRUE,"PSG Total Contacts";#N/A,#N/A,TRUE,"PSG Rep Total";#N/A,#N/A,TRUE,"Core Rep Detail";#N/A,#N/A,TRUE,"BC Rep Detail";#N/A,#N/A,TRUE,"Marlboro";#N/A,#N/A,TRUE,"Covington";#N/A,#N/A,TRUE,"Dallas";#N/A,#N/A,TRUE,"VRS Stats";#N/A,#N/A,TRUE,"Internet";#N/A,#N/A,TRUE,"NCO and Call Mix";#N/A,#N/A,TRUE,"VRS &amp; Rep Calls"}</definedName>
    <definedName function="false" hidden="true" name="est" vbProcedure="false">{#N/A,#N/A,FALSE,"Key No's by Month - Disc";#N/A,#N/A,FALSE,"Key No's - YTD";#N/A,#N/A,FALSE,"Key No's by Qua";#N/A,#N/A,FALSE,"BR W.Fall";#N/A,#N/A,FALSE,"CR W.Fall";#N/A,#N/A,FALSE,"PBT W.Fall";#N/A,#N/A,FALSE,"Costs W.Fall";#N/A,#N/A,FALSE,"Master";#N/A,#N/A,FALSE,"cr,br,pbt,costs";#N/A,#N/A,FALSE,"Cost Analysis - DC";#N/A,#N/A,FALSE,"Cost Analysis - DT";#N/A,#N/A,FALSE,"Cost Analysis - POS";#N/A,#N/A,FALSE,"Cost Analysis - Po4";#N/A,#N/A,FALSE,"Cost Analysis - SL";#N/A,#N/A,FALSE,"Cost Analysis - ET";#N/A,#N/A,FALSE,"Cost Analysis - HQ";#N/A,#N/A,FALSE,"Cost Analysis - Elim";#N/A,#N/A,FALSE,"Cost Analysis - Cont";#N/A,#N/A,FALSE,"Cost Analysis - Top";#N/A,#N/A,FALSE,"Manexec Report";#N/A,#N/A,FALSE,"Bal Sheet"}</definedName>
    <definedName function="false" hidden="true" name="Estimate" vbProcedure="false">{#N/A,#N/A,FALSE,"P&amp;L";#N/A,#N/A,FALSE,"Capital";#N/A,#N/A,FALSE,"Summary";#N/A,#N/A,FALSE,"VAR Rec";#N/A,#N/A,FALSE,"EBIT Rec"}</definedName>
    <definedName function="false" hidden="true" name="est_mvic" vbProcedure="false">#REF!</definedName>
    <definedName function="false" hidden="true" name="et"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etc" vbProcedure="false">#REF!</definedName>
    <definedName function="false" hidden="true" name="etet" vbProcedure="false">{#N/A,#N/A,FALSE,"Calc";#N/A,#N/A,FALSE,"Sensitivity";#N/A,#N/A,FALSE,"LT Earn.Dil.";#N/A,#N/A,FALSE,"Dil. AVP"}</definedName>
    <definedName function="false" hidden="true" name="ETM.BID" vbProcedure="false">"7be5220cf82549649558d90af623bfb5"</definedName>
    <definedName function="false" hidden="true" name="ETRYU" vbProcedure="false">{#N/A,#N/A,FALSE,"단축1";#N/A,#N/A,FALSE,"단축2";#N/A,#N/A,FALSE,"단축3";#N/A,#N/A,FALSE,"장축";#N/A,#N/A,FALSE,"4WD"}</definedName>
    <definedName function="false" hidden="true" name="etwasneues" vbProcedure="false">#N/A</definedName>
    <definedName function="false" hidden="true" name="ety" vbProcedure="false">{"Acq_matrix",#N/A,FALSE,"Acquisition Matrix"}</definedName>
    <definedName function="false" hidden="true" name="etyufg" vbProcedure="false">{"mult96",#N/A,FALSE,"PETCOMP";"est96",#N/A,FALSE,"PETCOMP";"mult95",#N/A,FALSE,"PETCOMP";"est95",#N/A,FALSE,"PETCOMP";"multltm",#N/A,FALSE,"PETCOMP";"resultltm",#N/A,FALSE,"PETCOMP"}</definedName>
    <definedName function="false" hidden="true" name="ETYUI" vbProcedure="false">{#N/A,#N/A,FALSE,"단축1";#N/A,#N/A,FALSE,"단축2";#N/A,#N/A,FALSE,"단축3";#N/A,#N/A,FALSE,"장축";#N/A,#N/A,FALSE,"4WD"}</definedName>
    <definedName function="false" hidden="true" name="etzutzutz" vbProcedure="false">{#N/A,#N/A,FALSE,"Layout Aktiva";#N/A,#N/A,FALSE,"Layout Passiva"}</definedName>
    <definedName function="false" hidden="true" name="eu" vbProcedure="false">{"apci",#N/A,FALSE,"Chem_CY";"eastman",#N/A,FALSE,"Eastman";"betz",#N/A,FALSE,"Betz";"great lakes",#N/A,FALSE,"Great_Lakes";"hercules",#N/A,FALSE,"Hercules Chem Seg Data";"rohm",#N/A,FALSE,"Rohm";"union carbide",#N/A,FALSE,"Union";"witco",#N/A,FALSE,"Witco"}</definedName>
    <definedName function="false" hidden="true" name="EUReXToDEM" vbProcedure="false">#REF!</definedName>
    <definedName function="false" hidden="true" name="eutzuitzui" vbProcedure="false">{#N/A,#N/A,FALSE,"Finanzbedarfsrechnung"}</definedName>
    <definedName function="false" hidden="true" name="euutzu" vbProcedure="false">{#N/A,#N/A,FALSE,"Finanzbedarfsrechnung"}</definedName>
    <definedName function="false" hidden="true" name="euvwu" vbProcedure="false">{"'B1'!$B$3:$E$3"}</definedName>
    <definedName function="false" hidden="true" name="EV" vbProcedure="false">TEXT(EVE,"TT.MM.JJJJ")</definedName>
    <definedName function="false" hidden="true" name="EVE" vbProcedure="false">39722</definedName>
    <definedName function="false" hidden="true" name="ev.Calculation" vbProcedure="false">-4105</definedName>
    <definedName function="false" hidden="true" name="ev.Initialized" vbProcedure="false">FALSE()</definedName>
    <definedName function="false" hidden="true" name="EVK" vbProcedure="false">TEXT(EVE,"T.M.JJJJ")</definedName>
    <definedName function="false" hidden="true" name="EVLastRefTime" vbProcedure="false">38638.6670023148</definedName>
    <definedName function="false" hidden="true" name="EV_latreftime1_" vbProcedure="false">39027.4279050926</definedName>
    <definedName function="false" hidden="true" name="EV_OVER_EMPLOYEE" vbProcedure="false">"EV_OVER_EMPLOYEE"</definedName>
    <definedName function="false" hidden="true" name="EV_OVER_LTM_EBIT" vbProcedure="false">"EV_OVER_LTM_EBIT"</definedName>
    <definedName function="false" hidden="true" name="EV_OVER_LTM_EBITDA" vbProcedure="false">"EV_OVER_LTM_EBITDA"</definedName>
    <definedName function="false" hidden="true" name="EV_OVER_LTM_REVENUE" vbProcedure="false">"EV_OVER_LTM_REVENUE"</definedName>
    <definedName function="false" hidden="true" name="EV_OVER_REVENUE_EST" vbProcedure="false">"EV_OVER_REVENUE_EST"</definedName>
    <definedName function="false" hidden="true" name="EV_OVER_REVENUE_EST_1" vbProcedure="false">"EV_OVER_REVENUE_EST_1"</definedName>
    <definedName function="false" hidden="true" name="EV__ALLOWSTOPEXPAND__" vbProcedure="false">1</definedName>
    <definedName function="false" hidden="true" name="EV__CVPARAMS__" vbProcedure="false">"Trend!$B$17:$C$38;"</definedName>
    <definedName function="false" hidden="true" name="EV__DECIMALSYMBOL__" vbProcedure="false">"."</definedName>
    <definedName function="false" hidden="true" name="EV__EVCOM_OPTIONS__" vbProcedure="false">8</definedName>
    <definedName function="false" hidden="true" name="EV__EXPOPTIONS__" vbProcedure="false">0</definedName>
    <definedName function="false" hidden="true" name="EV__LASTREFTIME__" vbProcedure="false">42096.450150463</definedName>
    <definedName function="false" hidden="true" name="EV__LASTREFTIME___1" vbProcedure="false">38610.708900463</definedName>
    <definedName function="false" hidden="true" name="EV__LASTREFTIME___2" vbProcedure="false">"(GMT-05:00)12/13/2012 8:16:56 AM"</definedName>
    <definedName function="false" hidden="true" name="EV__LOCKEDCVW__BUDGET" vbProcedure="false">"SalesVolume,ACTUAL,SalesCustomers,TOTALVAL,AspenPumps,GBP,2012.JAN,Periodic,"</definedName>
    <definedName function="false" hidden="true" name="EV__LOCKEDCVW__CAPITAL" vbProcedure="false">"DEPR.AMORT,ALL_ASSETCLASS,TOT_ASSETS,ACTUAL,TOTAL_ADJ,WICHORUS_DS_RD,PROD_HIER,USD,2012.DEC,PERIODIC,"</definedName>
    <definedName function="false" hidden="true" name="EV__LOCKEDCVW__CASHFLOW" vbProcedure="false">"A_TOTCFA,AC_CASHAC,ACTUAL,LC,E_QSG,2007.Q2,PERIODIC,"</definedName>
    <definedName function="false" hidden="true" name="EV__LOCKEDCVW__CONSO" vbProcedure="false">"A_None_NETINC,B_ALL,ACTUAL,C_ALL,USD,TotConso,E_QSG,G_ALL,2007.Q3,PERIODIC,"</definedName>
    <definedName function="false" hidden="true" name="EV__LOCKEDCVW__CORPOPS" vbProcedure="false">"A_None_NETINC,B_ALL,BUDGET,C_ALL,USD,TotConso,E_100,G_ALL,2007.Q3,PERIODIC,"</definedName>
    <definedName function="false" hidden="true" name="EV__LOCKEDCVW__EXPENSES" vbProcedure="false">"EXPENSES,FCST12,TOTAL_ADJ,TELLABS,EXP_DETAIL,PROD_HIER,USD,2011.DEC,PERIODIC,"</definedName>
    <definedName function="false" hidden="true" name="EV__LOCKEDCVW__FINANCE" vbProcedure="false">"15110,Actual,TotalAdj,TOT_DEPT,TOT_COMPANY,TOT_LOB,2009.OCT,PERIODIC,"</definedName>
    <definedName function="false" hidden="true" name="EV__LOCKEDCVW__FINANCE_HP" vbProcedure="false">"Balance_Sheet,ACTUAL,C_HPE,All_DS,2011.dec,YTD,"</definedName>
    <definedName function="false" hidden="true" name="EV__LOCKEDCVW__FPR" vbProcedure="false">"A_STAT_INVENT,B_ALL,FORECAST,C_ALL,LC,Input,D_ALL,E_503,P_ALL,S_ALL,2006.Q4,PERIODIC,"</definedName>
    <definedName function="false" hidden="true" name="EV__LOCKEDCVW__INTERCOMATCHING" vbProcedure="false">"ICAssets,Actual,Input,E_All,I_All,2004.TOTAL,USD,PERIODIC,"</definedName>
    <definedName function="false" hidden="true" name="EV__LOCKEDCVW__KPI" vbProcedure="false">"ACTUAL,TOTALCC,TotalAdj,All_Minions,TOT_ANDROID,TOT_WGS_FRNGS,USD,TOT_SUB_LNCH,2006.TOTAL,PERIODIC,"</definedName>
    <definedName function="false" hidden="true" name="EV__LOCKEDCVW__MANAGEMENT" vbProcedure="false">"PL_REV,FCST12,CHANNEL,ALL_CUSTOMER,TOTAL_ADJ,TELLABS,ALT1_HIER,USD,TOTAL_TELLABS,2010.DEC,PERIODIC,"</definedName>
    <definedName function="false" hidden="true" name="EV__LOCKEDCVW__OPERATIONS" vbProcedure="false">"ACTUAL,SalesCustomers,TOTALVAL,TotalItems,SalesValue,GBP,TotalSuppliers,2012.TOTAL,Periodic,"</definedName>
    <definedName function="false" hidden="true" name="EV__LOCKEDCVW__PAYROLL" vbProcedure="false">"11250,Actual,TotalAdj,TOT_DEPT,ALLEMPL,TOT_COMPANY_PF,Tot_Job,TOT_LOB,XCG,2008.Total,4215,PERIODIC,"</definedName>
    <definedName function="false" hidden="true" name="EV__LOCKEDCVW__PLANNING2005" vbProcedure="false">"ACTUAL,ALLLE,TURBINE,GPPCT,ALLPRODUCTS,USOPS,1998.TOTAL,PERIODIC,"</definedName>
    <definedName function="false" hidden="true" name="EV__LOCKEDCVW__PROJ_EVEREST" vbProcedure="false">"ACTUAL,TOTALADJ,TOT_DELIVER,TOT_ANDROID,2000.TOTAL,PERIODIC,"</definedName>
    <definedName function="false" hidden="true" name="EV__LOCKEDCVW__RATE" vbProcedure="false">"ACTUAL,USD,Avg,Default,2004.TOTAL,PERIODIC,"</definedName>
    <definedName function="false" hidden="true" name="EV__LOCKEDCVW__RATE_INTERCO" vbProcedure="false">"Actual,Avg,Default,2004.TOTAL,USD,PERIODIC,"</definedName>
    <definedName function="false" hidden="true" name="EV__LOCKEDCVW__REVENUE" vbProcedure="false">"Balance_Sheet,Actual,TOT_CUSTOMERS,TotalAdj,TOT_COMPANY_PF,TOT_LOB,2005.TOTAL,PERIODIC,"</definedName>
    <definedName function="false" hidden="true" name="EV__LOCKEDCVW__SAFETY" vbProcedure="false">"Accidents,Actual,TotalAdj,TOT_DEPT,TOT_COMPANY_PF,TOT_LOB,2005.TOTAL,PERIODIC,"</definedName>
    <definedName function="false" hidden="true" name="EV__LOCKEDCVW__TEST" vbProcedure="false">"Tot_Broker_Rev,Actual,TotalAdj,TOT_COMPANY,TOT_LOB,2008.APR,TOT_DEPT,PERIODIC,"</definedName>
    <definedName function="false" hidden="true" name="EV__LOCKEDCVW__WORKFORCE" vbProcedure="false">"PAYROLL_RELATED,PLAN,TOTAL_ADJ,EMPLOYEES,FINANCE,PROD_HIER_ELIM,USD,2012.TOTAL,PERIODIC,"</definedName>
    <definedName function="false" hidden="true" name="EV__LOCKEDCVW__XCHANGE" vbProcedure="false">"ACTUAL,TotalEntity2,TotalRate,USOPS,1998.TOTAL,PERIODIC,"</definedName>
    <definedName function="false" hidden="true" name="EV__LOCKSTATUS__" vbProcedure="false">4</definedName>
    <definedName function="false" hidden="true" name="EV__MAXEXPCOLS__" vbProcedure="false">100</definedName>
    <definedName function="false" hidden="true" name="EV__MAXEXPROWS__" vbProcedure="false">1000</definedName>
    <definedName function="false" hidden="true" name="EV__MEMORYCVW__" vbProcedure="false">0</definedName>
    <definedName function="false" hidden="true" name="EV__WBEVMODE__" vbProcedure="false">0</definedName>
    <definedName function="false" hidden="true" name="EV__WBREFOPTIONS__" vbProcedure="false">134217735</definedName>
    <definedName function="false" hidden="true" name="EV__WBVERSION__" vbProcedure="false">0</definedName>
    <definedName function="false" hidden="true" name="EV__WSINFO__" vbProcedure="false">"silver"</definedName>
    <definedName function="false" hidden="true" name="ew" vbProcedure="false">{#N/A,"PURADD",FALSE,"Business Analysis";#N/A,"PURSPP",FALSE,"Business Analysis";#N/A,"CTGIND",FALSE,"Business Analysis";#N/A,"PURCHM",FALSE,"Business Analysis";#N/A,"SPADD",FALSE,"Business Analysis";#N/A,"EPOXY",FALSE,"Business Analysis";#N/A,"PURPER",FALSE,"Business Analysis"}</definedName>
    <definedName function="false" hidden="true" name="EWA" vbProcedure="false">{#N/A,#N/A,FALSE,"초도품";#N/A,#N/A,FALSE,"초도품 (2)";#N/A,#N/A,FALSE,"초도품 (3)";#N/A,#N/A,FALSE,"초도품 (4)";#N/A,#N/A,FALSE,"초도품 (5)";#N/A,#N/A,FALSE,"초도품 (6)"}</definedName>
    <definedName function="false" hidden="true" name="ewae" vbProcedure="false">{"FY98Q1",#N/A,FALSE,"FY98 - Q1";"FY98Q2",#N/A,FALSE,"FY98 - Q2";"FY98Q3",#N/A,FALSE,"FY98 - Q3";"FY98Q4",#N/A,FALSE,"FY98 - Q4"}</definedName>
    <definedName function="false" hidden="true" name="ewaw" vbProcedure="false">{"Act_vs_Budget",#N/A,FALSE,"QTRDPVAR";"Act_vs_Prior_Year",#N/A,FALSE,"QTRDPVAR"}</definedName>
    <definedName function="false" hidden="true" name="ewdfsd"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ewdwqd" vbProcedure="false">{#N/A,"PURCHM",FALSE,"Business Analysis";#N/A,"SPADD",FALSE,"Business Analysis"}</definedName>
    <definedName function="false" hidden="true" name="ewe" vbProcedure="false">{#N/A,#N/A,FALSE,"inc state";#N/A,#N/A,FALSE,"Products";#N/A,#N/A,FALSE,"bal sht"}</definedName>
    <definedName function="false" hidden="true" name="ewewe" vbProcedure="false">{"Aktiva_Gittelde",#N/A,TRUE,"Bilanz-Gittelde";"Liabilities_gittelde",#N/A,TRUE,"Bilanz-Gittelde";"GuV_Gittelde",#N/A,TRUE,"GuV-Gittelde";"Aktiva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function="false" hidden="true" name="ewf" vbProcedure="false">{"GuVGmbH",#N/A,FALSE,"ratios";"BilanzGmbH",#N/A,FALSE,"ratios";"BilanzKG",#N/A,FALSE,"ratios";"GuVKG",#N/A,FALSE,"ratios"}</definedName>
    <definedName function="false" hidden="true" name="ewq" vbProcedure="false">{"oct_res_comm",#N/A,FALSE,"VarToBud"}</definedName>
    <definedName function="false" hidden="true" name="ewr"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ewrtwet" vbProcedure="false">#REF!</definedName>
    <definedName function="false" hidden="true" name="ewrwer" vbProcedure="false">{#N/A,#N/A,FALSE,"ORIX CSC"}</definedName>
    <definedName function="false" hidden="true" name="ewv" vbProcedure="false">{"Page1",#N/A,FALSE,"OpExJanvsBud";"Page2",#N/A,FALSE,"OpExJanvsBud"}</definedName>
    <definedName function="false" hidden="true" name="ewwe" vbProcedure="false">{#N/A,#N/A,FALSE,"REPORT"}</definedName>
    <definedName function="false" hidden="true" name="EWY" vbProcedure="false">{#N/A,#N/A,FALSE,"단축1";#N/A,#N/A,FALSE,"단축2";#N/A,#N/A,FALSE,"단축3";#N/A,#N/A,FALSE,"장축";#N/A,#N/A,FALSE,"4WD"}</definedName>
    <definedName function="false" hidden="true" name="ExactAddinConnection" vbProcedure="false">"001"</definedName>
    <definedName function="false" hidden="true" name="ExactAddinConnection.001" vbProcedure="false">"corp-es-db;001;mike.wolnik;1"</definedName>
    <definedName function="false" hidden="true" name="ExactAddinConnection.010" vbProcedure="false">"corp-es-db;001;gary.bristow;1"</definedName>
    <definedName function="false" hidden="true" name="ExactAddinConnection.050" vbProcedure="false">"corp-es-db;050;gary.bristow;1"</definedName>
    <definedName function="false" hidden="true" name="ExactAddinConnection.102" vbProcedure="false">"SGDC04;102;amokhtar;1"</definedName>
    <definedName function="false" hidden="true" name="ExactAddinConnection.360" vbProcedure="false">"amsfinw01;360;kbekkenk;1"</definedName>
    <definedName function="false" hidden="true" name="ExactAddinReports" vbProcedure="false">1</definedName>
    <definedName function="false" hidden="true" name="ExactlyOneYear" vbProcedure="false">#REF!</definedName>
    <definedName function="false" hidden="true" name="ExbMult_Total" vbProcedure="false">#REF!</definedName>
    <definedName function="false" hidden="true" name="exbnumlist" vbProcedure="false">#REF!</definedName>
    <definedName function="false" hidden="true" name="EXCEL_VER" vbProcedure="false">"8.0e"</definedName>
    <definedName function="false" hidden="true" name="EXCHANGE" vbProcedure="false">{"'subnets'!$A$1:$F$20"}</definedName>
    <definedName function="false" hidden="true" name="Exchange_Rates" vbProcedure="false">#REF!</definedName>
    <definedName function="false" hidden="true" name="excl_FX" vbProcedure="false">{"SCM_Detail",#N/A,FALSE,"SCM";"SCM_Top",#N/A,FALSE,"SCM"}</definedName>
    <definedName function="false" hidden="true" name="EXC_VER" vbProcedure="false">"  V 2.86"</definedName>
    <definedName function="false" hidden="true" name="ExfactoryPrices"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Exp.2008" vbProcedure="false">{"'WST RETAIL PRICE LIST Apr 9 (2)'!$B$1:$C$177"}</definedName>
    <definedName function="false" hidden="true" name="expanded" vbProcedure="false">{"printceo5",#N/A,FALSE,"CEO";"prints15",#N/A,FALSE,"S1";"printdepr5",#N/A,FALSE,"DEPR"}</definedName>
    <definedName function="false" hidden="true" name="ExRateLTM_Yr1" vbProcedure="false">#REF!</definedName>
    <definedName function="false" hidden="true" name="ExRateLTM_Yr2" vbProcedure="false">#REF!</definedName>
    <definedName function="false" hidden="true" name="ExRateLTM_Yr3" vbProcedure="false">#REF!</definedName>
    <definedName function="false" hidden="true" name="ExRate_Yr1" vbProcedure="false">#REF!</definedName>
    <definedName function="false" hidden="true" name="ExRate_Yr2" vbProcedure="false">#REF!</definedName>
    <definedName function="false" hidden="true" name="ExRate_Yr3" vbProcedure="false">#REF!</definedName>
    <definedName function="false" hidden="true" name="ExRate_Yr4" vbProcedure="false">#REF!</definedName>
    <definedName function="false" hidden="true" name="ExRate_Yr5" vbProcedure="false">#REF!</definedName>
    <definedName function="false" hidden="true" name="ExRate_Yr6" vbProcedure="false">#REF!</definedName>
    <definedName function="false" hidden="true" name="ExRate_Yr7" vbProcedure="false">#REF!</definedName>
    <definedName function="false" hidden="true" name="ext" vbProcedure="false">{#N/A,#N/A,TRUE,"Cont_Stell";#N/A,#N/A,TRUE,"BTG";#N/A,#N/A,TRUE,"SH";#N/A,#N/A,TRUE,"GUV";#N/A,#N/A,TRUE,"Bilanz";#N/A,#N/A,TRUE,"WC";#N/A,#N/A,TRUE,"Beweg_bil";#N/A,#N/A,TRUE,"Kap_fluß";#N/A,#N/A,TRUE,"KENNZ";#N/A,#N/A,TRUE,"ANALYSE"}</definedName>
    <definedName function="false" hidden="true" name="EXTRA_ITEMS" vbProcedure="false">"EXTRA_ITEMS"</definedName>
    <definedName function="false" hidden="true" name="eydsr" vbProcedure="false">{#N/A,"PURCHM",FALSE,"Business Analysis";#N/A,"SPADD",FALSE,"Business Analysis"}</definedName>
    <definedName function="false" hidden="true" name="eyr" vbProcedure="false">{"hiden",#N/A,FALSE,"14";"hidden",#N/A,FALSE,"16";"hidden",#N/A,FALSE,"18";"hidden",#N/A,FALSE,"20"}</definedName>
    <definedName function="false" hidden="true" name="EYRU" vbProcedure="false">{#N/A,#N/A,FALSE,"단축1";#N/A,#N/A,FALSE,"단축2";#N/A,#N/A,FALSE,"단축3";#N/A,#N/A,FALSE,"장축";#N/A,#N/A,FALSE,"4WD"}</definedName>
    <definedName function="false" hidden="true" name="eyteye" vbProcedure="false">{"P&amp;L",#N/A,FALSE,"P&amp;LPlan";"Cashflow",#N/A,FALSE,"Cash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function="false" hidden="true" name="eyteyeey" vbProcedure="false">{#N/A,#N/A,FALSE,"P&amp;L";#N/A,#N/A,FALSE,"Balance Sheet";#N/A,#N/A,FALSE,"Cash flow";#N/A,#N/A,FALSE,"Sales";#N/A,#N/A,FALSE,"Data";#N/A,#N/A,FALSE,"Pie Q2.00";#N/A,#N/A,FALSE,"Pie Accum";#N/A,#N/A,FALSE,"Integrators";#N/A,#N/A,FALSE,"Geographic";#N/A,#N/A,FALSE,"DSO";#N/A,#N/A,FALSE,"Headcount"}</definedName>
    <definedName function="false" hidden="true" name="eytv" vbProcedure="false">{"AQUIRORDCF",#N/A,FALSE,"Merger consequences";"Acquirorassns",#N/A,FALSE,"Merger consequences"}</definedName>
    <definedName function="false" hidden="true" name="ezer"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ezt" vbProcedure="false">{#N/A,#N/A,FALSE,"Calc";#N/A,#N/A,FALSE,"Sensitivity";#N/A,#N/A,FALSE,"LT Earn.Dil.";#N/A,#N/A,FALSE,"Dil. AVP"}</definedName>
    <definedName function="false" hidden="true" name="f.ffff" vbProcedure="false">{#N/A,#N/A,FALSE,"Umsatz 99";#N/A,#N/A,FALSE,"ER 99 "}</definedName>
    <definedName function="false" hidden="true" name="fa" vbProcedure="false">{#N/A,#N/A,TRUE,"Cover";#N/A,#N/A,TRUE,"Input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function="false" hidden="true" name="faa"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fafa" vbProcedure="false">{#N/A,#N/A,FALSE,"Cover";#N/A,#N/A,FALSE,"Assumptions";#N/A,#N/A,FALSE,"Volumes";#N/A,#N/A,FALSE,"Pricing";#N/A,#N/A,FALSE,"TFLE Walk";#N/A,#N/A,FALSE,"Variable Cost";#N/A,#N/A,FALSE,"Sensitivity";#N/A,#N/A,FALSE,"Investment";#N/A,#N/A,FALSE,"Profitability"}</definedName>
    <definedName function="false" hidden="true" name="FarrellWitchita" vbProcedure="false">{"FCB_ALL",#N/A,FALSE,"FCB"}</definedName>
    <definedName function="false" hidden="true" name="fasdf" vbProcedure="false">{"SUM ALL YR",#N/A,FALSE,"SUM ALL YR";"sum01",#N/A,FALSE,"SUM 01";"sumM2",#N/A,FALSE,"SUM M2";"sum02",#N/A,FALSE,"SUM 02";"sum03",#N/A,FALSE,"SUM 03";"sum04",#N/A,FALSE,"SUM 04";"sum05",#N/A,FALSE,"SUM 05"}</definedName>
    <definedName function="false" hidden="true" name="fasdffsd" vbProcedure="false">{#N/A,#N/A,FALSE,"Bestfoods";#N/A,#N/A,FALSE,"Campbell";#N/A,#N/A,FALSE,"ConAgra";#N/A,#N/A,FALSE,"Healthy Choice";#N/A,#N/A,FALSE,"Int'l Home Foods";#N/A,#N/A,FALSE,"General Mills";#N/A,#N/A,FALSE,"Heinz";#N/A,#N/A,FALSE,"Kellogg";#N/A,#N/A,FALSE,"Kraft";#N/A,#N/A,FALSE,"Nabisco";#N/A,#N/A,FALSE,"Quaker Oats";#N/A,#N/A,FALSE,"Sara Lee";#N/A,#N/A,FALSE,"print summary"}</definedName>
    <definedName function="false" hidden="true" name="fasdfsd" vbProcedure="false">39166.5621180556</definedName>
    <definedName function="false" hidden="true" name="fasdfwegr" vbProcedure="false">{#N/A,#N/A,TRUE,"Historicals";#N/A,#N/A,TRUE,"Charts";#N/A,#N/A,TRUE,"Forecasts"}</definedName>
    <definedName function="false" hidden="true" name="fast" vbProcedure="false">{"FY97Q1",#N/A,FALSE,"FY97 - Q1";"FY97Q2",#N/A,FALSE,"FY97 - Q2";"FY97Q3",#N/A,FALSE,"FY97 - Q3";"FY97Q4",#N/A,FALSE,"FY97 - Q4"}</definedName>
    <definedName function="false" hidden="true" name="fbnhsfbgh" vbProcedure="false">{#VALUE!,#N/A,FALSE,0;#N/A,#N/A,FALSE,0;#N/A,#N/A,FALSE,0;#N/A,#N/A,FALSE,0;#N/A,#N/A,FALSE,0;#N/A,#N/A,FALSE,0;#N/A,#N/A,FALSE,0;#N/A,#N/A,FALSE,0;#N/A,#N/A,FALSE,0}</definedName>
    <definedName function="false" hidden="true" name="FC1_Motorplan" vbProcedure="false">{"Recon",#N/A,FALSE,"GL Recons";"Recon Detail",#N/A,FALSE,"GL Recons"}</definedName>
    <definedName function="false" hidden="true" name="fcb" vbProcedure="false">{"FCB_ALL",#N/A,FALSE,"FCB"}</definedName>
    <definedName function="false" hidden="true" name="fcd"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name="FCode" vbProcedure="false">#REF!</definedName>
    <definedName function="false" hidden="true" name="fcuk" vbProcedure="false">{"by departments",#N/A,TRUE,"FORECAST";"cap_headcount",#N/A,TRUE,"FORECAST";"summary",#N/A,TRUE,"FORECAST"}</definedName>
    <definedName function="false" hidden="true" name="fd" vbProcedure="false">"3O3X63G5BUK9F0LUEJV5CTJXV"</definedName>
    <definedName function="false" hidden="true" name="fdaf" vbProcedure="false">{#N/A,#N/A,TRUE,"Historicals";#N/A,#N/A,TRUE,"Charts";#N/A,#N/A,TRUE,"Forecasts"}</definedName>
    <definedName function="false" hidden="true" name="fdafdsafdsa" vbProcedure="false">{#N/A,#N/A,TRUE,"Historicals";#N/A,#N/A,TRUE,"Charts";#N/A,#N/A,TRUE,"Forecasts"}</definedName>
    <definedName function="false" hidden="true" name="fdare" vbProcedure="false">{#N/A,#N/A,TRUE,"Historicals";#N/A,#N/A,TRUE,"Charts";#N/A,#N/A,TRUE,"Forecasts"}</definedName>
    <definedName function="false" hidden="true" name="fdas" vbProcedure="false">{"IS",#N/A,FALSE,"IS";"RPTIS",#N/A,FALSE,"RPTIS";"STATS",#N/A,FALSE,"STATS";"CELL",#N/A,FALSE,"CELL";"BS",#N/A,FALSE,"BS"}</definedName>
    <definedName function="false" hidden="true" name="fdasa" vbProcedure="false">{#N/A,#N/A,TRUE,"Historicals";#N/A,#N/A,TRUE,"Charts";#N/A,#N/A,TRUE,"Forecasts"}</definedName>
    <definedName function="false" hidden="true" name="fdasggfdg" vbProcedure="false">{"résultats_édition client",#N/A,FALSE,"Résultats"}</definedName>
    <definedName function="false" hidden="true" name="FDC_0_0" vbProcedure="false">"#"</definedName>
    <definedName function="false" hidden="true" name="FDC_10_0" vbProcedure="false">"#"</definedName>
    <definedName function="false" hidden="true" name="FDC_10_1" vbProcedure="false">"#"</definedName>
    <definedName function="false" hidden="true" name="FDC_10_2" vbProcedure="false">"#"</definedName>
    <definedName function="false" hidden="true" name="FDC_10_3" vbProcedure="false">"#"</definedName>
    <definedName function="false" hidden="true" name="FDC_11_0" vbProcedure="false">"#"</definedName>
    <definedName function="false" hidden="true" name="FDC_11_1" vbProcedure="false">"#"</definedName>
    <definedName function="false" hidden="true" name="FDC_11_2" vbProcedure="false">"#"</definedName>
    <definedName function="false" hidden="true" name="FDC_11_3" vbProcedure="false">"#"</definedName>
    <definedName function="false" hidden="true" name="FDC_12_0" vbProcedure="false">"#"</definedName>
    <definedName function="false" hidden="true" name="FDC_12_1" vbProcedure="false">"#"</definedName>
    <definedName function="false" hidden="true" name="FDC_12_2" vbProcedure="false">"#"</definedName>
    <definedName function="false" hidden="true" name="FDC_12_3" vbProcedure="false">"#"</definedName>
    <definedName function="false" hidden="true" name="FDC_13_0" vbProcedure="false">"#"</definedName>
    <definedName function="false" hidden="true" name="FDC_13_1" vbProcedure="false">"#"</definedName>
    <definedName function="false" hidden="true" name="FDC_13_2" vbProcedure="false">"#"</definedName>
    <definedName function="false" hidden="true" name="FDC_13_3" vbProcedure="false">"#"</definedName>
    <definedName function="false" hidden="true" name="FDC_14_0" vbProcedure="false">"#"</definedName>
    <definedName function="false" hidden="true" name="FDC_14_1" vbProcedure="false">"#"</definedName>
    <definedName function="false" hidden="true" name="FDC_14_2" vbProcedure="false">"#"</definedName>
    <definedName function="false" hidden="true" name="FDC_14_3" vbProcedure="false">"#"</definedName>
    <definedName function="false" hidden="true" name="FDC_15_0" vbProcedure="false">"#"</definedName>
    <definedName function="false" hidden="true" name="FDC_16_0" vbProcedure="false">"#"</definedName>
    <definedName function="false" hidden="true" name="FDC_17_0" vbProcedure="false">"#"</definedName>
    <definedName function="false" hidden="true" name="FDC_18_0" vbProcedure="false">"#"</definedName>
    <definedName function="false" hidden="true" name="FDC_19_0" vbProcedure="false">"#"</definedName>
    <definedName function="false" hidden="true" name="FDC_19_1" vbProcedure="false">"#"</definedName>
    <definedName function="false" hidden="true" name="FDC_19_2" vbProcedure="false">"#"</definedName>
    <definedName function="false" hidden="true" name="FDC_19_3" vbProcedure="false">"#"</definedName>
    <definedName function="false" hidden="true" name="FDC_1_0" vbProcedure="false">"#"</definedName>
    <definedName function="false" hidden="true" name="FDC_20_0" vbProcedure="false">"#"</definedName>
    <definedName function="false" hidden="true" name="FDC_21_0" vbProcedure="false">"#"</definedName>
    <definedName function="false" hidden="true" name="FDC_21_1" vbProcedure="false">"#"</definedName>
    <definedName function="false" hidden="true" name="FDC_21_2" vbProcedure="false">"#"</definedName>
    <definedName function="false" hidden="true" name="FDC_21_3" vbProcedure="false">"#"</definedName>
    <definedName function="false" hidden="true" name="FDC_22_0" vbProcedure="false">"#"</definedName>
    <definedName function="false" hidden="true" name="FDC_23_0" vbProcedure="false">"#"</definedName>
    <definedName function="false" hidden="true" name="FDC_24_0" vbProcedure="false">"#"</definedName>
    <definedName function="false" hidden="true" name="FDC_25_0" vbProcedure="false">"#"</definedName>
    <definedName function="false" hidden="true" name="FDC_25_1" vbProcedure="false">"#"</definedName>
    <definedName function="false" hidden="true" name="FDC_25_2" vbProcedure="false">"#"</definedName>
    <definedName function="false" hidden="true" name="FDC_25_3" vbProcedure="false">"#"</definedName>
    <definedName function="false" hidden="true" name="FDC_26_0" vbProcedure="false">"#"</definedName>
    <definedName function="false" hidden="true" name="FDC_26_1" vbProcedure="false">"#"</definedName>
    <definedName function="false" hidden="true" name="FDC_26_2" vbProcedure="false">"#"</definedName>
    <definedName function="false" hidden="true" name="FDC_26_3" vbProcedure="false">"#"</definedName>
    <definedName function="false" hidden="true" name="FDC_27_0" vbProcedure="false">"#"</definedName>
    <definedName function="false" hidden="true" name="FDC_28_0" vbProcedure="false">"#"</definedName>
    <definedName function="false" hidden="true" name="FDC_28_1" vbProcedure="false">"#"</definedName>
    <definedName function="false" hidden="true" name="FDC_28_2" vbProcedure="false">"#"</definedName>
    <definedName function="false" hidden="true" name="FDC_28_3" vbProcedure="false">"#"</definedName>
    <definedName function="false" hidden="true" name="FDC_29_0" vbProcedure="false">"#"</definedName>
    <definedName function="false" hidden="true" name="FDC_29_1" vbProcedure="false">"#"</definedName>
    <definedName function="false" hidden="true" name="FDC_29_2" vbProcedure="false">"#"</definedName>
    <definedName function="false" hidden="true" name="FDC_29_3" vbProcedure="false">"#"</definedName>
    <definedName function="false" hidden="true" name="FDC_2_0" vbProcedure="false">"#"</definedName>
    <definedName function="false" hidden="true" name="FDC_30_0" vbProcedure="false">"#"</definedName>
    <definedName function="false" hidden="true" name="FDC_31_0" vbProcedure="false">"#"</definedName>
    <definedName function="false" hidden="true" name="FDC_32_0" vbProcedure="false">"#"</definedName>
    <definedName function="false" hidden="true" name="FDC_33_0" vbProcedure="false">"#"</definedName>
    <definedName function="false" hidden="true" name="FDC_34_0" vbProcedure="false">"#"</definedName>
    <definedName function="false" hidden="true" name="FDC_35_0" vbProcedure="false">"#"</definedName>
    <definedName function="false" hidden="true" name="FDC_36_0" vbProcedure="false">"#"</definedName>
    <definedName function="false" hidden="true" name="FDC_37_0" vbProcedure="false">"#"</definedName>
    <definedName function="false" hidden="true" name="FDC_38_0" vbProcedure="false">"#"</definedName>
    <definedName function="false" hidden="true" name="FDC_39_0" vbProcedure="false">"#"</definedName>
    <definedName function="false" hidden="true" name="FDC_3_0" vbProcedure="false">"#"</definedName>
    <definedName function="false" hidden="true" name="FDC_40_0" vbProcedure="false">"#"</definedName>
    <definedName function="false" hidden="true" name="FDC_41_0" vbProcedure="false">"#"</definedName>
    <definedName function="false" hidden="true" name="FDC_41_1" vbProcedure="false">"#"</definedName>
    <definedName function="false" hidden="true" name="FDC_41_2" vbProcedure="false">"#"</definedName>
    <definedName function="false" hidden="true" name="FDC_41_3" vbProcedure="false">"#"</definedName>
    <definedName function="false" hidden="true" name="FDC_42_0" vbProcedure="false">"#"</definedName>
    <definedName function="false" hidden="true" name="FDC_42_1" vbProcedure="false">"#"</definedName>
    <definedName function="false" hidden="true" name="FDC_42_2" vbProcedure="false">"#"</definedName>
    <definedName function="false" hidden="true" name="FDC_42_3" vbProcedure="false">"#"</definedName>
    <definedName function="false" hidden="true" name="FDC_43_0" vbProcedure="false">"#"</definedName>
    <definedName function="false" hidden="true" name="FDC_43_1" vbProcedure="false">"#"</definedName>
    <definedName function="false" hidden="true" name="FDC_43_2" vbProcedure="false">"#"</definedName>
    <definedName function="false" hidden="true" name="FDC_43_3" vbProcedure="false">"#"</definedName>
    <definedName function="false" hidden="true" name="FDC_44_0" vbProcedure="false">"#"</definedName>
    <definedName function="false" hidden="true" name="FDC_45_0" vbProcedure="false">"#"</definedName>
    <definedName function="false" hidden="true" name="FDC_45_1" vbProcedure="false">"#"</definedName>
    <definedName function="false" hidden="true" name="FDC_45_2" vbProcedure="false">"#"</definedName>
    <definedName function="false" hidden="true" name="FDC_45_3" vbProcedure="false">"#"</definedName>
    <definedName function="false" hidden="true" name="FDC_46_0" vbProcedure="false">"#"</definedName>
    <definedName function="false" hidden="true" name="FDC_46_1" vbProcedure="false">"#"</definedName>
    <definedName function="false" hidden="true" name="FDC_46_2" vbProcedure="false">"#"</definedName>
    <definedName function="false" hidden="true" name="FDC_46_3" vbProcedure="false">"#"</definedName>
    <definedName function="false" hidden="true" name="FDC_47_0" vbProcedure="false">"#"</definedName>
    <definedName function="false" hidden="true" name="FDC_47_1" vbProcedure="false">"#"</definedName>
    <definedName function="false" hidden="true" name="FDC_47_2" vbProcedure="false">"#"</definedName>
    <definedName function="false" hidden="true" name="FDC_47_3" vbProcedure="false">"#"</definedName>
    <definedName function="false" hidden="true" name="FDC_48_0" vbProcedure="false">"#"</definedName>
    <definedName function="false" hidden="true" name="FDC_48_1" vbProcedure="false">"#"</definedName>
    <definedName function="false" hidden="true" name="FDC_48_2" vbProcedure="false">"#"</definedName>
    <definedName function="false" hidden="true" name="FDC_48_3" vbProcedure="false">"#"</definedName>
    <definedName function="false" hidden="true" name="FDC_49_0" vbProcedure="false">"#"</definedName>
    <definedName function="false" hidden="true" name="FDC_49_1" vbProcedure="false">"#"</definedName>
    <definedName function="false" hidden="true" name="FDC_49_2" vbProcedure="false">"#"</definedName>
    <definedName function="false" hidden="true" name="FDC_49_3" vbProcedure="false">"#"</definedName>
    <definedName function="false" hidden="true" name="FDC_4_0" vbProcedure="false">"#"</definedName>
    <definedName function="false" hidden="true" name="FDC_50_0" vbProcedure="false">"#"</definedName>
    <definedName function="false" hidden="true" name="FDC_50_1" vbProcedure="false">"#"</definedName>
    <definedName function="false" hidden="true" name="FDC_50_2" vbProcedure="false">"#"</definedName>
    <definedName function="false" hidden="true" name="FDC_50_3" vbProcedure="false">"#"</definedName>
    <definedName function="false" hidden="true" name="FDC_51_0" vbProcedure="false">"#"</definedName>
    <definedName function="false" hidden="true" name="FDC_51_1" vbProcedure="false">"#"</definedName>
    <definedName function="false" hidden="true" name="FDC_51_2" vbProcedure="false">"#"</definedName>
    <definedName function="false" hidden="true" name="FDC_51_3" vbProcedure="false">"#"</definedName>
    <definedName function="false" hidden="true" name="FDC_52_0" vbProcedure="false">"#"</definedName>
    <definedName function="false" hidden="true" name="FDC_52_1" vbProcedure="false">"#"</definedName>
    <definedName function="false" hidden="true" name="FDC_52_2" vbProcedure="false">"#"</definedName>
    <definedName function="false" hidden="true" name="FDC_52_3" vbProcedure="false">"#"</definedName>
    <definedName function="false" hidden="true" name="FDC_53_0" vbProcedure="false">"#"</definedName>
    <definedName function="false" hidden="true" name="FDC_53_1" vbProcedure="false">"#"</definedName>
    <definedName function="false" hidden="true" name="FDC_53_2" vbProcedure="false">"#"</definedName>
    <definedName function="false" hidden="true" name="FDC_53_3" vbProcedure="false">"#"</definedName>
    <definedName function="false" hidden="true" name="FDC_54_0" vbProcedure="false">"#"</definedName>
    <definedName function="false" hidden="true" name="FDC_54_1" vbProcedure="false">"#"</definedName>
    <definedName function="false" hidden="true" name="FDC_54_2" vbProcedure="false">"#"</definedName>
    <definedName function="false" hidden="true" name="FDC_54_3" vbProcedure="false">"#"</definedName>
    <definedName function="false" hidden="true" name="FDC_55_0" vbProcedure="false">"#"</definedName>
    <definedName function="false" hidden="true" name="FDC_55_1" vbProcedure="false">"#"</definedName>
    <definedName function="false" hidden="true" name="FDC_55_2" vbProcedure="false">"#"</definedName>
    <definedName function="false" hidden="true" name="FDC_55_3" vbProcedure="false">"#"</definedName>
    <definedName function="false" hidden="true" name="FDC_56_0" vbProcedure="false">"#"</definedName>
    <definedName function="false" hidden="true" name="FDC_57_0" vbProcedure="false">"#"</definedName>
    <definedName function="false" hidden="true" name="FDC_58_0" vbProcedure="false">"#"</definedName>
    <definedName function="false" hidden="true" name="FDC_58_1" vbProcedure="false">"#"</definedName>
    <definedName function="false" hidden="true" name="FDC_58_10" vbProcedure="false">"#"</definedName>
    <definedName function="false" hidden="true" name="FDC_58_100" vbProcedure="false">"#"</definedName>
    <definedName function="false" hidden="true" name="FDC_58_101" vbProcedure="false">"#"</definedName>
    <definedName function="false" hidden="true" name="FDC_58_102" vbProcedure="false">"#"</definedName>
    <definedName function="false" hidden="true" name="FDC_58_103" vbProcedure="false">"#"</definedName>
    <definedName function="false" hidden="true" name="FDC_58_104" vbProcedure="false">"#"</definedName>
    <definedName function="false" hidden="true" name="FDC_58_105" vbProcedure="false">"#"</definedName>
    <definedName function="false" hidden="true" name="FDC_58_106" vbProcedure="false">"#"</definedName>
    <definedName function="false" hidden="true" name="FDC_58_107" vbProcedure="false">"#"</definedName>
    <definedName function="false" hidden="true" name="FDC_58_108" vbProcedure="false">"#"</definedName>
    <definedName function="false" hidden="true" name="FDC_58_109" vbProcedure="false">"#"</definedName>
    <definedName function="false" hidden="true" name="FDC_58_11" vbProcedure="false">"#"</definedName>
    <definedName function="false" hidden="true" name="FDC_58_110" vbProcedure="false">"#"</definedName>
    <definedName function="false" hidden="true" name="FDC_58_111" vbProcedure="false">"#"</definedName>
    <definedName function="false" hidden="true" name="FDC_58_112" vbProcedure="false">"#"</definedName>
    <definedName function="false" hidden="true" name="FDC_58_113" vbProcedure="false">"#"</definedName>
    <definedName function="false" hidden="true" name="FDC_58_114" vbProcedure="false">"#"</definedName>
    <definedName function="false" hidden="true" name="FDC_58_115" vbProcedure="false">"#"</definedName>
    <definedName function="false" hidden="true" name="FDC_58_116" vbProcedure="false">"#"</definedName>
    <definedName function="false" hidden="true" name="FDC_58_117" vbProcedure="false">"#"</definedName>
    <definedName function="false" hidden="true" name="FDC_58_118" vbProcedure="false">"#"</definedName>
    <definedName function="false" hidden="true" name="FDC_58_119" vbProcedure="false">"#"</definedName>
    <definedName function="false" hidden="true" name="FDC_58_12" vbProcedure="false">"#"</definedName>
    <definedName function="false" hidden="true" name="FDC_58_120" vbProcedure="false">"#"</definedName>
    <definedName function="false" hidden="true" name="FDC_58_121" vbProcedure="false">"#"</definedName>
    <definedName function="false" hidden="true" name="FDC_58_122" vbProcedure="false">"#"</definedName>
    <definedName function="false" hidden="true" name="FDC_58_123" vbProcedure="false">"#"</definedName>
    <definedName function="false" hidden="true" name="FDC_58_124" vbProcedure="false">"#"</definedName>
    <definedName function="false" hidden="true" name="FDC_58_125" vbProcedure="false">"#"</definedName>
    <definedName function="false" hidden="true" name="FDC_58_126" vbProcedure="false">"#"</definedName>
    <definedName function="false" hidden="true" name="FDC_58_127" vbProcedure="false">"#"</definedName>
    <definedName function="false" hidden="true" name="FDC_58_128" vbProcedure="false">"#"</definedName>
    <definedName function="false" hidden="true" name="FDC_58_129" vbProcedure="false">"#"</definedName>
    <definedName function="false" hidden="true" name="FDC_58_13" vbProcedure="false">"#"</definedName>
    <definedName function="false" hidden="true" name="FDC_58_130" vbProcedure="false">"#"</definedName>
    <definedName function="false" hidden="true" name="FDC_58_131" vbProcedure="false">"#"</definedName>
    <definedName function="false" hidden="true" name="FDC_58_132" vbProcedure="false">"#"</definedName>
    <definedName function="false" hidden="true" name="FDC_58_133" vbProcedure="false">"#"</definedName>
    <definedName function="false" hidden="true" name="FDC_58_134" vbProcedure="false">"#"</definedName>
    <definedName function="false" hidden="true" name="FDC_58_135" vbProcedure="false">"#"</definedName>
    <definedName function="false" hidden="true" name="FDC_58_136" vbProcedure="false">"#"</definedName>
    <definedName function="false" hidden="true" name="FDC_58_137" vbProcedure="false">"#"</definedName>
    <definedName function="false" hidden="true" name="FDC_58_138" vbProcedure="false">"#"</definedName>
    <definedName function="false" hidden="true" name="FDC_58_139" vbProcedure="false">"#"</definedName>
    <definedName function="false" hidden="true" name="FDC_58_14" vbProcedure="false">"#"</definedName>
    <definedName function="false" hidden="true" name="FDC_58_140" vbProcedure="false">"#"</definedName>
    <definedName function="false" hidden="true" name="FDC_58_141" vbProcedure="false">"#"</definedName>
    <definedName function="false" hidden="true" name="FDC_58_142" vbProcedure="false">"#"</definedName>
    <definedName function="false" hidden="true" name="FDC_58_143" vbProcedure="false">"#"</definedName>
    <definedName function="false" hidden="true" name="FDC_58_144" vbProcedure="false">"#"</definedName>
    <definedName function="false" hidden="true" name="FDC_58_145" vbProcedure="false">"#"</definedName>
    <definedName function="false" hidden="true" name="FDC_58_146" vbProcedure="false">"#"</definedName>
    <definedName function="false" hidden="true" name="FDC_58_147" vbProcedure="false">"#"</definedName>
    <definedName function="false" hidden="true" name="FDC_58_148" vbProcedure="false">"#"</definedName>
    <definedName function="false" hidden="true" name="FDC_58_149" vbProcedure="false">"#"</definedName>
    <definedName function="false" hidden="true" name="FDC_58_15" vbProcedure="false">"#"</definedName>
    <definedName function="false" hidden="true" name="FDC_58_150" vbProcedure="false">"#"</definedName>
    <definedName function="false" hidden="true" name="FDC_58_151" vbProcedure="false">"#"</definedName>
    <definedName function="false" hidden="true" name="FDC_58_152" vbProcedure="false">"#"</definedName>
    <definedName function="false" hidden="true" name="FDC_58_153" vbProcedure="false">"#"</definedName>
    <definedName function="false" hidden="true" name="FDC_58_154" vbProcedure="false">"#"</definedName>
    <definedName function="false" hidden="true" name="FDC_58_155" vbProcedure="false">"#"</definedName>
    <definedName function="false" hidden="true" name="FDC_58_156" vbProcedure="false">"#"</definedName>
    <definedName function="false" hidden="true" name="FDC_58_157" vbProcedure="false">"#"</definedName>
    <definedName function="false" hidden="true" name="FDC_58_158" vbProcedure="false">"#"</definedName>
    <definedName function="false" hidden="true" name="FDC_58_159" vbProcedure="false">"#"</definedName>
    <definedName function="false" hidden="true" name="FDC_58_16" vbProcedure="false">"#"</definedName>
    <definedName function="false" hidden="true" name="FDC_58_160" vbProcedure="false">"#"</definedName>
    <definedName function="false" hidden="true" name="FDC_58_161" vbProcedure="false">"#"</definedName>
    <definedName function="false" hidden="true" name="FDC_58_162" vbProcedure="false">"#"</definedName>
    <definedName function="false" hidden="true" name="FDC_58_163" vbProcedure="false">"#"</definedName>
    <definedName function="false" hidden="true" name="FDC_58_164" vbProcedure="false">"#"</definedName>
    <definedName function="false" hidden="true" name="FDC_58_165" vbProcedure="false">"#"</definedName>
    <definedName function="false" hidden="true" name="FDC_58_166" vbProcedure="false">"#"</definedName>
    <definedName function="false" hidden="true" name="FDC_58_167" vbProcedure="false">"#"</definedName>
    <definedName function="false" hidden="true" name="FDC_58_168" vbProcedure="false">"#"</definedName>
    <definedName function="false" hidden="true" name="FDC_58_169" vbProcedure="false">"#"</definedName>
    <definedName function="false" hidden="true" name="FDC_58_17" vbProcedure="false">"#"</definedName>
    <definedName function="false" hidden="true" name="FDC_58_170" vbProcedure="false">"#"</definedName>
    <definedName function="false" hidden="true" name="FDC_58_171" vbProcedure="false">"#"</definedName>
    <definedName function="false" hidden="true" name="FDC_58_172" vbProcedure="false">"#"</definedName>
    <definedName function="false" hidden="true" name="FDC_58_173" vbProcedure="false">"#"</definedName>
    <definedName function="false" hidden="true" name="FDC_58_174" vbProcedure="false">"#"</definedName>
    <definedName function="false" hidden="true" name="FDC_58_175" vbProcedure="false">"#"</definedName>
    <definedName function="false" hidden="true" name="FDC_58_176" vbProcedure="false">"#"</definedName>
    <definedName function="false" hidden="true" name="FDC_58_177" vbProcedure="false">"#"</definedName>
    <definedName function="false" hidden="true" name="FDC_58_178" vbProcedure="false">"#"</definedName>
    <definedName function="false" hidden="true" name="FDC_58_179" vbProcedure="false">"#"</definedName>
    <definedName function="false" hidden="true" name="FDC_58_18" vbProcedure="false">"#"</definedName>
    <definedName function="false" hidden="true" name="FDC_58_180" vbProcedure="false">"#"</definedName>
    <definedName function="false" hidden="true" name="FDC_58_181" vbProcedure="false">"#"</definedName>
    <definedName function="false" hidden="true" name="FDC_58_182" vbProcedure="false">"#"</definedName>
    <definedName function="false" hidden="true" name="FDC_58_183" vbProcedure="false">"#"</definedName>
    <definedName function="false" hidden="true" name="FDC_58_184" vbProcedure="false">"#"</definedName>
    <definedName function="false" hidden="true" name="FDC_58_185" vbProcedure="false">"#"</definedName>
    <definedName function="false" hidden="true" name="FDC_58_186" vbProcedure="false">"#"</definedName>
    <definedName function="false" hidden="true" name="FDC_58_187" vbProcedure="false">"#"</definedName>
    <definedName function="false" hidden="true" name="FDC_58_188" vbProcedure="false">"#"</definedName>
    <definedName function="false" hidden="true" name="FDC_58_189" vbProcedure="false">"#"</definedName>
    <definedName function="false" hidden="true" name="FDC_58_19" vbProcedure="false">"#"</definedName>
    <definedName function="false" hidden="true" name="FDC_58_190" vbProcedure="false">"#"</definedName>
    <definedName function="false" hidden="true" name="FDC_58_191" vbProcedure="false">"#"</definedName>
    <definedName function="false" hidden="true" name="FDC_58_192" vbProcedure="false">"#"</definedName>
    <definedName function="false" hidden="true" name="FDC_58_193" vbProcedure="false">"#"</definedName>
    <definedName function="false" hidden="true" name="FDC_58_194" vbProcedure="false">"#"</definedName>
    <definedName function="false" hidden="true" name="FDC_58_195" vbProcedure="false">"#"</definedName>
    <definedName function="false" hidden="true" name="FDC_58_196" vbProcedure="false">"#"</definedName>
    <definedName function="false" hidden="true" name="FDC_58_197" vbProcedure="false">"#"</definedName>
    <definedName function="false" hidden="true" name="FDC_58_198" vbProcedure="false">"#"</definedName>
    <definedName function="false" hidden="true" name="FDC_58_199" vbProcedure="false">"#"</definedName>
    <definedName function="false" hidden="true" name="FDC_58_2" vbProcedure="false">"#"</definedName>
    <definedName function="false" hidden="true" name="FDC_58_20" vbProcedure="false">"#"</definedName>
    <definedName function="false" hidden="true" name="FDC_58_200" vbProcedure="false">"#"</definedName>
    <definedName function="false" hidden="true" name="FDC_58_201" vbProcedure="false">"#"</definedName>
    <definedName function="false" hidden="true" name="FDC_58_202" vbProcedure="false">"#"</definedName>
    <definedName function="false" hidden="true" name="FDC_58_203" vbProcedure="false">"#"</definedName>
    <definedName function="false" hidden="true" name="FDC_58_204" vbProcedure="false">"#"</definedName>
    <definedName function="false" hidden="true" name="FDC_58_205" vbProcedure="false">"#"</definedName>
    <definedName function="false" hidden="true" name="FDC_58_206" vbProcedure="false">"#"</definedName>
    <definedName function="false" hidden="true" name="FDC_58_207" vbProcedure="false">"#"</definedName>
    <definedName function="false" hidden="true" name="FDC_58_208" vbProcedure="false">"#"</definedName>
    <definedName function="false" hidden="true" name="FDC_58_209" vbProcedure="false">"#"</definedName>
    <definedName function="false" hidden="true" name="FDC_58_21" vbProcedure="false">"#"</definedName>
    <definedName function="false" hidden="true" name="FDC_58_210" vbProcedure="false">"#"</definedName>
    <definedName function="false" hidden="true" name="FDC_58_211" vbProcedure="false">"#"</definedName>
    <definedName function="false" hidden="true" name="FDC_58_212" vbProcedure="false">"#"</definedName>
    <definedName function="false" hidden="true" name="FDC_58_213" vbProcedure="false">"#"</definedName>
    <definedName function="false" hidden="true" name="FDC_58_214" vbProcedure="false">"#"</definedName>
    <definedName function="false" hidden="true" name="FDC_58_215" vbProcedure="false">"#"</definedName>
    <definedName function="false" hidden="true" name="FDC_58_216" vbProcedure="false">"#"</definedName>
    <definedName function="false" hidden="true" name="FDC_58_217" vbProcedure="false">"#"</definedName>
    <definedName function="false" hidden="true" name="FDC_58_218" vbProcedure="false">"#"</definedName>
    <definedName function="false" hidden="true" name="FDC_58_219" vbProcedure="false">"#"</definedName>
    <definedName function="false" hidden="true" name="FDC_58_22" vbProcedure="false">"#"</definedName>
    <definedName function="false" hidden="true" name="FDC_58_220" vbProcedure="false">"#"</definedName>
    <definedName function="false" hidden="true" name="FDC_58_221" vbProcedure="false">"#"</definedName>
    <definedName function="false" hidden="true" name="FDC_58_222" vbProcedure="false">"#"</definedName>
    <definedName function="false" hidden="true" name="FDC_58_223" vbProcedure="false">"#"</definedName>
    <definedName function="false" hidden="true" name="FDC_58_224" vbProcedure="false">"#"</definedName>
    <definedName function="false" hidden="true" name="FDC_58_225" vbProcedure="false">"#"</definedName>
    <definedName function="false" hidden="true" name="FDC_58_226" vbProcedure="false">"#"</definedName>
    <definedName function="false" hidden="true" name="FDC_58_227" vbProcedure="false">"#"</definedName>
    <definedName function="false" hidden="true" name="FDC_58_228" vbProcedure="false">"#"</definedName>
    <definedName function="false" hidden="true" name="FDC_58_229" vbProcedure="false">"#"</definedName>
    <definedName function="false" hidden="true" name="FDC_58_23" vbProcedure="false">"#"</definedName>
    <definedName function="false" hidden="true" name="FDC_58_230" vbProcedure="false">"#"</definedName>
    <definedName function="false" hidden="true" name="FDC_58_231" vbProcedure="false">"#"</definedName>
    <definedName function="false" hidden="true" name="FDC_58_232" vbProcedure="false">"#"</definedName>
    <definedName function="false" hidden="true" name="FDC_58_233" vbProcedure="false">"#"</definedName>
    <definedName function="false" hidden="true" name="FDC_58_234" vbProcedure="false">"#"</definedName>
    <definedName function="false" hidden="true" name="FDC_58_235" vbProcedure="false">"#"</definedName>
    <definedName function="false" hidden="true" name="FDC_58_236" vbProcedure="false">"#"</definedName>
    <definedName function="false" hidden="true" name="FDC_58_237" vbProcedure="false">"#"</definedName>
    <definedName function="false" hidden="true" name="FDC_58_238" vbProcedure="false">"#"</definedName>
    <definedName function="false" hidden="true" name="FDC_58_239" vbProcedure="false">"#"</definedName>
    <definedName function="false" hidden="true" name="FDC_58_24" vbProcedure="false">"#"</definedName>
    <definedName function="false" hidden="true" name="FDC_58_240" vbProcedure="false">"#"</definedName>
    <definedName function="false" hidden="true" name="FDC_58_241" vbProcedure="false">"#"</definedName>
    <definedName function="false" hidden="true" name="FDC_58_242" vbProcedure="false">"#"</definedName>
    <definedName function="false" hidden="true" name="FDC_58_243" vbProcedure="false">"#"</definedName>
    <definedName function="false" hidden="true" name="FDC_58_244" vbProcedure="false">"#"</definedName>
    <definedName function="false" hidden="true" name="FDC_58_245" vbProcedure="false">"#"</definedName>
    <definedName function="false" hidden="true" name="FDC_58_246" vbProcedure="false">"#"</definedName>
    <definedName function="false" hidden="true" name="FDC_58_247" vbProcedure="false">"#"</definedName>
    <definedName function="false" hidden="true" name="FDC_58_248" vbProcedure="false">"#"</definedName>
    <definedName function="false" hidden="true" name="FDC_58_249" vbProcedure="false">"#"</definedName>
    <definedName function="false" hidden="true" name="FDC_58_25" vbProcedure="false">"#"</definedName>
    <definedName function="false" hidden="true" name="FDC_58_250" vbProcedure="false">"#"</definedName>
    <definedName function="false" hidden="true" name="FDC_58_251" vbProcedure="false">"#"</definedName>
    <definedName function="false" hidden="true" name="FDC_58_252" vbProcedure="false">"#"</definedName>
    <definedName function="false" hidden="true" name="FDC_58_253" vbProcedure="false">"#"</definedName>
    <definedName function="false" hidden="true" name="FDC_58_254" vbProcedure="false">"#"</definedName>
    <definedName function="false" hidden="true" name="FDC_58_255" vbProcedure="false">"#"</definedName>
    <definedName function="false" hidden="true" name="FDC_58_256" vbProcedure="false">"#"</definedName>
    <definedName function="false" hidden="true" name="FDC_58_257" vbProcedure="false">"#"</definedName>
    <definedName function="false" hidden="true" name="FDC_58_258" vbProcedure="false">"#"</definedName>
    <definedName function="false" hidden="true" name="FDC_58_259" vbProcedure="false">"#"</definedName>
    <definedName function="false" hidden="true" name="FDC_58_26" vbProcedure="false">"#"</definedName>
    <definedName function="false" hidden="true" name="FDC_58_260" vbProcedure="false">"#"</definedName>
    <definedName function="false" hidden="true" name="FDC_58_261" vbProcedure="false">"#"</definedName>
    <definedName function="false" hidden="true" name="FDC_58_27" vbProcedure="false">"#"</definedName>
    <definedName function="false" hidden="true" name="FDC_58_28" vbProcedure="false">"#"</definedName>
    <definedName function="false" hidden="true" name="FDC_58_29" vbProcedure="false">"#"</definedName>
    <definedName function="false" hidden="true" name="FDC_58_3" vbProcedure="false">"#"</definedName>
    <definedName function="false" hidden="true" name="FDC_58_30" vbProcedure="false">"#"</definedName>
    <definedName function="false" hidden="true" name="FDC_58_31" vbProcedure="false">"#"</definedName>
    <definedName function="false" hidden="true" name="FDC_58_32" vbProcedure="false">"#"</definedName>
    <definedName function="false" hidden="true" name="FDC_58_33" vbProcedure="false">"#"</definedName>
    <definedName function="false" hidden="true" name="FDC_58_34" vbProcedure="false">"#"</definedName>
    <definedName function="false" hidden="true" name="FDC_58_35" vbProcedure="false">"#"</definedName>
    <definedName function="false" hidden="true" name="FDC_58_36" vbProcedure="false">"#"</definedName>
    <definedName function="false" hidden="true" name="FDC_58_37" vbProcedure="false">"#"</definedName>
    <definedName function="false" hidden="true" name="FDC_58_38" vbProcedure="false">"#"</definedName>
    <definedName function="false" hidden="true" name="FDC_58_39" vbProcedure="false">"#"</definedName>
    <definedName function="false" hidden="true" name="FDC_58_4" vbProcedure="false">"#"</definedName>
    <definedName function="false" hidden="true" name="FDC_58_40" vbProcedure="false">"#"</definedName>
    <definedName function="false" hidden="true" name="FDC_58_41" vbProcedure="false">"#"</definedName>
    <definedName function="false" hidden="true" name="FDC_58_42" vbProcedure="false">"#"</definedName>
    <definedName function="false" hidden="true" name="FDC_58_43" vbProcedure="false">"#"</definedName>
    <definedName function="false" hidden="true" name="FDC_58_44" vbProcedure="false">"#"</definedName>
    <definedName function="false" hidden="true" name="FDC_58_45" vbProcedure="false">"#"</definedName>
    <definedName function="false" hidden="true" name="FDC_58_46" vbProcedure="false">"#"</definedName>
    <definedName function="false" hidden="true" name="FDC_58_47" vbProcedure="false">"#"</definedName>
    <definedName function="false" hidden="true" name="FDC_58_48" vbProcedure="false">"#"</definedName>
    <definedName function="false" hidden="true" name="FDC_58_49" vbProcedure="false">"#"</definedName>
    <definedName function="false" hidden="true" name="FDC_58_5" vbProcedure="false">"#"</definedName>
    <definedName function="false" hidden="true" name="FDC_58_50" vbProcedure="false">"#"</definedName>
    <definedName function="false" hidden="true" name="FDC_58_51" vbProcedure="false">"#"</definedName>
    <definedName function="false" hidden="true" name="FDC_58_52" vbProcedure="false">"#"</definedName>
    <definedName function="false" hidden="true" name="FDC_58_53" vbProcedure="false">"#"</definedName>
    <definedName function="false" hidden="true" name="FDC_58_54" vbProcedure="false">"#"</definedName>
    <definedName function="false" hidden="true" name="FDC_58_55" vbProcedure="false">"#"</definedName>
    <definedName function="false" hidden="true" name="FDC_58_56" vbProcedure="false">"#"</definedName>
    <definedName function="false" hidden="true" name="FDC_58_57" vbProcedure="false">"#"</definedName>
    <definedName function="false" hidden="true" name="FDC_58_58" vbProcedure="false">"#"</definedName>
    <definedName function="false" hidden="true" name="FDC_58_59" vbProcedure="false">"#"</definedName>
    <definedName function="false" hidden="true" name="FDC_58_6" vbProcedure="false">"#"</definedName>
    <definedName function="false" hidden="true" name="FDC_58_60" vbProcedure="false">"#"</definedName>
    <definedName function="false" hidden="true" name="FDC_58_61" vbProcedure="false">"#"</definedName>
    <definedName function="false" hidden="true" name="FDC_58_62" vbProcedure="false">"#"</definedName>
    <definedName function="false" hidden="true" name="FDC_58_63" vbProcedure="false">"#"</definedName>
    <definedName function="false" hidden="true" name="FDC_58_64" vbProcedure="false">"#"</definedName>
    <definedName function="false" hidden="true" name="FDC_58_65" vbProcedure="false">"#"</definedName>
    <definedName function="false" hidden="true" name="FDC_58_66" vbProcedure="false">"#"</definedName>
    <definedName function="false" hidden="true" name="FDC_58_67" vbProcedure="false">"#"</definedName>
    <definedName function="false" hidden="true" name="FDC_58_68" vbProcedure="false">"#"</definedName>
    <definedName function="false" hidden="true" name="FDC_58_69" vbProcedure="false">"#"</definedName>
    <definedName function="false" hidden="true" name="FDC_58_7" vbProcedure="false">"#"</definedName>
    <definedName function="false" hidden="true" name="FDC_58_70" vbProcedure="false">"#"</definedName>
    <definedName function="false" hidden="true" name="FDC_58_71" vbProcedure="false">"#"</definedName>
    <definedName function="false" hidden="true" name="FDC_58_72" vbProcedure="false">"#"</definedName>
    <definedName function="false" hidden="true" name="FDC_58_73" vbProcedure="false">"#"</definedName>
    <definedName function="false" hidden="true" name="FDC_58_74" vbProcedure="false">"#"</definedName>
    <definedName function="false" hidden="true" name="FDC_58_75" vbProcedure="false">"#"</definedName>
    <definedName function="false" hidden="true" name="FDC_58_76" vbProcedure="false">"#"</definedName>
    <definedName function="false" hidden="true" name="FDC_58_77" vbProcedure="false">"#"</definedName>
    <definedName function="false" hidden="true" name="FDC_58_78" vbProcedure="false">"#"</definedName>
    <definedName function="false" hidden="true" name="FDC_58_79" vbProcedure="false">"#"</definedName>
    <definedName function="false" hidden="true" name="FDC_58_8" vbProcedure="false">"#"</definedName>
    <definedName function="false" hidden="true" name="FDC_58_80" vbProcedure="false">"#"</definedName>
    <definedName function="false" hidden="true" name="FDC_58_81" vbProcedure="false">"#"</definedName>
    <definedName function="false" hidden="true" name="FDC_58_82" vbProcedure="false">"#"</definedName>
    <definedName function="false" hidden="true" name="FDC_58_83" vbProcedure="false">"#"</definedName>
    <definedName function="false" hidden="true" name="FDC_58_84" vbProcedure="false">"#"</definedName>
    <definedName function="false" hidden="true" name="FDC_58_85" vbProcedure="false">"#"</definedName>
    <definedName function="false" hidden="true" name="FDC_58_86" vbProcedure="false">"#"</definedName>
    <definedName function="false" hidden="true" name="FDC_58_87" vbProcedure="false">"#"</definedName>
    <definedName function="false" hidden="true" name="FDC_58_88" vbProcedure="false">"#"</definedName>
    <definedName function="false" hidden="true" name="FDC_58_89" vbProcedure="false">"#"</definedName>
    <definedName function="false" hidden="true" name="FDC_58_9" vbProcedure="false">"#"</definedName>
    <definedName function="false" hidden="true" name="FDC_58_90" vbProcedure="false">"#"</definedName>
    <definedName function="false" hidden="true" name="FDC_58_91" vbProcedure="false">"#"</definedName>
    <definedName function="false" hidden="true" name="FDC_58_92" vbProcedure="false">"#"</definedName>
    <definedName function="false" hidden="true" name="FDC_58_93" vbProcedure="false">"#"</definedName>
    <definedName function="false" hidden="true" name="FDC_58_94" vbProcedure="false">"#"</definedName>
    <definedName function="false" hidden="true" name="FDC_58_95" vbProcedure="false">"#"</definedName>
    <definedName function="false" hidden="true" name="FDC_58_96" vbProcedure="false">"#"</definedName>
    <definedName function="false" hidden="true" name="FDC_58_97" vbProcedure="false">"#"</definedName>
    <definedName function="false" hidden="true" name="FDC_58_98" vbProcedure="false">"#"</definedName>
    <definedName function="false" hidden="true" name="FDC_58_99" vbProcedure="false">"#"</definedName>
    <definedName function="false" hidden="true" name="FDC_59_0" vbProcedure="false">"#"</definedName>
    <definedName function="false" hidden="true" name="FDC_59_1" vbProcedure="false">"#"</definedName>
    <definedName function="false" hidden="true" name="FDC_59_10" vbProcedure="false">"#"</definedName>
    <definedName function="false" hidden="true" name="FDC_59_100" vbProcedure="false">"#"</definedName>
    <definedName function="false" hidden="true" name="FDC_59_101" vbProcedure="false">"#"</definedName>
    <definedName function="false" hidden="true" name="FDC_59_102" vbProcedure="false">"#"</definedName>
    <definedName function="false" hidden="true" name="FDC_59_103" vbProcedure="false">"#"</definedName>
    <definedName function="false" hidden="true" name="FDC_59_104" vbProcedure="false">"#"</definedName>
    <definedName function="false" hidden="true" name="FDC_59_105" vbProcedure="false">"#"</definedName>
    <definedName function="false" hidden="true" name="FDC_59_106" vbProcedure="false">"#"</definedName>
    <definedName function="false" hidden="true" name="FDC_59_107" vbProcedure="false">"#"</definedName>
    <definedName function="false" hidden="true" name="FDC_59_108" vbProcedure="false">"#"</definedName>
    <definedName function="false" hidden="true" name="FDC_59_109" vbProcedure="false">"#"</definedName>
    <definedName function="false" hidden="true" name="FDC_59_11" vbProcedure="false">"#"</definedName>
    <definedName function="false" hidden="true" name="FDC_59_110" vbProcedure="false">"#"</definedName>
    <definedName function="false" hidden="true" name="FDC_59_111" vbProcedure="false">"#"</definedName>
    <definedName function="false" hidden="true" name="FDC_59_112" vbProcedure="false">"#"</definedName>
    <definedName function="false" hidden="true" name="FDC_59_113" vbProcedure="false">"#"</definedName>
    <definedName function="false" hidden="true" name="FDC_59_114" vbProcedure="false">"#"</definedName>
    <definedName function="false" hidden="true" name="FDC_59_115" vbProcedure="false">"#"</definedName>
    <definedName function="false" hidden="true" name="FDC_59_116" vbProcedure="false">"#"</definedName>
    <definedName function="false" hidden="true" name="FDC_59_117" vbProcedure="false">"#"</definedName>
    <definedName function="false" hidden="true" name="FDC_59_118" vbProcedure="false">"#"</definedName>
    <definedName function="false" hidden="true" name="FDC_59_119" vbProcedure="false">"#"</definedName>
    <definedName function="false" hidden="true" name="FDC_59_12" vbProcedure="false">"#"</definedName>
    <definedName function="false" hidden="true" name="FDC_59_120" vbProcedure="false">"#"</definedName>
    <definedName function="false" hidden="true" name="FDC_59_121" vbProcedure="false">"#"</definedName>
    <definedName function="false" hidden="true" name="FDC_59_122" vbProcedure="false">"#"</definedName>
    <definedName function="false" hidden="true" name="FDC_59_123" vbProcedure="false">"#"</definedName>
    <definedName function="false" hidden="true" name="FDC_59_124" vbProcedure="false">"#"</definedName>
    <definedName function="false" hidden="true" name="FDC_59_125" vbProcedure="false">"#"</definedName>
    <definedName function="false" hidden="true" name="FDC_59_126" vbProcedure="false">"#"</definedName>
    <definedName function="false" hidden="true" name="FDC_59_127" vbProcedure="false">"#"</definedName>
    <definedName function="false" hidden="true" name="FDC_59_128" vbProcedure="false">"#"</definedName>
    <definedName function="false" hidden="true" name="FDC_59_129" vbProcedure="false">"#"</definedName>
    <definedName function="false" hidden="true" name="FDC_59_13" vbProcedure="false">"#"</definedName>
    <definedName function="false" hidden="true" name="FDC_59_130" vbProcedure="false">"#"</definedName>
    <definedName function="false" hidden="true" name="FDC_59_131" vbProcedure="false">"#"</definedName>
    <definedName function="false" hidden="true" name="FDC_59_132" vbProcedure="false">"#"</definedName>
    <definedName function="false" hidden="true" name="FDC_59_133" vbProcedure="false">"#"</definedName>
    <definedName function="false" hidden="true" name="FDC_59_134" vbProcedure="false">"#"</definedName>
    <definedName function="false" hidden="true" name="FDC_59_135" vbProcedure="false">"#"</definedName>
    <definedName function="false" hidden="true" name="FDC_59_136" vbProcedure="false">"#"</definedName>
    <definedName function="false" hidden="true" name="FDC_59_137" vbProcedure="false">"#"</definedName>
    <definedName function="false" hidden="true" name="FDC_59_138" vbProcedure="false">"#"</definedName>
    <definedName function="false" hidden="true" name="FDC_59_139" vbProcedure="false">"#"</definedName>
    <definedName function="false" hidden="true" name="FDC_59_14" vbProcedure="false">"#"</definedName>
    <definedName function="false" hidden="true" name="FDC_59_140" vbProcedure="false">"#"</definedName>
    <definedName function="false" hidden="true" name="FDC_59_141" vbProcedure="false">"#"</definedName>
    <definedName function="false" hidden="true" name="FDC_59_142" vbProcedure="false">"#"</definedName>
    <definedName function="false" hidden="true" name="FDC_59_143" vbProcedure="false">"#"</definedName>
    <definedName function="false" hidden="true" name="FDC_59_144" vbProcedure="false">"#"</definedName>
    <definedName function="false" hidden="true" name="FDC_59_145" vbProcedure="false">"#"</definedName>
    <definedName function="false" hidden="true" name="FDC_59_146" vbProcedure="false">"#"</definedName>
    <definedName function="false" hidden="true" name="FDC_59_147" vbProcedure="false">"#"</definedName>
    <definedName function="false" hidden="true" name="FDC_59_148" vbProcedure="false">"#"</definedName>
    <definedName function="false" hidden="true" name="FDC_59_149" vbProcedure="false">"#"</definedName>
    <definedName function="false" hidden="true" name="FDC_59_15" vbProcedure="false">"#"</definedName>
    <definedName function="false" hidden="true" name="FDC_59_150" vbProcedure="false">"#"</definedName>
    <definedName function="false" hidden="true" name="FDC_59_151" vbProcedure="false">"#"</definedName>
    <definedName function="false" hidden="true" name="FDC_59_152" vbProcedure="false">"#"</definedName>
    <definedName function="false" hidden="true" name="FDC_59_153" vbProcedure="false">"#"</definedName>
    <definedName function="false" hidden="true" name="FDC_59_154" vbProcedure="false">"#"</definedName>
    <definedName function="false" hidden="true" name="FDC_59_155" vbProcedure="false">"#"</definedName>
    <definedName function="false" hidden="true" name="FDC_59_156" vbProcedure="false">"#"</definedName>
    <definedName function="false" hidden="true" name="FDC_59_157" vbProcedure="false">"#"</definedName>
    <definedName function="false" hidden="true" name="FDC_59_158" vbProcedure="false">"#"</definedName>
    <definedName function="false" hidden="true" name="FDC_59_159" vbProcedure="false">"#"</definedName>
    <definedName function="false" hidden="true" name="FDC_59_16" vbProcedure="false">"#"</definedName>
    <definedName function="false" hidden="true" name="FDC_59_160" vbProcedure="false">"#"</definedName>
    <definedName function="false" hidden="true" name="FDC_59_161" vbProcedure="false">"#"</definedName>
    <definedName function="false" hidden="true" name="FDC_59_162" vbProcedure="false">"#"</definedName>
    <definedName function="false" hidden="true" name="FDC_59_163" vbProcedure="false">"#"</definedName>
    <definedName function="false" hidden="true" name="FDC_59_164" vbProcedure="false">"#"</definedName>
    <definedName function="false" hidden="true" name="FDC_59_165" vbProcedure="false">"#"</definedName>
    <definedName function="false" hidden="true" name="FDC_59_166" vbProcedure="false">"#"</definedName>
    <definedName function="false" hidden="true" name="FDC_59_167" vbProcedure="false">"#"</definedName>
    <definedName function="false" hidden="true" name="FDC_59_168" vbProcedure="false">"#"</definedName>
    <definedName function="false" hidden="true" name="FDC_59_169" vbProcedure="false">"#"</definedName>
    <definedName function="false" hidden="true" name="FDC_59_17" vbProcedure="false">"#"</definedName>
    <definedName function="false" hidden="true" name="FDC_59_170" vbProcedure="false">"#"</definedName>
    <definedName function="false" hidden="true" name="FDC_59_171" vbProcedure="false">"#"</definedName>
    <definedName function="false" hidden="true" name="FDC_59_172" vbProcedure="false">"#"</definedName>
    <definedName function="false" hidden="true" name="FDC_59_173" vbProcedure="false">"#"</definedName>
    <definedName function="false" hidden="true" name="FDC_59_174" vbProcedure="false">"#"</definedName>
    <definedName function="false" hidden="true" name="FDC_59_175" vbProcedure="false">"#"</definedName>
    <definedName function="false" hidden="true" name="FDC_59_176" vbProcedure="false">"#"</definedName>
    <definedName function="false" hidden="true" name="FDC_59_177" vbProcedure="false">"#"</definedName>
    <definedName function="false" hidden="true" name="FDC_59_178" vbProcedure="false">"#"</definedName>
    <definedName function="false" hidden="true" name="FDC_59_179" vbProcedure="false">"#"</definedName>
    <definedName function="false" hidden="true" name="FDC_59_18" vbProcedure="false">"#"</definedName>
    <definedName function="false" hidden="true" name="FDC_59_180" vbProcedure="false">"#"</definedName>
    <definedName function="false" hidden="true" name="FDC_59_181" vbProcedure="false">"#"</definedName>
    <definedName function="false" hidden="true" name="FDC_59_182" vbProcedure="false">"#"</definedName>
    <definedName function="false" hidden="true" name="FDC_59_183" vbProcedure="false">"#"</definedName>
    <definedName function="false" hidden="true" name="FDC_59_184" vbProcedure="false">"#"</definedName>
    <definedName function="false" hidden="true" name="FDC_59_185" vbProcedure="false">"#"</definedName>
    <definedName function="false" hidden="true" name="FDC_59_186" vbProcedure="false">"#"</definedName>
    <definedName function="false" hidden="true" name="FDC_59_187" vbProcedure="false">"#"</definedName>
    <definedName function="false" hidden="true" name="FDC_59_188" vbProcedure="false">"#"</definedName>
    <definedName function="false" hidden="true" name="FDC_59_189" vbProcedure="false">"#"</definedName>
    <definedName function="false" hidden="true" name="FDC_59_19" vbProcedure="false">"#"</definedName>
    <definedName function="false" hidden="true" name="FDC_59_190" vbProcedure="false">"#"</definedName>
    <definedName function="false" hidden="true" name="FDC_59_191" vbProcedure="false">"#"</definedName>
    <definedName function="false" hidden="true" name="FDC_59_192" vbProcedure="false">"#"</definedName>
    <definedName function="false" hidden="true" name="FDC_59_193" vbProcedure="false">"#"</definedName>
    <definedName function="false" hidden="true" name="FDC_59_194" vbProcedure="false">"#"</definedName>
    <definedName function="false" hidden="true" name="FDC_59_195" vbProcedure="false">"#"</definedName>
    <definedName function="false" hidden="true" name="FDC_59_196" vbProcedure="false">"#"</definedName>
    <definedName function="false" hidden="true" name="FDC_59_197" vbProcedure="false">"#"</definedName>
    <definedName function="false" hidden="true" name="FDC_59_198" vbProcedure="false">"#"</definedName>
    <definedName function="false" hidden="true" name="FDC_59_199" vbProcedure="false">"#"</definedName>
    <definedName function="false" hidden="true" name="FDC_59_2" vbProcedure="false">"#"</definedName>
    <definedName function="false" hidden="true" name="FDC_59_20" vbProcedure="false">"#"</definedName>
    <definedName function="false" hidden="true" name="FDC_59_200" vbProcedure="false">"#"</definedName>
    <definedName function="false" hidden="true" name="FDC_59_201" vbProcedure="false">"#"</definedName>
    <definedName function="false" hidden="true" name="FDC_59_202" vbProcedure="false">"#"</definedName>
    <definedName function="false" hidden="true" name="FDC_59_203" vbProcedure="false">"#"</definedName>
    <definedName function="false" hidden="true" name="FDC_59_204" vbProcedure="false">"#"</definedName>
    <definedName function="false" hidden="true" name="FDC_59_205" vbProcedure="false">"#"</definedName>
    <definedName function="false" hidden="true" name="FDC_59_206" vbProcedure="false">"#"</definedName>
    <definedName function="false" hidden="true" name="FDC_59_207" vbProcedure="false">"#"</definedName>
    <definedName function="false" hidden="true" name="FDC_59_208" vbProcedure="false">"#"</definedName>
    <definedName function="false" hidden="true" name="FDC_59_209" vbProcedure="false">"#"</definedName>
    <definedName function="false" hidden="true" name="FDC_59_21" vbProcedure="false">"#"</definedName>
    <definedName function="false" hidden="true" name="FDC_59_210" vbProcedure="false">"#"</definedName>
    <definedName function="false" hidden="true" name="FDC_59_211" vbProcedure="false">"#"</definedName>
    <definedName function="false" hidden="true" name="FDC_59_212" vbProcedure="false">"#"</definedName>
    <definedName function="false" hidden="true" name="FDC_59_213" vbProcedure="false">"#"</definedName>
    <definedName function="false" hidden="true" name="FDC_59_214" vbProcedure="false">"#"</definedName>
    <definedName function="false" hidden="true" name="FDC_59_215" vbProcedure="false">"#"</definedName>
    <definedName function="false" hidden="true" name="FDC_59_216" vbProcedure="false">"#"</definedName>
    <definedName function="false" hidden="true" name="FDC_59_217" vbProcedure="false">"#"</definedName>
    <definedName function="false" hidden="true" name="FDC_59_218" vbProcedure="false">"#"</definedName>
    <definedName function="false" hidden="true" name="FDC_59_219" vbProcedure="false">"#"</definedName>
    <definedName function="false" hidden="true" name="FDC_59_22" vbProcedure="false">"#"</definedName>
    <definedName function="false" hidden="true" name="FDC_59_220" vbProcedure="false">"#"</definedName>
    <definedName function="false" hidden="true" name="FDC_59_221" vbProcedure="false">"#"</definedName>
    <definedName function="false" hidden="true" name="FDC_59_222" vbProcedure="false">"#"</definedName>
    <definedName function="false" hidden="true" name="FDC_59_223" vbProcedure="false">"#"</definedName>
    <definedName function="false" hidden="true" name="FDC_59_224" vbProcedure="false">"#"</definedName>
    <definedName function="false" hidden="true" name="FDC_59_225" vbProcedure="false">"#"</definedName>
    <definedName function="false" hidden="true" name="FDC_59_226" vbProcedure="false">"#"</definedName>
    <definedName function="false" hidden="true" name="FDC_59_227" vbProcedure="false">"#"</definedName>
    <definedName function="false" hidden="true" name="FDC_59_228" vbProcedure="false">"#"</definedName>
    <definedName function="false" hidden="true" name="FDC_59_229" vbProcedure="false">"#"</definedName>
    <definedName function="false" hidden="true" name="FDC_59_23" vbProcedure="false">"#"</definedName>
    <definedName function="false" hidden="true" name="FDC_59_230" vbProcedure="false">"#"</definedName>
    <definedName function="false" hidden="true" name="FDC_59_231" vbProcedure="false">"#"</definedName>
    <definedName function="false" hidden="true" name="FDC_59_232" vbProcedure="false">"#"</definedName>
    <definedName function="false" hidden="true" name="FDC_59_233" vbProcedure="false">"#"</definedName>
    <definedName function="false" hidden="true" name="FDC_59_234" vbProcedure="false">"#"</definedName>
    <definedName function="false" hidden="true" name="FDC_59_235" vbProcedure="false">"#"</definedName>
    <definedName function="false" hidden="true" name="FDC_59_236" vbProcedure="false">"#"</definedName>
    <definedName function="false" hidden="true" name="FDC_59_237" vbProcedure="false">"#"</definedName>
    <definedName function="false" hidden="true" name="FDC_59_238" vbProcedure="false">"#"</definedName>
    <definedName function="false" hidden="true" name="FDC_59_239" vbProcedure="false">"#"</definedName>
    <definedName function="false" hidden="true" name="FDC_59_24" vbProcedure="false">"#"</definedName>
    <definedName function="false" hidden="true" name="FDC_59_240" vbProcedure="false">"#"</definedName>
    <definedName function="false" hidden="true" name="FDC_59_241" vbProcedure="false">"#"</definedName>
    <definedName function="false" hidden="true" name="FDC_59_242" vbProcedure="false">"#"</definedName>
    <definedName function="false" hidden="true" name="FDC_59_243" vbProcedure="false">"#"</definedName>
    <definedName function="false" hidden="true" name="FDC_59_244" vbProcedure="false">"#"</definedName>
    <definedName function="false" hidden="true" name="FDC_59_245" vbProcedure="false">"#"</definedName>
    <definedName function="false" hidden="true" name="FDC_59_246" vbProcedure="false">"#"</definedName>
    <definedName function="false" hidden="true" name="FDC_59_247" vbProcedure="false">"#"</definedName>
    <definedName function="false" hidden="true" name="FDC_59_248" vbProcedure="false">"#"</definedName>
    <definedName function="false" hidden="true" name="FDC_59_249" vbProcedure="false">"#"</definedName>
    <definedName function="false" hidden="true" name="FDC_59_25" vbProcedure="false">"#"</definedName>
    <definedName function="false" hidden="true" name="FDC_59_250" vbProcedure="false">"#"</definedName>
    <definedName function="false" hidden="true" name="FDC_59_251" vbProcedure="false">"#"</definedName>
    <definedName function="false" hidden="true" name="FDC_59_252" vbProcedure="false">"#"</definedName>
    <definedName function="false" hidden="true" name="FDC_59_253" vbProcedure="false">"#"</definedName>
    <definedName function="false" hidden="true" name="FDC_59_254" vbProcedure="false">"#"</definedName>
    <definedName function="false" hidden="true" name="FDC_59_255" vbProcedure="false">"#"</definedName>
    <definedName function="false" hidden="true" name="FDC_59_256" vbProcedure="false">"#"</definedName>
    <definedName function="false" hidden="true" name="FDC_59_257" vbProcedure="false">"#"</definedName>
    <definedName function="false" hidden="true" name="FDC_59_258" vbProcedure="false">"#"</definedName>
    <definedName function="false" hidden="true" name="FDC_59_259" vbProcedure="false">"#"</definedName>
    <definedName function="false" hidden="true" name="FDC_59_26" vbProcedure="false">"#"</definedName>
    <definedName function="false" hidden="true" name="FDC_59_260" vbProcedure="false">"#"</definedName>
    <definedName function="false" hidden="true" name="FDC_59_261" vbProcedure="false">"#"</definedName>
    <definedName function="false" hidden="true" name="FDC_59_27" vbProcedure="false">"#"</definedName>
    <definedName function="false" hidden="true" name="FDC_59_28" vbProcedure="false">"#"</definedName>
    <definedName function="false" hidden="true" name="FDC_59_29" vbProcedure="false">"#"</definedName>
    <definedName function="false" hidden="true" name="FDC_59_3" vbProcedure="false">"#"</definedName>
    <definedName function="false" hidden="true" name="FDC_59_30" vbProcedure="false">"#"</definedName>
    <definedName function="false" hidden="true" name="FDC_59_31" vbProcedure="false">"#"</definedName>
    <definedName function="false" hidden="true" name="FDC_59_32" vbProcedure="false">"#"</definedName>
    <definedName function="false" hidden="true" name="FDC_59_33" vbProcedure="false">"#"</definedName>
    <definedName function="false" hidden="true" name="FDC_59_34" vbProcedure="false">"#"</definedName>
    <definedName function="false" hidden="true" name="FDC_59_35" vbProcedure="false">"#"</definedName>
    <definedName function="false" hidden="true" name="FDC_59_36" vbProcedure="false">"#"</definedName>
    <definedName function="false" hidden="true" name="FDC_59_37" vbProcedure="false">"#"</definedName>
    <definedName function="false" hidden="true" name="FDC_59_38" vbProcedure="false">"#"</definedName>
    <definedName function="false" hidden="true" name="FDC_59_39" vbProcedure="false">"#"</definedName>
    <definedName function="false" hidden="true" name="FDC_59_4" vbProcedure="false">"#"</definedName>
    <definedName function="false" hidden="true" name="FDC_59_40" vbProcedure="false">"#"</definedName>
    <definedName function="false" hidden="true" name="FDC_59_41" vbProcedure="false">"#"</definedName>
    <definedName function="false" hidden="true" name="FDC_59_42" vbProcedure="false">"#"</definedName>
    <definedName function="false" hidden="true" name="FDC_59_43" vbProcedure="false">"#"</definedName>
    <definedName function="false" hidden="true" name="FDC_59_44" vbProcedure="false">"#"</definedName>
    <definedName function="false" hidden="true" name="FDC_59_45" vbProcedure="false">"#"</definedName>
    <definedName function="false" hidden="true" name="FDC_59_46" vbProcedure="false">"#"</definedName>
    <definedName function="false" hidden="true" name="FDC_59_47" vbProcedure="false">"#"</definedName>
    <definedName function="false" hidden="true" name="FDC_59_48" vbProcedure="false">"#"</definedName>
    <definedName function="false" hidden="true" name="FDC_59_49" vbProcedure="false">"#"</definedName>
    <definedName function="false" hidden="true" name="FDC_59_5" vbProcedure="false">"#"</definedName>
    <definedName function="false" hidden="true" name="FDC_59_50" vbProcedure="false">"#"</definedName>
    <definedName function="false" hidden="true" name="FDC_59_51" vbProcedure="false">"#"</definedName>
    <definedName function="false" hidden="true" name="FDC_59_52" vbProcedure="false">"#"</definedName>
    <definedName function="false" hidden="true" name="FDC_59_53" vbProcedure="false">"#"</definedName>
    <definedName function="false" hidden="true" name="FDC_59_54" vbProcedure="false">"#"</definedName>
    <definedName function="false" hidden="true" name="FDC_59_55" vbProcedure="false">"#"</definedName>
    <definedName function="false" hidden="true" name="FDC_59_56" vbProcedure="false">"#"</definedName>
    <definedName function="false" hidden="true" name="FDC_59_57" vbProcedure="false">"#"</definedName>
    <definedName function="false" hidden="true" name="FDC_59_58" vbProcedure="false">"#"</definedName>
    <definedName function="false" hidden="true" name="FDC_59_59" vbProcedure="false">"#"</definedName>
    <definedName function="false" hidden="true" name="FDC_59_6" vbProcedure="false">"#"</definedName>
    <definedName function="false" hidden="true" name="FDC_59_60" vbProcedure="false">"#"</definedName>
    <definedName function="false" hidden="true" name="FDC_59_61" vbProcedure="false">"#"</definedName>
    <definedName function="false" hidden="true" name="FDC_59_62" vbProcedure="false">"#"</definedName>
    <definedName function="false" hidden="true" name="FDC_59_63" vbProcedure="false">"#"</definedName>
    <definedName function="false" hidden="true" name="FDC_59_64" vbProcedure="false">"#"</definedName>
    <definedName function="false" hidden="true" name="FDC_59_65" vbProcedure="false">"#"</definedName>
    <definedName function="false" hidden="true" name="FDC_59_66" vbProcedure="false">"#"</definedName>
    <definedName function="false" hidden="true" name="FDC_59_67" vbProcedure="false">"#"</definedName>
    <definedName function="false" hidden="true" name="FDC_59_68" vbProcedure="false">"#"</definedName>
    <definedName function="false" hidden="true" name="FDC_59_69" vbProcedure="false">"#"</definedName>
    <definedName function="false" hidden="true" name="FDC_59_7" vbProcedure="false">"#"</definedName>
    <definedName function="false" hidden="true" name="FDC_59_70" vbProcedure="false">"#"</definedName>
    <definedName function="false" hidden="true" name="FDC_59_71" vbProcedure="false">"#"</definedName>
    <definedName function="false" hidden="true" name="FDC_59_72" vbProcedure="false">"#"</definedName>
    <definedName function="false" hidden="true" name="FDC_59_73" vbProcedure="false">"#"</definedName>
    <definedName function="false" hidden="true" name="FDC_59_74" vbProcedure="false">"#"</definedName>
    <definedName function="false" hidden="true" name="FDC_59_75" vbProcedure="false">"#"</definedName>
    <definedName function="false" hidden="true" name="FDC_59_76" vbProcedure="false">"#"</definedName>
    <definedName function="false" hidden="true" name="FDC_59_77" vbProcedure="false">"#"</definedName>
    <definedName function="false" hidden="true" name="FDC_59_78" vbProcedure="false">"#"</definedName>
    <definedName function="false" hidden="true" name="FDC_59_79" vbProcedure="false">"#"</definedName>
    <definedName function="false" hidden="true" name="FDC_59_8" vbProcedure="false">"#"</definedName>
    <definedName function="false" hidden="true" name="FDC_59_80" vbProcedure="false">"#"</definedName>
    <definedName function="false" hidden="true" name="FDC_59_81" vbProcedure="false">"#"</definedName>
    <definedName function="false" hidden="true" name="FDC_59_82" vbProcedure="false">"#"</definedName>
    <definedName function="false" hidden="true" name="FDC_59_83" vbProcedure="false">"#"</definedName>
    <definedName function="false" hidden="true" name="FDC_59_84" vbProcedure="false">"#"</definedName>
    <definedName function="false" hidden="true" name="FDC_59_85" vbProcedure="false">"#"</definedName>
    <definedName function="false" hidden="true" name="FDC_59_86" vbProcedure="false">"#"</definedName>
    <definedName function="false" hidden="true" name="FDC_59_87" vbProcedure="false">"#"</definedName>
    <definedName function="false" hidden="true" name="FDC_59_88" vbProcedure="false">"#"</definedName>
    <definedName function="false" hidden="true" name="FDC_59_89" vbProcedure="false">"#"</definedName>
    <definedName function="false" hidden="true" name="FDC_59_9" vbProcedure="false">"#"</definedName>
    <definedName function="false" hidden="true" name="FDC_59_90" vbProcedure="false">"#"</definedName>
    <definedName function="false" hidden="true" name="FDC_59_91" vbProcedure="false">"#"</definedName>
    <definedName function="false" hidden="true" name="FDC_59_92" vbProcedure="false">"#"</definedName>
    <definedName function="false" hidden="true" name="FDC_59_93" vbProcedure="false">"#"</definedName>
    <definedName function="false" hidden="true" name="FDC_59_94" vbProcedure="false">"#"</definedName>
    <definedName function="false" hidden="true" name="FDC_59_95" vbProcedure="false">"#"</definedName>
    <definedName function="false" hidden="true" name="FDC_59_96" vbProcedure="false">"#"</definedName>
    <definedName function="false" hidden="true" name="FDC_59_97" vbProcedure="false">"#"</definedName>
    <definedName function="false" hidden="true" name="FDC_59_98" vbProcedure="false">"#"</definedName>
    <definedName function="false" hidden="true" name="FDC_59_99" vbProcedure="false">"#"</definedName>
    <definedName function="false" hidden="true" name="FDC_5_0" vbProcedure="false">"#"</definedName>
    <definedName function="false" hidden="true" name="FDC_5_1" vbProcedure="false">"#"</definedName>
    <definedName function="false" hidden="true" name="FDC_5_2" vbProcedure="false">"#"</definedName>
    <definedName function="false" hidden="true" name="FDC_5_3" vbProcedure="false">"#"</definedName>
    <definedName function="false" hidden="true" name="FDC_60_0" vbProcedure="false">"#"</definedName>
    <definedName function="false" hidden="true" name="FDC_60_1" vbProcedure="false">"#"</definedName>
    <definedName function="false" hidden="true" name="FDC_60_10" vbProcedure="false">"#"</definedName>
    <definedName function="false" hidden="true" name="FDC_60_100" vbProcedure="false">"#"</definedName>
    <definedName function="false" hidden="true" name="FDC_60_101" vbProcedure="false">"#"</definedName>
    <definedName function="false" hidden="true" name="FDC_60_102" vbProcedure="false">"#"</definedName>
    <definedName function="false" hidden="true" name="FDC_60_103" vbProcedure="false">"#"</definedName>
    <definedName function="false" hidden="true" name="FDC_60_104" vbProcedure="false">"#"</definedName>
    <definedName function="false" hidden="true" name="FDC_60_105" vbProcedure="false">"#"</definedName>
    <definedName function="false" hidden="true" name="FDC_60_106" vbProcedure="false">"#"</definedName>
    <definedName function="false" hidden="true" name="FDC_60_107" vbProcedure="false">"#"</definedName>
    <definedName function="false" hidden="true" name="FDC_60_108" vbProcedure="false">"#"</definedName>
    <definedName function="false" hidden="true" name="FDC_60_109" vbProcedure="false">"#"</definedName>
    <definedName function="false" hidden="true" name="FDC_60_11" vbProcedure="false">"#"</definedName>
    <definedName function="false" hidden="true" name="FDC_60_110" vbProcedure="false">"#"</definedName>
    <definedName function="false" hidden="true" name="FDC_60_111" vbProcedure="false">"#"</definedName>
    <definedName function="false" hidden="true" name="FDC_60_112" vbProcedure="false">"#"</definedName>
    <definedName function="false" hidden="true" name="FDC_60_113" vbProcedure="false">"#"</definedName>
    <definedName function="false" hidden="true" name="FDC_60_114" vbProcedure="false">"#"</definedName>
    <definedName function="false" hidden="true" name="FDC_60_115" vbProcedure="false">"#"</definedName>
    <definedName function="false" hidden="true" name="FDC_60_116" vbProcedure="false">"#"</definedName>
    <definedName function="false" hidden="true" name="FDC_60_117" vbProcedure="false">"#"</definedName>
    <definedName function="false" hidden="true" name="FDC_60_118" vbProcedure="false">"#"</definedName>
    <definedName function="false" hidden="true" name="FDC_60_119" vbProcedure="false">"#"</definedName>
    <definedName function="false" hidden="true" name="FDC_60_12" vbProcedure="false">"#"</definedName>
    <definedName function="false" hidden="true" name="FDC_60_120" vbProcedure="false">"#"</definedName>
    <definedName function="false" hidden="true" name="FDC_60_121" vbProcedure="false">"#"</definedName>
    <definedName function="false" hidden="true" name="FDC_60_122" vbProcedure="false">"#"</definedName>
    <definedName function="false" hidden="true" name="FDC_60_123" vbProcedure="false">"#"</definedName>
    <definedName function="false" hidden="true" name="FDC_60_124" vbProcedure="false">"#"</definedName>
    <definedName function="false" hidden="true" name="FDC_60_125" vbProcedure="false">"#"</definedName>
    <definedName function="false" hidden="true" name="FDC_60_126" vbProcedure="false">"#"</definedName>
    <definedName function="false" hidden="true" name="FDC_60_127" vbProcedure="false">"#"</definedName>
    <definedName function="false" hidden="true" name="FDC_60_128" vbProcedure="false">"#"</definedName>
    <definedName function="false" hidden="true" name="FDC_60_129" vbProcedure="false">"#"</definedName>
    <definedName function="false" hidden="true" name="FDC_60_13" vbProcedure="false">"#"</definedName>
    <definedName function="false" hidden="true" name="FDC_60_130" vbProcedure="false">"#"</definedName>
    <definedName function="false" hidden="true" name="FDC_60_131" vbProcedure="false">"#"</definedName>
    <definedName function="false" hidden="true" name="FDC_60_132" vbProcedure="false">"#"</definedName>
    <definedName function="false" hidden="true" name="FDC_60_133" vbProcedure="false">"#"</definedName>
    <definedName function="false" hidden="true" name="FDC_60_134" vbProcedure="false">"#"</definedName>
    <definedName function="false" hidden="true" name="FDC_60_135" vbProcedure="false">"#"</definedName>
    <definedName function="false" hidden="true" name="FDC_60_136" vbProcedure="false">"#"</definedName>
    <definedName function="false" hidden="true" name="FDC_60_137" vbProcedure="false">"#"</definedName>
    <definedName function="false" hidden="true" name="FDC_60_138" vbProcedure="false">"#"</definedName>
    <definedName function="false" hidden="true" name="FDC_60_139" vbProcedure="false">"#"</definedName>
    <definedName function="false" hidden="true" name="FDC_60_14" vbProcedure="false">"#"</definedName>
    <definedName function="false" hidden="true" name="FDC_60_140" vbProcedure="false">"#"</definedName>
    <definedName function="false" hidden="true" name="FDC_60_141" vbProcedure="false">"#"</definedName>
    <definedName function="false" hidden="true" name="FDC_60_142" vbProcedure="false">"#"</definedName>
    <definedName function="false" hidden="true" name="FDC_60_143" vbProcedure="false">"#"</definedName>
    <definedName function="false" hidden="true" name="FDC_60_144" vbProcedure="false">"#"</definedName>
    <definedName function="false" hidden="true" name="FDC_60_145" vbProcedure="false">"#"</definedName>
    <definedName function="false" hidden="true" name="FDC_60_146" vbProcedure="false">"#"</definedName>
    <definedName function="false" hidden="true" name="FDC_60_147" vbProcedure="false">"#"</definedName>
    <definedName function="false" hidden="true" name="FDC_60_148" vbProcedure="false">"#"</definedName>
    <definedName function="false" hidden="true" name="FDC_60_149" vbProcedure="false">"#"</definedName>
    <definedName function="false" hidden="true" name="FDC_60_15" vbProcedure="false">"#"</definedName>
    <definedName function="false" hidden="true" name="FDC_60_150" vbProcedure="false">"#"</definedName>
    <definedName function="false" hidden="true" name="FDC_60_151" vbProcedure="false">"#"</definedName>
    <definedName function="false" hidden="true" name="FDC_60_152" vbProcedure="false">"#"</definedName>
    <definedName function="false" hidden="true" name="FDC_60_153" vbProcedure="false">"#"</definedName>
    <definedName function="false" hidden="true" name="FDC_60_154" vbProcedure="false">"#"</definedName>
    <definedName function="false" hidden="true" name="FDC_60_155" vbProcedure="false">"#"</definedName>
    <definedName function="false" hidden="true" name="FDC_60_156" vbProcedure="false">"#"</definedName>
    <definedName function="false" hidden="true" name="FDC_60_157" vbProcedure="false">"#"</definedName>
    <definedName function="false" hidden="true" name="FDC_60_158" vbProcedure="false">"#"</definedName>
    <definedName function="false" hidden="true" name="FDC_60_159" vbProcedure="false">"#"</definedName>
    <definedName function="false" hidden="true" name="FDC_60_16" vbProcedure="false">"#"</definedName>
    <definedName function="false" hidden="true" name="FDC_60_160" vbProcedure="false">"#"</definedName>
    <definedName function="false" hidden="true" name="FDC_60_161" vbProcedure="false">"#"</definedName>
    <definedName function="false" hidden="true" name="FDC_60_162" vbProcedure="false">"#"</definedName>
    <definedName function="false" hidden="true" name="FDC_60_163" vbProcedure="false">"#"</definedName>
    <definedName function="false" hidden="true" name="FDC_60_164" vbProcedure="false">"#"</definedName>
    <definedName function="false" hidden="true" name="FDC_60_165" vbProcedure="false">"#"</definedName>
    <definedName function="false" hidden="true" name="FDC_60_166" vbProcedure="false">"#"</definedName>
    <definedName function="false" hidden="true" name="FDC_60_167" vbProcedure="false">"#"</definedName>
    <definedName function="false" hidden="true" name="FDC_60_168" vbProcedure="false">"#"</definedName>
    <definedName function="false" hidden="true" name="FDC_60_169" vbProcedure="false">"#"</definedName>
    <definedName function="false" hidden="true" name="FDC_60_17" vbProcedure="false">"#"</definedName>
    <definedName function="false" hidden="true" name="FDC_60_170" vbProcedure="false">"#"</definedName>
    <definedName function="false" hidden="true" name="FDC_60_171" vbProcedure="false">"#"</definedName>
    <definedName function="false" hidden="true" name="FDC_60_172" vbProcedure="false">"#"</definedName>
    <definedName function="false" hidden="true" name="FDC_60_173" vbProcedure="false">"#"</definedName>
    <definedName function="false" hidden="true" name="FDC_60_174" vbProcedure="false">"#"</definedName>
    <definedName function="false" hidden="true" name="FDC_60_175" vbProcedure="false">"#"</definedName>
    <definedName function="false" hidden="true" name="FDC_60_176" vbProcedure="false">"#"</definedName>
    <definedName function="false" hidden="true" name="FDC_60_177" vbProcedure="false">"#"</definedName>
    <definedName function="false" hidden="true" name="FDC_60_178" vbProcedure="false">"#"</definedName>
    <definedName function="false" hidden="true" name="FDC_60_179" vbProcedure="false">"#"</definedName>
    <definedName function="false" hidden="true" name="FDC_60_18" vbProcedure="false">"#"</definedName>
    <definedName function="false" hidden="true" name="FDC_60_180" vbProcedure="false">"#"</definedName>
    <definedName function="false" hidden="true" name="FDC_60_181" vbProcedure="false">"#"</definedName>
    <definedName function="false" hidden="true" name="FDC_60_182" vbProcedure="false">"#"</definedName>
    <definedName function="false" hidden="true" name="FDC_60_183" vbProcedure="false">"#"</definedName>
    <definedName function="false" hidden="true" name="FDC_60_184" vbProcedure="false">"#"</definedName>
    <definedName function="false" hidden="true" name="FDC_60_185" vbProcedure="false">"#"</definedName>
    <definedName function="false" hidden="true" name="FDC_60_186" vbProcedure="false">"#"</definedName>
    <definedName function="false" hidden="true" name="FDC_60_187" vbProcedure="false">"#"</definedName>
    <definedName function="false" hidden="true" name="FDC_60_188" vbProcedure="false">"#"</definedName>
    <definedName function="false" hidden="true" name="FDC_60_189" vbProcedure="false">"#"</definedName>
    <definedName function="false" hidden="true" name="FDC_60_19" vbProcedure="false">"#"</definedName>
    <definedName function="false" hidden="true" name="FDC_60_190" vbProcedure="false">"#"</definedName>
    <definedName function="false" hidden="true" name="FDC_60_191" vbProcedure="false">"#"</definedName>
    <definedName function="false" hidden="true" name="FDC_60_192" vbProcedure="false">"#"</definedName>
    <definedName function="false" hidden="true" name="FDC_60_193" vbProcedure="false">"#"</definedName>
    <definedName function="false" hidden="true" name="FDC_60_194" vbProcedure="false">"#"</definedName>
    <definedName function="false" hidden="true" name="FDC_60_195" vbProcedure="false">"#"</definedName>
    <definedName function="false" hidden="true" name="FDC_60_196" vbProcedure="false">"#"</definedName>
    <definedName function="false" hidden="true" name="FDC_60_197" vbProcedure="false">"#"</definedName>
    <definedName function="false" hidden="true" name="FDC_60_198" vbProcedure="false">"#"</definedName>
    <definedName function="false" hidden="true" name="FDC_60_199" vbProcedure="false">"#"</definedName>
    <definedName function="false" hidden="true" name="FDC_60_2" vbProcedure="false">"#"</definedName>
    <definedName function="false" hidden="true" name="FDC_60_20" vbProcedure="false">"#"</definedName>
    <definedName function="false" hidden="true" name="FDC_60_200" vbProcedure="false">"#"</definedName>
    <definedName function="false" hidden="true" name="FDC_60_201" vbProcedure="false">"#"</definedName>
    <definedName function="false" hidden="true" name="FDC_60_202" vbProcedure="false">"#"</definedName>
    <definedName function="false" hidden="true" name="FDC_60_203" vbProcedure="false">"#"</definedName>
    <definedName function="false" hidden="true" name="FDC_60_204" vbProcedure="false">"#"</definedName>
    <definedName function="false" hidden="true" name="FDC_60_205" vbProcedure="false">"#"</definedName>
    <definedName function="false" hidden="true" name="FDC_60_206" vbProcedure="false">"#"</definedName>
    <definedName function="false" hidden="true" name="FDC_60_207" vbProcedure="false">"#"</definedName>
    <definedName function="false" hidden="true" name="FDC_60_208" vbProcedure="false">"#"</definedName>
    <definedName function="false" hidden="true" name="FDC_60_209" vbProcedure="false">"#"</definedName>
    <definedName function="false" hidden="true" name="FDC_60_21" vbProcedure="false">"#"</definedName>
    <definedName function="false" hidden="true" name="FDC_60_210" vbProcedure="false">"#"</definedName>
    <definedName function="false" hidden="true" name="FDC_60_211" vbProcedure="false">"#"</definedName>
    <definedName function="false" hidden="true" name="FDC_60_212" vbProcedure="false">"#"</definedName>
    <definedName function="false" hidden="true" name="FDC_60_213" vbProcedure="false">"#"</definedName>
    <definedName function="false" hidden="true" name="FDC_60_214" vbProcedure="false">"#"</definedName>
    <definedName function="false" hidden="true" name="FDC_60_215" vbProcedure="false">"#"</definedName>
    <definedName function="false" hidden="true" name="FDC_60_216" vbProcedure="false">"#"</definedName>
    <definedName function="false" hidden="true" name="FDC_60_217" vbProcedure="false">"#"</definedName>
    <definedName function="false" hidden="true" name="FDC_60_218" vbProcedure="false">"#"</definedName>
    <definedName function="false" hidden="true" name="FDC_60_219" vbProcedure="false">"#"</definedName>
    <definedName function="false" hidden="true" name="FDC_60_22" vbProcedure="false">"#"</definedName>
    <definedName function="false" hidden="true" name="FDC_60_220" vbProcedure="false">"#"</definedName>
    <definedName function="false" hidden="true" name="FDC_60_221" vbProcedure="false">"#"</definedName>
    <definedName function="false" hidden="true" name="FDC_60_222" vbProcedure="false">"#"</definedName>
    <definedName function="false" hidden="true" name="FDC_60_223" vbProcedure="false">"#"</definedName>
    <definedName function="false" hidden="true" name="FDC_60_224" vbProcedure="false">"#"</definedName>
    <definedName function="false" hidden="true" name="FDC_60_225" vbProcedure="false">"#"</definedName>
    <definedName function="false" hidden="true" name="FDC_60_226" vbProcedure="false">"#"</definedName>
    <definedName function="false" hidden="true" name="FDC_60_227" vbProcedure="false">"#"</definedName>
    <definedName function="false" hidden="true" name="FDC_60_228" vbProcedure="false">"#"</definedName>
    <definedName function="false" hidden="true" name="FDC_60_229" vbProcedure="false">"#"</definedName>
    <definedName function="false" hidden="true" name="FDC_60_23" vbProcedure="false">"#"</definedName>
    <definedName function="false" hidden="true" name="FDC_60_230" vbProcedure="false">"#"</definedName>
    <definedName function="false" hidden="true" name="FDC_60_231" vbProcedure="false">"#"</definedName>
    <definedName function="false" hidden="true" name="FDC_60_232" vbProcedure="false">"#"</definedName>
    <definedName function="false" hidden="true" name="FDC_60_233" vbProcedure="false">"#"</definedName>
    <definedName function="false" hidden="true" name="FDC_60_234" vbProcedure="false">"#"</definedName>
    <definedName function="false" hidden="true" name="FDC_60_235" vbProcedure="false">"#"</definedName>
    <definedName function="false" hidden="true" name="FDC_60_236" vbProcedure="false">"#"</definedName>
    <definedName function="false" hidden="true" name="FDC_60_237" vbProcedure="false">"#"</definedName>
    <definedName function="false" hidden="true" name="FDC_60_238" vbProcedure="false">"#"</definedName>
    <definedName function="false" hidden="true" name="FDC_60_239" vbProcedure="false">"#"</definedName>
    <definedName function="false" hidden="true" name="FDC_60_24" vbProcedure="false">"#"</definedName>
    <definedName function="false" hidden="true" name="FDC_60_240" vbProcedure="false">"#"</definedName>
    <definedName function="false" hidden="true" name="FDC_60_241" vbProcedure="false">"#"</definedName>
    <definedName function="false" hidden="true" name="FDC_60_242" vbProcedure="false">"#"</definedName>
    <definedName function="false" hidden="true" name="FDC_60_243" vbProcedure="false">"#"</definedName>
    <definedName function="false" hidden="true" name="FDC_60_244" vbProcedure="false">"#"</definedName>
    <definedName function="false" hidden="true" name="FDC_60_245" vbProcedure="false">"#"</definedName>
    <definedName function="false" hidden="true" name="FDC_60_246" vbProcedure="false">"#"</definedName>
    <definedName function="false" hidden="true" name="FDC_60_247" vbProcedure="false">"#"</definedName>
    <definedName function="false" hidden="true" name="FDC_60_248" vbProcedure="false">"#"</definedName>
    <definedName function="false" hidden="true" name="FDC_60_249" vbProcedure="false">"#"</definedName>
    <definedName function="false" hidden="true" name="FDC_60_25" vbProcedure="false">"#"</definedName>
    <definedName function="false" hidden="true" name="FDC_60_250" vbProcedure="false">"#"</definedName>
    <definedName function="false" hidden="true" name="FDC_60_251" vbProcedure="false">"#"</definedName>
    <definedName function="false" hidden="true" name="FDC_60_252" vbProcedure="false">"#"</definedName>
    <definedName function="false" hidden="true" name="FDC_60_253" vbProcedure="false">"#"</definedName>
    <definedName function="false" hidden="true" name="FDC_60_254" vbProcedure="false">"#"</definedName>
    <definedName function="false" hidden="true" name="FDC_60_255" vbProcedure="false">"#"</definedName>
    <definedName function="false" hidden="true" name="FDC_60_256" vbProcedure="false">"#"</definedName>
    <definedName function="false" hidden="true" name="FDC_60_257" vbProcedure="false">"#"</definedName>
    <definedName function="false" hidden="true" name="FDC_60_258" vbProcedure="false">"#"</definedName>
    <definedName function="false" hidden="true" name="FDC_60_259" vbProcedure="false">"#"</definedName>
    <definedName function="false" hidden="true" name="FDC_60_26" vbProcedure="false">"#"</definedName>
    <definedName function="false" hidden="true" name="FDC_60_260" vbProcedure="false">"#"</definedName>
    <definedName function="false" hidden="true" name="FDC_60_261" vbProcedure="false">"#"</definedName>
    <definedName function="false" hidden="true" name="FDC_60_27" vbProcedure="false">"#"</definedName>
    <definedName function="false" hidden="true" name="FDC_60_28" vbProcedure="false">"#"</definedName>
    <definedName function="false" hidden="true" name="FDC_60_29" vbProcedure="false">"#"</definedName>
    <definedName function="false" hidden="true" name="FDC_60_3" vbProcedure="false">"#"</definedName>
    <definedName function="false" hidden="true" name="FDC_60_30" vbProcedure="false">"#"</definedName>
    <definedName function="false" hidden="true" name="FDC_60_31" vbProcedure="false">"#"</definedName>
    <definedName function="false" hidden="true" name="FDC_60_32" vbProcedure="false">"#"</definedName>
    <definedName function="false" hidden="true" name="FDC_60_33" vbProcedure="false">"#"</definedName>
    <definedName function="false" hidden="true" name="FDC_60_34" vbProcedure="false">"#"</definedName>
    <definedName function="false" hidden="true" name="FDC_60_35" vbProcedure="false">"#"</definedName>
    <definedName function="false" hidden="true" name="FDC_60_36" vbProcedure="false">"#"</definedName>
    <definedName function="false" hidden="true" name="FDC_60_37" vbProcedure="false">"#"</definedName>
    <definedName function="false" hidden="true" name="FDC_60_38" vbProcedure="false">"#"</definedName>
    <definedName function="false" hidden="true" name="FDC_60_39" vbProcedure="false">"#"</definedName>
    <definedName function="false" hidden="true" name="FDC_60_4" vbProcedure="false">"#"</definedName>
    <definedName function="false" hidden="true" name="FDC_60_40" vbProcedure="false">"#"</definedName>
    <definedName function="false" hidden="true" name="FDC_60_41" vbProcedure="false">"#"</definedName>
    <definedName function="false" hidden="true" name="FDC_60_42" vbProcedure="false">"#"</definedName>
    <definedName function="false" hidden="true" name="FDC_60_43" vbProcedure="false">"#"</definedName>
    <definedName function="false" hidden="true" name="FDC_60_44" vbProcedure="false">"#"</definedName>
    <definedName function="false" hidden="true" name="FDC_60_45" vbProcedure="false">"#"</definedName>
    <definedName function="false" hidden="true" name="FDC_60_46" vbProcedure="false">"#"</definedName>
    <definedName function="false" hidden="true" name="FDC_60_47" vbProcedure="false">"#"</definedName>
    <definedName function="false" hidden="true" name="FDC_60_48" vbProcedure="false">"#"</definedName>
    <definedName function="false" hidden="true" name="FDC_60_49" vbProcedure="false">"#"</definedName>
    <definedName function="false" hidden="true" name="FDC_60_5" vbProcedure="false">"#"</definedName>
    <definedName function="false" hidden="true" name="FDC_60_50" vbProcedure="false">"#"</definedName>
    <definedName function="false" hidden="true" name="FDC_60_51" vbProcedure="false">"#"</definedName>
    <definedName function="false" hidden="true" name="FDC_60_52" vbProcedure="false">"#"</definedName>
    <definedName function="false" hidden="true" name="FDC_60_53" vbProcedure="false">"#"</definedName>
    <definedName function="false" hidden="true" name="FDC_60_54" vbProcedure="false">"#"</definedName>
    <definedName function="false" hidden="true" name="FDC_60_55" vbProcedure="false">"#"</definedName>
    <definedName function="false" hidden="true" name="FDC_60_56" vbProcedure="false">"#"</definedName>
    <definedName function="false" hidden="true" name="FDC_60_57" vbProcedure="false">"#"</definedName>
    <definedName function="false" hidden="true" name="FDC_60_58" vbProcedure="false">"#"</definedName>
    <definedName function="false" hidden="true" name="FDC_60_59" vbProcedure="false">"#"</definedName>
    <definedName function="false" hidden="true" name="FDC_60_6" vbProcedure="false">"#"</definedName>
    <definedName function="false" hidden="true" name="FDC_60_60" vbProcedure="false">"#"</definedName>
    <definedName function="false" hidden="true" name="FDC_60_61" vbProcedure="false">"#"</definedName>
    <definedName function="false" hidden="true" name="FDC_60_62" vbProcedure="false">"#"</definedName>
    <definedName function="false" hidden="true" name="FDC_60_63" vbProcedure="false">"#"</definedName>
    <definedName function="false" hidden="true" name="FDC_60_64" vbProcedure="false">"#"</definedName>
    <definedName function="false" hidden="true" name="FDC_60_65" vbProcedure="false">"#"</definedName>
    <definedName function="false" hidden="true" name="FDC_60_66" vbProcedure="false">"#"</definedName>
    <definedName function="false" hidden="true" name="FDC_60_67" vbProcedure="false">"#"</definedName>
    <definedName function="false" hidden="true" name="FDC_60_68" vbProcedure="false">"#"</definedName>
    <definedName function="false" hidden="true" name="FDC_60_69" vbProcedure="false">"#"</definedName>
    <definedName function="false" hidden="true" name="FDC_60_7" vbProcedure="false">"#"</definedName>
    <definedName function="false" hidden="true" name="FDC_60_70" vbProcedure="false">"#"</definedName>
    <definedName function="false" hidden="true" name="FDC_60_71" vbProcedure="false">"#"</definedName>
    <definedName function="false" hidden="true" name="FDC_60_72" vbProcedure="false">"#"</definedName>
    <definedName function="false" hidden="true" name="FDC_60_73" vbProcedure="false">"#"</definedName>
    <definedName function="false" hidden="true" name="FDC_60_74" vbProcedure="false">"#"</definedName>
    <definedName function="false" hidden="true" name="FDC_60_75" vbProcedure="false">"#"</definedName>
    <definedName function="false" hidden="true" name="FDC_60_76" vbProcedure="false">"#"</definedName>
    <definedName function="false" hidden="true" name="FDC_60_77" vbProcedure="false">"#"</definedName>
    <definedName function="false" hidden="true" name="FDC_60_78" vbProcedure="false">"#"</definedName>
    <definedName function="false" hidden="true" name="FDC_60_79" vbProcedure="false">"#"</definedName>
    <definedName function="false" hidden="true" name="FDC_60_8" vbProcedure="false">"#"</definedName>
    <definedName function="false" hidden="true" name="FDC_60_80" vbProcedure="false">"#"</definedName>
    <definedName function="false" hidden="true" name="FDC_60_81" vbProcedure="false">"#"</definedName>
    <definedName function="false" hidden="true" name="FDC_60_82" vbProcedure="false">"#"</definedName>
    <definedName function="false" hidden="true" name="FDC_60_83" vbProcedure="false">"#"</definedName>
    <definedName function="false" hidden="true" name="FDC_60_84" vbProcedure="false">"#"</definedName>
    <definedName function="false" hidden="true" name="FDC_60_85" vbProcedure="false">"#"</definedName>
    <definedName function="false" hidden="true" name="FDC_60_86" vbProcedure="false">"#"</definedName>
    <definedName function="false" hidden="true" name="FDC_60_87" vbProcedure="false">"#"</definedName>
    <definedName function="false" hidden="true" name="FDC_60_88" vbProcedure="false">"#"</definedName>
    <definedName function="false" hidden="true" name="FDC_60_89" vbProcedure="false">"#"</definedName>
    <definedName function="false" hidden="true" name="FDC_60_9" vbProcedure="false">"#"</definedName>
    <definedName function="false" hidden="true" name="FDC_60_90" vbProcedure="false">"#"</definedName>
    <definedName function="false" hidden="true" name="FDC_60_91" vbProcedure="false">"#"</definedName>
    <definedName function="false" hidden="true" name="FDC_60_92" vbProcedure="false">"#"</definedName>
    <definedName function="false" hidden="true" name="FDC_60_93" vbProcedure="false">"#"</definedName>
    <definedName function="false" hidden="true" name="FDC_60_94" vbProcedure="false">"#"</definedName>
    <definedName function="false" hidden="true" name="FDC_60_95" vbProcedure="false">"#"</definedName>
    <definedName function="false" hidden="true" name="FDC_60_96" vbProcedure="false">"#"</definedName>
    <definedName function="false" hidden="true" name="FDC_60_97" vbProcedure="false">"#"</definedName>
    <definedName function="false" hidden="true" name="FDC_60_98" vbProcedure="false">"#"</definedName>
    <definedName function="false" hidden="true" name="FDC_60_99" vbProcedure="false">"#"</definedName>
    <definedName function="false" hidden="true" name="FDC_61_0" vbProcedure="false">"#"</definedName>
    <definedName function="false" hidden="true" name="FDC_62_0" vbProcedure="false">"#"</definedName>
    <definedName function="false" hidden="true" name="FDC_62_1" vbProcedure="false">"#"</definedName>
    <definedName function="false" hidden="true" name="FDC_62_10" vbProcedure="false">"#"</definedName>
    <definedName function="false" hidden="true" name="FDC_62_100" vbProcedure="false">"#"</definedName>
    <definedName function="false" hidden="true" name="FDC_62_101" vbProcedure="false">"#"</definedName>
    <definedName function="false" hidden="true" name="FDC_62_102" vbProcedure="false">"#"</definedName>
    <definedName function="false" hidden="true" name="FDC_62_103" vbProcedure="false">"#"</definedName>
    <definedName function="false" hidden="true" name="FDC_62_104" vbProcedure="false">"#"</definedName>
    <definedName function="false" hidden="true" name="FDC_62_105" vbProcedure="false">"#"</definedName>
    <definedName function="false" hidden="true" name="FDC_62_106" vbProcedure="false">"#"</definedName>
    <definedName function="false" hidden="true" name="FDC_62_107" vbProcedure="false">"#"</definedName>
    <definedName function="false" hidden="true" name="FDC_62_108" vbProcedure="false">"#"</definedName>
    <definedName function="false" hidden="true" name="FDC_62_109" vbProcedure="false">"#"</definedName>
    <definedName function="false" hidden="true" name="FDC_62_11" vbProcedure="false">"#"</definedName>
    <definedName function="false" hidden="true" name="FDC_62_110" vbProcedure="false">"#"</definedName>
    <definedName function="false" hidden="true" name="FDC_62_111" vbProcedure="false">"#"</definedName>
    <definedName function="false" hidden="true" name="FDC_62_112" vbProcedure="false">"#"</definedName>
    <definedName function="false" hidden="true" name="FDC_62_113" vbProcedure="false">"#"</definedName>
    <definedName function="false" hidden="true" name="FDC_62_114" vbProcedure="false">"#"</definedName>
    <definedName function="false" hidden="true" name="FDC_62_115" vbProcedure="false">"#"</definedName>
    <definedName function="false" hidden="true" name="FDC_62_116" vbProcedure="false">"#"</definedName>
    <definedName function="false" hidden="true" name="FDC_62_117" vbProcedure="false">"#"</definedName>
    <definedName function="false" hidden="true" name="FDC_62_118" vbProcedure="false">"#"</definedName>
    <definedName function="false" hidden="true" name="FDC_62_119" vbProcedure="false">"#"</definedName>
    <definedName function="false" hidden="true" name="FDC_62_12" vbProcedure="false">"#"</definedName>
    <definedName function="false" hidden="true" name="FDC_62_120" vbProcedure="false">"#"</definedName>
    <definedName function="false" hidden="true" name="FDC_62_121" vbProcedure="false">"#"</definedName>
    <definedName function="false" hidden="true" name="FDC_62_122" vbProcedure="false">"#"</definedName>
    <definedName function="false" hidden="true" name="FDC_62_123" vbProcedure="false">"#"</definedName>
    <definedName function="false" hidden="true" name="FDC_62_124" vbProcedure="false">"#"</definedName>
    <definedName function="false" hidden="true" name="FDC_62_125" vbProcedure="false">"#"</definedName>
    <definedName function="false" hidden="true" name="FDC_62_126" vbProcedure="false">"#"</definedName>
    <definedName function="false" hidden="true" name="FDC_62_127" vbProcedure="false">"#"</definedName>
    <definedName function="false" hidden="true" name="FDC_62_128" vbProcedure="false">"#"</definedName>
    <definedName function="false" hidden="true" name="FDC_62_129" vbProcedure="false">"#"</definedName>
    <definedName function="false" hidden="true" name="FDC_62_13" vbProcedure="false">"#"</definedName>
    <definedName function="false" hidden="true" name="FDC_62_130" vbProcedure="false">"#"</definedName>
    <definedName function="false" hidden="true" name="FDC_62_131" vbProcedure="false">"#"</definedName>
    <definedName function="false" hidden="true" name="FDC_62_132" vbProcedure="false">"#"</definedName>
    <definedName function="false" hidden="true" name="FDC_62_133" vbProcedure="false">"#"</definedName>
    <definedName function="false" hidden="true" name="FDC_62_134" vbProcedure="false">"#"</definedName>
    <definedName function="false" hidden="true" name="FDC_62_135" vbProcedure="false">"#"</definedName>
    <definedName function="false" hidden="true" name="FDC_62_136" vbProcedure="false">"#"</definedName>
    <definedName function="false" hidden="true" name="FDC_62_137" vbProcedure="false">"#"</definedName>
    <definedName function="false" hidden="true" name="FDC_62_138" vbProcedure="false">"#"</definedName>
    <definedName function="false" hidden="true" name="FDC_62_139" vbProcedure="false">"#"</definedName>
    <definedName function="false" hidden="true" name="FDC_62_14" vbProcedure="false">"#"</definedName>
    <definedName function="false" hidden="true" name="FDC_62_140" vbProcedure="false">"#"</definedName>
    <definedName function="false" hidden="true" name="FDC_62_141" vbProcedure="false">"#"</definedName>
    <definedName function="false" hidden="true" name="FDC_62_142" vbProcedure="false">"#"</definedName>
    <definedName function="false" hidden="true" name="FDC_62_143" vbProcedure="false">"#"</definedName>
    <definedName function="false" hidden="true" name="FDC_62_144" vbProcedure="false">"#"</definedName>
    <definedName function="false" hidden="true" name="FDC_62_145" vbProcedure="false">"#"</definedName>
    <definedName function="false" hidden="true" name="FDC_62_146" vbProcedure="false">"#"</definedName>
    <definedName function="false" hidden="true" name="FDC_62_147" vbProcedure="false">"#"</definedName>
    <definedName function="false" hidden="true" name="FDC_62_148" vbProcedure="false">"#"</definedName>
    <definedName function="false" hidden="true" name="FDC_62_149" vbProcedure="false">"#"</definedName>
    <definedName function="false" hidden="true" name="FDC_62_15" vbProcedure="false">"#"</definedName>
    <definedName function="false" hidden="true" name="FDC_62_150" vbProcedure="false">"#"</definedName>
    <definedName function="false" hidden="true" name="FDC_62_151" vbProcedure="false">"#"</definedName>
    <definedName function="false" hidden="true" name="FDC_62_152" vbProcedure="false">"#"</definedName>
    <definedName function="false" hidden="true" name="FDC_62_153" vbProcedure="false">"#"</definedName>
    <definedName function="false" hidden="true" name="FDC_62_154" vbProcedure="false">"#"</definedName>
    <definedName function="false" hidden="true" name="FDC_62_155" vbProcedure="false">"#"</definedName>
    <definedName function="false" hidden="true" name="FDC_62_156" vbProcedure="false">"#"</definedName>
    <definedName function="false" hidden="true" name="FDC_62_157" vbProcedure="false">"#"</definedName>
    <definedName function="false" hidden="true" name="FDC_62_158" vbProcedure="false">"#"</definedName>
    <definedName function="false" hidden="true" name="FDC_62_159" vbProcedure="false">"#"</definedName>
    <definedName function="false" hidden="true" name="FDC_62_16" vbProcedure="false">"#"</definedName>
    <definedName function="false" hidden="true" name="FDC_62_160" vbProcedure="false">"#"</definedName>
    <definedName function="false" hidden="true" name="FDC_62_161" vbProcedure="false">"#"</definedName>
    <definedName function="false" hidden="true" name="FDC_62_162" vbProcedure="false">"#"</definedName>
    <definedName function="false" hidden="true" name="FDC_62_163" vbProcedure="false">"#"</definedName>
    <definedName function="false" hidden="true" name="FDC_62_164" vbProcedure="false">"#"</definedName>
    <definedName function="false" hidden="true" name="FDC_62_165" vbProcedure="false">"#"</definedName>
    <definedName function="false" hidden="true" name="FDC_62_166" vbProcedure="false">"#"</definedName>
    <definedName function="false" hidden="true" name="FDC_62_167" vbProcedure="false">"#"</definedName>
    <definedName function="false" hidden="true" name="FDC_62_168" vbProcedure="false">"#"</definedName>
    <definedName function="false" hidden="true" name="FDC_62_169" vbProcedure="false">"#"</definedName>
    <definedName function="false" hidden="true" name="FDC_62_17" vbProcedure="false">"#"</definedName>
    <definedName function="false" hidden="true" name="FDC_62_170" vbProcedure="false">"#"</definedName>
    <definedName function="false" hidden="true" name="FDC_62_171" vbProcedure="false">"#"</definedName>
    <definedName function="false" hidden="true" name="FDC_62_172" vbProcedure="false">"#"</definedName>
    <definedName function="false" hidden="true" name="FDC_62_173" vbProcedure="false">"#"</definedName>
    <definedName function="false" hidden="true" name="FDC_62_174" vbProcedure="false">"#"</definedName>
    <definedName function="false" hidden="true" name="FDC_62_175" vbProcedure="false">"#"</definedName>
    <definedName function="false" hidden="true" name="FDC_62_176" vbProcedure="false">"#"</definedName>
    <definedName function="false" hidden="true" name="FDC_62_177" vbProcedure="false">"#"</definedName>
    <definedName function="false" hidden="true" name="FDC_62_178" vbProcedure="false">"#"</definedName>
    <definedName function="false" hidden="true" name="FDC_62_179" vbProcedure="false">"#"</definedName>
    <definedName function="false" hidden="true" name="FDC_62_18" vbProcedure="false">"#"</definedName>
    <definedName function="false" hidden="true" name="FDC_62_180" vbProcedure="false">"#"</definedName>
    <definedName function="false" hidden="true" name="FDC_62_181" vbProcedure="false">"#"</definedName>
    <definedName function="false" hidden="true" name="FDC_62_182" vbProcedure="false">"#"</definedName>
    <definedName function="false" hidden="true" name="FDC_62_183" vbProcedure="false">"#"</definedName>
    <definedName function="false" hidden="true" name="FDC_62_184" vbProcedure="false">"#"</definedName>
    <definedName function="false" hidden="true" name="FDC_62_185" vbProcedure="false">"#"</definedName>
    <definedName function="false" hidden="true" name="FDC_62_186" vbProcedure="false">"#"</definedName>
    <definedName function="false" hidden="true" name="FDC_62_187" vbProcedure="false">"#"</definedName>
    <definedName function="false" hidden="true" name="FDC_62_188" vbProcedure="false">"#"</definedName>
    <definedName function="false" hidden="true" name="FDC_62_189" vbProcedure="false">"#"</definedName>
    <definedName function="false" hidden="true" name="FDC_62_19" vbProcedure="false">"#"</definedName>
    <definedName function="false" hidden="true" name="FDC_62_190" vbProcedure="false">"#"</definedName>
    <definedName function="false" hidden="true" name="FDC_62_191" vbProcedure="false">"#"</definedName>
    <definedName function="false" hidden="true" name="FDC_62_192" vbProcedure="false">"#"</definedName>
    <definedName function="false" hidden="true" name="FDC_62_193" vbProcedure="false">"#"</definedName>
    <definedName function="false" hidden="true" name="FDC_62_194" vbProcedure="false">"#"</definedName>
    <definedName function="false" hidden="true" name="FDC_62_195" vbProcedure="false">"#"</definedName>
    <definedName function="false" hidden="true" name="FDC_62_196" vbProcedure="false">"#"</definedName>
    <definedName function="false" hidden="true" name="FDC_62_197" vbProcedure="false">"#"</definedName>
    <definedName function="false" hidden="true" name="FDC_62_198" vbProcedure="false">"#"</definedName>
    <definedName function="false" hidden="true" name="FDC_62_199" vbProcedure="false">"#"</definedName>
    <definedName function="false" hidden="true" name="FDC_62_2" vbProcedure="false">"#"</definedName>
    <definedName function="false" hidden="true" name="FDC_62_20" vbProcedure="false">"#"</definedName>
    <definedName function="false" hidden="true" name="FDC_62_200" vbProcedure="false">"#"</definedName>
    <definedName function="false" hidden="true" name="FDC_62_201" vbProcedure="false">"#"</definedName>
    <definedName function="false" hidden="true" name="FDC_62_202" vbProcedure="false">"#"</definedName>
    <definedName function="false" hidden="true" name="FDC_62_203" vbProcedure="false">"#"</definedName>
    <definedName function="false" hidden="true" name="FDC_62_204" vbProcedure="false">"#"</definedName>
    <definedName function="false" hidden="true" name="FDC_62_205" vbProcedure="false">"#"</definedName>
    <definedName function="false" hidden="true" name="FDC_62_206" vbProcedure="false">"#"</definedName>
    <definedName function="false" hidden="true" name="FDC_62_207" vbProcedure="false">"#"</definedName>
    <definedName function="false" hidden="true" name="FDC_62_208" vbProcedure="false">"#"</definedName>
    <definedName function="false" hidden="true" name="FDC_62_209" vbProcedure="false">"#"</definedName>
    <definedName function="false" hidden="true" name="FDC_62_21" vbProcedure="false">"#"</definedName>
    <definedName function="false" hidden="true" name="FDC_62_210" vbProcedure="false">"#"</definedName>
    <definedName function="false" hidden="true" name="FDC_62_211" vbProcedure="false">"#"</definedName>
    <definedName function="false" hidden="true" name="FDC_62_212" vbProcedure="false">"#"</definedName>
    <definedName function="false" hidden="true" name="FDC_62_213" vbProcedure="false">"#"</definedName>
    <definedName function="false" hidden="true" name="FDC_62_214" vbProcedure="false">"#"</definedName>
    <definedName function="false" hidden="true" name="FDC_62_215" vbProcedure="false">"#"</definedName>
    <definedName function="false" hidden="true" name="FDC_62_216" vbProcedure="false">"#"</definedName>
    <definedName function="false" hidden="true" name="FDC_62_217" vbProcedure="false">"#"</definedName>
    <definedName function="false" hidden="true" name="FDC_62_218" vbProcedure="false">"#"</definedName>
    <definedName function="false" hidden="true" name="FDC_62_219" vbProcedure="false">"#"</definedName>
    <definedName function="false" hidden="true" name="FDC_62_22" vbProcedure="false">"#"</definedName>
    <definedName function="false" hidden="true" name="FDC_62_220" vbProcedure="false">"#"</definedName>
    <definedName function="false" hidden="true" name="FDC_62_221" vbProcedure="false">"#"</definedName>
    <definedName function="false" hidden="true" name="FDC_62_222" vbProcedure="false">"#"</definedName>
    <definedName function="false" hidden="true" name="FDC_62_223" vbProcedure="false">"#"</definedName>
    <definedName function="false" hidden="true" name="FDC_62_224" vbProcedure="false">"#"</definedName>
    <definedName function="false" hidden="true" name="FDC_62_225" vbProcedure="false">"#"</definedName>
    <definedName function="false" hidden="true" name="FDC_62_226" vbProcedure="false">"#"</definedName>
    <definedName function="false" hidden="true" name="FDC_62_227" vbProcedure="false">"#"</definedName>
    <definedName function="false" hidden="true" name="FDC_62_228" vbProcedure="false">"#"</definedName>
    <definedName function="false" hidden="true" name="FDC_62_229" vbProcedure="false">"#"</definedName>
    <definedName function="false" hidden="true" name="FDC_62_23" vbProcedure="false">"#"</definedName>
    <definedName function="false" hidden="true" name="FDC_62_230" vbProcedure="false">"#"</definedName>
    <definedName function="false" hidden="true" name="FDC_62_231" vbProcedure="false">"#"</definedName>
    <definedName function="false" hidden="true" name="FDC_62_232" vbProcedure="false">"#"</definedName>
    <definedName function="false" hidden="true" name="FDC_62_233" vbProcedure="false">"#"</definedName>
    <definedName function="false" hidden="true" name="FDC_62_234" vbProcedure="false">"#"</definedName>
    <definedName function="false" hidden="true" name="FDC_62_235" vbProcedure="false">"#"</definedName>
    <definedName function="false" hidden="true" name="FDC_62_236" vbProcedure="false">"#"</definedName>
    <definedName function="false" hidden="true" name="FDC_62_237" vbProcedure="false">"#"</definedName>
    <definedName function="false" hidden="true" name="FDC_62_238" vbProcedure="false">"#"</definedName>
    <definedName function="false" hidden="true" name="FDC_62_239" vbProcedure="false">"#"</definedName>
    <definedName function="false" hidden="true" name="FDC_62_24" vbProcedure="false">"#"</definedName>
    <definedName function="false" hidden="true" name="FDC_62_240" vbProcedure="false">"#"</definedName>
    <definedName function="false" hidden="true" name="FDC_62_241" vbProcedure="false">"#"</definedName>
    <definedName function="false" hidden="true" name="FDC_62_242" vbProcedure="false">"#"</definedName>
    <definedName function="false" hidden="true" name="FDC_62_243" vbProcedure="false">"#"</definedName>
    <definedName function="false" hidden="true" name="FDC_62_244" vbProcedure="false">"#"</definedName>
    <definedName function="false" hidden="true" name="FDC_62_245" vbProcedure="false">"#"</definedName>
    <definedName function="false" hidden="true" name="FDC_62_246" vbProcedure="false">"#"</definedName>
    <definedName function="false" hidden="true" name="FDC_62_247" vbProcedure="false">"#"</definedName>
    <definedName function="false" hidden="true" name="FDC_62_248" vbProcedure="false">"#"</definedName>
    <definedName function="false" hidden="true" name="FDC_62_249" vbProcedure="false">"#"</definedName>
    <definedName function="false" hidden="true" name="FDC_62_25" vbProcedure="false">"#"</definedName>
    <definedName function="false" hidden="true" name="FDC_62_250" vbProcedure="false">"#"</definedName>
    <definedName function="false" hidden="true" name="FDC_62_251" vbProcedure="false">"#"</definedName>
    <definedName function="false" hidden="true" name="FDC_62_252" vbProcedure="false">"#"</definedName>
    <definedName function="false" hidden="true" name="FDC_62_253" vbProcedure="false">"#"</definedName>
    <definedName function="false" hidden="true" name="FDC_62_254" vbProcedure="false">"#"</definedName>
    <definedName function="false" hidden="true" name="FDC_62_255" vbProcedure="false">"#"</definedName>
    <definedName function="false" hidden="true" name="FDC_62_256" vbProcedure="false">"#"</definedName>
    <definedName function="false" hidden="true" name="FDC_62_257" vbProcedure="false">"#"</definedName>
    <definedName function="false" hidden="true" name="FDC_62_258" vbProcedure="false">"#"</definedName>
    <definedName function="false" hidden="true" name="FDC_62_259" vbProcedure="false">"#"</definedName>
    <definedName function="false" hidden="true" name="FDC_62_26" vbProcedure="false">"#"</definedName>
    <definedName function="false" hidden="true" name="FDC_62_260" vbProcedure="false">"#"</definedName>
    <definedName function="false" hidden="true" name="FDC_62_261" vbProcedure="false">"#"</definedName>
    <definedName function="false" hidden="true" name="FDC_62_27" vbProcedure="false">"#"</definedName>
    <definedName function="false" hidden="true" name="FDC_62_28" vbProcedure="false">"#"</definedName>
    <definedName function="false" hidden="true" name="FDC_62_29" vbProcedure="false">"#"</definedName>
    <definedName function="false" hidden="true" name="FDC_62_3" vbProcedure="false">"#"</definedName>
    <definedName function="false" hidden="true" name="FDC_62_30" vbProcedure="false">"#"</definedName>
    <definedName function="false" hidden="true" name="FDC_62_31" vbProcedure="false">"#"</definedName>
    <definedName function="false" hidden="true" name="FDC_62_32" vbProcedure="false">"#"</definedName>
    <definedName function="false" hidden="true" name="FDC_62_33" vbProcedure="false">"#"</definedName>
    <definedName function="false" hidden="true" name="FDC_62_34" vbProcedure="false">"#"</definedName>
    <definedName function="false" hidden="true" name="FDC_62_35" vbProcedure="false">"#"</definedName>
    <definedName function="false" hidden="true" name="FDC_62_36" vbProcedure="false">"#"</definedName>
    <definedName function="false" hidden="true" name="FDC_62_37" vbProcedure="false">"#"</definedName>
    <definedName function="false" hidden="true" name="FDC_62_38" vbProcedure="false">"#"</definedName>
    <definedName function="false" hidden="true" name="FDC_62_39" vbProcedure="false">"#"</definedName>
    <definedName function="false" hidden="true" name="FDC_62_4" vbProcedure="false">"#"</definedName>
    <definedName function="false" hidden="true" name="FDC_62_40" vbProcedure="false">"#"</definedName>
    <definedName function="false" hidden="true" name="FDC_62_41" vbProcedure="false">"#"</definedName>
    <definedName function="false" hidden="true" name="FDC_62_42" vbProcedure="false">"#"</definedName>
    <definedName function="false" hidden="true" name="FDC_62_43" vbProcedure="false">"#"</definedName>
    <definedName function="false" hidden="true" name="FDC_62_44" vbProcedure="false">"#"</definedName>
    <definedName function="false" hidden="true" name="FDC_62_45" vbProcedure="false">"#"</definedName>
    <definedName function="false" hidden="true" name="FDC_62_46" vbProcedure="false">"#"</definedName>
    <definedName function="false" hidden="true" name="FDC_62_47" vbProcedure="false">"#"</definedName>
    <definedName function="false" hidden="true" name="FDC_62_48" vbProcedure="false">"#"</definedName>
    <definedName function="false" hidden="true" name="FDC_62_49" vbProcedure="false">"#"</definedName>
    <definedName function="false" hidden="true" name="FDC_62_5" vbProcedure="false">"#"</definedName>
    <definedName function="false" hidden="true" name="FDC_62_50" vbProcedure="false">"#"</definedName>
    <definedName function="false" hidden="true" name="FDC_62_51" vbProcedure="false">"#"</definedName>
    <definedName function="false" hidden="true" name="FDC_62_52" vbProcedure="false">"#"</definedName>
    <definedName function="false" hidden="true" name="FDC_62_53" vbProcedure="false">"#"</definedName>
    <definedName function="false" hidden="true" name="FDC_62_54" vbProcedure="false">"#"</definedName>
    <definedName function="false" hidden="true" name="FDC_62_55" vbProcedure="false">"#"</definedName>
    <definedName function="false" hidden="true" name="FDC_62_56" vbProcedure="false">"#"</definedName>
    <definedName function="false" hidden="true" name="FDC_62_57" vbProcedure="false">"#"</definedName>
    <definedName function="false" hidden="true" name="FDC_62_58" vbProcedure="false">"#"</definedName>
    <definedName function="false" hidden="true" name="FDC_62_59" vbProcedure="false">"#"</definedName>
    <definedName function="false" hidden="true" name="FDC_62_6" vbProcedure="false">"#"</definedName>
    <definedName function="false" hidden="true" name="FDC_62_60" vbProcedure="false">"#"</definedName>
    <definedName function="false" hidden="true" name="FDC_62_61" vbProcedure="false">"#"</definedName>
    <definedName function="false" hidden="true" name="FDC_62_62" vbProcedure="false">"#"</definedName>
    <definedName function="false" hidden="true" name="FDC_62_63" vbProcedure="false">"#"</definedName>
    <definedName function="false" hidden="true" name="FDC_62_64" vbProcedure="false">"#"</definedName>
    <definedName function="false" hidden="true" name="FDC_62_65" vbProcedure="false">"#"</definedName>
    <definedName function="false" hidden="true" name="FDC_62_66" vbProcedure="false">"#"</definedName>
    <definedName function="false" hidden="true" name="FDC_62_67" vbProcedure="false">"#"</definedName>
    <definedName function="false" hidden="true" name="FDC_62_68" vbProcedure="false">"#"</definedName>
    <definedName function="false" hidden="true" name="FDC_62_69" vbProcedure="false">"#"</definedName>
    <definedName function="false" hidden="true" name="FDC_62_7" vbProcedure="false">"#"</definedName>
    <definedName function="false" hidden="true" name="FDC_62_70" vbProcedure="false">"#"</definedName>
    <definedName function="false" hidden="true" name="FDC_62_71" vbProcedure="false">"#"</definedName>
    <definedName function="false" hidden="true" name="FDC_62_72" vbProcedure="false">"#"</definedName>
    <definedName function="false" hidden="true" name="FDC_62_73" vbProcedure="false">"#"</definedName>
    <definedName function="false" hidden="true" name="FDC_62_74" vbProcedure="false">"#"</definedName>
    <definedName function="false" hidden="true" name="FDC_62_75" vbProcedure="false">"#"</definedName>
    <definedName function="false" hidden="true" name="FDC_62_76" vbProcedure="false">"#"</definedName>
    <definedName function="false" hidden="true" name="FDC_62_77" vbProcedure="false">"#"</definedName>
    <definedName function="false" hidden="true" name="FDC_62_78" vbProcedure="false">"#"</definedName>
    <definedName function="false" hidden="true" name="FDC_62_79" vbProcedure="false">"#"</definedName>
    <definedName function="false" hidden="true" name="FDC_62_8" vbProcedure="false">"#"</definedName>
    <definedName function="false" hidden="true" name="FDC_62_80" vbProcedure="false">"#"</definedName>
    <definedName function="false" hidden="true" name="FDC_62_81" vbProcedure="false">"#"</definedName>
    <definedName function="false" hidden="true" name="FDC_62_82" vbProcedure="false">"#"</definedName>
    <definedName function="false" hidden="true" name="FDC_62_83" vbProcedure="false">"#"</definedName>
    <definedName function="false" hidden="true" name="FDC_62_84" vbProcedure="false">"#"</definedName>
    <definedName function="false" hidden="true" name="FDC_62_85" vbProcedure="false">"#"</definedName>
    <definedName function="false" hidden="true" name="FDC_62_86" vbProcedure="false">"#"</definedName>
    <definedName function="false" hidden="true" name="FDC_62_87" vbProcedure="false">"#"</definedName>
    <definedName function="false" hidden="true" name="FDC_62_88" vbProcedure="false">"#"</definedName>
    <definedName function="false" hidden="true" name="FDC_62_89" vbProcedure="false">"#"</definedName>
    <definedName function="false" hidden="true" name="FDC_62_9" vbProcedure="false">"#"</definedName>
    <definedName function="false" hidden="true" name="FDC_62_90" vbProcedure="false">"#"</definedName>
    <definedName function="false" hidden="true" name="FDC_62_91" vbProcedure="false">"#"</definedName>
    <definedName function="false" hidden="true" name="FDC_62_92" vbProcedure="false">"#"</definedName>
    <definedName function="false" hidden="true" name="FDC_62_93" vbProcedure="false">"#"</definedName>
    <definedName function="false" hidden="true" name="FDC_62_94" vbProcedure="false">"#"</definedName>
    <definedName function="false" hidden="true" name="FDC_62_95" vbProcedure="false">"#"</definedName>
    <definedName function="false" hidden="true" name="FDC_62_96" vbProcedure="false">"#"</definedName>
    <definedName function="false" hidden="true" name="FDC_62_97" vbProcedure="false">"#"</definedName>
    <definedName function="false" hidden="true" name="FDC_62_98" vbProcedure="false">"#"</definedName>
    <definedName function="false" hidden="true" name="FDC_62_99" vbProcedure="false">"#"</definedName>
    <definedName function="false" hidden="true" name="FDC_63_0" vbProcedure="false">"#"</definedName>
    <definedName function="false" hidden="true" name="FDC_63_1" vbProcedure="false">"#"</definedName>
    <definedName function="false" hidden="true" name="FDC_63_10" vbProcedure="false">"#"</definedName>
    <definedName function="false" hidden="true" name="FDC_63_100" vbProcedure="false">"#"</definedName>
    <definedName function="false" hidden="true" name="FDC_63_101" vbProcedure="false">"#"</definedName>
    <definedName function="false" hidden="true" name="FDC_63_102" vbProcedure="false">"#"</definedName>
    <definedName function="false" hidden="true" name="FDC_63_103" vbProcedure="false">"#"</definedName>
    <definedName function="false" hidden="true" name="FDC_63_104" vbProcedure="false">"#"</definedName>
    <definedName function="false" hidden="true" name="FDC_63_105" vbProcedure="false">"#"</definedName>
    <definedName function="false" hidden="true" name="FDC_63_106" vbProcedure="false">"#"</definedName>
    <definedName function="false" hidden="true" name="FDC_63_107" vbProcedure="false">"#"</definedName>
    <definedName function="false" hidden="true" name="FDC_63_108" vbProcedure="false">"#"</definedName>
    <definedName function="false" hidden="true" name="FDC_63_109" vbProcedure="false">"#"</definedName>
    <definedName function="false" hidden="true" name="FDC_63_11" vbProcedure="false">"#"</definedName>
    <definedName function="false" hidden="true" name="FDC_63_110" vbProcedure="false">"#"</definedName>
    <definedName function="false" hidden="true" name="FDC_63_111" vbProcedure="false">"#"</definedName>
    <definedName function="false" hidden="true" name="FDC_63_112" vbProcedure="false">"#"</definedName>
    <definedName function="false" hidden="true" name="FDC_63_113" vbProcedure="false">"#"</definedName>
    <definedName function="false" hidden="true" name="FDC_63_114" vbProcedure="false">"#"</definedName>
    <definedName function="false" hidden="true" name="FDC_63_115" vbProcedure="false">"#"</definedName>
    <definedName function="false" hidden="true" name="FDC_63_116" vbProcedure="false">"#"</definedName>
    <definedName function="false" hidden="true" name="FDC_63_117" vbProcedure="false">"#"</definedName>
    <definedName function="false" hidden="true" name="FDC_63_118" vbProcedure="false">"#"</definedName>
    <definedName function="false" hidden="true" name="FDC_63_119" vbProcedure="false">"#"</definedName>
    <definedName function="false" hidden="true" name="FDC_63_12" vbProcedure="false">"#"</definedName>
    <definedName function="false" hidden="true" name="FDC_63_120" vbProcedure="false">"#"</definedName>
    <definedName function="false" hidden="true" name="FDC_63_121" vbProcedure="false">"#"</definedName>
    <definedName function="false" hidden="true" name="FDC_63_122" vbProcedure="false">"#"</definedName>
    <definedName function="false" hidden="true" name="FDC_63_123" vbProcedure="false">"#"</definedName>
    <definedName function="false" hidden="true" name="FDC_63_124" vbProcedure="false">"#"</definedName>
    <definedName function="false" hidden="true" name="FDC_63_125" vbProcedure="false">"#"</definedName>
    <definedName function="false" hidden="true" name="FDC_63_126" vbProcedure="false">"#"</definedName>
    <definedName function="false" hidden="true" name="FDC_63_127" vbProcedure="false">"#"</definedName>
    <definedName function="false" hidden="true" name="FDC_63_128" vbProcedure="false">"#"</definedName>
    <definedName function="false" hidden="true" name="FDC_63_129" vbProcedure="false">"#"</definedName>
    <definedName function="false" hidden="true" name="FDC_63_13" vbProcedure="false">"#"</definedName>
    <definedName function="false" hidden="true" name="FDC_63_130" vbProcedure="false">"#"</definedName>
    <definedName function="false" hidden="true" name="FDC_63_131" vbProcedure="false">"#"</definedName>
    <definedName function="false" hidden="true" name="FDC_63_132" vbProcedure="false">"#"</definedName>
    <definedName function="false" hidden="true" name="FDC_63_133" vbProcedure="false">"#"</definedName>
    <definedName function="false" hidden="true" name="FDC_63_134" vbProcedure="false">"#"</definedName>
    <definedName function="false" hidden="true" name="FDC_63_135" vbProcedure="false">"#"</definedName>
    <definedName function="false" hidden="true" name="FDC_63_136" vbProcedure="false">"#"</definedName>
    <definedName function="false" hidden="true" name="FDC_63_137" vbProcedure="false">"#"</definedName>
    <definedName function="false" hidden="true" name="FDC_63_138" vbProcedure="false">"#"</definedName>
    <definedName function="false" hidden="true" name="FDC_63_139" vbProcedure="false">"#"</definedName>
    <definedName function="false" hidden="true" name="FDC_63_14" vbProcedure="false">"#"</definedName>
    <definedName function="false" hidden="true" name="FDC_63_140" vbProcedure="false">"#"</definedName>
    <definedName function="false" hidden="true" name="FDC_63_141" vbProcedure="false">"#"</definedName>
    <definedName function="false" hidden="true" name="FDC_63_142" vbProcedure="false">"#"</definedName>
    <definedName function="false" hidden="true" name="FDC_63_143" vbProcedure="false">"#"</definedName>
    <definedName function="false" hidden="true" name="FDC_63_144" vbProcedure="false">"#"</definedName>
    <definedName function="false" hidden="true" name="FDC_63_145" vbProcedure="false">"#"</definedName>
    <definedName function="false" hidden="true" name="FDC_63_146" vbProcedure="false">"#"</definedName>
    <definedName function="false" hidden="true" name="FDC_63_147" vbProcedure="false">"#"</definedName>
    <definedName function="false" hidden="true" name="FDC_63_148" vbProcedure="false">"#"</definedName>
    <definedName function="false" hidden="true" name="FDC_63_149" vbProcedure="false">"#"</definedName>
    <definedName function="false" hidden="true" name="FDC_63_15" vbProcedure="false">"#"</definedName>
    <definedName function="false" hidden="true" name="FDC_63_150" vbProcedure="false">"#"</definedName>
    <definedName function="false" hidden="true" name="FDC_63_151" vbProcedure="false">"#"</definedName>
    <definedName function="false" hidden="true" name="FDC_63_152" vbProcedure="false">"#"</definedName>
    <definedName function="false" hidden="true" name="FDC_63_153" vbProcedure="false">"#"</definedName>
    <definedName function="false" hidden="true" name="FDC_63_154" vbProcedure="false">"#"</definedName>
    <definedName function="false" hidden="true" name="FDC_63_155" vbProcedure="false">"#"</definedName>
    <definedName function="false" hidden="true" name="FDC_63_156" vbProcedure="false">"#"</definedName>
    <definedName function="false" hidden="true" name="FDC_63_157" vbProcedure="false">"#"</definedName>
    <definedName function="false" hidden="true" name="FDC_63_158" vbProcedure="false">"#"</definedName>
    <definedName function="false" hidden="true" name="FDC_63_159" vbProcedure="false">"#"</definedName>
    <definedName function="false" hidden="true" name="FDC_63_16" vbProcedure="false">"#"</definedName>
    <definedName function="false" hidden="true" name="FDC_63_160" vbProcedure="false">"#"</definedName>
    <definedName function="false" hidden="true" name="FDC_63_161" vbProcedure="false">"#"</definedName>
    <definedName function="false" hidden="true" name="FDC_63_162" vbProcedure="false">"#"</definedName>
    <definedName function="false" hidden="true" name="FDC_63_163" vbProcedure="false">"#"</definedName>
    <definedName function="false" hidden="true" name="FDC_63_164" vbProcedure="false">"#"</definedName>
    <definedName function="false" hidden="true" name="FDC_63_165" vbProcedure="false">"#"</definedName>
    <definedName function="false" hidden="true" name="FDC_63_166" vbProcedure="false">"#"</definedName>
    <definedName function="false" hidden="true" name="FDC_63_167" vbProcedure="false">"#"</definedName>
    <definedName function="false" hidden="true" name="FDC_63_168" vbProcedure="false">"#"</definedName>
    <definedName function="false" hidden="true" name="FDC_63_169" vbProcedure="false">"#"</definedName>
    <definedName function="false" hidden="true" name="FDC_63_17" vbProcedure="false">"#"</definedName>
    <definedName function="false" hidden="true" name="FDC_63_170" vbProcedure="false">"#"</definedName>
    <definedName function="false" hidden="true" name="FDC_63_171" vbProcedure="false">"#"</definedName>
    <definedName function="false" hidden="true" name="FDC_63_172" vbProcedure="false">"#"</definedName>
    <definedName function="false" hidden="true" name="FDC_63_173" vbProcedure="false">"#"</definedName>
    <definedName function="false" hidden="true" name="FDC_63_174" vbProcedure="false">"#"</definedName>
    <definedName function="false" hidden="true" name="FDC_63_175" vbProcedure="false">"#"</definedName>
    <definedName function="false" hidden="true" name="FDC_63_176" vbProcedure="false">"#"</definedName>
    <definedName function="false" hidden="true" name="FDC_63_177" vbProcedure="false">"#"</definedName>
    <definedName function="false" hidden="true" name="FDC_63_178" vbProcedure="false">"#"</definedName>
    <definedName function="false" hidden="true" name="FDC_63_179" vbProcedure="false">"#"</definedName>
    <definedName function="false" hidden="true" name="FDC_63_18" vbProcedure="false">"#"</definedName>
    <definedName function="false" hidden="true" name="FDC_63_180" vbProcedure="false">"#"</definedName>
    <definedName function="false" hidden="true" name="FDC_63_181" vbProcedure="false">"#"</definedName>
    <definedName function="false" hidden="true" name="FDC_63_182" vbProcedure="false">"#"</definedName>
    <definedName function="false" hidden="true" name="FDC_63_183" vbProcedure="false">"#"</definedName>
    <definedName function="false" hidden="true" name="FDC_63_184" vbProcedure="false">"#"</definedName>
    <definedName function="false" hidden="true" name="FDC_63_185" vbProcedure="false">"#"</definedName>
    <definedName function="false" hidden="true" name="FDC_63_186" vbProcedure="false">"#"</definedName>
    <definedName function="false" hidden="true" name="FDC_63_187" vbProcedure="false">"#"</definedName>
    <definedName function="false" hidden="true" name="FDC_63_188" vbProcedure="false">"#"</definedName>
    <definedName function="false" hidden="true" name="FDC_63_189" vbProcedure="false">"#"</definedName>
    <definedName function="false" hidden="true" name="FDC_63_19" vbProcedure="false">"#"</definedName>
    <definedName function="false" hidden="true" name="FDC_63_190" vbProcedure="false">"#"</definedName>
    <definedName function="false" hidden="true" name="FDC_63_191" vbProcedure="false">"#"</definedName>
    <definedName function="false" hidden="true" name="FDC_63_192" vbProcedure="false">"#"</definedName>
    <definedName function="false" hidden="true" name="FDC_63_193" vbProcedure="false">"#"</definedName>
    <definedName function="false" hidden="true" name="FDC_63_194" vbProcedure="false">"#"</definedName>
    <definedName function="false" hidden="true" name="FDC_63_195" vbProcedure="false">"#"</definedName>
    <definedName function="false" hidden="true" name="FDC_63_196" vbProcedure="false">"#"</definedName>
    <definedName function="false" hidden="true" name="FDC_63_197" vbProcedure="false">"#"</definedName>
    <definedName function="false" hidden="true" name="FDC_63_198" vbProcedure="false">"#"</definedName>
    <definedName function="false" hidden="true" name="FDC_63_199" vbProcedure="false">"#"</definedName>
    <definedName function="false" hidden="true" name="FDC_63_2" vbProcedure="false">"#"</definedName>
    <definedName function="false" hidden="true" name="FDC_63_20" vbProcedure="false">"#"</definedName>
    <definedName function="false" hidden="true" name="FDC_63_200" vbProcedure="false">"#"</definedName>
    <definedName function="false" hidden="true" name="FDC_63_201" vbProcedure="false">"#"</definedName>
    <definedName function="false" hidden="true" name="FDC_63_202" vbProcedure="false">"#"</definedName>
    <definedName function="false" hidden="true" name="FDC_63_203" vbProcedure="false">"#"</definedName>
    <definedName function="false" hidden="true" name="FDC_63_204" vbProcedure="false">"#"</definedName>
    <definedName function="false" hidden="true" name="FDC_63_205" vbProcedure="false">"#"</definedName>
    <definedName function="false" hidden="true" name="FDC_63_206" vbProcedure="false">"#"</definedName>
    <definedName function="false" hidden="true" name="FDC_63_207" vbProcedure="false">"#"</definedName>
    <definedName function="false" hidden="true" name="FDC_63_208" vbProcedure="false">"#"</definedName>
    <definedName function="false" hidden="true" name="FDC_63_209" vbProcedure="false">"#"</definedName>
    <definedName function="false" hidden="true" name="FDC_63_21" vbProcedure="false">"#"</definedName>
    <definedName function="false" hidden="true" name="FDC_63_210" vbProcedure="false">"#"</definedName>
    <definedName function="false" hidden="true" name="FDC_63_211" vbProcedure="false">"#"</definedName>
    <definedName function="false" hidden="true" name="FDC_63_212" vbProcedure="false">"#"</definedName>
    <definedName function="false" hidden="true" name="FDC_63_213" vbProcedure="false">"#"</definedName>
    <definedName function="false" hidden="true" name="FDC_63_214" vbProcedure="false">"#"</definedName>
    <definedName function="false" hidden="true" name="FDC_63_215" vbProcedure="false">"#"</definedName>
    <definedName function="false" hidden="true" name="FDC_63_216" vbProcedure="false">"#"</definedName>
    <definedName function="false" hidden="true" name="FDC_63_217" vbProcedure="false">"#"</definedName>
    <definedName function="false" hidden="true" name="FDC_63_218" vbProcedure="false">"#"</definedName>
    <definedName function="false" hidden="true" name="FDC_63_219" vbProcedure="false">"#"</definedName>
    <definedName function="false" hidden="true" name="FDC_63_22" vbProcedure="false">"#"</definedName>
    <definedName function="false" hidden="true" name="FDC_63_220" vbProcedure="false">"#"</definedName>
    <definedName function="false" hidden="true" name="FDC_63_221" vbProcedure="false">"#"</definedName>
    <definedName function="false" hidden="true" name="FDC_63_222" vbProcedure="false">"#"</definedName>
    <definedName function="false" hidden="true" name="FDC_63_223" vbProcedure="false">"#"</definedName>
    <definedName function="false" hidden="true" name="FDC_63_224" vbProcedure="false">"#"</definedName>
    <definedName function="false" hidden="true" name="FDC_63_225" vbProcedure="false">"#"</definedName>
    <definedName function="false" hidden="true" name="FDC_63_226" vbProcedure="false">"#"</definedName>
    <definedName function="false" hidden="true" name="FDC_63_227" vbProcedure="false">"#"</definedName>
    <definedName function="false" hidden="true" name="FDC_63_228" vbProcedure="false">"#"</definedName>
    <definedName function="false" hidden="true" name="FDC_63_229" vbProcedure="false">"#"</definedName>
    <definedName function="false" hidden="true" name="FDC_63_23" vbProcedure="false">"#"</definedName>
    <definedName function="false" hidden="true" name="FDC_63_230" vbProcedure="false">"#"</definedName>
    <definedName function="false" hidden="true" name="FDC_63_231" vbProcedure="false">"#"</definedName>
    <definedName function="false" hidden="true" name="FDC_63_232" vbProcedure="false">"#"</definedName>
    <definedName function="false" hidden="true" name="FDC_63_233" vbProcedure="false">"#"</definedName>
    <definedName function="false" hidden="true" name="FDC_63_234" vbProcedure="false">"#"</definedName>
    <definedName function="false" hidden="true" name="FDC_63_235" vbProcedure="false">"#"</definedName>
    <definedName function="false" hidden="true" name="FDC_63_236" vbProcedure="false">"#"</definedName>
    <definedName function="false" hidden="true" name="FDC_63_237" vbProcedure="false">"#"</definedName>
    <definedName function="false" hidden="true" name="FDC_63_238" vbProcedure="false">"#"</definedName>
    <definedName function="false" hidden="true" name="FDC_63_239" vbProcedure="false">"#"</definedName>
    <definedName function="false" hidden="true" name="FDC_63_24" vbProcedure="false">"#"</definedName>
    <definedName function="false" hidden="true" name="FDC_63_240" vbProcedure="false">"#"</definedName>
    <definedName function="false" hidden="true" name="FDC_63_241" vbProcedure="false">"#"</definedName>
    <definedName function="false" hidden="true" name="FDC_63_242" vbProcedure="false">"#"</definedName>
    <definedName function="false" hidden="true" name="FDC_63_243" vbProcedure="false">"#"</definedName>
    <definedName function="false" hidden="true" name="FDC_63_244" vbProcedure="false">"#"</definedName>
    <definedName function="false" hidden="true" name="FDC_63_245" vbProcedure="false">"#"</definedName>
    <definedName function="false" hidden="true" name="FDC_63_246" vbProcedure="false">"#"</definedName>
    <definedName function="false" hidden="true" name="FDC_63_247" vbProcedure="false">"#"</definedName>
    <definedName function="false" hidden="true" name="FDC_63_248" vbProcedure="false">"#"</definedName>
    <definedName function="false" hidden="true" name="FDC_63_249" vbProcedure="false">"#"</definedName>
    <definedName function="false" hidden="true" name="FDC_63_25" vbProcedure="false">"#"</definedName>
    <definedName function="false" hidden="true" name="FDC_63_250" vbProcedure="false">"#"</definedName>
    <definedName function="false" hidden="true" name="FDC_63_251" vbProcedure="false">"#"</definedName>
    <definedName function="false" hidden="true" name="FDC_63_252" vbProcedure="false">"#"</definedName>
    <definedName function="false" hidden="true" name="FDC_63_253" vbProcedure="false">"#"</definedName>
    <definedName function="false" hidden="true" name="FDC_63_254" vbProcedure="false">"#"</definedName>
    <definedName function="false" hidden="true" name="FDC_63_255" vbProcedure="false">"#"</definedName>
    <definedName function="false" hidden="true" name="FDC_63_256" vbProcedure="false">"#"</definedName>
    <definedName function="false" hidden="true" name="FDC_63_257" vbProcedure="false">"#"</definedName>
    <definedName function="false" hidden="true" name="FDC_63_258" vbProcedure="false">"#"</definedName>
    <definedName function="false" hidden="true" name="FDC_63_259" vbProcedure="false">"#"</definedName>
    <definedName function="false" hidden="true" name="FDC_63_26" vbProcedure="false">"#"</definedName>
    <definedName function="false" hidden="true" name="FDC_63_260" vbProcedure="false">"#"</definedName>
    <definedName function="false" hidden="true" name="FDC_63_261" vbProcedure="false">"#"</definedName>
    <definedName function="false" hidden="true" name="FDC_63_27" vbProcedure="false">"#"</definedName>
    <definedName function="false" hidden="true" name="FDC_63_28" vbProcedure="false">"#"</definedName>
    <definedName function="false" hidden="true" name="FDC_63_29" vbProcedure="false">"#"</definedName>
    <definedName function="false" hidden="true" name="FDC_63_3" vbProcedure="false">"#"</definedName>
    <definedName function="false" hidden="true" name="FDC_63_30" vbProcedure="false">"#"</definedName>
    <definedName function="false" hidden="true" name="FDC_63_31" vbProcedure="false">"#"</definedName>
    <definedName function="false" hidden="true" name="FDC_63_32" vbProcedure="false">"#"</definedName>
    <definedName function="false" hidden="true" name="FDC_63_33" vbProcedure="false">"#"</definedName>
    <definedName function="false" hidden="true" name="FDC_63_34" vbProcedure="false">"#"</definedName>
    <definedName function="false" hidden="true" name="FDC_63_35" vbProcedure="false">"#"</definedName>
    <definedName function="false" hidden="true" name="FDC_63_36" vbProcedure="false">"#"</definedName>
    <definedName function="false" hidden="true" name="FDC_63_37" vbProcedure="false">"#"</definedName>
    <definedName function="false" hidden="true" name="FDC_63_38" vbProcedure="false">"#"</definedName>
    <definedName function="false" hidden="true" name="FDC_63_39" vbProcedure="false">"#"</definedName>
    <definedName function="false" hidden="true" name="FDC_63_4" vbProcedure="false">"#"</definedName>
    <definedName function="false" hidden="true" name="FDC_63_40" vbProcedure="false">"#"</definedName>
    <definedName function="false" hidden="true" name="FDC_63_41" vbProcedure="false">"#"</definedName>
    <definedName function="false" hidden="true" name="FDC_63_42" vbProcedure="false">"#"</definedName>
    <definedName function="false" hidden="true" name="FDC_63_43" vbProcedure="false">"#"</definedName>
    <definedName function="false" hidden="true" name="FDC_63_44" vbProcedure="false">"#"</definedName>
    <definedName function="false" hidden="true" name="FDC_63_45" vbProcedure="false">"#"</definedName>
    <definedName function="false" hidden="true" name="FDC_63_46" vbProcedure="false">"#"</definedName>
    <definedName function="false" hidden="true" name="FDC_63_47" vbProcedure="false">"#"</definedName>
    <definedName function="false" hidden="true" name="FDC_63_48" vbProcedure="false">"#"</definedName>
    <definedName function="false" hidden="true" name="FDC_63_49" vbProcedure="false">"#"</definedName>
    <definedName function="false" hidden="true" name="FDC_63_5" vbProcedure="false">"#"</definedName>
    <definedName function="false" hidden="true" name="FDC_63_50" vbProcedure="false">"#"</definedName>
    <definedName function="false" hidden="true" name="FDC_63_51" vbProcedure="false">"#"</definedName>
    <definedName function="false" hidden="true" name="FDC_63_52" vbProcedure="false">"#"</definedName>
    <definedName function="false" hidden="true" name="FDC_63_53" vbProcedure="false">"#"</definedName>
    <definedName function="false" hidden="true" name="FDC_63_54" vbProcedure="false">"#"</definedName>
    <definedName function="false" hidden="true" name="FDC_63_55" vbProcedure="false">"#"</definedName>
    <definedName function="false" hidden="true" name="FDC_63_56" vbProcedure="false">"#"</definedName>
    <definedName function="false" hidden="true" name="FDC_63_57" vbProcedure="false">"#"</definedName>
    <definedName function="false" hidden="true" name="FDC_63_58" vbProcedure="false">"#"</definedName>
    <definedName function="false" hidden="true" name="FDC_63_59" vbProcedure="false">"#"</definedName>
    <definedName function="false" hidden="true" name="FDC_63_6" vbProcedure="false">"#"</definedName>
    <definedName function="false" hidden="true" name="FDC_63_60" vbProcedure="false">"#"</definedName>
    <definedName function="false" hidden="true" name="FDC_63_61" vbProcedure="false">"#"</definedName>
    <definedName function="false" hidden="true" name="FDC_63_62" vbProcedure="false">"#"</definedName>
    <definedName function="false" hidden="true" name="FDC_63_63" vbProcedure="false">"#"</definedName>
    <definedName function="false" hidden="true" name="FDC_63_64" vbProcedure="false">"#"</definedName>
    <definedName function="false" hidden="true" name="FDC_63_65" vbProcedure="false">"#"</definedName>
    <definedName function="false" hidden="true" name="FDC_63_66" vbProcedure="false">"#"</definedName>
    <definedName function="false" hidden="true" name="FDC_63_67" vbProcedure="false">"#"</definedName>
    <definedName function="false" hidden="true" name="FDC_63_68" vbProcedure="false">"#"</definedName>
    <definedName function="false" hidden="true" name="FDC_63_69" vbProcedure="false">"#"</definedName>
    <definedName function="false" hidden="true" name="FDC_63_7" vbProcedure="false">"#"</definedName>
    <definedName function="false" hidden="true" name="FDC_63_70" vbProcedure="false">"#"</definedName>
    <definedName function="false" hidden="true" name="FDC_63_71" vbProcedure="false">"#"</definedName>
    <definedName function="false" hidden="true" name="FDC_63_72" vbProcedure="false">"#"</definedName>
    <definedName function="false" hidden="true" name="FDC_63_73" vbProcedure="false">"#"</definedName>
    <definedName function="false" hidden="true" name="FDC_63_74" vbProcedure="false">"#"</definedName>
    <definedName function="false" hidden="true" name="FDC_63_75" vbProcedure="false">"#"</definedName>
    <definedName function="false" hidden="true" name="FDC_63_76" vbProcedure="false">"#"</definedName>
    <definedName function="false" hidden="true" name="FDC_63_77" vbProcedure="false">"#"</definedName>
    <definedName function="false" hidden="true" name="FDC_63_78" vbProcedure="false">"#"</definedName>
    <definedName function="false" hidden="true" name="FDC_63_79" vbProcedure="false">"#"</definedName>
    <definedName function="false" hidden="true" name="FDC_63_8" vbProcedure="false">"#"</definedName>
    <definedName function="false" hidden="true" name="FDC_63_80" vbProcedure="false">"#"</definedName>
    <definedName function="false" hidden="true" name="FDC_63_81" vbProcedure="false">"#"</definedName>
    <definedName function="false" hidden="true" name="FDC_63_82" vbProcedure="false">"#"</definedName>
    <definedName function="false" hidden="true" name="FDC_63_83" vbProcedure="false">"#"</definedName>
    <definedName function="false" hidden="true" name="FDC_63_84" vbProcedure="false">"#"</definedName>
    <definedName function="false" hidden="true" name="FDC_63_85" vbProcedure="false">"#"</definedName>
    <definedName function="false" hidden="true" name="FDC_63_86" vbProcedure="false">"#"</definedName>
    <definedName function="false" hidden="true" name="FDC_63_87" vbProcedure="false">"#"</definedName>
    <definedName function="false" hidden="true" name="FDC_63_88" vbProcedure="false">"#"</definedName>
    <definedName function="false" hidden="true" name="FDC_63_89" vbProcedure="false">"#"</definedName>
    <definedName function="false" hidden="true" name="FDC_63_9" vbProcedure="false">"#"</definedName>
    <definedName function="false" hidden="true" name="FDC_63_90" vbProcedure="false">"#"</definedName>
    <definedName function="false" hidden="true" name="FDC_63_91" vbProcedure="false">"#"</definedName>
    <definedName function="false" hidden="true" name="FDC_63_92" vbProcedure="false">"#"</definedName>
    <definedName function="false" hidden="true" name="FDC_63_93" vbProcedure="false">"#"</definedName>
    <definedName function="false" hidden="true" name="FDC_63_94" vbProcedure="false">"#"</definedName>
    <definedName function="false" hidden="true" name="FDC_63_95" vbProcedure="false">"#"</definedName>
    <definedName function="false" hidden="true" name="FDC_63_96" vbProcedure="false">"#"</definedName>
    <definedName function="false" hidden="true" name="FDC_63_97" vbProcedure="false">"#"</definedName>
    <definedName function="false" hidden="true" name="FDC_63_98" vbProcedure="false">"#"</definedName>
    <definedName function="false" hidden="true" name="FDC_63_99" vbProcedure="false">"#"</definedName>
    <definedName function="false" hidden="true" name="FDC_64_0" vbProcedure="false">"#"</definedName>
    <definedName function="false" hidden="true" name="FDC_64_1" vbProcedure="false">"#"</definedName>
    <definedName function="false" hidden="true" name="FDC_64_10" vbProcedure="false">"#"</definedName>
    <definedName function="false" hidden="true" name="FDC_64_100" vbProcedure="false">"#"</definedName>
    <definedName function="false" hidden="true" name="FDC_64_101" vbProcedure="false">"#"</definedName>
    <definedName function="false" hidden="true" name="FDC_64_102" vbProcedure="false">"#"</definedName>
    <definedName function="false" hidden="true" name="FDC_64_103" vbProcedure="false">"#"</definedName>
    <definedName function="false" hidden="true" name="FDC_64_104" vbProcedure="false">"#"</definedName>
    <definedName function="false" hidden="true" name="FDC_64_105" vbProcedure="false">"#"</definedName>
    <definedName function="false" hidden="true" name="FDC_64_106" vbProcedure="false">"#"</definedName>
    <definedName function="false" hidden="true" name="FDC_64_107" vbProcedure="false">"#"</definedName>
    <definedName function="false" hidden="true" name="FDC_64_108" vbProcedure="false">"#"</definedName>
    <definedName function="false" hidden="true" name="FDC_64_109" vbProcedure="false">"#"</definedName>
    <definedName function="false" hidden="true" name="FDC_64_11" vbProcedure="false">"#"</definedName>
    <definedName function="false" hidden="true" name="FDC_64_110" vbProcedure="false">"#"</definedName>
    <definedName function="false" hidden="true" name="FDC_64_111" vbProcedure="false">"#"</definedName>
    <definedName function="false" hidden="true" name="FDC_64_112" vbProcedure="false">"#"</definedName>
    <definedName function="false" hidden="true" name="FDC_64_113" vbProcedure="false">"#"</definedName>
    <definedName function="false" hidden="true" name="FDC_64_114" vbProcedure="false">"#"</definedName>
    <definedName function="false" hidden="true" name="FDC_64_115" vbProcedure="false">"#"</definedName>
    <definedName function="false" hidden="true" name="FDC_64_116" vbProcedure="false">"#"</definedName>
    <definedName function="false" hidden="true" name="FDC_64_117" vbProcedure="false">"#"</definedName>
    <definedName function="false" hidden="true" name="FDC_64_118" vbProcedure="false">"#"</definedName>
    <definedName function="false" hidden="true" name="FDC_64_119" vbProcedure="false">"#"</definedName>
    <definedName function="false" hidden="true" name="FDC_64_12" vbProcedure="false">"#"</definedName>
    <definedName function="false" hidden="true" name="FDC_64_120" vbProcedure="false">"#"</definedName>
    <definedName function="false" hidden="true" name="FDC_64_121" vbProcedure="false">"#"</definedName>
    <definedName function="false" hidden="true" name="FDC_64_122" vbProcedure="false">"#"</definedName>
    <definedName function="false" hidden="true" name="FDC_64_123" vbProcedure="false">"#"</definedName>
    <definedName function="false" hidden="true" name="FDC_64_124" vbProcedure="false">"#"</definedName>
    <definedName function="false" hidden="true" name="FDC_64_125" vbProcedure="false">"#"</definedName>
    <definedName function="false" hidden="true" name="FDC_64_126" vbProcedure="false">"#"</definedName>
    <definedName function="false" hidden="true" name="FDC_64_127" vbProcedure="false">"#"</definedName>
    <definedName function="false" hidden="true" name="FDC_64_128" vbProcedure="false">"#"</definedName>
    <definedName function="false" hidden="true" name="FDC_64_129" vbProcedure="false">"#"</definedName>
    <definedName function="false" hidden="true" name="FDC_64_13" vbProcedure="false">"#"</definedName>
    <definedName function="false" hidden="true" name="FDC_64_130" vbProcedure="false">"#"</definedName>
    <definedName function="false" hidden="true" name="FDC_64_131" vbProcedure="false">"#"</definedName>
    <definedName function="false" hidden="true" name="FDC_64_132" vbProcedure="false">"#"</definedName>
    <definedName function="false" hidden="true" name="FDC_64_133" vbProcedure="false">"#"</definedName>
    <definedName function="false" hidden="true" name="FDC_64_134" vbProcedure="false">"#"</definedName>
    <definedName function="false" hidden="true" name="FDC_64_135" vbProcedure="false">"#"</definedName>
    <definedName function="false" hidden="true" name="FDC_64_136" vbProcedure="false">"#"</definedName>
    <definedName function="false" hidden="true" name="FDC_64_137" vbProcedure="false">"#"</definedName>
    <definedName function="false" hidden="true" name="FDC_64_138" vbProcedure="false">"#"</definedName>
    <definedName function="false" hidden="true" name="FDC_64_139" vbProcedure="false">"#"</definedName>
    <definedName function="false" hidden="true" name="FDC_64_14" vbProcedure="false">"#"</definedName>
    <definedName function="false" hidden="true" name="FDC_64_140" vbProcedure="false">"#"</definedName>
    <definedName function="false" hidden="true" name="FDC_64_141" vbProcedure="false">"#"</definedName>
    <definedName function="false" hidden="true" name="FDC_64_142" vbProcedure="false">"#"</definedName>
    <definedName function="false" hidden="true" name="FDC_64_143" vbProcedure="false">"#"</definedName>
    <definedName function="false" hidden="true" name="FDC_64_144" vbProcedure="false">"#"</definedName>
    <definedName function="false" hidden="true" name="FDC_64_145" vbProcedure="false">"#"</definedName>
    <definedName function="false" hidden="true" name="FDC_64_146" vbProcedure="false">"#"</definedName>
    <definedName function="false" hidden="true" name="FDC_64_147" vbProcedure="false">"#"</definedName>
    <definedName function="false" hidden="true" name="FDC_64_148" vbProcedure="false">"#"</definedName>
    <definedName function="false" hidden="true" name="FDC_64_149" vbProcedure="false">"#"</definedName>
    <definedName function="false" hidden="true" name="FDC_64_15" vbProcedure="false">"#"</definedName>
    <definedName function="false" hidden="true" name="FDC_64_150" vbProcedure="false">"#"</definedName>
    <definedName function="false" hidden="true" name="FDC_64_151" vbProcedure="false">"#"</definedName>
    <definedName function="false" hidden="true" name="FDC_64_152" vbProcedure="false">"#"</definedName>
    <definedName function="false" hidden="true" name="FDC_64_153" vbProcedure="false">"#"</definedName>
    <definedName function="false" hidden="true" name="FDC_64_154" vbProcedure="false">"#"</definedName>
    <definedName function="false" hidden="true" name="FDC_64_155" vbProcedure="false">"#"</definedName>
    <definedName function="false" hidden="true" name="FDC_64_156" vbProcedure="false">"#"</definedName>
    <definedName function="false" hidden="true" name="FDC_64_157" vbProcedure="false">"#"</definedName>
    <definedName function="false" hidden="true" name="FDC_64_158" vbProcedure="false">"#"</definedName>
    <definedName function="false" hidden="true" name="FDC_64_159" vbProcedure="false">"#"</definedName>
    <definedName function="false" hidden="true" name="FDC_64_16" vbProcedure="false">"#"</definedName>
    <definedName function="false" hidden="true" name="FDC_64_160" vbProcedure="false">"#"</definedName>
    <definedName function="false" hidden="true" name="FDC_64_161" vbProcedure="false">"#"</definedName>
    <definedName function="false" hidden="true" name="FDC_64_162" vbProcedure="false">"#"</definedName>
    <definedName function="false" hidden="true" name="FDC_64_163" vbProcedure="false">"#"</definedName>
    <definedName function="false" hidden="true" name="FDC_64_164" vbProcedure="false">"#"</definedName>
    <definedName function="false" hidden="true" name="FDC_64_165" vbProcedure="false">"#"</definedName>
    <definedName function="false" hidden="true" name="FDC_64_166" vbProcedure="false">"#"</definedName>
    <definedName function="false" hidden="true" name="FDC_64_167" vbProcedure="false">"#"</definedName>
    <definedName function="false" hidden="true" name="FDC_64_168" vbProcedure="false">"#"</definedName>
    <definedName function="false" hidden="true" name="FDC_64_169" vbProcedure="false">"#"</definedName>
    <definedName function="false" hidden="true" name="FDC_64_17" vbProcedure="false">"#"</definedName>
    <definedName function="false" hidden="true" name="FDC_64_170" vbProcedure="false">"#"</definedName>
    <definedName function="false" hidden="true" name="FDC_64_171" vbProcedure="false">"#"</definedName>
    <definedName function="false" hidden="true" name="FDC_64_172" vbProcedure="false">"#"</definedName>
    <definedName function="false" hidden="true" name="FDC_64_173" vbProcedure="false">"#"</definedName>
    <definedName function="false" hidden="true" name="FDC_64_174" vbProcedure="false">"#"</definedName>
    <definedName function="false" hidden="true" name="FDC_64_175" vbProcedure="false">"#"</definedName>
    <definedName function="false" hidden="true" name="FDC_64_176" vbProcedure="false">"#"</definedName>
    <definedName function="false" hidden="true" name="FDC_64_177" vbProcedure="false">"#"</definedName>
    <definedName function="false" hidden="true" name="FDC_64_178" vbProcedure="false">"#"</definedName>
    <definedName function="false" hidden="true" name="FDC_64_179" vbProcedure="false">"#"</definedName>
    <definedName function="false" hidden="true" name="FDC_64_18" vbProcedure="false">"#"</definedName>
    <definedName function="false" hidden="true" name="FDC_64_180" vbProcedure="false">"#"</definedName>
    <definedName function="false" hidden="true" name="FDC_64_181" vbProcedure="false">"#"</definedName>
    <definedName function="false" hidden="true" name="FDC_64_182" vbProcedure="false">"#"</definedName>
    <definedName function="false" hidden="true" name="FDC_64_183" vbProcedure="false">"#"</definedName>
    <definedName function="false" hidden="true" name="FDC_64_184" vbProcedure="false">"#"</definedName>
    <definedName function="false" hidden="true" name="FDC_64_185" vbProcedure="false">"#"</definedName>
    <definedName function="false" hidden="true" name="FDC_64_186" vbProcedure="false">"#"</definedName>
    <definedName function="false" hidden="true" name="FDC_64_187" vbProcedure="false">"#"</definedName>
    <definedName function="false" hidden="true" name="FDC_64_188" vbProcedure="false">"#"</definedName>
    <definedName function="false" hidden="true" name="FDC_64_189" vbProcedure="false">"#"</definedName>
    <definedName function="false" hidden="true" name="FDC_64_19" vbProcedure="false">"#"</definedName>
    <definedName function="false" hidden="true" name="FDC_64_190" vbProcedure="false">"#"</definedName>
    <definedName function="false" hidden="true" name="FDC_64_191" vbProcedure="false">"#"</definedName>
    <definedName function="false" hidden="true" name="FDC_64_192" vbProcedure="false">"#"</definedName>
    <definedName function="false" hidden="true" name="FDC_64_193" vbProcedure="false">"#"</definedName>
    <definedName function="false" hidden="true" name="FDC_64_194" vbProcedure="false">"#"</definedName>
    <definedName function="false" hidden="true" name="FDC_64_195" vbProcedure="false">"#"</definedName>
    <definedName function="false" hidden="true" name="FDC_64_196" vbProcedure="false">"#"</definedName>
    <definedName function="false" hidden="true" name="FDC_64_197" vbProcedure="false">"#"</definedName>
    <definedName function="false" hidden="true" name="FDC_64_198" vbProcedure="false">"#"</definedName>
    <definedName function="false" hidden="true" name="FDC_64_199" vbProcedure="false">"#"</definedName>
    <definedName function="false" hidden="true" name="FDC_64_2" vbProcedure="false">"#"</definedName>
    <definedName function="false" hidden="true" name="FDC_64_20" vbProcedure="false">"#"</definedName>
    <definedName function="false" hidden="true" name="FDC_64_200" vbProcedure="false">"#"</definedName>
    <definedName function="false" hidden="true" name="FDC_64_201" vbProcedure="false">"#"</definedName>
    <definedName function="false" hidden="true" name="FDC_64_202" vbProcedure="false">"#"</definedName>
    <definedName function="false" hidden="true" name="FDC_64_203" vbProcedure="false">"#"</definedName>
    <definedName function="false" hidden="true" name="FDC_64_204" vbProcedure="false">"#"</definedName>
    <definedName function="false" hidden="true" name="FDC_64_205" vbProcedure="false">"#"</definedName>
    <definedName function="false" hidden="true" name="FDC_64_206" vbProcedure="false">"#"</definedName>
    <definedName function="false" hidden="true" name="FDC_64_207" vbProcedure="false">"#"</definedName>
    <definedName function="false" hidden="true" name="FDC_64_208" vbProcedure="false">"#"</definedName>
    <definedName function="false" hidden="true" name="FDC_64_209" vbProcedure="false">"#"</definedName>
    <definedName function="false" hidden="true" name="FDC_64_21" vbProcedure="false">"#"</definedName>
    <definedName function="false" hidden="true" name="FDC_64_210" vbProcedure="false">"#"</definedName>
    <definedName function="false" hidden="true" name="FDC_64_211" vbProcedure="false">"#"</definedName>
    <definedName function="false" hidden="true" name="FDC_64_212" vbProcedure="false">"#"</definedName>
    <definedName function="false" hidden="true" name="FDC_64_213" vbProcedure="false">"#"</definedName>
    <definedName function="false" hidden="true" name="FDC_64_214" vbProcedure="false">"#"</definedName>
    <definedName function="false" hidden="true" name="FDC_64_215" vbProcedure="false">"#"</definedName>
    <definedName function="false" hidden="true" name="FDC_64_216" vbProcedure="false">"#"</definedName>
    <definedName function="false" hidden="true" name="FDC_64_217" vbProcedure="false">"#"</definedName>
    <definedName function="false" hidden="true" name="FDC_64_218" vbProcedure="false">"#"</definedName>
    <definedName function="false" hidden="true" name="FDC_64_219" vbProcedure="false">"#"</definedName>
    <definedName function="false" hidden="true" name="FDC_64_22" vbProcedure="false">"#"</definedName>
    <definedName function="false" hidden="true" name="FDC_64_220" vbProcedure="false">"#"</definedName>
    <definedName function="false" hidden="true" name="FDC_64_221" vbProcedure="false">"#"</definedName>
    <definedName function="false" hidden="true" name="FDC_64_222" vbProcedure="false">"#"</definedName>
    <definedName function="false" hidden="true" name="FDC_64_223" vbProcedure="false">"#"</definedName>
    <definedName function="false" hidden="true" name="FDC_64_224" vbProcedure="false">"#"</definedName>
    <definedName function="false" hidden="true" name="FDC_64_225" vbProcedure="false">"#"</definedName>
    <definedName function="false" hidden="true" name="FDC_64_226" vbProcedure="false">"#"</definedName>
    <definedName function="false" hidden="true" name="FDC_64_227" vbProcedure="false">"#"</definedName>
    <definedName function="false" hidden="true" name="FDC_64_228" vbProcedure="false">"#"</definedName>
    <definedName function="false" hidden="true" name="FDC_64_229" vbProcedure="false">"#"</definedName>
    <definedName function="false" hidden="true" name="FDC_64_23" vbProcedure="false">"#"</definedName>
    <definedName function="false" hidden="true" name="FDC_64_230" vbProcedure="false">"#"</definedName>
    <definedName function="false" hidden="true" name="FDC_64_231" vbProcedure="false">"#"</definedName>
    <definedName function="false" hidden="true" name="FDC_64_232" vbProcedure="false">"#"</definedName>
    <definedName function="false" hidden="true" name="FDC_64_233" vbProcedure="false">"#"</definedName>
    <definedName function="false" hidden="true" name="FDC_64_234" vbProcedure="false">"#"</definedName>
    <definedName function="false" hidden="true" name="FDC_64_235" vbProcedure="false">"#"</definedName>
    <definedName function="false" hidden="true" name="FDC_64_236" vbProcedure="false">"#"</definedName>
    <definedName function="false" hidden="true" name="FDC_64_237" vbProcedure="false">"#"</definedName>
    <definedName function="false" hidden="true" name="FDC_64_238" vbProcedure="false">"#"</definedName>
    <definedName function="false" hidden="true" name="FDC_64_239" vbProcedure="false">"#"</definedName>
    <definedName function="false" hidden="true" name="FDC_64_24" vbProcedure="false">"#"</definedName>
    <definedName function="false" hidden="true" name="FDC_64_240" vbProcedure="false">"#"</definedName>
    <definedName function="false" hidden="true" name="FDC_64_241" vbProcedure="false">"#"</definedName>
    <definedName function="false" hidden="true" name="FDC_64_242" vbProcedure="false">"#"</definedName>
    <definedName function="false" hidden="true" name="FDC_64_243" vbProcedure="false">"#"</definedName>
    <definedName function="false" hidden="true" name="FDC_64_244" vbProcedure="false">"#"</definedName>
    <definedName function="false" hidden="true" name="FDC_64_245" vbProcedure="false">"#"</definedName>
    <definedName function="false" hidden="true" name="FDC_64_246" vbProcedure="false">"#"</definedName>
    <definedName function="false" hidden="true" name="FDC_64_247" vbProcedure="false">"#"</definedName>
    <definedName function="false" hidden="true" name="FDC_64_248" vbProcedure="false">"#"</definedName>
    <definedName function="false" hidden="true" name="FDC_64_249" vbProcedure="false">"#"</definedName>
    <definedName function="false" hidden="true" name="FDC_64_25" vbProcedure="false">"#"</definedName>
    <definedName function="false" hidden="true" name="FDC_64_250" vbProcedure="false">"#"</definedName>
    <definedName function="false" hidden="true" name="FDC_64_251" vbProcedure="false">"#"</definedName>
    <definedName function="false" hidden="true" name="FDC_64_252" vbProcedure="false">"#"</definedName>
    <definedName function="false" hidden="true" name="FDC_64_253" vbProcedure="false">"#"</definedName>
    <definedName function="false" hidden="true" name="FDC_64_254" vbProcedure="false">"#"</definedName>
    <definedName function="false" hidden="true" name="FDC_64_255" vbProcedure="false">"#"</definedName>
    <definedName function="false" hidden="true" name="FDC_64_256" vbProcedure="false">"#"</definedName>
    <definedName function="false" hidden="true" name="FDC_64_257" vbProcedure="false">"#"</definedName>
    <definedName function="false" hidden="true" name="FDC_64_258" vbProcedure="false">"#"</definedName>
    <definedName function="false" hidden="true" name="FDC_64_259" vbProcedure="false">"#"</definedName>
    <definedName function="false" hidden="true" name="FDC_64_26" vbProcedure="false">"#"</definedName>
    <definedName function="false" hidden="true" name="FDC_64_260" vbProcedure="false">"#"</definedName>
    <definedName function="false" hidden="true" name="FDC_64_261" vbProcedure="false">"#"</definedName>
    <definedName function="false" hidden="true" name="FDC_64_27" vbProcedure="false">"#"</definedName>
    <definedName function="false" hidden="true" name="FDC_64_28" vbProcedure="false">"#"</definedName>
    <definedName function="false" hidden="true" name="FDC_64_29" vbProcedure="false">"#"</definedName>
    <definedName function="false" hidden="true" name="FDC_64_3" vbProcedure="false">"#"</definedName>
    <definedName function="false" hidden="true" name="FDC_64_30" vbProcedure="false">"#"</definedName>
    <definedName function="false" hidden="true" name="FDC_64_31" vbProcedure="false">"#"</definedName>
    <definedName function="false" hidden="true" name="FDC_64_32" vbProcedure="false">"#"</definedName>
    <definedName function="false" hidden="true" name="FDC_64_33" vbProcedure="false">"#"</definedName>
    <definedName function="false" hidden="true" name="FDC_64_34" vbProcedure="false">"#"</definedName>
    <definedName function="false" hidden="true" name="FDC_64_35" vbProcedure="false">"#"</definedName>
    <definedName function="false" hidden="true" name="FDC_64_36" vbProcedure="false">"#"</definedName>
    <definedName function="false" hidden="true" name="FDC_64_37" vbProcedure="false">"#"</definedName>
    <definedName function="false" hidden="true" name="FDC_64_38" vbProcedure="false">"#"</definedName>
    <definedName function="false" hidden="true" name="FDC_64_39" vbProcedure="false">"#"</definedName>
    <definedName function="false" hidden="true" name="FDC_64_4" vbProcedure="false">"#"</definedName>
    <definedName function="false" hidden="true" name="FDC_64_40" vbProcedure="false">"#"</definedName>
    <definedName function="false" hidden="true" name="FDC_64_41" vbProcedure="false">"#"</definedName>
    <definedName function="false" hidden="true" name="FDC_64_42" vbProcedure="false">"#"</definedName>
    <definedName function="false" hidden="true" name="FDC_64_43" vbProcedure="false">"#"</definedName>
    <definedName function="false" hidden="true" name="FDC_64_44" vbProcedure="false">"#"</definedName>
    <definedName function="false" hidden="true" name="FDC_64_45" vbProcedure="false">"#"</definedName>
    <definedName function="false" hidden="true" name="FDC_64_46" vbProcedure="false">"#"</definedName>
    <definedName function="false" hidden="true" name="FDC_64_47" vbProcedure="false">"#"</definedName>
    <definedName function="false" hidden="true" name="FDC_64_48" vbProcedure="false">"#"</definedName>
    <definedName function="false" hidden="true" name="FDC_64_49" vbProcedure="false">"#"</definedName>
    <definedName function="false" hidden="true" name="FDC_64_5" vbProcedure="false">"#"</definedName>
    <definedName function="false" hidden="true" name="FDC_64_50" vbProcedure="false">"#"</definedName>
    <definedName function="false" hidden="true" name="FDC_64_51" vbProcedure="false">"#"</definedName>
    <definedName function="false" hidden="true" name="FDC_64_52" vbProcedure="false">"#"</definedName>
    <definedName function="false" hidden="true" name="FDC_64_53" vbProcedure="false">"#"</definedName>
    <definedName function="false" hidden="true" name="FDC_64_54" vbProcedure="false">"#"</definedName>
    <definedName function="false" hidden="true" name="FDC_64_55" vbProcedure="false">"#"</definedName>
    <definedName function="false" hidden="true" name="FDC_64_56" vbProcedure="false">"#"</definedName>
    <definedName function="false" hidden="true" name="FDC_64_57" vbProcedure="false">"#"</definedName>
    <definedName function="false" hidden="true" name="FDC_64_58" vbProcedure="false">"#"</definedName>
    <definedName function="false" hidden="true" name="FDC_64_59" vbProcedure="false">"#"</definedName>
    <definedName function="false" hidden="true" name="FDC_64_6" vbProcedure="false">"#"</definedName>
    <definedName function="false" hidden="true" name="FDC_64_60" vbProcedure="false">"#"</definedName>
    <definedName function="false" hidden="true" name="FDC_64_61" vbProcedure="false">"#"</definedName>
    <definedName function="false" hidden="true" name="FDC_64_62" vbProcedure="false">"#"</definedName>
    <definedName function="false" hidden="true" name="FDC_64_63" vbProcedure="false">"#"</definedName>
    <definedName function="false" hidden="true" name="FDC_64_64" vbProcedure="false">"#"</definedName>
    <definedName function="false" hidden="true" name="FDC_64_65" vbProcedure="false">"#"</definedName>
    <definedName function="false" hidden="true" name="FDC_64_66" vbProcedure="false">"#"</definedName>
    <definedName function="false" hidden="true" name="FDC_64_67" vbProcedure="false">"#"</definedName>
    <definedName function="false" hidden="true" name="FDC_64_68" vbProcedure="false">"#"</definedName>
    <definedName function="false" hidden="true" name="FDC_64_69" vbProcedure="false">"#"</definedName>
    <definedName function="false" hidden="true" name="FDC_64_7" vbProcedure="false">"#"</definedName>
    <definedName function="false" hidden="true" name="FDC_64_70" vbProcedure="false">"#"</definedName>
    <definedName function="false" hidden="true" name="FDC_64_71" vbProcedure="false">"#"</definedName>
    <definedName function="false" hidden="true" name="FDC_64_72" vbProcedure="false">"#"</definedName>
    <definedName function="false" hidden="true" name="FDC_64_73" vbProcedure="false">"#"</definedName>
    <definedName function="false" hidden="true" name="FDC_64_74" vbProcedure="false">"#"</definedName>
    <definedName function="false" hidden="true" name="FDC_64_75" vbProcedure="false">"#"</definedName>
    <definedName function="false" hidden="true" name="FDC_64_76" vbProcedure="false">"#"</definedName>
    <definedName function="false" hidden="true" name="FDC_64_77" vbProcedure="false">"#"</definedName>
    <definedName function="false" hidden="true" name="FDC_64_78" vbProcedure="false">"#"</definedName>
    <definedName function="false" hidden="true" name="FDC_64_79" vbProcedure="false">"#"</definedName>
    <definedName function="false" hidden="true" name="FDC_64_8" vbProcedure="false">"#"</definedName>
    <definedName function="false" hidden="true" name="FDC_64_80" vbProcedure="false">"#"</definedName>
    <definedName function="false" hidden="true" name="FDC_64_81" vbProcedure="false">"#"</definedName>
    <definedName function="false" hidden="true" name="FDC_64_82" vbProcedure="false">"#"</definedName>
    <definedName function="false" hidden="true" name="FDC_64_83" vbProcedure="false">"#"</definedName>
    <definedName function="false" hidden="true" name="FDC_64_84" vbProcedure="false">"#"</definedName>
    <definedName function="false" hidden="true" name="FDC_64_85" vbProcedure="false">"#"</definedName>
    <definedName function="false" hidden="true" name="FDC_64_86" vbProcedure="false">"#"</definedName>
    <definedName function="false" hidden="true" name="FDC_64_87" vbProcedure="false">"#"</definedName>
    <definedName function="false" hidden="true" name="FDC_64_88" vbProcedure="false">"#"</definedName>
    <definedName function="false" hidden="true" name="FDC_64_89" vbProcedure="false">"#"</definedName>
    <definedName function="false" hidden="true" name="FDC_64_9" vbProcedure="false">"#"</definedName>
    <definedName function="false" hidden="true" name="FDC_64_90" vbProcedure="false">"#"</definedName>
    <definedName function="false" hidden="true" name="FDC_64_91" vbProcedure="false">"#"</definedName>
    <definedName function="false" hidden="true" name="FDC_64_92" vbProcedure="false">"#"</definedName>
    <definedName function="false" hidden="true" name="FDC_64_93" vbProcedure="false">"#"</definedName>
    <definedName function="false" hidden="true" name="FDC_64_94" vbProcedure="false">"#"</definedName>
    <definedName function="false" hidden="true" name="FDC_64_95" vbProcedure="false">"#"</definedName>
    <definedName function="false" hidden="true" name="FDC_64_96" vbProcedure="false">"#"</definedName>
    <definedName function="false" hidden="true" name="FDC_64_97" vbProcedure="false">"#"</definedName>
    <definedName function="false" hidden="true" name="FDC_64_98" vbProcedure="false">"#"</definedName>
    <definedName function="false" hidden="true" name="FDC_64_99" vbProcedure="false">"#"</definedName>
    <definedName function="false" hidden="true" name="FDC_65_0" vbProcedure="false">"#"</definedName>
    <definedName function="false" hidden="true" name="FDC_6_0" vbProcedure="false">"#"</definedName>
    <definedName function="false" hidden="true" name="FDC_6_1" vbProcedure="false">"#"</definedName>
    <definedName function="false" hidden="true" name="FDC_6_2" vbProcedure="false">"#"</definedName>
    <definedName function="false" hidden="true" name="FDC_6_3" vbProcedure="false">"#"</definedName>
    <definedName function="false" hidden="true" name="FDC_7_0" vbProcedure="false">"#"</definedName>
    <definedName function="false" hidden="true" name="FDC_7_1" vbProcedure="false">"#"</definedName>
    <definedName function="false" hidden="true" name="FDC_7_2" vbProcedure="false">"#"</definedName>
    <definedName function="false" hidden="true" name="FDC_7_3" vbProcedure="false">"#"</definedName>
    <definedName function="false" hidden="true" name="FDC_8_0" vbProcedure="false">"#"</definedName>
    <definedName function="false" hidden="true" name="FDC_8_1" vbProcedure="false">"#"</definedName>
    <definedName function="false" hidden="true" name="FDC_8_2" vbProcedure="false">"#"</definedName>
    <definedName function="false" hidden="true" name="FDC_8_3" vbProcedure="false">"#"</definedName>
    <definedName function="false" hidden="true" name="FDC_9_0" vbProcedure="false">"#"</definedName>
    <definedName function="false" hidden="true" name="FDC_9_1" vbProcedure="false">"#"</definedName>
    <definedName function="false" hidden="true" name="FDC_9_2" vbProcedure="false">"#"</definedName>
    <definedName function="false" hidden="true" name="FDC_9_3" vbProcedure="false">"#"</definedName>
    <definedName function="false" hidden="true" name="fdd" vbProcedure="false">{"Bilanz grob",#N/A,TRUE,"Planbilanz";"Erfolgsrechnung grob",#N/A,TRUE,"Plan-ER";#N/A,#N/A,TRUE,"Geldfluss";"Bilanz fein",#N/A,TRUE,"Planbilanz";"Erfolgsrechnung fein",#N/A,TRUE,"Plan-ER";#N/A,#N/A,TRUE,"Absatzplan";#N/A,#N/A,TRUE,"Einkaufsplan";#N/A,#N/A,TRUE,"Investitionsplan";#N/A,#N/A,TRUE,"KK Aktionäre"}</definedName>
    <definedName function="false" hidden="true" name="FDD_0_0" vbProcedure="false">"A30681"</definedName>
    <definedName function="false" hidden="true" name="FDD_0_1" vbProcedure="false">"A31047"</definedName>
    <definedName function="false" hidden="true" name="FDD_0_10" vbProcedure="false">"A34334"</definedName>
    <definedName function="false" hidden="true" name="FDD_0_11" vbProcedure="false">"A34699"</definedName>
    <definedName function="false" hidden="true" name="FDD_0_12" vbProcedure="false">"A35064"</definedName>
    <definedName function="false" hidden="true" name="FDD_0_13" vbProcedure="false">"A35430"</definedName>
    <definedName function="false" hidden="true" name="FDD_0_14" vbProcedure="false">"A35795"</definedName>
    <definedName function="false" hidden="true" name="FDD_0_2" vbProcedure="false">"A31412"</definedName>
    <definedName function="false" hidden="true" name="FDD_0_3" vbProcedure="false">"A31777"</definedName>
    <definedName function="false" hidden="true" name="FDD_0_4" vbProcedure="false">"A32142"</definedName>
    <definedName function="false" hidden="true" name="FDD_0_5" vbProcedure="false">"A32508"</definedName>
    <definedName function="false" hidden="true" name="FDD_0_6" vbProcedure="false">"A32873"</definedName>
    <definedName function="false" hidden="true" name="FDD_0_7" vbProcedure="false">"A33238"</definedName>
    <definedName function="false" hidden="true" name="FDD_0_8" vbProcedure="false">"A33603"</definedName>
    <definedName function="false" hidden="true" name="FDD_0_9" vbProcedure="false">"A33969"</definedName>
    <definedName function="false" hidden="true" name="FDD_100_0" vbProcedure="false">"A25569"</definedName>
    <definedName function="false" hidden="true" name="FDD_101_0" vbProcedure="false">"A25569"</definedName>
    <definedName function="false" hidden="true" name="FDD_102_0" vbProcedure="false">"A25569"</definedName>
    <definedName function="false" hidden="true" name="FDD_103_0" vbProcedure="false">"A25569"</definedName>
    <definedName function="false" hidden="true" name="FDD_104_0" vbProcedure="false">"A25569"</definedName>
    <definedName function="false" hidden="true" name="FDD_105_0" vbProcedure="false">"A25569"</definedName>
    <definedName function="false" hidden="true" name="FDD_106_0" vbProcedure="false">"A25569"</definedName>
    <definedName function="false" hidden="true" name="FDD_107_0" vbProcedure="false">"A25569"</definedName>
    <definedName function="false" hidden="true" name="FDD_108_0" vbProcedure="false">"A25569"</definedName>
    <definedName function="false" hidden="true" name="FDD_109_0" vbProcedure="false">"A25569"</definedName>
    <definedName function="false" hidden="true" name="FDD_10_0" vbProcedure="false">"A25569"</definedName>
    <definedName function="false" hidden="true" name="FDD_10_1" vbProcedure="false">"A35795"</definedName>
    <definedName function="false" hidden="true" name="FDD_10_2" vbProcedure="false">"A36160"</definedName>
    <definedName function="false" hidden="true" name="FDD_10_3" vbProcedure="false">"E36525"</definedName>
    <definedName function="false" hidden="true" name="FDD_110_0" vbProcedure="false">"A25569"</definedName>
    <definedName function="false" hidden="true" name="FDD_111_0" vbProcedure="false">"A25569"</definedName>
    <definedName function="false" hidden="true" name="FDD_112_0" vbProcedure="false">"A25569"</definedName>
    <definedName function="false" hidden="true" name="FDD_113_0" vbProcedure="false">"A25569"</definedName>
    <definedName function="false" hidden="true" name="FDD_114_0" vbProcedure="false">"A25569"</definedName>
    <definedName function="false" hidden="true" name="FDD_115_0" vbProcedure="false">"A25569"</definedName>
    <definedName function="false" hidden="true" name="FDD_116_0" vbProcedure="false">"A25569"</definedName>
    <definedName function="false" hidden="true" name="FDD_117_0" vbProcedure="false">"A30681"</definedName>
    <definedName function="false" hidden="true" name="FDD_117_1" vbProcedure="false">"A31047"</definedName>
    <definedName function="false" hidden="true" name="FDD_117_10" vbProcedure="false">"A34334"</definedName>
    <definedName function="false" hidden="true" name="FDD_117_11" vbProcedure="false">"A34699"</definedName>
    <definedName function="false" hidden="true" name="FDD_117_12" vbProcedure="false">"A35064"</definedName>
    <definedName function="false" hidden="true" name="FDD_117_13" vbProcedure="false">"A35430"</definedName>
    <definedName function="false" hidden="true" name="FDD_117_14" vbProcedure="false">"A35795"</definedName>
    <definedName function="false" hidden="true" name="FDD_117_2" vbProcedure="false">"A31412"</definedName>
    <definedName function="false" hidden="true" name="FDD_117_3" vbProcedure="false">"A31777"</definedName>
    <definedName function="false" hidden="true" name="FDD_117_4" vbProcedure="false">"A32142"</definedName>
    <definedName function="false" hidden="true" name="FDD_117_5" vbProcedure="false">"A32508"</definedName>
    <definedName function="false" hidden="true" name="FDD_117_6" vbProcedure="false">"A32873"</definedName>
    <definedName function="false" hidden="true" name="FDD_117_7" vbProcedure="false">"A33238"</definedName>
    <definedName function="false" hidden="true" name="FDD_117_8" vbProcedure="false">"A33603"</definedName>
    <definedName function="false" hidden="true" name="FDD_117_9" vbProcedure="false">"A33969"</definedName>
    <definedName function="false" hidden="true" name="FDD_118_0" vbProcedure="false">"A30681"</definedName>
    <definedName function="false" hidden="true" name="FDD_118_1" vbProcedure="false">"A31047"</definedName>
    <definedName function="false" hidden="true" name="FDD_118_10" vbProcedure="false">"A34334"</definedName>
    <definedName function="false" hidden="true" name="FDD_118_11" vbProcedure="false">"A34699"</definedName>
    <definedName function="false" hidden="true" name="FDD_118_12" vbProcedure="false">"A35064"</definedName>
    <definedName function="false" hidden="true" name="FDD_118_13" vbProcedure="false">"A35430"</definedName>
    <definedName function="false" hidden="true" name="FDD_118_14" vbProcedure="false">"A35795"</definedName>
    <definedName function="false" hidden="true" name="FDD_118_2" vbProcedure="false">"A31412"</definedName>
    <definedName function="false" hidden="true" name="FDD_118_3" vbProcedure="false">"A31777"</definedName>
    <definedName function="false" hidden="true" name="FDD_118_4" vbProcedure="false">"A32142"</definedName>
    <definedName function="false" hidden="true" name="FDD_118_5" vbProcedure="false">"A32508"</definedName>
    <definedName function="false" hidden="true" name="FDD_118_6" vbProcedure="false">"A32873"</definedName>
    <definedName function="false" hidden="true" name="FDD_118_7" vbProcedure="false">"A33238"</definedName>
    <definedName function="false" hidden="true" name="FDD_118_8" vbProcedure="false">"A33603"</definedName>
    <definedName function="false" hidden="true" name="FDD_118_9" vbProcedure="false">"A33969"</definedName>
    <definedName function="false" hidden="true" name="FDD_119_0" vbProcedure="false">"A30681"</definedName>
    <definedName function="false" hidden="true" name="FDD_119_1" vbProcedure="false">"A31047"</definedName>
    <definedName function="false" hidden="true" name="FDD_119_10" vbProcedure="false">"A34334"</definedName>
    <definedName function="false" hidden="true" name="FDD_119_11" vbProcedure="false">"A34699"</definedName>
    <definedName function="false" hidden="true" name="FDD_119_12" vbProcedure="false">"A35064"</definedName>
    <definedName function="false" hidden="true" name="FDD_119_13" vbProcedure="false">"A35430"</definedName>
    <definedName function="false" hidden="true" name="FDD_119_14" vbProcedure="false">"A35795"</definedName>
    <definedName function="false" hidden="true" name="FDD_119_2" vbProcedure="false">"A31412"</definedName>
    <definedName function="false" hidden="true" name="FDD_119_3" vbProcedure="false">"A31777"</definedName>
    <definedName function="false" hidden="true" name="FDD_119_4" vbProcedure="false">"A32142"</definedName>
    <definedName function="false" hidden="true" name="FDD_119_5" vbProcedure="false">"A32508"</definedName>
    <definedName function="false" hidden="true" name="FDD_119_6" vbProcedure="false">"A32873"</definedName>
    <definedName function="false" hidden="true" name="FDD_119_7" vbProcedure="false">"A33238"</definedName>
    <definedName function="false" hidden="true" name="FDD_119_8" vbProcedure="false">"A33603"</definedName>
    <definedName function="false" hidden="true" name="FDD_119_9" vbProcedure="false">"A33969"</definedName>
    <definedName function="false" hidden="true" name="FDD_11_0" vbProcedure="false">"A25569"</definedName>
    <definedName function="false" hidden="true" name="FDD_11_1" vbProcedure="false">"E35795"</definedName>
    <definedName function="false" hidden="true" name="FDD_11_2" vbProcedure="false">"E36160"</definedName>
    <definedName function="false" hidden="true" name="FDD_11_3" vbProcedure="false">"E36525"</definedName>
    <definedName function="false" hidden="true" name="FDD_120_0" vbProcedure="false">"A30681"</definedName>
    <definedName function="false" hidden="true" name="FDD_120_1" vbProcedure="false">"A31047"</definedName>
    <definedName function="false" hidden="true" name="FDD_120_10" vbProcedure="false">"A34334"</definedName>
    <definedName function="false" hidden="true" name="FDD_120_11" vbProcedure="false">"A34699"</definedName>
    <definedName function="false" hidden="true" name="FDD_120_12" vbProcedure="false">"A35064"</definedName>
    <definedName function="false" hidden="true" name="FDD_120_13" vbProcedure="false">"A35430"</definedName>
    <definedName function="false" hidden="true" name="FDD_120_14" vbProcedure="false">"A35795"</definedName>
    <definedName function="false" hidden="true" name="FDD_120_2" vbProcedure="false">"A31412"</definedName>
    <definedName function="false" hidden="true" name="FDD_120_3" vbProcedure="false">"A31777"</definedName>
    <definedName function="false" hidden="true" name="FDD_120_4" vbProcedure="false">"A32142"</definedName>
    <definedName function="false" hidden="true" name="FDD_120_5" vbProcedure="false">"A32508"</definedName>
    <definedName function="false" hidden="true" name="FDD_120_6" vbProcedure="false">"A32873"</definedName>
    <definedName function="false" hidden="true" name="FDD_120_7" vbProcedure="false">"A33238"</definedName>
    <definedName function="false" hidden="true" name="FDD_120_8" vbProcedure="false">"A33603"</definedName>
    <definedName function="false" hidden="true" name="FDD_120_9" vbProcedure="false">"A33969"</definedName>
    <definedName function="false" hidden="true" name="FDD_121_0" vbProcedure="false">"A30681"</definedName>
    <definedName function="false" hidden="true" name="FDD_121_1" vbProcedure="false">"A31047"</definedName>
    <definedName function="false" hidden="true" name="FDD_121_10" vbProcedure="false">"A34334"</definedName>
    <definedName function="false" hidden="true" name="FDD_121_11" vbProcedure="false">"A34699"</definedName>
    <definedName function="false" hidden="true" name="FDD_121_12" vbProcedure="false">"A35064"</definedName>
    <definedName function="false" hidden="true" name="FDD_121_13" vbProcedure="false">"A35430"</definedName>
    <definedName function="false" hidden="true" name="FDD_121_14" vbProcedure="false">"A35795"</definedName>
    <definedName function="false" hidden="true" name="FDD_121_2" vbProcedure="false">"A31412"</definedName>
    <definedName function="false" hidden="true" name="FDD_121_3" vbProcedure="false">"A31777"</definedName>
    <definedName function="false" hidden="true" name="FDD_121_4" vbProcedure="false">"A32142"</definedName>
    <definedName function="false" hidden="true" name="FDD_121_5" vbProcedure="false">"A32508"</definedName>
    <definedName function="false" hidden="true" name="FDD_121_6" vbProcedure="false">"A32873"</definedName>
    <definedName function="false" hidden="true" name="FDD_121_7" vbProcedure="false">"A33238"</definedName>
    <definedName function="false" hidden="true" name="FDD_121_8" vbProcedure="false">"A33603"</definedName>
    <definedName function="false" hidden="true" name="FDD_121_9" vbProcedure="false">"A33969"</definedName>
    <definedName function="false" hidden="true" name="FDD_122_0" vbProcedure="false">"A30681"</definedName>
    <definedName function="false" hidden="true" name="FDD_122_1" vbProcedure="false">"A31047"</definedName>
    <definedName function="false" hidden="true" name="FDD_122_10" vbProcedure="false">"A34334"</definedName>
    <definedName function="false" hidden="true" name="FDD_122_11" vbProcedure="false">"A34699"</definedName>
    <definedName function="false" hidden="true" name="FDD_122_12" vbProcedure="false">"A35064"</definedName>
    <definedName function="false" hidden="true" name="FDD_122_13" vbProcedure="false">"A35430"</definedName>
    <definedName function="false" hidden="true" name="FDD_122_14" vbProcedure="false">"A35795"</definedName>
    <definedName function="false" hidden="true" name="FDD_122_2" vbProcedure="false">"A31412"</definedName>
    <definedName function="false" hidden="true" name="FDD_122_3" vbProcedure="false">"A31777"</definedName>
    <definedName function="false" hidden="true" name="FDD_122_4" vbProcedure="false">"A32142"</definedName>
    <definedName function="false" hidden="true" name="FDD_122_5" vbProcedure="false">"A32508"</definedName>
    <definedName function="false" hidden="true" name="FDD_122_6" vbProcedure="false">"A32873"</definedName>
    <definedName function="false" hidden="true" name="FDD_122_7" vbProcedure="false">"A33238"</definedName>
    <definedName function="false" hidden="true" name="FDD_122_8" vbProcedure="false">"A33603"</definedName>
    <definedName function="false" hidden="true" name="FDD_122_9" vbProcedure="false">"A33969"</definedName>
    <definedName function="false" hidden="true" name="FDD_123_0" vbProcedure="false">"A30681"</definedName>
    <definedName function="false" hidden="true" name="FDD_123_1" vbProcedure="false">"A31047"</definedName>
    <definedName function="false" hidden="true" name="FDD_123_10" vbProcedure="false">"A34334"</definedName>
    <definedName function="false" hidden="true" name="FDD_123_11" vbProcedure="false">"A34699"</definedName>
    <definedName function="false" hidden="true" name="FDD_123_12" vbProcedure="false">"A35064"</definedName>
    <definedName function="false" hidden="true" name="FDD_123_13" vbProcedure="false">"A35430"</definedName>
    <definedName function="false" hidden="true" name="FDD_123_14" vbProcedure="false">"A35795"</definedName>
    <definedName function="false" hidden="true" name="FDD_123_2" vbProcedure="false">"A31412"</definedName>
    <definedName function="false" hidden="true" name="FDD_123_3" vbProcedure="false">"A31777"</definedName>
    <definedName function="false" hidden="true" name="FDD_123_4" vbProcedure="false">"A32142"</definedName>
    <definedName function="false" hidden="true" name="FDD_123_5" vbProcedure="false">"A32508"</definedName>
    <definedName function="false" hidden="true" name="FDD_123_6" vbProcedure="false">"A32873"</definedName>
    <definedName function="false" hidden="true" name="FDD_123_7" vbProcedure="false">"A33238"</definedName>
    <definedName function="false" hidden="true" name="FDD_123_8" vbProcedure="false">"A33603"</definedName>
    <definedName function="false" hidden="true" name="FDD_123_9" vbProcedure="false">"A33969"</definedName>
    <definedName function="false" hidden="true" name="FDD_124_0" vbProcedure="false">"A30681"</definedName>
    <definedName function="false" hidden="true" name="FDD_124_1" vbProcedure="false">"A31047"</definedName>
    <definedName function="false" hidden="true" name="FDD_124_10" vbProcedure="false">"A34334"</definedName>
    <definedName function="false" hidden="true" name="FDD_124_11" vbProcedure="false">"A34699"</definedName>
    <definedName function="false" hidden="true" name="FDD_124_12" vbProcedure="false">"A35064"</definedName>
    <definedName function="false" hidden="true" name="FDD_124_13" vbProcedure="false">"A35430"</definedName>
    <definedName function="false" hidden="true" name="FDD_124_14" vbProcedure="false">"A35795"</definedName>
    <definedName function="false" hidden="true" name="FDD_124_2" vbProcedure="false">"A31412"</definedName>
    <definedName function="false" hidden="true" name="FDD_124_3" vbProcedure="false">"A31777"</definedName>
    <definedName function="false" hidden="true" name="FDD_124_4" vbProcedure="false">"A32142"</definedName>
    <definedName function="false" hidden="true" name="FDD_124_5" vbProcedure="false">"A32508"</definedName>
    <definedName function="false" hidden="true" name="FDD_124_6" vbProcedure="false">"A32873"</definedName>
    <definedName function="false" hidden="true" name="FDD_124_7" vbProcedure="false">"A33238"</definedName>
    <definedName function="false" hidden="true" name="FDD_124_8" vbProcedure="false">"A33603"</definedName>
    <definedName function="false" hidden="true" name="FDD_124_9" vbProcedure="false">"A33969"</definedName>
    <definedName function="false" hidden="true" name="FDD_125_0" vbProcedure="false">"A30681"</definedName>
    <definedName function="false" hidden="true" name="FDD_125_1" vbProcedure="false">"A31047"</definedName>
    <definedName function="false" hidden="true" name="FDD_125_10" vbProcedure="false">"A34334"</definedName>
    <definedName function="false" hidden="true" name="FDD_125_11" vbProcedure="false">"A34699"</definedName>
    <definedName function="false" hidden="true" name="FDD_125_12" vbProcedure="false">"A35064"</definedName>
    <definedName function="false" hidden="true" name="FDD_125_13" vbProcedure="false">"A35430"</definedName>
    <definedName function="false" hidden="true" name="FDD_125_14" vbProcedure="false">"A35795"</definedName>
    <definedName function="false" hidden="true" name="FDD_125_2" vbProcedure="false">"A31412"</definedName>
    <definedName function="false" hidden="true" name="FDD_125_3" vbProcedure="false">"A31777"</definedName>
    <definedName function="false" hidden="true" name="FDD_125_4" vbProcedure="false">"A32142"</definedName>
    <definedName function="false" hidden="true" name="FDD_125_5" vbProcedure="false">"A32508"</definedName>
    <definedName function="false" hidden="true" name="FDD_125_6" vbProcedure="false">"A32873"</definedName>
    <definedName function="false" hidden="true" name="FDD_125_7" vbProcedure="false">"A33238"</definedName>
    <definedName function="false" hidden="true" name="FDD_125_8" vbProcedure="false">"A33603"</definedName>
    <definedName function="false" hidden="true" name="FDD_125_9" vbProcedure="false">"A33969"</definedName>
    <definedName function="false" hidden="true" name="FDD_126_0" vbProcedure="false">"A30681"</definedName>
    <definedName function="false" hidden="true" name="FDD_126_1" vbProcedure="false">"A31047"</definedName>
    <definedName function="false" hidden="true" name="FDD_126_10" vbProcedure="false">"A34334"</definedName>
    <definedName function="false" hidden="true" name="FDD_126_11" vbProcedure="false">"A34699"</definedName>
    <definedName function="false" hidden="true" name="FDD_126_12" vbProcedure="false">"A35064"</definedName>
    <definedName function="false" hidden="true" name="FDD_126_13" vbProcedure="false">"A35430"</definedName>
    <definedName function="false" hidden="true" name="FDD_126_14" vbProcedure="false">"A35795"</definedName>
    <definedName function="false" hidden="true" name="FDD_126_2" vbProcedure="false">"A31412"</definedName>
    <definedName function="false" hidden="true" name="FDD_126_3" vbProcedure="false">"A31777"</definedName>
    <definedName function="false" hidden="true" name="FDD_126_4" vbProcedure="false">"A32142"</definedName>
    <definedName function="false" hidden="true" name="FDD_126_5" vbProcedure="false">"A32508"</definedName>
    <definedName function="false" hidden="true" name="FDD_126_6" vbProcedure="false">"A32873"</definedName>
    <definedName function="false" hidden="true" name="FDD_126_7" vbProcedure="false">"A33238"</definedName>
    <definedName function="false" hidden="true" name="FDD_126_8" vbProcedure="false">"A33603"</definedName>
    <definedName function="false" hidden="true" name="FDD_126_9" vbProcedure="false">"A33969"</definedName>
    <definedName function="false" hidden="true" name="FDD_127_0" vbProcedure="false">"A30681"</definedName>
    <definedName function="false" hidden="true" name="FDD_127_1" vbProcedure="false">"A31047"</definedName>
    <definedName function="false" hidden="true" name="FDD_127_10" vbProcedure="false">"A34334"</definedName>
    <definedName function="false" hidden="true" name="FDD_127_11" vbProcedure="false">"A34699"</definedName>
    <definedName function="false" hidden="true" name="FDD_127_12" vbProcedure="false">"A35064"</definedName>
    <definedName function="false" hidden="true" name="FDD_127_13" vbProcedure="false">"A35430"</definedName>
    <definedName function="false" hidden="true" name="FDD_127_14" vbProcedure="false">"A35795"</definedName>
    <definedName function="false" hidden="true" name="FDD_127_2" vbProcedure="false">"A31412"</definedName>
    <definedName function="false" hidden="true" name="FDD_127_3" vbProcedure="false">"A31777"</definedName>
    <definedName function="false" hidden="true" name="FDD_127_4" vbProcedure="false">"A32142"</definedName>
    <definedName function="false" hidden="true" name="FDD_127_5" vbProcedure="false">"A32508"</definedName>
    <definedName function="false" hidden="true" name="FDD_127_6" vbProcedure="false">"A32873"</definedName>
    <definedName function="false" hidden="true" name="FDD_127_7" vbProcedure="false">"A33238"</definedName>
    <definedName function="false" hidden="true" name="FDD_127_8" vbProcedure="false">"A33603"</definedName>
    <definedName function="false" hidden="true" name="FDD_127_9" vbProcedure="false">"A33969"</definedName>
    <definedName function="false" hidden="true" name="FDD_128_0" vbProcedure="false">"A30681"</definedName>
    <definedName function="false" hidden="true" name="FDD_128_1" vbProcedure="false">"A31047"</definedName>
    <definedName function="false" hidden="true" name="FDD_128_10" vbProcedure="false">"A34334"</definedName>
    <definedName function="false" hidden="true" name="FDD_128_11" vbProcedure="false">"A34699"</definedName>
    <definedName function="false" hidden="true" name="FDD_128_12" vbProcedure="false">"A35064"</definedName>
    <definedName function="false" hidden="true" name="FDD_128_13" vbProcedure="false">"A35430"</definedName>
    <definedName function="false" hidden="true" name="FDD_128_14" vbProcedure="false">"A35795"</definedName>
    <definedName function="false" hidden="true" name="FDD_128_2" vbProcedure="false">"A31412"</definedName>
    <definedName function="false" hidden="true" name="FDD_128_3" vbProcedure="false">"A31777"</definedName>
    <definedName function="false" hidden="true" name="FDD_128_4" vbProcedure="false">"A32142"</definedName>
    <definedName function="false" hidden="true" name="FDD_128_5" vbProcedure="false">"A32508"</definedName>
    <definedName function="false" hidden="true" name="FDD_128_6" vbProcedure="false">"A32873"</definedName>
    <definedName function="false" hidden="true" name="FDD_128_7" vbProcedure="false">"A33238"</definedName>
    <definedName function="false" hidden="true" name="FDD_128_8" vbProcedure="false">"A33603"</definedName>
    <definedName function="false" hidden="true" name="FDD_128_9" vbProcedure="false">"A33969"</definedName>
    <definedName function="false" hidden="true" name="FDD_129_0" vbProcedure="false">"A30681"</definedName>
    <definedName function="false" hidden="true" name="FDD_129_1" vbProcedure="false">"A31047"</definedName>
    <definedName function="false" hidden="true" name="FDD_129_10" vbProcedure="false">"A34334"</definedName>
    <definedName function="false" hidden="true" name="FDD_129_11" vbProcedure="false">"A34699"</definedName>
    <definedName function="false" hidden="true" name="FDD_129_12" vbProcedure="false">"A35064"</definedName>
    <definedName function="false" hidden="true" name="FDD_129_13" vbProcedure="false">"A35430"</definedName>
    <definedName function="false" hidden="true" name="FDD_129_14" vbProcedure="false">"A35795"</definedName>
    <definedName function="false" hidden="true" name="FDD_129_2" vbProcedure="false">"A31412"</definedName>
    <definedName function="false" hidden="true" name="FDD_129_3" vbProcedure="false">"A31777"</definedName>
    <definedName function="false" hidden="true" name="FDD_129_4" vbProcedure="false">"A32142"</definedName>
    <definedName function="false" hidden="true" name="FDD_129_5" vbProcedure="false">"A32508"</definedName>
    <definedName function="false" hidden="true" name="FDD_129_6" vbProcedure="false">"A32873"</definedName>
    <definedName function="false" hidden="true" name="FDD_129_7" vbProcedure="false">"A33238"</definedName>
    <definedName function="false" hidden="true" name="FDD_129_8" vbProcedure="false">"A33603"</definedName>
    <definedName function="false" hidden="true" name="FDD_129_9" vbProcedure="false">"A33969"</definedName>
    <definedName function="false" hidden="true" name="FDD_12_0" vbProcedure="false">"A25569"</definedName>
    <definedName function="false" hidden="true" name="FDD_12_1" vbProcedure="false">"E35795"</definedName>
    <definedName function="false" hidden="true" name="FDD_12_2" vbProcedure="false">"E36160"</definedName>
    <definedName function="false" hidden="true" name="FDD_12_3" vbProcedure="false">"E36525"</definedName>
    <definedName function="false" hidden="true" name="FDD_130_0" vbProcedure="false">"A30681"</definedName>
    <definedName function="false" hidden="true" name="FDD_130_1" vbProcedure="false">"A31047"</definedName>
    <definedName function="false" hidden="true" name="FDD_130_10" vbProcedure="false">"A34334"</definedName>
    <definedName function="false" hidden="true" name="FDD_130_11" vbProcedure="false">"A34699"</definedName>
    <definedName function="false" hidden="true" name="FDD_130_12" vbProcedure="false">"A35064"</definedName>
    <definedName function="false" hidden="true" name="FDD_130_13" vbProcedure="false">"A35430"</definedName>
    <definedName function="false" hidden="true" name="FDD_130_14" vbProcedure="false">"A35795"</definedName>
    <definedName function="false" hidden="true" name="FDD_130_2" vbProcedure="false">"A31412"</definedName>
    <definedName function="false" hidden="true" name="FDD_130_3" vbProcedure="false">"A31777"</definedName>
    <definedName function="false" hidden="true" name="FDD_130_4" vbProcedure="false">"A32142"</definedName>
    <definedName function="false" hidden="true" name="FDD_130_5" vbProcedure="false">"A32508"</definedName>
    <definedName function="false" hidden="true" name="FDD_130_6" vbProcedure="false">"A32873"</definedName>
    <definedName function="false" hidden="true" name="FDD_130_7" vbProcedure="false">"A33238"</definedName>
    <definedName function="false" hidden="true" name="FDD_130_8" vbProcedure="false">"A33603"</definedName>
    <definedName function="false" hidden="true" name="FDD_130_9" vbProcedure="false">"A33969"</definedName>
    <definedName function="false" hidden="true" name="FDD_131_0" vbProcedure="false">"A30681"</definedName>
    <definedName function="false" hidden="true" name="FDD_131_1" vbProcedure="false">"A31047"</definedName>
    <definedName function="false" hidden="true" name="FDD_131_10" vbProcedure="false">"A34334"</definedName>
    <definedName function="false" hidden="true" name="FDD_131_11" vbProcedure="false">"A34699"</definedName>
    <definedName function="false" hidden="true" name="FDD_131_12" vbProcedure="false">"A35064"</definedName>
    <definedName function="false" hidden="true" name="FDD_131_13" vbProcedure="false">"A35430"</definedName>
    <definedName function="false" hidden="true" name="FDD_131_14" vbProcedure="false">"A35795"</definedName>
    <definedName function="false" hidden="true" name="FDD_131_2" vbProcedure="false">"A31412"</definedName>
    <definedName function="false" hidden="true" name="FDD_131_3" vbProcedure="false">"A31777"</definedName>
    <definedName function="false" hidden="true" name="FDD_131_4" vbProcedure="false">"A32142"</definedName>
    <definedName function="false" hidden="true" name="FDD_131_5" vbProcedure="false">"A32508"</definedName>
    <definedName function="false" hidden="true" name="FDD_131_6" vbProcedure="false">"A32873"</definedName>
    <definedName function="false" hidden="true" name="FDD_131_7" vbProcedure="false">"A33238"</definedName>
    <definedName function="false" hidden="true" name="FDD_131_8" vbProcedure="false">"A33603"</definedName>
    <definedName function="false" hidden="true" name="FDD_131_9" vbProcedure="false">"A33969"</definedName>
    <definedName function="false" hidden="true" name="FDD_132_0" vbProcedure="false">"U30681"</definedName>
    <definedName function="false" hidden="true" name="FDD_132_1" vbProcedure="false">"U31047"</definedName>
    <definedName function="false" hidden="true" name="FDD_132_10" vbProcedure="false">"U34334"</definedName>
    <definedName function="false" hidden="true" name="FDD_132_11" vbProcedure="false">"U34699"</definedName>
    <definedName function="false" hidden="true" name="FDD_132_12" vbProcedure="false">"U35064"</definedName>
    <definedName function="false" hidden="true" name="FDD_132_13" vbProcedure="false">"U35430"</definedName>
    <definedName function="false" hidden="true" name="FDD_132_14" vbProcedure="false">"U35795"</definedName>
    <definedName function="false" hidden="true" name="FDD_132_2" vbProcedure="false">"U31412"</definedName>
    <definedName function="false" hidden="true" name="FDD_132_3" vbProcedure="false">"U31777"</definedName>
    <definedName function="false" hidden="true" name="FDD_132_4" vbProcedure="false">"U32142"</definedName>
    <definedName function="false" hidden="true" name="FDD_132_5" vbProcedure="false">"U32508"</definedName>
    <definedName function="false" hidden="true" name="FDD_132_6" vbProcedure="false">"U32873"</definedName>
    <definedName function="false" hidden="true" name="FDD_132_7" vbProcedure="false">"U33238"</definedName>
    <definedName function="false" hidden="true" name="FDD_132_8" vbProcedure="false">"U33603"</definedName>
    <definedName function="false" hidden="true" name="FDD_132_9" vbProcedure="false">"U33969"</definedName>
    <definedName function="false" hidden="true" name="FDD_133_0" vbProcedure="false">"A30681"</definedName>
    <definedName function="false" hidden="true" name="FDD_133_1" vbProcedure="false">"A31047"</definedName>
    <definedName function="false" hidden="true" name="FDD_133_10" vbProcedure="false">"A34334"</definedName>
    <definedName function="false" hidden="true" name="FDD_133_11" vbProcedure="false">"A34699"</definedName>
    <definedName function="false" hidden="true" name="FDD_133_12" vbProcedure="false">"A35064"</definedName>
    <definedName function="false" hidden="true" name="FDD_133_13" vbProcedure="false">"A35430"</definedName>
    <definedName function="false" hidden="true" name="FDD_133_14" vbProcedure="false">"A35795"</definedName>
    <definedName function="false" hidden="true" name="FDD_133_2" vbProcedure="false">"A31412"</definedName>
    <definedName function="false" hidden="true" name="FDD_133_3" vbProcedure="false">"A31777"</definedName>
    <definedName function="false" hidden="true" name="FDD_133_4" vbProcedure="false">"A32142"</definedName>
    <definedName function="false" hidden="true" name="FDD_133_5" vbProcedure="false">"A32508"</definedName>
    <definedName function="false" hidden="true" name="FDD_133_6" vbProcedure="false">"A32873"</definedName>
    <definedName function="false" hidden="true" name="FDD_133_7" vbProcedure="false">"A33238"</definedName>
    <definedName function="false" hidden="true" name="FDD_133_8" vbProcedure="false">"A33603"</definedName>
    <definedName function="false" hidden="true" name="FDD_133_9" vbProcedure="false">"A33969"</definedName>
    <definedName function="false" hidden="true" name="FDD_134_0" vbProcedure="false">"A30681"</definedName>
    <definedName function="false" hidden="true" name="FDD_134_1" vbProcedure="false">"A31047"</definedName>
    <definedName function="false" hidden="true" name="FDD_134_10" vbProcedure="false">"A34334"</definedName>
    <definedName function="false" hidden="true" name="FDD_134_11" vbProcedure="false">"A34699"</definedName>
    <definedName function="false" hidden="true" name="FDD_134_12" vbProcedure="false">"A35064"</definedName>
    <definedName function="false" hidden="true" name="FDD_134_13" vbProcedure="false">"A35430"</definedName>
    <definedName function="false" hidden="true" name="FDD_134_14" vbProcedure="false">"A35795"</definedName>
    <definedName function="false" hidden="true" name="FDD_134_2" vbProcedure="false">"A31412"</definedName>
    <definedName function="false" hidden="true" name="FDD_134_3" vbProcedure="false">"A31777"</definedName>
    <definedName function="false" hidden="true" name="FDD_134_4" vbProcedure="false">"A32142"</definedName>
    <definedName function="false" hidden="true" name="FDD_134_5" vbProcedure="false">"A32508"</definedName>
    <definedName function="false" hidden="true" name="FDD_134_6" vbProcedure="false">"A32873"</definedName>
    <definedName function="false" hidden="true" name="FDD_134_7" vbProcedure="false">"A33238"</definedName>
    <definedName function="false" hidden="true" name="FDD_134_8" vbProcedure="false">"A33603"</definedName>
    <definedName function="false" hidden="true" name="FDD_134_9" vbProcedure="false">"A33969"</definedName>
    <definedName function="false" hidden="true" name="FDD_135_0" vbProcedure="false">"A30681"</definedName>
    <definedName function="false" hidden="true" name="FDD_135_1" vbProcedure="false">"A31047"</definedName>
    <definedName function="false" hidden="true" name="FDD_135_10" vbProcedure="false">"A34334"</definedName>
    <definedName function="false" hidden="true" name="FDD_135_11" vbProcedure="false">"A34699"</definedName>
    <definedName function="false" hidden="true" name="FDD_135_12" vbProcedure="false">"A35064"</definedName>
    <definedName function="false" hidden="true" name="FDD_135_13" vbProcedure="false">"A35430"</definedName>
    <definedName function="false" hidden="true" name="FDD_135_14" vbProcedure="false">"A35795"</definedName>
    <definedName function="false" hidden="true" name="FDD_135_2" vbProcedure="false">"A31412"</definedName>
    <definedName function="false" hidden="true" name="FDD_135_3" vbProcedure="false">"A31777"</definedName>
    <definedName function="false" hidden="true" name="FDD_135_4" vbProcedure="false">"A32142"</definedName>
    <definedName function="false" hidden="true" name="FDD_135_5" vbProcedure="false">"A32508"</definedName>
    <definedName function="false" hidden="true" name="FDD_135_6" vbProcedure="false">"A32873"</definedName>
    <definedName function="false" hidden="true" name="FDD_135_7" vbProcedure="false">"A33238"</definedName>
    <definedName function="false" hidden="true" name="FDD_135_8" vbProcedure="false">"A33603"</definedName>
    <definedName function="false" hidden="true" name="FDD_135_9" vbProcedure="false">"A33969"</definedName>
    <definedName function="false" hidden="true" name="FDD_136_0" vbProcedure="false">"A30681"</definedName>
    <definedName function="false" hidden="true" name="FDD_136_1" vbProcedure="false">"A31047"</definedName>
    <definedName function="false" hidden="true" name="FDD_136_10" vbProcedure="false">"A34334"</definedName>
    <definedName function="false" hidden="true" name="FDD_136_11" vbProcedure="false">"A34699"</definedName>
    <definedName function="false" hidden="true" name="FDD_136_12" vbProcedure="false">"A35064"</definedName>
    <definedName function="false" hidden="true" name="FDD_136_13" vbProcedure="false">"A35430"</definedName>
    <definedName function="false" hidden="true" name="FDD_136_14" vbProcedure="false">"A35795"</definedName>
    <definedName function="false" hidden="true" name="FDD_136_2" vbProcedure="false">"A31412"</definedName>
    <definedName function="false" hidden="true" name="FDD_136_3" vbProcedure="false">"A31777"</definedName>
    <definedName function="false" hidden="true" name="FDD_136_4" vbProcedure="false">"A32142"</definedName>
    <definedName function="false" hidden="true" name="FDD_136_5" vbProcedure="false">"A32508"</definedName>
    <definedName function="false" hidden="true" name="FDD_136_6" vbProcedure="false">"A32873"</definedName>
    <definedName function="false" hidden="true" name="FDD_136_7" vbProcedure="false">"A33238"</definedName>
    <definedName function="false" hidden="true" name="FDD_136_8" vbProcedure="false">"A33603"</definedName>
    <definedName function="false" hidden="true" name="FDD_136_9" vbProcedure="false">"A33969"</definedName>
    <definedName function="false" hidden="true" name="FDD_137_0" vbProcedure="false">"A30681"</definedName>
    <definedName function="false" hidden="true" name="FDD_137_1" vbProcedure="false">"A31047"</definedName>
    <definedName function="false" hidden="true" name="FDD_137_10" vbProcedure="false">"A34334"</definedName>
    <definedName function="false" hidden="true" name="FDD_137_11" vbProcedure="false">"A34699"</definedName>
    <definedName function="false" hidden="true" name="FDD_137_12" vbProcedure="false">"A35064"</definedName>
    <definedName function="false" hidden="true" name="FDD_137_13" vbProcedure="false">"A35430"</definedName>
    <definedName function="false" hidden="true" name="FDD_137_14" vbProcedure="false">"A35795"</definedName>
    <definedName function="false" hidden="true" name="FDD_137_2" vbProcedure="false">"A31412"</definedName>
    <definedName function="false" hidden="true" name="FDD_137_3" vbProcedure="false">"A31777"</definedName>
    <definedName function="false" hidden="true" name="FDD_137_4" vbProcedure="false">"A32142"</definedName>
    <definedName function="false" hidden="true" name="FDD_137_5" vbProcedure="false">"A32508"</definedName>
    <definedName function="false" hidden="true" name="FDD_137_6" vbProcedure="false">"A32873"</definedName>
    <definedName function="false" hidden="true" name="FDD_137_7" vbProcedure="false">"A33238"</definedName>
    <definedName function="false" hidden="true" name="FDD_137_8" vbProcedure="false">"A33603"</definedName>
    <definedName function="false" hidden="true" name="FDD_137_9" vbProcedure="false">"A33969"</definedName>
    <definedName function="false" hidden="true" name="FDD_138_0" vbProcedure="false">"A30681"</definedName>
    <definedName function="false" hidden="true" name="FDD_138_1" vbProcedure="false">"A31047"</definedName>
    <definedName function="false" hidden="true" name="FDD_138_10" vbProcedure="false">"A34334"</definedName>
    <definedName function="false" hidden="true" name="FDD_138_11" vbProcedure="false">"A34699"</definedName>
    <definedName function="false" hidden="true" name="FDD_138_12" vbProcedure="false">"A35064"</definedName>
    <definedName function="false" hidden="true" name="FDD_138_13" vbProcedure="false">"A35430"</definedName>
    <definedName function="false" hidden="true" name="FDD_138_14" vbProcedure="false">"A35795"</definedName>
    <definedName function="false" hidden="true" name="FDD_138_2" vbProcedure="false">"A31412"</definedName>
    <definedName function="false" hidden="true" name="FDD_138_3" vbProcedure="false">"A31777"</definedName>
    <definedName function="false" hidden="true" name="FDD_138_4" vbProcedure="false">"A32142"</definedName>
    <definedName function="false" hidden="true" name="FDD_138_5" vbProcedure="false">"A32508"</definedName>
    <definedName function="false" hidden="true" name="FDD_138_6" vbProcedure="false">"A32873"</definedName>
    <definedName function="false" hidden="true" name="FDD_138_7" vbProcedure="false">"A33238"</definedName>
    <definedName function="false" hidden="true" name="FDD_138_8" vbProcedure="false">"A33603"</definedName>
    <definedName function="false" hidden="true" name="FDD_138_9" vbProcedure="false">"A33969"</definedName>
    <definedName function="false" hidden="true" name="FDD_139_0" vbProcedure="false">"A30681"</definedName>
    <definedName function="false" hidden="true" name="FDD_139_1" vbProcedure="false">"A31047"</definedName>
    <definedName function="false" hidden="true" name="FDD_139_10" vbProcedure="false">"U34334"</definedName>
    <definedName function="false" hidden="true" name="FDD_139_11" vbProcedure="false">"U34699"</definedName>
    <definedName function="false" hidden="true" name="FDD_139_12" vbProcedure="false">"U35064"</definedName>
    <definedName function="false" hidden="true" name="FDD_139_13" vbProcedure="false">"U35430"</definedName>
    <definedName function="false" hidden="true" name="FDD_139_14" vbProcedure="false">"U35795"</definedName>
    <definedName function="false" hidden="true" name="FDD_139_2" vbProcedure="false">"A31412"</definedName>
    <definedName function="false" hidden="true" name="FDD_139_3" vbProcedure="false">"U31777"</definedName>
    <definedName function="false" hidden="true" name="FDD_139_4" vbProcedure="false">"U32142"</definedName>
    <definedName function="false" hidden="true" name="FDD_139_5" vbProcedure="false">"U32508"</definedName>
    <definedName function="false" hidden="true" name="FDD_139_6" vbProcedure="false">"U32873"</definedName>
    <definedName function="false" hidden="true" name="FDD_139_7" vbProcedure="false">"U33238"</definedName>
    <definedName function="false" hidden="true" name="FDD_139_8" vbProcedure="false">"U33603"</definedName>
    <definedName function="false" hidden="true" name="FDD_139_9" vbProcedure="false">"U33969"</definedName>
    <definedName function="false" hidden="true" name="FDD_13_0" vbProcedure="false">"A25569"</definedName>
    <definedName function="false" hidden="true" name="FDD_140_0" vbProcedure="false">"A25569"</definedName>
    <definedName function="false" hidden="true" name="FDD_141_0" vbProcedure="false">"A30681"</definedName>
    <definedName function="false" hidden="true" name="FDD_141_1" vbProcedure="false">"A31047"</definedName>
    <definedName function="false" hidden="true" name="FDD_141_10" vbProcedure="false">"A34334"</definedName>
    <definedName function="false" hidden="true" name="FDD_141_11" vbProcedure="false">"A34699"</definedName>
    <definedName function="false" hidden="true" name="FDD_141_12" vbProcedure="false">"A35064"</definedName>
    <definedName function="false" hidden="true" name="FDD_141_13" vbProcedure="false">"A35430"</definedName>
    <definedName function="false" hidden="true" name="FDD_141_14" vbProcedure="false">"A35795"</definedName>
    <definedName function="false" hidden="true" name="FDD_141_2" vbProcedure="false">"A31412"</definedName>
    <definedName function="false" hidden="true" name="FDD_141_3" vbProcedure="false">"A31777"</definedName>
    <definedName function="false" hidden="true" name="FDD_141_4" vbProcedure="false">"A32142"</definedName>
    <definedName function="false" hidden="true" name="FDD_141_5" vbProcedure="false">"A32508"</definedName>
    <definedName function="false" hidden="true" name="FDD_141_6" vbProcedure="false">"A32873"</definedName>
    <definedName function="false" hidden="true" name="FDD_141_7" vbProcedure="false">"A33238"</definedName>
    <definedName function="false" hidden="true" name="FDD_141_8" vbProcedure="false">"A33603"</definedName>
    <definedName function="false" hidden="true" name="FDD_141_9" vbProcedure="false">"A33969"</definedName>
    <definedName function="false" hidden="true" name="FDD_142_0" vbProcedure="false">"A30681"</definedName>
    <definedName function="false" hidden="true" name="FDD_142_1" vbProcedure="false">"A31047"</definedName>
    <definedName function="false" hidden="true" name="FDD_142_10" vbProcedure="false">"A34334"</definedName>
    <definedName function="false" hidden="true" name="FDD_142_11" vbProcedure="false">"A34699"</definedName>
    <definedName function="false" hidden="true" name="FDD_142_12" vbProcedure="false">"A35064"</definedName>
    <definedName function="false" hidden="true" name="FDD_142_13" vbProcedure="false">"A35430"</definedName>
    <definedName function="false" hidden="true" name="FDD_142_14" vbProcedure="false">"A35795"</definedName>
    <definedName function="false" hidden="true" name="FDD_142_2" vbProcedure="false">"A31412"</definedName>
    <definedName function="false" hidden="true" name="FDD_142_3" vbProcedure="false">"A31777"</definedName>
    <definedName function="false" hidden="true" name="FDD_142_4" vbProcedure="false">"A32142"</definedName>
    <definedName function="false" hidden="true" name="FDD_142_5" vbProcedure="false">"A32508"</definedName>
    <definedName function="false" hidden="true" name="FDD_142_6" vbProcedure="false">"A32873"</definedName>
    <definedName function="false" hidden="true" name="FDD_142_7" vbProcedure="false">"A33238"</definedName>
    <definedName function="false" hidden="true" name="FDD_142_8" vbProcedure="false">"A33603"</definedName>
    <definedName function="false" hidden="true" name="FDD_142_9" vbProcedure="false">"A33969"</definedName>
    <definedName function="false" hidden="true" name="FDD_143_0" vbProcedure="false">"A30681"</definedName>
    <definedName function="false" hidden="true" name="FDD_143_1" vbProcedure="false">"A31047"</definedName>
    <definedName function="false" hidden="true" name="FDD_143_10" vbProcedure="false">"A34334"</definedName>
    <definedName function="false" hidden="true" name="FDD_143_11" vbProcedure="false">"A34699"</definedName>
    <definedName function="false" hidden="true" name="FDD_143_12" vbProcedure="false">"A35064"</definedName>
    <definedName function="false" hidden="true" name="FDD_143_13" vbProcedure="false">"A35430"</definedName>
    <definedName function="false" hidden="true" name="FDD_143_14" vbProcedure="false">"A35795"</definedName>
    <definedName function="false" hidden="true" name="FDD_143_2" vbProcedure="false">"A31412"</definedName>
    <definedName function="false" hidden="true" name="FDD_143_3" vbProcedure="false">"A31777"</definedName>
    <definedName function="false" hidden="true" name="FDD_143_4" vbProcedure="false">"A32142"</definedName>
    <definedName function="false" hidden="true" name="FDD_143_5" vbProcedure="false">"A32508"</definedName>
    <definedName function="false" hidden="true" name="FDD_143_6" vbProcedure="false">"A32873"</definedName>
    <definedName function="false" hidden="true" name="FDD_143_7" vbProcedure="false">"A33238"</definedName>
    <definedName function="false" hidden="true" name="FDD_143_8" vbProcedure="false">"A33603"</definedName>
    <definedName function="false" hidden="true" name="FDD_143_9" vbProcedure="false">"A33969"</definedName>
    <definedName function="false" hidden="true" name="FDD_144_0" vbProcedure="false">"A30681"</definedName>
    <definedName function="false" hidden="true" name="FDD_144_1" vbProcedure="false">"A31047"</definedName>
    <definedName function="false" hidden="true" name="FDD_144_10" vbProcedure="false">"A34334"</definedName>
    <definedName function="false" hidden="true" name="FDD_144_11" vbProcedure="false">"A34699"</definedName>
    <definedName function="false" hidden="true" name="FDD_144_12" vbProcedure="false">"A35064"</definedName>
    <definedName function="false" hidden="true" name="FDD_144_13" vbProcedure="false">"A35430"</definedName>
    <definedName function="false" hidden="true" name="FDD_144_14" vbProcedure="false">"A35795"</definedName>
    <definedName function="false" hidden="true" name="FDD_144_2" vbProcedure="false">"A31412"</definedName>
    <definedName function="false" hidden="true" name="FDD_144_3" vbProcedure="false">"A31777"</definedName>
    <definedName function="false" hidden="true" name="FDD_144_4" vbProcedure="false">"A32142"</definedName>
    <definedName function="false" hidden="true" name="FDD_144_5" vbProcedure="false">"A32508"</definedName>
    <definedName function="false" hidden="true" name="FDD_144_6" vbProcedure="false">"A32873"</definedName>
    <definedName function="false" hidden="true" name="FDD_144_7" vbProcedure="false">"A33238"</definedName>
    <definedName function="false" hidden="true" name="FDD_144_8" vbProcedure="false">"A33603"</definedName>
    <definedName function="false" hidden="true" name="FDD_144_9" vbProcedure="false">"A33969"</definedName>
    <definedName function="false" hidden="true" name="FDD_145_0" vbProcedure="false">"A30681"</definedName>
    <definedName function="false" hidden="true" name="FDD_145_1" vbProcedure="false">"A31047"</definedName>
    <definedName function="false" hidden="true" name="FDD_145_10" vbProcedure="false">"A34334"</definedName>
    <definedName function="false" hidden="true" name="FDD_145_11" vbProcedure="false">"A34699"</definedName>
    <definedName function="false" hidden="true" name="FDD_145_12" vbProcedure="false">"A35064"</definedName>
    <definedName function="false" hidden="true" name="FDD_145_13" vbProcedure="false">"A35430"</definedName>
    <definedName function="false" hidden="true" name="FDD_145_14" vbProcedure="false">"A35795"</definedName>
    <definedName function="false" hidden="true" name="FDD_145_2" vbProcedure="false">"A31412"</definedName>
    <definedName function="false" hidden="true" name="FDD_145_3" vbProcedure="false">"A31777"</definedName>
    <definedName function="false" hidden="true" name="FDD_145_4" vbProcedure="false">"A32142"</definedName>
    <definedName function="false" hidden="true" name="FDD_145_5" vbProcedure="false">"A32508"</definedName>
    <definedName function="false" hidden="true" name="FDD_145_6" vbProcedure="false">"A32873"</definedName>
    <definedName function="false" hidden="true" name="FDD_145_7" vbProcedure="false">"A33238"</definedName>
    <definedName function="false" hidden="true" name="FDD_145_8" vbProcedure="false">"A33603"</definedName>
    <definedName function="false" hidden="true" name="FDD_145_9" vbProcedure="false">"A33969"</definedName>
    <definedName function="false" hidden="true" name="FDD_146_0" vbProcedure="false">"A30681"</definedName>
    <definedName function="false" hidden="true" name="FDD_146_1" vbProcedure="false">"A31047"</definedName>
    <definedName function="false" hidden="true" name="FDD_146_10" vbProcedure="false">"A34334"</definedName>
    <definedName function="false" hidden="true" name="FDD_146_11" vbProcedure="false">"A34699"</definedName>
    <definedName function="false" hidden="true" name="FDD_146_12" vbProcedure="false">"A35064"</definedName>
    <definedName function="false" hidden="true" name="FDD_146_13" vbProcedure="false">"A35430"</definedName>
    <definedName function="false" hidden="true" name="FDD_146_14" vbProcedure="false">"A35795"</definedName>
    <definedName function="false" hidden="true" name="FDD_146_2" vbProcedure="false">"A31412"</definedName>
    <definedName function="false" hidden="true" name="FDD_146_3" vbProcedure="false">"A31777"</definedName>
    <definedName function="false" hidden="true" name="FDD_146_4" vbProcedure="false">"A32142"</definedName>
    <definedName function="false" hidden="true" name="FDD_146_5" vbProcedure="false">"A32508"</definedName>
    <definedName function="false" hidden="true" name="FDD_146_6" vbProcedure="false">"A32873"</definedName>
    <definedName function="false" hidden="true" name="FDD_146_7" vbProcedure="false">"A33238"</definedName>
    <definedName function="false" hidden="true" name="FDD_146_8" vbProcedure="false">"A33603"</definedName>
    <definedName function="false" hidden="true" name="FDD_146_9" vbProcedure="false">"A33969"</definedName>
    <definedName function="false" hidden="true" name="FDD_147_0" vbProcedure="false">"U30681"</definedName>
    <definedName function="false" hidden="true" name="FDD_147_1" vbProcedure="false">"U31047"</definedName>
    <definedName function="false" hidden="true" name="FDD_147_10" vbProcedure="false">"U34334"</definedName>
    <definedName function="false" hidden="true" name="FDD_147_11" vbProcedure="false">"U34699"</definedName>
    <definedName function="false" hidden="true" name="FDD_147_12" vbProcedure="false">"U35064"</definedName>
    <definedName function="false" hidden="true" name="FDD_147_13" vbProcedure="false">"U35430"</definedName>
    <definedName function="false" hidden="true" name="FDD_147_14" vbProcedure="false">"U35795"</definedName>
    <definedName function="false" hidden="true" name="FDD_147_2" vbProcedure="false">"U31412"</definedName>
    <definedName function="false" hidden="true" name="FDD_147_3" vbProcedure="false">"U31777"</definedName>
    <definedName function="false" hidden="true" name="FDD_147_4" vbProcedure="false">"U32142"</definedName>
    <definedName function="false" hidden="true" name="FDD_147_5" vbProcedure="false">"U32508"</definedName>
    <definedName function="false" hidden="true" name="FDD_147_6" vbProcedure="false">"U32873"</definedName>
    <definedName function="false" hidden="true" name="FDD_147_7" vbProcedure="false">"U33238"</definedName>
    <definedName function="false" hidden="true" name="FDD_147_8" vbProcedure="false">"U33603"</definedName>
    <definedName function="false" hidden="true" name="FDD_147_9" vbProcedure="false">"U33969"</definedName>
    <definedName function="false" hidden="true" name="FDD_148_0" vbProcedure="false">"A30681"</definedName>
    <definedName function="false" hidden="true" name="FDD_148_1" vbProcedure="false">"A31047"</definedName>
    <definedName function="false" hidden="true" name="FDD_148_10" vbProcedure="false">"A34334"</definedName>
    <definedName function="false" hidden="true" name="FDD_148_11" vbProcedure="false">"A34699"</definedName>
    <definedName function="false" hidden="true" name="FDD_148_12" vbProcedure="false">"A35064"</definedName>
    <definedName function="false" hidden="true" name="FDD_148_13" vbProcedure="false">"A35430"</definedName>
    <definedName function="false" hidden="true" name="FDD_148_14" vbProcedure="false">"A35795"</definedName>
    <definedName function="false" hidden="true" name="FDD_148_2" vbProcedure="false">"A31412"</definedName>
    <definedName function="false" hidden="true" name="FDD_148_3" vbProcedure="false">"A31777"</definedName>
    <definedName function="false" hidden="true" name="FDD_148_4" vbProcedure="false">"A32142"</definedName>
    <definedName function="false" hidden="true" name="FDD_148_5" vbProcedure="false">"A32508"</definedName>
    <definedName function="false" hidden="true" name="FDD_148_6" vbProcedure="false">"A32873"</definedName>
    <definedName function="false" hidden="true" name="FDD_148_7" vbProcedure="false">"A33238"</definedName>
    <definedName function="false" hidden="true" name="FDD_148_8" vbProcedure="false">"A33603"</definedName>
    <definedName function="false" hidden="true" name="FDD_148_9" vbProcedure="false">"A33969"</definedName>
    <definedName function="false" hidden="true" name="FDD_149_0" vbProcedure="false">"U30681"</definedName>
    <definedName function="false" hidden="true" name="FDD_149_1" vbProcedure="false">"U31047"</definedName>
    <definedName function="false" hidden="true" name="FDD_149_10" vbProcedure="false">"U34334"</definedName>
    <definedName function="false" hidden="true" name="FDD_149_11" vbProcedure="false">"U34699"</definedName>
    <definedName function="false" hidden="true" name="FDD_149_12" vbProcedure="false">"U35064"</definedName>
    <definedName function="false" hidden="true" name="FDD_149_13" vbProcedure="false">"U35430"</definedName>
    <definedName function="false" hidden="true" name="FDD_149_14" vbProcedure="false">"A35795"</definedName>
    <definedName function="false" hidden="true" name="FDD_149_2" vbProcedure="false">"U31412"</definedName>
    <definedName function="false" hidden="true" name="FDD_149_3" vbProcedure="false">"U31777"</definedName>
    <definedName function="false" hidden="true" name="FDD_149_4" vbProcedure="false">"U32142"</definedName>
    <definedName function="false" hidden="true" name="FDD_149_5" vbProcedure="false">"U32508"</definedName>
    <definedName function="false" hidden="true" name="FDD_149_6" vbProcedure="false">"U32873"</definedName>
    <definedName function="false" hidden="true" name="FDD_149_7" vbProcedure="false">"U33238"</definedName>
    <definedName function="false" hidden="true" name="FDD_149_8" vbProcedure="false">"U33603"</definedName>
    <definedName function="false" hidden="true" name="FDD_149_9" vbProcedure="false">"U33969"</definedName>
    <definedName function="false" hidden="true" name="FDD_14_0" vbProcedure="false">"A25569"</definedName>
    <definedName function="false" hidden="true" name="FDD_151_0" vbProcedure="false">"A30681"</definedName>
    <definedName function="false" hidden="true" name="FDD_151_1" vbProcedure="false">"A31047"</definedName>
    <definedName function="false" hidden="true" name="FDD_151_10" vbProcedure="false">"A34334"</definedName>
    <definedName function="false" hidden="true" name="FDD_151_11" vbProcedure="false">"A34699"</definedName>
    <definedName function="false" hidden="true" name="FDD_151_12" vbProcedure="false">"A35064"</definedName>
    <definedName function="false" hidden="true" name="FDD_151_13" vbProcedure="false">"A35430"</definedName>
    <definedName function="false" hidden="true" name="FDD_151_14" vbProcedure="false">"A35795"</definedName>
    <definedName function="false" hidden="true" name="FDD_151_2" vbProcedure="false">"A31412"</definedName>
    <definedName function="false" hidden="true" name="FDD_151_3" vbProcedure="false">"A31777"</definedName>
    <definedName function="false" hidden="true" name="FDD_151_4" vbProcedure="false">"A32142"</definedName>
    <definedName function="false" hidden="true" name="FDD_151_5" vbProcedure="false">"A32508"</definedName>
    <definedName function="false" hidden="true" name="FDD_151_6" vbProcedure="false">"A32873"</definedName>
    <definedName function="false" hidden="true" name="FDD_151_7" vbProcedure="false">"A33238"</definedName>
    <definedName function="false" hidden="true" name="FDD_151_8" vbProcedure="false">"A33603"</definedName>
    <definedName function="false" hidden="true" name="FDD_151_9" vbProcedure="false">"A33969"</definedName>
    <definedName function="false" hidden="true" name="FDD_152_0" vbProcedure="false">"A30681"</definedName>
    <definedName function="false" hidden="true" name="FDD_152_1" vbProcedure="false">"A31047"</definedName>
    <definedName function="false" hidden="true" name="FDD_152_10" vbProcedure="false">"A34334"</definedName>
    <definedName function="false" hidden="true" name="FDD_152_11" vbProcedure="false">"A34699"</definedName>
    <definedName function="false" hidden="true" name="FDD_152_12" vbProcedure="false">"A35064"</definedName>
    <definedName function="false" hidden="true" name="FDD_152_13" vbProcedure="false">"A35430"</definedName>
    <definedName function="false" hidden="true" name="FDD_152_14" vbProcedure="false">"A35795"</definedName>
    <definedName function="false" hidden="true" name="FDD_152_15" vbProcedure="false">"E36160"</definedName>
    <definedName function="false" hidden="true" name="FDD_152_2" vbProcedure="false">"A31412"</definedName>
    <definedName function="false" hidden="true" name="FDD_152_3" vbProcedure="false">"A31777"</definedName>
    <definedName function="false" hidden="true" name="FDD_152_4" vbProcedure="false">"A32142"</definedName>
    <definedName function="false" hidden="true" name="FDD_152_5" vbProcedure="false">"A32508"</definedName>
    <definedName function="false" hidden="true" name="FDD_152_6" vbProcedure="false">"A32873"</definedName>
    <definedName function="false" hidden="true" name="FDD_152_7" vbProcedure="false">"A33238"</definedName>
    <definedName function="false" hidden="true" name="FDD_152_8" vbProcedure="false">"A33603"</definedName>
    <definedName function="false" hidden="true" name="FDD_152_9" vbProcedure="false">"A33969"</definedName>
    <definedName function="false" hidden="true" name="FDD_153_0" vbProcedure="false">"A30681"</definedName>
    <definedName function="false" hidden="true" name="FDD_153_1" vbProcedure="false">"A31047"</definedName>
    <definedName function="false" hidden="true" name="FDD_153_10" vbProcedure="false">"A34334"</definedName>
    <definedName function="false" hidden="true" name="FDD_153_11" vbProcedure="false">"A34699"</definedName>
    <definedName function="false" hidden="true" name="FDD_153_12" vbProcedure="false">"A35064"</definedName>
    <definedName function="false" hidden="true" name="FDD_153_13" vbProcedure="false">"A35430"</definedName>
    <definedName function="false" hidden="true" name="FDD_153_14" vbProcedure="false">"A35795"</definedName>
    <definedName function="false" hidden="true" name="FDD_153_2" vbProcedure="false">"A31412"</definedName>
    <definedName function="false" hidden="true" name="FDD_153_3" vbProcedure="false">"A31777"</definedName>
    <definedName function="false" hidden="true" name="FDD_153_4" vbProcedure="false">"A32142"</definedName>
    <definedName function="false" hidden="true" name="FDD_153_5" vbProcedure="false">"A32508"</definedName>
    <definedName function="false" hidden="true" name="FDD_153_6" vbProcedure="false">"A32873"</definedName>
    <definedName function="false" hidden="true" name="FDD_153_7" vbProcedure="false">"A33238"</definedName>
    <definedName function="false" hidden="true" name="FDD_153_8" vbProcedure="false">"A33603"</definedName>
    <definedName function="false" hidden="true" name="FDD_153_9" vbProcedure="false">"A33969"</definedName>
    <definedName function="false" hidden="true" name="FDD_154_0" vbProcedure="false">"A30681"</definedName>
    <definedName function="false" hidden="true" name="FDD_154_1" vbProcedure="false">"A31047"</definedName>
    <definedName function="false" hidden="true" name="FDD_154_10" vbProcedure="false">"A34334"</definedName>
    <definedName function="false" hidden="true" name="FDD_154_11" vbProcedure="false">"A34699"</definedName>
    <definedName function="false" hidden="true" name="FDD_154_12" vbProcedure="false">"A35064"</definedName>
    <definedName function="false" hidden="true" name="FDD_154_13" vbProcedure="false">"A35430"</definedName>
    <definedName function="false" hidden="true" name="FDD_154_14" vbProcedure="false">"A35795"</definedName>
    <definedName function="false" hidden="true" name="FDD_154_2" vbProcedure="false">"A31412"</definedName>
    <definedName function="false" hidden="true" name="FDD_154_3" vbProcedure="false">"A31777"</definedName>
    <definedName function="false" hidden="true" name="FDD_154_4" vbProcedure="false">"A32142"</definedName>
    <definedName function="false" hidden="true" name="FDD_154_5" vbProcedure="false">"A32508"</definedName>
    <definedName function="false" hidden="true" name="FDD_154_6" vbProcedure="false">"A32873"</definedName>
    <definedName function="false" hidden="true" name="FDD_154_7" vbProcedure="false">"A33238"</definedName>
    <definedName function="false" hidden="true" name="FDD_154_8" vbProcedure="false">"A33603"</definedName>
    <definedName function="false" hidden="true" name="FDD_154_9" vbProcedure="false">"A33969"</definedName>
    <definedName function="false" hidden="true" name="FDD_155_0" vbProcedure="false">"A25569"</definedName>
    <definedName function="false" hidden="true" name="FDD_156_0" vbProcedure="false">"A30681"</definedName>
    <definedName function="false" hidden="true" name="FDD_156_1" vbProcedure="false">"A31047"</definedName>
    <definedName function="false" hidden="true" name="FDD_156_10" vbProcedure="false">"A34334"</definedName>
    <definedName function="false" hidden="true" name="FDD_156_11" vbProcedure="false">"A34699"</definedName>
    <definedName function="false" hidden="true" name="FDD_156_12" vbProcedure="false">"A35064"</definedName>
    <definedName function="false" hidden="true" name="FDD_156_13" vbProcedure="false">"A35430"</definedName>
    <definedName function="false" hidden="true" name="FDD_156_14" vbProcedure="false">"A35795"</definedName>
    <definedName function="false" hidden="true" name="FDD_156_15" vbProcedure="false">"E36160"</definedName>
    <definedName function="false" hidden="true" name="FDD_156_2" vbProcedure="false">"A31412"</definedName>
    <definedName function="false" hidden="true" name="FDD_156_3" vbProcedure="false">"A31777"</definedName>
    <definedName function="false" hidden="true" name="FDD_156_4" vbProcedure="false">"A32142"</definedName>
    <definedName function="false" hidden="true" name="FDD_156_5" vbProcedure="false">"A32508"</definedName>
    <definedName function="false" hidden="true" name="FDD_156_6" vbProcedure="false">"A32873"</definedName>
    <definedName function="false" hidden="true" name="FDD_156_7" vbProcedure="false">"A33238"</definedName>
    <definedName function="false" hidden="true" name="FDD_156_8" vbProcedure="false">"A33603"</definedName>
    <definedName function="false" hidden="true" name="FDD_156_9" vbProcedure="false">"A33969"</definedName>
    <definedName function="false" hidden="true" name="FDD_157_0" vbProcedure="false">"A30681"</definedName>
    <definedName function="false" hidden="true" name="FDD_157_1" vbProcedure="false">"A31047"</definedName>
    <definedName function="false" hidden="true" name="FDD_157_10" vbProcedure="false">"A34334"</definedName>
    <definedName function="false" hidden="true" name="FDD_157_11" vbProcedure="false">"A34699"</definedName>
    <definedName function="false" hidden="true" name="FDD_157_12" vbProcedure="false">"A35064"</definedName>
    <definedName function="false" hidden="true" name="FDD_157_13" vbProcedure="false">"A35430"</definedName>
    <definedName function="false" hidden="true" name="FDD_157_14" vbProcedure="false">"A35795"</definedName>
    <definedName function="false" hidden="true" name="FDD_157_2" vbProcedure="false">"A31412"</definedName>
    <definedName function="false" hidden="true" name="FDD_157_3" vbProcedure="false">"A31777"</definedName>
    <definedName function="false" hidden="true" name="FDD_157_4" vbProcedure="false">"A32142"</definedName>
    <definedName function="false" hidden="true" name="FDD_157_5" vbProcedure="false">"A32508"</definedName>
    <definedName function="false" hidden="true" name="FDD_157_6" vbProcedure="false">"A32873"</definedName>
    <definedName function="false" hidden="true" name="FDD_157_7" vbProcedure="false">"A33238"</definedName>
    <definedName function="false" hidden="true" name="FDD_157_8" vbProcedure="false">"A33603"</definedName>
    <definedName function="false" hidden="true" name="FDD_157_9" vbProcedure="false">"A33969"</definedName>
    <definedName function="false" hidden="true" name="FDD_158_0" vbProcedure="false">"A30681"</definedName>
    <definedName function="false" hidden="true" name="FDD_158_1" vbProcedure="false">"A31047"</definedName>
    <definedName function="false" hidden="true" name="FDD_158_10" vbProcedure="false">"A34334"</definedName>
    <definedName function="false" hidden="true" name="FDD_158_11" vbProcedure="false">"A34699"</definedName>
    <definedName function="false" hidden="true" name="FDD_158_12" vbProcedure="false">"A35064"</definedName>
    <definedName function="false" hidden="true" name="FDD_158_13" vbProcedure="false">"A35430"</definedName>
    <definedName function="false" hidden="true" name="FDD_158_14" vbProcedure="false">"A35795"</definedName>
    <definedName function="false" hidden="true" name="FDD_158_15" vbProcedure="false">"E36160"</definedName>
    <definedName function="false" hidden="true" name="FDD_158_2" vbProcedure="false">"A31412"</definedName>
    <definedName function="false" hidden="true" name="FDD_158_3" vbProcedure="false">"A31777"</definedName>
    <definedName function="false" hidden="true" name="FDD_158_4" vbProcedure="false">"A32142"</definedName>
    <definedName function="false" hidden="true" name="FDD_158_5" vbProcedure="false">"A32508"</definedName>
    <definedName function="false" hidden="true" name="FDD_158_6" vbProcedure="false">"A32873"</definedName>
    <definedName function="false" hidden="true" name="FDD_158_7" vbProcedure="false">"A33238"</definedName>
    <definedName function="false" hidden="true" name="FDD_158_8" vbProcedure="false">"A33603"</definedName>
    <definedName function="false" hidden="true" name="FDD_158_9" vbProcedure="false">"A33969"</definedName>
    <definedName function="false" hidden="true" name="FDD_159_0" vbProcedure="false">"A30681"</definedName>
    <definedName function="false" hidden="true" name="FDD_159_1" vbProcedure="false">"A31047"</definedName>
    <definedName function="false" hidden="true" name="FDD_159_10" vbProcedure="false">"A34334"</definedName>
    <definedName function="false" hidden="true" name="FDD_159_11" vbProcedure="false">"A34699"</definedName>
    <definedName function="false" hidden="true" name="FDD_159_12" vbProcedure="false">"A35064"</definedName>
    <definedName function="false" hidden="true" name="FDD_159_13" vbProcedure="false">"A35430"</definedName>
    <definedName function="false" hidden="true" name="FDD_159_14" vbProcedure="false">"A35795"</definedName>
    <definedName function="false" hidden="true" name="FDD_159_2" vbProcedure="false">"A31412"</definedName>
    <definedName function="false" hidden="true" name="FDD_159_3" vbProcedure="false">"A31777"</definedName>
    <definedName function="false" hidden="true" name="FDD_159_4" vbProcedure="false">"A32142"</definedName>
    <definedName function="false" hidden="true" name="FDD_159_5" vbProcedure="false">"A32508"</definedName>
    <definedName function="false" hidden="true" name="FDD_159_6" vbProcedure="false">"A32873"</definedName>
    <definedName function="false" hidden="true" name="FDD_159_7" vbProcedure="false">"A33238"</definedName>
    <definedName function="false" hidden="true" name="FDD_159_8" vbProcedure="false">"A33603"</definedName>
    <definedName function="false" hidden="true" name="FDD_159_9" vbProcedure="false">"A33969"</definedName>
    <definedName function="false" hidden="true" name="FDD_15_0" vbProcedure="false">"A25569"</definedName>
    <definedName function="false" hidden="true" name="FDD_160_0" vbProcedure="false">"A30681"</definedName>
    <definedName function="false" hidden="true" name="FDD_160_1" vbProcedure="false">"A31047"</definedName>
    <definedName function="false" hidden="true" name="FDD_160_10" vbProcedure="false">"A34334"</definedName>
    <definedName function="false" hidden="true" name="FDD_160_11" vbProcedure="false">"A34699"</definedName>
    <definedName function="false" hidden="true" name="FDD_160_12" vbProcedure="false">"A35064"</definedName>
    <definedName function="false" hidden="true" name="FDD_160_13" vbProcedure="false">"A35430"</definedName>
    <definedName function="false" hidden="true" name="FDD_160_14" vbProcedure="false">"A35795"</definedName>
    <definedName function="false" hidden="true" name="FDD_160_15" vbProcedure="false">"E36160"</definedName>
    <definedName function="false" hidden="true" name="FDD_160_2" vbProcedure="false">"A31412"</definedName>
    <definedName function="false" hidden="true" name="FDD_160_3" vbProcedure="false">"A31777"</definedName>
    <definedName function="false" hidden="true" name="FDD_160_4" vbProcedure="false">"A32142"</definedName>
    <definedName function="false" hidden="true" name="FDD_160_5" vbProcedure="false">"A32508"</definedName>
    <definedName function="false" hidden="true" name="FDD_160_6" vbProcedure="false">"A32873"</definedName>
    <definedName function="false" hidden="true" name="FDD_160_7" vbProcedure="false">"A33238"</definedName>
    <definedName function="false" hidden="true" name="FDD_160_8" vbProcedure="false">"A33603"</definedName>
    <definedName function="false" hidden="true" name="FDD_160_9" vbProcedure="false">"A33969"</definedName>
    <definedName function="false" hidden="true" name="FDD_161_0" vbProcedure="false">"A30681"</definedName>
    <definedName function="false" hidden="true" name="FDD_161_1" vbProcedure="false">"A31047"</definedName>
    <definedName function="false" hidden="true" name="FDD_161_10" vbProcedure="false">"A34334"</definedName>
    <definedName function="false" hidden="true" name="FDD_161_11" vbProcedure="false">"A34699"</definedName>
    <definedName function="false" hidden="true" name="FDD_161_12" vbProcedure="false">"A35064"</definedName>
    <definedName function="false" hidden="true" name="FDD_161_13" vbProcedure="false">"A35430"</definedName>
    <definedName function="false" hidden="true" name="FDD_161_14" vbProcedure="false">"A35795"</definedName>
    <definedName function="false" hidden="true" name="FDD_161_2" vbProcedure="false">"A31412"</definedName>
    <definedName function="false" hidden="true" name="FDD_161_3" vbProcedure="false">"A31777"</definedName>
    <definedName function="false" hidden="true" name="FDD_161_4" vbProcedure="false">"A32142"</definedName>
    <definedName function="false" hidden="true" name="FDD_161_5" vbProcedure="false">"A32508"</definedName>
    <definedName function="false" hidden="true" name="FDD_161_6" vbProcedure="false">"A32873"</definedName>
    <definedName function="false" hidden="true" name="FDD_161_7" vbProcedure="false">"A33238"</definedName>
    <definedName function="false" hidden="true" name="FDD_161_8" vbProcedure="false">"A33603"</definedName>
    <definedName function="false" hidden="true" name="FDD_161_9" vbProcedure="false">"A33969"</definedName>
    <definedName function="false" hidden="true" name="FDD_162_0" vbProcedure="false">"A30681"</definedName>
    <definedName function="false" hidden="true" name="FDD_162_1" vbProcedure="false">"A31047"</definedName>
    <definedName function="false" hidden="true" name="FDD_162_10" vbProcedure="false">"A34334"</definedName>
    <definedName function="false" hidden="true" name="FDD_162_11" vbProcedure="false">"A34699"</definedName>
    <definedName function="false" hidden="true" name="FDD_162_12" vbProcedure="false">"A35064"</definedName>
    <definedName function="false" hidden="true" name="FDD_162_13" vbProcedure="false">"A35430"</definedName>
    <definedName function="false" hidden="true" name="FDD_162_14" vbProcedure="false">"A35795"</definedName>
    <definedName function="false" hidden="true" name="FDD_162_2" vbProcedure="false">"A31412"</definedName>
    <definedName function="false" hidden="true" name="FDD_162_3" vbProcedure="false">"A31777"</definedName>
    <definedName function="false" hidden="true" name="FDD_162_4" vbProcedure="false">"A32142"</definedName>
    <definedName function="false" hidden="true" name="FDD_162_5" vbProcedure="false">"A32508"</definedName>
    <definedName function="false" hidden="true" name="FDD_162_6" vbProcedure="false">"A32873"</definedName>
    <definedName function="false" hidden="true" name="FDD_162_7" vbProcedure="false">"A33238"</definedName>
    <definedName function="false" hidden="true" name="FDD_162_8" vbProcedure="false">"A33603"</definedName>
    <definedName function="false" hidden="true" name="FDD_162_9" vbProcedure="false">"A33969"</definedName>
    <definedName function="false" hidden="true" name="FDD_163_0" vbProcedure="false">"A30681"</definedName>
    <definedName function="false" hidden="true" name="FDD_163_1" vbProcedure="false">"A31047"</definedName>
    <definedName function="false" hidden="true" name="FDD_163_10" vbProcedure="false">"A34334"</definedName>
    <definedName function="false" hidden="true" name="FDD_163_11" vbProcedure="false">"A34699"</definedName>
    <definedName function="false" hidden="true" name="FDD_163_12" vbProcedure="false">"A35064"</definedName>
    <definedName function="false" hidden="true" name="FDD_163_13" vbProcedure="false">"A35430"</definedName>
    <definedName function="false" hidden="true" name="FDD_163_14" vbProcedure="false">"A35795"</definedName>
    <definedName function="false" hidden="true" name="FDD_163_2" vbProcedure="false">"A31412"</definedName>
    <definedName function="false" hidden="true" name="FDD_163_3" vbProcedure="false">"A31777"</definedName>
    <definedName function="false" hidden="true" name="FDD_163_4" vbProcedure="false">"A32142"</definedName>
    <definedName function="false" hidden="true" name="FDD_163_5" vbProcedure="false">"A32508"</definedName>
    <definedName function="false" hidden="true" name="FDD_163_6" vbProcedure="false">"A32873"</definedName>
    <definedName function="false" hidden="true" name="FDD_163_7" vbProcedure="false">"A33238"</definedName>
    <definedName function="false" hidden="true" name="FDD_163_8" vbProcedure="false">"A33603"</definedName>
    <definedName function="false" hidden="true" name="FDD_163_9" vbProcedure="false">"A33969"</definedName>
    <definedName function="false" hidden="true" name="FDD_164_0" vbProcedure="false">"A25569"</definedName>
    <definedName function="false" hidden="true" name="FDD_165_0" vbProcedure="false">"A30681"</definedName>
    <definedName function="false" hidden="true" name="FDD_165_1" vbProcedure="false">"A31047"</definedName>
    <definedName function="false" hidden="true" name="FDD_165_10" vbProcedure="false">"A34334"</definedName>
    <definedName function="false" hidden="true" name="FDD_165_11" vbProcedure="false">"A34699"</definedName>
    <definedName function="false" hidden="true" name="FDD_165_12" vbProcedure="false">"A35064"</definedName>
    <definedName function="false" hidden="true" name="FDD_165_13" vbProcedure="false">"A35430"</definedName>
    <definedName function="false" hidden="true" name="FDD_165_14" vbProcedure="false">"A35795"</definedName>
    <definedName function="false" hidden="true" name="FDD_165_2" vbProcedure="false">"A31412"</definedName>
    <definedName function="false" hidden="true" name="FDD_165_3" vbProcedure="false">"A31777"</definedName>
    <definedName function="false" hidden="true" name="FDD_165_4" vbProcedure="false">"A32142"</definedName>
    <definedName function="false" hidden="true" name="FDD_165_5" vbProcedure="false">"A32508"</definedName>
    <definedName function="false" hidden="true" name="FDD_165_6" vbProcedure="false">"A32873"</definedName>
    <definedName function="false" hidden="true" name="FDD_165_7" vbProcedure="false">"A33238"</definedName>
    <definedName function="false" hidden="true" name="FDD_165_8" vbProcedure="false">"A33603"</definedName>
    <definedName function="false" hidden="true" name="FDD_165_9" vbProcedure="false">"A33969"</definedName>
    <definedName function="false" hidden="true" name="FDD_166_0" vbProcedure="false">"A30681"</definedName>
    <definedName function="false" hidden="true" name="FDD_166_1" vbProcedure="false">"A31047"</definedName>
    <definedName function="false" hidden="true" name="FDD_166_10" vbProcedure="false">"A34334"</definedName>
    <definedName function="false" hidden="true" name="FDD_166_11" vbProcedure="false">"A34699"</definedName>
    <definedName function="false" hidden="true" name="FDD_166_12" vbProcedure="false">"A35064"</definedName>
    <definedName function="false" hidden="true" name="FDD_166_13" vbProcedure="false">"A35430"</definedName>
    <definedName function="false" hidden="true" name="FDD_166_14" vbProcedure="false">"A35795"</definedName>
    <definedName function="false" hidden="true" name="FDD_166_2" vbProcedure="false">"A31412"</definedName>
    <definedName function="false" hidden="true" name="FDD_166_3" vbProcedure="false">"A31777"</definedName>
    <definedName function="false" hidden="true" name="FDD_166_4" vbProcedure="false">"A32142"</definedName>
    <definedName function="false" hidden="true" name="FDD_166_5" vbProcedure="false">"A32508"</definedName>
    <definedName function="false" hidden="true" name="FDD_166_6" vbProcedure="false">"A32873"</definedName>
    <definedName function="false" hidden="true" name="FDD_166_7" vbProcedure="false">"A33238"</definedName>
    <definedName function="false" hidden="true" name="FDD_166_8" vbProcedure="false">"A33603"</definedName>
    <definedName function="false" hidden="true" name="FDD_166_9" vbProcedure="false">"A33969"</definedName>
    <definedName function="false" hidden="true" name="FDD_167_0" vbProcedure="false">"A30681"</definedName>
    <definedName function="false" hidden="true" name="FDD_167_1" vbProcedure="false">"A31047"</definedName>
    <definedName function="false" hidden="true" name="FDD_167_10" vbProcedure="false">"A34334"</definedName>
    <definedName function="false" hidden="true" name="FDD_167_11" vbProcedure="false">"A34699"</definedName>
    <definedName function="false" hidden="true" name="FDD_167_12" vbProcedure="false">"A35064"</definedName>
    <definedName function="false" hidden="true" name="FDD_167_13" vbProcedure="false">"A35430"</definedName>
    <definedName function="false" hidden="true" name="FDD_167_14" vbProcedure="false">"A35795"</definedName>
    <definedName function="false" hidden="true" name="FDD_167_2" vbProcedure="false">"A31412"</definedName>
    <definedName function="false" hidden="true" name="FDD_167_3" vbProcedure="false">"A31777"</definedName>
    <definedName function="false" hidden="true" name="FDD_167_4" vbProcedure="false">"A32142"</definedName>
    <definedName function="false" hidden="true" name="FDD_167_5" vbProcedure="false">"A32508"</definedName>
    <definedName function="false" hidden="true" name="FDD_167_6" vbProcedure="false">"A32873"</definedName>
    <definedName function="false" hidden="true" name="FDD_167_7" vbProcedure="false">"A33238"</definedName>
    <definedName function="false" hidden="true" name="FDD_167_8" vbProcedure="false">"A33603"</definedName>
    <definedName function="false" hidden="true" name="FDD_167_9" vbProcedure="false">"A33969"</definedName>
    <definedName function="false" hidden="true" name="FDD_168_0" vbProcedure="false">"E36160"</definedName>
    <definedName function="false" hidden="true" name="FDD_168_1" vbProcedure="false">"E36525"</definedName>
    <definedName function="false" hidden="true" name="FDD_168_2" vbProcedure="false">"E36891"</definedName>
    <definedName function="false" hidden="true" name="FDD_169_0" vbProcedure="false">"A30681"</definedName>
    <definedName function="false" hidden="true" name="FDD_169_1" vbProcedure="false">"A31047"</definedName>
    <definedName function="false" hidden="true" name="FDD_169_10" vbProcedure="false">"A34334"</definedName>
    <definedName function="false" hidden="true" name="FDD_169_11" vbProcedure="false">"A34699"</definedName>
    <definedName function="false" hidden="true" name="FDD_169_12" vbProcedure="false">"A35064"</definedName>
    <definedName function="false" hidden="true" name="FDD_169_13" vbProcedure="false">"A35430"</definedName>
    <definedName function="false" hidden="true" name="FDD_169_14" vbProcedure="false">"A35795"</definedName>
    <definedName function="false" hidden="true" name="FDD_169_2" vbProcedure="false">"A31412"</definedName>
    <definedName function="false" hidden="true" name="FDD_169_3" vbProcedure="false">"A31777"</definedName>
    <definedName function="false" hidden="true" name="FDD_169_4" vbProcedure="false">"A32142"</definedName>
    <definedName function="false" hidden="true" name="FDD_169_5" vbProcedure="false">"A32508"</definedName>
    <definedName function="false" hidden="true" name="FDD_169_6" vbProcedure="false">"A32873"</definedName>
    <definedName function="false" hidden="true" name="FDD_169_7" vbProcedure="false">"A33238"</definedName>
    <definedName function="false" hidden="true" name="FDD_169_8" vbProcedure="false">"A33603"</definedName>
    <definedName function="false" hidden="true" name="FDD_169_9" vbProcedure="false">"A33969"</definedName>
    <definedName function="false" hidden="true" name="FDD_16_0" vbProcedure="false">"A25569"</definedName>
    <definedName function="false" hidden="true" name="FDD_170_0" vbProcedure="false">"A30681"</definedName>
    <definedName function="false" hidden="true" name="FDD_170_1" vbProcedure="false">"A31047"</definedName>
    <definedName function="false" hidden="true" name="FDD_170_10" vbProcedure="false">"A34334"</definedName>
    <definedName function="false" hidden="true" name="FDD_170_11" vbProcedure="false">"A34699"</definedName>
    <definedName function="false" hidden="true" name="FDD_170_12" vbProcedure="false">"A35064"</definedName>
    <definedName function="false" hidden="true" name="FDD_170_13" vbProcedure="false">"A35430"</definedName>
    <definedName function="false" hidden="true" name="FDD_170_14" vbProcedure="false">"A35795"</definedName>
    <definedName function="false" hidden="true" name="FDD_170_2" vbProcedure="false">"A31412"</definedName>
    <definedName function="false" hidden="true" name="FDD_170_3" vbProcedure="false">"A31777"</definedName>
    <definedName function="false" hidden="true" name="FDD_170_4" vbProcedure="false">"A32142"</definedName>
    <definedName function="false" hidden="true" name="FDD_170_5" vbProcedure="false">"A32508"</definedName>
    <definedName function="false" hidden="true" name="FDD_170_6" vbProcedure="false">"A32873"</definedName>
    <definedName function="false" hidden="true" name="FDD_170_7" vbProcedure="false">"A33238"</definedName>
    <definedName function="false" hidden="true" name="FDD_170_8" vbProcedure="false">"A33603"</definedName>
    <definedName function="false" hidden="true" name="FDD_170_9" vbProcedure="false">"A33969"</definedName>
    <definedName function="false" hidden="true" name="FDD_171_0" vbProcedure="false">"A30681"</definedName>
    <definedName function="false" hidden="true" name="FDD_171_1" vbProcedure="false">"A31047"</definedName>
    <definedName function="false" hidden="true" name="FDD_171_10" vbProcedure="false">"A34334"</definedName>
    <definedName function="false" hidden="true" name="FDD_171_11" vbProcedure="false">"A34699"</definedName>
    <definedName function="false" hidden="true" name="FDD_171_12" vbProcedure="false">"A35064"</definedName>
    <definedName function="false" hidden="true" name="FDD_171_13" vbProcedure="false">"A35430"</definedName>
    <definedName function="false" hidden="true" name="FDD_171_14" vbProcedure="false">"A35795"</definedName>
    <definedName function="false" hidden="true" name="FDD_171_2" vbProcedure="false">"A31412"</definedName>
    <definedName function="false" hidden="true" name="FDD_171_3" vbProcedure="false">"A31777"</definedName>
    <definedName function="false" hidden="true" name="FDD_171_4" vbProcedure="false">"A32142"</definedName>
    <definedName function="false" hidden="true" name="FDD_171_5" vbProcedure="false">"A32508"</definedName>
    <definedName function="false" hidden="true" name="FDD_171_6" vbProcedure="false">"A32873"</definedName>
    <definedName function="false" hidden="true" name="FDD_171_7" vbProcedure="false">"A33238"</definedName>
    <definedName function="false" hidden="true" name="FDD_171_8" vbProcedure="false">"A33603"</definedName>
    <definedName function="false" hidden="true" name="FDD_171_9" vbProcedure="false">"A33969"</definedName>
    <definedName function="false" hidden="true" name="FDD_172_0" vbProcedure="false">"A30681"</definedName>
    <definedName function="false" hidden="true" name="FDD_172_1" vbProcedure="false">"A31047"</definedName>
    <definedName function="false" hidden="true" name="FDD_172_10" vbProcedure="false">"A34334"</definedName>
    <definedName function="false" hidden="true" name="FDD_172_11" vbProcedure="false">"A34699"</definedName>
    <definedName function="false" hidden="true" name="FDD_172_12" vbProcedure="false">"A35064"</definedName>
    <definedName function="false" hidden="true" name="FDD_172_13" vbProcedure="false">"A35430"</definedName>
    <definedName function="false" hidden="true" name="FDD_172_14" vbProcedure="false">"A35795"</definedName>
    <definedName function="false" hidden="true" name="FDD_172_2" vbProcedure="false">"A31412"</definedName>
    <definedName function="false" hidden="true" name="FDD_172_3" vbProcedure="false">"A31777"</definedName>
    <definedName function="false" hidden="true" name="FDD_172_4" vbProcedure="false">"A32142"</definedName>
    <definedName function="false" hidden="true" name="FDD_172_5" vbProcedure="false">"A32508"</definedName>
    <definedName function="false" hidden="true" name="FDD_172_6" vbProcedure="false">"A32873"</definedName>
    <definedName function="false" hidden="true" name="FDD_172_7" vbProcedure="false">"A33238"</definedName>
    <definedName function="false" hidden="true" name="FDD_172_8" vbProcedure="false">"A33603"</definedName>
    <definedName function="false" hidden="true" name="FDD_172_9" vbProcedure="false">"A33969"</definedName>
    <definedName function="false" hidden="true" name="FDD_173_0" vbProcedure="false">"A30681"</definedName>
    <definedName function="false" hidden="true" name="FDD_173_1" vbProcedure="false">"A31047"</definedName>
    <definedName function="false" hidden="true" name="FDD_173_10" vbProcedure="false">"A34334"</definedName>
    <definedName function="false" hidden="true" name="FDD_173_11" vbProcedure="false">"A34699"</definedName>
    <definedName function="false" hidden="true" name="FDD_173_12" vbProcedure="false">"A35064"</definedName>
    <definedName function="false" hidden="true" name="FDD_173_13" vbProcedure="false">"A35430"</definedName>
    <definedName function="false" hidden="true" name="FDD_173_14" vbProcedure="false">"A35795"</definedName>
    <definedName function="false" hidden="true" name="FDD_173_2" vbProcedure="false">"A31412"</definedName>
    <definedName function="false" hidden="true" name="FDD_173_3" vbProcedure="false">"A31777"</definedName>
    <definedName function="false" hidden="true" name="FDD_173_4" vbProcedure="false">"A32142"</definedName>
    <definedName function="false" hidden="true" name="FDD_173_5" vbProcedure="false">"A32508"</definedName>
    <definedName function="false" hidden="true" name="FDD_173_6" vbProcedure="false">"A32873"</definedName>
    <definedName function="false" hidden="true" name="FDD_173_7" vbProcedure="false">"A33238"</definedName>
    <definedName function="false" hidden="true" name="FDD_173_8" vbProcedure="false">"A33603"</definedName>
    <definedName function="false" hidden="true" name="FDD_173_9" vbProcedure="false">"A33969"</definedName>
    <definedName function="false" hidden="true" name="FDD_174_0" vbProcedure="false">"A30681"</definedName>
    <definedName function="false" hidden="true" name="FDD_174_1" vbProcedure="false">"A31047"</definedName>
    <definedName function="false" hidden="true" name="FDD_174_10" vbProcedure="false">"A34334"</definedName>
    <definedName function="false" hidden="true" name="FDD_174_11" vbProcedure="false">"A34699"</definedName>
    <definedName function="false" hidden="true" name="FDD_174_12" vbProcedure="false">"A35064"</definedName>
    <definedName function="false" hidden="true" name="FDD_174_13" vbProcedure="false">"A35430"</definedName>
    <definedName function="false" hidden="true" name="FDD_174_14" vbProcedure="false">"A35795"</definedName>
    <definedName function="false" hidden="true" name="FDD_174_2" vbProcedure="false">"A31412"</definedName>
    <definedName function="false" hidden="true" name="FDD_174_3" vbProcedure="false">"A31777"</definedName>
    <definedName function="false" hidden="true" name="FDD_174_4" vbProcedure="false">"A32142"</definedName>
    <definedName function="false" hidden="true" name="FDD_174_5" vbProcedure="false">"A32508"</definedName>
    <definedName function="false" hidden="true" name="FDD_174_6" vbProcedure="false">"A32873"</definedName>
    <definedName function="false" hidden="true" name="FDD_174_7" vbProcedure="false">"A33238"</definedName>
    <definedName function="false" hidden="true" name="FDD_174_8" vbProcedure="false">"A33603"</definedName>
    <definedName function="false" hidden="true" name="FDD_174_9" vbProcedure="false">"A33969"</definedName>
    <definedName function="false" hidden="true" name="FDD_175_0" vbProcedure="false">"E36160"</definedName>
    <definedName function="false" hidden="true" name="FDD_175_1" vbProcedure="false">"E36525"</definedName>
    <definedName function="false" hidden="true" name="FDD_175_2" vbProcedure="false">"E36891"</definedName>
    <definedName function="false" hidden="true" name="FDD_176_0" vbProcedure="false">"E36160"</definedName>
    <definedName function="false" hidden="true" name="FDD_176_1" vbProcedure="false">"E36525"</definedName>
    <definedName function="false" hidden="true" name="FDD_176_2" vbProcedure="false">"E36891"</definedName>
    <definedName function="false" hidden="true" name="FDD_177_0" vbProcedure="false">"E36160"</definedName>
    <definedName function="false" hidden="true" name="FDD_177_1" vbProcedure="false">"E36525"</definedName>
    <definedName function="false" hidden="true" name="FDD_177_2" vbProcedure="false">"E36891"</definedName>
    <definedName function="false" hidden="true" name="FDD_178_0" vbProcedure="false">"E36160"</definedName>
    <definedName function="false" hidden="true" name="FDD_178_1" vbProcedure="false">"E36525"</definedName>
    <definedName function="false" hidden="true" name="FDD_178_2" vbProcedure="false">"E36891"</definedName>
    <definedName function="false" hidden="true" name="FDD_179_0" vbProcedure="false">"E36160"</definedName>
    <definedName function="false" hidden="true" name="FDD_179_1" vbProcedure="false">"E36525"</definedName>
    <definedName function="false" hidden="true" name="FDD_179_2" vbProcedure="false">"E36891"</definedName>
    <definedName function="false" hidden="true" name="FDD_17_0" vbProcedure="false">"A25569"</definedName>
    <definedName function="false" hidden="true" name="FDD_180_0" vbProcedure="false">"E36160"</definedName>
    <definedName function="false" hidden="true" name="FDD_180_1" vbProcedure="false">"E36525"</definedName>
    <definedName function="false" hidden="true" name="FDD_180_2" vbProcedure="false">"E36891"</definedName>
    <definedName function="false" hidden="true" name="FDD_181_0" vbProcedure="false">"E36160"</definedName>
    <definedName function="false" hidden="true" name="FDD_181_1" vbProcedure="false">"E36525"</definedName>
    <definedName function="false" hidden="true" name="FDD_181_2" vbProcedure="false">"E36891"</definedName>
    <definedName function="false" hidden="true" name="FDD_182_0" vbProcedure="false">"E36160"</definedName>
    <definedName function="false" hidden="true" name="FDD_182_1" vbProcedure="false">"E36525"</definedName>
    <definedName function="false" hidden="true" name="FDD_182_2" vbProcedure="false">"E36891"</definedName>
    <definedName function="false" hidden="true" name="FDD_183_0" vbProcedure="false">"E36160"</definedName>
    <definedName function="false" hidden="true" name="FDD_183_1" vbProcedure="false">"E36525"</definedName>
    <definedName function="false" hidden="true" name="FDD_183_2" vbProcedure="false">"E36891"</definedName>
    <definedName function="false" hidden="true" name="FDD_184_0" vbProcedure="false">"E36160"</definedName>
    <definedName function="false" hidden="true" name="FDD_184_1" vbProcedure="false">"E36525"</definedName>
    <definedName function="false" hidden="true" name="FDD_184_2" vbProcedure="false">"E36891"</definedName>
    <definedName function="false" hidden="true" name="FDD_185_0" vbProcedure="false">"E36160"</definedName>
    <definedName function="false" hidden="true" name="FDD_185_1" vbProcedure="false">"E36525"</definedName>
    <definedName function="false" hidden="true" name="FDD_185_2" vbProcedure="false">"E36891"</definedName>
    <definedName function="false" hidden="true" name="FDD_186_0" vbProcedure="false">"E36160"</definedName>
    <definedName function="false" hidden="true" name="FDD_186_1" vbProcedure="false">"E36525"</definedName>
    <definedName function="false" hidden="true" name="FDD_186_2" vbProcedure="false">"E36891"</definedName>
    <definedName function="false" hidden="true" name="FDD_187_0" vbProcedure="false">"E36160"</definedName>
    <definedName function="false" hidden="true" name="FDD_187_1" vbProcedure="false">"E36525"</definedName>
    <definedName function="false" hidden="true" name="FDD_187_2" vbProcedure="false">"E36891"</definedName>
    <definedName function="false" hidden="true" name="FDD_188_0" vbProcedure="false">"A30681"</definedName>
    <definedName function="false" hidden="true" name="FDD_188_1" vbProcedure="false">"A31047"</definedName>
    <definedName function="false" hidden="true" name="FDD_188_10" vbProcedure="false">"A34334"</definedName>
    <definedName function="false" hidden="true" name="FDD_188_11" vbProcedure="false">"A34699"</definedName>
    <definedName function="false" hidden="true" name="FDD_188_12" vbProcedure="false">"A35064"</definedName>
    <definedName function="false" hidden="true" name="FDD_188_13" vbProcedure="false">"A35430"</definedName>
    <definedName function="false" hidden="true" name="FDD_188_14" vbProcedure="false">"A35795"</definedName>
    <definedName function="false" hidden="true" name="FDD_188_2" vbProcedure="false">"A31412"</definedName>
    <definedName function="false" hidden="true" name="FDD_188_3" vbProcedure="false">"A31777"</definedName>
    <definedName function="false" hidden="true" name="FDD_188_4" vbProcedure="false">"A32142"</definedName>
    <definedName function="false" hidden="true" name="FDD_188_5" vbProcedure="false">"A32508"</definedName>
    <definedName function="false" hidden="true" name="FDD_188_6" vbProcedure="false">"A32873"</definedName>
    <definedName function="false" hidden="true" name="FDD_188_7" vbProcedure="false">"A33238"</definedName>
    <definedName function="false" hidden="true" name="FDD_188_8" vbProcedure="false">"A33603"</definedName>
    <definedName function="false" hidden="true" name="FDD_188_9" vbProcedure="false">"A33969"</definedName>
    <definedName function="false" hidden="true" name="FDD_189_0" vbProcedure="false">"A30681"</definedName>
    <definedName function="false" hidden="true" name="FDD_189_1" vbProcedure="false">"A31047"</definedName>
    <definedName function="false" hidden="true" name="FDD_189_10" vbProcedure="false">"A34334"</definedName>
    <definedName function="false" hidden="true" name="FDD_189_11" vbProcedure="false">"A34699"</definedName>
    <definedName function="false" hidden="true" name="FDD_189_12" vbProcedure="false">"A35064"</definedName>
    <definedName function="false" hidden="true" name="FDD_189_13" vbProcedure="false">"A35430"</definedName>
    <definedName function="false" hidden="true" name="FDD_189_14" vbProcedure="false">"A35795"</definedName>
    <definedName function="false" hidden="true" name="FDD_189_2" vbProcedure="false">"A31412"</definedName>
    <definedName function="false" hidden="true" name="FDD_189_3" vbProcedure="false">"A31777"</definedName>
    <definedName function="false" hidden="true" name="FDD_189_4" vbProcedure="false">"A32142"</definedName>
    <definedName function="false" hidden="true" name="FDD_189_5" vbProcedure="false">"A32508"</definedName>
    <definedName function="false" hidden="true" name="FDD_189_6" vbProcedure="false">"A32873"</definedName>
    <definedName function="false" hidden="true" name="FDD_189_7" vbProcedure="false">"A33238"</definedName>
    <definedName function="false" hidden="true" name="FDD_189_8" vbProcedure="false">"A33603"</definedName>
    <definedName function="false" hidden="true" name="FDD_189_9" vbProcedure="false">"A33969"</definedName>
    <definedName function="false" hidden="true" name="FDD_18_0" vbProcedure="false">"A25569"</definedName>
    <definedName function="false" hidden="true" name="FDD_190_0" vbProcedure="false">"A30681"</definedName>
    <definedName function="false" hidden="true" name="FDD_190_1" vbProcedure="false">"A31047"</definedName>
    <definedName function="false" hidden="true" name="FDD_190_10" vbProcedure="false">"A34334"</definedName>
    <definedName function="false" hidden="true" name="FDD_190_11" vbProcedure="false">"A34699"</definedName>
    <definedName function="false" hidden="true" name="FDD_190_12" vbProcedure="false">"A35064"</definedName>
    <definedName function="false" hidden="true" name="FDD_190_13" vbProcedure="false">"A35430"</definedName>
    <definedName function="false" hidden="true" name="FDD_190_14" vbProcedure="false">"A35795"</definedName>
    <definedName function="false" hidden="true" name="FDD_190_2" vbProcedure="false">"A31412"</definedName>
    <definedName function="false" hidden="true" name="FDD_190_3" vbProcedure="false">"A31777"</definedName>
    <definedName function="false" hidden="true" name="FDD_190_4" vbProcedure="false">"A32142"</definedName>
    <definedName function="false" hidden="true" name="FDD_190_5" vbProcedure="false">"A32508"</definedName>
    <definedName function="false" hidden="true" name="FDD_190_6" vbProcedure="false">"A32873"</definedName>
    <definedName function="false" hidden="true" name="FDD_190_7" vbProcedure="false">"A33238"</definedName>
    <definedName function="false" hidden="true" name="FDD_190_8" vbProcedure="false">"A33603"</definedName>
    <definedName function="false" hidden="true" name="FDD_190_9" vbProcedure="false">"A33969"</definedName>
    <definedName function="false" hidden="true" name="FDD_191_0" vbProcedure="false">"A30681"</definedName>
    <definedName function="false" hidden="true" name="FDD_191_1" vbProcedure="false">"A31047"</definedName>
    <definedName function="false" hidden="true" name="FDD_191_10" vbProcedure="false">"A34334"</definedName>
    <definedName function="false" hidden="true" name="FDD_191_11" vbProcedure="false">"A34699"</definedName>
    <definedName function="false" hidden="true" name="FDD_191_12" vbProcedure="false">"A35064"</definedName>
    <definedName function="false" hidden="true" name="FDD_191_13" vbProcedure="false">"A35430"</definedName>
    <definedName function="false" hidden="true" name="FDD_191_14" vbProcedure="false">"A35795"</definedName>
    <definedName function="false" hidden="true" name="FDD_191_2" vbProcedure="false">"A31412"</definedName>
    <definedName function="false" hidden="true" name="FDD_191_3" vbProcedure="false">"A31777"</definedName>
    <definedName function="false" hidden="true" name="FDD_191_4" vbProcedure="false">"A32142"</definedName>
    <definedName function="false" hidden="true" name="FDD_191_5" vbProcedure="false">"A32508"</definedName>
    <definedName function="false" hidden="true" name="FDD_191_6" vbProcedure="false">"A32873"</definedName>
    <definedName function="false" hidden="true" name="FDD_191_7" vbProcedure="false">"A33238"</definedName>
    <definedName function="false" hidden="true" name="FDD_191_8" vbProcedure="false">"A33603"</definedName>
    <definedName function="false" hidden="true" name="FDD_191_9" vbProcedure="false">"A33969"</definedName>
    <definedName function="false" hidden="true" name="FDD_192_0" vbProcedure="false">"E36160"</definedName>
    <definedName function="false" hidden="true" name="FDD_192_1" vbProcedure="false">"E36525"</definedName>
    <definedName function="false" hidden="true" name="FDD_192_2" vbProcedure="false">"E36891"</definedName>
    <definedName function="false" hidden="true" name="FDD_193_0" vbProcedure="false">"A30681"</definedName>
    <definedName function="false" hidden="true" name="FDD_193_1" vbProcedure="false">"A31047"</definedName>
    <definedName function="false" hidden="true" name="FDD_193_10" vbProcedure="false">"A34334"</definedName>
    <definedName function="false" hidden="true" name="FDD_193_11" vbProcedure="false">"A34699"</definedName>
    <definedName function="false" hidden="true" name="FDD_193_12" vbProcedure="false">"A35064"</definedName>
    <definedName function="false" hidden="true" name="FDD_193_13" vbProcedure="false">"A35430"</definedName>
    <definedName function="false" hidden="true" name="FDD_193_14" vbProcedure="false">"A35795"</definedName>
    <definedName function="false" hidden="true" name="FDD_193_2" vbProcedure="false">"A31412"</definedName>
    <definedName function="false" hidden="true" name="FDD_193_3" vbProcedure="false">"A31777"</definedName>
    <definedName function="false" hidden="true" name="FDD_193_4" vbProcedure="false">"A32142"</definedName>
    <definedName function="false" hidden="true" name="FDD_193_5" vbProcedure="false">"A32508"</definedName>
    <definedName function="false" hidden="true" name="FDD_193_6" vbProcedure="false">"A32873"</definedName>
    <definedName function="false" hidden="true" name="FDD_193_7" vbProcedure="false">"A33238"</definedName>
    <definedName function="false" hidden="true" name="FDD_193_8" vbProcedure="false">"A33603"</definedName>
    <definedName function="false" hidden="true" name="FDD_193_9" vbProcedure="false">"A33969"</definedName>
    <definedName function="false" hidden="true" name="FDD_194_0" vbProcedure="false">"A30681"</definedName>
    <definedName function="false" hidden="true" name="FDD_194_1" vbProcedure="false">"A31047"</definedName>
    <definedName function="false" hidden="true" name="FDD_194_10" vbProcedure="false">"A34334"</definedName>
    <definedName function="false" hidden="true" name="FDD_194_11" vbProcedure="false">"A34699"</definedName>
    <definedName function="false" hidden="true" name="FDD_194_12" vbProcedure="false">"A35064"</definedName>
    <definedName function="false" hidden="true" name="FDD_194_13" vbProcedure="false">"A35430"</definedName>
    <definedName function="false" hidden="true" name="FDD_194_14" vbProcedure="false">"A35795"</definedName>
    <definedName function="false" hidden="true" name="FDD_194_2" vbProcedure="false">"A31412"</definedName>
    <definedName function="false" hidden="true" name="FDD_194_3" vbProcedure="false">"A31777"</definedName>
    <definedName function="false" hidden="true" name="FDD_194_4" vbProcedure="false">"A32142"</definedName>
    <definedName function="false" hidden="true" name="FDD_194_5" vbProcedure="false">"A32508"</definedName>
    <definedName function="false" hidden="true" name="FDD_194_6" vbProcedure="false">"A32873"</definedName>
    <definedName function="false" hidden="true" name="FDD_194_7" vbProcedure="false">"A33238"</definedName>
    <definedName function="false" hidden="true" name="FDD_194_8" vbProcedure="false">"A33603"</definedName>
    <definedName function="false" hidden="true" name="FDD_194_9" vbProcedure="false">"A33969"</definedName>
    <definedName function="false" hidden="true" name="FDD_195_0" vbProcedure="false">"A30681"</definedName>
    <definedName function="false" hidden="true" name="FDD_195_1" vbProcedure="false">"A31047"</definedName>
    <definedName function="false" hidden="true" name="FDD_195_10" vbProcedure="false">"A34334"</definedName>
    <definedName function="false" hidden="true" name="FDD_195_11" vbProcedure="false">"A34699"</definedName>
    <definedName function="false" hidden="true" name="FDD_195_12" vbProcedure="false">"A35064"</definedName>
    <definedName function="false" hidden="true" name="FDD_195_13" vbProcedure="false">"A35430"</definedName>
    <definedName function="false" hidden="true" name="FDD_195_14" vbProcedure="false">"A35795"</definedName>
    <definedName function="false" hidden="true" name="FDD_195_2" vbProcedure="false">"A31412"</definedName>
    <definedName function="false" hidden="true" name="FDD_195_3" vbProcedure="false">"A31777"</definedName>
    <definedName function="false" hidden="true" name="FDD_195_4" vbProcedure="false">"A32142"</definedName>
    <definedName function="false" hidden="true" name="FDD_195_5" vbProcedure="false">"A32508"</definedName>
    <definedName function="false" hidden="true" name="FDD_195_6" vbProcedure="false">"A32873"</definedName>
    <definedName function="false" hidden="true" name="FDD_195_7" vbProcedure="false">"A33238"</definedName>
    <definedName function="false" hidden="true" name="FDD_195_8" vbProcedure="false">"A33603"</definedName>
    <definedName function="false" hidden="true" name="FDD_195_9" vbProcedure="false">"A33969"</definedName>
    <definedName function="false" hidden="true" name="FDD_196_0" vbProcedure="false">"E36160"</definedName>
    <definedName function="false" hidden="true" name="FDD_196_1" vbProcedure="false">"E36525"</definedName>
    <definedName function="false" hidden="true" name="FDD_196_2" vbProcedure="false">"E36891"</definedName>
    <definedName function="false" hidden="true" name="FDD_197_0" vbProcedure="false">"A30681"</definedName>
    <definedName function="false" hidden="true" name="FDD_197_1" vbProcedure="false">"A31047"</definedName>
    <definedName function="false" hidden="true" name="FDD_197_10" vbProcedure="false">"A34334"</definedName>
    <definedName function="false" hidden="true" name="FDD_197_11" vbProcedure="false">"A34699"</definedName>
    <definedName function="false" hidden="true" name="FDD_197_12" vbProcedure="false">"A35064"</definedName>
    <definedName function="false" hidden="true" name="FDD_197_13" vbProcedure="false">"A35430"</definedName>
    <definedName function="false" hidden="true" name="FDD_197_14" vbProcedure="false">"A35795"</definedName>
    <definedName function="false" hidden="true" name="FDD_197_2" vbProcedure="false">"A31412"</definedName>
    <definedName function="false" hidden="true" name="FDD_197_3" vbProcedure="false">"A31777"</definedName>
    <definedName function="false" hidden="true" name="FDD_197_4" vbProcedure="false">"A32142"</definedName>
    <definedName function="false" hidden="true" name="FDD_197_5" vbProcedure="false">"A32508"</definedName>
    <definedName function="false" hidden="true" name="FDD_197_6" vbProcedure="false">"A32873"</definedName>
    <definedName function="false" hidden="true" name="FDD_197_7" vbProcedure="false">"A33238"</definedName>
    <definedName function="false" hidden="true" name="FDD_197_8" vbProcedure="false">"A33603"</definedName>
    <definedName function="false" hidden="true" name="FDD_197_9" vbProcedure="false">"A33969"</definedName>
    <definedName function="false" hidden="true" name="FDD_198_0" vbProcedure="false">"A30681"</definedName>
    <definedName function="false" hidden="true" name="FDD_198_1" vbProcedure="false">"A31047"</definedName>
    <definedName function="false" hidden="true" name="FDD_198_10" vbProcedure="false">"U34334"</definedName>
    <definedName function="false" hidden="true" name="FDD_198_11" vbProcedure="false">"U34699"</definedName>
    <definedName function="false" hidden="true" name="FDD_198_12" vbProcedure="false">"U35064"</definedName>
    <definedName function="false" hidden="true" name="FDD_198_13" vbProcedure="false">"U35430"</definedName>
    <definedName function="false" hidden="true" name="FDD_198_14" vbProcedure="false">"U35795"</definedName>
    <definedName function="false" hidden="true" name="FDD_198_2" vbProcedure="false">"A31412"</definedName>
    <definedName function="false" hidden="true" name="FDD_198_3" vbProcedure="false">"U31777"</definedName>
    <definedName function="false" hidden="true" name="FDD_198_4" vbProcedure="false">"U32142"</definedName>
    <definedName function="false" hidden="true" name="FDD_198_5" vbProcedure="false">"U32508"</definedName>
    <definedName function="false" hidden="true" name="FDD_198_6" vbProcedure="false">"U32873"</definedName>
    <definedName function="false" hidden="true" name="FDD_198_7" vbProcedure="false">"U33238"</definedName>
    <definedName function="false" hidden="true" name="FDD_198_8" vbProcedure="false">"U33603"</definedName>
    <definedName function="false" hidden="true" name="FDD_198_9" vbProcedure="false">"U33969"</definedName>
    <definedName function="false" hidden="true" name="FDD_199_0" vbProcedure="false">"E36160"</definedName>
    <definedName function="false" hidden="true" name="FDD_199_1" vbProcedure="false">"E36525"</definedName>
    <definedName function="false" hidden="true" name="FDD_199_2" vbProcedure="false">"E36891"</definedName>
    <definedName function="false" hidden="true" name="FDD_19_0" vbProcedure="false">"A25569"</definedName>
    <definedName function="false" hidden="true" name="FDD_19_1" vbProcedure="false">"A35795"</definedName>
    <definedName function="false" hidden="true" name="FDD_19_2" vbProcedure="false">"E36160"</definedName>
    <definedName function="false" hidden="true" name="FDD_19_3" vbProcedure="false">"E36525"</definedName>
    <definedName function="false" hidden="true" name="FDD_1_0" vbProcedure="false">"U25569"</definedName>
    <definedName function="false" hidden="true" name="FDD_200_0" vbProcedure="false">"E36160"</definedName>
    <definedName function="false" hidden="true" name="FDD_200_1" vbProcedure="false">"E36525"</definedName>
    <definedName function="false" hidden="true" name="FDD_200_2" vbProcedure="false">"E36891"</definedName>
    <definedName function="false" hidden="true" name="FDD_201_0" vbProcedure="false">"A30681"</definedName>
    <definedName function="false" hidden="true" name="FDD_201_1" vbProcedure="false">"A31047"</definedName>
    <definedName function="false" hidden="true" name="FDD_201_10" vbProcedure="false">"A34334"</definedName>
    <definedName function="false" hidden="true" name="FDD_201_11" vbProcedure="false">"A34699"</definedName>
    <definedName function="false" hidden="true" name="FDD_201_12" vbProcedure="false">"A35064"</definedName>
    <definedName function="false" hidden="true" name="FDD_201_13" vbProcedure="false">"A35430"</definedName>
    <definedName function="false" hidden="true" name="FDD_201_14" vbProcedure="false">"A35795"</definedName>
    <definedName function="false" hidden="true" name="FDD_201_2" vbProcedure="false">"A31412"</definedName>
    <definedName function="false" hidden="true" name="FDD_201_3" vbProcedure="false">"A31777"</definedName>
    <definedName function="false" hidden="true" name="FDD_201_4" vbProcedure="false">"A32142"</definedName>
    <definedName function="false" hidden="true" name="FDD_201_5" vbProcedure="false">"A32508"</definedName>
    <definedName function="false" hidden="true" name="FDD_201_6" vbProcedure="false">"A32873"</definedName>
    <definedName function="false" hidden="true" name="FDD_201_7" vbProcedure="false">"A33238"</definedName>
    <definedName function="false" hidden="true" name="FDD_201_8" vbProcedure="false">"A33603"</definedName>
    <definedName function="false" hidden="true" name="FDD_201_9" vbProcedure="false">"A33969"</definedName>
    <definedName function="false" hidden="true" name="FDD_202_0" vbProcedure="false">"A30681"</definedName>
    <definedName function="false" hidden="true" name="FDD_202_1" vbProcedure="false">"A31047"</definedName>
    <definedName function="false" hidden="true" name="FDD_202_10" vbProcedure="false">"A34334"</definedName>
    <definedName function="false" hidden="true" name="FDD_202_11" vbProcedure="false">"A34699"</definedName>
    <definedName function="false" hidden="true" name="FDD_202_12" vbProcedure="false">"A35064"</definedName>
    <definedName function="false" hidden="true" name="FDD_202_13" vbProcedure="false">"A35430"</definedName>
    <definedName function="false" hidden="true" name="FDD_202_14" vbProcedure="false">"A35795"</definedName>
    <definedName function="false" hidden="true" name="FDD_202_2" vbProcedure="false">"A31412"</definedName>
    <definedName function="false" hidden="true" name="FDD_202_3" vbProcedure="false">"A31777"</definedName>
    <definedName function="false" hidden="true" name="FDD_202_4" vbProcedure="false">"A32142"</definedName>
    <definedName function="false" hidden="true" name="FDD_202_5" vbProcedure="false">"A32508"</definedName>
    <definedName function="false" hidden="true" name="FDD_202_6" vbProcedure="false">"A32873"</definedName>
    <definedName function="false" hidden="true" name="FDD_202_7" vbProcedure="false">"A33238"</definedName>
    <definedName function="false" hidden="true" name="FDD_202_8" vbProcedure="false">"A33603"</definedName>
    <definedName function="false" hidden="true" name="FDD_202_9" vbProcedure="false">"A33969"</definedName>
    <definedName function="false" hidden="true" name="FDD_203_0" vbProcedure="false">"E36160"</definedName>
    <definedName function="false" hidden="true" name="FDD_203_1" vbProcedure="false">"E36525"</definedName>
    <definedName function="false" hidden="true" name="FDD_203_2" vbProcedure="false">"E36891"</definedName>
    <definedName function="false" hidden="true" name="FDD_204_0" vbProcedure="false">"A25569"</definedName>
    <definedName function="false" hidden="true" name="FDD_205_0" vbProcedure="false">"A25569"</definedName>
    <definedName function="false" hidden="true" name="FDD_206_0" vbProcedure="false">"A25569"</definedName>
    <definedName function="false" hidden="true" name="FDD_207_0" vbProcedure="false">"A25569"</definedName>
    <definedName function="false" hidden="true" name="FDD_208_0" vbProcedure="false">"E36160"</definedName>
    <definedName function="false" hidden="true" name="FDD_208_1" vbProcedure="false">"E36525"</definedName>
    <definedName function="false" hidden="true" name="FDD_208_2" vbProcedure="false">"E36891"</definedName>
    <definedName function="false" hidden="true" name="FDD_209_0" vbProcedure="false">"A25569"</definedName>
    <definedName function="false" hidden="true" name="FDD_20_0" vbProcedure="false">"A25569"</definedName>
    <definedName function="false" hidden="true" name="FDD_210_0" vbProcedure="false">"A25569"</definedName>
    <definedName function="false" hidden="true" name="FDD_211_0" vbProcedure="false">"A25569"</definedName>
    <definedName function="false" hidden="true" name="FDD_212_0" vbProcedure="false">"A25569"</definedName>
    <definedName function="false" hidden="true" name="FDD_213_0" vbProcedure="false">"E36160"</definedName>
    <definedName function="false" hidden="true" name="FDD_213_1" vbProcedure="false">"E36525"</definedName>
    <definedName function="false" hidden="true" name="FDD_213_2" vbProcedure="false">"E36891"</definedName>
    <definedName function="false" hidden="true" name="FDD_214_0" vbProcedure="false">"A25569"</definedName>
    <definedName function="false" hidden="true" name="FDD_215_0" vbProcedure="false">"A25569"</definedName>
    <definedName function="false" hidden="true" name="FDD_216_0" vbProcedure="false">"A25569"</definedName>
    <definedName function="false" hidden="true" name="FDD_217_0" vbProcedure="false">"A25569"</definedName>
    <definedName function="false" hidden="true" name="FDD_218_0" vbProcedure="false">"E36160"</definedName>
    <definedName function="false" hidden="true" name="FDD_218_1" vbProcedure="false">"E36525"</definedName>
    <definedName function="false" hidden="true" name="FDD_218_2" vbProcedure="false">"E36891"</definedName>
    <definedName function="false" hidden="true" name="FDD_219_0" vbProcedure="false">"U25569"</definedName>
    <definedName function="false" hidden="true" name="FDD_21_0" vbProcedure="false">"A25569"</definedName>
    <definedName function="false" hidden="true" name="FDD_220_0" vbProcedure="false">"U25569"</definedName>
    <definedName function="false" hidden="true" name="FDD_221_0" vbProcedure="false">"U25569"</definedName>
    <definedName function="false" hidden="true" name="FDD_222_0" vbProcedure="false">"U25569"</definedName>
    <definedName function="false" hidden="true" name="FDD_223_0" vbProcedure="false">"E36160"</definedName>
    <definedName function="false" hidden="true" name="FDD_223_1" vbProcedure="false">"E36525"</definedName>
    <definedName function="false" hidden="true" name="FDD_223_2" vbProcedure="false">"E36891"</definedName>
    <definedName function="false" hidden="true" name="FDD_224_0" vbProcedure="false">"A25569"</definedName>
    <definedName function="false" hidden="true" name="FDD_225_0" vbProcedure="false">"A25569"</definedName>
    <definedName function="false" hidden="true" name="FDD_226_0" vbProcedure="false">"A25569"</definedName>
    <definedName function="false" hidden="true" name="FDD_227_0" vbProcedure="false">"A25569"</definedName>
    <definedName function="false" hidden="true" name="FDD_228_0" vbProcedure="false">"E36160"</definedName>
    <definedName function="false" hidden="true" name="FDD_228_1" vbProcedure="false">"E36525"</definedName>
    <definedName function="false" hidden="true" name="FDD_228_2" vbProcedure="false">"E36891"</definedName>
    <definedName function="false" hidden="true" name="FDD_229_0" vbProcedure="false">"A25569"</definedName>
    <definedName function="false" hidden="true" name="FDD_22_0" vbProcedure="false">"A25569"</definedName>
    <definedName function="false" hidden="true" name="FDD_230_0" vbProcedure="false">"A25569"</definedName>
    <definedName function="false" hidden="true" name="FDD_231_0" vbProcedure="false">"A25569"</definedName>
    <definedName function="false" hidden="true" name="FDD_232_0" vbProcedure="false">"A25569"</definedName>
    <definedName function="false" hidden="true" name="FDD_233_0" vbProcedure="false">"A25569"</definedName>
    <definedName function="false" hidden="true" name="FDD_234_0" vbProcedure="false">"A25569"</definedName>
    <definedName function="false" hidden="true" name="FDD_235_0" vbProcedure="false">"A25569"</definedName>
    <definedName function="false" hidden="true" name="FDD_236_0" vbProcedure="false">"A25569"</definedName>
    <definedName function="false" hidden="true" name="FDD_237_0" vbProcedure="false">"A25569"</definedName>
    <definedName function="false" hidden="true" name="FDD_238_0" vbProcedure="false">"A30681"</definedName>
    <definedName function="false" hidden="true" name="FDD_238_1" vbProcedure="false">"A31047"</definedName>
    <definedName function="false" hidden="true" name="FDD_238_10" vbProcedure="false">"A34334"</definedName>
    <definedName function="false" hidden="true" name="FDD_238_11" vbProcedure="false">"A34699"</definedName>
    <definedName function="false" hidden="true" name="FDD_238_12" vbProcedure="false">"A35064"</definedName>
    <definedName function="false" hidden="true" name="FDD_238_13" vbProcedure="false">"A35430"</definedName>
    <definedName function="false" hidden="true" name="FDD_238_14" vbProcedure="false">"A35795"</definedName>
    <definedName function="false" hidden="true" name="FDD_238_2" vbProcedure="false">"A31412"</definedName>
    <definedName function="false" hidden="true" name="FDD_238_3" vbProcedure="false">"A31777"</definedName>
    <definedName function="false" hidden="true" name="FDD_238_4" vbProcedure="false">"A32142"</definedName>
    <definedName function="false" hidden="true" name="FDD_238_5" vbProcedure="false">"A32508"</definedName>
    <definedName function="false" hidden="true" name="FDD_238_6" vbProcedure="false">"A32873"</definedName>
    <definedName function="false" hidden="true" name="FDD_238_7" vbProcedure="false">"A33238"</definedName>
    <definedName function="false" hidden="true" name="FDD_238_8" vbProcedure="false">"A33603"</definedName>
    <definedName function="false" hidden="true" name="FDD_238_9" vbProcedure="false">"A33969"</definedName>
    <definedName function="false" hidden="true" name="FDD_23_0" vbProcedure="false">"A25569"</definedName>
    <definedName function="false" hidden="true" name="FDD_243_0" vbProcedure="false">"E36160"</definedName>
    <definedName function="false" hidden="true" name="FDD_243_1" vbProcedure="false">"E36525"</definedName>
    <definedName function="false" hidden="true" name="FDD_243_2" vbProcedure="false">"E36891"</definedName>
    <definedName function="false" hidden="true" name="FDD_244_0" vbProcedure="false">"A25569"</definedName>
    <definedName function="false" hidden="true" name="FDD_245_0" vbProcedure="false">"A25569"</definedName>
    <definedName function="false" hidden="true" name="FDD_246_0" vbProcedure="false">"A25569"</definedName>
    <definedName function="false" hidden="true" name="FDD_247_0" vbProcedure="false">"A25569"</definedName>
    <definedName function="false" hidden="true" name="FDD_248_0" vbProcedure="false">"E36160"</definedName>
    <definedName function="false" hidden="true" name="FDD_248_1" vbProcedure="false">"E36525"</definedName>
    <definedName function="false" hidden="true" name="FDD_248_2" vbProcedure="false">"E36891"</definedName>
    <definedName function="false" hidden="true" name="FDD_249_0" vbProcedure="false">"A25569"</definedName>
    <definedName function="false" hidden="true" name="FDD_24_0" vbProcedure="false">"A25569"</definedName>
    <definedName function="false" hidden="true" name="FDD_250_0" vbProcedure="false">"A25569"</definedName>
    <definedName function="false" hidden="true" name="FDD_251_0" vbProcedure="false">"A25569"</definedName>
    <definedName function="false" hidden="true" name="FDD_252_0" vbProcedure="false">"A25569"</definedName>
    <definedName function="false" hidden="true" name="FDD_253_0" vbProcedure="false">"E36160"</definedName>
    <definedName function="false" hidden="true" name="FDD_253_1" vbProcedure="false">"E36525"</definedName>
    <definedName function="false" hidden="true" name="FDD_253_2" vbProcedure="false">"E36891"</definedName>
    <definedName function="false" hidden="true" name="FDD_254_0" vbProcedure="false">"E36160"</definedName>
    <definedName function="false" hidden="true" name="FDD_254_1" vbProcedure="false">"E36525"</definedName>
    <definedName function="false" hidden="true" name="FDD_254_2" vbProcedure="false">"E36891"</definedName>
    <definedName function="false" hidden="true" name="FDD_255_0" vbProcedure="false">"E36160"</definedName>
    <definedName function="false" hidden="true" name="FDD_255_1" vbProcedure="false">"E36525"</definedName>
    <definedName function="false" hidden="true" name="FDD_255_2" vbProcedure="false">"E36891"</definedName>
    <definedName function="false" hidden="true" name="FDD_256_0" vbProcedure="false">"U36160"</definedName>
    <definedName function="false" hidden="true" name="FDD_256_1" vbProcedure="false">"U36525"</definedName>
    <definedName function="false" hidden="true" name="FDD_256_2" vbProcedure="false">"U36891"</definedName>
    <definedName function="false" hidden="true" name="FDD_257_0" vbProcedure="false">"E36160"</definedName>
    <definedName function="false" hidden="true" name="FDD_257_1" vbProcedure="false">"E36525"</definedName>
    <definedName function="false" hidden="true" name="FDD_257_2" vbProcedure="false">"E36891"</definedName>
    <definedName function="false" hidden="true" name="FDD_258_0" vbProcedure="false">"E36160"</definedName>
    <definedName function="false" hidden="true" name="FDD_258_1" vbProcedure="false">"E36525"</definedName>
    <definedName function="false" hidden="true" name="FDD_258_2" vbProcedure="false">"E36891"</definedName>
    <definedName function="false" hidden="true" name="FDD_259_0" vbProcedure="false">"E36160"</definedName>
    <definedName function="false" hidden="true" name="FDD_259_1" vbProcedure="false">"E36525"</definedName>
    <definedName function="false" hidden="true" name="FDD_259_2" vbProcedure="false">"E36891"</definedName>
    <definedName function="false" hidden="true" name="FDD_25_0" vbProcedure="false">"A25569"</definedName>
    <definedName function="false" hidden="true" name="FDD_25_1" vbProcedure="false">"U35795"</definedName>
    <definedName function="false" hidden="true" name="FDD_25_2" vbProcedure="false">"U36160"</definedName>
    <definedName function="false" hidden="true" name="FDD_25_3" vbProcedure="false">"U36525"</definedName>
    <definedName function="false" hidden="true" name="FDD_260_0" vbProcedure="false">"E36160"</definedName>
    <definedName function="false" hidden="true" name="FDD_260_1" vbProcedure="false">"E36525"</definedName>
    <definedName function="false" hidden="true" name="FDD_260_2" vbProcedure="false">"E36891"</definedName>
    <definedName function="false" hidden="true" name="FDD_261_0" vbProcedure="false">"E36160"</definedName>
    <definedName function="false" hidden="true" name="FDD_261_1" vbProcedure="false">"E36525"</definedName>
    <definedName function="false" hidden="true" name="FDD_261_2" vbProcedure="false">"E36891"</definedName>
    <definedName function="false" hidden="true" name="FDD_264_0" vbProcedure="false">"E36160"</definedName>
    <definedName function="false" hidden="true" name="FDD_264_1" vbProcedure="false">"E36525"</definedName>
    <definedName function="false" hidden="true" name="FDD_264_2" vbProcedure="false">"E36891"</definedName>
    <definedName function="false" hidden="true" name="FDD_265_0" vbProcedure="false">"A25569"</definedName>
    <definedName function="false" hidden="true" name="FDD_266_0" vbProcedure="false">"A25569"</definedName>
    <definedName function="false" hidden="true" name="FDD_267_0" vbProcedure="false">"A25569"</definedName>
    <definedName function="false" hidden="true" name="FDD_268_0" vbProcedure="false">"A25569"</definedName>
    <definedName function="false" hidden="true" name="FDD_269_0" vbProcedure="false">"E36160"</definedName>
    <definedName function="false" hidden="true" name="FDD_269_1" vbProcedure="false">"E36525"</definedName>
    <definedName function="false" hidden="true" name="FDD_269_2" vbProcedure="false">"E36891"</definedName>
    <definedName function="false" hidden="true" name="FDD_26_0" vbProcedure="false">"A25569"</definedName>
    <definedName function="false" hidden="true" name="FDD_270_0" vbProcedure="false">"A25569"</definedName>
    <definedName function="false" hidden="true" name="FDD_271_0" vbProcedure="false">"A25569"</definedName>
    <definedName function="false" hidden="true" name="FDD_272_0" vbProcedure="false">"A25569"</definedName>
    <definedName function="false" hidden="true" name="FDD_273_0" vbProcedure="false">"A25569"</definedName>
    <definedName function="false" hidden="true" name="FDD_274_0" vbProcedure="false">"E36160"</definedName>
    <definedName function="false" hidden="true" name="FDD_274_1" vbProcedure="false">"E36525"</definedName>
    <definedName function="false" hidden="true" name="FDD_274_2" vbProcedure="false">"E36891"</definedName>
    <definedName function="false" hidden="true" name="FDD_275_0" vbProcedure="false">"A25569"</definedName>
    <definedName function="false" hidden="true" name="FDD_276_0" vbProcedure="false">"A25569"</definedName>
    <definedName function="false" hidden="true" name="FDD_277_0" vbProcedure="false">"A25569"</definedName>
    <definedName function="false" hidden="true" name="FDD_278_0" vbProcedure="false">"A25569"</definedName>
    <definedName function="false" hidden="true" name="FDD_279_0" vbProcedure="false">"E36160"</definedName>
    <definedName function="false" hidden="true" name="FDD_279_1" vbProcedure="false">"E36525"</definedName>
    <definedName function="false" hidden="true" name="FDD_279_2" vbProcedure="false">"E36891"</definedName>
    <definedName function="false" hidden="true" name="FDD_27_0" vbProcedure="false">"A25569"</definedName>
    <definedName function="false" hidden="true" name="FDD_280_0" vbProcedure="false">"E36160"</definedName>
    <definedName function="false" hidden="true" name="FDD_280_1" vbProcedure="false">"E36525"</definedName>
    <definedName function="false" hidden="true" name="FDD_280_2" vbProcedure="false">"E36891"</definedName>
    <definedName function="false" hidden="true" name="FDD_281_0" vbProcedure="false">"E36160"</definedName>
    <definedName function="false" hidden="true" name="FDD_281_1" vbProcedure="false">"E36525"</definedName>
    <definedName function="false" hidden="true" name="FDD_281_2" vbProcedure="false">"E36891"</definedName>
    <definedName function="false" hidden="true" name="FDD_282_0" vbProcedure="false">"E36160"</definedName>
    <definedName function="false" hidden="true" name="FDD_282_1" vbProcedure="false">"E36525"</definedName>
    <definedName function="false" hidden="true" name="FDD_282_2" vbProcedure="false">"E36891"</definedName>
    <definedName function="false" hidden="true" name="FDD_283_0" vbProcedure="false">"E36160"</definedName>
    <definedName function="false" hidden="true" name="FDD_283_1" vbProcedure="false">"E36525"</definedName>
    <definedName function="false" hidden="true" name="FDD_283_2" vbProcedure="false">"E36891"</definedName>
    <definedName function="false" hidden="true" name="FDD_284_0" vbProcedure="false">"A30681"</definedName>
    <definedName function="false" hidden="true" name="FDD_284_1" vbProcedure="false">"A31047"</definedName>
    <definedName function="false" hidden="true" name="FDD_284_10" vbProcedure="false">"A34334"</definedName>
    <definedName function="false" hidden="true" name="FDD_284_11" vbProcedure="false">"A34699"</definedName>
    <definedName function="false" hidden="true" name="FDD_284_12" vbProcedure="false">"A35064"</definedName>
    <definedName function="false" hidden="true" name="FDD_284_13" vbProcedure="false">"A35430"</definedName>
    <definedName function="false" hidden="true" name="FDD_284_14" vbProcedure="false">"A35795"</definedName>
    <definedName function="false" hidden="true" name="FDD_284_2" vbProcedure="false">"A31412"</definedName>
    <definedName function="false" hidden="true" name="FDD_284_3" vbProcedure="false">"A31777"</definedName>
    <definedName function="false" hidden="true" name="FDD_284_4" vbProcedure="false">"A32142"</definedName>
    <definedName function="false" hidden="true" name="FDD_284_5" vbProcedure="false">"A32508"</definedName>
    <definedName function="false" hidden="true" name="FDD_284_6" vbProcedure="false">"A32873"</definedName>
    <definedName function="false" hidden="true" name="FDD_284_7" vbProcedure="false">"A33238"</definedName>
    <definedName function="false" hidden="true" name="FDD_284_8" vbProcedure="false">"A33603"</definedName>
    <definedName function="false" hidden="true" name="FDD_284_9" vbProcedure="false">"A33969"</definedName>
    <definedName function="false" hidden="true" name="FDD_285_0" vbProcedure="false">"A35795"</definedName>
    <definedName function="false" hidden="true" name="FDD_285_1" vbProcedure="false">"E36160"</definedName>
    <definedName function="false" hidden="true" name="FDD_285_10" vbProcedure="false">"E39447"</definedName>
    <definedName function="false" hidden="true" name="FDD_285_11" vbProcedure="false">"E39813"</definedName>
    <definedName function="false" hidden="true" name="FDD_285_12" vbProcedure="false">"E40178"</definedName>
    <definedName function="false" hidden="true" name="FDD_285_13" vbProcedure="false">"E40543"</definedName>
    <definedName function="false" hidden="true" name="FDD_285_14" vbProcedure="false">"E40908"</definedName>
    <definedName function="false" hidden="true" name="FDD_285_15" vbProcedure="false">"E41274"</definedName>
    <definedName function="false" hidden="true" name="FDD_285_16" vbProcedure="false">"E41639"</definedName>
    <definedName function="false" hidden="true" name="FDD_285_17" vbProcedure="false">"E42004"</definedName>
    <definedName function="false" hidden="true" name="FDD_285_18" vbProcedure="false">"E42369"</definedName>
    <definedName function="false" hidden="true" name="FDD_285_19" vbProcedure="false">"E42735"</definedName>
    <definedName function="false" hidden="true" name="FDD_285_2" vbProcedure="false">"E36525"</definedName>
    <definedName function="false" hidden="true" name="FDD_285_20" vbProcedure="false">"E43100"</definedName>
    <definedName function="false" hidden="true" name="FDD_285_21" vbProcedure="false">"E43465"</definedName>
    <definedName function="false" hidden="true" name="FDD_285_22" vbProcedure="false">"E43830"</definedName>
    <definedName function="false" hidden="true" name="FDD_285_23" vbProcedure="false">"E44196"</definedName>
    <definedName function="false" hidden="true" name="FDD_285_24" vbProcedure="false">"E44561"</definedName>
    <definedName function="false" hidden="true" name="FDD_285_25" vbProcedure="false">"E44926"</definedName>
    <definedName function="false" hidden="true" name="FDD_285_3" vbProcedure="false">"E36891"</definedName>
    <definedName function="false" hidden="true" name="FDD_285_4" vbProcedure="false">"E37256"</definedName>
    <definedName function="false" hidden="true" name="FDD_285_5" vbProcedure="false">"E37621"</definedName>
    <definedName function="false" hidden="true" name="FDD_285_6" vbProcedure="false">"E37986"</definedName>
    <definedName function="false" hidden="true" name="FDD_285_7" vbProcedure="false">"E38352"</definedName>
    <definedName function="false" hidden="true" name="FDD_285_8" vbProcedure="false">"E38717"</definedName>
    <definedName function="false" hidden="true" name="FDD_285_9" vbProcedure="false">"E39082"</definedName>
    <definedName function="false" hidden="true" name="FDD_286_0" vbProcedure="false">"E36160"</definedName>
    <definedName function="false" hidden="true" name="FDD_286_1" vbProcedure="false">"E36525"</definedName>
    <definedName function="false" hidden="true" name="FDD_286_10" vbProcedure="false">"E39813"</definedName>
    <definedName function="false" hidden="true" name="FDD_286_11" vbProcedure="false">"E40178"</definedName>
    <definedName function="false" hidden="true" name="FDD_286_12" vbProcedure="false">"E40543"</definedName>
    <definedName function="false" hidden="true" name="FDD_286_13" vbProcedure="false">"E40908"</definedName>
    <definedName function="false" hidden="true" name="FDD_286_14" vbProcedure="false">"E41274"</definedName>
    <definedName function="false" hidden="true" name="FDD_286_15" vbProcedure="false">"E41639"</definedName>
    <definedName function="false" hidden="true" name="FDD_286_16" vbProcedure="false">"E42004"</definedName>
    <definedName function="false" hidden="true" name="FDD_286_17" vbProcedure="false">"E42369"</definedName>
    <definedName function="false" hidden="true" name="FDD_286_18" vbProcedure="false">"E42735"</definedName>
    <definedName function="false" hidden="true" name="FDD_286_19" vbProcedure="false">"E43100"</definedName>
    <definedName function="false" hidden="true" name="FDD_286_2" vbProcedure="false">"E36891"</definedName>
    <definedName function="false" hidden="true" name="FDD_286_20" vbProcedure="false">"E43465"</definedName>
    <definedName function="false" hidden="true" name="FDD_286_21" vbProcedure="false">"E43830"</definedName>
    <definedName function="false" hidden="true" name="FDD_286_22" vbProcedure="false">"E44196"</definedName>
    <definedName function="false" hidden="true" name="FDD_286_23" vbProcedure="false">"E44561"</definedName>
    <definedName function="false" hidden="true" name="FDD_286_24" vbProcedure="false">"E44926"</definedName>
    <definedName function="false" hidden="true" name="FDD_286_3" vbProcedure="false">"E37256"</definedName>
    <definedName function="false" hidden="true" name="FDD_286_4" vbProcedure="false">"E37621"</definedName>
    <definedName function="false" hidden="true" name="FDD_286_5" vbProcedure="false">"E37986"</definedName>
    <definedName function="false" hidden="true" name="FDD_286_6" vbProcedure="false">"E38352"</definedName>
    <definedName function="false" hidden="true" name="FDD_286_7" vbProcedure="false">"E38717"</definedName>
    <definedName function="false" hidden="true" name="FDD_286_8" vbProcedure="false">"E39082"</definedName>
    <definedName function="false" hidden="true" name="FDD_286_9" vbProcedure="false">"E39447"</definedName>
    <definedName function="false" hidden="true" name="FDD_287_0" vbProcedure="false">"A25569"</definedName>
    <definedName function="false" hidden="true" name="FDD_288_0" vbProcedure="false">"A25569"</definedName>
    <definedName function="false" hidden="true" name="FDD_289_0" vbProcedure="false">"A36890"</definedName>
    <definedName function="false" hidden="true" name="FDD_28_0" vbProcedure="false">"A25569"</definedName>
    <definedName function="false" hidden="true" name="FDD_290_0" vbProcedure="false">"A36890"</definedName>
    <definedName function="false" hidden="true" name="FDD_291_0" vbProcedure="false">"A25569"</definedName>
    <definedName function="false" hidden="true" name="FDD_295_0" vbProcedure="false">"U25569"</definedName>
    <definedName function="false" hidden="true" name="FDD_296_0" vbProcedure="false">"A25569"</definedName>
    <definedName function="false" hidden="true" name="FDD_297_0" vbProcedure="false">"A25569"</definedName>
    <definedName function="false" hidden="true" name="FDD_298_0" vbProcedure="false">"A25569"</definedName>
    <definedName function="false" hidden="true" name="FDD_299_0" vbProcedure="false">"A25569"</definedName>
    <definedName function="false" hidden="true" name="FDD_29_0" vbProcedure="false">"A25569"</definedName>
    <definedName function="false" hidden="true" name="FDD_2_0" vbProcedure="false">"A25569"</definedName>
    <definedName function="false" hidden="true" name="FDD_300_0" vbProcedure="false">"U25569"</definedName>
    <definedName function="false" hidden="true" name="FDD_301_0" vbProcedure="false">"U35795"</definedName>
    <definedName function="false" hidden="true" name="FDD_301_1" vbProcedure="false">"U36160"</definedName>
    <definedName function="false" hidden="true" name="FDD_301_2" vbProcedure="false">"U36525"</definedName>
    <definedName function="false" hidden="true" name="FDD_302_0" vbProcedure="false">"U35795"</definedName>
    <definedName function="false" hidden="true" name="FDD_302_1" vbProcedure="false">"U36160"</definedName>
    <definedName function="false" hidden="true" name="FDD_302_2" vbProcedure="false">"U36525"</definedName>
    <definedName function="false" hidden="true" name="FDD_303_0" vbProcedure="false">"U35795"</definedName>
    <definedName function="false" hidden="true" name="FDD_303_1" vbProcedure="false">"U36160"</definedName>
    <definedName function="false" hidden="true" name="FDD_303_2" vbProcedure="false">"U36525"</definedName>
    <definedName function="false" hidden="true" name="FDD_304_0" vbProcedure="false">"U35795"</definedName>
    <definedName function="false" hidden="true" name="FDD_304_1" vbProcedure="false">"U36160"</definedName>
    <definedName function="false" hidden="true" name="FDD_304_2" vbProcedure="false">"U36525"</definedName>
    <definedName function="false" hidden="true" name="FDD_305_0" vbProcedure="false">"A30681"</definedName>
    <definedName function="false" hidden="true" name="FDD_305_1" vbProcedure="false">"A31047"</definedName>
    <definedName function="false" hidden="true" name="FDD_305_10" vbProcedure="false">"U34334"</definedName>
    <definedName function="false" hidden="true" name="FDD_305_11" vbProcedure="false">"U34699"</definedName>
    <definedName function="false" hidden="true" name="FDD_305_12" vbProcedure="false">"U35064"</definedName>
    <definedName function="false" hidden="true" name="FDD_305_13" vbProcedure="false">"U35430"</definedName>
    <definedName function="false" hidden="true" name="FDD_305_14" vbProcedure="false">"U35795"</definedName>
    <definedName function="false" hidden="true" name="FDD_305_2" vbProcedure="false">"A31412"</definedName>
    <definedName function="false" hidden="true" name="FDD_305_3" vbProcedure="false">"U31777"</definedName>
    <definedName function="false" hidden="true" name="FDD_305_4" vbProcedure="false">"U32142"</definedName>
    <definedName function="false" hidden="true" name="FDD_305_5" vbProcedure="false">"U32508"</definedName>
    <definedName function="false" hidden="true" name="FDD_305_6" vbProcedure="false">"U32873"</definedName>
    <definedName function="false" hidden="true" name="FDD_305_7" vbProcedure="false">"U33238"</definedName>
    <definedName function="false" hidden="true" name="FDD_305_8" vbProcedure="false">"U33603"</definedName>
    <definedName function="false" hidden="true" name="FDD_305_9" vbProcedure="false">"U33969"</definedName>
    <definedName function="false" hidden="true" name="FDD_306_0" vbProcedure="false">"U35795"</definedName>
    <definedName function="false" hidden="true" name="FDD_306_1" vbProcedure="false">"E36160"</definedName>
    <definedName function="false" hidden="true" name="FDD_306_2" vbProcedure="false">"U36525"</definedName>
    <definedName function="false" hidden="true" name="FDD_307_0" vbProcedure="false">"A35795"</definedName>
    <definedName function="false" hidden="true" name="FDD_307_1" vbProcedure="false">"U36160"</definedName>
    <definedName function="false" hidden="true" name="FDD_307_2" vbProcedure="false">"U36525"</definedName>
    <definedName function="false" hidden="true" name="FDD_30_0" vbProcedure="false">"A25569"</definedName>
    <definedName function="false" hidden="true" name="FDD_31_0" vbProcedure="false">"A25569"</definedName>
    <definedName function="false" hidden="true" name="FDD_32_0" vbProcedure="false">"A25569"</definedName>
    <definedName function="false" hidden="true" name="FDD_33_0" vbProcedure="false">"A25569"</definedName>
    <definedName function="false" hidden="true" name="FDD_34_0" vbProcedure="false">"A25569"</definedName>
    <definedName function="false" hidden="true" name="FDD_35_0" vbProcedure="false">"A25569"</definedName>
    <definedName function="false" hidden="true" name="FDD_36_0" vbProcedure="false">"A25569"</definedName>
    <definedName function="false" hidden="true" name="FDD_37_0" vbProcedure="false">"A25569"</definedName>
    <definedName function="false" hidden="true" name="FDD_38_0" vbProcedure="false">"A25569"</definedName>
    <definedName function="false" hidden="true" name="FDD_39_0" vbProcedure="false">"A25569"</definedName>
    <definedName function="false" hidden="true" name="FDD_3_0" vbProcedure="false">"A25569"</definedName>
    <definedName function="false" hidden="true" name="FDD_40_0" vbProcedure="false">"A25569"</definedName>
    <definedName function="false" hidden="true" name="FDD_41_0" vbProcedure="false">"U25569"</definedName>
    <definedName function="false" hidden="true" name="FDD_41_1" vbProcedure="false">"A35795"</definedName>
    <definedName function="false" hidden="true" name="FDD_41_2" vbProcedure="false">"E36160"</definedName>
    <definedName function="false" hidden="true" name="FDD_41_3" vbProcedure="false">"E36525"</definedName>
    <definedName function="false" hidden="true" name="FDD_42_0" vbProcedure="false">"U25569"</definedName>
    <definedName function="false" hidden="true" name="FDD_42_1" vbProcedure="false">"U35795"</definedName>
    <definedName function="false" hidden="true" name="FDD_42_2" vbProcedure="false">"U36160"</definedName>
    <definedName function="false" hidden="true" name="FDD_42_3" vbProcedure="false">"U36525"</definedName>
    <definedName function="false" hidden="true" name="FDD_43_0" vbProcedure="false">"A25569"</definedName>
    <definedName function="false" hidden="true" name="FDD_44_0" vbProcedure="false">"A30681"</definedName>
    <definedName function="false" hidden="true" name="FDD_44_1" vbProcedure="false">"A31047"</definedName>
    <definedName function="false" hidden="true" name="FDD_44_10" vbProcedure="false">"A34334"</definedName>
    <definedName function="false" hidden="true" name="FDD_44_11" vbProcedure="false">"A34699"</definedName>
    <definedName function="false" hidden="true" name="FDD_44_12" vbProcedure="false">"A35064"</definedName>
    <definedName function="false" hidden="true" name="FDD_44_13" vbProcedure="false">"A35430"</definedName>
    <definedName function="false" hidden="true" name="FDD_44_14" vbProcedure="false">"A35795"</definedName>
    <definedName function="false" hidden="true" name="FDD_44_2" vbProcedure="false">"A31412"</definedName>
    <definedName function="false" hidden="true" name="FDD_44_3" vbProcedure="false">"A31777"</definedName>
    <definedName function="false" hidden="true" name="FDD_44_4" vbProcedure="false">"A32142"</definedName>
    <definedName function="false" hidden="true" name="FDD_44_5" vbProcedure="false">"A32508"</definedName>
    <definedName function="false" hidden="true" name="FDD_44_6" vbProcedure="false">"A32873"</definedName>
    <definedName function="false" hidden="true" name="FDD_44_7" vbProcedure="false">"A33238"</definedName>
    <definedName function="false" hidden="true" name="FDD_44_8" vbProcedure="false">"A33603"</definedName>
    <definedName function="false" hidden="true" name="FDD_44_9" vbProcedure="false">"A33969"</definedName>
    <definedName function="false" hidden="true" name="FDD_45_0" vbProcedure="false">"A30681"</definedName>
    <definedName function="false" hidden="true" name="FDD_45_1" vbProcedure="false">"A31047"</definedName>
    <definedName function="false" hidden="true" name="FDD_45_10" vbProcedure="false">"A34334"</definedName>
    <definedName function="false" hidden="true" name="FDD_45_11" vbProcedure="false">"A34699"</definedName>
    <definedName function="false" hidden="true" name="FDD_45_12" vbProcedure="false">"A35064"</definedName>
    <definedName function="false" hidden="true" name="FDD_45_13" vbProcedure="false">"A35430"</definedName>
    <definedName function="false" hidden="true" name="FDD_45_14" vbProcedure="false">"A35795"</definedName>
    <definedName function="false" hidden="true" name="FDD_45_2" vbProcedure="false">"A31412"</definedName>
    <definedName function="false" hidden="true" name="FDD_45_3" vbProcedure="false">"A31777"</definedName>
    <definedName function="false" hidden="true" name="FDD_45_4" vbProcedure="false">"A32142"</definedName>
    <definedName function="false" hidden="true" name="FDD_45_5" vbProcedure="false">"A32508"</definedName>
    <definedName function="false" hidden="true" name="FDD_45_6" vbProcedure="false">"A32873"</definedName>
    <definedName function="false" hidden="true" name="FDD_45_7" vbProcedure="false">"A33238"</definedName>
    <definedName function="false" hidden="true" name="FDD_45_8" vbProcedure="false">"A33603"</definedName>
    <definedName function="false" hidden="true" name="FDD_45_9" vbProcedure="false">"A33969"</definedName>
    <definedName function="false" hidden="true" name="FDD_46_0" vbProcedure="false">"A30681"</definedName>
    <definedName function="false" hidden="true" name="FDD_46_1" vbProcedure="false">"A31047"</definedName>
    <definedName function="false" hidden="true" name="FDD_46_10" vbProcedure="false">"A34334"</definedName>
    <definedName function="false" hidden="true" name="FDD_46_11" vbProcedure="false">"A34699"</definedName>
    <definedName function="false" hidden="true" name="FDD_46_12" vbProcedure="false">"A35064"</definedName>
    <definedName function="false" hidden="true" name="FDD_46_13" vbProcedure="false">"A35430"</definedName>
    <definedName function="false" hidden="true" name="FDD_46_14" vbProcedure="false">"A35795"</definedName>
    <definedName function="false" hidden="true" name="FDD_46_2" vbProcedure="false">"A31412"</definedName>
    <definedName function="false" hidden="true" name="FDD_46_3" vbProcedure="false">"A31777"</definedName>
    <definedName function="false" hidden="true" name="FDD_46_4" vbProcedure="false">"A32142"</definedName>
    <definedName function="false" hidden="true" name="FDD_46_5" vbProcedure="false">"A32508"</definedName>
    <definedName function="false" hidden="true" name="FDD_46_6" vbProcedure="false">"A32873"</definedName>
    <definedName function="false" hidden="true" name="FDD_46_7" vbProcedure="false">"A33238"</definedName>
    <definedName function="false" hidden="true" name="FDD_46_8" vbProcedure="false">"A33603"</definedName>
    <definedName function="false" hidden="true" name="FDD_46_9" vbProcedure="false">"A33969"</definedName>
    <definedName function="false" hidden="true" name="FDD_47_0" vbProcedure="false">"A30681"</definedName>
    <definedName function="false" hidden="true" name="FDD_47_1" vbProcedure="false">"A31047"</definedName>
    <definedName function="false" hidden="true" name="FDD_47_10" vbProcedure="false">"A34334"</definedName>
    <definedName function="false" hidden="true" name="FDD_47_11" vbProcedure="false">"A34699"</definedName>
    <definedName function="false" hidden="true" name="FDD_47_12" vbProcedure="false">"A35064"</definedName>
    <definedName function="false" hidden="true" name="FDD_47_13" vbProcedure="false">"A35430"</definedName>
    <definedName function="false" hidden="true" name="FDD_47_14" vbProcedure="false">"A35795"</definedName>
    <definedName function="false" hidden="true" name="FDD_47_2" vbProcedure="false">"A31412"</definedName>
    <definedName function="false" hidden="true" name="FDD_47_3" vbProcedure="false">"A31777"</definedName>
    <definedName function="false" hidden="true" name="FDD_47_4" vbProcedure="false">"A32142"</definedName>
    <definedName function="false" hidden="true" name="FDD_47_5" vbProcedure="false">"A32508"</definedName>
    <definedName function="false" hidden="true" name="FDD_47_6" vbProcedure="false">"A32873"</definedName>
    <definedName function="false" hidden="true" name="FDD_47_7" vbProcedure="false">"A33238"</definedName>
    <definedName function="false" hidden="true" name="FDD_47_8" vbProcedure="false">"A33603"</definedName>
    <definedName function="false" hidden="true" name="FDD_47_9" vbProcedure="false">"A33969"</definedName>
    <definedName function="false" hidden="true" name="FDD_48_0" vbProcedure="false">"A30681"</definedName>
    <definedName function="false" hidden="true" name="FDD_48_1" vbProcedure="false">"A31047"</definedName>
    <definedName function="false" hidden="true" name="FDD_48_10" vbProcedure="false">"A34334"</definedName>
    <definedName function="false" hidden="true" name="FDD_48_11" vbProcedure="false">"A34699"</definedName>
    <definedName function="false" hidden="true" name="FDD_48_12" vbProcedure="false">"A35064"</definedName>
    <definedName function="false" hidden="true" name="FDD_48_13" vbProcedure="false">"A35430"</definedName>
    <definedName function="false" hidden="true" name="FDD_48_14" vbProcedure="false">"A35795"</definedName>
    <definedName function="false" hidden="true" name="FDD_48_2" vbProcedure="false">"A31412"</definedName>
    <definedName function="false" hidden="true" name="FDD_48_3" vbProcedure="false">"A31777"</definedName>
    <definedName function="false" hidden="true" name="FDD_48_4" vbProcedure="false">"A32142"</definedName>
    <definedName function="false" hidden="true" name="FDD_48_5" vbProcedure="false">"A32508"</definedName>
    <definedName function="false" hidden="true" name="FDD_48_6" vbProcedure="false">"A32873"</definedName>
    <definedName function="false" hidden="true" name="FDD_48_7" vbProcedure="false">"A33238"</definedName>
    <definedName function="false" hidden="true" name="FDD_48_8" vbProcedure="false">"A33603"</definedName>
    <definedName function="false" hidden="true" name="FDD_48_9" vbProcedure="false">"A33969"</definedName>
    <definedName function="false" hidden="true" name="FDD_49_0" vbProcedure="false">"A30681"</definedName>
    <definedName function="false" hidden="true" name="FDD_49_1" vbProcedure="false">"A31047"</definedName>
    <definedName function="false" hidden="true" name="FDD_49_10" vbProcedure="false">"A34334"</definedName>
    <definedName function="false" hidden="true" name="FDD_49_11" vbProcedure="false">"A34699"</definedName>
    <definedName function="false" hidden="true" name="FDD_49_12" vbProcedure="false">"A35064"</definedName>
    <definedName function="false" hidden="true" name="FDD_49_13" vbProcedure="false">"A35430"</definedName>
    <definedName function="false" hidden="true" name="FDD_49_14" vbProcedure="false">"A35795"</definedName>
    <definedName function="false" hidden="true" name="FDD_49_2" vbProcedure="false">"A31412"</definedName>
    <definedName function="false" hidden="true" name="FDD_49_3" vbProcedure="false">"A31777"</definedName>
    <definedName function="false" hidden="true" name="FDD_49_4" vbProcedure="false">"A32142"</definedName>
    <definedName function="false" hidden="true" name="FDD_49_5" vbProcedure="false">"A32508"</definedName>
    <definedName function="false" hidden="true" name="FDD_49_6" vbProcedure="false">"A32873"</definedName>
    <definedName function="false" hidden="true" name="FDD_49_7" vbProcedure="false">"A33238"</definedName>
    <definedName function="false" hidden="true" name="FDD_49_8" vbProcedure="false">"A33603"</definedName>
    <definedName function="false" hidden="true" name="FDD_49_9" vbProcedure="false">"A33969"</definedName>
    <definedName function="false" hidden="true" name="FDD_4_0" vbProcedure="false">"A25569"</definedName>
    <definedName function="false" hidden="true" name="FDD_50_0" vbProcedure="false">"A30681"</definedName>
    <definedName function="false" hidden="true" name="FDD_50_1" vbProcedure="false">"A31047"</definedName>
    <definedName function="false" hidden="true" name="FDD_50_10" vbProcedure="false">"A34334"</definedName>
    <definedName function="false" hidden="true" name="FDD_50_11" vbProcedure="false">"A34699"</definedName>
    <definedName function="false" hidden="true" name="FDD_50_12" vbProcedure="false">"A35064"</definedName>
    <definedName function="false" hidden="true" name="FDD_50_13" vbProcedure="false">"A35430"</definedName>
    <definedName function="false" hidden="true" name="FDD_50_14" vbProcedure="false">"A35795"</definedName>
    <definedName function="false" hidden="true" name="FDD_50_2" vbProcedure="false">"A31412"</definedName>
    <definedName function="false" hidden="true" name="FDD_50_3" vbProcedure="false">"A31777"</definedName>
    <definedName function="false" hidden="true" name="FDD_50_4" vbProcedure="false">"A32142"</definedName>
    <definedName function="false" hidden="true" name="FDD_50_5" vbProcedure="false">"A32508"</definedName>
    <definedName function="false" hidden="true" name="FDD_50_6" vbProcedure="false">"A32873"</definedName>
    <definedName function="false" hidden="true" name="FDD_50_7" vbProcedure="false">"A33238"</definedName>
    <definedName function="false" hidden="true" name="FDD_50_8" vbProcedure="false">"A33603"</definedName>
    <definedName function="false" hidden="true" name="FDD_50_9" vbProcedure="false">"A33969"</definedName>
    <definedName function="false" hidden="true" name="FDD_51_0" vbProcedure="false">"A30681"</definedName>
    <definedName function="false" hidden="true" name="FDD_51_1" vbProcedure="false">"A31047"</definedName>
    <definedName function="false" hidden="true" name="FDD_51_10" vbProcedure="false">"A34334"</definedName>
    <definedName function="false" hidden="true" name="FDD_51_11" vbProcedure="false">"A34699"</definedName>
    <definedName function="false" hidden="true" name="FDD_51_12" vbProcedure="false">"A35064"</definedName>
    <definedName function="false" hidden="true" name="FDD_51_13" vbProcedure="false">"A35430"</definedName>
    <definedName function="false" hidden="true" name="FDD_51_14" vbProcedure="false">"A35795"</definedName>
    <definedName function="false" hidden="true" name="FDD_51_2" vbProcedure="false">"A31412"</definedName>
    <definedName function="false" hidden="true" name="FDD_51_3" vbProcedure="false">"A31777"</definedName>
    <definedName function="false" hidden="true" name="FDD_51_4" vbProcedure="false">"A32142"</definedName>
    <definedName function="false" hidden="true" name="FDD_51_5" vbProcedure="false">"A32508"</definedName>
    <definedName function="false" hidden="true" name="FDD_51_6" vbProcedure="false">"A32873"</definedName>
    <definedName function="false" hidden="true" name="FDD_51_7" vbProcedure="false">"A33238"</definedName>
    <definedName function="false" hidden="true" name="FDD_51_8" vbProcedure="false">"A33603"</definedName>
    <definedName function="false" hidden="true" name="FDD_51_9" vbProcedure="false">"A33969"</definedName>
    <definedName function="false" hidden="true" name="FDD_52_0" vbProcedure="false">"A30681"</definedName>
    <definedName function="false" hidden="true" name="FDD_52_1" vbProcedure="false">"A31047"</definedName>
    <definedName function="false" hidden="true" name="FDD_52_10" vbProcedure="false">"A34334"</definedName>
    <definedName function="false" hidden="true" name="FDD_52_11" vbProcedure="false">"A34699"</definedName>
    <definedName function="false" hidden="true" name="FDD_52_12" vbProcedure="false">"A35064"</definedName>
    <definedName function="false" hidden="true" name="FDD_52_13" vbProcedure="false">"A35430"</definedName>
    <definedName function="false" hidden="true" name="FDD_52_14" vbProcedure="false">"A35795"</definedName>
    <definedName function="false" hidden="true" name="FDD_52_2" vbProcedure="false">"A31412"</definedName>
    <definedName function="false" hidden="true" name="FDD_52_3" vbProcedure="false">"A31777"</definedName>
    <definedName function="false" hidden="true" name="FDD_52_4" vbProcedure="false">"A32142"</definedName>
    <definedName function="false" hidden="true" name="FDD_52_5" vbProcedure="false">"A32508"</definedName>
    <definedName function="false" hidden="true" name="FDD_52_6" vbProcedure="false">"A32873"</definedName>
    <definedName function="false" hidden="true" name="FDD_52_7" vbProcedure="false">"A33238"</definedName>
    <definedName function="false" hidden="true" name="FDD_52_8" vbProcedure="false">"A33603"</definedName>
    <definedName function="false" hidden="true" name="FDD_52_9" vbProcedure="false">"A33969"</definedName>
    <definedName function="false" hidden="true" name="FDD_53_0" vbProcedure="false">"U30681"</definedName>
    <definedName function="false" hidden="true" name="FDD_53_1" vbProcedure="false">"A31047"</definedName>
    <definedName function="false" hidden="true" name="FDD_53_10" vbProcedure="false">"A34334"</definedName>
    <definedName function="false" hidden="true" name="FDD_53_11" vbProcedure="false">"A34699"</definedName>
    <definedName function="false" hidden="true" name="FDD_53_12" vbProcedure="false">"A35064"</definedName>
    <definedName function="false" hidden="true" name="FDD_53_13" vbProcedure="false">"A35430"</definedName>
    <definedName function="false" hidden="true" name="FDD_53_14" vbProcedure="false">"A35795"</definedName>
    <definedName function="false" hidden="true" name="FDD_53_2" vbProcedure="false">"A31412"</definedName>
    <definedName function="false" hidden="true" name="FDD_53_3" vbProcedure="false">"A31777"</definedName>
    <definedName function="false" hidden="true" name="FDD_53_4" vbProcedure="false">"A32142"</definedName>
    <definedName function="false" hidden="true" name="FDD_53_5" vbProcedure="false">"A32508"</definedName>
    <definedName function="false" hidden="true" name="FDD_53_6" vbProcedure="false">"A32873"</definedName>
    <definedName function="false" hidden="true" name="FDD_53_7" vbProcedure="false">"A33238"</definedName>
    <definedName function="false" hidden="true" name="FDD_53_8" vbProcedure="false">"A33603"</definedName>
    <definedName function="false" hidden="true" name="FDD_53_9" vbProcedure="false">"A33969"</definedName>
    <definedName function="false" hidden="true" name="FDD_54_0" vbProcedure="false">"A30681"</definedName>
    <definedName function="false" hidden="true" name="FDD_54_1" vbProcedure="false">"A31047"</definedName>
    <definedName function="false" hidden="true" name="FDD_54_10" vbProcedure="false">"A34334"</definedName>
    <definedName function="false" hidden="true" name="FDD_54_11" vbProcedure="false">"A34699"</definedName>
    <definedName function="false" hidden="true" name="FDD_54_12" vbProcedure="false">"A35064"</definedName>
    <definedName function="false" hidden="true" name="FDD_54_13" vbProcedure="false">"A35430"</definedName>
    <definedName function="false" hidden="true" name="FDD_54_14" vbProcedure="false">"A35795"</definedName>
    <definedName function="false" hidden="true" name="FDD_54_2" vbProcedure="false">"A31412"</definedName>
    <definedName function="false" hidden="true" name="FDD_54_3" vbProcedure="false">"A31777"</definedName>
    <definedName function="false" hidden="true" name="FDD_54_4" vbProcedure="false">"A32142"</definedName>
    <definedName function="false" hidden="true" name="FDD_54_5" vbProcedure="false">"A32508"</definedName>
    <definedName function="false" hidden="true" name="FDD_54_6" vbProcedure="false">"A32873"</definedName>
    <definedName function="false" hidden="true" name="FDD_54_7" vbProcedure="false">"A33238"</definedName>
    <definedName function="false" hidden="true" name="FDD_54_8" vbProcedure="false">"A33603"</definedName>
    <definedName function="false" hidden="true" name="FDD_54_9" vbProcedure="false">"A33969"</definedName>
    <definedName function="false" hidden="true" name="FDD_55_0" vbProcedure="false">"A30681"</definedName>
    <definedName function="false" hidden="true" name="FDD_55_1" vbProcedure="false">"A31047"</definedName>
    <definedName function="false" hidden="true" name="FDD_55_10" vbProcedure="false">"A34334"</definedName>
    <definedName function="false" hidden="true" name="FDD_55_11" vbProcedure="false">"A34699"</definedName>
    <definedName function="false" hidden="true" name="FDD_55_12" vbProcedure="false">"A35064"</definedName>
    <definedName function="false" hidden="true" name="FDD_55_13" vbProcedure="false">"A35430"</definedName>
    <definedName function="false" hidden="true" name="FDD_55_14" vbProcedure="false">"A35795"</definedName>
    <definedName function="false" hidden="true" name="FDD_55_2" vbProcedure="false">"A31412"</definedName>
    <definedName function="false" hidden="true" name="FDD_55_3" vbProcedure="false">"A31777"</definedName>
    <definedName function="false" hidden="true" name="FDD_55_4" vbProcedure="false">"A32142"</definedName>
    <definedName function="false" hidden="true" name="FDD_55_5" vbProcedure="false">"A32508"</definedName>
    <definedName function="false" hidden="true" name="FDD_55_6" vbProcedure="false">"A32873"</definedName>
    <definedName function="false" hidden="true" name="FDD_55_7" vbProcedure="false">"A33238"</definedName>
    <definedName function="false" hidden="true" name="FDD_55_8" vbProcedure="false">"A33603"</definedName>
    <definedName function="false" hidden="true" name="FDD_55_9" vbProcedure="false">"A33969"</definedName>
    <definedName function="false" hidden="true" name="FDD_56_0" vbProcedure="false">"A30681"</definedName>
    <definedName function="false" hidden="true" name="FDD_56_1" vbProcedure="false">"A31047"</definedName>
    <definedName function="false" hidden="true" name="FDD_56_10" vbProcedure="false">"A34334"</definedName>
    <definedName function="false" hidden="true" name="FDD_56_11" vbProcedure="false">"A34699"</definedName>
    <definedName function="false" hidden="true" name="FDD_56_12" vbProcedure="false">"A35064"</definedName>
    <definedName function="false" hidden="true" name="FDD_56_13" vbProcedure="false">"A35430"</definedName>
    <definedName function="false" hidden="true" name="FDD_56_14" vbProcedure="false">"A35795"</definedName>
    <definedName function="false" hidden="true" name="FDD_56_2" vbProcedure="false">"A31412"</definedName>
    <definedName function="false" hidden="true" name="FDD_56_3" vbProcedure="false">"A31777"</definedName>
    <definedName function="false" hidden="true" name="FDD_56_4" vbProcedure="false">"A32142"</definedName>
    <definedName function="false" hidden="true" name="FDD_56_5" vbProcedure="false">"A32508"</definedName>
    <definedName function="false" hidden="true" name="FDD_56_6" vbProcedure="false">"A32873"</definedName>
    <definedName function="false" hidden="true" name="FDD_56_7" vbProcedure="false">"A33238"</definedName>
    <definedName function="false" hidden="true" name="FDD_56_8" vbProcedure="false">"A33603"</definedName>
    <definedName function="false" hidden="true" name="FDD_56_9" vbProcedure="false">"A33969"</definedName>
    <definedName function="false" hidden="true" name="FDD_57_0" vbProcedure="false">"A30681"</definedName>
    <definedName function="false" hidden="true" name="FDD_57_1" vbProcedure="false">"A31047"</definedName>
    <definedName function="false" hidden="true" name="FDD_57_10" vbProcedure="false">"A34334"</definedName>
    <definedName function="false" hidden="true" name="FDD_57_11" vbProcedure="false">"A34699"</definedName>
    <definedName function="false" hidden="true" name="FDD_57_12" vbProcedure="false">"A35064"</definedName>
    <definedName function="false" hidden="true" name="FDD_57_13" vbProcedure="false">"A35430"</definedName>
    <definedName function="false" hidden="true" name="FDD_57_14" vbProcedure="false">"A35795"</definedName>
    <definedName function="false" hidden="true" name="FDD_57_2" vbProcedure="false">"A31412"</definedName>
    <definedName function="false" hidden="true" name="FDD_57_3" vbProcedure="false">"A31777"</definedName>
    <definedName function="false" hidden="true" name="FDD_57_4" vbProcedure="false">"A32142"</definedName>
    <definedName function="false" hidden="true" name="FDD_57_5" vbProcedure="false">"A32508"</definedName>
    <definedName function="false" hidden="true" name="FDD_57_6" vbProcedure="false">"A32873"</definedName>
    <definedName function="false" hidden="true" name="FDD_57_7" vbProcedure="false">"A33238"</definedName>
    <definedName function="false" hidden="true" name="FDD_57_8" vbProcedure="false">"A33603"</definedName>
    <definedName function="false" hidden="true" name="FDD_57_9" vbProcedure="false">"A33969"</definedName>
    <definedName function="false" hidden="true" name="FDD_58_0" vbProcedure="false">"A30681"</definedName>
    <definedName function="false" hidden="true" name="FDD_58_1" vbProcedure="false">"A31047"</definedName>
    <definedName function="false" hidden="true" name="FDD_58_10" vbProcedure="false">"A34334"</definedName>
    <definedName function="false" hidden="true" name="FDD_58_100" vbProcedure="false">"A35044"</definedName>
    <definedName function="false" hidden="true" name="FDD_58_101" vbProcedure="false">"A35051"</definedName>
    <definedName function="false" hidden="true" name="FDD_58_102" vbProcedure="false">"A35058"</definedName>
    <definedName function="false" hidden="true" name="FDD_58_103" vbProcedure="false">"A35065"</definedName>
    <definedName function="false" hidden="true" name="FDD_58_104" vbProcedure="false">"A35072"</definedName>
    <definedName function="false" hidden="true" name="FDD_58_105" vbProcedure="false">"A35079"</definedName>
    <definedName function="false" hidden="true" name="FDD_58_106" vbProcedure="false">"A35086"</definedName>
    <definedName function="false" hidden="true" name="FDD_58_107" vbProcedure="false">"A35093"</definedName>
    <definedName function="false" hidden="true" name="FDD_58_108" vbProcedure="false">"A35100"</definedName>
    <definedName function="false" hidden="true" name="FDD_58_109" vbProcedure="false">"A35107"</definedName>
    <definedName function="false" hidden="true" name="FDD_58_11" vbProcedure="false">"A34699"</definedName>
    <definedName function="false" hidden="true" name="FDD_58_110" vbProcedure="false">"A35114"</definedName>
    <definedName function="false" hidden="true" name="FDD_58_111" vbProcedure="false">"A35121"</definedName>
    <definedName function="false" hidden="true" name="FDD_58_112" vbProcedure="false">"A35128"</definedName>
    <definedName function="false" hidden="true" name="FDD_58_113" vbProcedure="false">"A35135"</definedName>
    <definedName function="false" hidden="true" name="FDD_58_114" vbProcedure="false">"A35142"</definedName>
    <definedName function="false" hidden="true" name="FDD_58_115" vbProcedure="false">"A35149"</definedName>
    <definedName function="false" hidden="true" name="FDD_58_116" vbProcedure="false">"A35156"</definedName>
    <definedName function="false" hidden="true" name="FDD_58_117" vbProcedure="false">"A35162"</definedName>
    <definedName function="false" hidden="true" name="FDD_58_118" vbProcedure="false">"A35170"</definedName>
    <definedName function="false" hidden="true" name="FDD_58_119" vbProcedure="false">"A35177"</definedName>
    <definedName function="false" hidden="true" name="FDD_58_12" vbProcedure="false">"A35064"</definedName>
    <definedName function="false" hidden="true" name="FDD_58_120" vbProcedure="false">"A35184"</definedName>
    <definedName function="false" hidden="true" name="FDD_58_121" vbProcedure="false">"A35191"</definedName>
    <definedName function="false" hidden="true" name="FDD_58_122" vbProcedure="false">"A35198"</definedName>
    <definedName function="false" hidden="true" name="FDD_58_123" vbProcedure="false">"A35205"</definedName>
    <definedName function="false" hidden="true" name="FDD_58_124" vbProcedure="false">"A35212"</definedName>
    <definedName function="false" hidden="true" name="FDD_58_125" vbProcedure="false">"A35219"</definedName>
    <definedName function="false" hidden="true" name="FDD_58_126" vbProcedure="false">"A35226"</definedName>
    <definedName function="false" hidden="true" name="FDD_58_127" vbProcedure="false">"A35233"</definedName>
    <definedName function="false" hidden="true" name="FDD_58_128" vbProcedure="false">"A35240"</definedName>
    <definedName function="false" hidden="true" name="FDD_58_129" vbProcedure="false">"A35247"</definedName>
    <definedName function="false" hidden="true" name="FDD_58_13" vbProcedure="false">"A35430"</definedName>
    <definedName function="false" hidden="true" name="FDD_58_130" vbProcedure="false">"A35254"</definedName>
    <definedName function="false" hidden="true" name="FDD_58_131" vbProcedure="false">"A35261"</definedName>
    <definedName function="false" hidden="true" name="FDD_58_132" vbProcedure="false">"A35268"</definedName>
    <definedName function="false" hidden="true" name="FDD_58_133" vbProcedure="false">"A35275"</definedName>
    <definedName function="false" hidden="true" name="FDD_58_134" vbProcedure="false">"A35282"</definedName>
    <definedName function="false" hidden="true" name="FDD_58_135" vbProcedure="false">"A35289"</definedName>
    <definedName function="false" hidden="true" name="FDD_58_136" vbProcedure="false">"A35296"</definedName>
    <definedName function="false" hidden="true" name="FDD_58_137" vbProcedure="false">"A35303"</definedName>
    <definedName function="false" hidden="true" name="FDD_58_138" vbProcedure="false">"A35310"</definedName>
    <definedName function="false" hidden="true" name="FDD_58_139" vbProcedure="false">"A35317"</definedName>
    <definedName function="false" hidden="true" name="FDD_58_14" vbProcedure="false">"A35795"</definedName>
    <definedName function="false" hidden="true" name="FDD_58_140" vbProcedure="false">"A35324"</definedName>
    <definedName function="false" hidden="true" name="FDD_58_141" vbProcedure="false">"A35331"</definedName>
    <definedName function="false" hidden="true" name="FDD_58_142" vbProcedure="false">"A35338"</definedName>
    <definedName function="false" hidden="true" name="FDD_58_143" vbProcedure="false">"A35345"</definedName>
    <definedName function="false" hidden="true" name="FDD_58_144" vbProcedure="false">"A35352"</definedName>
    <definedName function="false" hidden="true" name="FDD_58_145" vbProcedure="false">"A35359"</definedName>
    <definedName function="false" hidden="true" name="FDD_58_146" vbProcedure="false">"A35366"</definedName>
    <definedName function="false" hidden="true" name="FDD_58_147" vbProcedure="false">"A35373"</definedName>
    <definedName function="false" hidden="true" name="FDD_58_148" vbProcedure="false">"A35380"</definedName>
    <definedName function="false" hidden="true" name="FDD_58_149" vbProcedure="false">"A35387"</definedName>
    <definedName function="false" hidden="true" name="FDD_58_15" vbProcedure="false">"A34449"</definedName>
    <definedName function="false" hidden="true" name="FDD_58_150" vbProcedure="false">"A35394"</definedName>
    <definedName function="false" hidden="true" name="FDD_58_151" vbProcedure="false">"A35401"</definedName>
    <definedName function="false" hidden="true" name="FDD_58_152" vbProcedure="false">"A35408"</definedName>
    <definedName function="false" hidden="true" name="FDD_58_153" vbProcedure="false">"A35415"</definedName>
    <definedName function="false" hidden="true" name="FDD_58_154" vbProcedure="false">"A35422"</definedName>
    <definedName function="false" hidden="true" name="FDD_58_155" vbProcedure="false">"A35429"</definedName>
    <definedName function="false" hidden="true" name="FDD_58_156" vbProcedure="false">"A35436"</definedName>
    <definedName function="false" hidden="true" name="FDD_58_157" vbProcedure="false">"A35443"</definedName>
    <definedName function="false" hidden="true" name="FDD_58_158" vbProcedure="false">"A35450"</definedName>
    <definedName function="false" hidden="true" name="FDD_58_159" vbProcedure="false">"A35457"</definedName>
    <definedName function="false" hidden="true" name="FDD_58_16" vbProcedure="false">"A34456"</definedName>
    <definedName function="false" hidden="true" name="FDD_58_160" vbProcedure="false">"A35464"</definedName>
    <definedName function="false" hidden="true" name="FDD_58_161" vbProcedure="false">"A35471"</definedName>
    <definedName function="false" hidden="true" name="FDD_58_162" vbProcedure="false">"A35478"</definedName>
    <definedName function="false" hidden="true" name="FDD_58_163" vbProcedure="false">"A35485"</definedName>
    <definedName function="false" hidden="true" name="FDD_58_164" vbProcedure="false">"A35492"</definedName>
    <definedName function="false" hidden="true" name="FDD_58_165" vbProcedure="false">"A35499"</definedName>
    <definedName function="false" hidden="true" name="FDD_58_166" vbProcedure="false">"A35506"</definedName>
    <definedName function="false" hidden="true" name="FDD_58_167" vbProcedure="false">"A35513"</definedName>
    <definedName function="false" hidden="true" name="FDD_58_168" vbProcedure="false">"A35520"</definedName>
    <definedName function="false" hidden="true" name="FDD_58_169" vbProcedure="false">"A35527"</definedName>
    <definedName function="false" hidden="true" name="FDD_58_17" vbProcedure="false">"A34463"</definedName>
    <definedName function="false" hidden="true" name="FDD_58_170" vbProcedure="false">"A35534"</definedName>
    <definedName function="false" hidden="true" name="FDD_58_171" vbProcedure="false">"A35541"</definedName>
    <definedName function="false" hidden="true" name="FDD_58_172" vbProcedure="false">"A35548"</definedName>
    <definedName function="false" hidden="true" name="FDD_58_173" vbProcedure="false">"A35555"</definedName>
    <definedName function="false" hidden="true" name="FDD_58_174" vbProcedure="false">"A35562"</definedName>
    <definedName function="false" hidden="true" name="FDD_58_175" vbProcedure="false">"A35569"</definedName>
    <definedName function="false" hidden="true" name="FDD_58_176" vbProcedure="false">"A35576"</definedName>
    <definedName function="false" hidden="true" name="FDD_58_177" vbProcedure="false">"A35583"</definedName>
    <definedName function="false" hidden="true" name="FDD_58_178" vbProcedure="false">"A35590"</definedName>
    <definedName function="false" hidden="true" name="FDD_58_179" vbProcedure="false">"A35597"</definedName>
    <definedName function="false" hidden="true" name="FDD_58_18" vbProcedure="false">"A34470"</definedName>
    <definedName function="false" hidden="true" name="FDD_58_180" vbProcedure="false">"A35604"</definedName>
    <definedName function="false" hidden="true" name="FDD_58_181" vbProcedure="false">"A35611"</definedName>
    <definedName function="false" hidden="true" name="FDD_58_182" vbProcedure="false">"A35618"</definedName>
    <definedName function="false" hidden="true" name="FDD_58_183" vbProcedure="false">"A35625"</definedName>
    <definedName function="false" hidden="true" name="FDD_58_184" vbProcedure="false">"A35632"</definedName>
    <definedName function="false" hidden="true" name="FDD_58_185" vbProcedure="false">"A35639"</definedName>
    <definedName function="false" hidden="true" name="FDD_58_186" vbProcedure="false">"A35646"</definedName>
    <definedName function="false" hidden="true" name="FDD_58_187" vbProcedure="false">"A35653"</definedName>
    <definedName function="false" hidden="true" name="FDD_58_188" vbProcedure="false">"A35660"</definedName>
    <definedName function="false" hidden="true" name="FDD_58_189" vbProcedure="false">"A35667"</definedName>
    <definedName function="false" hidden="true" name="FDD_58_19" vbProcedure="false">"A34477"</definedName>
    <definedName function="false" hidden="true" name="FDD_58_190" vbProcedure="false">"A35674"</definedName>
    <definedName function="false" hidden="true" name="FDD_58_191" vbProcedure="false">"A35681"</definedName>
    <definedName function="false" hidden="true" name="FDD_58_192" vbProcedure="false">"A35688"</definedName>
    <definedName function="false" hidden="true" name="FDD_58_193" vbProcedure="false">"A35695"</definedName>
    <definedName function="false" hidden="true" name="FDD_58_194" vbProcedure="false">"A35702"</definedName>
    <definedName function="false" hidden="true" name="FDD_58_195" vbProcedure="false">"A35709"</definedName>
    <definedName function="false" hidden="true" name="FDD_58_196" vbProcedure="false">"A35716"</definedName>
    <definedName function="false" hidden="true" name="FDD_58_197" vbProcedure="false">"A35723"</definedName>
    <definedName function="false" hidden="true" name="FDD_58_198" vbProcedure="false">"A35730"</definedName>
    <definedName function="false" hidden="true" name="FDD_58_199" vbProcedure="false">"A35737"</definedName>
    <definedName function="false" hidden="true" name="FDD_58_2" vbProcedure="false">"A31412"</definedName>
    <definedName function="false" hidden="true" name="FDD_58_20" vbProcedure="false">"A34484"</definedName>
    <definedName function="false" hidden="true" name="FDD_58_200" vbProcedure="false">"A35744"</definedName>
    <definedName function="false" hidden="true" name="FDD_58_201" vbProcedure="false">"A35751"</definedName>
    <definedName function="false" hidden="true" name="FDD_58_202" vbProcedure="false">"A35758"</definedName>
    <definedName function="false" hidden="true" name="FDD_58_203" vbProcedure="false">"A35765"</definedName>
    <definedName function="false" hidden="true" name="FDD_58_204" vbProcedure="false">"A35772"</definedName>
    <definedName function="false" hidden="true" name="FDD_58_205" vbProcedure="false">"A35779"</definedName>
    <definedName function="false" hidden="true" name="FDD_58_206" vbProcedure="false">"A35786"</definedName>
    <definedName function="false" hidden="true" name="FDD_58_207" vbProcedure="false">"A35793"</definedName>
    <definedName function="false" hidden="true" name="FDD_58_208" vbProcedure="false">"A35800"</definedName>
    <definedName function="false" hidden="true" name="FDD_58_209" vbProcedure="false">"A35807"</definedName>
    <definedName function="false" hidden="true" name="FDD_58_21" vbProcedure="false">"A34491"</definedName>
    <definedName function="false" hidden="true" name="FDD_58_210" vbProcedure="false">"A35814"</definedName>
    <definedName function="false" hidden="true" name="FDD_58_211" vbProcedure="false">"A35821"</definedName>
    <definedName function="false" hidden="true" name="FDD_58_212" vbProcedure="false">"A35828"</definedName>
    <definedName function="false" hidden="true" name="FDD_58_213" vbProcedure="false">"A35835"</definedName>
    <definedName function="false" hidden="true" name="FDD_58_214" vbProcedure="false">"A35842"</definedName>
    <definedName function="false" hidden="true" name="FDD_58_215" vbProcedure="false">"A35849"</definedName>
    <definedName function="false" hidden="true" name="FDD_58_216" vbProcedure="false">"A35856"</definedName>
    <definedName function="false" hidden="true" name="FDD_58_217" vbProcedure="false">"A35863"</definedName>
    <definedName function="false" hidden="true" name="FDD_58_218" vbProcedure="false">"A35870"</definedName>
    <definedName function="false" hidden="true" name="FDD_58_219" vbProcedure="false">"A35877"</definedName>
    <definedName function="false" hidden="true" name="FDD_58_22" vbProcedure="false">"A34498"</definedName>
    <definedName function="false" hidden="true" name="FDD_58_220" vbProcedure="false">"A35884"</definedName>
    <definedName function="false" hidden="true" name="FDD_58_221" vbProcedure="false">"A35891"</definedName>
    <definedName function="false" hidden="true" name="FDD_58_222" vbProcedure="false">"A35898"</definedName>
    <definedName function="false" hidden="true" name="FDD_58_223" vbProcedure="false">"A35905"</definedName>
    <definedName function="false" hidden="true" name="FDD_58_224" vbProcedure="false">"A35912"</definedName>
    <definedName function="false" hidden="true" name="FDD_58_225" vbProcedure="false">"A35919"</definedName>
    <definedName function="false" hidden="true" name="FDD_58_226" vbProcedure="false">"A35926"</definedName>
    <definedName function="false" hidden="true" name="FDD_58_227" vbProcedure="false">"A35933"</definedName>
    <definedName function="false" hidden="true" name="FDD_58_228" vbProcedure="false">"A35940"</definedName>
    <definedName function="false" hidden="true" name="FDD_58_229" vbProcedure="false">"A35947"</definedName>
    <definedName function="false" hidden="true" name="FDD_58_23" vbProcedure="false">"A34505"</definedName>
    <definedName function="false" hidden="true" name="FDD_58_230" vbProcedure="false">"A35954"</definedName>
    <definedName function="false" hidden="true" name="FDD_58_231" vbProcedure="false">"A35961"</definedName>
    <definedName function="false" hidden="true" name="FDD_58_232" vbProcedure="false">"A35968"</definedName>
    <definedName function="false" hidden="true" name="FDD_58_233" vbProcedure="false">"A35975"</definedName>
    <definedName function="false" hidden="true" name="FDD_58_234" vbProcedure="false">"A35982"</definedName>
    <definedName function="false" hidden="true" name="FDD_58_235" vbProcedure="false">"A35989"</definedName>
    <definedName function="false" hidden="true" name="FDD_58_236" vbProcedure="false">"A35996"</definedName>
    <definedName function="false" hidden="true" name="FDD_58_237" vbProcedure="false">"A36003"</definedName>
    <definedName function="false" hidden="true" name="FDD_58_238" vbProcedure="false">"A36010"</definedName>
    <definedName function="false" hidden="true" name="FDD_58_239" vbProcedure="false">"A36017"</definedName>
    <definedName function="false" hidden="true" name="FDD_58_24" vbProcedure="false">"A34512"</definedName>
    <definedName function="false" hidden="true" name="FDD_58_240" vbProcedure="false">"A36024"</definedName>
    <definedName function="false" hidden="true" name="FDD_58_241" vbProcedure="false">"A36031"</definedName>
    <definedName function="false" hidden="true" name="FDD_58_242" vbProcedure="false">"A36038"</definedName>
    <definedName function="false" hidden="true" name="FDD_58_243" vbProcedure="false">"A36045"</definedName>
    <definedName function="false" hidden="true" name="FDD_58_244" vbProcedure="false">"A36052"</definedName>
    <definedName function="false" hidden="true" name="FDD_58_245" vbProcedure="false">"A36059"</definedName>
    <definedName function="false" hidden="true" name="FDD_58_246" vbProcedure="false">"A36066"</definedName>
    <definedName function="false" hidden="true" name="FDD_58_247" vbProcedure="false">"A36073"</definedName>
    <definedName function="false" hidden="true" name="FDD_58_248" vbProcedure="false">"A36080"</definedName>
    <definedName function="false" hidden="true" name="FDD_58_249" vbProcedure="false">"A36087"</definedName>
    <definedName function="false" hidden="true" name="FDD_58_25" vbProcedure="false">"A34519"</definedName>
    <definedName function="false" hidden="true" name="FDD_58_250" vbProcedure="false">"A36094"</definedName>
    <definedName function="false" hidden="true" name="FDD_58_251" vbProcedure="false">"A36101"</definedName>
    <definedName function="false" hidden="true" name="FDD_58_252" vbProcedure="false">"A36108"</definedName>
    <definedName function="false" hidden="true" name="FDD_58_253" vbProcedure="false">"A36115"</definedName>
    <definedName function="false" hidden="true" name="FDD_58_254" vbProcedure="false">"A36122"</definedName>
    <definedName function="false" hidden="true" name="FDD_58_255" vbProcedure="false">"A36129"</definedName>
    <definedName function="false" hidden="true" name="FDD_58_256" vbProcedure="false">"A36136"</definedName>
    <definedName function="false" hidden="true" name="FDD_58_257" vbProcedure="false">"A36143"</definedName>
    <definedName function="false" hidden="true" name="FDD_58_258" vbProcedure="false">"A36150"</definedName>
    <definedName function="false" hidden="true" name="FDD_58_259" vbProcedure="false">"A36157"</definedName>
    <definedName function="false" hidden="true" name="FDD_58_26" vbProcedure="false">"A34526"</definedName>
    <definedName function="false" hidden="true" name="FDD_58_260" vbProcedure="false">"A36164"</definedName>
    <definedName function="false" hidden="true" name="FDD_58_27" vbProcedure="false">"A34533"</definedName>
    <definedName function="false" hidden="true" name="FDD_58_28" vbProcedure="false">"A34540"</definedName>
    <definedName function="false" hidden="true" name="FDD_58_29" vbProcedure="false">"A34547"</definedName>
    <definedName function="false" hidden="true" name="FDD_58_3" vbProcedure="false">"A31777"</definedName>
    <definedName function="false" hidden="true" name="FDD_58_30" vbProcedure="false">"A34554"</definedName>
    <definedName function="false" hidden="true" name="FDD_58_31" vbProcedure="false">"A34561"</definedName>
    <definedName function="false" hidden="true" name="FDD_58_32" vbProcedure="false">"A34568"</definedName>
    <definedName function="false" hidden="true" name="FDD_58_33" vbProcedure="false">"A34575"</definedName>
    <definedName function="false" hidden="true" name="FDD_58_34" vbProcedure="false">"A34582"</definedName>
    <definedName function="false" hidden="true" name="FDD_58_35" vbProcedure="false">"A34589"</definedName>
    <definedName function="false" hidden="true" name="FDD_58_36" vbProcedure="false">"A34596"</definedName>
    <definedName function="false" hidden="true" name="FDD_58_37" vbProcedure="false">"A34603"</definedName>
    <definedName function="false" hidden="true" name="FDD_58_38" vbProcedure="false">"A34610"</definedName>
    <definedName function="false" hidden="true" name="FDD_58_39" vbProcedure="false">"A34617"</definedName>
    <definedName function="false" hidden="true" name="FDD_58_4" vbProcedure="false">"A32142"</definedName>
    <definedName function="false" hidden="true" name="FDD_58_40" vbProcedure="false">"A34624"</definedName>
    <definedName function="false" hidden="true" name="FDD_58_41" vbProcedure="false">"A34631"</definedName>
    <definedName function="false" hidden="true" name="FDD_58_42" vbProcedure="false">"A34638"</definedName>
    <definedName function="false" hidden="true" name="FDD_58_43" vbProcedure="false">"A34645"</definedName>
    <definedName function="false" hidden="true" name="FDD_58_44" vbProcedure="false">"A34652"</definedName>
    <definedName function="false" hidden="true" name="FDD_58_45" vbProcedure="false">"A34659"</definedName>
    <definedName function="false" hidden="true" name="FDD_58_46" vbProcedure="false">"A34666"</definedName>
    <definedName function="false" hidden="true" name="FDD_58_47" vbProcedure="false">"A34673"</definedName>
    <definedName function="false" hidden="true" name="FDD_58_48" vbProcedure="false">"A34680"</definedName>
    <definedName function="false" hidden="true" name="FDD_58_49" vbProcedure="false">"A34687"</definedName>
    <definedName function="false" hidden="true" name="FDD_58_5" vbProcedure="false">"A32508"</definedName>
    <definedName function="false" hidden="true" name="FDD_58_50" vbProcedure="false">"A34694"</definedName>
    <definedName function="false" hidden="true" name="FDD_58_51" vbProcedure="false">"A34701"</definedName>
    <definedName function="false" hidden="true" name="FDD_58_52" vbProcedure="false">"A34708"</definedName>
    <definedName function="false" hidden="true" name="FDD_58_53" vbProcedure="false">"A34715"</definedName>
    <definedName function="false" hidden="true" name="FDD_58_54" vbProcedure="false">"A34722"</definedName>
    <definedName function="false" hidden="true" name="FDD_58_55" vbProcedure="false">"A34729"</definedName>
    <definedName function="false" hidden="true" name="FDD_58_56" vbProcedure="false">"A34736"</definedName>
    <definedName function="false" hidden="true" name="FDD_58_57" vbProcedure="false">"A34743"</definedName>
    <definedName function="false" hidden="true" name="FDD_58_58" vbProcedure="false">"A34750"</definedName>
    <definedName function="false" hidden="true" name="FDD_58_59" vbProcedure="false">"A34757"</definedName>
    <definedName function="false" hidden="true" name="FDD_58_6" vbProcedure="false">"A32873"</definedName>
    <definedName function="false" hidden="true" name="FDD_58_60" vbProcedure="false">"A34764"</definedName>
    <definedName function="false" hidden="true" name="FDD_58_61" vbProcedure="false">"A34771"</definedName>
    <definedName function="false" hidden="true" name="FDD_58_62" vbProcedure="false">"A34778"</definedName>
    <definedName function="false" hidden="true" name="FDD_58_63" vbProcedure="false">"A34785"</definedName>
    <definedName function="false" hidden="true" name="FDD_58_64" vbProcedure="false">"A34792"</definedName>
    <definedName function="false" hidden="true" name="FDD_58_65" vbProcedure="false">"A34799"</definedName>
    <definedName function="false" hidden="true" name="FDD_58_66" vbProcedure="false">"A34806"</definedName>
    <definedName function="false" hidden="true" name="FDD_58_67" vbProcedure="false">"A34813"</definedName>
    <definedName function="false" hidden="true" name="FDD_58_68" vbProcedure="false">"A34820"</definedName>
    <definedName function="false" hidden="true" name="FDD_58_69" vbProcedure="false">"A34827"</definedName>
    <definedName function="false" hidden="true" name="FDD_58_7" vbProcedure="false">"A33238"</definedName>
    <definedName function="false" hidden="true" name="FDD_58_70" vbProcedure="false">"A34834"</definedName>
    <definedName function="false" hidden="true" name="FDD_58_71" vbProcedure="false">"A34841"</definedName>
    <definedName function="false" hidden="true" name="FDD_58_72" vbProcedure="false">"A34848"</definedName>
    <definedName function="false" hidden="true" name="FDD_58_73" vbProcedure="false">"A34855"</definedName>
    <definedName function="false" hidden="true" name="FDD_58_74" vbProcedure="false">"A34862"</definedName>
    <definedName function="false" hidden="true" name="FDD_58_75" vbProcedure="false">"A34869"</definedName>
    <definedName function="false" hidden="true" name="FDD_58_76" vbProcedure="false">"A34876"</definedName>
    <definedName function="false" hidden="true" name="FDD_58_77" vbProcedure="false">"A34883"</definedName>
    <definedName function="false" hidden="true" name="FDD_58_78" vbProcedure="false">"A34890"</definedName>
    <definedName function="false" hidden="true" name="FDD_58_79" vbProcedure="false">"A34897"</definedName>
    <definedName function="false" hidden="true" name="FDD_58_8" vbProcedure="false">"A33603"</definedName>
    <definedName function="false" hidden="true" name="FDD_58_80" vbProcedure="false">"A34904"</definedName>
    <definedName function="false" hidden="true" name="FDD_58_81" vbProcedure="false">"A34911"</definedName>
    <definedName function="false" hidden="true" name="FDD_58_82" vbProcedure="false">"A34918"</definedName>
    <definedName function="false" hidden="true" name="FDD_58_83" vbProcedure="false">"A34925"</definedName>
    <definedName function="false" hidden="true" name="FDD_58_84" vbProcedure="false">"A34932"</definedName>
    <definedName function="false" hidden="true" name="FDD_58_85" vbProcedure="false">"A34939"</definedName>
    <definedName function="false" hidden="true" name="FDD_58_86" vbProcedure="false">"A34946"</definedName>
    <definedName function="false" hidden="true" name="FDD_58_87" vbProcedure="false">"A34953"</definedName>
    <definedName function="false" hidden="true" name="FDD_58_88" vbProcedure="false">"A34960"</definedName>
    <definedName function="false" hidden="true" name="FDD_58_89" vbProcedure="false">"A34967"</definedName>
    <definedName function="false" hidden="true" name="FDD_58_9" vbProcedure="false">"A33969"</definedName>
    <definedName function="false" hidden="true" name="FDD_58_90" vbProcedure="false">"A34974"</definedName>
    <definedName function="false" hidden="true" name="FDD_58_91" vbProcedure="false">"A34981"</definedName>
    <definedName function="false" hidden="true" name="FDD_58_92" vbProcedure="false">"A34988"</definedName>
    <definedName function="false" hidden="true" name="FDD_58_93" vbProcedure="false">"A34995"</definedName>
    <definedName function="false" hidden="true" name="FDD_58_94" vbProcedure="false">"A35002"</definedName>
    <definedName function="false" hidden="true" name="FDD_58_95" vbProcedure="false">"A35009"</definedName>
    <definedName function="false" hidden="true" name="FDD_58_96" vbProcedure="false">"A35016"</definedName>
    <definedName function="false" hidden="true" name="FDD_58_97" vbProcedure="false">"A35023"</definedName>
    <definedName function="false" hidden="true" name="FDD_58_98" vbProcedure="false">"A35030"</definedName>
    <definedName function="false" hidden="true" name="FDD_58_99" vbProcedure="false">"A35037"</definedName>
    <definedName function="false" hidden="true" name="FDD_59_0" vbProcedure="false">"A30681"</definedName>
    <definedName function="false" hidden="true" name="FDD_59_1" vbProcedure="false">"A31047"</definedName>
    <definedName function="false" hidden="true" name="FDD_59_10" vbProcedure="false">"A34334"</definedName>
    <definedName function="false" hidden="true" name="FDD_59_100" vbProcedure="false">"A35044"</definedName>
    <definedName function="false" hidden="true" name="FDD_59_101" vbProcedure="false">"A35051"</definedName>
    <definedName function="false" hidden="true" name="FDD_59_102" vbProcedure="false">"A35059"</definedName>
    <definedName function="false" hidden="true" name="FDD_59_103" vbProcedure="false">"A35065"</definedName>
    <definedName function="false" hidden="true" name="FDD_59_104" vbProcedure="false">"A35072"</definedName>
    <definedName function="false" hidden="true" name="FDD_59_105" vbProcedure="false">"A35079"</definedName>
    <definedName function="false" hidden="true" name="FDD_59_106" vbProcedure="false">"A35086"</definedName>
    <definedName function="false" hidden="true" name="FDD_59_107" vbProcedure="false">"A35093"</definedName>
    <definedName function="false" hidden="true" name="FDD_59_108" vbProcedure="false">"A35100"</definedName>
    <definedName function="false" hidden="true" name="FDD_59_109" vbProcedure="false">"A35107"</definedName>
    <definedName function="false" hidden="true" name="FDD_59_11" vbProcedure="false">"A34699"</definedName>
    <definedName function="false" hidden="true" name="FDD_59_110" vbProcedure="false">"A35114"</definedName>
    <definedName function="false" hidden="true" name="FDD_59_111" vbProcedure="false">"A35121"</definedName>
    <definedName function="false" hidden="true" name="FDD_59_112" vbProcedure="false">"A35128"</definedName>
    <definedName function="false" hidden="true" name="FDD_59_113" vbProcedure="false">"A35135"</definedName>
    <definedName function="false" hidden="true" name="FDD_59_114" vbProcedure="false">"A35141"</definedName>
    <definedName function="false" hidden="true" name="FDD_59_115" vbProcedure="false">"A35149"</definedName>
    <definedName function="false" hidden="true" name="FDD_59_116" vbProcedure="false">"A35156"</definedName>
    <definedName function="false" hidden="true" name="FDD_59_117" vbProcedure="false">"A35163"</definedName>
    <definedName function="false" hidden="true" name="FDD_59_118" vbProcedure="false">"A35170"</definedName>
    <definedName function="false" hidden="true" name="FDD_59_119" vbProcedure="false">"A35177"</definedName>
    <definedName function="false" hidden="true" name="FDD_59_12" vbProcedure="false">"A35064"</definedName>
    <definedName function="false" hidden="true" name="FDD_59_120" vbProcedure="false">"A35184"</definedName>
    <definedName function="false" hidden="true" name="FDD_59_121" vbProcedure="false">"A35192"</definedName>
    <definedName function="false" hidden="true" name="FDD_59_122" vbProcedure="false">"A35198"</definedName>
    <definedName function="false" hidden="true" name="FDD_59_123" vbProcedure="false">"A35205"</definedName>
    <definedName function="false" hidden="true" name="FDD_59_124" vbProcedure="false">"A35213"</definedName>
    <definedName function="false" hidden="true" name="FDD_59_125" vbProcedure="false">"A35219"</definedName>
    <definedName function="false" hidden="true" name="FDD_59_126" vbProcedure="false">"A35226"</definedName>
    <definedName function="false" hidden="true" name="FDD_59_127" vbProcedure="false">"A35233"</definedName>
    <definedName function="false" hidden="true" name="FDD_59_128" vbProcedure="false">"A35240"</definedName>
    <definedName function="false" hidden="true" name="FDD_59_129" vbProcedure="false">"A35247"</definedName>
    <definedName function="false" hidden="true" name="FDD_59_13" vbProcedure="false">"A35430"</definedName>
    <definedName function="false" hidden="true" name="FDD_59_130" vbProcedure="false">"A35254"</definedName>
    <definedName function="false" hidden="true" name="FDD_59_131" vbProcedure="false">"A35261"</definedName>
    <definedName function="false" hidden="true" name="FDD_59_132" vbProcedure="false">"A35268"</definedName>
    <definedName function="false" hidden="true" name="FDD_59_133" vbProcedure="false">"A35275"</definedName>
    <definedName function="false" hidden="true" name="FDD_59_134" vbProcedure="false">"A35282"</definedName>
    <definedName function="false" hidden="true" name="FDD_59_135" vbProcedure="false">"A35289"</definedName>
    <definedName function="false" hidden="true" name="FDD_59_136" vbProcedure="false">"A35296"</definedName>
    <definedName function="false" hidden="true" name="FDD_59_137" vbProcedure="false">"A35303"</definedName>
    <definedName function="false" hidden="true" name="FDD_59_138" vbProcedure="false">"A35310"</definedName>
    <definedName function="false" hidden="true" name="FDD_59_139" vbProcedure="false">"A35317"</definedName>
    <definedName function="false" hidden="true" name="FDD_59_14" vbProcedure="false">"A35795"</definedName>
    <definedName function="false" hidden="true" name="FDD_59_140" vbProcedure="false">"A35324"</definedName>
    <definedName function="false" hidden="true" name="FDD_59_141" vbProcedure="false">"A35331"</definedName>
    <definedName function="false" hidden="true" name="FDD_59_142" vbProcedure="false">"A35338"</definedName>
    <definedName function="false" hidden="true" name="FDD_59_143" vbProcedure="false">"A35345"</definedName>
    <definedName function="false" hidden="true" name="FDD_59_144" vbProcedure="false">"A35352"</definedName>
    <definedName function="false" hidden="true" name="FDD_59_145" vbProcedure="false">"A35359"</definedName>
    <definedName function="false" hidden="true" name="FDD_59_146" vbProcedure="false">"A35366"</definedName>
    <definedName function="false" hidden="true" name="FDD_59_147" vbProcedure="false">"A35373"</definedName>
    <definedName function="false" hidden="true" name="FDD_59_148" vbProcedure="false">"A35380"</definedName>
    <definedName function="false" hidden="true" name="FDD_59_149" vbProcedure="false">"A35387"</definedName>
    <definedName function="false" hidden="true" name="FDD_59_15" vbProcedure="false">"A34449"</definedName>
    <definedName function="false" hidden="true" name="FDD_59_150" vbProcedure="false">"A35394"</definedName>
    <definedName function="false" hidden="true" name="FDD_59_151" vbProcedure="false">"A35401"</definedName>
    <definedName function="false" hidden="true" name="FDD_59_152" vbProcedure="false">"A35408"</definedName>
    <definedName function="false" hidden="true" name="FDD_59_153" vbProcedure="false">"A35415"</definedName>
    <definedName function="false" hidden="true" name="FDD_59_154" vbProcedure="false">"A35422"</definedName>
    <definedName function="false" hidden="true" name="FDD_59_155" vbProcedure="false">"A35429"</definedName>
    <definedName function="false" hidden="true" name="FDD_59_156" vbProcedure="false">"A35436"</definedName>
    <definedName function="false" hidden="true" name="FDD_59_157" vbProcedure="false">"A35443"</definedName>
    <definedName function="false" hidden="true" name="FDD_59_158" vbProcedure="false">"A35450"</definedName>
    <definedName function="false" hidden="true" name="FDD_59_159" vbProcedure="false">"A35457"</definedName>
    <definedName function="false" hidden="true" name="FDD_59_16" vbProcedure="false">"A34457"</definedName>
    <definedName function="false" hidden="true" name="FDD_59_160" vbProcedure="false">"A35464"</definedName>
    <definedName function="false" hidden="true" name="FDD_59_161" vbProcedure="false">"A35471"</definedName>
    <definedName function="false" hidden="true" name="FDD_59_162" vbProcedure="false">"A35478"</definedName>
    <definedName function="false" hidden="true" name="FDD_59_163" vbProcedure="false">"A35485"</definedName>
    <definedName function="false" hidden="true" name="FDD_59_164" vbProcedure="false">"A35492"</definedName>
    <definedName function="false" hidden="true" name="FDD_59_165" vbProcedure="false">"A35499"</definedName>
    <definedName function="false" hidden="true" name="FDD_59_166" vbProcedure="false">"A35506"</definedName>
    <definedName function="false" hidden="true" name="FDD_59_167" vbProcedure="false">"A35513"</definedName>
    <definedName function="false" hidden="true" name="FDD_59_168" vbProcedure="false">"A35521"</definedName>
    <definedName function="false" hidden="true" name="FDD_59_169" vbProcedure="false">"A35527"</definedName>
    <definedName function="false" hidden="true" name="FDD_59_17" vbProcedure="false">"A34463"</definedName>
    <definedName function="false" hidden="true" name="FDD_59_170" vbProcedure="false">"A35534"</definedName>
    <definedName function="false" hidden="true" name="FDD_59_171" vbProcedure="false">"A35541"</definedName>
    <definedName function="false" hidden="true" name="FDD_59_172" vbProcedure="false">"A35548"</definedName>
    <definedName function="false" hidden="true" name="FDD_59_173" vbProcedure="false">"A35556"</definedName>
    <definedName function="false" hidden="true" name="FDD_59_174" vbProcedure="false">"A35562"</definedName>
    <definedName function="false" hidden="true" name="FDD_59_175" vbProcedure="false">"A35569"</definedName>
    <definedName function="false" hidden="true" name="FDD_59_176" vbProcedure="false">"A35577"</definedName>
    <definedName function="false" hidden="true" name="FDD_59_177" vbProcedure="false">"A35583"</definedName>
    <definedName function="false" hidden="true" name="FDD_59_178" vbProcedure="false">"A35590"</definedName>
    <definedName function="false" hidden="true" name="FDD_59_179" vbProcedure="false">"A35597"</definedName>
    <definedName function="false" hidden="true" name="FDD_59_18" vbProcedure="false">"A34470"</definedName>
    <definedName function="false" hidden="true" name="FDD_59_180" vbProcedure="false">"A35604"</definedName>
    <definedName function="false" hidden="true" name="FDD_59_181" vbProcedure="false">"A35611"</definedName>
    <definedName function="false" hidden="true" name="FDD_59_182" vbProcedure="false">"A35618"</definedName>
    <definedName function="false" hidden="true" name="FDD_59_183" vbProcedure="false">"A35625"</definedName>
    <definedName function="false" hidden="true" name="FDD_59_184" vbProcedure="false">"A35632"</definedName>
    <definedName function="false" hidden="true" name="FDD_59_185" vbProcedure="false">"A35639"</definedName>
    <definedName function="false" hidden="true" name="FDD_59_186" vbProcedure="false">"A35646"</definedName>
    <definedName function="false" hidden="true" name="FDD_59_187" vbProcedure="false">"A35653"</definedName>
    <definedName function="false" hidden="true" name="FDD_59_188" vbProcedure="false">"A35660"</definedName>
    <definedName function="false" hidden="true" name="FDD_59_189" vbProcedure="false">"A35668"</definedName>
    <definedName function="false" hidden="true" name="FDD_59_19" vbProcedure="false">"A34477"</definedName>
    <definedName function="false" hidden="true" name="FDD_59_190" vbProcedure="false">"A35674"</definedName>
    <definedName function="false" hidden="true" name="FDD_59_191" vbProcedure="false">"A35681"</definedName>
    <definedName function="false" hidden="true" name="FDD_59_192" vbProcedure="false">"A35688"</definedName>
    <definedName function="false" hidden="true" name="FDD_59_193" vbProcedure="false">"A35695"</definedName>
    <definedName function="false" hidden="true" name="FDD_59_194" vbProcedure="false">"A35702"</definedName>
    <definedName function="false" hidden="true" name="FDD_59_195" vbProcedure="false">"A35709"</definedName>
    <definedName function="false" hidden="true" name="FDD_59_196" vbProcedure="false">"A35716"</definedName>
    <definedName function="false" hidden="true" name="FDD_59_197" vbProcedure="false">"A35723"</definedName>
    <definedName function="false" hidden="true" name="FDD_59_198" vbProcedure="false">"A35730"</definedName>
    <definedName function="false" hidden="true" name="FDD_59_199" vbProcedure="false">"A35737"</definedName>
    <definedName function="false" hidden="true" name="FDD_59_2" vbProcedure="false">"A31412"</definedName>
    <definedName function="false" hidden="true" name="FDD_59_20" vbProcedure="false">"A34485"</definedName>
    <definedName function="false" hidden="true" name="FDD_59_200" vbProcedure="false">"A35744"</definedName>
    <definedName function="false" hidden="true" name="FDD_59_201" vbProcedure="false">"A35751"</definedName>
    <definedName function="false" hidden="true" name="FDD_59_202" vbProcedure="false">"A35758"</definedName>
    <definedName function="false" hidden="true" name="FDD_59_203" vbProcedure="false">"A35765"</definedName>
    <definedName function="false" hidden="true" name="FDD_59_204" vbProcedure="false">"A35772"</definedName>
    <definedName function="false" hidden="true" name="FDD_59_205" vbProcedure="false">"A35779"</definedName>
    <definedName function="false" hidden="true" name="FDD_59_206" vbProcedure="false">"A35786"</definedName>
    <definedName function="false" hidden="true" name="FDD_59_207" vbProcedure="false">"A35793"</definedName>
    <definedName function="false" hidden="true" name="FDD_59_208" vbProcedure="false">"A35800"</definedName>
    <definedName function="false" hidden="true" name="FDD_59_209" vbProcedure="false">"A35807"</definedName>
    <definedName function="false" hidden="true" name="FDD_59_21" vbProcedure="false">"A34491"</definedName>
    <definedName function="false" hidden="true" name="FDD_59_210" vbProcedure="false">"A35814"</definedName>
    <definedName function="false" hidden="true" name="FDD_59_211" vbProcedure="false">"A35821"</definedName>
    <definedName function="false" hidden="true" name="FDD_59_212" vbProcedure="false">"A35828"</definedName>
    <definedName function="false" hidden="true" name="FDD_59_213" vbProcedure="false">"A35835"</definedName>
    <definedName function="false" hidden="true" name="FDD_59_214" vbProcedure="false">"A35842"</definedName>
    <definedName function="false" hidden="true" name="FDD_59_215" vbProcedure="false">"A35849"</definedName>
    <definedName function="false" hidden="true" name="FDD_59_216" vbProcedure="false">"A35856"</definedName>
    <definedName function="false" hidden="true" name="FDD_59_217" vbProcedure="false">"A35863"</definedName>
    <definedName function="false" hidden="true" name="FDD_59_218" vbProcedure="false">"A35870"</definedName>
    <definedName function="false" hidden="true" name="FDD_59_219" vbProcedure="false">"A35877"</definedName>
    <definedName function="false" hidden="true" name="FDD_59_22" vbProcedure="false">"A34498"</definedName>
    <definedName function="false" hidden="true" name="FDD_59_220" vbProcedure="false">"A35884"</definedName>
    <definedName function="false" hidden="true" name="FDD_59_221" vbProcedure="false">"A35891"</definedName>
    <definedName function="false" hidden="true" name="FDD_59_222" vbProcedure="false">"A35899"</definedName>
    <definedName function="false" hidden="true" name="FDD_59_223" vbProcedure="false">"A35905"</definedName>
    <definedName function="false" hidden="true" name="FDD_59_224" vbProcedure="false">"A35912"</definedName>
    <definedName function="false" hidden="true" name="FDD_59_225" vbProcedure="false">"A35919"</definedName>
    <definedName function="false" hidden="true" name="FDD_59_226" vbProcedure="false">"A35926"</definedName>
    <definedName function="false" hidden="true" name="FDD_59_227" vbProcedure="false">"A35933"</definedName>
    <definedName function="false" hidden="true" name="FDD_59_228" vbProcedure="false">"A35941"</definedName>
    <definedName function="false" hidden="true" name="FDD_59_229" vbProcedure="false">"A35947"</definedName>
    <definedName function="false" hidden="true" name="FDD_59_23" vbProcedure="false">"A34505"</definedName>
    <definedName function="false" hidden="true" name="FDD_59_230" vbProcedure="false">"A35954"</definedName>
    <definedName function="false" hidden="true" name="FDD_59_231" vbProcedure="false">"A35961"</definedName>
    <definedName function="false" hidden="true" name="FDD_59_232" vbProcedure="false">"A35968"</definedName>
    <definedName function="false" hidden="true" name="FDD_59_233" vbProcedure="false">"A35975"</definedName>
    <definedName function="false" hidden="true" name="FDD_59_234" vbProcedure="false">"A35982"</definedName>
    <definedName function="false" hidden="true" name="FDD_59_235" vbProcedure="false">"A35989"</definedName>
    <definedName function="false" hidden="true" name="FDD_59_236" vbProcedure="false">"A35996"</definedName>
    <definedName function="false" hidden="true" name="FDD_59_237" vbProcedure="false">"A36003"</definedName>
    <definedName function="false" hidden="true" name="FDD_59_238" vbProcedure="false">"A36010"</definedName>
    <definedName function="false" hidden="true" name="FDD_59_239" vbProcedure="false">"A36017"</definedName>
    <definedName function="false" hidden="true" name="FDD_59_24" vbProcedure="false">"A34512"</definedName>
    <definedName function="false" hidden="true" name="FDD_59_240" vbProcedure="false">"A36024"</definedName>
    <definedName function="false" hidden="true" name="FDD_59_241" vbProcedure="false">"A36031"</definedName>
    <definedName function="false" hidden="true" name="FDD_59_242" vbProcedure="false">"A36039"</definedName>
    <definedName function="false" hidden="true" name="FDD_59_243" vbProcedure="false">"A36045"</definedName>
    <definedName function="false" hidden="true" name="FDD_59_244" vbProcedure="false">"A36052"</definedName>
    <definedName function="false" hidden="true" name="FDD_59_245" vbProcedure="false">"A36059"</definedName>
    <definedName function="false" hidden="true" name="FDD_59_246" vbProcedure="false">"A36066"</definedName>
    <definedName function="false" hidden="true" name="FDD_59_247" vbProcedure="false">"A36073"</definedName>
    <definedName function="false" hidden="true" name="FDD_59_248" vbProcedure="false">"A36080"</definedName>
    <definedName function="false" hidden="true" name="FDD_59_249" vbProcedure="false">"A36087"</definedName>
    <definedName function="false" hidden="true" name="FDD_59_25" vbProcedure="false">"A34519"</definedName>
    <definedName function="false" hidden="true" name="FDD_59_250" vbProcedure="false">"A36094"</definedName>
    <definedName function="false" hidden="true" name="FDD_59_251" vbProcedure="false">"A36101"</definedName>
    <definedName function="false" hidden="true" name="FDD_59_252" vbProcedure="false">"A36108"</definedName>
    <definedName function="false" hidden="true" name="FDD_59_253" vbProcedure="false">"A36116"</definedName>
    <definedName function="false" hidden="true" name="FDD_59_254" vbProcedure="false">"A36122"</definedName>
    <definedName function="false" hidden="true" name="FDD_59_255" vbProcedure="false">"A36129"</definedName>
    <definedName function="false" hidden="true" name="FDD_59_256" vbProcedure="false">"A36136"</definedName>
    <definedName function="false" hidden="true" name="FDD_59_257" vbProcedure="false">"A36143"</definedName>
    <definedName function="false" hidden="true" name="FDD_59_258" vbProcedure="false">"A36150"</definedName>
    <definedName function="false" hidden="true" name="FDD_59_259" vbProcedure="false">"A36157"</definedName>
    <definedName function="false" hidden="true" name="FDD_59_26" vbProcedure="false">"A34526"</definedName>
    <definedName function="false" hidden="true" name="FDD_59_260" vbProcedure="false">"A36164"</definedName>
    <definedName function="false" hidden="true" name="FDD_59_27" vbProcedure="false">"A34533"</definedName>
    <definedName function="false" hidden="true" name="FDD_59_28" vbProcedure="false">"A34540"</definedName>
    <definedName function="false" hidden="true" name="FDD_59_29" vbProcedure="false">"A34547"</definedName>
    <definedName function="false" hidden="true" name="FDD_59_3" vbProcedure="false">"A31777"</definedName>
    <definedName function="false" hidden="true" name="FDD_59_30" vbProcedure="false">"A34554"</definedName>
    <definedName function="false" hidden="true" name="FDD_59_31" vbProcedure="false">"A34561"</definedName>
    <definedName function="false" hidden="true" name="FDD_59_32" vbProcedure="false">"A34568"</definedName>
    <definedName function="false" hidden="true" name="FDD_59_33" vbProcedure="false">"A34576"</definedName>
    <definedName function="false" hidden="true" name="FDD_59_34" vbProcedure="false">"A34582"</definedName>
    <definedName function="false" hidden="true" name="FDD_59_35" vbProcedure="false">"A34589"</definedName>
    <definedName function="false" hidden="true" name="FDD_59_36" vbProcedure="false">"A34596"</definedName>
    <definedName function="false" hidden="true" name="FDD_59_37" vbProcedure="false">"A34603"</definedName>
    <definedName function="false" hidden="true" name="FDD_59_38" vbProcedure="false">"A34610"</definedName>
    <definedName function="false" hidden="true" name="FDD_59_39" vbProcedure="false">"A34617"</definedName>
    <definedName function="false" hidden="true" name="FDD_59_4" vbProcedure="false">"A32142"</definedName>
    <definedName function="false" hidden="true" name="FDD_59_40" vbProcedure="false">"A34624"</definedName>
    <definedName function="false" hidden="true" name="FDD_59_41" vbProcedure="false">"A34631"</definedName>
    <definedName function="false" hidden="true" name="FDD_59_42" vbProcedure="false">"A34638"</definedName>
    <definedName function="false" hidden="true" name="FDD_59_43" vbProcedure="false">"A34645"</definedName>
    <definedName function="false" hidden="true" name="FDD_59_44" vbProcedure="false">"A34652"</definedName>
    <definedName function="false" hidden="true" name="FDD_59_45" vbProcedure="false">"A34659"</definedName>
    <definedName function="false" hidden="true" name="FDD_59_46" vbProcedure="false">"A34666"</definedName>
    <definedName function="false" hidden="true" name="FDD_59_47" vbProcedure="false">"A34673"</definedName>
    <definedName function="false" hidden="true" name="FDD_59_48" vbProcedure="false">"A34680"</definedName>
    <definedName function="false" hidden="true" name="FDD_59_49" vbProcedure="false">"A34687"</definedName>
    <definedName function="false" hidden="true" name="FDD_59_5" vbProcedure="false">"A32508"</definedName>
    <definedName function="false" hidden="true" name="FDD_59_50" vbProcedure="false">"A34696"</definedName>
    <definedName function="false" hidden="true" name="FDD_59_51" vbProcedure="false">"A34702"</definedName>
    <definedName function="false" hidden="true" name="FDD_59_52" vbProcedure="false">"A34708"</definedName>
    <definedName function="false" hidden="true" name="FDD_59_53" vbProcedure="false">"A34715"</definedName>
    <definedName function="false" hidden="true" name="FDD_59_54" vbProcedure="false">"A34722"</definedName>
    <definedName function="false" hidden="true" name="FDD_59_55" vbProcedure="false">"A34729"</definedName>
    <definedName function="false" hidden="true" name="FDD_59_56" vbProcedure="false">"A34736"</definedName>
    <definedName function="false" hidden="true" name="FDD_59_57" vbProcedure="false">"A34743"</definedName>
    <definedName function="false" hidden="true" name="FDD_59_58" vbProcedure="false">"A34750"</definedName>
    <definedName function="false" hidden="true" name="FDD_59_59" vbProcedure="false">"A34757"</definedName>
    <definedName function="false" hidden="true" name="FDD_59_6" vbProcedure="false">"A32873"</definedName>
    <definedName function="false" hidden="true" name="FDD_59_60" vbProcedure="false">"A34764"</definedName>
    <definedName function="false" hidden="true" name="FDD_59_61" vbProcedure="false">"A34771"</definedName>
    <definedName function="false" hidden="true" name="FDD_59_62" vbProcedure="false">"A34778"</definedName>
    <definedName function="false" hidden="true" name="FDD_59_63" vbProcedure="false">"A34785"</definedName>
    <definedName function="false" hidden="true" name="FDD_59_64" vbProcedure="false">"A34792"</definedName>
    <definedName function="false" hidden="true" name="FDD_59_65" vbProcedure="false">"A34799"</definedName>
    <definedName function="false" hidden="true" name="FDD_59_66" vbProcedure="false">"A34807"</definedName>
    <definedName function="false" hidden="true" name="FDD_59_67" vbProcedure="false">"A34813"</definedName>
    <definedName function="false" hidden="true" name="FDD_59_68" vbProcedure="false">"A34820"</definedName>
    <definedName function="false" hidden="true" name="FDD_59_69" vbProcedure="false">"A34828"</definedName>
    <definedName function="false" hidden="true" name="FDD_59_7" vbProcedure="false">"A33238"</definedName>
    <definedName function="false" hidden="true" name="FDD_59_70" vbProcedure="false">"A34834"</definedName>
    <definedName function="false" hidden="true" name="FDD_59_71" vbProcedure="false">"A34841"</definedName>
    <definedName function="false" hidden="true" name="FDD_59_72" vbProcedure="false">"A34848"</definedName>
    <definedName function="false" hidden="true" name="FDD_59_73" vbProcedure="false">"A34855"</definedName>
    <definedName function="false" hidden="true" name="FDD_59_74" vbProcedure="false">"A34862"</definedName>
    <definedName function="false" hidden="true" name="FDD_59_75" vbProcedure="false">"A34870"</definedName>
    <definedName function="false" hidden="true" name="FDD_59_76" vbProcedure="false">"A34876"</definedName>
    <definedName function="false" hidden="true" name="FDD_59_77" vbProcedure="false">"A34883"</definedName>
    <definedName function="false" hidden="true" name="FDD_59_78" vbProcedure="false">"A34891"</definedName>
    <definedName function="false" hidden="true" name="FDD_59_79" vbProcedure="false">"A34897"</definedName>
    <definedName function="false" hidden="true" name="FDD_59_8" vbProcedure="false">"A33603"</definedName>
    <definedName function="false" hidden="true" name="FDD_59_80" vbProcedure="false">"A34904"</definedName>
    <definedName function="false" hidden="true" name="FDD_59_81" vbProcedure="false">"A34911"</definedName>
    <definedName function="false" hidden="true" name="FDD_59_82" vbProcedure="false">"A34918"</definedName>
    <definedName function="false" hidden="true" name="FDD_59_83" vbProcedure="false">"A34925"</definedName>
    <definedName function="false" hidden="true" name="FDD_59_84" vbProcedure="false">"A34932"</definedName>
    <definedName function="false" hidden="true" name="FDD_59_85" vbProcedure="false">"A34940"</definedName>
    <definedName function="false" hidden="true" name="FDD_59_86" vbProcedure="false">"A34946"</definedName>
    <definedName function="false" hidden="true" name="FDD_59_87" vbProcedure="false">"A34953"</definedName>
    <definedName function="false" hidden="true" name="FDD_59_88" vbProcedure="false">"A34960"</definedName>
    <definedName function="false" hidden="true" name="FDD_59_89" vbProcedure="false">"A34967"</definedName>
    <definedName function="false" hidden="true" name="FDD_59_9" vbProcedure="false">"A33969"</definedName>
    <definedName function="false" hidden="true" name="FDD_59_90" vbProcedure="false">"A34974"</definedName>
    <definedName function="false" hidden="true" name="FDD_59_91" vbProcedure="false">"A34981"</definedName>
    <definedName function="false" hidden="true" name="FDD_59_92" vbProcedure="false">"A34988"</definedName>
    <definedName function="false" hidden="true" name="FDD_59_93" vbProcedure="false">"A34995"</definedName>
    <definedName function="false" hidden="true" name="FDD_59_94" vbProcedure="false">"A35002"</definedName>
    <definedName function="false" hidden="true" name="FDD_59_95" vbProcedure="false">"A35009"</definedName>
    <definedName function="false" hidden="true" name="FDD_59_96" vbProcedure="false">"A35016"</definedName>
    <definedName function="false" hidden="true" name="FDD_59_97" vbProcedure="false">"A35023"</definedName>
    <definedName function="false" hidden="true" name="FDD_59_98" vbProcedure="false">"A35030"</definedName>
    <definedName function="false" hidden="true" name="FDD_59_99" vbProcedure="false">"A35037"</definedName>
    <definedName function="false" hidden="true" name="FDD_5_0" vbProcedure="false">"A25569"</definedName>
    <definedName function="false" hidden="true" name="FDD_5_1" vbProcedure="false">"E35795"</definedName>
    <definedName function="false" hidden="true" name="FDD_5_2" vbProcedure="false">"E36160"</definedName>
    <definedName function="false" hidden="true" name="FDD_5_3" vbProcedure="false">"E36525"</definedName>
    <definedName function="false" hidden="true" name="FDD_60_0" vbProcedure="false">"A30681"</definedName>
    <definedName function="false" hidden="true" name="FDD_60_1" vbProcedure="false">"A31047"</definedName>
    <definedName function="false" hidden="true" name="FDD_60_10" vbProcedure="false">"A34334"</definedName>
    <definedName function="false" hidden="true" name="FDD_60_11" vbProcedure="false">"A34699"</definedName>
    <definedName function="false" hidden="true" name="FDD_60_12" vbProcedure="false">"A35064"</definedName>
    <definedName function="false" hidden="true" name="FDD_60_13" vbProcedure="false">"A35430"</definedName>
    <definedName function="false" hidden="true" name="FDD_60_14" vbProcedure="false">"A35795"</definedName>
    <definedName function="false" hidden="true" name="FDD_60_2" vbProcedure="false">"A31412"</definedName>
    <definedName function="false" hidden="true" name="FDD_60_3" vbProcedure="false">"A31777"</definedName>
    <definedName function="false" hidden="true" name="FDD_60_4" vbProcedure="false">"A32142"</definedName>
    <definedName function="false" hidden="true" name="FDD_60_5" vbProcedure="false">"A32508"</definedName>
    <definedName function="false" hidden="true" name="FDD_60_6" vbProcedure="false">"A32873"</definedName>
    <definedName function="false" hidden="true" name="FDD_60_7" vbProcedure="false">"A33238"</definedName>
    <definedName function="false" hidden="true" name="FDD_60_8" vbProcedure="false">"A33603"</definedName>
    <definedName function="false" hidden="true" name="FDD_60_9" vbProcedure="false">"A33969"</definedName>
    <definedName function="false" hidden="true" name="FDD_61_0" vbProcedure="false">"A30681"</definedName>
    <definedName function="false" hidden="true" name="FDD_61_1" vbProcedure="false">"A31047"</definedName>
    <definedName function="false" hidden="true" name="FDD_61_10" vbProcedure="false">"A34334"</definedName>
    <definedName function="false" hidden="true" name="FDD_61_11" vbProcedure="false">"A34699"</definedName>
    <definedName function="false" hidden="true" name="FDD_61_12" vbProcedure="false">"A35064"</definedName>
    <definedName function="false" hidden="true" name="FDD_61_13" vbProcedure="false">"A35430"</definedName>
    <definedName function="false" hidden="true" name="FDD_61_14" vbProcedure="false">"A35795"</definedName>
    <definedName function="false" hidden="true" name="FDD_61_2" vbProcedure="false">"A31412"</definedName>
    <definedName function="false" hidden="true" name="FDD_61_3" vbProcedure="false">"A31777"</definedName>
    <definedName function="false" hidden="true" name="FDD_61_4" vbProcedure="false">"A32142"</definedName>
    <definedName function="false" hidden="true" name="FDD_61_5" vbProcedure="false">"A32508"</definedName>
    <definedName function="false" hidden="true" name="FDD_61_6" vbProcedure="false">"A32873"</definedName>
    <definedName function="false" hidden="true" name="FDD_61_7" vbProcedure="false">"A33238"</definedName>
    <definedName function="false" hidden="true" name="FDD_61_8" vbProcedure="false">"A33603"</definedName>
    <definedName function="false" hidden="true" name="FDD_61_9" vbProcedure="false">"A33969"</definedName>
    <definedName function="false" hidden="true" name="FDD_62_0" vbProcedure="false">"A30681"</definedName>
    <definedName function="false" hidden="true" name="FDD_62_1" vbProcedure="false">"A31047"</definedName>
    <definedName function="false" hidden="true" name="FDD_62_10" vbProcedure="false">"A34334"</definedName>
    <definedName function="false" hidden="true" name="FDD_62_11" vbProcedure="false">"A34699"</definedName>
    <definedName function="false" hidden="true" name="FDD_62_12" vbProcedure="false">"A35064"</definedName>
    <definedName function="false" hidden="true" name="FDD_62_13" vbProcedure="false">"A35430"</definedName>
    <definedName function="false" hidden="true" name="FDD_62_14" vbProcedure="false">"A35795"</definedName>
    <definedName function="false" hidden="true" name="FDD_62_2" vbProcedure="false">"A31412"</definedName>
    <definedName function="false" hidden="true" name="FDD_62_3" vbProcedure="false">"A31777"</definedName>
    <definedName function="false" hidden="true" name="FDD_62_4" vbProcedure="false">"A32142"</definedName>
    <definedName function="false" hidden="true" name="FDD_62_5" vbProcedure="false">"A32508"</definedName>
    <definedName function="false" hidden="true" name="FDD_62_6" vbProcedure="false">"A32873"</definedName>
    <definedName function="false" hidden="true" name="FDD_62_7" vbProcedure="false">"A33238"</definedName>
    <definedName function="false" hidden="true" name="FDD_62_8" vbProcedure="false">"A33603"</definedName>
    <definedName function="false" hidden="true" name="FDD_62_9" vbProcedure="false">"A33969"</definedName>
    <definedName function="false" hidden="true" name="FDD_63_0" vbProcedure="false">"A30681"</definedName>
    <definedName function="false" hidden="true" name="FDD_63_1" vbProcedure="false">"A31047"</definedName>
    <definedName function="false" hidden="true" name="FDD_63_10" vbProcedure="false">"A34334"</definedName>
    <definedName function="false" hidden="true" name="FDD_63_11" vbProcedure="false">"A34699"</definedName>
    <definedName function="false" hidden="true" name="FDD_63_12" vbProcedure="false">"A35064"</definedName>
    <definedName function="false" hidden="true" name="FDD_63_13" vbProcedure="false">"A35430"</definedName>
    <definedName function="false" hidden="true" name="FDD_63_14" vbProcedure="false">"A35795"</definedName>
    <definedName function="false" hidden="true" name="FDD_63_2" vbProcedure="false">"A31412"</definedName>
    <definedName function="false" hidden="true" name="FDD_63_3" vbProcedure="false">"A31777"</definedName>
    <definedName function="false" hidden="true" name="FDD_63_4" vbProcedure="false">"A32142"</definedName>
    <definedName function="false" hidden="true" name="FDD_63_5" vbProcedure="false">"A32508"</definedName>
    <definedName function="false" hidden="true" name="FDD_63_6" vbProcedure="false">"A32873"</definedName>
    <definedName function="false" hidden="true" name="FDD_63_7" vbProcedure="false">"A33238"</definedName>
    <definedName function="false" hidden="true" name="FDD_63_8" vbProcedure="false">"A33603"</definedName>
    <definedName function="false" hidden="true" name="FDD_63_9" vbProcedure="false">"A33969"</definedName>
    <definedName function="false" hidden="true" name="FDD_64_0" vbProcedure="false">"A30681"</definedName>
    <definedName function="false" hidden="true" name="FDD_64_1" vbProcedure="false">"A31047"</definedName>
    <definedName function="false" hidden="true" name="FDD_64_10" vbProcedure="false">"A34334"</definedName>
    <definedName function="false" hidden="true" name="FDD_64_11" vbProcedure="false">"A34699"</definedName>
    <definedName function="false" hidden="true" name="FDD_64_12" vbProcedure="false">"A35064"</definedName>
    <definedName function="false" hidden="true" name="FDD_64_13" vbProcedure="false">"A35430"</definedName>
    <definedName function="false" hidden="true" name="FDD_64_14" vbProcedure="false">"A35795"</definedName>
    <definedName function="false" hidden="true" name="FDD_64_2" vbProcedure="false">"A31412"</definedName>
    <definedName function="false" hidden="true" name="FDD_64_3" vbProcedure="false">"A31777"</definedName>
    <definedName function="false" hidden="true" name="FDD_64_4" vbProcedure="false">"A32142"</definedName>
    <definedName function="false" hidden="true" name="FDD_64_5" vbProcedure="false">"A32508"</definedName>
    <definedName function="false" hidden="true" name="FDD_64_6" vbProcedure="false">"A32873"</definedName>
    <definedName function="false" hidden="true" name="FDD_64_7" vbProcedure="false">"A33238"</definedName>
    <definedName function="false" hidden="true" name="FDD_64_8" vbProcedure="false">"A33603"</definedName>
    <definedName function="false" hidden="true" name="FDD_64_9" vbProcedure="false">"A33969"</definedName>
    <definedName function="false" hidden="true" name="FDD_65_0" vbProcedure="false">"A30681"</definedName>
    <definedName function="false" hidden="true" name="FDD_65_1" vbProcedure="false">"A31047"</definedName>
    <definedName function="false" hidden="true" name="FDD_65_10" vbProcedure="false">"A34334"</definedName>
    <definedName function="false" hidden="true" name="FDD_65_11" vbProcedure="false">"A34699"</definedName>
    <definedName function="false" hidden="true" name="FDD_65_12" vbProcedure="false">"A35064"</definedName>
    <definedName function="false" hidden="true" name="FDD_65_13" vbProcedure="false">"A35430"</definedName>
    <definedName function="false" hidden="true" name="FDD_65_14" vbProcedure="false">"A35795"</definedName>
    <definedName function="false" hidden="true" name="FDD_65_2" vbProcedure="false">"A31412"</definedName>
    <definedName function="false" hidden="true" name="FDD_65_3" vbProcedure="false">"A31777"</definedName>
    <definedName function="false" hidden="true" name="FDD_65_4" vbProcedure="false">"A32142"</definedName>
    <definedName function="false" hidden="true" name="FDD_65_5" vbProcedure="false">"A32508"</definedName>
    <definedName function="false" hidden="true" name="FDD_65_6" vbProcedure="false">"A32873"</definedName>
    <definedName function="false" hidden="true" name="FDD_65_7" vbProcedure="false">"A33238"</definedName>
    <definedName function="false" hidden="true" name="FDD_65_8" vbProcedure="false">"A33603"</definedName>
    <definedName function="false" hidden="true" name="FDD_65_9" vbProcedure="false">"A33969"</definedName>
    <definedName function="false" hidden="true" name="FDD_66_0" vbProcedure="false">"A30681"</definedName>
    <definedName function="false" hidden="true" name="FDD_66_1" vbProcedure="false">"A31047"</definedName>
    <definedName function="false" hidden="true" name="FDD_66_10" vbProcedure="false">"A34334"</definedName>
    <definedName function="false" hidden="true" name="FDD_66_11" vbProcedure="false">"A34699"</definedName>
    <definedName function="false" hidden="true" name="FDD_66_12" vbProcedure="false">"A35064"</definedName>
    <definedName function="false" hidden="true" name="FDD_66_13" vbProcedure="false">"A35430"</definedName>
    <definedName function="false" hidden="true" name="FDD_66_14" vbProcedure="false">"A35795"</definedName>
    <definedName function="false" hidden="true" name="FDD_66_2" vbProcedure="false">"A31412"</definedName>
    <definedName function="false" hidden="true" name="FDD_66_3" vbProcedure="false">"A31777"</definedName>
    <definedName function="false" hidden="true" name="FDD_66_4" vbProcedure="false">"A32142"</definedName>
    <definedName function="false" hidden="true" name="FDD_66_5" vbProcedure="false">"A32508"</definedName>
    <definedName function="false" hidden="true" name="FDD_66_6" vbProcedure="false">"A32873"</definedName>
    <definedName function="false" hidden="true" name="FDD_66_7" vbProcedure="false">"A33238"</definedName>
    <definedName function="false" hidden="true" name="FDD_66_8" vbProcedure="false">"A33603"</definedName>
    <definedName function="false" hidden="true" name="FDD_66_9" vbProcedure="false">"A33969"</definedName>
    <definedName function="false" hidden="true" name="FDD_67_0" vbProcedure="false">"A30681"</definedName>
    <definedName function="false" hidden="true" name="FDD_67_1" vbProcedure="false">"A31047"</definedName>
    <definedName function="false" hidden="true" name="FDD_67_10" vbProcedure="false">"A34334"</definedName>
    <definedName function="false" hidden="true" name="FDD_67_11" vbProcedure="false">"A34699"</definedName>
    <definedName function="false" hidden="true" name="FDD_67_12" vbProcedure="false">"A35064"</definedName>
    <definedName function="false" hidden="true" name="FDD_67_13" vbProcedure="false">"A35430"</definedName>
    <definedName function="false" hidden="true" name="FDD_67_14" vbProcedure="false">"A35795"</definedName>
    <definedName function="false" hidden="true" name="FDD_67_2" vbProcedure="false">"A31412"</definedName>
    <definedName function="false" hidden="true" name="FDD_67_3" vbProcedure="false">"A31777"</definedName>
    <definedName function="false" hidden="true" name="FDD_67_4" vbProcedure="false">"A32142"</definedName>
    <definedName function="false" hidden="true" name="FDD_67_5" vbProcedure="false">"A32508"</definedName>
    <definedName function="false" hidden="true" name="FDD_67_6" vbProcedure="false">"A32873"</definedName>
    <definedName function="false" hidden="true" name="FDD_67_7" vbProcedure="false">"A33238"</definedName>
    <definedName function="false" hidden="true" name="FDD_67_8" vbProcedure="false">"A33603"</definedName>
    <definedName function="false" hidden="true" name="FDD_67_9" vbProcedure="false">"A33969"</definedName>
    <definedName function="false" hidden="true" name="FDD_68_0" vbProcedure="false">"A30681"</definedName>
    <definedName function="false" hidden="true" name="FDD_68_1" vbProcedure="false">"A31047"</definedName>
    <definedName function="false" hidden="true" name="FDD_68_10" vbProcedure="false">"A34334"</definedName>
    <definedName function="false" hidden="true" name="FDD_68_11" vbProcedure="false">"A34699"</definedName>
    <definedName function="false" hidden="true" name="FDD_68_12" vbProcedure="false">"A35064"</definedName>
    <definedName function="false" hidden="true" name="FDD_68_13" vbProcedure="false">"A35430"</definedName>
    <definedName function="false" hidden="true" name="FDD_68_14" vbProcedure="false">"A35795"</definedName>
    <definedName function="false" hidden="true" name="FDD_68_2" vbProcedure="false">"A31412"</definedName>
    <definedName function="false" hidden="true" name="FDD_68_3" vbProcedure="false">"A31777"</definedName>
    <definedName function="false" hidden="true" name="FDD_68_4" vbProcedure="false">"A32142"</definedName>
    <definedName function="false" hidden="true" name="FDD_68_5" vbProcedure="false">"A32508"</definedName>
    <definedName function="false" hidden="true" name="FDD_68_6" vbProcedure="false">"A32873"</definedName>
    <definedName function="false" hidden="true" name="FDD_68_7" vbProcedure="false">"A33238"</definedName>
    <definedName function="false" hidden="true" name="FDD_68_8" vbProcedure="false">"A33603"</definedName>
    <definedName function="false" hidden="true" name="FDD_68_9" vbProcedure="false">"A33969"</definedName>
    <definedName function="false" hidden="true" name="FDD_69_0" vbProcedure="false">"U30681"</definedName>
    <definedName function="false" hidden="true" name="FDD_69_1" vbProcedure="false">"A31047"</definedName>
    <definedName function="false" hidden="true" name="FDD_69_10" vbProcedure="false">"A34334"</definedName>
    <definedName function="false" hidden="true" name="FDD_69_11" vbProcedure="false">"A34699"</definedName>
    <definedName function="false" hidden="true" name="FDD_69_12" vbProcedure="false">"A35064"</definedName>
    <definedName function="false" hidden="true" name="FDD_69_13" vbProcedure="false">"A35430"</definedName>
    <definedName function="false" hidden="true" name="FDD_69_14" vbProcedure="false">"A35795"</definedName>
    <definedName function="false" hidden="true" name="FDD_69_2" vbProcedure="false">"A31412"</definedName>
    <definedName function="false" hidden="true" name="FDD_69_3" vbProcedure="false">"A31777"</definedName>
    <definedName function="false" hidden="true" name="FDD_69_4" vbProcedure="false">"A32142"</definedName>
    <definedName function="false" hidden="true" name="FDD_69_5" vbProcedure="false">"A32508"</definedName>
    <definedName function="false" hidden="true" name="FDD_69_6" vbProcedure="false">"A32873"</definedName>
    <definedName function="false" hidden="true" name="FDD_69_7" vbProcedure="false">"A33238"</definedName>
    <definedName function="false" hidden="true" name="FDD_69_8" vbProcedure="false">"A33603"</definedName>
    <definedName function="false" hidden="true" name="FDD_69_9" vbProcedure="false">"A33969"</definedName>
    <definedName function="false" hidden="true" name="FDD_6_0" vbProcedure="false">"A25569"</definedName>
    <definedName function="false" hidden="true" name="FDD_6_1" vbProcedure="false">"A35795"</definedName>
    <definedName function="false" hidden="true" name="FDD_6_2" vbProcedure="false">"E36160"</definedName>
    <definedName function="false" hidden="true" name="FDD_6_3" vbProcedure="false">"E36525"</definedName>
    <definedName function="false" hidden="true" name="FDD_70_0" vbProcedure="false">"A30681"</definedName>
    <definedName function="false" hidden="true" name="FDD_70_1" vbProcedure="false">"A31047"</definedName>
    <definedName function="false" hidden="true" name="FDD_70_10" vbProcedure="false">"A34334"</definedName>
    <definedName function="false" hidden="true" name="FDD_70_11" vbProcedure="false">"A34699"</definedName>
    <definedName function="false" hidden="true" name="FDD_70_12" vbProcedure="false">"A35064"</definedName>
    <definedName function="false" hidden="true" name="FDD_70_13" vbProcedure="false">"A35430"</definedName>
    <definedName function="false" hidden="true" name="FDD_70_14" vbProcedure="false">"A35795"</definedName>
    <definedName function="false" hidden="true" name="FDD_70_2" vbProcedure="false">"A31412"</definedName>
    <definedName function="false" hidden="true" name="FDD_70_3" vbProcedure="false">"A31777"</definedName>
    <definedName function="false" hidden="true" name="FDD_70_4" vbProcedure="false">"A32142"</definedName>
    <definedName function="false" hidden="true" name="FDD_70_5" vbProcedure="false">"A32508"</definedName>
    <definedName function="false" hidden="true" name="FDD_70_6" vbProcedure="false">"A32873"</definedName>
    <definedName function="false" hidden="true" name="FDD_70_7" vbProcedure="false">"A33238"</definedName>
    <definedName function="false" hidden="true" name="FDD_70_8" vbProcedure="false">"A33603"</definedName>
    <definedName function="false" hidden="true" name="FDD_70_9" vbProcedure="false">"A33969"</definedName>
    <definedName function="false" hidden="true" name="FDD_71_0" vbProcedure="false">"A30681"</definedName>
    <definedName function="false" hidden="true" name="FDD_71_1" vbProcedure="false">"A31047"</definedName>
    <definedName function="false" hidden="true" name="FDD_71_10" vbProcedure="false">"A34334"</definedName>
    <definedName function="false" hidden="true" name="FDD_71_11" vbProcedure="false">"A34699"</definedName>
    <definedName function="false" hidden="true" name="FDD_71_12" vbProcedure="false">"A35064"</definedName>
    <definedName function="false" hidden="true" name="FDD_71_13" vbProcedure="false">"A35430"</definedName>
    <definedName function="false" hidden="true" name="FDD_71_14" vbProcedure="false">"A35795"</definedName>
    <definedName function="false" hidden="true" name="FDD_71_2" vbProcedure="false">"A31412"</definedName>
    <definedName function="false" hidden="true" name="FDD_71_3" vbProcedure="false">"A31777"</definedName>
    <definedName function="false" hidden="true" name="FDD_71_4" vbProcedure="false">"A32142"</definedName>
    <definedName function="false" hidden="true" name="FDD_71_5" vbProcedure="false">"A32508"</definedName>
    <definedName function="false" hidden="true" name="FDD_71_6" vbProcedure="false">"A32873"</definedName>
    <definedName function="false" hidden="true" name="FDD_71_7" vbProcedure="false">"A33238"</definedName>
    <definedName function="false" hidden="true" name="FDD_71_8" vbProcedure="false">"A33603"</definedName>
    <definedName function="false" hidden="true" name="FDD_71_9" vbProcedure="false">"A33969"</definedName>
    <definedName function="false" hidden="true" name="FDD_72_0" vbProcedure="false">"A30681"</definedName>
    <definedName function="false" hidden="true" name="FDD_72_1" vbProcedure="false">"A31047"</definedName>
    <definedName function="false" hidden="true" name="FDD_72_10" vbProcedure="false">"A34334"</definedName>
    <definedName function="false" hidden="true" name="FDD_72_11" vbProcedure="false">"A34699"</definedName>
    <definedName function="false" hidden="true" name="FDD_72_12" vbProcedure="false">"A35064"</definedName>
    <definedName function="false" hidden="true" name="FDD_72_13" vbProcedure="false">"A35430"</definedName>
    <definedName function="false" hidden="true" name="FDD_72_14" vbProcedure="false">"A35795"</definedName>
    <definedName function="false" hidden="true" name="FDD_72_2" vbProcedure="false">"A31412"</definedName>
    <definedName function="false" hidden="true" name="FDD_72_3" vbProcedure="false">"A31777"</definedName>
    <definedName function="false" hidden="true" name="FDD_72_4" vbProcedure="false">"A32142"</definedName>
    <definedName function="false" hidden="true" name="FDD_72_5" vbProcedure="false">"A32508"</definedName>
    <definedName function="false" hidden="true" name="FDD_72_6" vbProcedure="false">"A32873"</definedName>
    <definedName function="false" hidden="true" name="FDD_72_7" vbProcedure="false">"A33238"</definedName>
    <definedName function="false" hidden="true" name="FDD_72_8" vbProcedure="false">"A33603"</definedName>
    <definedName function="false" hidden="true" name="FDD_72_9" vbProcedure="false">"A33969"</definedName>
    <definedName function="false" hidden="true" name="FDD_73_0" vbProcedure="false">"A30681"</definedName>
    <definedName function="false" hidden="true" name="FDD_73_1" vbProcedure="false">"A31047"</definedName>
    <definedName function="false" hidden="true" name="FDD_73_10" vbProcedure="false">"A34334"</definedName>
    <definedName function="false" hidden="true" name="FDD_73_11" vbProcedure="false">"A34699"</definedName>
    <definedName function="false" hidden="true" name="FDD_73_12" vbProcedure="false">"A35064"</definedName>
    <definedName function="false" hidden="true" name="FDD_73_13" vbProcedure="false">"A35430"</definedName>
    <definedName function="false" hidden="true" name="FDD_73_14" vbProcedure="false">"A35795"</definedName>
    <definedName function="false" hidden="true" name="FDD_73_2" vbProcedure="false">"A31412"</definedName>
    <definedName function="false" hidden="true" name="FDD_73_3" vbProcedure="false">"A31777"</definedName>
    <definedName function="false" hidden="true" name="FDD_73_4" vbProcedure="false">"A32142"</definedName>
    <definedName function="false" hidden="true" name="FDD_73_5" vbProcedure="false">"A32508"</definedName>
    <definedName function="false" hidden="true" name="FDD_73_6" vbProcedure="false">"A32873"</definedName>
    <definedName function="false" hidden="true" name="FDD_73_7" vbProcedure="false">"A33238"</definedName>
    <definedName function="false" hidden="true" name="FDD_73_8" vbProcedure="false">"A33603"</definedName>
    <definedName function="false" hidden="true" name="FDD_73_9" vbProcedure="false">"A33969"</definedName>
    <definedName function="false" hidden="true" name="FDD_74_0" vbProcedure="false">"A30681"</definedName>
    <definedName function="false" hidden="true" name="FDD_74_1" vbProcedure="false">"A31047"</definedName>
    <definedName function="false" hidden="true" name="FDD_74_10" vbProcedure="false">"A34334"</definedName>
    <definedName function="false" hidden="true" name="FDD_74_11" vbProcedure="false">"A34699"</definedName>
    <definedName function="false" hidden="true" name="FDD_74_12" vbProcedure="false">"A35064"</definedName>
    <definedName function="false" hidden="true" name="FDD_74_13" vbProcedure="false">"A35430"</definedName>
    <definedName function="false" hidden="true" name="FDD_74_14" vbProcedure="false">"A35795"</definedName>
    <definedName function="false" hidden="true" name="FDD_74_2" vbProcedure="false">"A31412"</definedName>
    <definedName function="false" hidden="true" name="FDD_74_3" vbProcedure="false">"A31777"</definedName>
    <definedName function="false" hidden="true" name="FDD_74_4" vbProcedure="false">"A32142"</definedName>
    <definedName function="false" hidden="true" name="FDD_74_5" vbProcedure="false">"A32508"</definedName>
    <definedName function="false" hidden="true" name="FDD_74_6" vbProcedure="false">"A32873"</definedName>
    <definedName function="false" hidden="true" name="FDD_74_7" vbProcedure="false">"A33238"</definedName>
    <definedName function="false" hidden="true" name="FDD_74_8" vbProcedure="false">"A33603"</definedName>
    <definedName function="false" hidden="true" name="FDD_74_9" vbProcedure="false">"A33969"</definedName>
    <definedName function="false" hidden="true" name="FDD_75_0" vbProcedure="false">"A30681"</definedName>
    <definedName function="false" hidden="true" name="FDD_75_1" vbProcedure="false">"A31047"</definedName>
    <definedName function="false" hidden="true" name="FDD_75_10" vbProcedure="false">"A34334"</definedName>
    <definedName function="false" hidden="true" name="FDD_75_11" vbProcedure="false">"A34699"</definedName>
    <definedName function="false" hidden="true" name="FDD_75_12" vbProcedure="false">"A35064"</definedName>
    <definedName function="false" hidden="true" name="FDD_75_13" vbProcedure="false">"A35430"</definedName>
    <definedName function="false" hidden="true" name="FDD_75_14" vbProcedure="false">"A35795"</definedName>
    <definedName function="false" hidden="true" name="FDD_75_2" vbProcedure="false">"A31412"</definedName>
    <definedName function="false" hidden="true" name="FDD_75_3" vbProcedure="false">"A31777"</definedName>
    <definedName function="false" hidden="true" name="FDD_75_4" vbProcedure="false">"A32142"</definedName>
    <definedName function="false" hidden="true" name="FDD_75_5" vbProcedure="false">"A32508"</definedName>
    <definedName function="false" hidden="true" name="FDD_75_6" vbProcedure="false">"A32873"</definedName>
    <definedName function="false" hidden="true" name="FDD_75_7" vbProcedure="false">"A33238"</definedName>
    <definedName function="false" hidden="true" name="FDD_75_8" vbProcedure="false">"A33603"</definedName>
    <definedName function="false" hidden="true" name="FDD_75_9" vbProcedure="false">"A33969"</definedName>
    <definedName function="false" hidden="true" name="FDD_76_0" vbProcedure="false">"A30681"</definedName>
    <definedName function="false" hidden="true" name="FDD_76_1" vbProcedure="false">"A31047"</definedName>
    <definedName function="false" hidden="true" name="FDD_76_10" vbProcedure="false">"A34334"</definedName>
    <definedName function="false" hidden="true" name="FDD_76_11" vbProcedure="false">"A34699"</definedName>
    <definedName function="false" hidden="true" name="FDD_76_12" vbProcedure="false">"A35064"</definedName>
    <definedName function="false" hidden="true" name="FDD_76_13" vbProcedure="false">"A35430"</definedName>
    <definedName function="false" hidden="true" name="FDD_76_14" vbProcedure="false">"A35795"</definedName>
    <definedName function="false" hidden="true" name="FDD_76_2" vbProcedure="false">"A31412"</definedName>
    <definedName function="false" hidden="true" name="FDD_76_3" vbProcedure="false">"A31777"</definedName>
    <definedName function="false" hidden="true" name="FDD_76_4" vbProcedure="false">"A32142"</definedName>
    <definedName function="false" hidden="true" name="FDD_76_5" vbProcedure="false">"A32508"</definedName>
    <definedName function="false" hidden="true" name="FDD_76_6" vbProcedure="false">"A32873"</definedName>
    <definedName function="false" hidden="true" name="FDD_76_7" vbProcedure="false">"A33238"</definedName>
    <definedName function="false" hidden="true" name="FDD_76_8" vbProcedure="false">"A33603"</definedName>
    <definedName function="false" hidden="true" name="FDD_76_9" vbProcedure="false">"A33969"</definedName>
    <definedName function="false" hidden="true" name="FDD_77_0" vbProcedure="false">"A30681"</definedName>
    <definedName function="false" hidden="true" name="FDD_77_1" vbProcedure="false">"A31047"</definedName>
    <definedName function="false" hidden="true" name="FDD_77_10" vbProcedure="false">"A34334"</definedName>
    <definedName function="false" hidden="true" name="FDD_77_11" vbProcedure="false">"A34699"</definedName>
    <definedName function="false" hidden="true" name="FDD_77_12" vbProcedure="false">"A35064"</definedName>
    <definedName function="false" hidden="true" name="FDD_77_13" vbProcedure="false">"A35430"</definedName>
    <definedName function="false" hidden="true" name="FDD_77_14" vbProcedure="false">"A35795"</definedName>
    <definedName function="false" hidden="true" name="FDD_77_2" vbProcedure="false">"A31412"</definedName>
    <definedName function="false" hidden="true" name="FDD_77_3" vbProcedure="false">"A31777"</definedName>
    <definedName function="false" hidden="true" name="FDD_77_4" vbProcedure="false">"A32142"</definedName>
    <definedName function="false" hidden="true" name="FDD_77_5" vbProcedure="false">"A32508"</definedName>
    <definedName function="false" hidden="true" name="FDD_77_6" vbProcedure="false">"A32873"</definedName>
    <definedName function="false" hidden="true" name="FDD_77_7" vbProcedure="false">"A33238"</definedName>
    <definedName function="false" hidden="true" name="FDD_77_8" vbProcedure="false">"A33603"</definedName>
    <definedName function="false" hidden="true" name="FDD_77_9" vbProcedure="false">"A33969"</definedName>
    <definedName function="false" hidden="true" name="FDD_78_0" vbProcedure="false">"A30681"</definedName>
    <definedName function="false" hidden="true" name="FDD_78_1" vbProcedure="false">"A31047"</definedName>
    <definedName function="false" hidden="true" name="FDD_78_10" vbProcedure="false">"A34334"</definedName>
    <definedName function="false" hidden="true" name="FDD_78_11" vbProcedure="false">"A34699"</definedName>
    <definedName function="false" hidden="true" name="FDD_78_12" vbProcedure="false">"A35064"</definedName>
    <definedName function="false" hidden="true" name="FDD_78_13" vbProcedure="false">"A35430"</definedName>
    <definedName function="false" hidden="true" name="FDD_78_14" vbProcedure="false">"A35795"</definedName>
    <definedName function="false" hidden="true" name="FDD_78_2" vbProcedure="false">"A31412"</definedName>
    <definedName function="false" hidden="true" name="FDD_78_3" vbProcedure="false">"A31777"</definedName>
    <definedName function="false" hidden="true" name="FDD_78_4" vbProcedure="false">"A32142"</definedName>
    <definedName function="false" hidden="true" name="FDD_78_5" vbProcedure="false">"A32508"</definedName>
    <definedName function="false" hidden="true" name="FDD_78_6" vbProcedure="false">"A32873"</definedName>
    <definedName function="false" hidden="true" name="FDD_78_7" vbProcedure="false">"A33238"</definedName>
    <definedName function="false" hidden="true" name="FDD_78_8" vbProcedure="false">"A33603"</definedName>
    <definedName function="false" hidden="true" name="FDD_78_9" vbProcedure="false">"A33969"</definedName>
    <definedName function="false" hidden="true" name="FDD_79_0" vbProcedure="false">"A30681"</definedName>
    <definedName function="false" hidden="true" name="FDD_79_1" vbProcedure="false">"A31047"</definedName>
    <definedName function="false" hidden="true" name="FDD_79_10" vbProcedure="false">"A34334"</definedName>
    <definedName function="false" hidden="true" name="FDD_79_11" vbProcedure="false">"A34699"</definedName>
    <definedName function="false" hidden="true" name="FDD_79_12" vbProcedure="false">"A35064"</definedName>
    <definedName function="false" hidden="true" name="FDD_79_13" vbProcedure="false">"A35430"</definedName>
    <definedName function="false" hidden="true" name="FDD_79_14" vbProcedure="false">"A35795"</definedName>
    <definedName function="false" hidden="true" name="FDD_79_2" vbProcedure="false">"A31412"</definedName>
    <definedName function="false" hidden="true" name="FDD_79_3" vbProcedure="false">"A31777"</definedName>
    <definedName function="false" hidden="true" name="FDD_79_4" vbProcedure="false">"A32142"</definedName>
    <definedName function="false" hidden="true" name="FDD_79_5" vbProcedure="false">"A32508"</definedName>
    <definedName function="false" hidden="true" name="FDD_79_6" vbProcedure="false">"A32873"</definedName>
    <definedName function="false" hidden="true" name="FDD_79_7" vbProcedure="false">"A33238"</definedName>
    <definedName function="false" hidden="true" name="FDD_79_8" vbProcedure="false">"A33603"</definedName>
    <definedName function="false" hidden="true" name="FDD_79_9" vbProcedure="false">"A33969"</definedName>
    <definedName function="false" hidden="true" name="FDD_7_0" vbProcedure="false">"A25569"</definedName>
    <definedName function="false" hidden="true" name="FDD_7_1" vbProcedure="false">"E35795"</definedName>
    <definedName function="false" hidden="true" name="FDD_7_2" vbProcedure="false">"E36160"</definedName>
    <definedName function="false" hidden="true" name="FDD_7_3" vbProcedure="false">"E36525"</definedName>
    <definedName function="false" hidden="true" name="FDD_80_0" vbProcedure="false">"A30681"</definedName>
    <definedName function="false" hidden="true" name="FDD_80_1" vbProcedure="false">"A31047"</definedName>
    <definedName function="false" hidden="true" name="FDD_80_10" vbProcedure="false">"A34334"</definedName>
    <definedName function="false" hidden="true" name="FDD_80_11" vbProcedure="false">"A34699"</definedName>
    <definedName function="false" hidden="true" name="FDD_80_12" vbProcedure="false">"A35064"</definedName>
    <definedName function="false" hidden="true" name="FDD_80_13" vbProcedure="false">"A35430"</definedName>
    <definedName function="false" hidden="true" name="FDD_80_14" vbProcedure="false">"A35795"</definedName>
    <definedName function="false" hidden="true" name="FDD_80_2" vbProcedure="false">"A31412"</definedName>
    <definedName function="false" hidden="true" name="FDD_80_3" vbProcedure="false">"A31777"</definedName>
    <definedName function="false" hidden="true" name="FDD_80_4" vbProcedure="false">"A32142"</definedName>
    <definedName function="false" hidden="true" name="FDD_80_5" vbProcedure="false">"A32508"</definedName>
    <definedName function="false" hidden="true" name="FDD_80_6" vbProcedure="false">"A32873"</definedName>
    <definedName function="false" hidden="true" name="FDD_80_7" vbProcedure="false">"A33238"</definedName>
    <definedName function="false" hidden="true" name="FDD_80_8" vbProcedure="false">"A33603"</definedName>
    <definedName function="false" hidden="true" name="FDD_80_9" vbProcedure="false">"A33969"</definedName>
    <definedName function="false" hidden="true" name="FDD_81_0" vbProcedure="false">"A30681"</definedName>
    <definedName function="false" hidden="true" name="FDD_81_1" vbProcedure="false">"A31047"</definedName>
    <definedName function="false" hidden="true" name="FDD_81_10" vbProcedure="false">"A34334"</definedName>
    <definedName function="false" hidden="true" name="FDD_81_11" vbProcedure="false">"A34699"</definedName>
    <definedName function="false" hidden="true" name="FDD_81_12" vbProcedure="false">"A35064"</definedName>
    <definedName function="false" hidden="true" name="FDD_81_13" vbProcedure="false">"A35430"</definedName>
    <definedName function="false" hidden="true" name="FDD_81_14" vbProcedure="false">"A35795"</definedName>
    <definedName function="false" hidden="true" name="FDD_81_2" vbProcedure="false">"A31412"</definedName>
    <definedName function="false" hidden="true" name="FDD_81_3" vbProcedure="false">"A31777"</definedName>
    <definedName function="false" hidden="true" name="FDD_81_4" vbProcedure="false">"A32142"</definedName>
    <definedName function="false" hidden="true" name="FDD_81_5" vbProcedure="false">"A32508"</definedName>
    <definedName function="false" hidden="true" name="FDD_81_6" vbProcedure="false">"A32873"</definedName>
    <definedName function="false" hidden="true" name="FDD_81_7" vbProcedure="false">"A33238"</definedName>
    <definedName function="false" hidden="true" name="FDD_81_8" vbProcedure="false">"A33603"</definedName>
    <definedName function="false" hidden="true" name="FDD_81_9" vbProcedure="false">"A33969"</definedName>
    <definedName function="false" hidden="true" name="FDD_82_0" vbProcedure="false">"A30681"</definedName>
    <definedName function="false" hidden="true" name="FDD_82_1" vbProcedure="false">"A31047"</definedName>
    <definedName function="false" hidden="true" name="FDD_82_10" vbProcedure="false">"A34334"</definedName>
    <definedName function="false" hidden="true" name="FDD_82_11" vbProcedure="false">"A34699"</definedName>
    <definedName function="false" hidden="true" name="FDD_82_12" vbProcedure="false">"A35064"</definedName>
    <definedName function="false" hidden="true" name="FDD_82_13" vbProcedure="false">"A35430"</definedName>
    <definedName function="false" hidden="true" name="FDD_82_14" vbProcedure="false">"A35795"</definedName>
    <definedName function="false" hidden="true" name="FDD_82_2" vbProcedure="false">"A31412"</definedName>
    <definedName function="false" hidden="true" name="FDD_82_3" vbProcedure="false">"A31777"</definedName>
    <definedName function="false" hidden="true" name="FDD_82_4" vbProcedure="false">"A32142"</definedName>
    <definedName function="false" hidden="true" name="FDD_82_5" vbProcedure="false">"A32508"</definedName>
    <definedName function="false" hidden="true" name="FDD_82_6" vbProcedure="false">"A32873"</definedName>
    <definedName function="false" hidden="true" name="FDD_82_7" vbProcedure="false">"A33238"</definedName>
    <definedName function="false" hidden="true" name="FDD_82_8" vbProcedure="false">"A33603"</definedName>
    <definedName function="false" hidden="true" name="FDD_82_9" vbProcedure="false">"A33969"</definedName>
    <definedName function="false" hidden="true" name="FDD_83_0" vbProcedure="false">"A30681"</definedName>
    <definedName function="false" hidden="true" name="FDD_83_1" vbProcedure="false">"A31047"</definedName>
    <definedName function="false" hidden="true" name="FDD_83_10" vbProcedure="false">"A34334"</definedName>
    <definedName function="false" hidden="true" name="FDD_83_11" vbProcedure="false">"A34699"</definedName>
    <definedName function="false" hidden="true" name="FDD_83_12" vbProcedure="false">"A35064"</definedName>
    <definedName function="false" hidden="true" name="FDD_83_13" vbProcedure="false">"A35430"</definedName>
    <definedName function="false" hidden="true" name="FDD_83_14" vbProcedure="false">"A35795"</definedName>
    <definedName function="false" hidden="true" name="FDD_83_2" vbProcedure="false">"A31412"</definedName>
    <definedName function="false" hidden="true" name="FDD_83_3" vbProcedure="false">"A31777"</definedName>
    <definedName function="false" hidden="true" name="FDD_83_4" vbProcedure="false">"A32142"</definedName>
    <definedName function="false" hidden="true" name="FDD_83_5" vbProcedure="false">"A32508"</definedName>
    <definedName function="false" hidden="true" name="FDD_83_6" vbProcedure="false">"A32873"</definedName>
    <definedName function="false" hidden="true" name="FDD_83_7" vbProcedure="false">"A33238"</definedName>
    <definedName function="false" hidden="true" name="FDD_83_8" vbProcedure="false">"A33603"</definedName>
    <definedName function="false" hidden="true" name="FDD_83_9" vbProcedure="false">"A33969"</definedName>
    <definedName function="false" hidden="true" name="FDD_84_0" vbProcedure="false">"A30681"</definedName>
    <definedName function="false" hidden="true" name="FDD_84_1" vbProcedure="false">"A31047"</definedName>
    <definedName function="false" hidden="true" name="FDD_84_10" vbProcedure="false">"A34334"</definedName>
    <definedName function="false" hidden="true" name="FDD_84_11" vbProcedure="false">"A34699"</definedName>
    <definedName function="false" hidden="true" name="FDD_84_12" vbProcedure="false">"A35064"</definedName>
    <definedName function="false" hidden="true" name="FDD_84_13" vbProcedure="false">"A35430"</definedName>
    <definedName function="false" hidden="true" name="FDD_84_14" vbProcedure="false">"A35795"</definedName>
    <definedName function="false" hidden="true" name="FDD_84_2" vbProcedure="false">"A31412"</definedName>
    <definedName function="false" hidden="true" name="FDD_84_3" vbProcedure="false">"A31777"</definedName>
    <definedName function="false" hidden="true" name="FDD_84_4" vbProcedure="false">"A32142"</definedName>
    <definedName function="false" hidden="true" name="FDD_84_5" vbProcedure="false">"A32508"</definedName>
    <definedName function="false" hidden="true" name="FDD_84_6" vbProcedure="false">"A32873"</definedName>
    <definedName function="false" hidden="true" name="FDD_84_7" vbProcedure="false">"A33238"</definedName>
    <definedName function="false" hidden="true" name="FDD_84_8" vbProcedure="false">"A33603"</definedName>
    <definedName function="false" hidden="true" name="FDD_84_9" vbProcedure="false">"A33969"</definedName>
    <definedName function="false" hidden="true" name="FDD_85_0" vbProcedure="false">"A30681"</definedName>
    <definedName function="false" hidden="true" name="FDD_85_1" vbProcedure="false">"A31047"</definedName>
    <definedName function="false" hidden="true" name="FDD_85_10" vbProcedure="false">"A34334"</definedName>
    <definedName function="false" hidden="true" name="FDD_85_11" vbProcedure="false">"A34699"</definedName>
    <definedName function="false" hidden="true" name="FDD_85_12" vbProcedure="false">"A35064"</definedName>
    <definedName function="false" hidden="true" name="FDD_85_13" vbProcedure="false">"A35430"</definedName>
    <definedName function="false" hidden="true" name="FDD_85_14" vbProcedure="false">"A35795"</definedName>
    <definedName function="false" hidden="true" name="FDD_85_2" vbProcedure="false">"A31412"</definedName>
    <definedName function="false" hidden="true" name="FDD_85_3" vbProcedure="false">"A31777"</definedName>
    <definedName function="false" hidden="true" name="FDD_85_4" vbProcedure="false">"A32142"</definedName>
    <definedName function="false" hidden="true" name="FDD_85_5" vbProcedure="false">"A32508"</definedName>
    <definedName function="false" hidden="true" name="FDD_85_6" vbProcedure="false">"A32873"</definedName>
    <definedName function="false" hidden="true" name="FDD_85_7" vbProcedure="false">"A33238"</definedName>
    <definedName function="false" hidden="true" name="FDD_85_8" vbProcedure="false">"A33603"</definedName>
    <definedName function="false" hidden="true" name="FDD_85_9" vbProcedure="false">"A33969"</definedName>
    <definedName function="false" hidden="true" name="FDD_86_0" vbProcedure="false">"A30681"</definedName>
    <definedName function="false" hidden="true" name="FDD_86_1" vbProcedure="false">"A31047"</definedName>
    <definedName function="false" hidden="true" name="FDD_86_10" vbProcedure="false">"A34334"</definedName>
    <definedName function="false" hidden="true" name="FDD_86_11" vbProcedure="false">"A34699"</definedName>
    <definedName function="false" hidden="true" name="FDD_86_12" vbProcedure="false">"A35064"</definedName>
    <definedName function="false" hidden="true" name="FDD_86_13" vbProcedure="false">"A35430"</definedName>
    <definedName function="false" hidden="true" name="FDD_86_14" vbProcedure="false">"A35795"</definedName>
    <definedName function="false" hidden="true" name="FDD_86_2" vbProcedure="false">"A31412"</definedName>
    <definedName function="false" hidden="true" name="FDD_86_3" vbProcedure="false">"A31777"</definedName>
    <definedName function="false" hidden="true" name="FDD_86_4" vbProcedure="false">"A32142"</definedName>
    <definedName function="false" hidden="true" name="FDD_86_5" vbProcedure="false">"A32508"</definedName>
    <definedName function="false" hidden="true" name="FDD_86_6" vbProcedure="false">"A32873"</definedName>
    <definedName function="false" hidden="true" name="FDD_86_7" vbProcedure="false">"A33238"</definedName>
    <definedName function="false" hidden="true" name="FDD_86_8" vbProcedure="false">"A33603"</definedName>
    <definedName function="false" hidden="true" name="FDD_86_9" vbProcedure="false">"A33969"</definedName>
    <definedName function="false" hidden="true" name="FDD_87_0" vbProcedure="false">"A30681"</definedName>
    <definedName function="false" hidden="true" name="FDD_87_1" vbProcedure="false">"A31047"</definedName>
    <definedName function="false" hidden="true" name="FDD_87_10" vbProcedure="false">"A34334"</definedName>
    <definedName function="false" hidden="true" name="FDD_87_11" vbProcedure="false">"A34699"</definedName>
    <definedName function="false" hidden="true" name="FDD_87_12" vbProcedure="false">"A35064"</definedName>
    <definedName function="false" hidden="true" name="FDD_87_13" vbProcedure="false">"A35430"</definedName>
    <definedName function="false" hidden="true" name="FDD_87_14" vbProcedure="false">"A35795"</definedName>
    <definedName function="false" hidden="true" name="FDD_87_2" vbProcedure="false">"A31412"</definedName>
    <definedName function="false" hidden="true" name="FDD_87_3" vbProcedure="false">"A31777"</definedName>
    <definedName function="false" hidden="true" name="FDD_87_4" vbProcedure="false">"A32142"</definedName>
    <definedName function="false" hidden="true" name="FDD_87_5" vbProcedure="false">"A32508"</definedName>
    <definedName function="false" hidden="true" name="FDD_87_6" vbProcedure="false">"A32873"</definedName>
    <definedName function="false" hidden="true" name="FDD_87_7" vbProcedure="false">"A33238"</definedName>
    <definedName function="false" hidden="true" name="FDD_87_8" vbProcedure="false">"A33603"</definedName>
    <definedName function="false" hidden="true" name="FDD_87_9" vbProcedure="false">"A33969"</definedName>
    <definedName function="false" hidden="true" name="FDD_88_0" vbProcedure="false">"A30681"</definedName>
    <definedName function="false" hidden="true" name="FDD_88_1" vbProcedure="false">"A31047"</definedName>
    <definedName function="false" hidden="true" name="FDD_88_10" vbProcedure="false">"A34334"</definedName>
    <definedName function="false" hidden="true" name="FDD_88_11" vbProcedure="false">"A34699"</definedName>
    <definedName function="false" hidden="true" name="FDD_88_12" vbProcedure="false">"A35064"</definedName>
    <definedName function="false" hidden="true" name="FDD_88_13" vbProcedure="false">"A35430"</definedName>
    <definedName function="false" hidden="true" name="FDD_88_14" vbProcedure="false">"A35795"</definedName>
    <definedName function="false" hidden="true" name="FDD_88_2" vbProcedure="false">"A31412"</definedName>
    <definedName function="false" hidden="true" name="FDD_88_3" vbProcedure="false">"A31777"</definedName>
    <definedName function="false" hidden="true" name="FDD_88_4" vbProcedure="false">"A32142"</definedName>
    <definedName function="false" hidden="true" name="FDD_88_5" vbProcedure="false">"A32508"</definedName>
    <definedName function="false" hidden="true" name="FDD_88_6" vbProcedure="false">"A32873"</definedName>
    <definedName function="false" hidden="true" name="FDD_88_7" vbProcedure="false">"A33238"</definedName>
    <definedName function="false" hidden="true" name="FDD_88_8" vbProcedure="false">"A33603"</definedName>
    <definedName function="false" hidden="true" name="FDD_88_9" vbProcedure="false">"A33969"</definedName>
    <definedName function="false" hidden="true" name="FDD_89_0" vbProcedure="false">"A30681"</definedName>
    <definedName function="false" hidden="true" name="FDD_89_1" vbProcedure="false">"A31047"</definedName>
    <definedName function="false" hidden="true" name="FDD_89_10" vbProcedure="false">"A34334"</definedName>
    <definedName function="false" hidden="true" name="FDD_89_11" vbProcedure="false">"A34699"</definedName>
    <definedName function="false" hidden="true" name="FDD_89_12" vbProcedure="false">"A35064"</definedName>
    <definedName function="false" hidden="true" name="FDD_89_13" vbProcedure="false">"A35430"</definedName>
    <definedName function="false" hidden="true" name="FDD_89_14" vbProcedure="false">"A35795"</definedName>
    <definedName function="false" hidden="true" name="FDD_89_2" vbProcedure="false">"A31412"</definedName>
    <definedName function="false" hidden="true" name="FDD_89_3" vbProcedure="false">"A31777"</definedName>
    <definedName function="false" hidden="true" name="FDD_89_4" vbProcedure="false">"A32142"</definedName>
    <definedName function="false" hidden="true" name="FDD_89_5" vbProcedure="false">"A32508"</definedName>
    <definedName function="false" hidden="true" name="FDD_89_6" vbProcedure="false">"A32873"</definedName>
    <definedName function="false" hidden="true" name="FDD_89_7" vbProcedure="false">"A33238"</definedName>
    <definedName function="false" hidden="true" name="FDD_89_8" vbProcedure="false">"A33603"</definedName>
    <definedName function="false" hidden="true" name="FDD_89_9" vbProcedure="false">"A33969"</definedName>
    <definedName function="false" hidden="true" name="FDD_8_0" vbProcedure="false">"A25569"</definedName>
    <definedName function="false" hidden="true" name="FDD_8_1" vbProcedure="false">"E35795"</definedName>
    <definedName function="false" hidden="true" name="FDD_8_2" vbProcedure="false">"E36160"</definedName>
    <definedName function="false" hidden="true" name="FDD_8_3" vbProcedure="false">"E36525"</definedName>
    <definedName function="false" hidden="true" name="FDD_90_0" vbProcedure="false">"A30681"</definedName>
    <definedName function="false" hidden="true" name="FDD_90_1" vbProcedure="false">"A31047"</definedName>
    <definedName function="false" hidden="true" name="FDD_90_10" vbProcedure="false">"A34334"</definedName>
    <definedName function="false" hidden="true" name="FDD_90_11" vbProcedure="false">"A34699"</definedName>
    <definedName function="false" hidden="true" name="FDD_90_12" vbProcedure="false">"A35064"</definedName>
    <definedName function="false" hidden="true" name="FDD_90_13" vbProcedure="false">"A35430"</definedName>
    <definedName function="false" hidden="true" name="FDD_90_14" vbProcedure="false">"A35795"</definedName>
    <definedName function="false" hidden="true" name="FDD_90_2" vbProcedure="false">"A31412"</definedName>
    <definedName function="false" hidden="true" name="FDD_90_3" vbProcedure="false">"A31777"</definedName>
    <definedName function="false" hidden="true" name="FDD_90_4" vbProcedure="false">"A32142"</definedName>
    <definedName function="false" hidden="true" name="FDD_90_5" vbProcedure="false">"A32508"</definedName>
    <definedName function="false" hidden="true" name="FDD_90_6" vbProcedure="false">"A32873"</definedName>
    <definedName function="false" hidden="true" name="FDD_90_7" vbProcedure="false">"A33238"</definedName>
    <definedName function="false" hidden="true" name="FDD_90_8" vbProcedure="false">"A33603"</definedName>
    <definedName function="false" hidden="true" name="FDD_90_9" vbProcedure="false">"A33969"</definedName>
    <definedName function="false" hidden="true" name="FDD_91_0" vbProcedure="false">"A30681"</definedName>
    <definedName function="false" hidden="true" name="FDD_91_1" vbProcedure="false">"A31047"</definedName>
    <definedName function="false" hidden="true" name="FDD_91_10" vbProcedure="false">"A34334"</definedName>
    <definedName function="false" hidden="true" name="FDD_91_11" vbProcedure="false">"A34699"</definedName>
    <definedName function="false" hidden="true" name="FDD_91_12" vbProcedure="false">"A35064"</definedName>
    <definedName function="false" hidden="true" name="FDD_91_13" vbProcedure="false">"A35430"</definedName>
    <definedName function="false" hidden="true" name="FDD_91_14" vbProcedure="false">"A35795"</definedName>
    <definedName function="false" hidden="true" name="FDD_91_2" vbProcedure="false">"A31412"</definedName>
    <definedName function="false" hidden="true" name="FDD_91_3" vbProcedure="false">"A31777"</definedName>
    <definedName function="false" hidden="true" name="FDD_91_4" vbProcedure="false">"A32142"</definedName>
    <definedName function="false" hidden="true" name="FDD_91_5" vbProcedure="false">"A32508"</definedName>
    <definedName function="false" hidden="true" name="FDD_91_6" vbProcedure="false">"A32873"</definedName>
    <definedName function="false" hidden="true" name="FDD_91_7" vbProcedure="false">"A33238"</definedName>
    <definedName function="false" hidden="true" name="FDD_91_8" vbProcedure="false">"A33603"</definedName>
    <definedName function="false" hidden="true" name="FDD_91_9" vbProcedure="false">"A33969"</definedName>
    <definedName function="false" hidden="true" name="FDD_92_0" vbProcedure="false">"A30681"</definedName>
    <definedName function="false" hidden="true" name="FDD_92_1" vbProcedure="false">"A31047"</definedName>
    <definedName function="false" hidden="true" name="FDD_92_10" vbProcedure="false">"A34334"</definedName>
    <definedName function="false" hidden="true" name="FDD_92_11" vbProcedure="false">"A34699"</definedName>
    <definedName function="false" hidden="true" name="FDD_92_12" vbProcedure="false">"A35064"</definedName>
    <definedName function="false" hidden="true" name="FDD_92_13" vbProcedure="false">"A35430"</definedName>
    <definedName function="false" hidden="true" name="FDD_92_14" vbProcedure="false">"A35795"</definedName>
    <definedName function="false" hidden="true" name="FDD_92_2" vbProcedure="false">"A31412"</definedName>
    <definedName function="false" hidden="true" name="FDD_92_3" vbProcedure="false">"A31777"</definedName>
    <definedName function="false" hidden="true" name="FDD_92_4" vbProcedure="false">"A32142"</definedName>
    <definedName function="false" hidden="true" name="FDD_92_5" vbProcedure="false">"A32508"</definedName>
    <definedName function="false" hidden="true" name="FDD_92_6" vbProcedure="false">"A32873"</definedName>
    <definedName function="false" hidden="true" name="FDD_92_7" vbProcedure="false">"A33238"</definedName>
    <definedName function="false" hidden="true" name="FDD_92_8" vbProcedure="false">"A33603"</definedName>
    <definedName function="false" hidden="true" name="FDD_92_9" vbProcedure="false">"A33969"</definedName>
    <definedName function="false" hidden="true" name="FDD_93_0" vbProcedure="false">"A30681"</definedName>
    <definedName function="false" hidden="true" name="FDD_93_1" vbProcedure="false">"A31047"</definedName>
    <definedName function="false" hidden="true" name="FDD_93_10" vbProcedure="false">"A34334"</definedName>
    <definedName function="false" hidden="true" name="FDD_93_11" vbProcedure="false">"A34699"</definedName>
    <definedName function="false" hidden="true" name="FDD_93_12" vbProcedure="false">"A35064"</definedName>
    <definedName function="false" hidden="true" name="FDD_93_13" vbProcedure="false">"A35430"</definedName>
    <definedName function="false" hidden="true" name="FDD_93_14" vbProcedure="false">"A35795"</definedName>
    <definedName function="false" hidden="true" name="FDD_93_2" vbProcedure="false">"A31412"</definedName>
    <definedName function="false" hidden="true" name="FDD_93_3" vbProcedure="false">"A31777"</definedName>
    <definedName function="false" hidden="true" name="FDD_93_4" vbProcedure="false">"A32142"</definedName>
    <definedName function="false" hidden="true" name="FDD_93_5" vbProcedure="false">"A32508"</definedName>
    <definedName function="false" hidden="true" name="FDD_93_6" vbProcedure="false">"A32873"</definedName>
    <definedName function="false" hidden="true" name="FDD_93_7" vbProcedure="false">"A33238"</definedName>
    <definedName function="false" hidden="true" name="FDD_93_8" vbProcedure="false">"A33603"</definedName>
    <definedName function="false" hidden="true" name="FDD_93_9" vbProcedure="false">"A33969"</definedName>
    <definedName function="false" hidden="true" name="FDD_94_0" vbProcedure="false">"A30681"</definedName>
    <definedName function="false" hidden="true" name="FDD_94_1" vbProcedure="false">"A31047"</definedName>
    <definedName function="false" hidden="true" name="FDD_94_10" vbProcedure="false">"A34334"</definedName>
    <definedName function="false" hidden="true" name="FDD_94_11" vbProcedure="false">"A34699"</definedName>
    <definedName function="false" hidden="true" name="FDD_94_12" vbProcedure="false">"A35064"</definedName>
    <definedName function="false" hidden="true" name="FDD_94_13" vbProcedure="false">"A35430"</definedName>
    <definedName function="false" hidden="true" name="FDD_94_14" vbProcedure="false">"A35795"</definedName>
    <definedName function="false" hidden="true" name="FDD_94_2" vbProcedure="false">"A31412"</definedName>
    <definedName function="false" hidden="true" name="FDD_94_3" vbProcedure="false">"A31777"</definedName>
    <definedName function="false" hidden="true" name="FDD_94_4" vbProcedure="false">"A32142"</definedName>
    <definedName function="false" hidden="true" name="FDD_94_5" vbProcedure="false">"A32508"</definedName>
    <definedName function="false" hidden="true" name="FDD_94_6" vbProcedure="false">"A32873"</definedName>
    <definedName function="false" hidden="true" name="FDD_94_7" vbProcedure="false">"A33238"</definedName>
    <definedName function="false" hidden="true" name="FDD_94_8" vbProcedure="false">"A33603"</definedName>
    <definedName function="false" hidden="true" name="FDD_94_9" vbProcedure="false">"A33969"</definedName>
    <definedName function="false" hidden="true" name="FDD_95_0" vbProcedure="false">"A30681"</definedName>
    <definedName function="false" hidden="true" name="FDD_95_1" vbProcedure="false">"A31047"</definedName>
    <definedName function="false" hidden="true" name="FDD_95_10" vbProcedure="false">"A34334"</definedName>
    <definedName function="false" hidden="true" name="FDD_95_11" vbProcedure="false">"A34699"</definedName>
    <definedName function="false" hidden="true" name="FDD_95_12" vbProcedure="false">"A35064"</definedName>
    <definedName function="false" hidden="true" name="FDD_95_13" vbProcedure="false">"A35430"</definedName>
    <definedName function="false" hidden="true" name="FDD_95_14" vbProcedure="false">"A35795"</definedName>
    <definedName function="false" hidden="true" name="FDD_95_2" vbProcedure="false">"A31412"</definedName>
    <definedName function="false" hidden="true" name="FDD_95_3" vbProcedure="false">"A31777"</definedName>
    <definedName function="false" hidden="true" name="FDD_95_4" vbProcedure="false">"A32142"</definedName>
    <definedName function="false" hidden="true" name="FDD_95_5" vbProcedure="false">"A32508"</definedName>
    <definedName function="false" hidden="true" name="FDD_95_6" vbProcedure="false">"A32873"</definedName>
    <definedName function="false" hidden="true" name="FDD_95_7" vbProcedure="false">"A33238"</definedName>
    <definedName function="false" hidden="true" name="FDD_95_8" vbProcedure="false">"A33603"</definedName>
    <definedName function="false" hidden="true" name="FDD_95_9" vbProcedure="false">"A33969"</definedName>
    <definedName function="false" hidden="true" name="FDD_96_0" vbProcedure="false">"U30681"</definedName>
    <definedName function="false" hidden="true" name="FDD_96_1" vbProcedure="false">"A31047"</definedName>
    <definedName function="false" hidden="true" name="FDD_96_10" vbProcedure="false">"A34334"</definedName>
    <definedName function="false" hidden="true" name="FDD_96_11" vbProcedure="false">"A34699"</definedName>
    <definedName function="false" hidden="true" name="FDD_96_12" vbProcedure="false">"A35064"</definedName>
    <definedName function="false" hidden="true" name="FDD_96_13" vbProcedure="false">"A35430"</definedName>
    <definedName function="false" hidden="true" name="FDD_96_14" vbProcedure="false">"A35795"</definedName>
    <definedName function="false" hidden="true" name="FDD_96_2" vbProcedure="false">"A31412"</definedName>
    <definedName function="false" hidden="true" name="FDD_96_3" vbProcedure="false">"A31777"</definedName>
    <definedName function="false" hidden="true" name="FDD_96_4" vbProcedure="false">"A32142"</definedName>
    <definedName function="false" hidden="true" name="FDD_96_5" vbProcedure="false">"A32508"</definedName>
    <definedName function="false" hidden="true" name="FDD_96_6" vbProcedure="false">"A32873"</definedName>
    <definedName function="false" hidden="true" name="FDD_96_7" vbProcedure="false">"A33238"</definedName>
    <definedName function="false" hidden="true" name="FDD_96_8" vbProcedure="false">"A33603"</definedName>
    <definedName function="false" hidden="true" name="FDD_96_9" vbProcedure="false">"A33969"</definedName>
    <definedName function="false" hidden="true" name="FDD_97_0" vbProcedure="false">"U30681"</definedName>
    <definedName function="false" hidden="true" name="FDD_97_1" vbProcedure="false">"A31047"</definedName>
    <definedName function="false" hidden="true" name="FDD_97_10" vbProcedure="false">"A34334"</definedName>
    <definedName function="false" hidden="true" name="FDD_97_11" vbProcedure="false">"A34699"</definedName>
    <definedName function="false" hidden="true" name="FDD_97_12" vbProcedure="false">"A35064"</definedName>
    <definedName function="false" hidden="true" name="FDD_97_13" vbProcedure="false">"A35430"</definedName>
    <definedName function="false" hidden="true" name="FDD_97_14" vbProcedure="false">"A35795"</definedName>
    <definedName function="false" hidden="true" name="FDD_97_2" vbProcedure="false">"A31412"</definedName>
    <definedName function="false" hidden="true" name="FDD_97_3" vbProcedure="false">"A31777"</definedName>
    <definedName function="false" hidden="true" name="FDD_97_4" vbProcedure="false">"A32142"</definedName>
    <definedName function="false" hidden="true" name="FDD_97_5" vbProcedure="false">"A32508"</definedName>
    <definedName function="false" hidden="true" name="FDD_97_6" vbProcedure="false">"A32873"</definedName>
    <definedName function="false" hidden="true" name="FDD_97_7" vbProcedure="false">"A33238"</definedName>
    <definedName function="false" hidden="true" name="FDD_97_8" vbProcedure="false">"A33603"</definedName>
    <definedName function="false" hidden="true" name="FDD_97_9" vbProcedure="false">"A33969"</definedName>
    <definedName function="false" hidden="true" name="FDD_98_0" vbProcedure="false">"U30681"</definedName>
    <definedName function="false" hidden="true" name="FDD_98_1" vbProcedure="false">"A31047"</definedName>
    <definedName function="false" hidden="true" name="FDD_98_10" vbProcedure="false">"A34334"</definedName>
    <definedName function="false" hidden="true" name="FDD_98_11" vbProcedure="false">"A34699"</definedName>
    <definedName function="false" hidden="true" name="FDD_98_12" vbProcedure="false">"A35064"</definedName>
    <definedName function="false" hidden="true" name="FDD_98_13" vbProcedure="false">"A35430"</definedName>
    <definedName function="false" hidden="true" name="FDD_98_14" vbProcedure="false">"A35795"</definedName>
    <definedName function="false" hidden="true" name="FDD_98_2" vbProcedure="false">"A31412"</definedName>
    <definedName function="false" hidden="true" name="FDD_98_3" vbProcedure="false">"A31777"</definedName>
    <definedName function="false" hidden="true" name="FDD_98_4" vbProcedure="false">"A32142"</definedName>
    <definedName function="false" hidden="true" name="FDD_98_5" vbProcedure="false">"A32508"</definedName>
    <definedName function="false" hidden="true" name="FDD_98_6" vbProcedure="false">"A32873"</definedName>
    <definedName function="false" hidden="true" name="FDD_98_7" vbProcedure="false">"A33238"</definedName>
    <definedName function="false" hidden="true" name="FDD_98_8" vbProcedure="false">"A33603"</definedName>
    <definedName function="false" hidden="true" name="FDD_98_9" vbProcedure="false">"A33969"</definedName>
    <definedName function="false" hidden="true" name="FDD_99_0" vbProcedure="false">"U30681"</definedName>
    <definedName function="false" hidden="true" name="FDD_99_1" vbProcedure="false">"A31047"</definedName>
    <definedName function="false" hidden="true" name="FDD_99_10" vbProcedure="false">"A34334"</definedName>
    <definedName function="false" hidden="true" name="FDD_99_11" vbProcedure="false">"A34699"</definedName>
    <definedName function="false" hidden="true" name="FDD_99_12" vbProcedure="false">"A35064"</definedName>
    <definedName function="false" hidden="true" name="FDD_99_13" vbProcedure="false">"A35430"</definedName>
    <definedName function="false" hidden="true" name="FDD_99_14" vbProcedure="false">"A35795"</definedName>
    <definedName function="false" hidden="true" name="FDD_99_2" vbProcedure="false">"A31412"</definedName>
    <definedName function="false" hidden="true" name="FDD_99_3" vbProcedure="false">"A31777"</definedName>
    <definedName function="false" hidden="true" name="FDD_99_4" vbProcedure="false">"A32142"</definedName>
    <definedName function="false" hidden="true" name="FDD_99_5" vbProcedure="false">"A32508"</definedName>
    <definedName function="false" hidden="true" name="FDD_99_6" vbProcedure="false">"A32873"</definedName>
    <definedName function="false" hidden="true" name="FDD_99_7" vbProcedure="false">"A33238"</definedName>
    <definedName function="false" hidden="true" name="FDD_99_8" vbProcedure="false">"A33603"</definedName>
    <definedName function="false" hidden="true" name="FDD_99_9" vbProcedure="false">"A33969"</definedName>
    <definedName function="false" hidden="true" name="FDD_9_0" vbProcedure="false">"A25569"</definedName>
    <definedName function="false" hidden="true" name="FDD_9_1" vbProcedure="false">"E35795"</definedName>
    <definedName function="false" hidden="true" name="FDD_9_2" vbProcedure="false">"E36160"</definedName>
    <definedName function="false" hidden="true" name="FDD_9_3" vbProcedure="false">"E36525"</definedName>
    <definedName function="false" hidden="true" name="fdedqwed"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fdef" vbProcedure="false">{#N/A,"PURADD",FALSE,"Business Analysis";#N/A,"PURSPP",FALSE,"Business Analysis";#N/A,"CTGIND",FALSE,"Business Analysis";#N/A,"PURCHM",FALSE,"Business Analysis";#N/A,"SPADD",FALSE,"Business Analysis";#N/A,"EPOXY",FALSE,"Business Analysis";#N/A,"PURPER",FALSE,"Business Analysis"}</definedName>
    <definedName function="false" hidden="true" name="fdf" vbProcedure="false">{"SCM_Detail",#N/A,FALSE,"SCM";"SCM_Top",#N/A,FALSE,"SCM"}</definedName>
    <definedName function="false" hidden="true" name="FDFD" vbProcedure="false">{#N/A,#N/A,FALSE,"Pharm";#N/A,#N/A,FALSE,"WWCM"}</definedName>
    <definedName function="false" hidden="true" name="fdfdf" vbProcedure="false">{#N/A,#N/A,FALSE,"Staffnos &amp; cost"}</definedName>
    <definedName function="false" hidden="true" name="fdfdfds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fdfds" vbProcedure="false">{#N/A,#N/A,FALSE,"Bestfoods";#N/A,#N/A,FALSE,"Campbell";#N/A,#N/A,FALSE,"ConAgra";#N/A,#N/A,FALSE,"Healthy Choice";#N/A,#N/A,FALSE,"Int'l Home Foods";#N/A,#N/A,FALSE,"General Mills";#N/A,#N/A,FALSE,"Heinz";#N/A,#N/A,FALSE,"Kellogg";#N/A,#N/A,FALSE,"Kraft";#N/A,#N/A,FALSE,"Nabisco";#N/A,#N/A,FALSE,"Quaker Oats";#N/A,#N/A,FALSE,"Sara Lee";#N/A,#N/A,FALSE,"print summary"}</definedName>
    <definedName function="false" hidden="true" name="fdfds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fdfg" vbProcedure="false">{"quarterly",#N/A,FALSE,"Income Statement";#N/A,#N/A,FALSE,"print segment";#N/A,#N/A,FALSE,"Balance Sheet";#N/A,#N/A,FALSE,"Annl Inc";#N/A,#N/A,FALSE,"Cash Flow"}</definedName>
    <definedName function="false" hidden="true" name="fdfgdgdfgfdg" vbProcedure="false">{"comp",#N/A,FALSE,"SPEC";"footnotes",#N/A,FALSE,"SPEC"}</definedName>
    <definedName function="false" hidden="true" name="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fdfs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fdgdfgfdgf" vbProcedure="false">{#N/A,#N/A,FALSE,"Produkte Erw.";#N/A,#N/A,FALSE,"Produkte Plan";#N/A,#N/A,FALSE,"Leistungen Erw.";#N/A,#N/A,FALSE,"Leistungen Plan";#N/A,#N/A,FALSE,"KA Allg.Kosten (2)";#N/A,#N/A,FALSE,"KA All.Kosten"}</definedName>
    <definedName function="false" hidden="true" name="fdgfdg" vbProcedure="false">{#N/A,#N/A,FALSE,"Umsatz EO BP";#N/A,#N/A,FALSE,"Umsatz EO OP";#N/A,#N/A,FALSE,"ER EO BP";#N/A,#N/A,FALSE,"ER EO OP";#N/A,#N/A,FALSE,"EA EO (2)";#N/A,#N/A,FALSE,"EA EO";#N/A,#N/A,FALSE,"EA EO (3)";#N/A,#N/A,FALSE,"EA EO (4)";#N/A,#N/A,FALSE,"KA EO  (2)";#N/A,#N/A,FALSE,"KA EO";#N/A,#N/A,FALSE,"KA EO  (3)";#N/A,#N/A,FALSE,"KA EO (4)"}</definedName>
    <definedName function="false" hidden="true" name="fdgfdgfdgfdg" vbProcedure="false">{#N/A,#N/A,FALSE,"KA CH  (2)"}</definedName>
    <definedName function="false" hidden="true" name="fdgfdgsdgsdgs" vbProcedure="false">{#N/A,#N/A,FALSE,"KA CH  (2)"}</definedName>
    <definedName function="false" hidden="true" name="fdhfdh" vbProcedure="false">{"First Page",#N/A,FALSE,"Surfactants LBO";"Second Page",#N/A,FALSE,"Surfactants LBO"}</definedName>
    <definedName function="false" hidden="true" name="FDHFDHHG" vbProcedure="false">{"assumption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function="false" hidden="true" name="fdhfghfdh" vbProcedure="false">{"First Page",#N/A,FALSE,"Surfactants LBO";"Second Page",#N/A,FALSE,"Surfactants LBO"}</definedName>
    <definedName function="false" hidden="true" name="fdhgfj" vbProcedure="false">{"adj95mult",#N/A,FALSE,"COMPCO";"adj95est",#N/A,FALSE,"COMPCO"}</definedName>
    <definedName function="false" hidden="true" name="fdhhfhfgh" vbProcedure="false">{"assumption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function="false" hidden="true" name="fdhrthfg" vbProcedure="false">{#N/A,#N/A,TRUE,"Historicals";#N/A,#N/A,TRUE,"Charts";#N/A,#N/A,TRUE,"Forecasts"}</definedName>
    <definedName function="false" hidden="true" name="FDJGDFHJ" vbProcedure="false">{#N/A,#N/A,FALSE,"단축1";#N/A,#N/A,FALSE,"단축2";#N/A,#N/A,FALSE,"단축3";#N/A,#N/A,FALSE,"장축";#N/A,#N/A,FALSE,"4WD"}</definedName>
    <definedName function="false" hidden="true" name="FDP_280_1_aSrv" vbProcedure="false">#REF!</definedName>
    <definedName function="false" hidden="true" name="FDP_281_1_aSrv" vbProcedure="false">#REF!</definedName>
    <definedName function="false" hidden="true" name="FDP_282_1_aSrv" vbProcedure="false">#REF!</definedName>
    <definedName function="false" hidden="true" name="FDP_283_1_aSrv" vbProcedure="false">#REF!</definedName>
    <definedName function="false" hidden="true" name="FDQ" vbProcedure="false">{"detail",#N/A,FALSE,"mfg";"summary",#N/A,FALSE,"mfg"}</definedName>
    <definedName function="false" hidden="true" name="fds" vbProcedure="false">{"comps",#N/A,FALSE,"comps";"notes",#N/A,FALSE,"comps"}</definedName>
    <definedName function="false" hidden="true" name="fdsa" vbProcedure="false">{#N/A,#N/A,TRUE,"Historicals";#N/A,#N/A,TRUE,"Charts";#N/A,#N/A,TRUE,"Forecasts"}</definedName>
    <definedName function="false" hidden="true" name="fdsafdf" vbProcedure="false">{#N/A,#N/A,TRUE,"Historicals";#N/A,#N/A,TRUE,"Charts";#N/A,#N/A,TRUE,"Forecasts"}</definedName>
    <definedName function="false" hidden="true" name="fdsafrwefreg" vbProcedure="false">{#N/A,#N/A,TRUE,"Historicals";#N/A,#N/A,TRUE,"Charts";#N/A,#N/A,TRUE,"Forecasts"}</definedName>
    <definedName function="false" hidden="true" name="fdsagfdg" vbProcedure="false">{"toc1",#N/A,FALSE,"TOC";"cover",#N/A,FALSE,"Cover";"ts1",#N/A,FALSE,"Transaction Summary";"ei3",#N/A,FALSE,"Earnings Impact";"ad3",#N/A,FALSE,"accretion dilution"}</definedName>
    <definedName function="false" hidden="true" name="fdsagsfdg344"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fdsaregh" vbProcedure="false">{#N/A,#N/A,TRUE,"Historicals";#N/A,#N/A,TRUE,"Charts";#N/A,#N/A,TRUE,"Forecasts"}</definedName>
    <definedName function="false" hidden="true" name="fdsf" vbProcedure="false">{"general",#N/A,FALSE,"Assumptions"}</definedName>
    <definedName function="false" hidden="true" name="fdsf2" vbProcedure="false">{"general",#N/A,FALSE,"Assumptions"}</definedName>
    <definedName function="false" hidden="true" name="fdsfs" vbProcedure="false">{"GLI-Income Statement",#N/A,FALSE,"gli";"GLI - Balance Sheet Wksht",#N/A,FALSE,"gli";"GLI-Cash Flow",#N/A,FALSE,"gli";"GLI Qtrly Stats",#N/A,FALSE,"gli"}</definedName>
    <definedName function="false" hidden="true" name="fdsgafgrt" vbProcedure="false">{#N/A,#N/A,TRUE,"Historicals";#N/A,#N/A,TRUE,"Charts";#N/A,#N/A,TRUE,"Forecasts"}</definedName>
    <definedName function="false" hidden="true" name="fdsgdfgsdfgh54"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fdsgfsrt" vbProcedure="false">{#N/A,#N/A,TRUE,"Historicals";#N/A,#N/A,TRUE,"Charts";#N/A,#N/A,TRUE,"Forecasts"}</definedName>
    <definedName function="false" hidden="true" name="FDSJFH" vbProcedure="false">{"'Data'!$A$1:$D$17"}</definedName>
    <definedName function="false" hidden="true" name="fdskj" vbProcedure="false">{#N/A,#N/A,FALSE,"Model";#N/A,#N/A,FALSE,"Division"}</definedName>
    <definedName function="false" hidden="true" name="fdsrfaer" vbProcedure="false">{"K GuV o. Kommentar",#N/A,FALSE,"Kaufhof"}</definedName>
    <definedName function="false" hidden="true" name="fdv" vbProcedure="false">{"quarterly",#N/A,FALSE,"Income Statement";#N/A,#N/A,FALSE,"print segment";#N/A,#N/A,FALSE,"Balance Sheet";#N/A,#N/A,FALSE,"Annl Inc";#N/A,#N/A,FALSE,"Cash Flow"}</definedName>
    <definedName function="false" hidden="true" name="feb02tb" vbProcedure="false">{"Statement of Income",#N/A,TRUE,"Mar99";"Balance Sheet",#N/A,TRUE,"Mar99"}</definedName>
    <definedName function="false" hidden="true" name="Feb_D" vbProcedure="false">"CT41H4F85C6471IMEFRRV32TF"</definedName>
    <definedName function="false" hidden="true" name="fedf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fegheath" vbProcedure="false">#REF!</definedName>
    <definedName function="false" hidden="true" name="feineer" vbProcedure="false">{"fleisch",#N/A,FALSE,"WG HK";"food",#N/A,FALSE,"WG HK";"hartwaren",#N/A,FALSE,"WG HK";"weichwaren",#N/A,FALSE,"WG HK"}</definedName>
    <definedName function="false" hidden="true" name="Felli" vbProcedure="false">{"A_Vorstand",#N/A,TRUE,"PK Szenario ";"B_Nord",#N/A,TRUE,"PK Szenario ";"C_Nordwest",#N/A,TRUE,"PK Szenario ";"D_West",#N/A,TRUE,"PK Szenario ";"E_Südwest",#N/A,TRUE,"PK Szenario ";"F_Süd",#N/A,TRUE,"PK Szenario ";"G_Ost",#N/A,TRUE,"PK Szenario ";"H_Gesamt",#N/A,TRUE,"PK Szenario "}</definedName>
    <definedName function="false" hidden="true" name="fer" vbProcedure="false">{#N/A,#N/A,TRUE,"RESULTATRÄKNING";#N/A,#N/A,TRUE,"BALANSRÄKNING";#N/A,#N/A,TRUE,"BALANSRÄKNING2";#N/A,#N/A,TRUE,"Bilaga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function="false" hidden="true" name="fesa" vbProcedure="false">{"apci",#N/A,FALSE,"Chem_CY";"eastman",#N/A,FALSE,"Eastman";"betz",#N/A,FALSE,"Betz";"great lakes",#N/A,FALSE,"Great_Lakes";"hercules",#N/A,FALSE,"Hercules Chem Seg Data";"rohm",#N/A,FALSE,"Rohm";"union carbide",#N/A,FALSE,"Union";"witco",#N/A,FALSE,"Witco"}</definedName>
    <definedName function="false" hidden="true" name="fetgerq" vbProcedure="false">{"ONE",#N/A,FALSE,"96DDCOD";"TWO",#N/A,FALSE,"96DDCOD"}</definedName>
    <definedName function="false" hidden="true" name="fetr" vbProcedure="false">{"BA detail",#N/A,FALSE,"Q3YTD "}</definedName>
    <definedName function="false" hidden="true" name="fewf" vbProcedure="false">{#N/A,#N/A,TRUE,"Historicals";#N/A,#N/A,TRUE,"Charts";#N/A,#N/A,TRUE,"Forecasts"}</definedName>
    <definedName function="false" hidden="true" name="fewfsdf" vbProcedure="false">{#N/A,#N/A,TRUE,"Historicals";#N/A,#N/A,TRUE,"Charts";#N/A,#N/A,TRUE,"Forecasts"}</definedName>
    <definedName function="false" hidden="true" name="fewq" vbProcedure="false">{"Comp_of_Price_Effect",#N/A,FALSE,"QTRDPVAR"}</definedName>
    <definedName function="false" hidden="true" name="ffd" vbProcedure="false">{#N/A,#N/A,FALSE,"Rohstoffnotierungen";#N/A,#N/A,FALSE,"ER HCST Erw. 99";#N/A,#N/A,FALSE,"ER HCST Plan 00";#N/A,#N/A,FALSE,"Umsatz KG";#N/A,#N/A,FALSE,"ER HCST";#N/A,#N/A,FALSE,"EA ST (2)";#N/A,#N/A,FALSE,"EA ST";#N/A,#N/A,FALSE,"EA ST (3)";#N/A,#N/A,FALSE,"EA ST (4)";#N/A,#N/A,FALSE,"KA ST  (2)";#N/A,#N/A,FALSE,"KA ST";#N/A,#N/A,FALSE,"KA ST  (3)";#N/A,#N/A,FALSE,"KA ST (4)"}</definedName>
    <definedName function="false" hidden="true" name="ffdd" vbProcedure="false">{#N/A,#N/A,FALSE,"Umsatz EO BP";#N/A,#N/A,FALSE,"Umsatz EO OP";#N/A,#N/A,FALSE,"ER EO BP";#N/A,#N/A,FALSE,"ER EO OP";#N/A,#N/A,FALSE,"EA EO (2)";#N/A,#N/A,FALSE,"EA EO";#N/A,#N/A,FALSE,"EA EO (3)";#N/A,#N/A,FALSE,"EA EO (4)";#N/A,#N/A,FALSE,"KA EO  (2)";#N/A,#N/A,FALSE,"KA EO";#N/A,#N/A,FALSE,"KA EO  (3)";#N/A,#N/A,FALSE,"KA EO (4)"}</definedName>
    <definedName function="false" hidden="true" name="FFDFDFSD"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ffdfdfs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ffee"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fff" vbProcedure="false">{#N/A,#N/A,TRUE,"Notes";#N/A,#N/A,TRUE,"Cap Struct";#N/A,#N/A,TRUE,"OBS";#N/A,#N/A,TRUE,"bal Sheet";#N/A,#N/A,TRUE,"Inc stmt";#N/A,#N/A,TRUE,"csh flw";#N/A,#N/A,TRUE,"debt";#N/A,#N/A,TRUE,"detail 96,97";#N/A,#N/A,TRUE,"Covenants"}</definedName>
    <definedName function="false" hidden="true" name="ffff" vbProcedure="false">{"comps",#N/A,FALSE,"comps";"notes",#N/A,FALSE,"comps"}</definedName>
    <definedName function="false" hidden="true" name="FFFFF" vbProcedure="false">{#VALUE!,#N/A,FALSE,0;#N/A,#N/A,FALSE,0;#N/A,#N/A,FALSE,0;#N/A,#N/A,FALSE,0}</definedName>
    <definedName function="false" hidden="true" name="ffffff" vbProcedure="false">{"'Boston'!$A$1:$AQ$152","'Summary'!$R$37","'Summary'!$A$1:$P$44"}</definedName>
    <definedName function="false" hidden="true" name="fffffff" vbProcedure="false">{#N/A,#N/A,FALSE,"Pharm";#N/A,#N/A,FALSE,"WWCM"}</definedName>
    <definedName function="false" hidden="true" name="fffffffffffffff" vbProcedure="false">{#N/A,#N/A,FALSE,"단축1";#N/A,#N/A,FALSE,"단축2";#N/A,#N/A,FALSE,"단축3";#N/A,#N/A,FALSE,"장축";#N/A,#N/A,FALSE,"4WD"}</definedName>
    <definedName function="false" hidden="true" name="fff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1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1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1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1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1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2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2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2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2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2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3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3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3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3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3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4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4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4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4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4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5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5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5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5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f_5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FFGHJKK" vbProcedure="false">{#N/A,#N/A,FALSE,"단축1";#N/A,#N/A,FALSE,"단축2";#N/A,#N/A,FALSE,"단축3";#N/A,#N/A,FALSE,"장축";#N/A,#N/A,FALSE,"4WD"}</definedName>
    <definedName function="false" hidden="true" name="ffsf" vbProcedure="false">{"'Future Reviews'!$A$1:$D$58"}</definedName>
    <definedName function="false" hidden="true" name="ffy" vbProcedure="false">{#N/A,#N/A,FALSE,"FY97";#N/A,#N/A,FALSE,"FY98";#N/A,#N/A,FALSE,"FY99";#N/A,#N/A,FALSE,"FY00";#N/A,#N/A,FALSE,"FY01"}</definedName>
    <definedName function="false" hidden="true" name="fg"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fgcvfhg" vbProcedure="false">{#N/A,#N/A,TRUE,"Historicals";#N/A,#N/A,TRUE,"Charts";#N/A,#N/A,TRUE,"Forecasts"}</definedName>
    <definedName function="false" hidden="true" name="fgdghj" vbProcedure="false">{#N/A,#N/A,TRUE,"Cont_Stell";#N/A,#N/A,TRUE,"BTG";#N/A,#N/A,TRUE,"SH";#N/A,#N/A,TRUE,"GUV";#N/A,#N/A,TRUE,"Bilanz";#N/A,#N/A,TRUE,"WC";#N/A,#N/A,TRUE,"Beweg_bil";#N/A,#N/A,TRUE,"Kap_fluß";#N/A,#N/A,TRUE,"KENNZ";#N/A,#N/A,TRUE,"ANALYSE"}</definedName>
    <definedName function="false" hidden="true" name="fgf" vbProcedure="false">{"Data",#N/A,FALSE,"M_VGBUS3";"Graphs1",#N/A,FALSE,"M_VGBUS3";"Volume1",#N/A,FALSE,"M_VGBUS3";"Index1",#N/A,FALSE,"M_VGBUS3";"NUR1",#N/A,FALSE,"M_VGBUS3";"Return1",#N/A,FALSE,"M_VGBUS3";"Licencing1",#N/A,FALSE,"M_VGBUS3";"MFG1",#N/A,FALSE,"M_VGBUS3"}</definedName>
    <definedName function="false" hidden="true" name="fgfg" vbProcedure="false">{#N/A,#N/A,FALSE,"Umsatz EO BP";#N/A,#N/A,FALSE,"Umsatz EO OP";#N/A,#N/A,FALSE,"ER EO BP";#N/A,#N/A,FALSE,"ER EO OP";#N/A,#N/A,FALSE,"EA EO (2)";#N/A,#N/A,FALSE,"EA EO";#N/A,#N/A,FALSE,"EA EO (3)";#N/A,#N/A,FALSE,"EA EO (4)";#N/A,#N/A,FALSE,"KA EO  (2)";#N/A,#N/A,FALSE,"KA EO";#N/A,#N/A,FALSE,"KA EO  (3)";#N/A,#N/A,FALSE,"KA EO (4)"}</definedName>
    <definedName function="false" hidden="true" name="fgfgf" vbProcedure="false">{#N/A,#N/A,FALSE,"Umsatz 99";#N/A,#N/A,FALSE,"ER 99 "}</definedName>
    <definedName function="false" hidden="true" name="fgfgfgf" vbProcedure="false">{"mgmt forecast",#N/A,FALSE,"Mgmt Forecast";"dcf table",#N/A,FALSE,"Mgmt Forecast";"sensitivity",#N/A,FALSE,"Mgmt Forecast";"table inputs",#N/A,FALSE,"Mgmt Forecast";"calculations",#N/A,FALSE,"Mgmt Forecast"}</definedName>
    <definedName function="false" hidden="true" name="FGFR" vbProcedure="false">{#N/A,#N/A,TRUE,"Cover sheet";#N/A,#N/A,TRUE,"Summary";#N/A,#N/A,TRUE,"Key Assumptions";#N/A,#N/A,TRUE,"Profit &amp; Loss";#N/A,#N/A,TRUE,"Balance Sheet";#N/A,#N/A,TRUE,"Cashflow";#N/A,#N/A,TRUE,"IRR";#N/A,#N/A,TRUE,"Ratios";#N/A,#N/A,TRUE,"Debt analysis"}</definedName>
    <definedName function="false" hidden="true" name="fgfx" vbProcedure="false">{#N/A,#N/A,FALSE,"Umsatz 99";#N/A,#N/A,FALSE,"ER 99 "}</definedName>
    <definedName function="false" hidden="true" name="fgg" vbProcedure="false">{"Bilanz grob",#N/A,TRUE,"Planbilanz";"Erfolgsrechnung grob",#N/A,TRUE,"Plan-ER";#N/A,#N/A,TRUE,"Geldfluss";"Bilanz fein",#N/A,TRUE,"Planbilanz";"Erfolgsrechnung fein",#N/A,TRUE,"Plan-ER";#N/A,#N/A,TRUE,"Absatzplan";#N/A,#N/A,TRUE,"Einkaufsplan";#N/A,#N/A,TRUE,"Investitionsplan";#N/A,#N/A,TRUE,"KK Aktionäre"}</definedName>
    <definedName function="false" hidden="true" name="fggddf" vbProcedure="false">{"Employee Efficiency",#N/A,FALSE,"Benchmarking"}</definedName>
    <definedName function="false" hidden="true" name="fgh" vbProcedure="false">{"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function="false" hidden="true" name="fghdhgdfhfd" vbProcedure="false">{"equity comps",#N/A,FALSE,"CS Comps";"equity comps",#N/A,FALSE,"PS Comps";"equity comps",#N/A,FALSE,"GIC_Comps";"equity comps",#N/A,FALSE,"GIC2_Comps"}</definedName>
    <definedName function="false" hidden="true" name="fghdrth" vbProcedure="false">{#N/A,#N/A,TRUE,"Historicals";#N/A,#N/A,TRUE,"Charts";#N/A,#N/A,TRUE,"Forecasts"}</definedName>
    <definedName function="false" hidden="true" name="fghfgh" vbProcedure="false">{"away stand alones",#N/A,FALSE,"Target"}</definedName>
    <definedName function="false" hidden="true" name="fghfghfgh" vbProcedure="false">{"assumption cash",#N/A,TRUE,"Merger";"has gets cash",#N/A,TRUE,"Merger";"accretion dilution",#N/A,TRUE,"Merger";"comparison credit stats",#N/A,TRUE,"Merger";"pf credit stats",#N/A,TRUE,"Merger";"pf sheets",#N/A,TRUE,"Merger"}</definedName>
    <definedName function="false" hidden="true" name="fghfghfghgfh" vbProcedure="false">{#N/A,#N/A,FALSE,"KA CH  (2)"}</definedName>
    <definedName function="false" hidden="true" name="fghfghfghgfhgfh"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fghfghgfh" vbProcedure="false">{#N/A,#N/A,FALSE,"Umsatz CH";#N/A,#N/A,FALSE,"ER CH";#N/A,#N/A,FALSE,"EA CH (2) ";#N/A,#N/A,FALSE,"EA CH";#N/A,#N/A,FALSE,"EA CH (3) ";#N/A,#N/A,FALSE,"EA CH (4)";#N/A,#N/A,FALSE,"KA CH";#N/A,#N/A,FALSE,"KA CH  (2)";#N/A,#N/A,FALSE,"KA CH  (3)";#N/A,#N/A,FALSE,"KA CH (4)"}</definedName>
    <definedName function="false" hidden="true" name="fghfh" vbProcedure="false">{#N/A,#N/A,FALSE,"Umsatz EO BP";#N/A,#N/A,FALSE,"Umsatz EO OP";#N/A,#N/A,FALSE,"ER EO BP";#N/A,#N/A,FALSE,"ER EO OP";#N/A,#N/A,FALSE,"EA EO (2)";#N/A,#N/A,FALSE,"EA EO";#N/A,#N/A,FALSE,"EA EO (3)";#N/A,#N/A,FALSE,"EA EO (4)";#N/A,#N/A,FALSE,"KA EO  (2)";#N/A,#N/A,FALSE,"KA EO";#N/A,#N/A,FALSE,"KA EO  (3)";#N/A,#N/A,FALSE,"KA EO (4)"}</definedName>
    <definedName function="false" hidden="true" name="FGHFMFMJTMV" vbProcedure="false">{#N/A,#N/A,FALSE,"단축1";#N/A,#N/A,FALSE,"단축2";#N/A,#N/A,FALSE,"단축3";#N/A,#N/A,FALSE,"장축";#N/A,#N/A,FALSE,"4WD"}</definedName>
    <definedName function="false" hidden="true" name="fghgf" vbProcedure="false">{#N/A,#N/A,FALSE,"Mittelherkunft";#N/A,#N/A,FALSE,"Mittelverwendung"}</definedName>
    <definedName function="false" hidden="true" name="FGHGFJF" vbProcedure="false">{#N/A,#N/A,FALSE,"단축1";#N/A,#N/A,FALSE,"단축2";#N/A,#N/A,FALSE,"단축3";#N/A,#N/A,FALSE,"장축";#N/A,#N/A,FALSE,"4WD"}</definedName>
    <definedName function="false" hidden="true" name="fghj" vbProcedure="false">{#N/A,#N/A,FALSE,"Finanzbedarfsrechnung"}</definedName>
    <definedName function="false" hidden="true" name="fghrthyuj" vbProcedure="false">{#N/A,#N/A,TRUE,"Historicals";#N/A,#N/A,TRUE,"Charts";#N/A,#N/A,TRUE,"Forecasts"}</definedName>
    <definedName function="false" hidden="true" name="fghsert" vbProcedure="false">{#N/A,#N/A,TRUE,"Historicals";#N/A,#N/A,TRUE,"Charts";#N/A,#N/A,TRUE,"Forecasts"}</definedName>
    <definedName function="false" hidden="true" name="fgjfgjfgj" vbProcedure="false">{#N/A,#N/A,FALSE,"Produkte Erw.";#N/A,#N/A,FALSE,"Produkte Plan";#N/A,#N/A,FALSE,"Leistungen Erw.";#N/A,#N/A,FALSE,"Leistungen Plan";#N/A,#N/A,FALSE,"KA Allg.Kosten (2)";#N/A,#N/A,FALSE,"KA All.Kosten"}</definedName>
    <definedName function="false" hidden="true" name="fgjhfgjhgj" vbProcedure="false">{"comp1",#N/A,FALSE,"COMPS";"footnotes",#N/A,FALSE,"COMPS"}</definedName>
    <definedName function="false" hidden="true" name="fgkjkh" vbProcedure="false">{#N/A,#N/A,FALSE,"REPORT"}</definedName>
    <definedName function="false" hidden="true" name="fgndh" vbProcedure="false">{#N/A,#N/A,TRUE,"Historicals";#N/A,#N/A,TRUE,"Charts";#N/A,#N/A,TRUE,"Forecasts"}</definedName>
    <definedName function="false" hidden="true" name="fgsd" vbProcedure="false">{"PAGE 1",#N/A,FALSE,"COS Excluding Geismar";"PAGE 2",#N/A,FALSE,"COS Excluding Geismar";"PAGE 3",#N/A,FALSE,"COS Excluding Geismar"}</definedName>
    <definedName function="false" hidden="true" name="fgsdf"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fgsdhhj"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fgsg" vbProcedure="false">{"consolidated",#N/A,FALSE,"Sheet1";"cms",#N/A,FALSE,"Sheet1";"fse",#N/A,FALSE,"Sheet1"}</definedName>
    <definedName function="false" hidden="true" name="fgt" vbProcedure="false">{"Performance Details",#N/A,FALSE,"Current Yr";"Performance Details",#N/A,FALSE,"Budget";"Performance Details",#N/A,FALSE,"Prior Year"}</definedName>
    <definedName function="false" hidden="true" name="FGVDFG" vbProcedure="false">{#N/A,#N/A,FALSE,"Staffnos &amp; cost"}</definedName>
    <definedName function="false" hidden="true" name="fh" vbProcedure="false">{#N/A,#N/A,FALSE,"Staffnos &amp; cost"}</definedName>
    <definedName function="false" hidden="true" name="FHE" vbProcedure="false">{"'Demand Units'!$X$11:$AD$45"}</definedName>
    <definedName function="false" hidden="true" name="fhfgh" vbProcedure="false">{#N/A,#N/A,FALSE,"Umsatz CH";#N/A,#N/A,FALSE,"ER CH";#N/A,#N/A,FALSE,"EA CH (2) ";#N/A,#N/A,FALSE,"EA CH";#N/A,#N/A,FALSE,"EA CH (3) ";#N/A,#N/A,FALSE,"EA CH (4)";#N/A,#N/A,FALSE,"KA CH";#N/A,#N/A,FALSE,"KA CH  (2)";#N/A,#N/A,FALSE,"KA CH  (3)";#N/A,#N/A,FALSE,"KA CH (4)"}</definedName>
    <definedName function="false" hidden="true" name="fhfghfghfgh"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fhfhfgh" vbProcedure="false">{"hiden",#N/A,FALSE,"14";"hidden",#N/A,FALSE,"16";"hidden",#N/A,FALSE,"18";"hidden",#N/A,FALSE,"20"}</definedName>
    <definedName function="false" hidden="true" name="fhfhh" vbProcedure="false">{#N/A,#N/A,FALSE,"Umsatz CH";#N/A,#N/A,FALSE,"ER CH";#N/A,#N/A,FALSE,"EA CH (2) ";#N/A,#N/A,FALSE,"EA CH";#N/A,#N/A,FALSE,"EA CH (3) ";#N/A,#N/A,FALSE,"EA CH (4)";#N/A,#N/A,FALSE,"KA CH";#N/A,#N/A,FALSE,"KA CH  (2)";#N/A,#N/A,FALSE,"KA CH  (3)";#N/A,#N/A,FALSE,"KA CH (4)"}</definedName>
    <definedName function="false" hidden="true" name="fhgfhfh"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fhjfjgf"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fhrtz" vbProcedure="false">{#N/A,#N/A,FALSE,"PMW Gruppe 00_99";#N/A,#N/A,FALSE,"PMW KG 00_99";#N/A,#N/A,FALSE,"PMW Inc. 00_99";#N/A,#N/A,FALSE,"PMW VTECH 00_99";#N/A,#N/A,FALSE,"PMW Thail. 00_99";#N/A,#N/A,FALSE,"PMW Canada 00_99";#N/A,#N/A,FALSE,"Währungsabw. 00_99"}</definedName>
    <definedName function="false" hidden="true" name="File.Type" vbProcedure="false">#REF!</definedName>
    <definedName function="false" hidden="true" name="FileChart" vbProcedure="false">#REF!</definedName>
    <definedName function="false" hidden="true" name="fill" vbProcedure="false">#REF!</definedName>
    <definedName function="false" hidden="true" name="Fill1" vbProcedure="false">#REF!</definedName>
    <definedName function="false" hidden="true" name="Fill2" vbProcedure="false">#REF!</definedName>
    <definedName function="false" hidden="true" name="FIMeXToEUR" vbProcedure="false">1/eurextofim</definedName>
    <definedName function="false" hidden="true" name="fina" vbProcedure="false">{"Balance Sheet",#N/A,FALSE,"CONS BS";"Income Stmt",#N/A,FALSE,"CONS IS";"Cash Flow",#N/A,FALSE,"CONS BS";"Debt Service",#N/A,FALSE,"CONS BS";"Pref Div",#N/A,FALSE,"PREF STK ";"Check figures",#N/A,FALSE,"CONS BS";"CNA Je's",#N/A,FALSE,"CNA Je's"}</definedName>
    <definedName function="false" hidden="true" name="fina0" vbProcedure="false">{"Balance Sheet",#N/A,FALSE,"CONS BS";"Income Stmt",#N/A,FALSE,"CONS IS";"Cash Flow",#N/A,FALSE,"CONS BS";"Debt Service",#N/A,FALSE,"CONS BS";"Pref Div",#N/A,FALSE,"PREF STK ";"Check figures",#N/A,FALSE,"CONS BS";"CNA Je's",#N/A,FALSE,"CNA Je's"}</definedName>
    <definedName function="false" hidden="true" name="fina26" vbProcedure="false">{"Balance Sheet",#N/A,FALSE,"CONS BS";"Income Stmt",#N/A,FALSE,"CONS IS";"Cash Flow",#N/A,FALSE,"CONS BS";"Debt Service",#N/A,FALSE,"CONS BS";"Pref Div",#N/A,FALSE,"PREF STK ";"Check figures",#N/A,FALSE,"CONS BS";"CNA Je's",#N/A,FALSE,"CNA Je's"}</definedName>
    <definedName function="false" hidden="true" name="fina3" vbProcedure="false">{"Balance Sheet",#N/A,FALSE,"CONS BS";"Income Stmt",#N/A,FALSE,"CONS IS";"Cash Flow",#N/A,FALSE,"CONS BS";"Debt Service",#N/A,FALSE,"CONS BS";"Pref Div",#N/A,FALSE,"PREF STK ";"Check figures",#N/A,FALSE,"CONS BS";"CNA Je's",#N/A,FALSE,"CNA Je's"}</definedName>
    <definedName function="false" hidden="true" name="fina33" vbProcedure="false">{"Balance Sheet",#N/A,FALSE,"CONS BS";"Income Stmt",#N/A,FALSE,"CONS IS";"Cash Flow",#N/A,FALSE,"CONS BS";"Debt Service",#N/A,FALSE,"CONS BS";"Pref Div",#N/A,FALSE,"PREF STK ";"Check figures",#N/A,FALSE,"CONS BS";"CNA Je's",#N/A,FALSE,"CNA Je's"}</definedName>
    <definedName function="false" hidden="true" name="fina4" vbProcedure="false">{"Balance Sheet",#N/A,FALSE,"CONS BS";"Income Stmt",#N/A,FALSE,"CONS IS";"Cash Flow",#N/A,FALSE,"CONS BS";"Debt Service",#N/A,FALSE,"CONS BS";"Pref Div",#N/A,FALSE,"PREF STK ";"Check figures",#N/A,FALSE,"CONS BS";"CNA Je's",#N/A,FALSE,"CNA Je's"}</definedName>
    <definedName function="false" hidden="true" name="fina44" vbProcedure="false">{"Balance Sheet",#N/A,FALSE,"CONS BS";"Income Stmt",#N/A,FALSE,"CONS IS";"Cash Flow",#N/A,FALSE,"CONS BS";"Debt Service",#N/A,FALSE,"CONS BS";"Pref Div",#N/A,FALSE,"PREF STK ";"Check figures",#N/A,FALSE,"CONS BS";"CNA Je's",#N/A,FALSE,"CNA Je's"}</definedName>
    <definedName function="false" hidden="true" name="fina6" vbProcedure="false">{"Balance Sheet",#N/A,FALSE,"CONS BS";"Income Stmt",#N/A,FALSE,"CONS IS";"Cash Flow",#N/A,FALSE,"CONS BS";"Debt Service",#N/A,FALSE,"CONS BS";"Pref Div",#N/A,FALSE,"PREF STK ";"Check figures",#N/A,FALSE,"CONS BS";"CNA Je's",#N/A,FALSE,"CNA Je's"}</definedName>
    <definedName function="false" hidden="true" name="fina66" vbProcedure="false">{"Balance Sheet",#N/A,FALSE,"CONS BS";"Income Stmt",#N/A,FALSE,"CONS IS";"Cash Flow",#N/A,FALSE,"CONS BS";"Debt Service",#N/A,FALSE,"CONS BS";"Pref Div",#N/A,FALSE,"PREF STK ";"Check figures",#N/A,FALSE,"CONS BS";"CNA Je's",#N/A,FALSE,"CNA Je's"}</definedName>
    <definedName function="false" hidden="true" name="fina7" vbProcedure="false">{"Balance Sheet",#N/A,FALSE,"CONS BS";"Income Stmt",#N/A,FALSE,"CONS IS";"Cash Flow",#N/A,FALSE,"CONS BS";"Debt Service",#N/A,FALSE,"CONS BS";"Pref Div",#N/A,FALSE,"PREF STK ";"Check figures",#N/A,FALSE,"CONS BS";"CNA Je's",#N/A,FALSE,"CNA Je's"}</definedName>
    <definedName function="false" hidden="true" name="fina77" vbProcedure="false">{"Balance Sheet",#N/A,FALSE,"CONS BS";"Income Stmt",#N/A,FALSE,"CONS IS";"Cash Flow",#N/A,FALSE,"CONS BS";"Debt Service",#N/A,FALSE,"CONS BS";"Pref Div",#N/A,FALSE,"PREF STK ";"Check figures",#N/A,FALSE,"CONS BS";"CNA Je's",#N/A,FALSE,"CNA Je's"}</definedName>
    <definedName function="false" hidden="true" name="financia" vbProcedure="false">{"Balance Sheet",#N/A,FALSE,"CONS BS";"Income Stmt",#N/A,FALSE,"CONS IS";"Cash Flow",#N/A,FALSE,"CONS BS";"Debt Service",#N/A,FALSE,"CONS BS";"Pref Div",#N/A,FALSE,"PREF STK ";"Check figures",#N/A,FALSE,"CONS BS";"CNA Je's",#N/A,FALSE,"CNA Je's"}</definedName>
    <definedName function="false" hidden="true" name="financial" vbProcedure="false">{#N/A,#N/A,FALSE,"1996 Monthly Detail";#N/A,#N/A,FALSE,"1996 CashFlow";#N/A,#N/A,FALSE,"PNL By Dept";#N/A,#N/A,FALSE,"1997 Quarterly Detail";#N/A,#N/A,FALSE,"1998 Quarterly Detail";#N/A,#N/A,FALSE,"1997 Cash Flow";#N/A,#N/A,FALSE,"1998 Cash Flow"}</definedName>
    <definedName function="false" hidden="true" name="FINANCING_CASH" vbProcedure="false">"FINANCING_CASH"</definedName>
    <definedName function="false" hidden="true" name="finast1" vbProcedure="false">{"Balance Sheet",#N/A,FALSE,"CONS BS";"Income Stmt",#N/A,FALSE,"CONS IS";"Cash Flow",#N/A,FALSE,"CONS BS";"Debt Service",#N/A,FALSE,"CONS BS";"Pref Div",#N/A,FALSE,"PREF STK ";"Check figures",#N/A,FALSE,"CONS BS";"CNA Je's",#N/A,FALSE,"CNA Je's"}</definedName>
    <definedName function="false" hidden="true" name="finast11" vbProcedure="false">{"Balance Sheet",#N/A,FALSE,"CONS BS";"Income Stmt",#N/A,FALSE,"CONS IS";"Cash Flow",#N/A,FALSE,"CONS BS";"Debt Service",#N/A,FALSE,"CONS BS";"Pref Div",#N/A,FALSE,"PREF STK ";"Check figures",#N/A,FALSE,"CONS BS";"CNA Je's",#N/A,FALSE,"CNA Je's"}</definedName>
    <definedName function="false" hidden="true" name="finast2" vbProcedure="false">{"Balance Sheet",#N/A,FALSE,"CONS BS";"Income Stmt",#N/A,FALSE,"CONS IS";"Cash Flow",#N/A,FALSE,"CONS BS";"Debt Service",#N/A,FALSE,"CONS BS";"Pref Div",#N/A,FALSE,"PREF STK ";"Check figures",#N/A,FALSE,"CONS BS";"CNA Je's",#N/A,FALSE,"CNA Je's"}</definedName>
    <definedName function="false" hidden="true" name="finast22" vbProcedure="false">{"Balance Sheet",#N/A,FALSE,"CONS BS";"Income Stmt",#N/A,FALSE,"CONS IS";"Cash Flow",#N/A,FALSE,"CONS BS";"Debt Service",#N/A,FALSE,"CONS BS";"Pref Div",#N/A,FALSE,"PREF STK ";"Check figures",#N/A,FALSE,"CONS BS";"CNA Je's",#N/A,FALSE,"CNA Je's"}</definedName>
    <definedName function="false" hidden="true" name="finc" vbProcedure="false">{#N/A,#N/A,TRUE,"Cover";#N/A,#N/A,TRUE,"Input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function="false" hidden="true" name="Finishing2" vbProcedure="false">{"'Data'!$A$1:$D$17"}</definedName>
    <definedName function="false" hidden="true" name="finres" vbProcedure="false">#REF!</definedName>
    <definedName function="false" hidden="true" name="fins1" vbProcedure="false">{#N/A,#N/A,FALSE,"Calc";#N/A,#N/A,FALSE,"Sensitivity";#N/A,#N/A,FALSE,"LT Earn.Dil.";#N/A,#N/A,FALSE,"Dil. AVP"}</definedName>
    <definedName function="false" hidden="true" name="fj" vbProcedure="false">{"Tages_D",#N/A,FALSE,"Tagesbericht";"Tages_PL",#N/A,FALSE,"Tagesbericht"}</definedName>
    <definedName function="false" hidden="true" name="fjalaslaslfasllaa" vbProcedure="false">{#N/A,#N/A,FALSE,"을지 (4)";#N/A,#N/A,FALSE,"을지 (5)";#N/A,#N/A,FALSE,"을지 (6)"}</definedName>
    <definedName function="false" hidden="true" name="FJEZK" vbProcedure="false">{#N/A,#N/A,FALSE,"Pharm";#N/A,#N/A,FALSE,"WWCM"}</definedName>
    <definedName function="false" hidden="true" name="FJFJ" vbProcedure="false">{#N/A,#N/A,FALSE,"단축1";#N/A,#N/A,FALSE,"단축2";#N/A,#N/A,FALSE,"단축3";#N/A,#N/A,FALSE,"장축";#N/A,#N/A,FALSE,"4WD"}</definedName>
    <definedName function="false" hidden="true" name="FJFJFJFJFJFF" vbProcedure="false">{#N/A,#N/A,FALSE,"단축1";#N/A,#N/A,FALSE,"단축2";#N/A,#N/A,FALSE,"단축3";#N/A,#N/A,FALSE,"장축";#N/A,#N/A,FALSE,"4WD"}</definedName>
    <definedName function="false" hidden="true" name="fjgtjtr"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fjhjd"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fjwhf" vbProcedure="false">{#N/A,#N/A,FALSE,"Profit Status";#N/A,#N/A,FALSE,"Invest";#N/A,#N/A,FALSE,"Revenue";#N/A,#N/A,FALSE,"Variable Cost";#N/A,#N/A,FALSE,"Options &amp; Series"}</definedName>
    <definedName function="false" hidden="true" name="fjyfyd" vbProcedure="false">{#N/A,#N/A,TRUE,"Historicals";#N/A,#N/A,TRUE,"Charts";#N/A,#N/A,TRUE,"Forecasts"}</definedName>
    <definedName function="false" hidden="true" name="fkjfdh" vbProcedure="false">{"mult96",#N/A,FALSE,"PETCOMP";"est96",#N/A,FALSE,"PETCOMP";"mult95",#N/A,FALSE,"PETCOMP";"est95",#N/A,FALSE,"PETCOMP";"multltm",#N/A,FALSE,"PETCOMP";"resultltm",#N/A,FALSE,"PETCOMP"}</definedName>
    <definedName function="false" hidden="true" name="FL" vbProcedure="false">"DATAGROUP IT Services Holding AG, Pliezhausen"</definedName>
    <definedName function="false" hidden="true" name="Flagship" vbProcedure="false">{"EXPORT",#N/A,FALSE,"A8CONTENT"}</definedName>
    <definedName function="false" hidden="true" name="FLKWFL" vbProcedure="false">{"'Demand Units'!$X$11:$AD$45"}</definedName>
    <definedName function="false" hidden="true" name="flu"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FMittelAnfangPeriode" vbProcedure="false">#REF!</definedName>
    <definedName function="false" hidden="true" name="FMittelAnfangPeriode_" vbProcedure="false">#REF!</definedName>
    <definedName function="false" hidden="true" name="FMittelEndePeriode" vbProcedure="false">#REF!</definedName>
    <definedName function="false" hidden="true" name="FMittelEndePeriode_" vbProcedure="false">#REF!</definedName>
    <definedName function="false" hidden="true" name="FOG_자재표" vbProcedure="false">{#N/A,#N/A,FALSE,"단축1";#N/A,#N/A,FALSE,"단축2";#N/A,#N/A,FALSE,"단축3";#N/A,#N/A,FALSE,"장축";#N/A,#N/A,FALSE,"4WD"}</definedName>
    <definedName function="false" hidden="true" name="FOKPEWPOF" vbProcedure="false">{"'Demand Units'!$X$11:$AD$45"}</definedName>
    <definedName function="false" hidden="true" name="Folie8" vbProcedure="false">#REF!</definedName>
    <definedName function="false" hidden="true" name="Football" vbProcedure="false">{"cover",#N/A,TRUE,"Cover";"toc6",#N/A,TRUE,"TOC";"over",#N/A,TRUE,"Overview";"ts2",#N/A,TRUE,"Det_Trans_Sum";"ei2",#N/A,TRUE,"Earnings Impact";"ad2",#N/A,TRUE,"accretion dilution";"hg2",#N/A,TRUE,"Has-Gets";"pfis2",#N/A,TRUE,"Pro Forma Income Statement";"ca2",#N/A,TRUE,"Contribution_Analysis";"acq2",#N/A,TRUE,"Acquirer";"tar2",#N/A,TRUE,"Target"}</definedName>
    <definedName function="false" hidden="true" name="ForderungenGgKdn" vbProcedure="false">#REF!</definedName>
    <definedName function="false" hidden="true" name="ForderungenGgKdn_" vbProcedure="false">#REF!</definedName>
    <definedName function="false" hidden="true" name="ForecastPeriod" vbProcedure="false">#REF!</definedName>
    <definedName function="false" hidden="true" name="FOREIGN_EXCHANGE" vbProcedure="false">"FOREIGN_EXCHANGE"</definedName>
    <definedName function="false" hidden="true" name="forgeti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Formatted" vbProcedure="false">{"'Sheet1'!$A$1:$F$101"}</definedName>
    <definedName function="false" hidden="true" name="Formula" vbProcedure="false">"'&lt;ContentDefinition name=""SASMain:MKTDL.TBVOLREVENSLANEPROFITABILITY"" rsid=""287721188"" type=""PivotTable"" format=""REPORTXML"" imgfmt=""ACTIVEX"" created=""05/12/2011 19:13:38"" modifed=""05/20/2011 17:07:18"" user=""XPMUser"" apply=""False"" th'"</definedName>
    <definedName function="false" hidden="true" name="Fox" vbProcedure="false">{#N/A,#N/A,FALSE,"Aging Summary";#N/A,#N/A,FALSE,"Ratio Analysis";#N/A,#N/A,FALSE,"Test 120 Day Accts";#N/A,#N/A,FALSE,"Tickmarks"}</definedName>
    <definedName function="false" hidden="true" name="fpa" vbProcedure="false">{#N/A,#N/A,FALSE,"PCS"}</definedName>
    <definedName function="false" hidden="true" name="FPWOFPW" vbProcedure="false">{"'Demand Units'!$X$11:$AD$45"}</definedName>
    <definedName function="false" hidden="true" name="fqf"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Frage" vbProcedure="false">{#N/A,#N/A,FALSE,"Aktiva";#N/A,#N/A,FALSE,"Passiva";#N/A,#N/A,FALSE,"guv";#N/A,#N/A,FALSE,"Anl-1";#N/A,#N/A,FALSE,"Anl-2";#N/A,#N/A,FALSE,"Anl-III";#N/A,#N/A,FALSE,"Ta-1-Anh";#N/A,#N/A,FALSE,"Ta-2-Anh";#N/A,#N/A,FALSE,"Ta-3-Anh";#N/A,#N/A,FALSE,"Kontroll-Blatt"}</definedName>
    <definedName function="false" hidden="true" name="Frank" vbProcedure="false">{#N/A,#N/A,TRUE,"Cover sheet";#N/A,#N/A,TRUE,"DCF analysis";#N/A,#N/A,TRUE,"WACC calculation"}</definedName>
    <definedName function="false" hidden="true" name="frank2" vbProcedure="false">{"'Boston'!$A$1:$AQ$152","'Summary'!$R$37","'Summary'!$A$1:$P$44"}</definedName>
    <definedName function="false" hidden="true" name="frdf"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fre" vbProcedure="false">{"FY98Q1 var",#N/A,FALSE,"FY98 - Q1";"FY98Q2 var",#N/A,FALSE,"FY98 - Q2";"FY98Q3 var",#N/A,FALSE,"FY98 - Q3";"FY98Q4 var",#N/A,FALSE,"FY98 - Q4"}</definedName>
    <definedName function="false" hidden="true" name="fred" vbProcedure="false">{"'Boston'!$A$1:$AQ$152","'Summary'!$R$37","'Summary'!$A$1:$P$44"}</definedName>
    <definedName function="false" hidden="true" name="FRFERFE" vbProcedure="false">{#N/A,#N/A,FALSE,"Pharm";#N/A,#N/A,FALSE,"WWCM"}</definedName>
    <definedName function="false" hidden="true" name="FRFeXToEUR" vbProcedure="false">1/eurextofrf</definedName>
    <definedName function="false" hidden="true" name="frfrf" vbProcedure="false">#REF!</definedName>
    <definedName function="false" hidden="true" name="fro" vbProcedure="false">{#N/A,#N/A,FALSE,"Sheet2"}</definedName>
    <definedName function="false" hidden="true" name="front" vbProcedure="false">{#N/A,#N/A,TRUE,"Front Page";#N/A,#N/A,TRUE,"Content";#N/A,#N/A,TRUE,"Changes to forecast";#N/A,#N/A,TRUE,"Forecast Summaries";#N/A,#N/A,TRUE,"Q1 Summary";#N/A,#N/A,TRUE,"Q2 Summary";#N/A,#N/A,TRUE,"Q3 Summary";#N/A,#N/A,TRUE,"Q4 Summary";#N/A,#N/A,TRUE,"FY Summary";#N/A,#N/A,TRUE,"Opportunities";#N/A,#N/A,TRUE,"Risks";#N/A,#N/A,TRUE,"Target Graphs";#N/A,#N/A,TRUE,"Rev Chart";#N/A,#N/A,TRUE,"GM Chart";#N/A,#N/A,TRUE,"Offering Bar Chart";#N/A,#N/A,TRUE,"Issues";#N/A,#N/A,TRUE,"Lost Bids";#N/A,#N/A,TRUE,"Major Sales Campains";#N/A,#N/A,TRUE,"Ongoing Revenue";#N/A,#N/A,TRUE,"Names List"}</definedName>
    <definedName function="false" hidden="true" name="frty" vbProcedure="false">{"PRS",#N/A,FALSE,"CM"}</definedName>
    <definedName function="false" hidden="true" name="fsa" vbProcedure="false">{"cover",#N/A,TRUE,"Cover";"toc6",#N/A,TRUE,"TOC";"over",#N/A,TRUE,"Overview";"ts2",#N/A,TRUE,"Det_Trans_Sum";"ei1",#N/A,TRUE,"Earnings Impact";"ad1",#N/A,TRUE,"accretion dilution";"hg1",#N/A,TRUE,"Has-Gets";"pfis1",#N/A,TRUE,"Pro Forma Income Statement";"ca1",#N/A,TRUE,"Contribution_Analysis";"acq1",#N/A,TRUE,"Acquirer";"tar1",#N/A,TRUE,"Target"}</definedName>
    <definedName function="false" hidden="true" name="fsct" vbProcedure="false">{#N/A,#N/A,FALSE,"Income Statement";#N/A,#N/A,FALSE,"Balance Sheet";#N/A,#N/A,FALSE,"AR Analysis";#N/A,#N/A,FALSE,"Inventory Analysis";#N/A,#N/A,FALSE,"Direct Material";#N/A,#N/A,FALSE,"Labor";#N/A,#N/A,FALSE,"Overhead";#N/A,#N/A,FALSE,"Capital";#N/A,#N/A,FALSE,"Indirect Roster"}</definedName>
    <definedName function="false" hidden="true" name="fsd" vbProcedure="false">{#N/A,#N/A,FALSE,"Sheet1"}</definedName>
    <definedName function="false" hidden="true" name="fsdbdf" vbProcedure="false">"c330"</definedName>
    <definedName function="false" hidden="true" name="fsdf" vbProcedure="false">{#N/A,#N/A,FALSE,"Staffnos &amp; cost"}</definedName>
    <definedName function="false" hidden="true" name="fsdfsadf" vbProcedure="false">{"investments",#N/A,FALSE,"CYTD CF Oct";"invest month",#N/A,FALSE,"CYTD CF Oct";"scf",#N/A,FALSE,"CYTD CF Oct";"direct method",#N/A,FALSE,"CYTD CF Oct";"indirect",#N/A,FALSE,"CYTD CF Oct"}</definedName>
    <definedName function="false" hidden="true" name="fsdsfafd" vbProcedure="false">{"CSheet",#N/A,FALSE,"C";"SmCap",#N/A,FALSE,"VAL1";"GulfCoast",#N/A,FALSE,"VAL1";"nav",#N/A,FALSE,"NAV";"Summary",#N/A,FALSE,"NAV"}</definedName>
    <definedName function="false" hidden="true" name="fsfs" vbProcedure="false">{#N/A,#N/A,FALSE,"Calc";#N/A,#N/A,FALSE,"Sensitivity";#N/A,#N/A,FALSE,"LT Earn.Dil.";#N/A,#N/A,FALSE,"Dil. AVP"}</definedName>
    <definedName function="false" hidden="true" name="fsg"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FSoPacific" vbProcedure="false">{"BS",#N/A,FALSE,"USA"}</definedName>
    <definedName function="false" hidden="true" name="fsssadfd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fthfftf" vbProcedure="false">{#N/A,#N/A,TRUE,"Historicals";#N/A,#N/A,TRUE,"Charts";#N/A,#N/A,TRUE,"Forecasts"}</definedName>
    <definedName function="false" hidden="true" name="fthfhftft" vbProcedure="false">{#N/A,#N/A,TRUE,"Historicals";#N/A,#N/A,TRUE,"Charts";#N/A,#N/A,TRUE,"Forecasts"}</definedName>
    <definedName function="false" hidden="true" name="fthfthrs" vbProcedure="false">{#N/A,#N/A,TRUE,"Historicals";#N/A,#N/A,TRUE,"Charts";#N/A,#N/A,TRUE,"Forecasts"}</definedName>
    <definedName function="false" hidden="true" name="fthftthfhf" vbProcedure="false">{#N/A,#N/A,TRUE,"Historicals";#N/A,#N/A,TRUE,"Charts";#N/A,#N/A,TRUE,"Forecasts"}</definedName>
    <definedName function="false" hidden="true" name="ftutyu" vbProcedure="false">{0,#N/A,FALSE,0;0,#N/A,FALSE,0}</definedName>
    <definedName function="false" hidden="true" name="ftyfyfy" vbProcedure="false">{"SCM_Detail",#N/A,FALSE,"SCM";"SCM_Top",#N/A,FALSE,"SCM"}</definedName>
    <definedName function="false" hidden="true" name="fuafg"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fuck" vbProcedure="false">{"by departments",#N/A,TRUE,"FORECAST";"cap_headcount",#N/A,TRUE,"FORECAST";"summary",#N/A,TRUE,"FORECAST"}</definedName>
    <definedName function="false" hidden="true" name="fuckme" vbProcedure="false">{"SUMMARY",#N/A,TRUE,"SUMMARY";"compare",#N/A,TRUE,"Vs. Bus Plan";"ratios",#N/A,TRUE,"Ratios";"REVENUE",#N/A,TRUE,"Revenue";"expenses",#N/A,TRUE,"1996 budget";"payroll",#N/A,TRUE,"Payroll"}</definedName>
    <definedName function="false" hidden="true" name="fuiil" vbProcedure="false">{#N/A,#N/A,FALSE,"V3 Stab-Geb Index";#N/A,#N/A,FALSE,"Vertrieb";#N/A,#N/A,FALSE,"V Daten";#N/A,#N/A,FALSE,"V-Z-Index";#N/A,#N/A,FALSE,"V-1 Daten";#N/A,#N/A,FALSE,"V-1 Index";#N/A,#N/A,FALSE,"V-2 Index";#N/A,#N/A,FALSE,"V-3 Daten";#N/A,#N/A,FALSE,"V3 Stab-Geb Index";#N/A,#N/A,FALSE,"V-3 VG's Index";#N/A,#N/A,FALSE,"V-4 Index";#N/A,#N/A,FALSE,"V-5 Index"}</definedName>
    <definedName function="false" hidden="true" name="full" vbProcedure="false">#REF!</definedName>
    <definedName function="false" hidden="true" name="furu" vbProcedure="false">{#N/A,#N/A,FALSE,"INPUTS";#N/A,#N/A,FALSE,"PROFORMA BSHEET";#N/A,#N/A,FALSE,"COMBINED";#N/A,#N/A,FALSE,"HIGH YIELD";#N/A,#N/A,FALSE,"COMB_GRAPHS"}</definedName>
    <definedName function="false" hidden="true" name="FVG" vbProcedure="false">{#N/A,#N/A,FALSE,"Pharm";#N/A,#N/A,FALSE,"WWCM"}</definedName>
    <definedName function="false" hidden="true" name="fwef" vbProcedure="false">#N/A</definedName>
    <definedName function="false" hidden="true" name="fwer" vbProcedure="false">{#N/A,"PURCHM",FALSE,"Business Analysis";#N/A,"SPADD",FALSE,"Business Analysis"}</definedName>
    <definedName function="false" hidden="true" name="fwwefwef"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FX_NONE" vbProcedure="false">#REF!</definedName>
    <definedName function="false" hidden="true" name="FY_DATE" vbProcedure="false">"FY_DATE"</definedName>
    <definedName function="false" hidden="true" name="fz" vbProcedure="false">{"bkf1",#N/A,FALSE,"A";"bfk2",#N/A,FALSE,"A";"bfk3",#N/A,FALSE,"A";"bfk4",#N/A,FALSE,"A";"bfk5",#N/A,FALSE,"A";"bfk6",#N/A,FALSE,"A";"bfk7",#N/A,FALSE,"A";"bfk8",#N/A,FALSE,"A";"bfk9",#N/A,FALSE,"A"}</definedName>
    <definedName function="false" hidden="true" name="fzlfz"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f\" vbProcedure="false">{#N/A,#N/A,FALSE,"Cover";#N/A,#N/A,FALSE,"Profits";#N/A,#N/A,FALSE,"ABS";#N/A,#N/A,FALSE,"TFLE Detail";#N/A,#N/A,FALSE,"TFLE Walk";#N/A,#N/A,FALSE,"Variable Cost";#N/A,#N/A,FALSE,"V.C. Walk"}</definedName>
    <definedName function="false" hidden="true" name="g" vbProcedure="false">{#N/A,#N/A,TRUE,"Cover sheet";#N/A,#N/A,TRUE,"DCF analysis";#N/A,#N/A,TRUE,"WACC calculation"}</definedName>
    <definedName function="false" hidden="true" name="ga"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GAIN_SALE_ASSETS" vbProcedure="false">"GAIN_SALE_ASSETS"</definedName>
    <definedName function="false" hidden="true" name="gary" vbProcedure="false">{#N/A,#N/A,TRUE,"Tar-Ass";#N/A,#N/A,TRUE,"Tar-Ass LBO";#N/A,#N/A,TRUE,"LBO Ret";#N/A,#N/A,TRUE,"Tar-BS LBO";#N/A,#N/A,TRUE,"Tar-IS LBO";#N/A,#N/A,TRUE,"Tar-CF LBO";#N/A,#N/A,TRUE,"Tar-Debt LBO";#N/A,#N/A,TRUE,"Tar-Int LBO";#N/A,#N/A,TRUE,"Tar-Taxes LBO";#N/A,#N/A,TRUE,"Tar-Val LBO"}</definedName>
    <definedName function="false" hidden="true" name="GASDFG" vbProcedure="false">{#N/A,#N/A,TRUE,"Staffnos &amp; cost"}</definedName>
    <definedName function="false" hidden="true" name="gb" vbProcedure="false">{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function="false" hidden="false" name="gc_hint_new_document" vbProcedure="false">#REF!</definedName>
    <definedName function="false" hidden="true" name="gd" vbProcedure="false">{#N/A,#N/A,TRUE,"Cover sheet";#N/A,#N/A,TRUE,"INPUTS";#N/A,#N/A,TRUE,"OUTPUTS";#N/A,#N/A,TRUE,"VALUATION"}</definedName>
    <definedName function="false" hidden="true" name="gda" vbProcedure="false">{"'下期集計（10.27迄・速報値）'!$Q$16"}</definedName>
    <definedName function="false" hidden="true" name="gdf" vbProcedure="false">{#N/A,#N/A,FALSE,"Staffnos &amp; cost"}</definedName>
    <definedName function="false" hidden="true" name="gdff" vbProcedure="false">{"Methodology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function="false" hidden="true" name="gdfg"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gdfgdf" vbProcedure="false">{#N/A,#N/A,FALSE,"Pharm";#N/A,#N/A,FALSE,"WWCM"}</definedName>
    <definedName function="false" hidden="true" name="GDFHDHGF" vbProcedure="false">{#N/A,#N/A,FALSE,"Staffnos &amp; cost"}</definedName>
    <definedName function="false" hidden="true" name="gdg" vbProcedure="false">{#N/A,#N/A,FALSE,"Front Page";#N/A,#N/A,FALSE,"Contents";#N/A,#N/A,FALSE,"Deals in month";#N/A,#N/A,FALSE,"Order Tracking";#N/A,#N/A,FALSE,"Orders Committed";#N/A,#N/A,FALSE,"Orders P1-3";#N/A,#N/A,FALSE,"Major Sales Top 20";#N/A,#N/A,FALSE,"Major Sales";#N/A,#N/A,FALSE,"MJ OS Calculation sheet";#N/A,#N/A,FALSE,"MJ HPS Calculation sheet";#N/A,#N/A,FALSE,"OS Rev Track";#N/A,#N/A,FALSE,"OS Committed";#N/A,#N/A,FALSE,"OS P1-3";#N/A,#N/A,FALSE,"HPS Rev Track";#N/A,#N/A,FALSE,"HPS Committed";#N/A,#N/A,FALSE,"HPS P1-3";#N/A,#N/A,FALSE,"Lost Bids";#N/A,#N/A,FALSE,"OSD Offering Bar Chart";#N/A,#N/A,FALSE,"HPS Offering Bar Chart";#N/A,#N/A,FALSE,"Defence Offering Bar Chart";#N/A,#N/A,FALSE,"Ongoing HPS VME Revenue";#N/A,#N/A,FALSE,"Issues"}</definedName>
    <definedName function="false" hidden="true" name="gdgd" vbProcedure="false">{#N/A,#N/A,FALSE,"Calc";#N/A,#N/A,FALSE,"Sensitivity";#N/A,#N/A,FALSE,"LT Earn.Dil.";#N/A,#N/A,FALSE,"Dil. AVP"}</definedName>
    <definedName function="false" hidden="true" name="gdgs" vbProcedure="false">{#N/A,#N/A,FALSE,"Total";#N/A,#N/A,FALSE,"Engg";#N/A,#N/A,FALSE,"Manf";#N/A,#N/A,FALSE,"Proc";#N/A,#N/A,FALSE,"CAEL";#N/A,#N/A,FALSE,"MAEL";#N/A,#N/A,FALSE,"AESL";#N/A,#N/A,FALSE,"AeHQ";#N/A,#N/A,FALSE,"AeHQFin";#N/A,#N/A,FALSE,"AeHQPer";#N/A,#N/A,FALSE,"AeHQCHQ";#N/A,#N/A,FALSE,"PlcHQ";#N/A,#N/A,FALSE,"PlcHQFin";#N/A,#N/A,FALSE,"PlcHQPer";#N/A,#N/A,FALSE,"PlcHQCHQ";#N/A,#N/A,FALSE,"Initiatives"}</definedName>
    <definedName function="false" hidden="true" name="gdsa" vbProcedure="false">{"'下期集計（10.27迄・速報値）'!$Q$16"}</definedName>
    <definedName function="false" hidden="true" name="gdsdfs" vbProcedure="false">{"SCM_Detail",#N/A,FALSE,"SCM";"SCM_Top",#N/A,FALSE,"SCM"}</definedName>
    <definedName function="false" hidden="true" name="ge" vbProcedure="false">{#N/A,#N/A,FALSE,"Profit Status";#N/A,#N/A,FALSE,"Invest";#N/A,#N/A,FALSE,"Revenue";#N/A,#N/A,FALSE,"Variable Cost";#N/A,#N/A,FALSE,"Options &amp; Series"}</definedName>
    <definedName function="false" hidden="true" name="geaegdda" vbProcedure="false">{"'Title Transfer Units6,7,&amp;8'!$A$1:$B$4","'Title Transfer Units6,7,&amp;8'!$C$6"}</definedName>
    <definedName function="false" hidden="true" name="GeelCapexFcst" vbProcedure="false">{#N/A,#N/A,FALSE,"SUMMARY";#N/A,#N/A,FALSE,"mcsh";#N/A,#N/A,FALSE,"vol&amp;rev";#N/A,#N/A,FALSE,"wkgcap";#N/A,#N/A,FALSE,"DEPR&amp;DT";#N/A,#N/A,FALSE,"ASSETS";#N/A,#N/A,FALSE,"NI&amp;OTH&amp;DIV";#N/A,#N/A,FALSE,"CASHFLOW";#N/A,#N/A,FALSE,"CAPEMPL";#N/A,#N/A,FALSE,"ROCE"}</definedName>
    <definedName function="false" hidden="true" name="GeelCapexFcsts" vbProcedure="false">{#N/A,#N/A,FALSE,"SUMMARY";#N/A,#N/A,FALSE,"mcsh";#N/A,#N/A,FALSE,"vol&amp;rev";#N/A,#N/A,FALSE,"wkgcap";#N/A,#N/A,FALSE,"DEPR&amp;DT";#N/A,#N/A,FALSE,"ASSETS";#N/A,#N/A,FALSE,"NI&amp;OTH&amp;DIV";#N/A,#N/A,FALSE,"CASHFLOW";#N/A,#N/A,FALSE,"CAPEMPL";#N/A,#N/A,FALSE,"ROCE"}</definedName>
    <definedName function="false" hidden="true" name="gehe" vbProcedure="false">{"Tages_D",#N/A,FALSE,"Tagesbericht";"Tages_PL",#N/A,FALSE,"Tagesbericht"}</definedName>
    <definedName function="false" hidden="true" name="Genesys" vbProcedure="false">{"'comite'!$A$9:$G$44","'comite'!$A$1:$G$6"}</definedName>
    <definedName function="false" hidden="true" name="Gesamtkosten" vbProcedure="false">#REF!</definedName>
    <definedName function="false" hidden="true" name="GesamtkostenK" vbProcedure="false">#REF!</definedName>
    <definedName function="false" hidden="true" name="GesamtkostenM" vbProcedure="false">#REF!</definedName>
    <definedName function="false" hidden="true" name="GesamtkostenN" vbProcedure="false">#REF!</definedName>
    <definedName function="false" hidden="true" name="Gesamtkosten_" vbProcedure="false">#REF!</definedName>
    <definedName function="false" hidden="true" name="Gesamtleistung" vbProcedure="false">#REF!</definedName>
    <definedName function="false" hidden="true" name="GesamtleistungK" vbProcedure="false">#REF!</definedName>
    <definedName function="false" hidden="true" name="GesamtleistungM" vbProcedure="false">#REF!</definedName>
    <definedName function="false" hidden="true" name="GesamtleistungN" vbProcedure="false">#REF!</definedName>
    <definedName function="false" hidden="true" name="GesamtleistungZ" vbProcedure="false">#REF!</definedName>
    <definedName function="false" hidden="true" name="Gesamtleistung_" vbProcedure="false">#REF!</definedName>
    <definedName function="false" hidden="true" name="GES_LIST" vbProcedure="false">#REF!,#REF!,#REF!,#REF!,#REF!,#REF!,#REF!,#REF!,#REF!,#REF!,#REF!,#REF!,#REF!,#REF!,#REF!,#REF!,#REF!,#REF!,#REF!,#REF!,#REF!,#REF!,#REF!,#REF!,#REF!,#REF!,#REF!,#REF!,#REF!,#REF!,#REF!,#REF!,#REF!,#REF!,#REF!</definedName>
    <definedName function="false" hidden="true" name="GezZinsen" vbProcedure="false">#REF!</definedName>
    <definedName function="false" hidden="true" name="GezZinsenN" vbProcedure="false">#REF!</definedName>
    <definedName function="false" hidden="true" name="GezZinsen_" vbProcedure="false">#REF!</definedName>
    <definedName function="false" hidden="true" name="gf" vbProcedure="false">{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function="false" hidden="true" name="gfa" vbProcedure="false">{"FY98Q1 nvs",#N/A,FALSE,"FY98 - Q1";"FY98Q2 nvs",#N/A,FALSE,"FY98 - Q2";"FY98Q3 nvs",#N/A,FALSE,"FY98 - Q3";"FY98Q4 nvs",#N/A,FALSE,"FY98 - Q4"}</definedName>
    <definedName function="false" hidden="true" name="gfbngfn" vbProcedure="false">{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function="false" hidden="true" name="gfdg" vbProcedure="false">{#N/A,#N/A,FALSE,"Staffnos &amp; cost"}</definedName>
    <definedName function="false" hidden="true" name="gfdgh" vbProcedure="false">{"SUM GER",#N/A,FALSE,"SUM GER";"SUM FRA",#N/A,FALSE,"SUM FRA";"SUM ITA",#N/A,FALSE,"SUM ITA";"SUM SPA",#N/A,FALSE,"SUM SPA";"SUM EGB",#N/A,FALSE,"SUM EGB";"SUM IND",#N/A,FALSE,"SUM IND"}</definedName>
    <definedName function="false" hidden="true" name="gfdjhjh" vbProcedure="false">{#N/A,#N/A,FALSE,"Pharm";#N/A,#N/A,FALSE,"WWCM"}</definedName>
    <definedName function="false" hidden="true" name="GFDS" vbProcedure="false">{#N/A,#N/A,FALSE,"단축1";#N/A,#N/A,FALSE,"단축2";#N/A,#N/A,FALSE,"단축3";#N/A,#N/A,FALSE,"장축";#N/A,#N/A,FALSE,"4WD"}</definedName>
    <definedName function="false" hidden="true" name="gfdsge" vbProcedure="false">{#N/A,#N/A,TRUE,"Historicals";#N/A,#N/A,TRUE,"Charts";#N/A,#N/A,TRUE,"Forecasts"}</definedName>
    <definedName function="false" hidden="true" name="gfdsged" vbProcedure="false">{"REVISED",#N/A,FALSE,"Sheet1"}</definedName>
    <definedName function="false" hidden="true" name="gfdsgsfdy" vbProcedure="false">{#N/A,#N/A,TRUE,"Historicals";#N/A,#N/A,TRUE,"Charts";#N/A,#N/A,TRUE,"Forecasts"}</definedName>
    <definedName function="false" hidden="true" name="gfdsgw" vbProcedure="false">{#N/A,#N/A,TRUE,"Historicals";#N/A,#N/A,TRUE,"Charts";#N/A,#N/A,TRUE,"Forecasts"}</definedName>
    <definedName function="false" hidden="true" name="gff" vbProcedure="false">{"sweden",#N/A,FALSE,"Sweden";"germany",#N/A,FALSE,"Germany";"portugal",#N/A,FALSE,"Portugal";"belgium",#N/A,FALSE,"Belgium";"japan",#N/A,FALSE,"Japan ";"italy",#N/A,FALSE,"Italy";"spain",#N/A,FALSE,"Spain";"korea",#N/A,FALSE,"Korea"}</definedName>
    <definedName function="false" hidden="true" name="gfgffgf" vbProcedure="false">{"mgmt forecast",#N/A,FALSE,"Mgmt Forecast";"dcf table",#N/A,FALSE,"Mgmt Forecast";"sensitivity",#N/A,FALSE,"Mgmt Forecast";"table inputs",#N/A,FALSE,"Mgmt Forecast";"calculations",#N/A,FALSE,"Mgmt Forecast"}</definedName>
    <definedName function="false" hidden="true" name="gfghdfgdf" vbProcedure="false">{#N/A,#N/A,FALSE,"Umsatz CH";#N/A,#N/A,FALSE,"ER CH";#N/A,#N/A,FALSE,"EA CH (2) ";#N/A,#N/A,FALSE,"EA CH";#N/A,#N/A,FALSE,"EA CH (3) ";#N/A,#N/A,FALSE,"EA CH (4)";#N/A,#N/A,FALSE,"KA CH";#N/A,#N/A,FALSE,"KA CH  (2)";#N/A,#N/A,FALSE,"KA CH  (3)";#N/A,#N/A,FALSE,"KA CH (4)"}</definedName>
    <definedName function="false" hidden="true" name="gfh" vbProcedure="false">{"CSheet",#N/A,FALSE,"C";"SmCap",#N/A,FALSE,"VAL1";"GulfCoast",#N/A,FALSE,"VAL1";"nav",#N/A,FALSE,"NAV";"Summary",#N/A,FALSE,"NAV"}</definedName>
    <definedName function="false" hidden="true" name="gfhfgh" vbProcedure="false">{#N/A,#N/A,FALSE,"Umsatz HM";#N/A,#N/A,FALSE,"ER HM";#N/A,#N/A,FALSE,"EA HM  (2)";#N/A,#N/A,FALSE,"EA HM ";#N/A,#N/A,FALSE,"EA HM  (4)";#N/A,#N/A,FALSE,"EA HM  (3)";#N/A,#N/A,FALSE,"KA HM  (2)";#N/A,#N/A,FALSE,"KA HM";#N/A,#N/A,FALSE,"KA HM  (3)";#N/A,#N/A,FALSE,"KA HM (4)"}</definedName>
    <definedName function="false" hidden="true" name="gfhfghgsdfghfg" vbProcedure="false">{#N/A,#N/A,FALSE,"Umsatz 99";#N/A,#N/A,FALSE,"ER 99 "}</definedName>
    <definedName function="false" hidden="true" name="gfhh" vbProcedure="false">{#N/A,#N/A,FALSE,"Umsatz CH";#N/A,#N/A,FALSE,"ER CH";#N/A,#N/A,FALSE,"EA CH (2) ";#N/A,#N/A,FALSE,"EA CH";#N/A,#N/A,FALSE,"EA CH (3) ";#N/A,#N/A,FALSE,"EA CH (4)";#N/A,#N/A,FALSE,"KA CH";#N/A,#N/A,FALSE,"KA CH  (2)";#N/A,#N/A,FALSE,"KA CH  (3)";#N/A,#N/A,FALSE,"KA CH (4)"}</definedName>
    <definedName function="false" hidden="true" name="gfhtf"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GFJG" vbProcedure="false">{#N/A,#N/A,FALSE,"단축1";#N/A,#N/A,FALSE,"단축2";#N/A,#N/A,FALSE,"단축3";#N/A,#N/A,FALSE,"장축";#N/A,#N/A,FALSE,"4WD"}</definedName>
    <definedName function="false" hidden="true" name="gfkf" vbProcedure="false">{"P&amp;L",#N/A,FALSE,"P&amp;LPlan";"Cashflow",#N/A,FALSE,"Cash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function="false" hidden="true" name="gfr" vbProcedure="false">{#N/A,#N/A,FALSE,"Staffnos &amp; cost"}</definedName>
    <definedName function="false" hidden="true" name="gfrr" vbProcedure="false">{#N/A,#N/A,FALSE,"Umsatz 99";#N/A,#N/A,FALSE,"ER 99 "}</definedName>
    <definedName function="false" hidden="true" name="gfsd" vbProcedure="false">{"consolidated",#N/A,FALSE,"Sheet1";"cms",#N/A,FALSE,"Sheet1";"fse",#N/A,FALSE,"Sheet1"}</definedName>
    <definedName function="false" hidden="true" name="gfsdgsdgf" vbProcedure="false">{#N/A,#N/A,TRUE,"Historicals";#N/A,#N/A,TRUE,"Charts";#N/A,#N/A,TRUE,"Forecasts"}</definedName>
    <definedName function="false" hidden="true" name="gg" vbProcedure="false">{#N/A,#N/A,FALSE,"Operations";#N/A,#N/A,FALSE,"Financials"}</definedName>
    <definedName function="false" hidden="true" name="ggf" vbProcedure="false">{"comps",#N/A,FALSE,"comps";"notes",#N/A,FALSE,"comps"}</definedName>
    <definedName function="false" hidden="true" name="ggfgf" vbProcedure="false">{#N/A,#N/A,FALSE,"Tab 5 - Budget Statement";#N/A,#N/A,FALSE,"Tab 4 - Financial Worksheet";#N/A,#N/A,FALSE,"Tab 1 - Resource Worksheet";#N/A,#N/A,FALSE,"Tab 2 - Educ-Travel-Ent";#N/A,#N/A,FALSE,"Tab 3 - Hardware-Software"}</definedName>
    <definedName function="false" hidden="true" name="ggg" vbProcedure="false">{#N/A,#N/A,FALSE,"Aging Summary";#N/A,#N/A,FALSE,"Ratio Analysis";#N/A,#N/A,FALSE,"Test 120 Day Accts";#N/A,#N/A,FALSE,"Tickmarks"}</definedName>
    <definedName function="false" hidden="true" name="gggg" vbProcedure="false">{#N/A,#N/A,FALSE,"ADNAMES.XLS";#N/A,#N/A,FALSE,"EQNAMES.XLS";#N/A,#N/A,FALSE,"INNAMES.XLS";#N/A,#N/A,FALSE,"HYNAMES.XLS";#N/A,#N/A,FALSE,"FIXNAMES.XLS";#N/A,#N/A,FALSE,"MONNAMES.XLS";#N/A,#N/A,FALSE,"TECNAMES.XLS"}</definedName>
    <definedName function="false" hidden="true" name="ggggg" vbProcedure="false">{"budget992000_customers",#N/A,FALSE,"Celtel alternative 6"}</definedName>
    <definedName function="false" hidden="true" name="ggggggg" vbProcedure="false">{"budget992000 profit and loss",#N/A,FALSE,"Celtel alternative 6"}</definedName>
    <definedName function="false" hidden="true" name="GGGGGGGGGGG" vbProcedure="false">{"London cttee condensed",#N/A,FALSE,"Dev Panel Cut Report";"South East cttee condensed",#N/A,FALSE,"Dev Panel Cut Report"}</definedName>
    <definedName function="false" hidden="true" name="gggggggggggggg" vbProcedure="false">{#N/A,#N/A,TRUE,"Cont_Stell";#N/A,#N/A,TRUE,"BTG";#N/A,#N/A,TRUE,"SH";#N/A,#N/A,TRUE,"GUV";#N/A,#N/A,TRUE,"Bilanz";#N/A,#N/A,TRUE,"WC";#N/A,#N/A,TRUE,"Beweg_bil";#N/A,#N/A,TRUE,"Kap_fluß";#N/A,#N/A,TRUE,"KENNZ";#N/A,#N/A,TRUE,"ANALYSE"}</definedName>
    <definedName function="false" hidden="true" name="gghghg" vbProcedure="false">{"Data",#N/A,FALSE,"M_VGBUS3";"Graphs1",#N/A,FALSE,"M_VGBUS3";"Volume1",#N/A,FALSE,"M_VGBUS3";"Index1",#N/A,FALSE,"M_VGBUS3";"NUR1",#N/A,FALSE,"M_VGBUS3";"Return1",#N/A,FALSE,"M_VGBUS3";"Licencing1",#N/A,FALSE,"M_VGBUS3";"MFG1",#N/A,FALSE,"M_VGBUS3"}</definedName>
    <definedName function="false" hidden="true" name="gh"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ghd" vbProcedure="false">{#N/A,#N/A,FALSE,"Aging Summary";#N/A,#N/A,FALSE,"Ratio Analysis";#N/A,#N/A,FALSE,"Test 120 Day Accts";#N/A,#N/A,FALSE,"Tickmarks"}</definedName>
    <definedName function="false" hidden="true" name="ghdf" vbProcedure="false">{"Acq_matrix",#N/A,FALSE,"Acquisition Matrix"}</definedName>
    <definedName function="false" hidden="true" name="GHDHGFJFJJGFJF" vbProcedure="false">{#N/A,#N/A,FALSE,"Staffnos &amp; cost"}</definedName>
    <definedName function="false" hidden="true" name="ghf" vbProcedure="false">{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function="false" hidden="true" name="ghfgh" vbProcedure="false">{#N/A,#N/A,FALSE,"Umsatz CH";#N/A,#N/A,FALSE,"ER CH";#N/A,#N/A,FALSE,"EA CH (2) ";#N/A,#N/A,FALSE,"EA CH";#N/A,#N/A,FALSE,"EA CH (3) ";#N/A,#N/A,FALSE,"EA CH (4)";#N/A,#N/A,FALSE,"KA CH";#N/A,#N/A,FALSE,"KA CH  (2)";#N/A,#N/A,FALSE,"KA CH  (3)";#N/A,#N/A,FALSE,"KA CH (4)"}</definedName>
    <definedName function="false" hidden="true" name="ghfs" vbProcedure="false">{#N/A,#N/A,TRUE,"Historicals";#N/A,#N/A,TRUE,"Charts";#N/A,#N/A,TRUE,"Forecasts"}</definedName>
    <definedName function="false" hidden="true" name="ghggg" vbProcedure="false">1/eurextoesp</definedName>
    <definedName function="false" hidden="true" name="ghgh" vbProcedure="false">#REF!</definedName>
    <definedName function="false" hidden="true" name="ghghdrtd" vbProcedure="false">{#N/A,#N/A,TRUE,"Historicals";#N/A,#N/A,TRUE,"Charts";#N/A,#N/A,TRUE,"Forecasts"}</definedName>
    <definedName function="false" hidden="true" name="ghgt" vbProcedure="false">{#N/A,#N/A,TRUE,"FR_HC";#N/A,#N/A,TRUE,"FR_REST";#N/A,#N/A,TRUE,"FR_RETA";#N/A,#N/A,TRUE,"FR_TECSOF";#N/A,#N/A,TRUE,"FR_NETTEC";#N/A,#N/A,TRUE,"FR_CLISER"}</definedName>
    <definedName function="false" hidden="true" name="ghh"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true" name="ghhghd" vbProcedure="false">{"mgmt forecast",#N/A,FALSE,"Mgmt Forecast";"dcf table",#N/A,FALSE,"Mgmt Forecast";"sensitivity",#N/A,FALSE,"Mgmt Forecast";"table inputs",#N/A,FALSE,"Mgmt Forecast";"calculations",#N/A,FALSE,"Mgmt Forecast"}</definedName>
    <definedName function="false" hidden="true" name="ghhhg" vbProcedure="false">{#N/A,#N/A,FALSE,"ORIX CSC"}</definedName>
    <definedName function="false" hidden="true" name="ghi" vbProcedure="false">{"510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function="false" hidden="true" name="ghj" vbProcedure="false">{"CSheet",#N/A,FALSE,"C";"SmCap",#N/A,FALSE,"VAL1";"GulfCoast",#N/A,FALSE,"VAL1";"nav",#N/A,FALSE,"NAV";"Summary",#N/A,FALSE,"NAV"}</definedName>
    <definedName function="false" hidden="true" name="ghj.ljj" vbProcedure="false">{#N/A,#N/A,FALSE,"Produkte Erw.";#N/A,#N/A,FALSE,"Produkte Plan";#N/A,#N/A,FALSE,"Leistungen Erw.";#N/A,#N/A,FALSE,"Leistungen Plan";#N/A,#N/A,FALSE,"KA Allg.Kosten (2)";#N/A,#N/A,FALSE,"KA All.Kosten"}</definedName>
    <definedName function="false" hidden="true" name="ghj.zz" vbProcedure="false">{#N/A,#N/A,FALSE,"Umsatz CH";#N/A,#N/A,FALSE,"ER CH";#N/A,#N/A,FALSE,"EA CH (2) ";#N/A,#N/A,FALSE,"EA CH";#N/A,#N/A,FALSE,"EA CH (3) ";#N/A,#N/A,FALSE,"EA CH (4)";#N/A,#N/A,FALSE,"KA CH";#N/A,#N/A,FALSE,"KA CH  (2)";#N/A,#N/A,FALSE,"KA CH  (3)";#N/A,#N/A,FALSE,"KA CH (4)"}</definedName>
    <definedName function="false" hidden="true" name="ghjggjh" vbProcedure="false">{#N/A,#N/A,FALSE,"Pharm";#N/A,#N/A,FALSE,"WWCM"}</definedName>
    <definedName function="false" hidden="true" name="ghjhgj" vbProcedure="false">{#N/A,#N/A,FALSE,"PMW Gruppe 99_98";#N/A,#N/A,FALSE,"PMW KG 98_99";#N/A,#N/A,FALSE,"PMW Inc. 99_98";#N/A,#N/A,FALSE,"PMW VTECH 99_98";#N/A,#N/A,FALSE,"PMW Thail. 99_98";#N/A,#N/A,FALSE,"PMW Canada 99_98";#N/A,#N/A,FALSE,"Währungsabw. 99_98"}</definedName>
    <definedName function="false" hidden="true" name="ghjhgjh" vbProcedure="false">{#N/A,#N/A,FALSE,"KA CH  (2)"}</definedName>
    <definedName function="false" hidden="true" name="ghjhj" vbProcedure="false">{#N/A,#N/A,FALSE,"Umsatz EO BP";#N/A,#N/A,FALSE,"Umsatz EO OP";#N/A,#N/A,FALSE,"ER EO BP";#N/A,#N/A,FALSE,"ER EO OP";#N/A,#N/A,FALSE,"EA EO (2)";#N/A,#N/A,FALSE,"EA EO";#N/A,#N/A,FALSE,"EA EO (3)";#N/A,#N/A,FALSE,"EA EO (4)";#N/A,#N/A,FALSE,"KA EO  (2)";#N/A,#N/A,FALSE,"KA EO";#N/A,#N/A,FALSE,"KA EO  (3)";#N/A,#N/A,FALSE,"KA EO (4)"}</definedName>
    <definedName function="false" hidden="true" name="ghjk" vbProcedure="false">{#N/A,#N/A,TRUE,"Cover";#N/A,#N/A,TRUE,"Input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function="false" hidden="true" name="ghk" vbProcedure="false">{#N/A,#N/A,FALSE,"Mittelherkunft";#N/A,#N/A,FALSE,"Mittelverwendung"}</definedName>
    <definedName function="false" hidden="true" name="ghkg"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ghkgh"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ghu" vbProcedure="false">{"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function="false" hidden="true" name="ghuifd" vbProcedure="false">{#N/A,"PURCHM",FALSE,"Business Analysis";#N/A,"SPADD",FALSE,"Business Analysis"}</definedName>
    <definedName function="false" hidden="true" name="GH일정" vbProcedure="false">{#N/A,#N/A,FALSE,"단축1";#N/A,#N/A,FALSE,"단축2";#N/A,#N/A,FALSE,"단축3";#N/A,#N/A,FALSE,"장축";#N/A,#N/A,FALSE,"4WD"}</definedName>
    <definedName function="false" hidden="true" name="GIGI" vbProcedure="false">{"FY98Q1",#N/A,FALSE,"FY98 - Q1";"FY98Q2",#N/A,FALSE,"FY98 - Q2";"FY98Q3",#N/A,FALSE,"FY98 - Q3";"FY98Q4",#N/A,FALSE,"FY98 - Q4"}</definedName>
    <definedName function="false" hidden="true" name="GIO" vbProcedure="false">{"'Future Reviews'!$A$1:$D$58"}</definedName>
    <definedName function="false" hidden="true" name="GIORGIO" vbProcedure="false">{"FY97Q1 var",#N/A,FALSE,"FY97 - Q1";"FY97Q2 var",#N/A,FALSE,"FY97 - Q2";"FY97Q3 var",#N/A,FALSE,"FY97 - Q3";"FY97Q4 var",#N/A,FALSE,"FY97 - Q4"}</definedName>
    <definedName function="false" hidden="true" name="GJ" vbProcedure="false">"2009/2010"</definedName>
    <definedName function="false" hidden="true" name="gjh" vbProcedure="false">{#N/A,#N/A,FALSE,"Umsatz 99";#N/A,#N/A,FALSE,"ER 99 "}</definedName>
    <definedName function="false" hidden="true" name="gjhk"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gjio"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true" name="gjk" vbProcedure="false">{#N/A,#N/A,FALSE,"Umsatz HM";#N/A,#N/A,FALSE,"ER HM";#N/A,#N/A,FALSE,"EA HM  (2)";#N/A,#N/A,FALSE,"EA HM ";#N/A,#N/A,FALSE,"EA HM  (4)";#N/A,#N/A,FALSE,"EA HM  (3)";#N/A,#N/A,FALSE,"KA HM  (2)";#N/A,#N/A,FALSE,"KA HM";#N/A,#N/A,FALSE,"KA HM  (3)";#N/A,#N/A,FALSE,"KA HM (4)"}</definedName>
    <definedName function="false" hidden="true" name="gjsf" vbProcedure="false">{"targetdcf",#N/A,FALSE,"Merger consequences";"TARGETASSU",#N/A,FALSE,"Merger consequences";"TERMINAL VALUE",#N/A,FALSE,"Merger consequences"}</definedName>
    <definedName function="false" hidden="true" name="gk" vbProcedure="false">{#N/A,#N/A,FALSE,"Cover";#N/A,#N/A,FALSE,"Assumptions";#N/A,#N/A,FALSE,"Volumes";#N/A,#N/A,FALSE,"Pricing";#N/A,#N/A,FALSE,"TFLE Walk";#N/A,#N/A,FALSE,"Variable Cost";#N/A,#N/A,FALSE,"Sensitivity";#N/A,#N/A,FALSE,"Investment";#N/A,#N/A,FALSE,"Profitability"}</definedName>
    <definedName function="false" hidden="true" name="gkg"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gkjgi" vbProcedure="false">{"direct labor",#N/A,FALSE,"labor";"direct labor1",#N/A,FALSE,"labor"}</definedName>
    <definedName function="false" hidden="true" name="gkjjk" vbProcedure="false">{#N/A,#N/A,FALSE,"Umsatz CH";#N/A,#N/A,FALSE,"ER CH";#N/A,#N/A,FALSE,"EA CH (2) ";#N/A,#N/A,FALSE,"EA CH";#N/A,#N/A,FALSE,"EA CH (3) ";#N/A,#N/A,FALSE,"EA CH (4)";#N/A,#N/A,FALSE,"KA CH";#N/A,#N/A,FALSE,"KA CH  (2)";#N/A,#N/A,FALSE,"KA CH  (3)";#N/A,#N/A,FALSE,"KA CH (4)"}</definedName>
    <definedName function="false" hidden="true" name="gkn" vbProcedure="false">{#N/A,#N/A,FALSE,"COVER PAGE";#N/A,#N/A,FALSE,"Page 2";#N/A,#N/A,FALSE,"Page 2";#N/A,#N/A,FALSE,"Page 4";#N/A,#N/A,FALSE,"Page5";#N/A,#N/A,FALSE,"Page 6";#N/A,#N/A,FALSE,"Page 7";#N/A,#N/A,FALSE,"Page 8";#N/A,#N/A,FALSE,"Page 10";#N/A,#N/A,FALSE,"Long-Term OCF Mult.";#N/A,#N/A,FALSE,"PCS Comp";#N/A,#N/A,FALSE,"OCS-CAPEX";#N/A,#N/A,FALSE,"Blank"}</definedName>
    <definedName function="false" hidden="true" name="GlideChartMarker" vbProcedure="false">"Chart!A1"</definedName>
    <definedName function="false" hidden="true" name="GlideDataMarker" vbProcedure="false">"Data!A1"</definedName>
    <definedName function="false" hidden="true" name="GlideHiddenMarker" vbProcedure="false">"Costcurvedata!A1"</definedName>
    <definedName function="false" hidden="true" name="GlideMaxCharts" vbProcedure="false">7</definedName>
    <definedName function="false" hidden="true" name="Global1" vbProcedure="false">{#N/A,#N/A,FALSE,"Pharm";#N/A,#N/A,FALSE,"WWCM"}</definedName>
    <definedName function="false" hidden="true" name="Gloss" vbProcedure="false">{#N/A,#N/A,FALSE,"Cover";#N/A,#N/A,FALSE,"Assumptions";#N/A,#N/A,FALSE,"Volumes";#N/A,#N/A,FALSE,"Pricing";#N/A,#N/A,FALSE,"TFLE Walk";#N/A,#N/A,FALSE,"Variable Cost";#N/A,#N/A,FALSE,"Sensitivity";#N/A,#N/A,FALSE,"Investment";#N/A,#N/A,FALSE,"Profitability"}</definedName>
    <definedName function="false" hidden="true" name="gls_ACT_EST_ROW" vbProcedure="false">#N/A</definedName>
    <definedName function="false" hidden="true" name="gls_ACT_FORM_OFFSET" vbProcedure="false">#N/A</definedName>
    <definedName function="false" hidden="true" name="gls_AnalystEmpNoHeading" vbProcedure="false">#N/A</definedName>
    <definedName function="false" hidden="true" name="gls_AnalystNameHeading" vbProcedure="false">#N/A</definedName>
    <definedName function="false" hidden="true" name="gls_EST_FORM_OFFSET" vbProcedure="false">#N/A</definedName>
    <definedName function="false" hidden="true" name="gls_EXTERNAL_COL_REF" vbProcedure="false">#N/A</definedName>
    <definedName function="false" hidden="true" name="gls_FIRST_ITEM" vbProcedure="false">#N/A</definedName>
    <definedName function="false" hidden="true" name="gls_FIRST_PK" vbProcedure="false">#N/A</definedName>
    <definedName function="false" hidden="true" name="gls_FIRST_ROWMULT" vbProcedure="false">#N/A</definedName>
    <definedName function="false" hidden="true" name="gls_FIRST_UNITS" vbProcedure="false">#N/A</definedName>
    <definedName function="false" hidden="true" name="gls_FIXED_NAMES" vbProcedure="false">#N/A</definedName>
    <definedName function="false" hidden="true" name="gls_FONT_STATUS" vbProcedure="false">#N/A</definedName>
    <definedName function="false" hidden="true" name="gls_GenAccountingConvention" vbProcedure="false">#N/A</definedName>
    <definedName function="false" hidden="true" name="gls_GenCompany" vbProcedure="false">#N/A</definedName>
    <definedName function="false" hidden="true" name="gls_GenCompanyInfo" vbProcedure="false">#N/A</definedName>
    <definedName function="false" hidden="true" name="gls_GenCountry" vbProcedure="false">#N/A</definedName>
    <definedName function="false" hidden="true" name="gls_GenCurrency" vbProcedure="false">#N/A</definedName>
    <definedName function="false" hidden="true" name="gls_GenCurrencyMultiplier" vbProcedure="false">#N/A</definedName>
    <definedName function="false" hidden="true" name="gls_GenEnterCompInfo" vbProcedure="false">#N/A</definedName>
    <definedName function="false" hidden="true" name="gls_GenLastPriceTargetRevised" vbProcedure="false">#N/A</definedName>
    <definedName function="false" hidden="true" name="gls_GenLastPublished" vbProcedure="false">#N/A</definedName>
    <definedName function="false" hidden="true" name="gls_GenLastRecRevised" vbProcedure="false">#N/A</definedName>
    <definedName function="false" hidden="true" name="gls_GenMainInfo" vbProcedure="false">#N/A</definedName>
    <definedName function="false" hidden="true" name="gls_GenProfile" vbProcedure="false">#N/A</definedName>
    <definedName function="false" hidden="true" name="gls_GenRecComment" vbProcedure="false">#N/A</definedName>
    <definedName function="false" hidden="true" name="gls_GenSheetVersion" vbProcedure="false">#N/A</definedName>
    <definedName function="false" hidden="true" name="gls_genStockCore" vbProcedure="false">#N/A</definedName>
    <definedName function="false" hidden="true" name="gls_genStockRec" vbProcedure="false">#N/A</definedName>
    <definedName function="false" hidden="true" name="gls_GenTargetCurrency" vbProcedure="false">#N/A</definedName>
    <definedName function="false" hidden="true" name="gls_IssuedStockClassHeading" vbProcedure="false">#N/A</definedName>
    <definedName function="false" hidden="true" name="gls_IssuedStockCodeHeading" vbProcedure="false">#N/A</definedName>
    <definedName function="false" hidden="true" name="gls_IssuedStockFreeFloatHeading" vbProcedure="false">#N/A</definedName>
    <definedName function="false" hidden="true" name="gls_KEY_DATA" vbProcedure="false">#N/A</definedName>
    <definedName function="false" hidden="true" name="gls_KEY_VALUE" vbProcedure="false">#N/A</definedName>
    <definedName function="false" hidden="true" name="gls_PERIOD_CODE" vbProcedure="false">#N/A</definedName>
    <definedName function="false" hidden="true" name="gls_PERIOD_INDICATOR" vbProcedure="false">#N/A</definedName>
    <definedName function="false" hidden="true" name="gls_PERIOD_PARENT_OR_CONSOL" vbProcedure="false">#N/A</definedName>
    <definedName function="false" hidden="true" name="gls_PERIOD_TYPE" vbProcedure="false">#N/A</definedName>
    <definedName function="false" hidden="true" name="gls_PrincipalStockClass" vbProcedure="false">#N/A</definedName>
    <definedName function="false" hidden="true" name="gls_ShareholderClassHeading" vbProcedure="false">#N/A</definedName>
    <definedName function="false" hidden="true" name="gls_ShareholderHolding" vbProcedure="false">#N/A</definedName>
    <definedName function="false" hidden="true" name="gls_ShareholderHoldingHeading" vbProcedure="false">#N/A</definedName>
    <definedName function="false" hidden="true" name="gls_ShareholderName" vbProcedure="false">#N/A</definedName>
    <definedName function="false" hidden="true" name="gls_ShareholderNameHeading" vbProcedure="false">#N/A</definedName>
    <definedName function="false" hidden="true" name="gls_ShareholdingName" vbProcedure="false">#N/A</definedName>
    <definedName function="false" hidden="true" name="gls_SPARE_YEARS" vbProcedure="false">#N/A</definedName>
    <definedName function="false" hidden="true" name="gls_START_FORMULA_OVERRIDEABLE" vbProcedure="false">#N/A</definedName>
    <definedName function="false" hidden="true" name="gls_START_LOCAL_NAMES" vbProcedure="false">#N/A</definedName>
    <definedName function="false" hidden="true" name="gls_START_PERIOD_CURRENCY" vbProcedure="false">#N/A</definedName>
    <definedName function="false" hidden="true" name="gls_START_STATUS" vbProcedure="false">#N/A</definedName>
    <definedName function="false" hidden="true" name="gls_START_USER_STATUS" vbProcedure="false">#N/A</definedName>
    <definedName function="false" hidden="true" name="gls_START_VALIDATION" vbProcedure="false">#N/A</definedName>
    <definedName function="false" hidden="true" name="gls_START_WHAT" vbProcedure="false">#N/A</definedName>
    <definedName function="false" hidden="true" name="gls_START_YEAR" vbProcedure="false">#N/A</definedName>
    <definedName function="false" hidden="true" name="gls_TEMP_PERIOD_CODE" vbProcedure="false">#N/A</definedName>
    <definedName function="false" hidden="true" name="gls_YEAR_AE_CONTROL" vbProcedure="false">#N/A</definedName>
    <definedName function="false" hidden="true" name="gls_YEAR_END_ROW" vbProcedure="false">#N/A</definedName>
    <definedName function="false" hidden="true" name="gma" vbProcedure="false">{"Avorstand",#N/A,TRUE,"Abf. Szenario ";"Bnord",#N/A,TRUE,"Abf. Szenario ";"Cnordwest",#N/A,TRUE,"Abf. Szenario ";"Dwest",#N/A,TRUE,"Abf. Szenario ";"Esüdwest",#N/A,TRUE,"Abf. Szenario ";"Fsüd",#N/A,TRUE,"Abf. Szenario ";"Host",#N/A,TRUE,"Abf. Szenario ";"Gesamt",#N/A,TRUE,"Abf. Szenario "}</definedName>
    <definedName function="false" hidden="true" name="gmcol" vbProcedure="false">#REF!</definedName>
    <definedName function="false" hidden="true" name="gndnd" vbProcedure="false">{#N/A,#N/A,TRUE,"Historicals";#N/A,#N/A,TRUE,"Charts";#N/A,#N/A,TRUE,"Forecasts"}</definedName>
    <definedName function="false" hidden="true" name="gnfd" vbProcedure="false">{#N/A,#N/A,TRUE,"Historicals";#N/A,#N/A,TRUE,"Charts";#N/A,#N/A,TRUE,"Forecasts"}</definedName>
    <definedName function="false" hidden="true" name="gnhf" vbProcedure="false">{"K GuV o. Kommentar",#N/A,FALSE,"Kaufhof"}</definedName>
    <definedName function="false" hidden="true" name="go" vbProcedure="false">{"TOTAL",#N/A,FALSE,"A";"FISCAL94",#N/A,FALSE,"A";"FISCAL95",#N/A,FALSE,"A";"FISCAL96",#N/A,FALSE,"A";"misc page",#N/A,FALSE,"A"}</definedName>
    <definedName function="false" hidden="true" name="gods" vbProcedure="false">{"consolidated",#N/A,FALSE,"Sheet1";"cms",#N/A,FALSE,"Sheet1";"fse",#N/A,FALSE,"Sheet1"}</definedName>
    <definedName function="false" hidden="true" name="gogo" vbProcedure="false">{#N/A,#N/A,TRUE,"Cover sheet";#N/A,#N/A,TRUE,"INPUTS";#N/A,#N/A,TRUE,"OUTPUTS";#N/A,#N/A,TRUE,"VALUATION"}</definedName>
    <definedName function="false" hidden="true" name="GOODWILL_NET" vbProcedure="false">"GOODWILL_NET"</definedName>
    <definedName function="false" hidden="true" name="gors" vbProcedure="false">{"var_page",#N/A,FALSE,"template"}</definedName>
    <definedName function="false" hidden="true" name="gotfff"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Grade" vbProcedure="false">{"NissanDetail",#N/A,FALSE,"1096NNA";"InfinitiDetail",#N/A,FALSE,"1096NNA";"PartsServDetail",#N/A,FALSE,"1096NNA";"VehicleOpsDetail",#N/A,FALSE,"1096NNA";"OtherexpDetail",#N/A,FALSE,"1096NNA"}</definedName>
    <definedName function="false" hidden="true" name="Gradewalk" vbProcedure="false">{"RES-2001",#N/A,FALSE,"BL2000";"A1-2001",#N/A,FALSE,"BL2000";"A2-2001",#N/A,FALSE,"BL2000"}</definedName>
    <definedName function="false" hidden="true" name="GRAFICA" vbProcedure="false">{"'Data'!$A$1:$D$17"}</definedName>
    <definedName function="false" hidden="true" name="Grafik1" vbProcedure="false">{"mgmt forecast",#N/A,FALSE,"Mgmt Forecast";"dcf table",#N/A,FALSE,"Mgmt Forecast";"sensitivity",#N/A,FALSE,"Mgmt Forecast";"table inputs",#N/A,FALSE,"Mgmt Forecast";"calculations",#N/A,FALSE,"Mgmt Forecast"}</definedName>
    <definedName function="false" hidden="true" name="graham" vbProcedure="false">{"ICD Details",#N/A,FALSE,"Current Yr";"ICD Details",#N/A,FALSE,"Budget";"ICD Details",#N/A,FALSE,"Prior Year"}</definedName>
    <definedName function="false" hidden="true" name="graph" vbProcedure="false">{#N/A,#N/A,FALSE,"REPORT"}</definedName>
    <definedName function="false" hidden="true" name="graph1" vbProcedure="false">#REF!</definedName>
    <definedName function="false" hidden="true" name="graph10" vbProcedure="false">#REF!</definedName>
    <definedName function="false" hidden="true" name="graph11" vbProcedure="false">#REF!</definedName>
    <definedName function="false" hidden="true" name="graph12" vbProcedure="false">#REF!</definedName>
    <definedName function="false" hidden="true" name="graph13" vbProcedure="false">#REF!</definedName>
    <definedName function="false" hidden="true" name="graph14" vbProcedure="false">#REF!</definedName>
    <definedName function="false" hidden="true" name="graph15" vbProcedure="false">#REF!</definedName>
    <definedName function="false" hidden="true" name="graph16" vbProcedure="false">#REF!</definedName>
    <definedName function="false" hidden="true" name="graph17" vbProcedure="false">#REF!</definedName>
    <definedName function="false" hidden="true" name="graph18" vbProcedure="false">#REF!</definedName>
    <definedName function="false" hidden="true" name="graph19" vbProcedure="false">#REF!</definedName>
    <definedName function="false" hidden="true" name="graph2" vbProcedure="false">#REF!</definedName>
    <definedName function="false" hidden="true" name="graph20" vbProcedure="false">#REF!</definedName>
    <definedName function="false" hidden="true" name="graph21" vbProcedure="false">#REF!</definedName>
    <definedName function="false" hidden="true" name="graph22" vbProcedure="false">#REF!</definedName>
    <definedName function="false" hidden="true" name="graph23" vbProcedure="false">#REF!</definedName>
    <definedName function="false" hidden="true" name="graph24" vbProcedure="false">#REF!</definedName>
    <definedName function="false" hidden="true" name="graph25" vbProcedure="false">#REF!</definedName>
    <definedName function="false" hidden="true" name="graph3" vbProcedure="false">#REF!</definedName>
    <definedName function="false" hidden="true" name="graph4" vbProcedure="false">#REF!</definedName>
    <definedName function="false" hidden="true" name="graph5" vbProcedure="false">#REF!</definedName>
    <definedName function="false" hidden="true" name="graph6" vbProcedure="false">#REF!</definedName>
    <definedName function="false" hidden="true" name="graph7" vbProcedure="false">#REF!</definedName>
    <definedName function="false" hidden="true" name="graph8" vbProcedure="false">#REF!</definedName>
    <definedName function="false" hidden="true" name="graph9" vbProcedure="false">#REF!</definedName>
    <definedName function="false" hidden="true" name="gre" vbProcedure="false">{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function="false" hidden="true" name="greg"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grerewg" vbProcedure="false">{#N/A,#N/A,TRUE,"Historicals";#N/A,#N/A,TRUE,"Charts";#N/A,#N/A,TRUE,"Forecasts"}</definedName>
    <definedName function="false" hidden="true" name="grewgfd" vbProcedure="false">{#N/A,#N/A,TRUE,"Historicals";#N/A,#N/A,TRUE,"Charts";#N/A,#N/A,TRUE,"Forecasts"}</definedName>
    <definedName function="false" hidden="true" name="grewghythyt" vbProcedure="false">{#N/A,#N/A,TRUE,"Historicals";#N/A,#N/A,TRUE,"Charts";#N/A,#N/A,TRUE,"Forecasts"}</definedName>
    <definedName function="false" hidden="true" name="grewgregs" vbProcedure="false">{#N/A,#N/A,TRUE,"Historicals";#N/A,#N/A,TRUE,"Charts";#N/A,#N/A,TRUE,"Forecasts"}</definedName>
    <definedName function="false" hidden="true" name="grewgres" vbProcedure="false">{#N/A,#N/A,TRUE,"Historicals";#N/A,#N/A,TRUE,"Charts";#N/A,#N/A,TRUE,"Forecasts"}</definedName>
    <definedName function="false" hidden="true" name="grewgrewg" vbProcedure="false">{#N/A,#N/A,TRUE,"Historicals";#N/A,#N/A,TRUE,"Charts";#N/A,#N/A,TRUE,"Forecasts"}</definedName>
    <definedName function="false" hidden="true" name="grghfgfg" vbProcedure="false">{#N/A,#N/A,FALSE,"Umsatz CH";#N/A,#N/A,FALSE,"ER CH";#N/A,#N/A,FALSE,"EA CH (2) ";#N/A,#N/A,FALSE,"EA CH";#N/A,#N/A,FALSE,"EA CH (3) ";#N/A,#N/A,FALSE,"EA CH (4)";#N/A,#N/A,FALSE,"KA CH";#N/A,#N/A,FALSE,"KA CH  (2)";#N/A,#N/A,FALSE,"KA CH  (3)";#N/A,#N/A,FALSE,"KA CH (4)"}</definedName>
    <definedName function="false" hidden="true" name="grossnetdebt" vbProcedure="false">#REF!</definedName>
    <definedName function="false" hidden="true" name="GROSS_DIVID" vbProcedure="false">"GROSS_DIVID"</definedName>
    <definedName function="false" hidden="true" name="GROSS_MARGIN" vbProcedure="false">"GROSS_MARGIN"</definedName>
    <definedName function="false" hidden="true" name="GROSS_PROFIT" vbProcedure="false">"GROSS_PROFIT"</definedName>
    <definedName function="false" hidden="true" name="grq" vbProcedure="false">{"'WS Sales by Rep'!$A$24:$L$46"}</definedName>
    <definedName function="false" hidden="true" name="grr" vbProcedure="false">{"risultati",#N/A,FALSE,"Revenues";"ricavi advertising",#N/A,FALSE,"Revenues";"ricavi e-commerce",#N/A,FALSE,"Revenues";"ricavi fee for content",#N/A,FALSE,"Revenues";"costi infrastruttura",#N/A,FALSE,"Costi";"altri costi",#N/A,FALSE,"Costi";"conto economico",#N/A,FALSE,"Conto economico";"Flussi di cassa",#N/A,FALSE,"FCF"}</definedName>
    <definedName function="false" hidden="true" name="grtr" vbProcedure="false">{"graph",#N/A,FALSE,"WWJU";"graph",#N/A,FALSE,"WWSEM";"graph",#N/A,FALSE,"GOMJU";"graph",#N/A,FALSE,"GOMSEM";"graph",#N/A,FALSE,"NSJU";"graph",#N/A,FALSE,"NSSEM";"graph",#N/A,FALSE,"WAJU";"graph",#N/A,FALSE,"STOCKPRI";"graph",#N/A,FALSE,"CFTEV";"graph",#N/A,FALSE,"NAV-RCV";"graph",#N/A,FALSE,"CRUDEWW"}</definedName>
    <definedName function="false" hidden="true" name="Grundstuecksaufwand" vbProcedure="false">#REF!</definedName>
    <definedName function="false" hidden="true" name="GrundstuecksaufwandN" vbProcedure="false">#REF!</definedName>
    <definedName function="false" hidden="true" name="Grundstuecksaufwand_" vbProcedure="false">#REF!</definedName>
    <definedName function="false" hidden="true" name="Grundstuecksertraege" vbProcedure="false">#REF!</definedName>
    <definedName function="false" hidden="true" name="GrundstuecksertraegeN" vbProcedure="false">#REF!</definedName>
    <definedName function="false" hidden="true" name="Grundstuecksertraege_" vbProcedure="false">#REF!</definedName>
    <definedName function="false" hidden="true" name="gsadfgfdg"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gsd" vbProcedure="false">{"SCM_Detail",#N/A,FALSE,"SCM";"SCM_Top",#N/A,FALSE,"SCM"}</definedName>
    <definedName function="false" hidden="true" name="gsergf" vbProcedure="false">{#N/A,#N/A,TRUE,"Historicals";#N/A,#N/A,TRUE,"Charts";#N/A,#N/A,TRUE,"Forecasts"}</definedName>
    <definedName function="false" hidden="true" name="gsfhdghdgh654q"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gsgf" vbProcedure="false">{"'Plan_vs_Actual'!$B$3:$U$27"}</definedName>
    <definedName function="false" hidden="true" name="gty" vbProcedure="false">{"QTD_PACKAGE",#N/A,FALSE,"QTD"}</definedName>
    <definedName function="false" hidden="true" name="gukhjhjhjg" vbProcedure="false">{#N/A,#N/A,TRUE,"Historicals";#N/A,#N/A,TRUE,"Charts";#N/A,#N/A,TRUE,"Forecasts"}</definedName>
    <definedName function="false" hidden="true" name="guv" vbProcedure="false">{"K GuV o. Kommentar",#N/A,FALSE,"Kaufhof"}</definedName>
    <definedName function="false" hidden="true" name="GUV015_06" vbProcedure="false">{"BS",#N/A,FALSE,"USA"}</definedName>
    <definedName function="false" hidden="true" name="GuV_2004" vbProcedure="false">{#N/A,#N/A,FALSE,"A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function="false" hidden="true" name="gUV_2004_00" vbProcedure="false">{#N/A,#N/A,FALSE,"A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function="false" hidden="true" name="guz" vbProcedure="false">{"fleisch",#N/A,FALSE,"WG HK";"food",#N/A,FALSE,"WG HK";"hartwaren",#N/A,FALSE,"WG HK";"weichwaren",#N/A,FALSE,"WG HK"}</definedName>
    <definedName function="false" hidden="true" name="GV" vbProcedure="false">"2008/2009"</definedName>
    <definedName function="false" hidden="true" name="gvbg"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gvhj"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GVor2" vbProcedure="false">#VALUE!</definedName>
    <definedName function="false" hidden="true" name="GVor3" vbProcedure="false">#VALUE!</definedName>
    <definedName function="false" hidden="true" name="GVor4" vbProcedure="false">#VALUE!</definedName>
    <definedName function="false" hidden="true" name="gwsre4geasr"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gyhui" vbProcedure="false">{"CSheet",#N/A,FALSE,"C";"SmCap",#N/A,FALSE,"VAL1";"GulfCoast",#N/A,FALSE,"VAL1";"nav",#N/A,FALSE,"NAV";"Summary",#N/A,FALSE,"NAV"}</definedName>
    <definedName function="false" hidden="true" name="GZSZOnline" vbProcedure="false">{"TeleKomplett",#N/A,TRUE,"Tele";"gfKomplett",#N/A,TRUE,"Gf";"MktKomplett",#N/A,TRUE,"Mkt";"RTLTextKomplett",#N/A,TRUE,"RTLText";"ATXITVKomplett",#N/A,TRUE,"ATXITV";"TechKomplett",#N/A,TRUE,"Tech";"Pufferkomplett",#N/A,TRUE,"Puffer"}</definedName>
    <definedName function="false" hidden="true" name="h" vbProcedure="false">{#N/A,#N/A,TRUE,"Cont_Stell";#N/A,#N/A,TRUE,"BTG";#N/A,#N/A,TRUE,"SH";#N/A,#N/A,TRUE,"GUV";#N/A,#N/A,TRUE,"Bilanz";#N/A,#N/A,TRUE,"WC";#N/A,#N/A,TRUE,"Beweg_bil";#N/A,#N/A,TRUE,"Kap_fluß";#N/A,#N/A,TRUE,"KENNZ";#N/A,#N/A,TRUE,"ANALYSE"}</definedName>
    <definedName function="false" hidden="true" name="h.ll" vbProcedure="false">{#N/A,#N/A,FALSE,"PMW Gruppe 99_98";#N/A,#N/A,FALSE,"PMW KG 98_99";#N/A,#N/A,FALSE,"PMW Inc. 99_98";#N/A,#N/A,FALSE,"PMW VTECH 99_98";#N/A,#N/A,FALSE,"PMW Thail. 99_98";#N/A,#N/A,FALSE,"PMW Canada 99_98";#N/A,#N/A,FALSE,"Währungsabw. 99_98"}</definedName>
    <definedName function="false" hidden="true" name="H2H" vbProcedure="false">{#N/A,#N/A,FALSE,"Staffnos &amp; cost"}</definedName>
    <definedName function="false" hidden="true" name="h45zh" vbProcedure="false">{#N/A,#N/A,FALSE,"Layout Aktiva";#N/A,#N/A,FALSE,"Layout Passiva";#N/A,#N/A,FALSE,"Layout GuV";#N/A,#N/A,FALSE,"Layout Cash Flow";#N/A,#N/A,FALSE,"Mittelherkunft";#N/A,#N/A,FALSE,"Mittelverwendung";#N/A,#N/A,FALSE,"Finanzbedarfsrechnung"}</definedName>
    <definedName function="false" hidden="true" name="hallo" vbProcedure="false">{"K Bilanz o. Kommentar",#N/A,FALSE,"Kaufhof"}</definedName>
    <definedName function="false" hidden="true" name="Halloo" vbProcedure="false">{"K GuV o. Kommentar",#N/A,FALSE,"Kaufhof"}</definedName>
    <definedName function="false" hidden="true" name="Hans" vbProcedure="false">#N/A</definedName>
    <definedName function="false" hidden="true" name="harry" vbProcedure="false">#N/A</definedName>
    <definedName function="false" hidden="true" name="Haryana" vbProcedure="false">{#N/A,#N/A,FALSE,"Staffnos &amp; cost"}</definedName>
    <definedName function="false" hidden="true" name="hb"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hbdghd" vbProcedure="false">{#N/A,#N/A,TRUE,"Historicals";#N/A,#N/A,TRUE,"Charts";#N/A,#N/A,TRUE,"Forecasts"}</definedName>
    <definedName function="false" hidden="true" name="HBGFF" vbProcedure="false">{"'Demand Units'!$X$11:$AD$45"}</definedName>
    <definedName function="false" hidden="true" name="hbs" vbProcedure="false">{"'TRXAllergyVolume'!$A$1:$I$47"}</definedName>
    <definedName function="false" hidden="true" name="hdfg" vbProcedure="false">{#N/A,#N/A,TRUE,"Historicals";#N/A,#N/A,TRUE,"Charts";#N/A,#N/A,TRUE,"Forecasts"}</definedName>
    <definedName function="false" hidden="true" name="hdfgh" vbProcedure="false">{"SUM GER",#N/A,FALSE,"SUM GER";"SUM FRA",#N/A,FALSE,"SUM FRA";"SUM ITA",#N/A,FALSE,"SUM ITA";"SUM SPA",#N/A,FALSE,"SUM SPA";"SUM EGB",#N/A,FALSE,"SUM EGB";"SUM IND",#N/A,FALSE,"SUM IND"}</definedName>
    <definedName function="false" hidden="true" name="hdfghfg" vbProcedure="false">{"SUM ALL YR",#N/A,FALSE,"SUM ALL YR";"sum01",#N/A,FALSE,"SUM 01";"sumM2",#N/A,FALSE,"SUM M2";"sum02",#N/A,FALSE,"SUM 02";"sum03",#N/A,FALSE,"SUM 03";"sum04",#N/A,FALSE,"SUM 04";"sum05",#N/A,FALSE,"SUM 05"}</definedName>
    <definedName function="false" hidden="true" name="hdfrthfd" vbProcedure="false">{#N/A,#N/A,TRUE,"Historicals";#N/A,#N/A,TRUE,"Charts";#N/A,#N/A,TRUE,"Forecasts"}</definedName>
    <definedName function="false" hidden="true" name="HDHFH" vbProcedure="false">{"landexbravo",#N/A,FALSE,"Land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function="false" hidden="true" name="hdkjhdksj"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hdsg" vbProcedure="false">{0,0,0,0;0,0,0,FALSE;0,0,0,0}</definedName>
    <definedName function="false" hidden="true" name="Headcount2" vbProcedure="false">{"'WS Sales by Rep'!$A$24:$L$46"}</definedName>
    <definedName function="false" hidden="true" name="Headcount3" vbProcedure="false">{"'WS Sales by Rep'!$A$24:$L$46"}</definedName>
    <definedName function="false" hidden="true" name="Header1" vbProcedure="false">IF(COUNTA(#REF!)=0,0,INDEX(#REF!,MATCH(ROW(#REF!),#REF!,TRUE())))+1</definedName>
    <definedName function="false" hidden="true" name="Header2" vbProcedure="false">#REF!-1 &amp; "." &amp; MAX(1,COUNTA(INDEX(#REF!,MATCH(#REF!-1,#REF!,FALSE())):#REF!))</definedName>
    <definedName function="false" hidden="true" name="HeaderSpot" vbProcedure="false">#REF!</definedName>
    <definedName function="false" hidden="true" name="hector" vbProcedure="false">{"'Data'!$A$1:$D$17"}</definedName>
    <definedName function="false" hidden="true" name="hell" vbProcedure="false">{"Area1",#N/A,FALSE,"OREWACC";"Area2",#N/A,FALSE,"OREWACC"}</definedName>
    <definedName function="false" hidden="true" name="helleon" vbProcedure="false">{"Area1",#N/A,FALSE,"OREWACC";"Area2",#N/A,FALSE,"OREWACC"}</definedName>
    <definedName function="false" hidden="true" name="Hello" vbProcedure="false">{"Area1",#N/A,FALSE,"OREWACC";"Area2",#N/A,FALSE,"OREWACC"}</definedName>
    <definedName function="false" hidden="true" name="hello1" vbProcedure="false">{"Area1",#N/A,FALSE,"OREWACC";"Area2",#N/A,FALSE,"OREWACC"}</definedName>
    <definedName function="false" hidden="true" name="hello2" vbProcedure="false">{"Area1",#N/A,FALSE,"OREWACC";"Area2",#N/A,FALSE,"OREWACC"}</definedName>
    <definedName function="false" hidden="true" name="helloandgo" vbProcedure="false">{#N/A,#N/A,FALSE,"Cover";#N/A,#N/A,FALSE,"Contents-Pg1";#N/A,#N/A,FALSE,"High-Com-pg2";#N/A,#N/A,FALSE,"1 Full";#N/A,#N/A,FALSE,"1chts";#N/A,#N/A,FALSE,"Table 2";#N/A,#N/A,FALSE,"3New Iss";#N/A,#N/A,FALSE,"4Money raised";#N/A,#N/A,FALSE,"5Aim";#N/A,#N/A,FALSE,"AiM charts";#N/A,#N/A,FALSE,"6FT Smll";#N/A,#N/A,FALSE,"11SEATS";#N/A,#N/A,FALSE,"12Notes"}</definedName>
    <definedName function="false" hidden="true" name="help1" vbProcedure="false">{#N/A,#N/A,FALSE,"CONSOLIDATED";#N/A,#N/A,FALSE,"LANCE CO";#N/A,#N/A,FALSE,"VISTA"}</definedName>
    <definedName function="false" hidden="true" name="HELP3" vbProcedure="false">{#N/A,#N/A,FALSE,"CONSOLIDATED";#N/A,#N/A,FALSE,"LANCE CO";#N/A,#N/A,FALSE,"VISTA"}</definedName>
    <definedName function="false" hidden="true" name="HELP4" vbProcedure="false">{#N/A,#N/A,FALSE,"CONSOLIDATED";#N/A,#N/A,FALSE,"LANCE CO";#N/A,#N/A,FALSE,"VISTA"}</definedName>
    <definedName function="false" hidden="true" name="HELP5" vbProcedure="false">{#N/A,#N/A,FALSE,"CONSOLIDATED";#N/A,#N/A,FALSE,"LANCE CO";#N/A,#N/A,FALSE,"VISTA"}</definedName>
    <definedName function="false" hidden="true" name="HELP6" vbProcedure="false">{#N/A,#N/A,FALSE,"CONSOLIDATED";#N/A,#N/A,FALSE,"LANCE CO";#N/A,#N/A,FALSE,"VISTA"}</definedName>
    <definedName function="false" hidden="true" name="HELP7" vbProcedure="false">{#N/A,#N/A,FALSE,"CONSOLIDATED";#N/A,#N/A,FALSE,"LANCE CO";#N/A,#N/A,FALSE,"VISTA"}</definedName>
    <definedName function="false" hidden="true" name="HELP8" vbProcedure="false">{#N/A,#N/A,FALSE,"CONSOLIDATED";#N/A,#N/A,FALSE,"LANCE CO";#N/A,#N/A,FALSE,"VISTA"}</definedName>
    <definedName function="false" hidden="true" name="Hemorrhage" vbProcedure="false">{"mgmt forecast",#N/A,FALSE,"Mgmt Forecast";"dcf table",#N/A,FALSE,"Mgmt Forecast";"sensitivity",#N/A,FALSE,"Mgmt Forecast";"table inputs",#N/A,FALSE,"Mgmt Forecast";"calculations",#N/A,FALSE,"Mgmt Forecast"}</definedName>
    <definedName function="false" hidden="true" name="hfdshfe" vbProcedure="false">{#N/A,#N/A,TRUE,"Historicals";#N/A,#N/A,TRUE,"Charts";#N/A,#N/A,TRUE,"Forecasts"}</definedName>
    <definedName function="false" hidden="true" name="hfgh"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hfghdh" vbProcedure="false">{#N/A,#N/A,TRUE,"Historicals";#N/A,#N/A,TRUE,"Charts";#N/A,#N/A,TRUE,"Forecasts"}</definedName>
    <definedName function="false" hidden="true" name="hfghrthrt" vbProcedure="false">{#N/A,#N/A,TRUE,"Historicals";#N/A,#N/A,TRUE,"Charts";#N/A,#N/A,TRUE,"Forecasts"}</definedName>
    <definedName function="false" hidden="true" name="hfh" vbProcedure="false">{#N/A,#N/A,FALSE,"Staffnos &amp; cost"}</definedName>
    <definedName function="false" hidden="true" name="HFinGraph" vbProcedure="false">{#N/A,#N/A,FALSE,"Pharm";#N/A,#N/A,FALSE,"WWCM"}</definedName>
    <definedName function="false" hidden="true" name="hg" vbProcedure="false">{"fleisch",#N/A,FALSE,"WG HK";"food",#N/A,FALSE,"WG HK";"hartwaren",#N/A,FALSE,"WG HK";"weichwaren",#N/A,FALSE,"WG HK"}</definedName>
    <definedName function="false" hidden="true" name="HGB"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hgcj" vbProcedure="false">{#N/A,#N/A,FALSE,"5yr.hist."}</definedName>
    <definedName function="false" hidden="true" name="hgdhdyu" vbProcedure="false">{#N/A,#N/A,TRUE,"Historicals";#N/A,#N/A,TRUE,"Charts";#N/A,#N/A,TRUE,"Forecasts"}</definedName>
    <definedName function="false" hidden="true" name="hgdhr" vbProcedure="false">{#N/A,#N/A,TRUE,"Historicals";#N/A,#N/A,TRUE,"Charts";#N/A,#N/A,TRUE,"Forecasts"}</definedName>
    <definedName function="false" hidden="true" name="hgfd" vbProcedure="false">{"BA detail",#N/A,FALSE,"Q3YTD "}</definedName>
    <definedName function="false" hidden="true" name="hgfdhty" vbProcedure="false">{#N/A,#N/A,TRUE,"Historicals";#N/A,#N/A,TRUE,"Charts";#N/A,#N/A,TRUE,"Forecasts"}</definedName>
    <definedName function="false" hidden="true" name="hgfhd" vbProcedure="false">{#N/A,#N/A,TRUE,"Historicals";#N/A,#N/A,TRUE,"Charts";#N/A,#N/A,TRUE,"Forecasts"}</definedName>
    <definedName function="false" hidden="true" name="hgfhsdf"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HGFT" vbProcedure="false">{"'Demand Units'!$X$11:$AD$45"}</definedName>
    <definedName function="false" hidden="true" name="hgfthfh" vbProcedure="false">{#N/A,#N/A,TRUE,"Historicals";#N/A,#N/A,TRUE,"Charts";#N/A,#N/A,TRUE,"Forecasts"}</definedName>
    <definedName function="false" hidden="true" name="hgfy" vbProcedure="false">{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function="false" hidden="true" name="hghg" vbProcedure="false">{"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function="false" hidden="true" name="hghj"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hgjghjhhg" vbProcedure="false">{#N/A,#N/A,FALSE,"Produkte Erw.";#N/A,#N/A,FALSE,"Produkte Plan";#N/A,#N/A,FALSE,"Leistungen Erw.";#N/A,#N/A,FALSE,"Leistungen Plan";#N/A,#N/A,FALSE,"KA Allg.Kosten (2)";#N/A,#N/A,FALSE,"KA All.Kosten"}</definedName>
    <definedName function="false" hidden="true" name="hgmfmytut" vbProcedure="false">{#N/A,#N/A,TRUE,"Historicals";#N/A,#N/A,TRUE,"Charts";#N/A,#N/A,TRUE,"Forecasts"}</definedName>
    <definedName function="false" hidden="true" name="hgrth" vbProcedure="false">{"orixcsc",#N/A,FALSE,"ORIX CSC";"orixcsc2",#N/A,FALSE,"ORIX CSC"}</definedName>
    <definedName function="false" hidden="true" name="hgsdherhrg" vbProcedure="false">{#N/A,#N/A,TRUE,"Historicals";#N/A,#N/A,TRUE,"Charts";#N/A,#N/A,TRUE,"Forecasts"}</definedName>
    <definedName function="false" hidden="true" name="hh"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hh.k" vbProcedure="false">{#N/A,#N/A,FALSE,"KA CH  (2)"}</definedName>
    <definedName function="false" hidden="true" name="HHADKHCKHLDA" vbProcedure="false">{#N/A,#N/A,FALSE,"단축1";#N/A,#N/A,FALSE,"단축2";#N/A,#N/A,FALSE,"단축3";#N/A,#N/A,FALSE,"장축";#N/A,#N/A,FALSE,"4WD"}</definedName>
    <definedName function="false" hidden="true" name="hherereq" vbProcedure="false">1/eurextoluf</definedName>
    <definedName function="false" hidden="true" name="hhfhfhf" vbProcedure="false">#REF!</definedName>
    <definedName function="false" hidden="true" name="hhh"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hhhh1" vbProcedure="false">{#N/A,#N/A,FALSE,"MAY";#N/A,#N/A,FALSE,"Q2";#N/A,#N/A,FALSE,"YTD"}</definedName>
    <definedName function="false" hidden="true" name="hhhh7000" vbProcedure="false">{#N/A,#N/A,FALSE,"MAY";#N/A,#N/A,FALSE,"Q2";#N/A,#N/A,FALSE,"YTD"}</definedName>
    <definedName function="false" hidden="true" name="hhhhh" vbProcedure="false">{"weichwaren",#N/A,FALSE,"Liste 1";"hartwaren",#N/A,FALSE,"Liste 1";"food",#N/A,FALSE,"Liste 1";"fleisch",#N/A,FALSE,"Liste 1"}</definedName>
    <definedName function="false" hidden="true" name="hhhhhh" vbProcedure="false">1/EUReXToDEM</definedName>
    <definedName function="false" hidden="true" name="HHHHHHHHHH" vbProcedure="false">{#N/A,#N/A,FALSE,"단축1";#N/A,#N/A,FALSE,"단축2";#N/A,#N/A,FALSE,"단축3";#N/A,#N/A,FALSE,"장축";#N/A,#N/A,FALSE,"4WD"}</definedName>
    <definedName function="false" hidden="true" name="hhhhhhhhhhh" vbProcedure="false">{"Summary",#N/A,FALSE,"Summary";"A&amp;A's",#N/A,FALSE,"Aids &amp; A's";"MajorWorks",#N/A,FALSE,"Major Works";"EstateImps",#N/A,FALSE,"Estate Imps";"CatC",#N/A,FALSE,"Cat C Voids";"CycProg",#N/A,FALSE,"Cyclical Prog inc MR"}</definedName>
    <definedName function="false" hidden="true" name="HHHHHHHHHHHHH" vbProcedure="false">{#N/A,#N/A,FALSE,"단축1";#N/A,#N/A,FALSE,"단축2";#N/A,#N/A,FALSE,"단축3";#N/A,#N/A,FALSE,"장축";#N/A,#N/A,FALSE,"4WD"}</definedName>
    <definedName function="false" hidden="true" name="HHHHHHHHHHHHHHHHH" vbProcedure="false">{#N/A,#N/A,FALSE,"단축1";#N/A,#N/A,FALSE,"단축2";#N/A,#N/A,FALSE,"단축3";#N/A,#N/A,FALSE,"장축";#N/A,#N/A,FALSE,"4WD"}</definedName>
    <definedName function="false" hidden="true" name="hhhsdf" vbProcedure="false">{"up stand alones",#N/A,FALSE,"Acquiror"}</definedName>
    <definedName function="false" hidden="true" name="hhhsdf1" vbProcedure="false">{"up stand alones",#N/A,FALSE,"Acquiror"}</definedName>
    <definedName function="false" hidden="true" name="hhj.ls" vbProcedure="false">{#N/A,#N/A,FALSE,"Produkte Erw.";#N/A,#N/A,FALSE,"Produkte Plan";#N/A,#N/A,FALSE,"Leistungen Erw.";#N/A,#N/A,FALSE,"Leistungen Plan";#N/A,#N/A,FALSE,"KA Allg.Kosten (2)";#N/A,#N/A,FALSE,"KA All.Kosten"}</definedName>
    <definedName function="false" hidden="true" name="hhjkhjkjkjkl" vbProcedure="false">{"'WS Sales by Rep'!$A$24:$L$46"}</definedName>
    <definedName function="false" hidden="true" name="hi" vbProcedure="false">{#N/A,#N/A,FALSE,"JAN"}</definedName>
    <definedName function="false" hidden="true" name="Hibh" vbProcedure="false">{#N/A,#N/A,FALSE,"Pharm";#N/A,#N/A,FALSE,"WWCM"}</definedName>
    <definedName function="false" hidden="true" name="HiddenRows" vbProcedure="false">#REF!</definedName>
    <definedName function="false" hidden="true" name="High" vbProcedure="false">{#N/A,#N/A,FALSE,"Pharm";#N/A,#N/A,FALSE,"WWCM"}</definedName>
    <definedName function="false" hidden="true" name="HighPrice" vbProcedure="false">#REF!</definedName>
    <definedName function="false" hidden="true" name="himmel"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historical" vbProcedure="false">{"GTI monthly IS",#N/A,FALSE,"gti";#N/A,#N/A,FALSE,"gti"}</definedName>
    <definedName function="false" hidden="true" name="hiulj" vbProcedure="false">{"EVA",#N/A,FALSE,"EVA";"WACC",#N/A,FALSE,"WACC"}</definedName>
    <definedName function="false" hidden="true" name="hj.k" vbProcedure="false">{#N/A,#N/A,FALSE,"Produkte Erw.";#N/A,#N/A,FALSE,"Produkte Plan";#N/A,#N/A,FALSE,"Leistungen Erw.";#N/A,#N/A,FALSE,"Leistungen Plan";#N/A,#N/A,FALSE,"KA Allg.Kosten (2)";#N/A,#N/A,FALSE,"KA All.Kosten"}</definedName>
    <definedName function="false" hidden="true" name="hjbhj" vbProcedure="false">{"LEVEL1","UKCONSGAAP",TRUE," Corp PL 2 (LEVEL 1)";"LEVEL2",#N/A,TRUE,"Sum  Div (LEVEL 2)";"LEVEL1","CORE",TRUE," Corp PL 2 (LEVEL 1)";"LEVEL2",#N/A,TRUE,"Sum  Div (LEVEL 2)";"LEVEL1","HSSUNDRIES_GAAP",TRUE," Corp PL 2 (LEVEL 1)";"LEVEL2",#N/A,TRUE,"Sum  Div (LEVEL 2)";"LEVEL1","KENTEXP_GAAP",TRUE," Corp PL 2 (LEVEL 1)";"LEVEL2",#N/A,TRUE,"Sum  Div (LEVEL 2)";"LEVEL1","BUDGET_GAAP",TRUE," Corp PL 2 (LEVEL 1)";"LEVEL2",#N/A,TRUE,"Sum  Div (LEVEL 2)";"LEVEL1","BLACKWELL_GAAP",TRUE," Corp PL 2 (LEVEL 1)";"LEVEL2",#N/A,TRUE,"Sum  Div (LEVEL 2)";"LEVEL1","ZAHNLAB_GAAP",TRUE," Corp PL 2 (LEVEL 1)";"LEVEL2",#N/A,TRUE,"Sum  Div (LEVEL 2)";"LEVEL1","HSUKHOLD_GAAP",TRUE," Corp PL 2 (LEVEL 1)";"LEVEL2",#N/A,TRUE,"Sum  Div (LEVEL 2)";"LEVEL1","HSFINANCE_GAAP",TRUE," Corp PL 2 (LEVEL 1)";"LEVEL2",#N/A,TRUE,"Sum  Div (LEVEL 2)";"LEVEL1","HSSALESELIM",TRUE," Corp PL 2 (LEVEL 1)";"LEVEL2",#N/A,TRUE,"Sum  Div (LEVEL 2)";"LEVEL1","HSEQUIP_GAAP",TRUE," Corp PL 2 (LEVEL 1)";"LEVEL2",#N/A,TRUE,"Sum  Div (LEVEL 2)";"LEVEL1","HSTECHIR_GAAP",TRUE," Corp PL 2 (LEVEL 1)";"LEVEL2",#N/A,TRUE,"Sum  Div (LEVEL 2)";"LEVEL1","HSKM_GAAP",TRUE," Corp PL 2 (LEVEL 1)";"LEVEL2",#N/A,TRUE,"Sum  Div (LEVEL 2)";"LEVEL1","HSIRELAND_GAAP",TRUE," Corp PL 2 (LEVEL 1)";"LEVEL2",#N/A,TRUE,"Sum  Div (LEVEL 2)";"LEVEL1","ZAHNDENTAL_GAAP",TRUE," Corp PL 2 (LEVEL 1)";"LEVEL2",#N/A,TRUE,"Sum  Div (LEVEL 2)";"LEVEL1","BAINTERN_GAAP",TRUE," Corp PL 2 (LEVEL 1)";"LEVEL2",#N/A,TRUE,"Sum  Div (LEVEL 2)";"LEVEL1","PORTNASH_GAAP",TRUE," Corp PL 2 (LEVEL 1)";"LEVEL2",#N/A,TRUE,"Sum  Div (LEVEL 2)"}</definedName>
    <definedName function="false" hidden="true" name="hjfgjghj" vbProcedure="false">{"up stand alones",#N/A,FALSE,"Acquiror"}</definedName>
    <definedName function="false" hidden="true" name="hjg"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hjgflha" vbProcedure="false">{#N/A,#N/A,FALSE,"Cover Sheet";#N/A,#N/A,FALSE,"Ave_Trans_Shp_Abs";#N/A,#N/A,FALSE,"Det_Shp_Abs";#N/A,#N/A,FALSE,"Ave_Trans_Inst_Abs";#N/A,#N/A,FALSE,"Det_Ins_Abs";#N/A,#N/A,FALSE,"Ave_Trans_Tot_ABS";#N/A,#N/A,FALSE,"Det_Total_ABS"}</definedName>
    <definedName function="false" hidden="true" name="hjghhgyg" vbProcedure="false">{"Polymers Details",#N/A,FALSE,"Current Yr";"Polymer Details",#N/A,FALSE,"Budget";"Polymer Details",#N/A,FALSE,"Prior Year"}</definedName>
    <definedName function="false" hidden="true" name="hjghjhgj" vbProcedure="false">{#N/A,#N/A,FALSE,"Produkte Erw.";#N/A,#N/A,FALSE,"Produkte Plan";#N/A,#N/A,FALSE,"Leistungen Erw.";#N/A,#N/A,FALSE,"Leistungen Plan";#N/A,#N/A,FALSE,"KA Allg.Kosten (2)";#N/A,#N/A,FALSE,"KA All.Kosten"}</definedName>
    <definedName function="false" hidden="true" name="hjh" vbProcedure="false">{#N/A,#N/A,FALSE,"Produkte Erw.";#N/A,#N/A,FALSE,"Produkte Plan";#N/A,#N/A,FALSE,"Leistungen Erw.";#N/A,#N/A,FALSE,"Leistungen Plan";#N/A,#N/A,FALSE,"KA Allg.Kosten (2)";#N/A,#N/A,FALSE,"KA All.Kosten"}</definedName>
    <definedName function="false" hidden="true" name="hjhglkfg" vbProcedure="false">{"AQUIRORDCF",#N/A,FALSE,"Merger consequences";"Acquirorassns",#N/A,FALSE,"Merger consequences"}</definedName>
    <definedName function="false" hidden="true" name="hjhj" vbProcedure="false">{#N/A,#N/A,FALSE,"Layout Aktiva";#N/A,#N/A,FALSE,"Layout Passiva";#N/A,#N/A,FALSE,"Layout GuV";#N/A,#N/A,FALSE,"Layout Cash Flow";#N/A,#N/A,FALSE,"Mittelherkunft";#N/A,#N/A,FALSE,"Mittelverwendung";#N/A,#N/A,FALSE,"Finanzbedarfsrechnung"}</definedName>
    <definedName function="false" hidden="true" name="hjhjffukfuk" vbProcedure="false">{#N/A,#N/A,FALSE,"Pharm";#N/A,#N/A,FALSE,"WWCM"}</definedName>
    <definedName function="false" hidden="true" name="hjhjfkfukywrte" vbProcedure="false">{#N/A,#N/A,FALSE,"Pharm";#N/A,#N/A,FALSE,"WWCM"}</definedName>
    <definedName function="false" hidden="true" name="hjhjj" vbProcedure="false">{#N/A,#N/A,FALSE,"ORIX CSC"}</definedName>
    <definedName function="false" hidden="true" name="hjhjkhas" vbProcedure="false">{"P&amp;L",#N/A,FALSE,"P&amp;LPlan";"Cashflow",#N/A,FALSE,"Cash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function="false" hidden="true" name="hjhkjkl" vbProcedure="false">{#N/A,#N/A,FALSE,"Pharm";#N/A,#N/A,FALSE,"WWCM"}</definedName>
    <definedName function="false" hidden="true" name="hjjjkk" vbProcedure="false">{#N/A,#N/A,FALSE,"REPORT"}</definedName>
    <definedName function="false" hidden="true" name="hjjkk" vbProcedure="false">{#N/A,#N/A,FALSE,"Pharm";#N/A,#N/A,FALSE,"WWCM"}</definedName>
    <definedName function="false" hidden="true" name="hjjkl" vbProcedure="false">{"'Sheet1'!$L$16"}</definedName>
    <definedName function="false" hidden="true" name="hjk" vbProcedure="false">{#N/A,#N/A,FALSE,"Umsatz 99";#N/A,#N/A,FALSE,"ER 99 "}</definedName>
    <definedName function="false" hidden="true" name="hjk.l" vbProcedure="false">{#N/A,#N/A,FALSE,"Produkte Erw.";#N/A,#N/A,FALSE,"Produkte Plan";#N/A,#N/A,FALSE,"Leistungen Erw.";#N/A,#N/A,FALSE,"Leistungen Plan";#N/A,#N/A,FALSE,"KA Allg.Kosten (2)";#N/A,#N/A,FALSE,"KA All.Kosten"}</definedName>
    <definedName function="false" hidden="true" name="hjkh" vbProcedure="false">{"assumption 50 50",#N/A,TRUE,"Merger";"has gets cash",#N/A,TRUE,"Merger";"accretion dilution",#N/A,TRUE,"Merger";"comparison credit stats",#N/A,TRUE,"Merger";"pf credit stats",#N/A,TRUE,"Merger";"pf sheets",#N/A,TRUE,"Merger"}</definedName>
    <definedName function="false" hidden="true" name="hjkhjk" vbProcedure="false">{#N/A,#N/A,FALSE,"KA CH  (2)"}</definedName>
    <definedName function="false" hidden="true" name="hjkhjkhjk"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hjkjhk" vbProcedure="false">{#N/A,#N/A,FALSE,"Calc";#N/A,#N/A,FALSE,"Sensitivity";#N/A,#N/A,FALSE,"LT Earn.Dil.";#N/A,#N/A,FALSE,"Dil. AVP"}</definedName>
    <definedName function="false" hidden="true" name="hjkk" vbProcedure="false">{#N/A,#N/A,FALSE,"Pharm";#N/A,#N/A,FALSE,"WWCM"}</definedName>
    <definedName function="false" hidden="true" name="hjkl" vbProcedure="false">{"Burden (burden)",#N/A,FALSE,"burden"}</definedName>
    <definedName function="false" hidden="true" name="hjlk" vbProcedure="false">{#N/A,#N/A,TRUE,"Cover";#N/A,#N/A,TRUE,"Input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function="false" hidden="true" name="hjnhg"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hjuy" vbProcedure="false">{#N/A,#N/A,FALSE,"Index";#N/A,#N/A,FALSE,"1.1";#N/A,#N/A,FALSE,"Scenario Summary"}</definedName>
    <definedName function="false" hidden="true" name="HKDetail" vbProcedure="false">{"budget95",#N/A,TRUE,"Tabelle1";"Tab1",#N/A,TRUE,"Tabelle2"}</definedName>
    <definedName function="false" hidden="true" name="hkhjk" vbProcedure="false">{#N/A,#N/A,FALSE,"Operations";#N/A,#N/A,FALSE,"Financials"}</definedName>
    <definedName function="false" hidden="true" name="hkjj" vbProcedure="false">{"Line Efficiency",#N/A,FALSE,"Benchmarking"}</definedName>
    <definedName function="false" hidden="true" name="hkjkh"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HKSH" vbProcedure="false">{#N/A,#N/A,FALSE,"REPORT"}</definedName>
    <definedName function="false" hidden="true" name="hlp" vbProcedure="false">#REF!</definedName>
    <definedName function="false" hidden="true" name="hls" vbProcedure="false">{"WACC_clientcopy",#N/A,FALSE,"Inputs";"Beta_clientcopy",#N/A,FALSE,"Inputs";"SCF_clientcopy",#N/A,FALSE,"Inputs";"ProBS_clientcopy",#N/A,FALSE,"Inputs";"BS_clientcopy",#N/A,FALSE,"Inputs";"ProIS_clientcopy",#N/A,FALSE,"Inputs";"IS_clientcopy",#N/A,FALSE,"Inputs";"Ratios_clientcopy",#N/A,FALSE,"Ratios"}</definedName>
    <definedName function="false" hidden="true" name="hlu"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HMG" vbProcedure="false">{#N/A,#N/A,FALSE,"REPORT"}</definedName>
    <definedName function="false" hidden="true" name="hmx" vbProcedure="false">{"budget95",#N/A,TRUE,"Tabelle1";"Tab1",#N/A,TRUE,"Tabelle2"}</definedName>
    <definedName function="false" hidden="true" name="hn.Add015" vbProcedure="false">#REF!</definedName>
    <definedName function="false" hidden="true" name="hn.ConvertVal1" vbProcedure="false">#REF!</definedName>
    <definedName function="false" hidden="true" name="hn.ConvertZero1" vbProcedure="false">#REF!,#REF!,#REF!,#REF!,#REF!,#REF!,#REF!,#REF!,#REF!,#REF!</definedName>
    <definedName function="false" hidden="true" name="hn.ConvertZero2" vbProcedure="false">#REF!,#REF!,#REF!,#REF!,#REF!,#REF!,#REF!,#REF!</definedName>
    <definedName function="false" hidden="true" name="hn.ConvertZero3" vbProcedure="false">#REF!,#REF!,#REF!,#REF!,#REF!</definedName>
    <definedName function="false" hidden="true" name="hn.ConvertZero4" vbProcedure="false">#REF!,#REF!,#REF!,#REF!,#REF!,#REF!,#REF!,#REF!</definedName>
    <definedName function="false" hidden="true" name="hn.ConvertZeroUnhide1" vbProcedure="false">#REF!,#REF!,#REF!</definedName>
    <definedName function="false" hidden="true" name="hn.CopyforPR" vbProcedure="false">#REF!</definedName>
    <definedName function="false" hidden="true" name="hn.Delete015" vbProcedure="false">#REF!,#REF!,#REF!,#REF!</definedName>
    <definedName function="false" hidden="true" name="hn.domestic" vbProcedure="false">#REF!</definedName>
    <definedName function="false" hidden="true" name="hn.DZ_MultByFXRates" vbProcedure="false">#REF!,#REF!,#REF!,#REF!</definedName>
    <definedName function="false" hidden="true" name="hn.ExtDb" vbProcedure="false">FALSE()</definedName>
    <definedName function="false" hidden="true" name="hn.FromMain" vbProcedure="false">#REF!</definedName>
    <definedName function="false" hidden="true" name="hn.FromMain1" vbProcedure="false">#REF!</definedName>
    <definedName function="false" hidden="true" name="hn.FromMain2" vbProcedure="false">#REF!</definedName>
    <definedName function="false" hidden="true" name="hn.FromMain3" vbProcedure="false">#REF!</definedName>
    <definedName function="false" hidden="true" name="hn.FromMain4" vbProcedure="false">#REF!</definedName>
    <definedName function="false" hidden="true" name="hn.FromMain5" vbProcedure="false">#REF!</definedName>
    <definedName function="false" hidden="true" name="hn.Global" vbProcedure="false">#REF!</definedName>
    <definedName function="false" hidden="true" name="hn.LTMData" vbProcedure="false">#REF!</definedName>
    <definedName function="false" hidden="true" name="hn.LTM_MultByFXRates" vbProcedure="false">#REF!,#REF!,#REF!,#REF!,#REF!,#REF!,#REF!</definedName>
    <definedName function="false" hidden="true" name="hn.ModelType" vbProcedure="false">"DEAL"</definedName>
    <definedName function="false" hidden="true" name="hn.ModelVersion" vbProcedure="false">1</definedName>
    <definedName function="false" hidden="true" name="hn.MultbyFXRates" vbProcedure="false">#REF!,#REF!,#REF!,#REF!,#REF!,#REF!,#REF!</definedName>
    <definedName function="false" hidden="true" name="hn.MultByFXRates1" vbProcedure="false">#REF!,#REF!,#REF!,#REF!,#REF!</definedName>
    <definedName function="false" hidden="true" name="hn.MultByFXRates2" vbProcedure="false">#REF!,#REF!,#REF!,#REF!,#REF!</definedName>
    <definedName function="false" hidden="true" name="hn.MultByFXRates3" vbProcedure="false">#REF!,#REF!,#REF!,#REF!,#REF!</definedName>
    <definedName function="false" hidden="true" name="hn.MultbyFxrates4" vbProcedure="false">#REF!,#REF!,#REF!,#REF!,#REF!,#REF!,#REF!</definedName>
    <definedName function="false" hidden="true" name="hn.multbyfxrates5" vbProcedure="false">#REF!,#REF!,#REF!,#REF!,#REF!</definedName>
    <definedName function="false" hidden="true" name="hn.multbyfxrates6" vbProcedure="false">#REF!,#REF!,#REF!,#REF!,#REF!</definedName>
    <definedName function="false" hidden="true" name="hn.multbyfxrates7" vbProcedure="false">#REF!,#REF!,#REF!,#REF!,#REF!</definedName>
    <definedName function="false" hidden="true" name="hn.MultByFXRatesBot1" vbProcedure="false">#REF!,#REF!,#REF!,#REF!,#REF!,#REF!,#REF!,#REF!,#REF!,#REF!,#REF!,#REF!</definedName>
    <definedName function="false" hidden="true" name="hn.MultByFXRatesBot2" vbProcedure="false">#REF!,#REF!,#REF!,#REF!,#REF!,#REF!,#REF!,#REF!,#REF!,#REF!,#REF!,#REF!</definedName>
    <definedName function="false" hidden="true" name="hn.MultByFXRatesBot3" vbProcedure="false">#REF!,#REF!,#REF!,#REF!,#REF!,#REF!,#REF!,#REF!,#REF!,#REF!,#REF!,#REF!</definedName>
    <definedName function="false" hidden="true" name="hn.MultByFXRatesBot4" vbProcedure="false">#REF!,#REF!,#REF!,#REF!,#REF!,#REF!,#REF!,#REF!,#REF!,#REF!,#REF!,#REF!,#REF!</definedName>
    <definedName function="false" hidden="true" name="hn.MultByFXRatesBot5" vbProcedure="false">#REF!,#REF!,#REF!,#REF!,#REF!,#REF!,#REF!,#REF!,#REF!,#REF!,#REF!</definedName>
    <definedName function="false" hidden="true" name="hn.MultByFXRatesBot6" vbProcedure="false">#REF!,#REF!,#REF!,#REF!,#REF!,#REF!,#REF!,#REF!,#REF!,#REF!,#REF!</definedName>
    <definedName function="false" hidden="true" name="hn.MultByFXRatesBot7" vbProcedure="false">#REF!,#REF!,#REF!,#REF!,#REF!,#REF!,#REF!,#REF!,#REF!,#REF!,#REF!</definedName>
    <definedName function="false" hidden="true" name="hn.MultByFXRatesTop1" vbProcedure="false">#REF!,#REF!,#REF!,#REF!,#REF!,#REF!,#REF!,#REF!,#REF!,#REF!,#REF!,#REF!</definedName>
    <definedName function="false" hidden="true" name="hn.MultByFXRatesTop2" vbProcedure="false">#REF!,#REF!,#REF!,#REF!,#REF!,#REF!,#REF!,#REF!,#REF!,#REF!,#REF!,#REF!,#REF!,#REF!,#REF!</definedName>
    <definedName function="false" hidden="true" name="hn.MultByFXRatesTop3" vbProcedure="false">#REF!,#REF!,#REF!,#REF!,#REF!,#REF!,#REF!,#REF!,#REF!,#REF!,#REF!,#REF!,#REF!,#REF!,#REF!</definedName>
    <definedName function="false" hidden="true" name="hn.MultByFXRatesTop4" vbProcedure="false">#REF!,#REF!,#REF!,#REF!,#REF!,#REF!,#REF!,#REF!,#REF!,#REF!,#REF!,#REF!,#REF!,#REF!,#REF!</definedName>
    <definedName function="false" hidden="true" name="hn.MultByFXRatesTop5" vbProcedure="false">#REF!,#REF!,#REF!,#REF!,#REF!,#REF!,#REF!,#REF!,#REF!,#REF!,#REF!,#REF!</definedName>
    <definedName function="false" hidden="true" name="hn.MultByFXRatesTop6" vbProcedure="false">#REF!,#REF!,#REF!,#REF!,#REF!,#REF!,#REF!,#REF!,#REF!,#REF!,#REF!,#REF!,#REF!,#REF!,#REF!</definedName>
    <definedName function="false" hidden="true" name="hn.MultByFXRatesTop7" vbProcedure="false">#REF!,#REF!,#REF!,#REF!,#REF!,#REF!,#REF!,#REF!,#REF!,#REF!,#REF!,#REF!,#REF!,#REF!,#REF!</definedName>
    <definedName function="false" hidden="true" name="hn.NoUpload" vbProcedure="false">0</definedName>
    <definedName function="false" hidden="true" name="hn.ParityCheck" vbProcedure="false">#REF!</definedName>
    <definedName function="false" hidden="true" name="hn.PrivateLTMYear" vbProcedure="false">#REF!</definedName>
    <definedName function="false" hidden="true" name="hn.RolledForward" vbProcedure="false">FALSE()</definedName>
    <definedName function="false" hidden="true" name="hn.USLast" vbProcedure="false">#REF!</definedName>
    <definedName function="false" hidden="true" name="hn.YearLabel" vbProcedure="false">#REF!</definedName>
    <definedName function="false" hidden="true" name="hn._I006" vbProcedure="false">#REF!</definedName>
    <definedName function="false" hidden="true" name="hn._I018" vbProcedure="false">#REF!</definedName>
    <definedName function="false" hidden="true" name="hn._I024" vbProcedure="false">#REF!</definedName>
    <definedName function="false" hidden="true" name="hn._I028" vbProcedure="false">#REF!</definedName>
    <definedName function="false" hidden="true" name="hn._I029" vbProcedure="false">#REF!</definedName>
    <definedName function="false" hidden="true" name="hn._I030" vbProcedure="false">#REF!</definedName>
    <definedName function="false" hidden="true" name="hn._I031" vbProcedure="false">#REF!</definedName>
    <definedName function="false" hidden="true" name="hn._I044" vbProcedure="false">#REF!</definedName>
    <definedName function="false" hidden="true" name="hn._I051" vbProcedure="false">#REF!</definedName>
    <definedName function="false" hidden="true" name="hn._I059" vbProcedure="false">#REF!</definedName>
    <definedName function="false" hidden="true" name="hn._I062" vbProcedure="false">#REF!</definedName>
    <definedName function="false" hidden="true" name="hn._I070" vbProcedure="false">#REF!</definedName>
    <definedName function="false" hidden="true" name="hn._I071" vbProcedure="false">#REF!</definedName>
    <definedName function="false" hidden="true" name="hn._I075" vbProcedure="false">#REF!</definedName>
    <definedName function="false" hidden="true" name="hn._I077" vbProcedure="false">#REF!</definedName>
    <definedName function="false" hidden="true" name="hn._I083" vbProcedure="false">#REF!</definedName>
    <definedName function="false" hidden="true" name="hn._I085" vbProcedure="false">#REF!</definedName>
    <definedName function="false" hidden="true" name="hn._P001" vbProcedure="false">#REF!</definedName>
    <definedName function="false" hidden="true" name="hn._P002" vbProcedure="false">#REF!</definedName>
    <definedName function="false" hidden="true" name="hn._P004" vbProcedure="false">#REF!</definedName>
    <definedName function="false" hidden="true" name="hn._P014" vbProcedure="false">#REF!</definedName>
    <definedName function="false" hidden="true" name="hn._P016" vbProcedure="false">#REF!</definedName>
    <definedName function="false" hidden="true" name="hn._P017" vbProcedure="false">#REF!</definedName>
    <definedName function="false" hidden="true" name="hn._P017g" vbProcedure="false">#REF!</definedName>
    <definedName function="false" hidden="true" name="hn._P021" vbProcedure="false">#REF!</definedName>
    <definedName function="false" hidden="true" name="hn._P024" vbProcedure="false">#REF!</definedName>
    <definedName function="false" hidden="true" name="hngfgnfgn" vbProcedure="false">{#N/A,#N/A,TRUE,"Historicals";#N/A,#N/A,TRUE,"Charts";#N/A,#N/A,TRUE,"Forecasts"}</definedName>
    <definedName function="false" hidden="true" name="hod" vbProcedure="false">{#N/A,#N/A,FALSE,"TS";#N/A,#N/A,FALSE,"Combo";#N/A,#N/A,FALSE,"FAIR";#N/A,#N/A,FALSE,"RBC";#N/A,#N/A,FALSE,"xxxx";#N/A,#N/A,FALSE,"A_D";#N/A,#N/A,FALSE,"WACC";#N/A,#N/A,FALSE,"DCF";#N/A,#N/A,FALSE,"LBO";#N/A,#N/A,FALSE,"AcqMults";#N/A,#N/A,FALSE,"CompMults"}</definedName>
    <definedName function="false" hidden="true" name="HOJA" vbProcedure="false">{"RES-2002",#N/A,FALSE,"BL2000";"A1-2002",#N/A,FALSE,"BL2000";"A2-2002",#N/A,FALSE,"BL2000"}</definedName>
    <definedName function="false" hidden="true" name="HOLA" vbProcedure="false">{"AR",#N/A,FALSE,"ASMGTSUM";"INV",#N/A,FALSE,"ASMGTSUM";"HCCOMP",#N/A,FALSE,"ASMGTSUM";"cap.depr",#N/A,FALSE,"ASMGTSUM"}</definedName>
    <definedName function="false" hidden="true" name="Hola2" vbProcedure="false">{"'B1'!$B$3:$E$3"}</definedName>
    <definedName function="false" hidden="true" name="HOLA3" vbProcedure="false">{"'B1'!$B$3:$E$3"}</definedName>
    <definedName function="false" hidden="true" name="HOLA4" vbProcedure="false">{"'B1'!$B$3:$E$3"}</definedName>
    <definedName function="false" hidden="true" name="holdpers" vbProcedure="false">{"budget95",#N/A,TRUE,"Tabelle1";"Tab1",#N/A,TRUE,"Tabelle2"}</definedName>
    <definedName function="false" hidden="true" name="HOMFE" vbProcedure="false">{#N/A,#N/A,FALSE,"Assessment";#N/A,#N/A,FALSE,"Staffing";#N/A,#N/A,FALSE,"Hires";#N/A,#N/A,FALSE,"Assumptions"}</definedName>
    <definedName function="false" hidden="true" name="Horst" vbProcedure="false">#N/A</definedName>
    <definedName function="false" hidden="true" name="houy" vbProcedure="false">{#N/A,#N/A,FALSE,"AD_Purchase";#N/A,#N/A,FALSE,"Credit";#N/A,#N/A,FALSE,"PF Acquisition";#N/A,#N/A,FALSE,"PF Offering"}</definedName>
    <definedName function="false" hidden="true" name="hppackage.xls" vbProcedure="false">{"LCCOST",#N/A,FALSE,"FC-3 "}</definedName>
    <definedName function="false" hidden="true" name="HP문제점현황" vbProcedure="false">{#N/A,#N/A,FALSE,"단축1";#N/A,#N/A,FALSE,"단축2";#N/A,#N/A,FALSE,"단축3";#N/A,#N/A,FALSE,"장축";#N/A,#N/A,FALSE,"4WD"}</definedName>
    <definedName function="false" hidden="true" name="HQ" vbProcedure="false">{#N/A,#N/A,FALSE,"6405";#N/A,#N/A,FALSE,"6406";#N/A,#N/A,FALSE,"6409";#N/A,#N/A,FALSE,"6425";#N/A,#N/A,FALSE,"6426";#N/A,#N/A,FALSE,"6427";#N/A,#N/A,FALSE,"6440";#N/A,#N/A,FALSE,"6441";#N/A,#N/A,FALSE,"6442";#N/A,#N/A,FALSE,"6443"}</definedName>
    <definedName function="false" hidden="true" name="hr" vbProcedure="false">#N/A</definedName>
    <definedName function="false" hidden="true" name="hrbs" vbProcedure="false">{#VALUE!,#N/A,FALSE,0;#N/A,#N/A,FALSE,0;#N/A,#N/A,FALSE,0;#N/A,#N/A,FALSE,0;#N/A,#N/A,FALSE,0;#N/A,#N/A,FALSE,0;#N/A,#N/A,FALSE,0}</definedName>
    <definedName function="false" hidden="true" name="hrewtwhdg" vbProcedure="false">{#N/A,#N/A,TRUE,"Historicals";#N/A,#N/A,TRUE,"Charts";#N/A,#N/A,TRUE,"Forecasts"}</definedName>
    <definedName function="false" hidden="true" name="HRS" vbProcedure="false">{#N/A,#N/A,FALSE,"A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function="false" hidden="true" name="hrtgf" vbProcedure="false">{#N/A,#N/A,TRUE,"Historicals";#N/A,#N/A,TRUE,"Charts";#N/A,#N/A,TRUE,"Forecasts"}</definedName>
    <definedName function="false" hidden="true" name="hrthfdghfr" vbProcedure="false">{#N/A,#N/A,TRUE,"Historicals";#N/A,#N/A,TRUE,"Charts";#N/A,#N/A,TRUE,"Forecasts"}</definedName>
    <definedName function="false" hidden="true" name="hsdfhe" vbProcedure="false">{#N/A,#N/A,TRUE,"Historicals";#N/A,#N/A,TRUE,"Charts";#N/A,#N/A,TRUE,"Forecasts"}</definedName>
    <definedName function="false" hidden="true" name="hshhr" vbProcedure="false">{#N/A,#N/A,TRUE,"Staffnos &amp; cost"}</definedName>
    <definedName function="false" hidden="true" name="hsk" vbProcedure="false">{"risultati",#N/A,FALSE,"Revenues";"ricavi advertising",#N/A,FALSE,"Revenues";"ricavi e-commerce",#N/A,FALSE,"Revenues";"ricavi fee for content",#N/A,FALSE,"Revenues";"costi infrastruttura",#N/A,FALSE,"Costi";"altri costi",#N/A,FALSE,"Costi";"conto economico",#N/A,FALSE,"Conto economico";"Flussi di cassa",#N/A,FALSE,"FCF"}</definedName>
    <definedName function="false" hidden="true" name="htdf" vbProcedure="false">{#N/A,#N/A,TRUE,"Historicals";#N/A,#N/A,TRUE,"Charts";#N/A,#N/A,TRUE,"Forecasts"}</definedName>
    <definedName function="false" hidden="true" name="htehdfgd" vbProcedure="false">{#N/A,#N/A,TRUE,"Historicals";#N/A,#N/A,TRUE,"Charts";#N/A,#N/A,TRUE,"Forecasts"}</definedName>
    <definedName function="false" hidden="true" name="htehdr" vbProcedure="false">{#N/A,#N/A,TRUE,"Historicals";#N/A,#N/A,TRUE,"Charts";#N/A,#N/A,TRUE,"Forecasts"}</definedName>
    <definedName function="false" hidden="true" name="htehythfg" vbProcedure="false">{#N/A,#N/A,TRUE,"Historicals";#N/A,#N/A,TRUE,"Charts";#N/A,#N/A,TRUE,"Forecasts"}</definedName>
    <definedName function="false" hidden="true" name="htfx" vbProcedure="false">{#N/A,#N/A,FALSE,"V3 Stab-Geb Index";#N/A,#N/A,FALSE,"Vertrieb";#N/A,#N/A,FALSE,"V Daten";#N/A,#N/A,FALSE,"V-Z-Index";#N/A,#N/A,FALSE,"V-1 Daten";#N/A,#N/A,FALSE,"V-1 Index";#N/A,#N/A,FALSE,"V-2 Index";#N/A,#N/A,FALSE,"V-3 Daten";#N/A,#N/A,FALSE,"V3 Stab-Geb Index";#N/A,#N/A,FALSE,"V-3 VG's Index";#N/A,#N/A,FALSE,"V-4 Index";#N/A,#N/A,FALSE,"V-5 Index"}</definedName>
    <definedName function="false" hidden="true" name="hthbgd" vbProcedure="false">{#N/A,#N/A,TRUE,"Historicals";#N/A,#N/A,TRUE,"Charts";#N/A,#N/A,TRUE,"Forecasts"}</definedName>
    <definedName function="false" hidden="true" name="hthty" vbProcedure="false">{#N/A,#N/A,TRUE,"Historicals";#N/A,#N/A,TRUE,"Charts";#N/A,#N/A,TRUE,"Forecasts"}</definedName>
    <definedName function="false" hidden="true" name="HTLD2" vbProcedure="false">{"'Title Transfer Units6,7,&amp;8'!$A$1:$B$4","'Title Transfer Units6,7,&amp;8'!$C$6"}</definedName>
    <definedName function="false" hidden="true" name="HTLKJNG5" vbProcedure="false">{"'Title Transfer Units6,7,&amp;8'!$A$1:$B$4","'Title Transfer Units6,7,&amp;8'!$C$6"}</definedName>
    <definedName function="false" hidden="true" name="htlm" vbProcedure="false">{"'LU_GMP'!$A$10:$U$254"}</definedName>
    <definedName function="false" hidden="true" name="htm" vbProcedure="false">{"'SIVA Pricing Model'!$A$1:$F$39"}</definedName>
    <definedName function="false" hidden="true" name="HTML" vbProcedure="false">{"'Data'!$A$1:$D$17"}</definedName>
    <definedName function="false" hidden="true" name="HTML1" vbProcedure="false">{"'Title Transfer Units6,7,&amp;8'!$A$1:$B$4","'Title Transfer Units6,7,&amp;8'!$C$6"}</definedName>
    <definedName function="false" hidden="true" name="HTML10_10" vbProcedure="false">""</definedName>
    <definedName function="false" hidden="true" name="HTML10_11" vbProcedure="false">1</definedName>
    <definedName function="false" hidden="true" name="HTML10_2" vbProcedure="false">1</definedName>
    <definedName function="false" hidden="true" name="HTML10_3" vbProcedure="false">"Weekly Antihistamine Volume Report"</definedName>
    <definedName function="false" hidden="true" name="HTML10_4" vbProcedure="false">""</definedName>
    <definedName function="false" hidden="true" name="HTML10_5" vbProcedure="false">""</definedName>
    <definedName function="false" hidden="true" name="HTML10_6" vbProcedure="false">-4146</definedName>
    <definedName function="false" hidden="true" name="HTML10_7" vbProcedure="false">-4146</definedName>
    <definedName function="false" hidden="true" name="HTML10_8" vbProcedure="false">"7/13/98"</definedName>
    <definedName function="false" hidden="true" name="HTML10_9" vbProcedure="false">"James Grote"</definedName>
    <definedName function="false" hidden="true" name="HTML11_10" vbProcedure="false">""</definedName>
    <definedName function="false" hidden="true" name="HTML11_11" vbProcedure="false">1</definedName>
    <definedName function="false" hidden="true" name="HTML11_2" vbProcedure="false">1</definedName>
    <definedName function="false" hidden="true" name="HTML11_3" vbProcedure="false">"Weekly New Prescription Report"</definedName>
    <definedName function="false" hidden="true" name="HTML11_4" vbProcedure="false">""</definedName>
    <definedName function="false" hidden="true" name="HTML11_5" vbProcedure="false">""</definedName>
    <definedName function="false" hidden="true" name="HTML11_6" vbProcedure="false">-4146</definedName>
    <definedName function="false" hidden="true" name="HTML11_7" vbProcedure="false">-4146</definedName>
    <definedName function="false" hidden="true" name="HTML11_8" vbProcedure="false">"6/5/98"</definedName>
    <definedName function="false" hidden="true" name="HTML11_9" vbProcedure="false">"James Grote"</definedName>
    <definedName function="false" hidden="true" name="HTML12_10" vbProcedure="false">""</definedName>
    <definedName function="false" hidden="true" name="HTML12_11" vbProcedure="false">1</definedName>
    <definedName function="false" hidden="true" name="HTML12_2" vbProcedure="false">1</definedName>
    <definedName function="false" hidden="true" name="HTML12_3" vbProcedure="false">"Weekly Total Prescription Report"</definedName>
    <definedName function="false" hidden="true" name="HTML12_4" vbProcedure="false">" "</definedName>
    <definedName function="false" hidden="true" name="HTML12_5" vbProcedure="false">""</definedName>
    <definedName function="false" hidden="true" name="HTML12_6" vbProcedure="false">-4146</definedName>
    <definedName function="false" hidden="true" name="HTML12_7" vbProcedure="false">-4146</definedName>
    <definedName function="false" hidden="true" name="HTML12_8" vbProcedure="false">"7/6/98"</definedName>
    <definedName function="false" hidden="true" name="HTML12_9" vbProcedure="false">"James Grote"</definedName>
    <definedName function="false" hidden="true" name="HTML13_10" vbProcedure="false">""</definedName>
    <definedName function="false" hidden="true" name="HTML13_11" vbProcedure="false">1</definedName>
    <definedName function="false" hidden="true" name="HTML13_2" vbProcedure="false">1</definedName>
    <definedName function="false" hidden="true" name="HTML13_3" vbProcedure="false">"Weekly New Prescription Report"</definedName>
    <definedName function="false" hidden="true" name="HTML13_4" vbProcedure="false">""</definedName>
    <definedName function="false" hidden="true" name="HTML13_5" vbProcedure="false">""</definedName>
    <definedName function="false" hidden="true" name="HTML13_6" vbProcedure="false">-4146</definedName>
    <definedName function="false" hidden="true" name="HTML13_7" vbProcedure="false">-4146</definedName>
    <definedName function="false" hidden="true" name="HTML13_8" vbProcedure="false">"7/6/98"</definedName>
    <definedName function="false" hidden="true" name="HTML13_9" vbProcedure="false">"James Grote"</definedName>
    <definedName function="false" hidden="true" name="HTML14_10" vbProcedure="false">""</definedName>
    <definedName function="false" hidden="true" name="HTML14_11" vbProcedure="false">1</definedName>
    <definedName function="false" hidden="true" name="HTML14_2" vbProcedure="false">1</definedName>
    <definedName function="false" hidden="true" name="HTML14_3" vbProcedure="false">"Weekly TRx Volume"</definedName>
    <definedName function="false" hidden="true" name="HTML14_4" vbProcedure="false">""</definedName>
    <definedName function="false" hidden="true" name="HTML14_5" vbProcedure="false">""</definedName>
    <definedName function="false" hidden="true" name="HTML14_6" vbProcedure="false">-4146</definedName>
    <definedName function="false" hidden="true" name="HTML14_7" vbProcedure="false">-4146</definedName>
    <definedName function="false" hidden="true" name="HTML14_8" vbProcedure="false">"6/19/98"</definedName>
    <definedName function="false" hidden="true" name="HTML14_9" vbProcedure="false">"James Grote"</definedName>
    <definedName function="false" hidden="true" name="HTML15_10" vbProcedure="false">""</definedName>
    <definedName function="false" hidden="true" name="HTML15_11" vbProcedure="false">1</definedName>
    <definedName function="false" hidden="true" name="HTML15_2" vbProcedure="false">1</definedName>
    <definedName function="false" hidden="true" name="HTML15_3" vbProcedure="false">"Weekly TRx Volume"</definedName>
    <definedName function="false" hidden="true" name="HTML15_4" vbProcedure="false">""</definedName>
    <definedName function="false" hidden="true" name="HTML15_5" vbProcedure="false">""</definedName>
    <definedName function="false" hidden="true" name="HTML15_6" vbProcedure="false">-4146</definedName>
    <definedName function="false" hidden="true" name="HTML15_7" vbProcedure="false">-4146</definedName>
    <definedName function="false" hidden="true" name="HTML15_8" vbProcedure="false">"7/13/98"</definedName>
    <definedName function="false" hidden="true" name="HTML15_9" vbProcedure="false">"James Grote"</definedName>
    <definedName function="false" hidden="true" name="HTML16_10" vbProcedure="false">""</definedName>
    <definedName function="false" hidden="true" name="HTML16_11" vbProcedure="false">1</definedName>
    <definedName function="false" hidden="true" name="HTML16_2" vbProcedure="false">1</definedName>
    <definedName function="false" hidden="true" name="HTML16_3" vbProcedure="false">"Weekly Antihistamine NRx Volume"</definedName>
    <definedName function="false" hidden="true" name="HTML16_4" vbProcedure="false">""</definedName>
    <definedName function="false" hidden="true" name="HTML16_5" vbProcedure="false">""</definedName>
    <definedName function="false" hidden="true" name="HTML16_6" vbProcedure="false">-4146</definedName>
    <definedName function="false" hidden="true" name="HTML16_7" vbProcedure="false">-4146</definedName>
    <definedName function="false" hidden="true" name="HTML16_8" vbProcedure="false">"7/6/98"</definedName>
    <definedName function="false" hidden="true" name="HTML16_9" vbProcedure="false">"James Grote"</definedName>
    <definedName function="false" hidden="true" name="HTML17_10" vbProcedure="false">""</definedName>
    <definedName function="false" hidden="true" name="HTML17_11" vbProcedure="false">1</definedName>
    <definedName function="false" hidden="true" name="HTML17_2" vbProcedure="false">1</definedName>
    <definedName function="false" hidden="true" name="HTML17_3" vbProcedure="false">"Weekly NRx Page"</definedName>
    <definedName function="false" hidden="true" name="HTML17_4" vbProcedure="false">""</definedName>
    <definedName function="false" hidden="true" name="HTML17_5" vbProcedure="false">""</definedName>
    <definedName function="false" hidden="true" name="HTML17_6" vbProcedure="false">-4146</definedName>
    <definedName function="false" hidden="true" name="HTML17_7" vbProcedure="false">-4146</definedName>
    <definedName function="false" hidden="true" name="HTML17_8" vbProcedure="false">"7/13/98"</definedName>
    <definedName function="false" hidden="true" name="HTML17_9" vbProcedure="false">"James Grote"</definedName>
    <definedName function="false" hidden="true" name="HTML18_10" vbProcedure="false">""</definedName>
    <definedName function="false" hidden="true" name="HTML18_11" vbProcedure="false">1</definedName>
    <definedName function="false" hidden="true" name="HTML18_2" vbProcedure="false">1</definedName>
    <definedName function="false" hidden="true" name="HTML18_3" vbProcedure="false">"Weekly TRx Page"</definedName>
    <definedName function="false" hidden="true" name="HTML18_4" vbProcedure="false">""</definedName>
    <definedName function="false" hidden="true" name="HTML18_5" vbProcedure="false">""</definedName>
    <definedName function="false" hidden="true" name="HTML18_6" vbProcedure="false">-4146</definedName>
    <definedName function="false" hidden="true" name="HTML18_7" vbProcedure="false">-4146</definedName>
    <definedName function="false" hidden="true" name="HTML18_8" vbProcedure="false">"7/13/98"</definedName>
    <definedName function="false" hidden="true" name="HTML18_9" vbProcedure="false">"James Grote"</definedName>
    <definedName function="false" hidden="true" name="HTML19_10" vbProcedure="false">""</definedName>
    <definedName function="false" hidden="true" name="HTML19_11" vbProcedure="false">1</definedName>
    <definedName function="false" hidden="true" name="HTML19_2" vbProcedure="false">1</definedName>
    <definedName function="false" hidden="true" name="HTML19_3" vbProcedure="false">"Weekly Total Prescription Summary"</definedName>
    <definedName function="false" hidden="true" name="HTML19_4" vbProcedure="false">""</definedName>
    <definedName function="false" hidden="true" name="HTML19_5" vbProcedure="false">""</definedName>
    <definedName function="false" hidden="true" name="HTML19_6" vbProcedure="false">-4146</definedName>
    <definedName function="false" hidden="true" name="HTML19_7" vbProcedure="false">-4146</definedName>
    <definedName function="false" hidden="true" name="HTML19_8" vbProcedure="false">"7/17/98"</definedName>
    <definedName function="false" hidden="true" name="HTML19_9" vbProcedure="false">"James Grote"</definedName>
    <definedName function="false" hidden="true" name="HTML1_1" vbProcedure="false">"'[internet 98q4.xls]xcontact'!$A$1:$F$114"</definedName>
    <definedName function="false" hidden="true" name="HTML1_10" vbProcedure="false">""</definedName>
    <definedName function="false" hidden="true" name="HTML1_11" vbProcedure="false">1</definedName>
    <definedName function="false" hidden="true" name="HTML1_12" vbProcedure="false">"D:\data\xl\MyHTML.htm"</definedName>
    <definedName function="false" hidden="true" name="HTML1_13" vbProcedure="false">#N/A</definedName>
    <definedName function="false" hidden="true" name="HTML1_14" vbProcedure="false">#N/A</definedName>
    <definedName function="false" hidden="true" name="HTML1_15" vbProcedure="false">#N/A</definedName>
    <definedName function="false" hidden="true" name="HTML1_2" vbProcedure="false">1</definedName>
    <definedName function="false" hidden="true" name="HTML1_3" vbProcedure="false">"internet 98q4.xls"</definedName>
    <definedName function="false" hidden="true" name="HTML1_4" vbProcedure="false">"xcontact"</definedName>
    <definedName function="false" hidden="true" name="HTML1_5" vbProcedure="false">""</definedName>
    <definedName function="false" hidden="true" name="HTML1_6" vbProcedure="false">-4146</definedName>
    <definedName function="false" hidden="true" name="HTML1_7" vbProcedure="false">-4146</definedName>
    <definedName function="false" hidden="true" name="HTML1_8" vbProcedure="false">"15/10/1998"</definedName>
    <definedName function="false" hidden="true" name="HTML1_9" vbProcedure="false">"GEORGIADES"</definedName>
    <definedName function="false" hidden="true" name="HTML2" vbProcedure="false">{"'B1'!$B$3:$E$3"}</definedName>
    <definedName function="false" hidden="true" name="HTML20_10" vbProcedure="false">""</definedName>
    <definedName function="false" hidden="true" name="HTML20_11" vbProcedure="false">1</definedName>
    <definedName function="false" hidden="true" name="HTML20_2" vbProcedure="false">1</definedName>
    <definedName function="false" hidden="true" name="HTML20_3" vbProcedure="false">"Weekly New Prescription Page"</definedName>
    <definedName function="false" hidden="true" name="HTML20_4" vbProcedure="false">""</definedName>
    <definedName function="false" hidden="true" name="HTML20_5" vbProcedure="false">""</definedName>
    <definedName function="false" hidden="true" name="HTML20_6" vbProcedure="false">-4146</definedName>
    <definedName function="false" hidden="true" name="HTML20_7" vbProcedure="false">-4146</definedName>
    <definedName function="false" hidden="true" name="HTML20_8" vbProcedure="false">"8/3/98"</definedName>
    <definedName function="false" hidden="true" name="HTML20_9" vbProcedure="false">"James Grote"</definedName>
    <definedName function="false" hidden="true" name="HTML21_10" vbProcedure="false">""</definedName>
    <definedName function="false" hidden="true" name="HTML21_11" vbProcedure="false">1</definedName>
    <definedName function="false" hidden="true" name="HTML21_2" vbProcedure="false">1</definedName>
    <definedName function="false" hidden="true" name="HTML21_3" vbProcedure="false">"Weekly Total Prescription Page"</definedName>
    <definedName function="false" hidden="true" name="HTML21_4" vbProcedure="false">""</definedName>
    <definedName function="false" hidden="true" name="HTML21_5" vbProcedure="false">""</definedName>
    <definedName function="false" hidden="true" name="HTML21_6" vbProcedure="false">-4146</definedName>
    <definedName function="false" hidden="true" name="HTML21_7" vbProcedure="false">-4146</definedName>
    <definedName function="false" hidden="true" name="HTML21_8" vbProcedure="false">"8/3/98"</definedName>
    <definedName function="false" hidden="true" name="HTML21_9" vbProcedure="false">"James Grote"</definedName>
    <definedName function="false" hidden="true" name="HTML22_10" vbProcedure="false">""</definedName>
    <definedName function="false" hidden="true" name="HTML22_11" vbProcedure="false">1</definedName>
    <definedName function="false" hidden="true" name="HTML22_2" vbProcedure="false">1</definedName>
    <definedName function="false" hidden="true" name="HTML22_3" vbProcedure="false">"Weekly Antihistamine NRx Volume"</definedName>
    <definedName function="false" hidden="true" name="HTML22_4" vbProcedure="false">""</definedName>
    <definedName function="false" hidden="true" name="HTML22_5" vbProcedure="false">""</definedName>
    <definedName function="false" hidden="true" name="HTML22_6" vbProcedure="false">-4146</definedName>
    <definedName function="false" hidden="true" name="HTML22_7" vbProcedure="false">-4146</definedName>
    <definedName function="false" hidden="true" name="HTML22_8" vbProcedure="false">"8/3/98"</definedName>
    <definedName function="false" hidden="true" name="HTML22_9" vbProcedure="false">"James Grote"</definedName>
    <definedName function="false" hidden="true" name="HTML23_10" vbProcedure="false">""</definedName>
    <definedName function="false" hidden="true" name="HTML23_11" vbProcedure="false">1</definedName>
    <definedName function="false" hidden="true" name="HTML23_2" vbProcedure="false">1</definedName>
    <definedName function="false" hidden="true" name="HTML23_3" vbProcedure="false">"Weekly Antihistamine TRx Volume"</definedName>
    <definedName function="false" hidden="true" name="HTML23_4" vbProcedure="false">""</definedName>
    <definedName function="false" hidden="true" name="HTML23_5" vbProcedure="false">""</definedName>
    <definedName function="false" hidden="true" name="HTML23_6" vbProcedure="false">-4146</definedName>
    <definedName function="false" hidden="true" name="HTML23_7" vbProcedure="false">-4146</definedName>
    <definedName function="false" hidden="true" name="HTML23_8" vbProcedure="false">"8/3/98"</definedName>
    <definedName function="false" hidden="true" name="HTML23_9" vbProcedure="false">"James Grote"</definedName>
    <definedName function="false" hidden="true" name="HTML24_10" vbProcedure="false">""</definedName>
    <definedName function="false" hidden="true" name="HTML24_11" vbProcedure="false">1</definedName>
    <definedName function="false" hidden="true" name="HTML24_2" vbProcedure="false">1</definedName>
    <definedName function="false" hidden="true" name="HTML24_3" vbProcedure="false">"Weekly NRx Report"</definedName>
    <definedName function="false" hidden="true" name="HTML24_4" vbProcedure="false">""</definedName>
    <definedName function="false" hidden="true" name="HTML24_5" vbProcedure="false">""</definedName>
    <definedName function="false" hidden="true" name="HTML24_6" vbProcedure="false">-4146</definedName>
    <definedName function="false" hidden="true" name="HTML24_7" vbProcedure="false">-4146</definedName>
    <definedName function="false" hidden="true" name="HTML24_8" vbProcedure="false">"8/10/98"</definedName>
    <definedName function="false" hidden="true" name="HTML24_9" vbProcedure="false">"James Grote"</definedName>
    <definedName function="false" hidden="true" name="HTML25_10" vbProcedure="false">""</definedName>
    <definedName function="false" hidden="true" name="HTML25_11" vbProcedure="false">1</definedName>
    <definedName function="false" hidden="true" name="HTML25_2" vbProcedure="false">1</definedName>
    <definedName function="false" hidden="true" name="HTML25_3" vbProcedure="false">"Weekly TRx Report"</definedName>
    <definedName function="false" hidden="true" name="HTML25_4" vbProcedure="false">""</definedName>
    <definedName function="false" hidden="true" name="HTML25_5" vbProcedure="false">""</definedName>
    <definedName function="false" hidden="true" name="HTML25_6" vbProcedure="false">-4146</definedName>
    <definedName function="false" hidden="true" name="HTML25_7" vbProcedure="false">-4146</definedName>
    <definedName function="false" hidden="true" name="HTML25_8" vbProcedure="false">"8/10/98"</definedName>
    <definedName function="false" hidden="true" name="HTML25_9" vbProcedure="false">"James Grote"</definedName>
    <definedName function="false" hidden="true" name="HTML26_10" vbProcedure="false">""</definedName>
    <definedName function="false" hidden="true" name="HTML26_11" vbProcedure="false">1</definedName>
    <definedName function="false" hidden="true" name="HTML26_2" vbProcedure="false">1</definedName>
    <definedName function="false" hidden="true" name="HTML26_3" vbProcedure="false">"Weekly New Antihistamine Volume"</definedName>
    <definedName function="false" hidden="true" name="HTML26_4" vbProcedure="false">""</definedName>
    <definedName function="false" hidden="true" name="HTML26_5" vbProcedure="false">""</definedName>
    <definedName function="false" hidden="true" name="HTML26_6" vbProcedure="false">-4146</definedName>
    <definedName function="false" hidden="true" name="HTML26_7" vbProcedure="false">-4146</definedName>
    <definedName function="false" hidden="true" name="HTML26_8" vbProcedure="false">"9/7/98"</definedName>
    <definedName function="false" hidden="true" name="HTML26_9" vbProcedure="false">"James Grote"</definedName>
    <definedName function="false" hidden="true" name="HTML27_10" vbProcedure="false">""</definedName>
    <definedName function="false" hidden="true" name="HTML27_11" vbProcedure="false">1</definedName>
    <definedName function="false" hidden="true" name="HTML27_2" vbProcedure="false">1</definedName>
    <definedName function="false" hidden="true" name="HTML27_3" vbProcedure="false">"Weekly Total Antihistamine Volume"</definedName>
    <definedName function="false" hidden="true" name="HTML27_4" vbProcedure="false">""</definedName>
    <definedName function="false" hidden="true" name="HTML27_5" vbProcedure="false">""</definedName>
    <definedName function="false" hidden="true" name="HTML27_6" vbProcedure="false">-4146</definedName>
    <definedName function="false" hidden="true" name="HTML27_7" vbProcedure="false">-4146</definedName>
    <definedName function="false" hidden="true" name="HTML27_8" vbProcedure="false">"9/7/98"</definedName>
    <definedName function="false" hidden="true" name="HTML27_9" vbProcedure="false">"James Grote"</definedName>
    <definedName function="false" hidden="true" name="HTML28_10" vbProcedure="false">""</definedName>
    <definedName function="false" hidden="true" name="HTML28_11" vbProcedure="false">1</definedName>
    <definedName function="false" hidden="true" name="HTML28_2" vbProcedure="false">1</definedName>
    <definedName function="false" hidden="true" name="HTML28_3" vbProcedure="false">"Weekly TRx Report"</definedName>
    <definedName function="false" hidden="true" name="HTML28_4" vbProcedure="false">""</definedName>
    <definedName function="false" hidden="true" name="HTML28_5" vbProcedure="false">""</definedName>
    <definedName function="false" hidden="true" name="HTML28_6" vbProcedure="false">-4146</definedName>
    <definedName function="false" hidden="true" name="HTML28_7" vbProcedure="false">-4146</definedName>
    <definedName function="false" hidden="true" name="HTML28_8" vbProcedure="false">"8/10/98"</definedName>
    <definedName function="false" hidden="true" name="HTML28_9" vbProcedure="false">"James Grote"</definedName>
    <definedName function="false" hidden="true" name="HTML29_10" vbProcedure="false">""</definedName>
    <definedName function="false" hidden="true" name="HTML29_11" vbProcedure="false">1</definedName>
    <definedName function="false" hidden="true" name="HTML29_2" vbProcedure="false">1</definedName>
    <definedName function="false" hidden="true" name="HTML29_3" vbProcedure="false">"Weekly NRx Report"</definedName>
    <definedName function="false" hidden="true" name="HTML29_4" vbProcedure="false">""</definedName>
    <definedName function="false" hidden="true" name="HTML29_5" vbProcedure="false">""</definedName>
    <definedName function="false" hidden="true" name="HTML29_6" vbProcedure="false">-4146</definedName>
    <definedName function="false" hidden="true" name="HTML29_7" vbProcedure="false">-4146</definedName>
    <definedName function="false" hidden="true" name="HTML29_8" vbProcedure="false">"8/10/98"</definedName>
    <definedName function="false" hidden="true" name="HTML29_9" vbProcedure="false">"James Grote"</definedName>
    <definedName function="false" hidden="true" name="HTML2_1" vbProcedure="false">"'[internet 98q4.xls]xcontact'!$A$2:$F$114"</definedName>
    <definedName function="false" hidden="true" name="HTML2_10" vbProcedure="false">""</definedName>
    <definedName function="false" hidden="true" name="HTML2_11" vbProcedure="false">1</definedName>
    <definedName function="false" hidden="true" name="HTML2_12" vbProcedure="false">"D:\data\xl\MyHTML.htm"</definedName>
    <definedName function="false" hidden="true" name="HTML2_13" vbProcedure="false">#N/A</definedName>
    <definedName function="false" hidden="true" name="HTML2_14" vbProcedure="false">#N/A</definedName>
    <definedName function="false" hidden="true" name="HTML2_15" vbProcedure="false">#N/A</definedName>
    <definedName function="false" hidden="true" name="HTML2_2" vbProcedure="false">1</definedName>
    <definedName function="false" hidden="true" name="HTML2_3" vbProcedure="false">"internet 98q4.xls"</definedName>
    <definedName function="false" hidden="true" name="HTML2_4" vbProcedure="false">"xcontact"</definedName>
    <definedName function="false" hidden="true" name="HTML2_5" vbProcedure="false">""</definedName>
    <definedName function="false" hidden="true" name="HTML2_6" vbProcedure="false">-4146</definedName>
    <definedName function="false" hidden="true" name="HTML2_7" vbProcedure="false">-4146</definedName>
    <definedName function="false" hidden="true" name="HTML2_8" vbProcedure="false">"15/10/1998"</definedName>
    <definedName function="false" hidden="true" name="HTML2_9" vbProcedure="false">"GEORGIADES"</definedName>
    <definedName function="false" hidden="true" name="HTML30_10" vbProcedure="false">""</definedName>
    <definedName function="false" hidden="true" name="HTML30_11" vbProcedure="false">1</definedName>
    <definedName function="false" hidden="true" name="HTML30_2" vbProcedure="false">1</definedName>
    <definedName function="false" hidden="true" name="HTML30_3" vbProcedure="false">"Weekly TRx Report"</definedName>
    <definedName function="false" hidden="true" name="HTML30_4" vbProcedure="false">""</definedName>
    <definedName function="false" hidden="true" name="HTML30_5" vbProcedure="false">""</definedName>
    <definedName function="false" hidden="true" name="HTML30_6" vbProcedure="false">-4146</definedName>
    <definedName function="false" hidden="true" name="HTML30_7" vbProcedure="false">-4146</definedName>
    <definedName function="false" hidden="true" name="HTML30_8" vbProcedure="false">"8/10/98"</definedName>
    <definedName function="false" hidden="true" name="HTML30_9" vbProcedure="false">"James Grote"</definedName>
    <definedName function="false" hidden="true" name="HTML31_10" vbProcedure="false">""</definedName>
    <definedName function="false" hidden="true" name="HTML31_11" vbProcedure="false">1</definedName>
    <definedName function="false" hidden="true" name="HTML31_2" vbProcedure="false">1</definedName>
    <definedName function="false" hidden="true" name="HTML31_3" vbProcedure="false">"Weekly NRx Page"</definedName>
    <definedName function="false" hidden="true" name="HTML31_4" vbProcedure="false">""</definedName>
    <definedName function="false" hidden="true" name="HTML31_5" vbProcedure="false">""</definedName>
    <definedName function="false" hidden="true" name="HTML31_6" vbProcedure="false">-4146</definedName>
    <definedName function="false" hidden="true" name="HTML31_7" vbProcedure="false">-4146</definedName>
    <definedName function="false" hidden="true" name="HTML31_8" vbProcedure="false">"9/7/98"</definedName>
    <definedName function="false" hidden="true" name="HTML31_9" vbProcedure="false">"James Grote"</definedName>
    <definedName function="false" hidden="true" name="HTML32_10" vbProcedure="false">""</definedName>
    <definedName function="false" hidden="true" name="HTML32_11" vbProcedure="false">1</definedName>
    <definedName function="false" hidden="true" name="HTML32_2" vbProcedure="false">1</definedName>
    <definedName function="false" hidden="true" name="HTML32_3" vbProcedure="false">"Weekly TRx Page"</definedName>
    <definedName function="false" hidden="true" name="HTML32_4" vbProcedure="false">""</definedName>
    <definedName function="false" hidden="true" name="HTML32_5" vbProcedure="false">""</definedName>
    <definedName function="false" hidden="true" name="HTML32_6" vbProcedure="false">-4146</definedName>
    <definedName function="false" hidden="true" name="HTML32_7" vbProcedure="false">-4146</definedName>
    <definedName function="false" hidden="true" name="HTML32_8" vbProcedure="false">"9/7/98"</definedName>
    <definedName function="false" hidden="true" name="HTML32_9" vbProcedure="false">"James Grote"</definedName>
    <definedName function="false" hidden="true" name="HTML3_1" vbProcedure="false">"'[internet 98q4.xls]xlist3'!$A$3:$E$175"</definedName>
    <definedName function="false" hidden="true" name="HTML3_10" vbProcedure="false">""</definedName>
    <definedName function="false" hidden="true" name="HTML3_11" vbProcedure="false">-4146</definedName>
    <definedName function="false" hidden="true" name="HTML3_12" vbProcedure="false">"D:\data\aaa html\national2.htm"</definedName>
    <definedName function="false" hidden="true" name="HTML3_13" vbProcedure="false">#N/A</definedName>
    <definedName function="false" hidden="true" name="HTML3_14" vbProcedure="false">#N/A</definedName>
    <definedName function="false" hidden="true" name="HTML3_15" vbProcedure="false">#N/A</definedName>
    <definedName function="false" hidden="true" name="HTML3_2" vbProcedure="false">1</definedName>
    <definedName function="false" hidden="true" name="HTML3_3" vbProcedure="false">"internet 98q4.xls"</definedName>
    <definedName function="false" hidden="true" name="HTML3_4" vbProcedure="false">"xlist3"</definedName>
    <definedName function="false" hidden="true" name="HTML3_5" vbProcedure="false">""</definedName>
    <definedName function="false" hidden="true" name="HTML3_6" vbProcedure="false">-4146</definedName>
    <definedName function="false" hidden="true" name="HTML3_7" vbProcedure="false">-4146</definedName>
    <definedName function="false" hidden="true" name="HTML3_8" vbProcedure="false">"15/10/1998"</definedName>
    <definedName function="false" hidden="true" name="HTML3_9" vbProcedure="false">"GEORGIADES"</definedName>
    <definedName function="false" hidden="true" name="HTML4_1" vbProcedure="false">"'[internet 98q4.xls]x1.2'!$B$5:$C$25"</definedName>
    <definedName function="false" hidden="true" name="HTML4_10" vbProcedure="false">""</definedName>
    <definedName function="false" hidden="true" name="HTML4_11" vbProcedure="false">1</definedName>
    <definedName function="false" hidden="true" name="HTML4_12" vbProcedure="false">"D:\data\aaa html\test1.htm"</definedName>
    <definedName function="false" hidden="true" name="HTML4_13" vbProcedure="false">#N/A</definedName>
    <definedName function="false" hidden="true" name="HTML4_14" vbProcedure="false">#N/A</definedName>
    <definedName function="false" hidden="true" name="HTML4_15" vbProcedure="false">#N/A</definedName>
    <definedName function="false" hidden="true" name="HTML4_2" vbProcedure="false">1</definedName>
    <definedName function="false" hidden="true" name="HTML4_3" vbProcedure="false">""</definedName>
    <definedName function="false" hidden="true" name="HTML4_4" vbProcedure="false">""</definedName>
    <definedName function="false" hidden="true" name="HTML4_5" vbProcedure="false">""</definedName>
    <definedName function="false" hidden="true" name="HTML4_6" vbProcedure="false">-4146</definedName>
    <definedName function="false" hidden="true" name="HTML4_7" vbProcedure="false">-4146</definedName>
    <definedName function="false" hidden="true" name="HTML4_8" vbProcedure="false">""</definedName>
    <definedName function="false" hidden="true" name="HTML4_9" vbProcedure="false">""</definedName>
    <definedName function="false" hidden="true" name="HTML5_10" vbProcedure="false">""</definedName>
    <definedName function="false" hidden="true" name="HTML5_11" vbProcedure="false">-4146</definedName>
    <definedName function="false" hidden="true" name="HTML5_12" vbProcedure="false">"C:\current\12.htm"</definedName>
    <definedName function="false" hidden="true" name="HTML5_2" vbProcedure="false">1</definedName>
    <definedName function="false" hidden="true" name="HTML5_3" vbProcedure="false">"1Q99 10Q"</definedName>
    <definedName function="false" hidden="true" name="HTML5_4" vbProcedure="false">"Exhibit 12"</definedName>
    <definedName function="false" hidden="true" name="HTML5_5" vbProcedure="false">""</definedName>
    <definedName function="false" hidden="true" name="HTML5_6" vbProcedure="false">-4146</definedName>
    <definedName function="false" hidden="true" name="HTML5_7" vbProcedure="false">-4146</definedName>
    <definedName function="false" hidden="true" name="HTML5_8" vbProcedure="false">"05/24/1999"</definedName>
    <definedName function="false" hidden="true" name="HTML5_9" vbProcedure="false">"General Electric"</definedName>
    <definedName function="false" hidden="true" name="HTML6_10" vbProcedure="false">""</definedName>
    <definedName function="false" hidden="true" name="HTML6_11" vbProcedure="false">1</definedName>
    <definedName function="false" hidden="true" name="HTML6_2" vbProcedure="false">1</definedName>
    <definedName function="false" hidden="true" name="HTML6_3" vbProcedure="false">"Weekly Allergy Volume Page"</definedName>
    <definedName function="false" hidden="true" name="HTML6_4" vbProcedure="false">""</definedName>
    <definedName function="false" hidden="true" name="HTML6_5" vbProcedure="false">""</definedName>
    <definedName function="false" hidden="true" name="HTML6_6" vbProcedure="false">-4146</definedName>
    <definedName function="false" hidden="true" name="HTML6_7" vbProcedure="false">-4146</definedName>
    <definedName function="false" hidden="true" name="HTML6_8" vbProcedure="false">""</definedName>
    <definedName function="false" hidden="true" name="HTML6_9" vbProcedure="false">""</definedName>
    <definedName function="false" hidden="true" name="HTML7_10" vbProcedure="false">""</definedName>
    <definedName function="false" hidden="true" name="HTML7_11" vbProcedure="false">1</definedName>
    <definedName function="false" hidden="true" name="HTML7_2" vbProcedure="false">1</definedName>
    <definedName function="false" hidden="true" name="HTML7_3" vbProcedure="false">"Weekly Allergy Volume Report"</definedName>
    <definedName function="false" hidden="true" name="HTML7_4" vbProcedure="false">""</definedName>
    <definedName function="false" hidden="true" name="HTML7_5" vbProcedure="false">""</definedName>
    <definedName function="false" hidden="true" name="HTML7_6" vbProcedure="false">-4146</definedName>
    <definedName function="false" hidden="true" name="HTML7_7" vbProcedure="false">-4146</definedName>
    <definedName function="false" hidden="true" name="HTML7_8" vbProcedure="false">""</definedName>
    <definedName function="false" hidden="true" name="HTML7_9" vbProcedure="false">" "</definedName>
    <definedName function="false" hidden="true" name="HTML8_10" vbProcedure="false">""</definedName>
    <definedName function="false" hidden="true" name="HTML8_11" vbProcedure="false">1</definedName>
    <definedName function="false" hidden="true" name="HTML8_2" vbProcedure="false">1</definedName>
    <definedName function="false" hidden="true" name="HTML8_3" vbProcedure="false">"Weekly Antihistamine Volume Data"</definedName>
    <definedName function="false" hidden="true" name="HTML8_4" vbProcedure="false">""</definedName>
    <definedName function="false" hidden="true" name="HTML8_5" vbProcedure="false">""</definedName>
    <definedName function="false" hidden="true" name="HTML8_6" vbProcedure="false">-4146</definedName>
    <definedName function="false" hidden="true" name="HTML8_7" vbProcedure="false">-4146</definedName>
    <definedName function="false" hidden="true" name="HTML8_8" vbProcedure="false">"6/5/98"</definedName>
    <definedName function="false" hidden="true" name="HTML8_9" vbProcedure="false">"James Grote"</definedName>
    <definedName function="false" hidden="true" name="HTML9_10" vbProcedure="false">""</definedName>
    <definedName function="false" hidden="true" name="HTML9_11" vbProcedure="false">1</definedName>
    <definedName function="false" hidden="true" name="HTML9_2" vbProcedure="false">1</definedName>
    <definedName function="false" hidden="true" name="HTML9_3" vbProcedure="false">"Weekly Antihistamine Volme Report"</definedName>
    <definedName function="false" hidden="true" name="HTML9_4" vbProcedure="false">""</definedName>
    <definedName function="false" hidden="true" name="HTML9_5" vbProcedure="false">""</definedName>
    <definedName function="false" hidden="true" name="HTML9_6" vbProcedure="false">-4146</definedName>
    <definedName function="false" hidden="true" name="HTML9_7" vbProcedure="false">-4146</definedName>
    <definedName function="false" hidden="true" name="HTML9_8" vbProcedure="false">"6/8/98"</definedName>
    <definedName function="false" hidden="true" name="HTML9_9" vbProcedure="false">"James Grote"</definedName>
    <definedName function="false" hidden="true" name="HTMLCount" vbProcedure="false">4</definedName>
    <definedName function="false" hidden="true" name="htmll2" vbProcedure="false">{"'Sample Status'!$A$1:$J$21"}</definedName>
    <definedName function="false" hidden="true" name="HTML_24" vbProcedure="false">{"'Data'!$A$1:$D$17"}</definedName>
    <definedName function="false" hidden="true" name="HTML_CodePage" vbProcedure="false">1250</definedName>
    <definedName function="false" hidden="true" name="HTML_contol2" vbProcedure="false">{"'ALUMINIO'!$A$26:$K$53"}</definedName>
    <definedName function="false" hidden="true" name="HTML_Control" vbProcedure="false">{"'Munka1'!$B$1:$G$101"}</definedName>
    <definedName function="false" hidden="true" name="Html_control1" vbProcedure="false">{"'Perf 96'!$A$1:$P$98"}</definedName>
    <definedName function="false" hidden="true" name="HTML_Control10" vbProcedure="false">{"'Data'!$A$1:$D$17"}</definedName>
    <definedName function="false" hidden="true" name="HTML_Control11" vbProcedure="false">{"'Data'!$A$1:$D$17"}</definedName>
    <definedName function="false" hidden="true" name="HTML_Control12" vbProcedure="false">{"'Data'!$A$1:$D$17"}</definedName>
    <definedName function="false" hidden="true" name="HTML_Control13" vbProcedure="false">{"'Data'!$A$1:$D$17"}</definedName>
    <definedName function="false" hidden="true" name="HTML_Control14" vbProcedure="false">{"'Data'!$A$1:$D$17"}</definedName>
    <definedName function="false" hidden="true" name="HTML_Control15" vbProcedure="false">{"'Data'!$A$1:$D$17"}</definedName>
    <definedName function="false" hidden="true" name="HTML_Control16" vbProcedure="false">{"'Data'!$A$1:$D$17"}</definedName>
    <definedName function="false" hidden="true" name="HTML_Control17" vbProcedure="false">{"'Data'!$A$1:$D$17"}</definedName>
    <definedName function="false" hidden="true" name="HTML_Control18" vbProcedure="false">{"'Data'!$A$1:$D$17"}</definedName>
    <definedName function="false" hidden="true" name="HTML_Control19" vbProcedure="false">{"'Data'!$A$1:$D$17"}</definedName>
    <definedName function="false" hidden="true" name="HTML_Control2" vbProcedure="false">{"'SIVA Pricing Model'!$A$1:$F$39"}</definedName>
    <definedName function="false" hidden="true" name="HTML_Control20" vbProcedure="false">{"'Data'!$A$1:$D$17"}</definedName>
    <definedName function="false" hidden="true" name="HTML_Control21" vbProcedure="false">{"'Data'!$A$1:$D$17"}</definedName>
    <definedName function="false" hidden="true" name="HTML_Control23" vbProcedure="false">{"'Data'!$A$1:$D$17"}</definedName>
    <definedName function="false" hidden="true" name="HTML_Control24" vbProcedure="false">{"'Data'!$A$1:$D$17"}</definedName>
    <definedName function="false" hidden="true" name="HTML_Control25" vbProcedure="false">{"'Data'!$A$1:$D$17"}</definedName>
    <definedName function="false" hidden="true" name="HTML_Control26" vbProcedure="false">{"'Data'!$A$1:$D$17"}</definedName>
    <definedName function="false" hidden="true" name="HTML_Control27" vbProcedure="false">{"'Data'!$A$1:$D$17"}</definedName>
    <definedName function="false" hidden="true" name="HTML_Control28" vbProcedure="false">{"'Data'!$A$1:$D$17"}</definedName>
    <definedName function="false" hidden="true" name="HTML_Control29" vbProcedure="false">{"'Data'!$A$1:$D$17"}</definedName>
    <definedName function="false" hidden="true" name="HTML_Control3" vbProcedure="false">{"'SIVA Pricing Model'!$A$1:$F$39"}</definedName>
    <definedName function="false" hidden="true" name="HTML_Control30" vbProcedure="false">{"'Data'!$A$1:$D$17"}</definedName>
    <definedName function="false" hidden="true" name="HTML_Control31" vbProcedure="false">{"'Data'!$A$1:$D$17"}</definedName>
    <definedName function="false" hidden="true" name="HTML_Control32" vbProcedure="false">{"'Data'!$A$1:$D$17"}</definedName>
    <definedName function="false" hidden="true" name="HTML_Control33" vbProcedure="false">{"'Data'!$A$1:$D$17"}</definedName>
    <definedName function="false" hidden="true" name="HTML_Control34" vbProcedure="false">{"'Data'!$A$1:$D$17"}</definedName>
    <definedName function="false" hidden="true" name="html_Control38" vbProcedure="false">{"'Data'!$A$1:$D$17"}</definedName>
    <definedName function="false" hidden="true" name="HTML_Control4" vbProcedure="false">{"'Data'!$A$1:$D$17"}</definedName>
    <definedName function="false" hidden="true" name="HTML_Control5" vbProcedure="false">{"'SIVA Pricing Model'!$A$1:$F$39"}</definedName>
    <definedName function="false" hidden="true" name="HTML_Control6" vbProcedure="false">{"'Data'!$A$1:$D$17"}</definedName>
    <definedName function="false" hidden="true" name="HTML_Control7" vbProcedure="false">{"'Data'!$A$1:$D$17"}</definedName>
    <definedName function="false" hidden="true" name="HTML_Control8" vbProcedure="false">{"'Data'!$A$1:$D$17"}</definedName>
    <definedName function="false" hidden="true" name="HTML_Control9" vbProcedure="false">{"'Data'!$A$1:$D$17"}</definedName>
    <definedName function="false" hidden="true" name="HTML_Controla" vbProcedure="false">{"'FXRates AUD'!$AH$586"}</definedName>
    <definedName function="false" hidden="true" name="HTML_Control_bis" vbProcedure="false">{"'Sheet1'!$A$1:$O$22"}</definedName>
    <definedName function="false" hidden="true" name="html_control_cc" vbProcedure="false">{"'WS Sales by Rep'!$A$24:$L$46"}</definedName>
    <definedName function="false" hidden="true" name="html_control_cc2" vbProcedure="false">{"'WS Sales by Rep'!$A$24:$L$46"}</definedName>
    <definedName function="false" hidden="true" name="html_control_cc3" vbProcedure="false">{"'WS Sales by Rep'!$A$24:$L$46"}</definedName>
    <definedName function="false" hidden="true" name="html_control_cc4" vbProcedure="false">{"'WS Sales by Rep'!$A$24:$L$46"}</definedName>
    <definedName function="false" hidden="true" name="html_control_fac" vbProcedure="false">{"'WS Sales by Rep'!$A$24:$L$46"}</definedName>
    <definedName function="false" hidden="true" name="html_control_fac2" vbProcedure="false">{"'WS Sales by Rep'!$A$24:$L$46"}</definedName>
    <definedName function="false" hidden="true" name="HTML_Control_fin" vbProcedure="false">{"'WS Sales by Rep'!$A$24:$L$46"}</definedName>
    <definedName function="false" hidden="true" name="html_control_fin2" vbProcedure="false">{"'WS Sales by Rep'!$A$24:$L$46"}</definedName>
    <definedName function="false" hidden="true" name="html_control_fin3" vbProcedure="false">{"'WS Sales by Rep'!$A$24:$L$46"}</definedName>
    <definedName function="false" hidden="true" name="html_control_fin4" vbProcedure="false">{"'WS Sales by Rep'!$A$24:$L$46"}</definedName>
    <definedName function="false" hidden="true" name="html_control_fin5" vbProcedure="false">{"'WS Sales by Rep'!$A$24:$L$46"}</definedName>
    <definedName function="false" hidden="true" name="html_control_fin6" vbProcedure="false">{"'WS Sales by Rep'!$A$24:$L$46"}</definedName>
    <definedName function="false" hidden="true" name="html_control_finance" vbProcedure="false">{"'WS Sales by Rep'!$A$24:$L$46"}</definedName>
    <definedName function="false" hidden="true" name="html_control_ga" vbProcedure="false">{"'WS Sales by Rep'!$A$24:$L$46"}</definedName>
    <definedName function="false" hidden="true" name="html_control_hr" vbProcedure="false">{"'WS Sales by Rep'!$A$24:$L$46"}</definedName>
    <definedName function="false" hidden="true" name="html_control_hr2" vbProcedure="false">{"'WS Sales by Rep'!$A$24:$L$46"}</definedName>
    <definedName function="false" hidden="true" name="html_control_plana" vbProcedure="false">{"'WS Sales by Rep'!$A$24:$L$46"}</definedName>
    <definedName function="false" hidden="true" name="html_control_planfac" vbProcedure="false">{"'WS Sales by Rep'!$A$24:$L$46"}</definedName>
    <definedName function="false" hidden="true" name="html_control_planfin" vbProcedure="false">{"'WS Sales by Rep'!$A$24:$L$46"}</definedName>
    <definedName function="false" hidden="true" name="html_control_planfin2" vbProcedure="false">{"'WS Sales by Rep'!$A$24:$L$46"}</definedName>
    <definedName function="false" hidden="true" name="html_control_planhr" vbProcedure="false">{"'WS Sales by Rep'!$A$24:$L$46"}</definedName>
    <definedName function="false" hidden="true" name="html_control_plan_cc" vbProcedure="false">{"'WS Sales by Rep'!$A$24:$L$46"}</definedName>
    <definedName function="false" hidden="true" name="html_control_plan_cc3" vbProcedure="false">{"'WS Sales by Rep'!$A$24:$L$46"}</definedName>
    <definedName function="false" hidden="true" name="HTML_contuol234" vbProcedure="false">{"'Data'!$A$1:$D$17"}</definedName>
    <definedName function="false" hidden="true" name="HTML_Ctrol" vbProcedure="false">{"'Title Transfer Units6,7,&amp;8'!$A$1:$B$4","'Title Transfer Units6,7,&amp;8'!$C$6"}</definedName>
    <definedName function="false" hidden="true" name="HTML_Ctrol2" vbProcedure="false">{"'Title Transfer Units6,7,&amp;8'!$A$1:$B$4","'Title Transfer Units6,7,&amp;8'!$C$6"}</definedName>
    <definedName function="false" hidden="true" name="HTML_Description" vbProcedure="false">"Umsatz in dem aktuellen Monat und aufgelaufen für das Jahr 1999"</definedName>
    <definedName function="false" hidden="true" name="HTML_Email" vbProcedure="false">"arpkffin@mail.matav.hu"</definedName>
    <definedName function="false" hidden="true" name="HTML_Header" vbProcedure="false">"Umsatz, Ist/Plan CabTec Kft 1999"</definedName>
    <definedName function="false" hidden="true" name="HTML_LastUpdate" vbProcedure="false">"1999.11.23."</definedName>
    <definedName function="false" hidden="true" name="HTML_LineAfter" vbProcedure="false">FALSE()</definedName>
    <definedName function="false" hidden="true" name="HTML_LineBefore" vbProcedure="false">FALSE()</definedName>
    <definedName function="false" hidden="true" name="HTML_Name" vbProcedure="false">"Szabó István"</definedName>
    <definedName function="false" hidden="true" name="HTML_OBDlg2" vbProcedure="false">TRUE()</definedName>
    <definedName function="false" hidden="true" name="HTML_OBDlg3" vbProcedure="false">TRUE()</definedName>
    <definedName function="false" hidden="true" name="HTML_OBDlg4" vbProcedure="false">TRUE()</definedName>
    <definedName function="false" hidden="true" name="HTML_OS" vbProcedure="false">0</definedName>
    <definedName function="false" hidden="true" name="HTML_PathFile" vbProcedure="false">"C:\a\Excel\HTML\Umsatzak.htm"</definedName>
    <definedName function="false" hidden="true" name="HTML_PathFileMac" vbProcedure="false">"Macintosh HD:HomePageStuff:New_Home_Page:datafile:ctryprem.html"</definedName>
    <definedName function="false" hidden="true" name="HTML_PathTemplate" vbProcedure="false">"G:\ST_Forecast\html\master_w.htm"</definedName>
    <definedName function="false" hidden="true" name="HTML_Title" vbProcedure="false">"Umsatz, aktuell"</definedName>
    <definedName function="false" hidden="true" name="htm_cc" vbProcedure="false">{"'WS Sales by Rep'!$A$24:$L$46"}</definedName>
    <definedName function="false" hidden="true" name="htm_cc2" vbProcedure="false">{"'WS Sales by Rep'!$A$24:$L$46"}</definedName>
    <definedName function="false" hidden="true" name="htm_cc2_ws" vbProcedure="false">{"'WS Sales by Rep'!$A$24:$L$46"}</definedName>
    <definedName function="false" hidden="true" name="htm_cc3" vbProcedure="false">{"'WS Sales by Rep'!$A$24:$L$46"}</definedName>
    <definedName function="false" hidden="true" name="htm_cc3_ws" vbProcedure="false">{"'WS Sales by Rep'!$A$24:$L$46"}</definedName>
    <definedName function="false" hidden="true" name="htm_cc4" vbProcedure="false">{"'WS Sales by Rep'!$A$24:$L$46"}</definedName>
    <definedName function="false" hidden="true" name="htm_cc_ws" vbProcedure="false">{"'WS Sales by Rep'!$A$24:$L$46"}</definedName>
    <definedName function="false" hidden="true" name="htm_cc_ws4" vbProcedure="false">{"'WS Sales by Rep'!$A$24:$L$46"}</definedName>
    <definedName function="false" hidden="true" name="HTM_Control" vbProcedure="false">{"'下期集計（10.27迄・速報値）'!$Q$16"}</definedName>
    <definedName function="false" hidden="true" name="HTM_control42" vbProcedure="false">{"'Analysis'!$A$1:$B$4,$A$6:$N$129"}</definedName>
    <definedName function="false" hidden="true" name="htm_fac" vbProcedure="false">{"'WS Sales by Rep'!$A$24:$L$46"}</definedName>
    <definedName function="false" hidden="true" name="htm_fac2" vbProcedure="false">{"'WS Sales by Rep'!$A$24:$L$46"}</definedName>
    <definedName function="false" hidden="true" name="htm_fin" vbProcedure="false">{"'WS Sales by Rep'!$A$24:$L$46"}</definedName>
    <definedName function="false" hidden="true" name="htm_fin2" vbProcedure="false">{"'WS Sales by Rep'!$A$24:$L$46"}</definedName>
    <definedName function="false" hidden="true" name="htm_fin3" vbProcedure="false">{"'WS Sales by Rep'!$A$24:$L$46"}</definedName>
    <definedName function="false" hidden="true" name="htm_fin4" vbProcedure="false">{"'WS Sales by Rep'!$A$24:$L$46"}</definedName>
    <definedName function="false" hidden="true" name="htm_fin5" vbProcedure="false">{"'WS Sales by Rep'!$A$24:$L$46"}</definedName>
    <definedName function="false" hidden="true" name="htm_ga" vbProcedure="false">{"'WS Sales by Rep'!$A$24:$L$46"}</definedName>
    <definedName function="false" hidden="true" name="htm_ga_fin" vbProcedure="false">{"'WS Sales by Rep'!$A$24:$L$46"}</definedName>
    <definedName function="false" hidden="true" name="htm_hr" vbProcedure="false">{"'WS Sales by Rep'!$A$24:$L$46"}</definedName>
    <definedName function="false" hidden="true" name="htm_hr2" vbProcedure="false">{"'WS Sales by Rep'!$A$24:$L$46"}</definedName>
    <definedName function="false" hidden="true" name="htm_plana" vbProcedure="false">{"'WS Sales by Rep'!$A$24:$L$46"}</definedName>
    <definedName function="false" hidden="true" name="htm_plana_fin" vbProcedure="false">{"'WS Sales by Rep'!$A$24:$L$46"}</definedName>
    <definedName function="false" hidden="true" name="htm_planfac" vbProcedure="false">{"'WS Sales by Rep'!$A$24:$L$46"}</definedName>
    <definedName function="false" hidden="true" name="htm_planfin" vbProcedure="false">{"'WS Sales by Rep'!$A$24:$L$46"}</definedName>
    <definedName function="false" hidden="true" name="htm_planhr" vbProcedure="false">{"'WS Sales by Rep'!$A$24:$L$46"}</definedName>
    <definedName function="false" hidden="true" name="htm_plan_cc" vbProcedure="false">{"'WS Sales by Rep'!$A$24:$L$46"}</definedName>
    <definedName function="false" hidden="true" name="htm_plan_cc2" vbProcedure="false">{"'WS Sales by Rep'!$A$24:$L$46"}</definedName>
    <definedName function="false" hidden="true" name="htm_plan_fin5" vbProcedure="false">{"'WS Sales by Rep'!$A$24:$L$46"}</definedName>
    <definedName function="false" hidden="true" name="htm_ws" vbProcedure="false">{"'WS Sales by Rep'!$A$24:$L$46"}</definedName>
    <definedName function="false" hidden="true" name="HTNL3" vbProcedure="false">{"'Title Transfer Units6,7,&amp;8'!$A$1:$B$4","'Title Transfer Units6,7,&amp;8'!$C$6"}</definedName>
    <definedName function="false" hidden="true" name="htre" vbProcedure="false">{#N/A,#N/A,TRUE,"Historicals";#N/A,#N/A,TRUE,"Charts";#N/A,#N/A,TRUE,"Forecasts"}</definedName>
    <definedName function="false" hidden="true" name="htrehd" vbProcedure="false">{#N/A,#N/A,TRUE,"Historicals";#N/A,#N/A,TRUE,"Charts";#N/A,#N/A,TRUE,"Forecasts"}</definedName>
    <definedName function="false" hidden="true" name="htrhehdf" vbProcedure="false">{#N/A,#N/A,TRUE,"Historicals";#N/A,#N/A,TRUE,"Charts";#N/A,#N/A,TRUE,"Forecasts"}</definedName>
    <definedName function="false" hidden="true" name="htrhfg" vbProcedure="false">{#N/A,#N/A,TRUE,"Historicals";#N/A,#N/A,TRUE,"Charts";#N/A,#N/A,TRUE,"Forecasts"}</definedName>
    <definedName function="false" hidden="true" name="htrhtrh" vbProcedure="false">{#N/A,#N/A,TRUE,"Historicals";#N/A,#N/A,TRUE,"Charts";#N/A,#N/A,TRUE,"Forecasts"}</definedName>
    <definedName function="false" hidden="true" name="htyrht" vbProcedure="false">{#N/A,#N/A,TRUE,"Historicals";#N/A,#N/A,TRUE,"Charts";#N/A,#N/A,TRUE,"Forecasts"}</definedName>
    <definedName function="false" hidden="true" name="htyuityuiotio" vbProcedure="false">{#N/A,#N/A,FALSE,"REPORT"}</definedName>
    <definedName function="false" hidden="true" name="hu"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Hugo" vbProcedure="false">{#N/A,#N/A,FALSE,"A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function="false" hidden="true" name="HUh" vbProcedure="false">{"'Standalone List Price Trends'!$A$1:$X$56"}</definedName>
    <definedName function="false" hidden="true" name="huh?????"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hui" vbProcedure="false">{"Sum1",#N/A,FALSE,"Reserve Report";"Sum2",#N/A,FALSE,"Reserve Report";"Sum3",#N/A,FALSE,"Reserve Report";"Sum4",#N/A,FALSE,"Reserve Report"}</definedName>
    <definedName function="false" hidden="true" name="huj" vbProcedure="false">{"SCM_Detail",#N/A,FALSE,"SCM";"SCM_Top",#N/A,FALSE,"SCM"}</definedName>
    <definedName function="false" hidden="true" name="hurz" vbProcedure="false">{#N/A,#N/A,FALSE,"WOB_1.XLS";#N/A,#N/A,FALSE,"WOB_2.XLS";#N/A,#N/A,FALSE,"WOB_3.XLS";#N/A,#N/A,FALSE,"WOB_4.XLS";#N/A,#N/A,FALSE,"WOB_5.XLS"}</definedName>
    <definedName function="false" hidden="true" name="hurz2" vbProcedure="false">{#N/A,#N/A,FALSE,"WOBE_DE.XLS";#N/A,#N/A,FALSE,"WOB_1.XLS";#N/A,#N/A,FALSE,"WOB_2.XLS";#N/A,#N/A,FALSE,"WOB_3.XLS";#N/A,#N/A,FALSE,"WOB_4.XLS";#N/A,#N/A,FALSE,"WOB_5.XLS"}</definedName>
    <definedName function="false" hidden="true" name="hurz3" vbProcedure="false">{#N/A,#N/A,FALSE,"WOB_1.XLS";#N/A,#N/A,FALSE,"WOB_2.XLS";#N/A,#N/A,FALSE,"WOB_3.XLS";#N/A,#N/A,FALSE,"WOB_4.XLS";#N/A,#N/A,FALSE,"WOB_5.XLS"}</definedName>
    <definedName function="false" hidden="true" name="hurz4" vbProcedure="false">{#N/A,#N/A,FALSE,"WOBE_DE.XLS";#N/A,#N/A,FALSE,"WOB_1.XLS";#N/A,#N/A,FALSE,"WOB_2.XLS";#N/A,#N/A,FALSE,"WOB_3.XLS";#N/A,#N/A,FALSE,"WOB_4.XLS";#N/A,#N/A,FALSE,"WOB_5.XLS"}</definedName>
    <definedName function="false" hidden="true" name="hurz5" vbProcedure="false">{#N/A,#N/A,FALSE,"WOB_1.XLS";#N/A,#N/A,FALSE,"WOB_2.XLS";#N/A,#N/A,FALSE,"WOB_3.XLS";#N/A,#N/A,FALSE,"WOB_4.XLS";#N/A,#N/A,FALSE,"WOB_5.XLS"}</definedName>
    <definedName function="false" hidden="true" name="huy" vbProcedure="false">{"'Sheet1'!$L$16"}</definedName>
    <definedName function="false" hidden="true" name="HvSAutomaticLabelingDisabled" vbProcedure="false">"True"</definedName>
    <definedName function="false" hidden="true" name="HvSClassificationId" vbProcedure="false">"d4c75f49-f1ee-485c-aa75-2c54e2ab5223"</definedName>
    <definedName function="false" hidden="true" name="HvSOldClassificationId" vbProcedure="false">"d4c75f49-f1ee-485c-aa75-2c54e2ab5223"</definedName>
    <definedName function="false" hidden="true" name="HvSPrefix" vbProcedure="false">"Lorange"</definedName>
    <definedName function="false" hidden="true" name="HvSPreviousClassificationId" vbProcedure="false">"d4c75f49-f1ee-485c-aa75-2c54e2ab5223"</definedName>
    <definedName function="false" hidden="true" name="HvSShowClassificationRequestWindow" vbProcedure="false">"False"</definedName>
    <definedName function="false" hidden="true" name="HvSWorkbookInitialized" vbProcedure="false">"False"</definedName>
    <definedName function="false" hidden="true" name="hw" vbProcedure="false">{"sales growth",#N/A,FALSE,"summary";"oper income",#N/A,FALSE,"summary";"oros rank",#N/A,FALSE,"summary";"net assets",#N/A,FALSE,"summary";"asset turnover",#N/A,FALSE,"summary";"orona",#N/A,FALSE,"summary"}</definedName>
    <definedName function="false" hidden="true" name="hy"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Hypertention" vbProcedure="false">{#N/A,#N/A,FALSE,"Pharm";#N/A,#N/A,FALSE,"WWCM"}</definedName>
    <definedName function="false" hidden="true" name="hypo" vbProcedure="false">{#N/A,#N/A,FALSE,"Pharm";#N/A,#N/A,FALSE,"WWCM"}</definedName>
    <definedName function="false" hidden="true" name="hyt" vbProcedure="false">{"P&amp;L",#N/A,FALSE,"P&amp;LPlan";"Cashflow",#N/A,FALSE,"Cash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function="false" hidden="true" name="hytrf" vbProcedure="false">{#N/A,#N/A,TRUE,"Historicals";#N/A,#N/A,TRUE,"Charts";#N/A,#N/A,TRUE,"Forecasts"}</definedName>
    <definedName function="false" hidden="true" name="hzihz" vbProcedure="false">{#N/A,#N/A,FALSE,"M1";#N/A,#N/A,FALSE,"K7";#N/A,#N/A,FALSE,"K6";#N/A,#N/A,FALSE,"K5";#N/A,#N/A,FALSE,"K4";#N/A,#N/A,FALSE,"K3";#N/A,#N/A,FALSE,"K2";#N/A,#N/A,FALSE,"K1"}</definedName>
    <definedName function="false" hidden="true" name="I68Y" vbProcedure="false">{"'Demand Units'!$X$11:$AD$45"}</definedName>
    <definedName function="false" hidden="true" name="i8uitiu"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IA" vbProcedure="false">{"SCM_Detail",#N/A,FALSE,"SCM";"SCM_Top",#N/A,FALSE,"SCM"}</definedName>
    <definedName function="false" hidden="true" name="ibnjks" vbProcedure="false">{"detail",#N/A,FALSE,"mfg";"summary",#N/A,FALSE,"mfg"}</definedName>
    <definedName function="false" hidden="true" name="idid" vbProcedure="false">{#N/A,#N/A,FALSE,"단축1";#N/A,#N/A,FALSE,"단축2";#N/A,#N/A,FALSE,"단축3";#N/A,#N/A,FALSE,"장축";#N/A,#N/A,FALSE,"4WD"}</definedName>
    <definedName function="false" hidden="true" name="IDL.Connector.UDF" vbProcedure="false">0</definedName>
    <definedName function="false" hidden="true" name="IDL.Connector.Version" vbProcedure="false">"16.1.0.0"</definedName>
    <definedName function="false" hidden="true" name="IDL.Connector.Version2011" vbProcedure="false">"10.0.0.4"</definedName>
    <definedName function="false" hidden="true" name="IDL.Connector.Version2012" vbProcedure="false">"10.0.0.4"</definedName>
    <definedName function="false" hidden="true" name="IEPeXToEUR" vbProcedure="false">1/eurextoiep</definedName>
    <definedName function="false" hidden="true" name="ierj" vbProcedure="false">{"weichwaren",#N/A,FALSE,"Liste 1";"hartwaren",#N/A,FALSE,"Liste 1";"food",#N/A,FALSE,"Liste 1";"fleisch",#N/A,FALSE,"Liste 1"}</definedName>
    <definedName function="false" hidden="true" name="iffx"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true" name="iffy"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true" name="IGIENE" vbProcedure="false">{"FY97Total var",#N/A,FALSE,"FY97 - Total";"FY98Total var",#N/A,FALSE,"FY98 - Total"}</definedName>
    <definedName function="false" hidden="true" name="IHE" vbProcedure="false">#REF!</definedName>
    <definedName function="false" hidden="true" name="ihuygvd" vbProcedure="false">{#N/A,#N/A,FALSE,"초도품";#N/A,#N/A,FALSE,"초도품 (2)";#N/A,#N/A,FALSE,"초도품 (3)";#N/A,#N/A,FALSE,"초도품 (4)";#N/A,#N/A,FALSE,"초도품 (5)";#N/A,#N/A,FALSE,"초도품 (6)"}</definedName>
    <definedName function="false" hidden="true" name="ii" vbProcedure="false">{"Tariff Comparison",#N/A,FALSE,"Benchmarking";"Tariff Comparison 2",#N/A,FALSE,"Benchmarking";"Tariff Comparison 3",#N/A,FALSE,"Benchmarking"}</definedName>
    <definedName function="false" hidden="true" name="ii.oo" vbProcedure="false">{#N/A,#N/A,FALSE,"Umsatz EO BP";#N/A,#N/A,FALSE,"Umsatz EO OP";#N/A,#N/A,FALSE,"ER EO BP";#N/A,#N/A,FALSE,"ER EO OP";#N/A,#N/A,FALSE,"EA EO (2)";#N/A,#N/A,FALSE,"EA EO";#N/A,#N/A,FALSE,"EA EO (3)";#N/A,#N/A,FALSE,"EA EO (4)";#N/A,#N/A,FALSE,"KA EO  (2)";#N/A,#N/A,FALSE,"KA EO";#N/A,#N/A,FALSE,"KA EO  (3)";#N/A,#N/A,FALSE,"KA EO (4)"}</definedName>
    <definedName function="false" hidden="true" name="iii" vbProcedure="false">{"detail",#N/A,FALSE,"mfg";"summary",#N/A,FALSE,"mfg"}</definedName>
    <definedName function="false" hidden="true" name="IIII" vbProcedure="false">{#N/A,#N/A,FALSE,"단축1";#N/A,#N/A,FALSE,"단축2";#N/A,#N/A,FALSE,"단축3";#N/A,#N/A,FALSE,"장축";#N/A,#N/A,FALSE,"4WD"}</definedName>
    <definedName function="false" hidden="true" name="iiiii" vbProcedure="false">{#N/A,#N/A,FALSE,"Calc";#N/A,#N/A,FALSE,"Sensitivity";#N/A,#N/A,FALSE,"LT Earn.Dil.";#N/A,#N/A,FALSE,"Dil. AVP"}</definedName>
    <definedName function="false" hidden="true" name="iiiiiiiiiiiiiiii"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iiiiiiiiiiiiiiiiiiiiiiiiiiiiiiiiiiii"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ijoi" vbProcedure="false">{#N/A,#N/A,FALSE,"Produkte Erw.";#N/A,#N/A,FALSE,"Produkte Plan";#N/A,#N/A,FALSE,"Leistungen Erw.";#N/A,#N/A,FALSE,"Leistungen Plan";#N/A,#N/A,FALSE,"KA Allg.Kosten (2)";#N/A,#N/A,FALSE,"KA All.Kosten"}</definedName>
    <definedName function="false" hidden="true" name="ik" vbProcedure="false">{"casespecific",#N/A,FALSE,"Assumptions"}</definedName>
    <definedName function="false" hidden="true" name="iki" vbProcedure="false">{"Y.1",#N/A,TRUE,"SIEMENS";"Y.2",#N/A,TRUE,"ALCATEL";"Y.3",#N/A,TRUE,"MOTOROLA";"Y.4",#N/A,TRUE,"DİĞER";"Y.5",#N/A,TRUE,"LG-5";"Y.6",#N/A,TRUE,"LG-5";"Y.7",#N/A,TRUE,"LG-4";"Y.8",#N/A,TRUE,"LG-4";"Y.10",#N/A,TRUE,"LG-4";"Y.9",#N/A,TRUE,"LG-4";"TERMİNAL",#N/A,TRUE,"TERMİNAL";"DETECON",#N/A,TRUE,"DETECON";"Y.10",#N/A,TRUE,"TEMİNAT";"Y.11",#N/A,TRUE,"TEMİNAT"}</definedName>
    <definedName function="false" hidden="true" name="ikiooo" vbProcedure="false">{"'Other IPS'!$A$5","'Other IPS'!$A$4:$K$38"}</definedName>
    <definedName function="false" hidden="true" name="ilöul" vbProcedure="false">{#N/A,#N/A,FALSE,"Layout GuV"}</definedName>
    <definedName function="false" hidden="true" name="imeclosedthreads" vbProcedure="false">41918.5692013889</definedName>
    <definedName function="false" hidden="true" name="Img_ML_3c7g1a7g" vbProcedure="false">"IMG_3"</definedName>
    <definedName function="false" hidden="true" name="Img_ML_7g5e5e2b" vbProcedure="false">"IMG_3"</definedName>
    <definedName function="false" hidden="true" name="Img_ML_8h7g4d4d" vbProcedure="false">"IMG_3"</definedName>
    <definedName function="false" hidden="true" name="Img_Production_Breakdown" vbProcedure="false">"IMG_3"</definedName>
    <definedName function="false" hidden="true" name="imj" vbProcedure="false">{#N/A,#N/A,FALSE,"Aging Summary";#N/A,#N/A,FALSE,"Ratio Analysis";#N/A,#N/A,FALSE,"Test 120 Day Accts";#N/A,#N/A,FALSE,"Tickmarks"}</definedName>
    <definedName function="false" hidden="true" name="imob" vbProcedure="false">{#N/A,#N/A,FALSE,"CAPAS";#N/A,#N/A,FALSE,"BP-BOM";#N/A,#N/A,FALSE,"DRBOM";#N/A,#N/A,FALSE,"DRE-RAT";#N/A,#N/A,FALSE,"CAPAS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function="false" hidden="true" name="imob1" vbProcedure="false">{#N/A,#N/A,FALSE,"DRE-2";#N/A,#N/A,FALSE,"DRE";#N/A,#N/A,FALSE,"ANEX-07";#N/A,#N/A,FALSE,"ANEX-08";#N/A,#N/A,FALSE,"ANEX-09";#N/A,#N/A,FALSE,"ANEX-10";#N/A,#N/A,FALSE,"ANEX-11";#N/A,#N/A,FALSE,"ANEX-12";#N/A,#N/A,FALSE,"ANEX-13";#N/A,#N/A,FALSE,"ANEX-14";#N/A,#N/A,FALSE,"BALPTR"}</definedName>
    <definedName function="false" hidden="true" name="incentive" vbProcedure="false">{#N/A,#N/A,FALSE,"UEG Cover";#N/A,#N/A,FALSE,"UEG Summary";#N/A,#N/A,FALSE,"UPS Cover";#N/A,#N/A,FALSE,"REGULATED_POWER";#N/A,#N/A,FALSE,"REG_VAR_YTD";#N/A,#N/A,FALSE,"UCG";#N/A,#N/A,FALSE,"UCG_VAR_YTD";#N/A,#N/A,FALSE,"O&amp;M_DETAIL";#N/A,#N/A,FALSE,"UPS HEADCOUNT";#N/A,#N/A,FALSE,"UPS CAPITAL";#N/A,#N/A,FALSE,"UPS FLEX PLAN";#N/A,#N/A,FALSE,"UER Cover";#N/A,#N/A,FALSE,"AEC EBIT-EVA Month";#N/A,#N/A,FALSE,"AEC EBIT-EVA Y-T-D";#N/A,#N/A,FALSE,"AEM-TG EBIT-EVA Month";#N/A,#N/A,FALSE,"APC-PT EBIT-EVA Month ";#N/A,#N/A,FALSE,"AEM-Term EBIT-EVA Month ";#N/A,#N/A,FALSE,"APC-Term EBIT-EVA Month";#N/A,#N/A,FALSE,"AEM O&amp;M Detail";#N/A,#N/A,FALSE,"AQP Cover";#N/A,#N/A,FALSE,"AQP EBIT-EVA Month";#N/A,#N/A,FALSE,"AQP EBIT-EVA Y-T-D";#N/A,#N/A,FALSE,"AQP O&amp;M Detail";#N/A,#N/A,FALSE,"Operating Stats-UER";#N/A,#N/A,FALSE,"Headcount";#N/A,#N/A,FALSE,"GSS Cover";#N/A,#N/A,FALSE,"GSS EBIT-EVA Month";#N/A,#N/A,FALSE,"GSS EBIT-EVA Variance";#N/A,#N/A,FALSE,"GSS O&amp;M Detail - P&amp;L";#N/A,#N/A,FALSE,"GSS O&amp;M Variance";#N/A,#N/A,FALSE,"UES Cover";#N/A,#N/A,FALSE,"UES Total";#N/A,#N/A,FALSE,"Monthly UES by SBU";#N/A,#N/A,FALSE,"YTD UES by SBU";#N/A,#N/A,FALSE,"IndustEBIT";#N/A,#N/A,FALSE,"Com'l EBIT ";#N/A,#N/A,FALSE,"UEM EBIT"}</definedName>
    <definedName function="false" hidden="true" name="IncTarget" vbProcedure="false">{#N/A,#N/A,FALSE,"Assumptions";#N/A,#N/A,FALSE,"Volumes";#N/A,#N/A,FALSE,"Pricing";#N/A,#N/A,FALSE,"Variable Cost";#N/A,#N/A,FALSE,"Investment";#N/A,#N/A,FALSE,"Profitability";#N/A,#N/A,FALSE,"Business Comparison"}</definedName>
    <definedName function="false" hidden="true" name="INC_AFTER_TAX" vbProcedure="false">"INC_AFTER_TAX"</definedName>
    <definedName function="false" hidden="true" name="INC_AVAIL_EXCL" vbProcedure="false">"INC_AVAIL_EXCL"</definedName>
    <definedName function="false" hidden="true" name="INC_AVAIL_INCL" vbProcedure="false">"INC_AVAIL_INCL"</definedName>
    <definedName function="false" hidden="true" name="INC_BEFORE_TAX" vbProcedure="false">"INC_BEFORE_TAX"</definedName>
    <definedName function="false" hidden="true" name="INC_TAX" vbProcedure="false">"INC_TAX"</definedName>
    <definedName function="false" hidden="true" name="INC_TAX_EXCL" vbProcedure="false">"INC_TAX_EXCL"</definedName>
    <definedName function="false" hidden="true" name="inflList" vbProcedure="false">"11011000000000000000000000000000000000000000000000000000000000000000000000000000000000000000000000000000000000000000000000000000000000000000000000000000000000000000000000000000000000000000000000000000"</definedName>
    <definedName function="false" hidden="true" name="INFO_BI_EXE_NAME" vbProcedure="false">"BICEVOLUTION.EXE"</definedName>
    <definedName function="false" hidden="true" name="INFO_EXE_SERVER_PATH" vbProcedure="false">"C:\Program Files (x86)\Pastel Evolution\BICEVOLUTION.EXE"</definedName>
    <definedName function="false" hidden="true" name="INFO_INSTANCE_ID" vbProcedure="false">"0"</definedName>
    <definedName function="false" hidden="true" name="INFO_INSTANCE_NAME" vbProcedure="false">"Copy of Attix5 Consolidated Management March_Jay_20141030_15_21_40_2121.xls"</definedName>
    <definedName function="false" hidden="true" name="INFO_REPORT_CODE" vbProcedure="false">"E4-GL01-3-5"</definedName>
    <definedName function="false" hidden="true" name="INFO_REPORT_ID" vbProcedure="false">"2"</definedName>
    <definedName function="false" hidden="true" name="INFO_REPORT_NAME" vbProcedure="false">"A5 Consolidated Management Pack D-3-5"</definedName>
    <definedName function="false" hidden="true" name="INFO_RUN_USER" vbProcedure="false">""</definedName>
    <definedName function="false" hidden="true" name="INFO_RUN_WORKSTATION" vbProcedure="false">"A5-EVO-GATEWAY"</definedName>
    <definedName function="false" hidden="true" name="ingjks" vbProcedure="false">{"detail",#N/A,FALSE,"mfg";"summary",#N/A,FALSE,"mfg"}</definedName>
    <definedName function="false" hidden="true" name="ingo" vbProcedure="false">{#N/A,#N/A,FALSE,"Report-Generator";#N/A,#N/A,FALSE,"S.1 Zusammenfassung";#N/A,#N/A,FALSE,"S.2 Modellrendite";#N/A,#N/A,FALSE,"S.3a Absatzvolumen";#N/A,#N/A,FALSE,"S.3b Absatzvolumen";#N/A,#N/A,FALSE,"S.3c Absatzvolumen";#N/A,#N/A,FALSE,"S.4 Volumen, Mix";#N/A,#N/A,FALSE,"S.5 Produktaufwand";#N/A,#N/A,FALSE,"S.6 Prop. Herstellkosten";#N/A,#N/A,FALSE,"S.7 DB-Vergleich";#N/A,#N/A,FALSE,"S.8 DB-Vergleich";#N/A,#N/A,FALSE,"S.9 DB-Vergleich";#N/A,#N/A,FALSE,"S.10 MR-Berechnung"}</definedName>
    <definedName function="false" hidden="true" name="Inhaltsverzeichnis" vbProcedure="false">{#N/A,#N/A,FALSE,"Aktiva";#N/A,#N/A,FALSE,"Passiva";#N/A,#N/A,FALSE,"guv";#N/A,#N/A,FALSE,"Anl-1";#N/A,#N/A,FALSE,"Anl-2";#N/A,#N/A,FALSE,"Anl-III";#N/A,#N/A,FALSE,"Ta-1-Anh";#N/A,#N/A,FALSE,"Ta-2-Anh";#N/A,#N/A,FALSE,"Ta-3-Anh";#N/A,#N/A,FALSE,"Kontroll-Blatt"}</definedName>
    <definedName function="false" hidden="true" name="iniske" vbProcedure="false">{"detail",#N/A,FALSE,"mfg";"summary",#N/A,FALSE,"mfg"}</definedName>
    <definedName function="false" hidden="true" name="inksl" vbProcedure="false">{"detail",#N/A,FALSE,"mfg";"summary",#N/A,FALSE,"mfg"}</definedName>
    <definedName function="false" hidden="true" name="INL.Connector.Version2014" vbProcedure="false">"10.0.0.4"</definedName>
    <definedName function="false" hidden="true" name="INL.Connector.VersionQ3" vbProcedure="false">"10.0.0.4"</definedName>
    <definedName function="false" hidden="true" name="Input_Prognose" vbProcedure="false">{#N/A,#N/A,FALSE,"A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function="false" hidden="true" name="INTANGIBLES_NET" vbProcedure="false">"INTANGIBLES_NET"</definedName>
    <definedName function="false" hidden="true" name="INTEREST_EXP_NET" vbProcedure="false">"INTEREST_EXP_NET"</definedName>
    <definedName function="false" hidden="true" name="INTEREST_EXP_NON" vbProcedure="false">"INTEREST_EXP_NON"</definedName>
    <definedName function="false" hidden="true" name="INTEREST_EXP_SUPPL" vbProcedure="false">"INTEREST_EXP_SUPPL"</definedName>
    <definedName function="false" hidden="true" name="INTEREST_INC" vbProcedure="false">"INTEREST_INC"</definedName>
    <definedName function="false" hidden="true" name="INTEREST_INC_10K" vbProcedure="false">"INTEREST_INC_10K"</definedName>
    <definedName function="false" hidden="true" name="INTEREST_INC_10Q" vbProcedure="false">"INTEREST_INC_10Q"</definedName>
    <definedName function="false" hidden="true" name="INTEREST_INC_10Q1" vbProcedure="false">"INTEREST_INC_10Q1"</definedName>
    <definedName function="false" hidden="true" name="INTEREST_INC_NON" vbProcedure="false">"INTEREST_INC_NON"</definedName>
    <definedName function="false" hidden="true" name="InterimHeading" vbProcedure="false">16777215</definedName>
    <definedName function="false" hidden="true" name="IntroPrintArea" vbProcedure="false">#REF!</definedName>
    <definedName function="false" hidden="true" name="int_ext_sel" vbProcedure="false">1</definedName>
    <definedName function="false" hidden="true" name="invcap" vbProcedure="false">#REF!</definedName>
    <definedName function="false" hidden="true" name="invcap2" vbProcedure="false">#REF!</definedName>
    <definedName function="false" hidden="true" name="INVENTORY_TURNS" vbProcedure="false">"INVENTORY_TURNS"</definedName>
    <definedName function="false" hidden="true" name="investmentz" vbProcedure="false">{#N/A,#N/A,FALSE,"Cover";#N/A,#N/A,FALSE,"Assumptions";#N/A,#N/A,FALSE,"Volumes";#N/A,#N/A,FALSE,"Pricing";#N/A,#N/A,FALSE,"TFLE Walk";#N/A,#N/A,FALSE,"Variable Cost";#N/A,#N/A,FALSE,"Sensitivity";#N/A,#N/A,FALSE,"Investment";#N/A,#N/A,FALSE,"Profitability"}</definedName>
    <definedName function="false" hidden="true" name="io" vbProcedure="false">{"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function="false" hidden="true" name="ioioo" vbProcedure="false">{#N/A,#N/A,FALSE,"Rohstoffnotierungen";#N/A,#N/A,FALSE,"ER HCST Erw. 99";#N/A,#N/A,FALSE,"ER HCST Plan 00";#N/A,#N/A,FALSE,"Umsatz KG";#N/A,#N/A,FALSE,"ER HCST";#N/A,#N/A,FALSE,"EA ST (2)";#N/A,#N/A,FALSE,"EA ST";#N/A,#N/A,FALSE,"EA ST (3)";#N/A,#N/A,FALSE,"EA ST (4)";#N/A,#N/A,FALSE,"KA ST  (2)";#N/A,#N/A,FALSE,"KA ST";#N/A,#N/A,FALSE,"KA ST  (3)";#N/A,#N/A,FALSE,"KA ST (4)"}</definedName>
    <definedName function="false" hidden="true" name="iop" vbProcedure="false">{#N/A,"PURCHM",FALSE,"Business Analysis";#N/A,"SPADD",FALSE,"Business Analysis"}</definedName>
    <definedName function="false" hidden="true" name="iophipohgipp" vbProcedure="false">{#N/A,#N/A,FALSE,"summary"}</definedName>
    <definedName function="false" hidden="true" name="iopi"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iopy" vbProcedure="false">{"targetdcf",#N/A,FALSE,"Merger consequences";"TARGETASSU",#N/A,FALSE,"Merger consequences";"TERMINAL VALUE",#N/A,FALSE,"Merger consequences"}</definedName>
    <definedName function="false" hidden="true" name="iopzpuio" vbProcedure="false">{#N/A,#N/A,FALSE,"Layout Cash Flow"}</definedName>
    <definedName function="false" hidden="true" name="iouu" vbProcedure="false">{"Total",#N/A,FALSE,"Total Proved + Probable";"PDP",#N/A,FALSE,"Total Proved + Probable";"PNP",#N/A,FALSE,"Total Proved + Probable";"PUD",#N/A,FALSE,"Total Proved + Probable";"Prob",#N/A,FALSE,"Total Proved + Probable"}</definedName>
    <definedName function="false" hidden="true" name="iouöiioö" vbProcedure="false">{#N/A,#N/A,FALSE,"Finanzbedarfsrechnung"}</definedName>
    <definedName function="false" hidden="true" name="ioöioö" vbProcedure="false">{#N/A,#N/A,FALSE,"Layout Cash Flow"}</definedName>
    <definedName function="false" hidden="true" name="ip" vbProcedure="false">{"sbhko",#N/A,FALSE,"A";"sbhko2",#N/A,FALSE,"A";"sbhko3",#N/A,FALSE,"A"}</definedName>
    <definedName function="false" hidden="true" name="IPRD_mites" vbProcedure="false">{"bs",#N/A,FALSE,"SCF"}</definedName>
    <definedName function="false" hidden="true" name="IPRD_Pollen" vbProcedure="false">{"bs",#N/A,FALSE,"SCF"}</definedName>
    <definedName function="false" hidden="true" name="ipöoi" vbProcedure="false">{"WACC",#N/A,FALSE,"Bewertung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function="false" hidden="true" name="IQ" vbProcedure="false">"c3460"</definedName>
    <definedName function="false" hidden="true" name="IQB_BOOKMARK_COUNT" vbProcedure="false">1</definedName>
    <definedName function="false" hidden="true" name="IQB_BOOKMARK_LOCATION_0" vbProcedure="false">#REF!</definedName>
    <definedName function="false" hidden="true" name="IQB_BOOKMARK_LOCATION_1" vbProcedure="false">#REF!</definedName>
    <definedName function="false" hidden="true" name="IQB_BOOKMARK_LOCATION_2" vbProcedure="false">#REF!</definedName>
    <definedName function="false" hidden="true" name="IQB_BOOKMARK_LOCATION_3" vbProcedure="false">#REF!</definedName>
    <definedName function="false" hidden="true" name="IQB_BOOKMARK_LOCATION_4" vbProcedure="false">#REF!</definedName>
    <definedName function="false" hidden="true" name="IQB_CURRENT_BOOKMARK" vbProcedure="false">0</definedName>
    <definedName function="false" hidden="true" name="IQNAMA" vbProcedure="false">39972.4171759259</definedName>
    <definedName function="false" hidden="true" name="IQR2019CZ38" vbProcedure="false">#REF!</definedName>
    <definedName function="false" hidden="true" name="IQR2021M39" vbProcedure="false">#REF!</definedName>
    <definedName function="false" hidden="true" name="IQR2021M4" vbProcedure="false">#REF!</definedName>
    <definedName function="false" hidden="true" name="IQRA1" vbProcedure="false">"$A$2:$A$211"</definedName>
    <definedName function="false" hidden="true" name="IQRA10" vbProcedure="false">"$A$11:$A$263"</definedName>
    <definedName function="false" hidden="true" name="IQRA108" vbProcedure="false">"$A$109:$A$129"</definedName>
    <definedName function="false" hidden="true" name="IQRA109" vbProcedure="false">"$A$110:$A$130"</definedName>
    <definedName function="false" hidden="true" name="IQRA110" vbProcedure="false">"$A$111:$A$131"</definedName>
    <definedName function="false" hidden="true" name="IQRA112" vbProcedure="false">"$A$113:$A$130"</definedName>
    <definedName function="false" hidden="true" name="IQRA12" vbProcedure="false">"$A$13:$A$265"</definedName>
    <definedName function="false" hidden="true" name="IQRA134" vbProcedure="false">"$A$135:$A$385"</definedName>
    <definedName function="false" hidden="true" name="IQRA2" vbProcedure="false">"$A$3:$A$217"</definedName>
    <definedName function="false" hidden="true" name="IQRA22" vbProcedure="false">"$A$23:$A$777"</definedName>
    <definedName function="false" hidden="true" name="IQRA3" vbProcedure="false">"$A$4:$A$1179"</definedName>
    <definedName function="false" hidden="true" name="IQRA38" vbProcedure="false">"$A$39:$A$48"</definedName>
    <definedName function="false" hidden="true" name="IQRA39" vbProcedure="false">"$A$40:$A$75"</definedName>
    <definedName function="false" hidden="true" name="IQRA4" vbProcedure="false">"$A$5:$A$15"</definedName>
    <definedName function="false" hidden="true" name="IQRA5" vbProcedure="false">"$A$6:$A$20"</definedName>
    <definedName function="false" hidden="true" name="IQRA6" vbProcedure="false">"$A$7:$A$21"</definedName>
    <definedName function="false" hidden="true" name="IQRA60" vbProcedure="false">"$A$61:$A$75"</definedName>
    <definedName function="false" hidden="true" name="IQRA7" vbProcedure="false">"$A$8:$A$1281"</definedName>
    <definedName function="false" hidden="true" name="IQRA8" vbProcedure="false">"$A$9:$A$132"</definedName>
    <definedName function="false" hidden="true" name="IQRA9" vbProcedure="false">"$A$10:$A$19"</definedName>
    <definedName function="false" hidden="true" name="IQRA97" vbProcedure="false">"$A$98:$A$118"</definedName>
    <definedName function="false" hidden="true" name="IQRA98" vbProcedure="false">"$A$99:$A$116"</definedName>
    <definedName function="false" hidden="true" name="IQRAA24" vbProcedure="false">"$AA$25"</definedName>
    <definedName function="false" hidden="true" name="IQRAA28" vbProcedure="false">"$AA$29:$AA$48"</definedName>
    <definedName function="false" hidden="true" name="IQRAA3" vbProcedure="false">"$AA$4:$AA$253"</definedName>
    <definedName function="false" hidden="true" name="IQRAA4" vbProcedure="false">"$AA$5:$AA$254"</definedName>
    <definedName function="false" hidden="true" name="IQRAA5" vbProcedure="false">"$AA$6:$AA$255"</definedName>
    <definedName function="false" hidden="true" name="IQRAA6" vbProcedure="false">"$AA$7:$AA$256"</definedName>
    <definedName function="false" hidden="true" name="IQRAA7" vbProcedure="false">"$AA$8"</definedName>
    <definedName function="false" hidden="true" name="IQRAA81" vbProcedure="false">"$AA$82"</definedName>
    <definedName function="false" hidden="true" name="IQRAB24" vbProcedure="false">"$AB$25:$AB$27"</definedName>
    <definedName function="false" hidden="true" name="IQRAB28" vbProcedure="false">"$AB$29:$AB$48"</definedName>
    <definedName function="false" hidden="true" name="IQRAB3" vbProcedure="false">"$AB$4:$AB$253"</definedName>
    <definedName function="false" hidden="true" name="IQRAB7" vbProcedure="false">"$AB$8:$AB$10"</definedName>
    <definedName function="false" hidden="true" name="IQRAB8" vbProcedure="false">#REF!</definedName>
    <definedName function="false" hidden="true" name="IQRAB81" vbProcedure="false">"$AB$82"</definedName>
    <definedName function="false" hidden="true" name="IQRAB9" vbProcedure="false">"$AB$10:$AB$71"</definedName>
    <definedName function="false" hidden="true" name="IQRABBVH20" vbProcedure="false">#REF!</definedName>
    <definedName function="false" hidden="true" name="IQRABTH20" vbProcedure="false">#REF!</definedName>
    <definedName function="false" hidden="true" name="IQRAC24" vbProcedure="false">"$AC$25:$AC$26"</definedName>
    <definedName function="false" hidden="true" name="IQRAC28" vbProcedure="false">"$AC$29:$AC$48"</definedName>
    <definedName function="false" hidden="true" name="IQRAC3" vbProcedure="false">"$AC$4:$AC$253"</definedName>
    <definedName function="false" hidden="true" name="IQRAC7" vbProcedure="false">"$AC$8:$AC$9"</definedName>
    <definedName function="false" hidden="true" name="IQRAC81" vbProcedure="false">"$AC$82"</definedName>
    <definedName function="false" hidden="true" name="IQRACETH20" vbProcedure="false">#REF!</definedName>
    <definedName function="false" hidden="true" name="IQRAD28" vbProcedure="false">"$AD$29:$AD$48"</definedName>
    <definedName function="false" hidden="true" name="IQRAD3" vbProcedure="false">"$AD$4:$AD$253"</definedName>
    <definedName function="false" hidden="true" name="IQRAD4" vbProcedure="false">"$AD$5:$AD$254"</definedName>
    <definedName function="false" hidden="true" name="IQRAD5" vbProcedure="false">"$AD$6:$AD$255"</definedName>
    <definedName function="false" hidden="true" name="IQRAD53" vbProcedure="false">"$AD$54:$AD$63"</definedName>
    <definedName function="false" hidden="true" name="IQRAD54" vbProcedure="false">"$AE$54:$AG$54"</definedName>
    <definedName function="false" hidden="true" name="IQRAD55" vbProcedure="false">"$AE$55:$AH$55"</definedName>
    <definedName function="false" hidden="true" name="IQRAD56" vbProcedure="false">"$AE$56:$AO$56"</definedName>
    <definedName function="false" hidden="true" name="IQRAD57" vbProcedure="false">"$AE$57:$AH$57"</definedName>
    <definedName function="false" hidden="true" name="IQRAD6" vbProcedure="false">"$AD$7:$AD$256"</definedName>
    <definedName function="false" hidden="true" name="IQRAD81" vbProcedure="false">"$AD$82"</definedName>
    <definedName function="false" hidden="true" name="IQRAE28" vbProcedure="false">"$AE$29:$AE$48"</definedName>
    <definedName function="false" hidden="true" name="IQRAE3" vbProcedure="false">"$AE$4:$AE$253"</definedName>
    <definedName function="false" hidden="true" name="IQRAE4" vbProcedure="false">"$AE$5:$AE$254"</definedName>
    <definedName function="false" hidden="true" name="IQRAE5" vbProcedure="false">"$AE$6:$AE$255"</definedName>
    <definedName function="false" hidden="true" name="IQRAE53" vbProcedure="false">"$AE$54:$AE$56"</definedName>
    <definedName function="false" hidden="true" name="IQRAE6" vbProcedure="false">"$AE$7:$AE$256"</definedName>
    <definedName function="false" hidden="true" name="IQRAE81" vbProcedure="false">"$AE$82"</definedName>
    <definedName function="false" hidden="true" name="IQRAF17" vbProcedure="false">"$AF$18:$AF$269"</definedName>
    <definedName function="false" hidden="true" name="IQRAF28" vbProcedure="false">"$AF$29:$AF$48"</definedName>
    <definedName function="false" hidden="true" name="IQRAF3" vbProcedure="false">"$AF$4"</definedName>
    <definedName function="false" hidden="true" name="IQRAF53" vbProcedure="false">"$AF$54:$AF$57"</definedName>
    <definedName function="false" hidden="true" name="IQRAF6" vbProcedure="false">"$AF$7:$AF$256"</definedName>
    <definedName function="false" hidden="true" name="IQRAF7" vbProcedure="false">"$AF$8:$AF$257"</definedName>
    <definedName function="false" hidden="true" name="IQRAF8" vbProcedure="false">#REF!</definedName>
    <definedName function="false" hidden="true" name="IQRAF81" vbProcedure="false">"$AF$82"</definedName>
    <definedName function="false" hidden="true" name="IQRAG2" vbProcedure="false">"$AG$3:$AG$26"</definedName>
    <definedName function="false" hidden="true" name="IQRAG28" vbProcedure="false">"$AG$29:$AG$48"</definedName>
    <definedName function="false" hidden="true" name="IQRAG3" vbProcedure="false">"$AG$4:$AG$256"</definedName>
    <definedName function="false" hidden="true" name="IQRAG53" vbProcedure="false">"$AG$54:$AG$64"</definedName>
    <definedName function="false" hidden="true" name="IQRAG81" vbProcedure="false">"$AG$82"</definedName>
    <definedName function="false" hidden="true" name="IQRAH2" vbProcedure="false">"$AH$3:$AH$26"</definedName>
    <definedName function="false" hidden="true" name="IQRAH28" vbProcedure="false">"$AH$29:$AH$48"</definedName>
    <definedName function="false" hidden="true" name="IQRAH3" vbProcedure="false">"$AH$4:$AH$253"</definedName>
    <definedName function="false" hidden="true" name="IQRAH4" vbProcedure="false">"$AH$5:$AH$254"</definedName>
    <definedName function="false" hidden="true" name="IQRAH5" vbProcedure="false">"$AH$6:$AH$255"</definedName>
    <definedName function="false" hidden="true" name="IQRAH53" vbProcedure="false">"$AH$54:$AH$56"</definedName>
    <definedName function="false" hidden="true" name="IQRAH6" vbProcedure="false">"$AH$7:$AH$256"</definedName>
    <definedName function="false" hidden="true" name="IQRAH81" vbProcedure="false">"$AH$82"</definedName>
    <definedName function="false" hidden="true" name="IQRAI11" vbProcedure="false">"$AI$12:$AI$23"</definedName>
    <definedName function="false" hidden="true" name="IQRAI2" vbProcedure="false">"$AI$3:$AI$26"</definedName>
    <definedName function="false" hidden="true" name="IQRAI28" vbProcedure="false">"$AI$29:$AI$48"</definedName>
    <definedName function="false" hidden="true" name="IQRAI3" vbProcedure="false">"$AI$4:$AI$253"</definedName>
    <definedName function="false" hidden="true" name="IQRAI4" vbProcedure="false">"$AI$5:$AI$254"</definedName>
    <definedName function="false" hidden="true" name="IQRAI5" vbProcedure="false">"$AI$6:$AI$255"</definedName>
    <definedName function="false" hidden="true" name="IQRAI6" vbProcedure="false">"$AI$7:$AI$256"</definedName>
    <definedName function="false" hidden="true" name="IQRAI81" vbProcedure="false">"$AI$82"</definedName>
    <definedName function="false" hidden="true" name="IQRAJ2" vbProcedure="false">"$AJ$3:$AJ$26"</definedName>
    <definedName function="false" hidden="true" name="IQRAJ28" vbProcedure="false">"$AJ$29:$AJ$48"</definedName>
    <definedName function="false" hidden="true" name="IQRAJ3" vbProcedure="false">"$AJ$4:$AJ$253"</definedName>
    <definedName function="false" hidden="true" name="IQRAJ53" vbProcedure="false">"$AJ$54:$AJ$61"</definedName>
    <definedName function="false" hidden="true" name="IQRAJ8" vbProcedure="false">#REF!</definedName>
    <definedName function="false" hidden="true" name="IQRAJ81" vbProcedure="false">"$AJ$82"</definedName>
    <definedName function="false" hidden="true" name="IQRAK2" vbProcedure="false">"$AK$3:$AK$26"</definedName>
    <definedName function="false" hidden="true" name="IQRAK28" vbProcedure="false">"$AK$29:$AK$48"</definedName>
    <definedName function="false" hidden="true" name="IQRAK3" vbProcedure="false">"$AK$4:$AK$253"</definedName>
    <definedName function="false" hidden="true" name="IQRAK53" vbProcedure="false">"$AK$54:$AK$57"</definedName>
    <definedName function="false" hidden="true" name="IQRAK6" vbProcedure="false">"$AK$7:$AK$256"</definedName>
    <definedName function="false" hidden="true" name="IQRAK7" vbProcedure="false">"$AK$8:$AK$257"</definedName>
    <definedName function="false" hidden="true" name="IQRAK81" vbProcedure="false">"$AK$82"</definedName>
    <definedName function="false" hidden="true" name="IQRAL11" vbProcedure="false">"$AL$12"</definedName>
    <definedName function="false" hidden="true" name="IQRAL12" vbProcedure="false">"$AL$13"</definedName>
    <definedName function="false" hidden="true" name="IQRAL13" vbProcedure="false">"$AL$14"</definedName>
    <definedName function="false" hidden="true" name="IQRAL14" vbProcedure="false">"$AL$15"</definedName>
    <definedName function="false" hidden="true" name="IQRAL15" vbProcedure="false">"$AL$16"</definedName>
    <definedName function="false" hidden="true" name="IQRAL16" vbProcedure="false">"$AL$17"</definedName>
    <definedName function="false" hidden="true" name="IQRAL17" vbProcedure="false">"$AL$18"</definedName>
    <definedName function="false" hidden="true" name="IQRAL18" vbProcedure="false">"$AL$19"</definedName>
    <definedName function="false" hidden="true" name="IQRAL19" vbProcedure="false">"$AL$20"</definedName>
    <definedName function="false" hidden="true" name="IQRAL2" vbProcedure="false">"$AL$3:$AL$26"</definedName>
    <definedName function="false" hidden="true" name="IQRAL20" vbProcedure="false">"$AL$21"</definedName>
    <definedName function="false" hidden="true" name="IQRAL21" vbProcedure="false">"$AL$22"</definedName>
    <definedName function="false" hidden="true" name="IQRAL22" vbProcedure="false">"$AL$23"</definedName>
    <definedName function="false" hidden="true" name="IQRAL24" vbProcedure="false">"$AL$25"</definedName>
    <definedName function="false" hidden="true" name="IQRAL25" vbProcedure="false">"$AL$26"</definedName>
    <definedName function="false" hidden="true" name="IQRAL26" vbProcedure="false">"$AL$27"</definedName>
    <definedName function="false" hidden="true" name="IQRAL27" vbProcedure="false">"$AL$28"</definedName>
    <definedName function="false" hidden="true" name="IQRAL28" vbProcedure="false">"$AL$29:$AL$48"</definedName>
    <definedName function="false" hidden="true" name="IQRAL29" vbProcedure="false">"$AL$30"</definedName>
    <definedName function="false" hidden="true" name="IQRAL3" vbProcedure="false">"$AL$4:$AL$253"</definedName>
    <definedName function="false" hidden="true" name="IQRAL30" vbProcedure="false">"$AL$31"</definedName>
    <definedName function="false" hidden="true" name="IQRAL31" vbProcedure="false">"$AL$32"</definedName>
    <definedName function="false" hidden="true" name="IQRAL32" vbProcedure="false">"$AL$33"</definedName>
    <definedName function="false" hidden="true" name="IQRAL33" vbProcedure="false">"$AL$34"</definedName>
    <definedName function="false" hidden="true" name="IQRAL34" vbProcedure="false">"$AL$35"</definedName>
    <definedName function="false" hidden="true" name="IQRAL35" vbProcedure="false">"$AL$36"</definedName>
    <definedName function="false" hidden="true" name="IQRAL36" vbProcedure="false">"$AL$37"</definedName>
    <definedName function="false" hidden="true" name="IQRAL37" vbProcedure="false">"$AL$38"</definedName>
    <definedName function="false" hidden="true" name="IQRAL4" vbProcedure="false">"$AL$5:$AL$254"</definedName>
    <definedName function="false" hidden="true" name="IQRAL5" vbProcedure="false">"$AL$6:$AL$255"</definedName>
    <definedName function="false" hidden="true" name="IQRAL53" vbProcedure="false">"$AL$54:$AL$64"</definedName>
    <definedName function="false" hidden="true" name="IQRAL6" vbProcedure="false">"$AL$7:$AL$256"</definedName>
    <definedName function="false" hidden="true" name="IQRAL7" vbProcedure="false">"$AL$8"</definedName>
    <definedName function="false" hidden="true" name="IQRAL8" vbProcedure="false">"$AL$9"</definedName>
    <definedName function="false" hidden="true" name="IQRAL81" vbProcedure="false">"$AL$82"</definedName>
    <definedName function="false" hidden="true" name="IQRAL9" vbProcedure="false">"$AL$10"</definedName>
    <definedName function="false" hidden="true" name="IQRAllCorpA8" vbProcedure="false">#REF!</definedName>
    <definedName function="false" hidden="true" name="IQRAllCorpAF8" vbProcedure="false">#REF!</definedName>
    <definedName function="false" hidden="true" name="IQRAllCorpAG8" vbProcedure="false">#REF!</definedName>
    <definedName function="false" hidden="true" name="IQRAllCorpAS8" vbProcedure="false">#REF!</definedName>
    <definedName function="false" hidden="true" name="IQRAllCorpAT8" vbProcedure="false">#REF!</definedName>
    <definedName function="false" hidden="true" name="IQRAllCorpB8" vbProcedure="false">#REF!</definedName>
    <definedName function="false" hidden="true" name="IQRAllCorpBF8" vbProcedure="false">#REF!</definedName>
    <definedName function="false" hidden="true" name="IQRAllCorpBG8" vbProcedure="false">#REF!</definedName>
    <definedName function="false" hidden="true" name="IQRAllCorpBH8" vbProcedure="false">#REF!</definedName>
    <definedName function="false" hidden="true" name="IQRAllCorpBI8" vbProcedure="false">#REF!</definedName>
    <definedName function="false" hidden="true" name="IQRAllCorpBJ8" vbProcedure="false">#REF!</definedName>
    <definedName function="false" hidden="true" name="IQRAllCorpBK8" vbProcedure="false">#REF!</definedName>
    <definedName function="false" hidden="true" name="IQRAllCorpBL8" vbProcedure="false">#REF!</definedName>
    <definedName function="false" hidden="true" name="IQRAllCorpBM8" vbProcedure="false">#REF!</definedName>
    <definedName function="false" hidden="true" name="IQRAllCorpBN8" vbProcedure="false">#REF!</definedName>
    <definedName function="false" hidden="true" name="IQRAllCorpBO8" vbProcedure="false">#REF!</definedName>
    <definedName function="false" hidden="true" name="IQRAllCorpBP8" vbProcedure="false">#REF!</definedName>
    <definedName function="false" hidden="true" name="IQRAllCorpBQ8" vbProcedure="false">#REF!</definedName>
    <definedName function="false" hidden="true" name="IQRAllCorpBR8" vbProcedure="false">#REF!</definedName>
    <definedName function="false" hidden="true" name="IQRAllCorpBS8" vbProcedure="false">#REF!</definedName>
    <definedName function="false" hidden="true" name="IQRAllCorpBT8" vbProcedure="false">#REF!</definedName>
    <definedName function="false" hidden="true" name="IQRAllCorpBU8" vbProcedure="false">#REF!</definedName>
    <definedName function="false" hidden="true" name="IQRAllCorpBV8" vbProcedure="false">#REF!</definedName>
    <definedName function="false" hidden="true" name="IQRAllCorpBW8" vbProcedure="false">#REF!</definedName>
    <definedName function="false" hidden="true" name="IQRAllCorpBX8" vbProcedure="false">#REF!</definedName>
    <definedName function="false" hidden="true" name="IQRAllCorpBY8" vbProcedure="false">#REF!</definedName>
    <definedName function="false" hidden="true" name="IQRAllCorpBZ8" vbProcedure="false">#REF!</definedName>
    <definedName function="false" hidden="true" name="IQRAllCorpC8" vbProcedure="false">#REF!</definedName>
    <definedName function="false" hidden="true" name="IQRAllCorpCA8" vbProcedure="false">#REF!</definedName>
    <definedName function="false" hidden="true" name="IQRAllCorpCB8" vbProcedure="false">#REF!</definedName>
    <definedName function="false" hidden="true" name="IQRAllCorpCC8" vbProcedure="false">#REF!</definedName>
    <definedName function="false" hidden="true" name="IQRAllCorpCD8" vbProcedure="false">#REF!</definedName>
    <definedName function="false" hidden="true" name="IQRAllCorpCE8" vbProcedure="false">#REF!</definedName>
    <definedName function="false" hidden="true" name="IQRAllCorpCF8" vbProcedure="false">#REF!</definedName>
    <definedName function="false" hidden="true" name="IQRAllCorpCG8" vbProcedure="false">#REF!</definedName>
    <definedName function="false" hidden="true" name="IQRAllCorpCH8" vbProcedure="false">#REF!</definedName>
    <definedName function="false" hidden="true" name="IQRAllCorpCI8" vbProcedure="false">#REF!</definedName>
    <definedName function="false" hidden="true" name="IQRAllCorpCJ8" vbProcedure="false">#REF!</definedName>
    <definedName function="false" hidden="true" name="IQRAllCorpCK8" vbProcedure="false">#REF!</definedName>
    <definedName function="false" hidden="true" name="IQRAllCorpCL8" vbProcedure="false">#REF!</definedName>
    <definedName function="false" hidden="true" name="IQRAllCorpCM8" vbProcedure="false">#REF!</definedName>
    <definedName function="false" hidden="true" name="IQRAllCorpCN8" vbProcedure="false">#REF!</definedName>
    <definedName function="false" hidden="true" name="IQRAllCorpCO8" vbProcedure="false">#REF!</definedName>
    <definedName function="false" hidden="true" name="IQRAllCorpCP8" vbProcedure="false">#REF!</definedName>
    <definedName function="false" hidden="true" name="IQRAllCorpCQ8" vbProcedure="false">#REF!</definedName>
    <definedName function="false" hidden="true" name="IQRAllCorpCR8" vbProcedure="false">#REF!</definedName>
    <definedName function="false" hidden="true" name="IQRAllCorpCS8" vbProcedure="false">#REF!</definedName>
    <definedName function="false" hidden="true" name="IQRAllCorpCT8" vbProcedure="false">#REF!</definedName>
    <definedName function="false" hidden="true" name="IQRAllCorpCU8" vbProcedure="false">#REF!</definedName>
    <definedName function="false" hidden="true" name="IQRAllCorpCV8" vbProcedure="false">#REF!</definedName>
    <definedName function="false" hidden="true" name="IQRAllCorpCW8" vbProcedure="false">#REF!</definedName>
    <definedName function="false" hidden="true" name="IQRAllCorpCX8" vbProcedure="false">#REF!</definedName>
    <definedName function="false" hidden="true" name="IQRAllCorpCY8" vbProcedure="false">#REF!</definedName>
    <definedName function="false" hidden="true" name="IQRAllCorpCZ8" vbProcedure="false">#REF!</definedName>
    <definedName function="false" hidden="true" name="IQRAllCorpD8" vbProcedure="false">#REF!</definedName>
    <definedName function="false" hidden="true" name="IQRAllCorpDA8" vbProcedure="false">#REF!</definedName>
    <definedName function="false" hidden="true" name="IQRAllCorpDB8" vbProcedure="false">#REF!</definedName>
    <definedName function="false" hidden="true" name="IQRAllCorpDC8" vbProcedure="false">#REF!</definedName>
    <definedName function="false" hidden="true" name="IQRAllCorpDD8" vbProcedure="false">#REF!</definedName>
    <definedName function="false" hidden="true" name="IQRAllCorpDE8" vbProcedure="false">#REF!</definedName>
    <definedName function="false" hidden="true" name="IQRAllCorpDF8" vbProcedure="false">#REF!</definedName>
    <definedName function="false" hidden="true" name="IQRAllCorpDG8" vbProcedure="false">#REF!</definedName>
    <definedName function="false" hidden="true" name="IQRAllCorpDH42" vbProcedure="false">#REF!</definedName>
    <definedName function="false" hidden="true" name="IQRAllCorpDH53" vbProcedure="false">#REF!</definedName>
    <definedName function="false" hidden="true" name="IQRAllCorpDH67" vbProcedure="false">#REF!</definedName>
    <definedName function="false" hidden="true" name="IQRAllCorpDH77" vbProcedure="false">#REF!</definedName>
    <definedName function="false" hidden="true" name="IQRAllCorpDH78" vbProcedure="false">#REF!</definedName>
    <definedName function="false" hidden="true" name="IQRAllCorpDH8" vbProcedure="false">#REF!</definedName>
    <definedName function="false" hidden="true" name="IQRAllCorpDI42" vbProcedure="false">#REF!</definedName>
    <definedName function="false" hidden="true" name="IQRAllCorpDI53" vbProcedure="false">#REF!</definedName>
    <definedName function="false" hidden="true" name="IQRAllCorpDI67" vbProcedure="false">#REF!</definedName>
    <definedName function="false" hidden="true" name="IQRAllCorpDI77" vbProcedure="false">#REF!</definedName>
    <definedName function="false" hidden="true" name="IQRAllCorpDI78" vbProcedure="false">#REF!</definedName>
    <definedName function="false" hidden="true" name="IQRAllCorpDI8" vbProcedure="false">#REF!</definedName>
    <definedName function="false" hidden="true" name="IQRAllCorpDJ42" vbProcedure="false">#REF!</definedName>
    <definedName function="false" hidden="true" name="IQRAllCorpDJ53" vbProcedure="false">#REF!</definedName>
    <definedName function="false" hidden="true" name="IQRAllCorpDJ67" vbProcedure="false">#REF!</definedName>
    <definedName function="false" hidden="true" name="IQRAllCorpDJ77" vbProcedure="false">#REF!</definedName>
    <definedName function="false" hidden="true" name="IQRAllCorpDJ78" vbProcedure="false">#REF!</definedName>
    <definedName function="false" hidden="true" name="IQRAllCorpDJ8" vbProcedure="false">#REF!</definedName>
    <definedName function="false" hidden="true" name="IQRAllCorpDK42" vbProcedure="false">#REF!</definedName>
    <definedName function="false" hidden="true" name="IQRAllCorpDK53" vbProcedure="false">#REF!</definedName>
    <definedName function="false" hidden="true" name="IQRAllCorpDK67" vbProcedure="false">#REF!</definedName>
    <definedName function="false" hidden="true" name="IQRAllCorpDK77" vbProcedure="false">#REF!</definedName>
    <definedName function="false" hidden="true" name="IQRAllCorpDK78" vbProcedure="false">#REF!</definedName>
    <definedName function="false" hidden="true" name="IQRAllCorpDK8" vbProcedure="false">#REF!</definedName>
    <definedName function="false" hidden="true" name="IQRAllCorpDL42" vbProcedure="false">#REF!</definedName>
    <definedName function="false" hidden="true" name="IQRAllCorpDL53" vbProcedure="false">#REF!</definedName>
    <definedName function="false" hidden="true" name="IQRAllCorpDL67" vbProcedure="false">#REF!</definedName>
    <definedName function="false" hidden="true" name="IQRAllCorpDL77" vbProcedure="false">#REF!</definedName>
    <definedName function="false" hidden="true" name="IQRAllCorpDL78" vbProcedure="false">#REF!</definedName>
    <definedName function="false" hidden="true" name="IQRAllCorpDL8" vbProcedure="false">#REF!</definedName>
    <definedName function="false" hidden="true" name="IQRAllCorpDM42" vbProcedure="false">#REF!</definedName>
    <definedName function="false" hidden="true" name="IQRAllCorpDM53" vbProcedure="false">#REF!</definedName>
    <definedName function="false" hidden="true" name="IQRAllCorpDM67" vbProcedure="false">#REF!</definedName>
    <definedName function="false" hidden="true" name="IQRAllCorpDM77" vbProcedure="false">#REF!</definedName>
    <definedName function="false" hidden="true" name="IQRAllCorpDM78" vbProcedure="false">#REF!</definedName>
    <definedName function="false" hidden="true" name="IQRAllCorpDM8" vbProcedure="false">#REF!</definedName>
    <definedName function="false" hidden="true" name="IQRAllCorpDN42" vbProcedure="false">#REF!</definedName>
    <definedName function="false" hidden="true" name="IQRAllCorpDN53" vbProcedure="false">#REF!</definedName>
    <definedName function="false" hidden="true" name="IQRAllCorpDN67" vbProcedure="false">#REF!</definedName>
    <definedName function="false" hidden="true" name="IQRAllCorpDN77" vbProcedure="false">#REF!</definedName>
    <definedName function="false" hidden="true" name="IQRAllCorpDN78" vbProcedure="false">#REF!</definedName>
    <definedName function="false" hidden="true" name="IQRAllCorpDN8" vbProcedure="false">#REF!</definedName>
    <definedName function="false" hidden="true" name="IQRAllCorpDO42" vbProcedure="false">#REF!</definedName>
    <definedName function="false" hidden="true" name="IQRAllCorpDO53" vbProcedure="false">#REF!</definedName>
    <definedName function="false" hidden="true" name="IQRAllCorpDO67" vbProcedure="false">#REF!</definedName>
    <definedName function="false" hidden="true" name="IQRAllCorpDO77" vbProcedure="false">#REF!</definedName>
    <definedName function="false" hidden="true" name="IQRAllCorpDO78" vbProcedure="false">#REF!</definedName>
    <definedName function="false" hidden="true" name="IQRAllCorpDO8" vbProcedure="false">#REF!</definedName>
    <definedName function="false" hidden="true" name="IQRAllCorpDP42" vbProcedure="false">#REF!</definedName>
    <definedName function="false" hidden="true" name="IQRAllCorpDP53" vbProcedure="false">#REF!</definedName>
    <definedName function="false" hidden="true" name="IQRAllCorpDP67" vbProcedure="false">#REF!</definedName>
    <definedName function="false" hidden="true" name="IQRAllCorpDP77" vbProcedure="false">#REF!</definedName>
    <definedName function="false" hidden="true" name="IQRAllCorpDP78" vbProcedure="false">#REF!</definedName>
    <definedName function="false" hidden="true" name="IQRAllCorpDP8" vbProcedure="false">#REF!</definedName>
    <definedName function="false" hidden="true" name="IQRAllCorpDQ42" vbProcedure="false">#REF!</definedName>
    <definedName function="false" hidden="true" name="IQRAllCorpDQ53" vbProcedure="false">#REF!</definedName>
    <definedName function="false" hidden="true" name="IQRAllCorpDQ67" vbProcedure="false">#REF!</definedName>
    <definedName function="false" hidden="true" name="IQRAllCorpDQ77" vbProcedure="false">#REF!</definedName>
    <definedName function="false" hidden="true" name="IQRAllCorpDQ78" vbProcedure="false">#REF!</definedName>
    <definedName function="false" hidden="true" name="IQRAllCorpDQ8" vbProcedure="false">#REF!</definedName>
    <definedName function="false" hidden="true" name="IQRAllCorpDR42" vbProcedure="false">#REF!</definedName>
    <definedName function="false" hidden="true" name="IQRAllCorpDR53" vbProcedure="false">#REF!</definedName>
    <definedName function="false" hidden="true" name="IQRAllCorpDR67" vbProcedure="false">#REF!</definedName>
    <definedName function="false" hidden="true" name="IQRAllCorpDR77" vbProcedure="false">#REF!</definedName>
    <definedName function="false" hidden="true" name="IQRAllCorpDR78" vbProcedure="false">#REF!</definedName>
    <definedName function="false" hidden="true" name="IQRAllCorpDR8" vbProcedure="false">#REF!</definedName>
    <definedName function="false" hidden="true" name="IQRAllCorpDS8" vbProcedure="false">#REF!</definedName>
    <definedName function="false" hidden="true" name="IQRAllCorpDT8" vbProcedure="false">#REF!</definedName>
    <definedName function="false" hidden="true" name="IQRAllCorpDU42" vbProcedure="false">#REF!</definedName>
    <definedName function="false" hidden="true" name="IQRAllCorpDU53" vbProcedure="false">#REF!</definedName>
    <definedName function="false" hidden="true" name="IQRAllCorpDU67" vbProcedure="false">#REF!</definedName>
    <definedName function="false" hidden="true" name="IQRAllCorpDU77" vbProcedure="false">#REF!</definedName>
    <definedName function="false" hidden="true" name="IQRAllCorpDU78" vbProcedure="false">#REF!</definedName>
    <definedName function="false" hidden="true" name="IQRAllCorpDU8" vbProcedure="false">#REF!</definedName>
    <definedName function="false" hidden="true" name="IQRAllCorpDV42" vbProcedure="false">#REF!</definedName>
    <definedName function="false" hidden="true" name="IQRAllCorpDV53" vbProcedure="false">#REF!</definedName>
    <definedName function="false" hidden="true" name="IQRAllCorpDV67" vbProcedure="false">#REF!</definedName>
    <definedName function="false" hidden="true" name="IQRAllCorpDV77" vbProcedure="false">#REF!</definedName>
    <definedName function="false" hidden="true" name="IQRAllCorpDV78" vbProcedure="false">#REF!</definedName>
    <definedName function="false" hidden="true" name="IQRAllCorpDV8" vbProcedure="false">#REF!</definedName>
    <definedName function="false" hidden="true" name="IQRAllCorpDW42" vbProcedure="false">#REF!</definedName>
    <definedName function="false" hidden="true" name="IQRAllCorpDW53" vbProcedure="false">#REF!</definedName>
    <definedName function="false" hidden="true" name="IQRAllCorpDW67" vbProcedure="false">#REF!</definedName>
    <definedName function="false" hidden="true" name="IQRAllCorpDW77" vbProcedure="false">#REF!</definedName>
    <definedName function="false" hidden="true" name="IQRAllCorpDW78" vbProcedure="false">#REF!</definedName>
    <definedName function="false" hidden="true" name="IQRAllCorpDW8" vbProcedure="false">#REF!</definedName>
    <definedName function="false" hidden="true" name="IQRAllCorpDX42" vbProcedure="false">#REF!</definedName>
    <definedName function="false" hidden="true" name="IQRAllCorpDX53" vbProcedure="false">#REF!</definedName>
    <definedName function="false" hidden="true" name="IQRAllCorpDX67" vbProcedure="false">#REF!</definedName>
    <definedName function="false" hidden="true" name="IQRAllCorpDX77" vbProcedure="false">#REF!</definedName>
    <definedName function="false" hidden="true" name="IQRAllCorpDX78" vbProcedure="false">#REF!</definedName>
    <definedName function="false" hidden="true" name="IQRAllCorpDX8" vbProcedure="false">#REF!</definedName>
    <definedName function="false" hidden="true" name="IQRAllCorpDY42" vbProcedure="false">#REF!</definedName>
    <definedName function="false" hidden="true" name="IQRAllCorpDY53" vbProcedure="false">#REF!</definedName>
    <definedName function="false" hidden="true" name="IQRAllCorpDY67" vbProcedure="false">#REF!</definedName>
    <definedName function="false" hidden="true" name="IQRAllCorpDY77" vbProcedure="false">#REF!</definedName>
    <definedName function="false" hidden="true" name="IQRAllCorpDY78" vbProcedure="false">#REF!</definedName>
    <definedName function="false" hidden="true" name="IQRAllCorpDY8" vbProcedure="false">#REF!</definedName>
    <definedName function="false" hidden="true" name="IQRAllCorpDZ42" vbProcedure="false">#REF!</definedName>
    <definedName function="false" hidden="true" name="IQRAllCorpDZ53" vbProcedure="false">#REF!</definedName>
    <definedName function="false" hidden="true" name="IQRAllCorpDZ67" vbProcedure="false">#REF!</definedName>
    <definedName function="false" hidden="true" name="IQRAllCorpDZ77" vbProcedure="false">#REF!</definedName>
    <definedName function="false" hidden="true" name="IQRAllCorpDZ78" vbProcedure="false">#REF!</definedName>
    <definedName function="false" hidden="true" name="IQRAllCorpDZ8" vbProcedure="false">#REF!</definedName>
    <definedName function="false" hidden="true" name="IQRAllCorpE8" vbProcedure="false">#REF!</definedName>
    <definedName function="false" hidden="true" name="IQRAllCorpEA42" vbProcedure="false">#REF!</definedName>
    <definedName function="false" hidden="true" name="IQRAllCorpEA53" vbProcedure="false">#REF!</definedName>
    <definedName function="false" hidden="true" name="IQRAllCorpEA67" vbProcedure="false">#REF!</definedName>
    <definedName function="false" hidden="true" name="IQRAllCorpEA77" vbProcedure="false">#REF!</definedName>
    <definedName function="false" hidden="true" name="IQRAllCorpEA78" vbProcedure="false">#REF!</definedName>
    <definedName function="false" hidden="true" name="IQRAllCorpEA8" vbProcedure="false">#REF!</definedName>
    <definedName function="false" hidden="true" name="IQRAllCorpEB42" vbProcedure="false">#REF!</definedName>
    <definedName function="false" hidden="true" name="IQRAllCorpEB53" vbProcedure="false">#REF!</definedName>
    <definedName function="false" hidden="true" name="IQRAllCorpEB67" vbProcedure="false">#REF!</definedName>
    <definedName function="false" hidden="true" name="IQRAllCorpEB77" vbProcedure="false">#REF!</definedName>
    <definedName function="false" hidden="true" name="IQRAllCorpEB78" vbProcedure="false">#REF!</definedName>
    <definedName function="false" hidden="true" name="IQRAllCorpEB8" vbProcedure="false">#REF!</definedName>
    <definedName function="false" hidden="true" name="IQRAllCorpEC42" vbProcedure="false">#REF!</definedName>
    <definedName function="false" hidden="true" name="IQRAllCorpEC53" vbProcedure="false">#REF!</definedName>
    <definedName function="false" hidden="true" name="IQRAllCorpEC67" vbProcedure="false">#REF!</definedName>
    <definedName function="false" hidden="true" name="IQRAllCorpEC77" vbProcedure="false">#REF!</definedName>
    <definedName function="false" hidden="true" name="IQRAllCorpEC78" vbProcedure="false">#REF!</definedName>
    <definedName function="false" hidden="true" name="IQRAllCorpEC8" vbProcedure="false">#REF!</definedName>
    <definedName function="false" hidden="true" name="IQRAllCorpED42" vbProcedure="false">#REF!</definedName>
    <definedName function="false" hidden="true" name="IQRAllCorpED53" vbProcedure="false">#REF!</definedName>
    <definedName function="false" hidden="true" name="IQRAllCorpED67" vbProcedure="false">#REF!</definedName>
    <definedName function="false" hidden="true" name="IQRAllCorpED77" vbProcedure="false">#REF!</definedName>
    <definedName function="false" hidden="true" name="IQRAllCorpED78" vbProcedure="false">#REF!</definedName>
    <definedName function="false" hidden="true" name="IQRAllCorpED8" vbProcedure="false">#REF!</definedName>
    <definedName function="false" hidden="true" name="IQRAllCorpEE42" vbProcedure="false">#REF!</definedName>
    <definedName function="false" hidden="true" name="IQRAllCorpEE53" vbProcedure="false">#REF!</definedName>
    <definedName function="false" hidden="true" name="IQRAllCorpEE67" vbProcedure="false">#REF!</definedName>
    <definedName function="false" hidden="true" name="IQRAllCorpEE77" vbProcedure="false">#REF!</definedName>
    <definedName function="false" hidden="true" name="IQRAllCorpEE78" vbProcedure="false">#REF!</definedName>
    <definedName function="false" hidden="true" name="IQRAllCorpEE8" vbProcedure="false">#REF!</definedName>
    <definedName function="false" hidden="true" name="IQRAllCorpEF8" vbProcedure="false">#REF!</definedName>
    <definedName function="false" hidden="true" name="IQRAllCorpEG8" vbProcedure="false">#REF!</definedName>
    <definedName function="false" hidden="true" name="IQRAllCorpEH42" vbProcedure="false">#REF!</definedName>
    <definedName function="false" hidden="true" name="IQRAllCorpEH53" vbProcedure="false">#REF!</definedName>
    <definedName function="false" hidden="true" name="IQRAllCorpEH67" vbProcedure="false">#REF!</definedName>
    <definedName function="false" hidden="true" name="IQRAllCorpEH77" vbProcedure="false">#REF!</definedName>
    <definedName function="false" hidden="true" name="IQRAllCorpEH78" vbProcedure="false">#REF!</definedName>
    <definedName function="false" hidden="true" name="IQRAllCorpEH8" vbProcedure="false">#REF!</definedName>
    <definedName function="false" hidden="true" name="IQRAllCorpEI42" vbProcedure="false">#REF!</definedName>
    <definedName function="false" hidden="true" name="IQRAllCorpEI53" vbProcedure="false">#REF!</definedName>
    <definedName function="false" hidden="true" name="IQRAllCorpEI67" vbProcedure="false">#REF!</definedName>
    <definedName function="false" hidden="true" name="IQRAllCorpEI77" vbProcedure="false">#REF!</definedName>
    <definedName function="false" hidden="true" name="IQRAllCorpEI78" vbProcedure="false">#REF!</definedName>
    <definedName function="false" hidden="true" name="IQRAllCorpEI8" vbProcedure="false">#REF!</definedName>
    <definedName function="false" hidden="true" name="IQRAllCorpEJ42" vbProcedure="false">#REF!</definedName>
    <definedName function="false" hidden="true" name="IQRAllCorpEJ53" vbProcedure="false">#REF!</definedName>
    <definedName function="false" hidden="true" name="IQRAllCorpEJ67" vbProcedure="false">#REF!</definedName>
    <definedName function="false" hidden="true" name="IQRAllCorpEJ77" vbProcedure="false">#REF!</definedName>
    <definedName function="false" hidden="true" name="IQRAllCorpEJ78" vbProcedure="false">#REF!</definedName>
    <definedName function="false" hidden="true" name="IQRAllCorpEJ8" vbProcedure="false">#REF!</definedName>
    <definedName function="false" hidden="true" name="IQRAllCorpEK42" vbProcedure="false">#REF!</definedName>
    <definedName function="false" hidden="true" name="IQRAllCorpEK53" vbProcedure="false">#REF!</definedName>
    <definedName function="false" hidden="true" name="IQRAllCorpEK67" vbProcedure="false">#REF!</definedName>
    <definedName function="false" hidden="true" name="IQRAllCorpEK77" vbProcedure="false">#REF!</definedName>
    <definedName function="false" hidden="true" name="IQRAllCorpEK78" vbProcedure="false">#REF!</definedName>
    <definedName function="false" hidden="true" name="IQRAllCorpEK8" vbProcedure="false">#REF!</definedName>
    <definedName function="false" hidden="true" name="IQRAllCorpEL42" vbProcedure="false">#REF!</definedName>
    <definedName function="false" hidden="true" name="IQRAllCorpEL53" vbProcedure="false">#REF!</definedName>
    <definedName function="false" hidden="true" name="IQRAllCorpEL67" vbProcedure="false">#REF!</definedName>
    <definedName function="false" hidden="true" name="IQRAllCorpEL77" vbProcedure="false">#REF!</definedName>
    <definedName function="false" hidden="true" name="IQRAllCorpEL78" vbProcedure="false">#REF!</definedName>
    <definedName function="false" hidden="true" name="IQRAllCorpEL8" vbProcedure="false">#REF!</definedName>
    <definedName function="false" hidden="true" name="IQRAllCorpEM42" vbProcedure="false">#REF!</definedName>
    <definedName function="false" hidden="true" name="IQRAllCorpEM53" vbProcedure="false">#REF!</definedName>
    <definedName function="false" hidden="true" name="IQRAllCorpEM67" vbProcedure="false">#REF!</definedName>
    <definedName function="false" hidden="true" name="IQRAllCorpEM77" vbProcedure="false">#REF!</definedName>
    <definedName function="false" hidden="true" name="IQRAllCorpEM78" vbProcedure="false">#REF!</definedName>
    <definedName function="false" hidden="true" name="IQRAllCorpEM8" vbProcedure="false">#REF!</definedName>
    <definedName function="false" hidden="true" name="IQRAllCorpEN42" vbProcedure="false">#REF!</definedName>
    <definedName function="false" hidden="true" name="IQRAllCorpEN53" vbProcedure="false">#REF!</definedName>
    <definedName function="false" hidden="true" name="IQRAllCorpEN67" vbProcedure="false">#REF!</definedName>
    <definedName function="false" hidden="true" name="IQRAllCorpEN77" vbProcedure="false">#REF!</definedName>
    <definedName function="false" hidden="true" name="IQRAllCorpEN78" vbProcedure="false">#REF!</definedName>
    <definedName function="false" hidden="true" name="IQRAllCorpEN8" vbProcedure="false">#REF!</definedName>
    <definedName function="false" hidden="true" name="IQRAllCorpEO42" vbProcedure="false">#REF!</definedName>
    <definedName function="false" hidden="true" name="IQRAllCorpEO53" vbProcedure="false">#REF!</definedName>
    <definedName function="false" hidden="true" name="IQRAllCorpEO67" vbProcedure="false">#REF!</definedName>
    <definedName function="false" hidden="true" name="IQRAllCorpEO77" vbProcedure="false">#REF!</definedName>
    <definedName function="false" hidden="true" name="IQRAllCorpEO78" vbProcedure="false">#REF!</definedName>
    <definedName function="false" hidden="true" name="IQRAllCorpEO8" vbProcedure="false">#REF!</definedName>
    <definedName function="false" hidden="true" name="IQRAllCorpEP42" vbProcedure="false">#REF!</definedName>
    <definedName function="false" hidden="true" name="IQRAllCorpEP53" vbProcedure="false">#REF!</definedName>
    <definedName function="false" hidden="true" name="IQRAllCorpEP67" vbProcedure="false">#REF!</definedName>
    <definedName function="false" hidden="true" name="IQRAllCorpEP77" vbProcedure="false">#REF!</definedName>
    <definedName function="false" hidden="true" name="IQRAllCorpEP78" vbProcedure="false">#REF!</definedName>
    <definedName function="false" hidden="true" name="IQRAllCorpEP8" vbProcedure="false">#REF!</definedName>
    <definedName function="false" hidden="true" name="IQRAllCorpEQ42" vbProcedure="false">#REF!</definedName>
    <definedName function="false" hidden="true" name="IQRAllCorpEQ53" vbProcedure="false">#REF!</definedName>
    <definedName function="false" hidden="true" name="IQRAllCorpEQ67" vbProcedure="false">#REF!</definedName>
    <definedName function="false" hidden="true" name="IQRAllCorpEQ77" vbProcedure="false">#REF!</definedName>
    <definedName function="false" hidden="true" name="IQRAllCorpEQ78" vbProcedure="false">#REF!</definedName>
    <definedName function="false" hidden="true" name="IQRAllCorpEQ8" vbProcedure="false">#REF!</definedName>
    <definedName function="false" hidden="true" name="IQRAllCorpER42" vbProcedure="false">#REF!</definedName>
    <definedName function="false" hidden="true" name="IQRAllCorpER53" vbProcedure="false">#REF!</definedName>
    <definedName function="false" hidden="true" name="IQRAllCorpER67" vbProcedure="false">#REF!</definedName>
    <definedName function="false" hidden="true" name="IQRAllCorpER77" vbProcedure="false">#REF!</definedName>
    <definedName function="false" hidden="true" name="IQRAllCorpER78" vbProcedure="false">#REF!</definedName>
    <definedName function="false" hidden="true" name="IQRAllCorpER8" vbProcedure="false">#REF!</definedName>
    <definedName function="false" hidden="true" name="IQRAllCorpES8" vbProcedure="false">#REF!</definedName>
    <definedName function="false" hidden="true" name="IQRAllCorpET8" vbProcedure="false">#REF!</definedName>
    <definedName function="false" hidden="true" name="IQRAllCorpEU42" vbProcedure="false">#REF!</definedName>
    <definedName function="false" hidden="true" name="IQRAllCorpEU53" vbProcedure="false">#REF!</definedName>
    <definedName function="false" hidden="true" name="IQRAllCorpEU67" vbProcedure="false">#REF!</definedName>
    <definedName function="false" hidden="true" name="IQRAllCorpEU77" vbProcedure="false">#REF!</definedName>
    <definedName function="false" hidden="true" name="IQRAllCorpEU78" vbProcedure="false">#REF!</definedName>
    <definedName function="false" hidden="true" name="IQRAllCorpEU8" vbProcedure="false">#REF!</definedName>
    <definedName function="false" hidden="true" name="IQRAllCorpEV42" vbProcedure="false">#REF!</definedName>
    <definedName function="false" hidden="true" name="IQRAllCorpEV53" vbProcedure="false">#REF!</definedName>
    <definedName function="false" hidden="true" name="IQRAllCorpEV67" vbProcedure="false">#REF!</definedName>
    <definedName function="false" hidden="true" name="IQRAllCorpEV77" vbProcedure="false">#REF!</definedName>
    <definedName function="false" hidden="true" name="IQRAllCorpEV78" vbProcedure="false">#REF!</definedName>
    <definedName function="false" hidden="true" name="IQRAllCorpEV8" vbProcedure="false">#REF!</definedName>
    <definedName function="false" hidden="true" name="IQRAllCorpEW42" vbProcedure="false">#REF!</definedName>
    <definedName function="false" hidden="true" name="IQRAllCorpEW53" vbProcedure="false">#REF!</definedName>
    <definedName function="false" hidden="true" name="IQRAllCorpEW67" vbProcedure="false">#REF!</definedName>
    <definedName function="false" hidden="true" name="IQRAllCorpEW77" vbProcedure="false">#REF!</definedName>
    <definedName function="false" hidden="true" name="IQRAllCorpEW78" vbProcedure="false">#REF!</definedName>
    <definedName function="false" hidden="true" name="IQRAllCorpEW8" vbProcedure="false">#REF!</definedName>
    <definedName function="false" hidden="true" name="IQRAllCorpEX42" vbProcedure="false">#REF!</definedName>
    <definedName function="false" hidden="true" name="IQRAllCorpEX53" vbProcedure="false">#REF!</definedName>
    <definedName function="false" hidden="true" name="IQRAllCorpEX67" vbProcedure="false">#REF!</definedName>
    <definedName function="false" hidden="true" name="IQRAllCorpEX77" vbProcedure="false">#REF!</definedName>
    <definedName function="false" hidden="true" name="IQRAllCorpEX78" vbProcedure="false">#REF!</definedName>
    <definedName function="false" hidden="true" name="IQRAllCorpEX8" vbProcedure="false">#REF!</definedName>
    <definedName function="false" hidden="true" name="IQRAllCorpEY42" vbProcedure="false">#REF!</definedName>
    <definedName function="false" hidden="true" name="IQRAllCorpEY53" vbProcedure="false">#REF!</definedName>
    <definedName function="false" hidden="true" name="IQRAllCorpEY67" vbProcedure="false">#REF!</definedName>
    <definedName function="false" hidden="true" name="IQRAllCorpEY77" vbProcedure="false">#REF!</definedName>
    <definedName function="false" hidden="true" name="IQRAllCorpEY78" vbProcedure="false">#REF!</definedName>
    <definedName function="false" hidden="true" name="IQRAllCorpEY8" vbProcedure="false">#REF!</definedName>
    <definedName function="false" hidden="true" name="IQRAllCorpEZ42" vbProcedure="false">#REF!</definedName>
    <definedName function="false" hidden="true" name="IQRAllCorpEZ53" vbProcedure="false">#REF!</definedName>
    <definedName function="false" hidden="true" name="IQRAllCorpEZ67" vbProcedure="false">#REF!</definedName>
    <definedName function="false" hidden="true" name="IQRAllCorpEZ77" vbProcedure="false">#REF!</definedName>
    <definedName function="false" hidden="true" name="IQRAllCorpEZ78" vbProcedure="false">#REF!</definedName>
    <definedName function="false" hidden="true" name="IQRAllCorpEZ8" vbProcedure="false">#REF!</definedName>
    <definedName function="false" hidden="true" name="IQRAllCorpF8" vbProcedure="false">#REF!</definedName>
    <definedName function="false" hidden="true" name="IQRAllCorpFA42" vbProcedure="false">#REF!</definedName>
    <definedName function="false" hidden="true" name="IQRAllCorpFA53" vbProcedure="false">#REF!</definedName>
    <definedName function="false" hidden="true" name="IQRAllCorpFA67" vbProcedure="false">#REF!</definedName>
    <definedName function="false" hidden="true" name="IQRAllCorpFA77" vbProcedure="false">#REF!</definedName>
    <definedName function="false" hidden="true" name="IQRAllCorpFA78" vbProcedure="false">#REF!</definedName>
    <definedName function="false" hidden="true" name="IQRAllCorpFA8" vbProcedure="false">#REF!</definedName>
    <definedName function="false" hidden="true" name="IQRAllCorpFB42" vbProcedure="false">#REF!</definedName>
    <definedName function="false" hidden="true" name="IQRAllCorpFB53" vbProcedure="false">#REF!</definedName>
    <definedName function="false" hidden="true" name="IQRAllCorpFB67" vbProcedure="false">#REF!</definedName>
    <definedName function="false" hidden="true" name="IQRAllCorpFB77" vbProcedure="false">#REF!</definedName>
    <definedName function="false" hidden="true" name="IQRAllCorpFB78" vbProcedure="false">#REF!</definedName>
    <definedName function="false" hidden="true" name="IQRAllCorpFB8" vbProcedure="false">#REF!</definedName>
    <definedName function="false" hidden="true" name="IQRAllCorpFC42" vbProcedure="false">#REF!</definedName>
    <definedName function="false" hidden="true" name="IQRAllCorpFC53" vbProcedure="false">#REF!</definedName>
    <definedName function="false" hidden="true" name="IQRAllCorpFC67" vbProcedure="false">#REF!</definedName>
    <definedName function="false" hidden="true" name="IQRAllCorpFC77" vbProcedure="false">#REF!</definedName>
    <definedName function="false" hidden="true" name="IQRAllCorpFC78" vbProcedure="false">#REF!</definedName>
    <definedName function="false" hidden="true" name="IQRAllCorpFC8" vbProcedure="false">#REF!</definedName>
    <definedName function="false" hidden="true" name="IQRAllCorpFD42" vbProcedure="false">#REF!</definedName>
    <definedName function="false" hidden="true" name="IQRAllCorpFD53" vbProcedure="false">#REF!</definedName>
    <definedName function="false" hidden="true" name="IQRAllCorpFD67" vbProcedure="false">#REF!</definedName>
    <definedName function="false" hidden="true" name="IQRAllCorpFD77" vbProcedure="false">#REF!</definedName>
    <definedName function="false" hidden="true" name="IQRAllCorpFD78" vbProcedure="false">#REF!</definedName>
    <definedName function="false" hidden="true" name="IQRAllCorpFD8" vbProcedure="false">#REF!</definedName>
    <definedName function="false" hidden="true" name="IQRAllCorpFE42" vbProcedure="false">#REF!</definedName>
    <definedName function="false" hidden="true" name="IQRAllCorpFE53" vbProcedure="false">#REF!</definedName>
    <definedName function="false" hidden="true" name="IQRAllCorpFE67" vbProcedure="false">#REF!</definedName>
    <definedName function="false" hidden="true" name="IQRAllCorpFE77" vbProcedure="false">#REF!</definedName>
    <definedName function="false" hidden="true" name="IQRAllCorpFE78" vbProcedure="false">#REF!</definedName>
    <definedName function="false" hidden="true" name="IQRAllCorpFE8" vbProcedure="false">#REF!</definedName>
    <definedName function="false" hidden="true" name="IQRAllCorpG8" vbProcedure="false">#REF!</definedName>
    <definedName function="false" hidden="true" name="IQRAllCorpS8" vbProcedure="false">#REF!</definedName>
    <definedName function="false" hidden="true" name="IQRAllCorpT8" vbProcedure="false">#REF!</definedName>
    <definedName function="false" hidden="true" name="IQRAM2" vbProcedure="false">"$AM$3:$AM$26"</definedName>
    <definedName function="false" hidden="true" name="IQRAM3" vbProcedure="false">"$AM$4:$AM$253"</definedName>
    <definedName function="false" hidden="true" name="IQRAM4" vbProcedure="false">"$AM$5:$AM$254"</definedName>
    <definedName function="false" hidden="true" name="IQRAM5" vbProcedure="false">"$AM$6:$AM$255"</definedName>
    <definedName function="false" hidden="true" name="IQRAM53" vbProcedure="false">"$AM$54:$AM$61"</definedName>
    <definedName function="false" hidden="true" name="IQRAM6" vbProcedure="false">"$AM$7:$AM$256"</definedName>
    <definedName function="false" hidden="true" name="IQRAM81" vbProcedure="false">"$AM$82"</definedName>
    <definedName function="false" hidden="true" name="IQRAN2" vbProcedure="false">"$AN$3"</definedName>
    <definedName function="false" hidden="true" name="IQRAN3" vbProcedure="false">"$AN$4:$AN$253"</definedName>
    <definedName function="false" hidden="true" name="IQRAN53" vbProcedure="false">"$AN$54:$AN$64"</definedName>
    <definedName function="false" hidden="true" name="IQRAN8" vbProcedure="false">#REF!</definedName>
    <definedName function="false" hidden="true" name="IQRAN81" vbProcedure="false">"$AN$82"</definedName>
    <definedName function="false" hidden="true" name="IQRAO2" vbProcedure="false">"$AO$3"</definedName>
    <definedName function="false" hidden="true" name="IQRAO3" vbProcedure="false">"$AO$4:$AO$253"</definedName>
    <definedName function="false" hidden="true" name="IQRAO81" vbProcedure="false">"$AO$82"</definedName>
    <definedName function="false" hidden="true" name="IQRAP2" vbProcedure="false">"$AP$3"</definedName>
    <definedName function="false" hidden="true" name="IQRAP49" vbProcedure="false">"$AP$50:$AP$302"</definedName>
    <definedName function="false" hidden="true" name="IQRAP5" vbProcedure="false">"$AP$6:$AP$255"</definedName>
    <definedName function="false" hidden="true" name="IQRAP53" vbProcedure="false">"$AP$54:$AP$61"</definedName>
    <definedName function="false" hidden="true" name="IQRAP6" vbProcedure="false">"$AP$7:$AP$256"</definedName>
    <definedName function="false" hidden="true" name="IQRAP7" vbProcedure="false">"$AP$8:$AP$257"</definedName>
    <definedName function="false" hidden="true" name="IQRAP81" vbProcedure="false">"$AP$82"</definedName>
    <definedName function="false" hidden="true" name="IQRAQ2" vbProcedure="false">"$AQ$3"</definedName>
    <definedName function="false" hidden="true" name="IQRAQ53" vbProcedure="false">"$AQ$54:$AQ$57"</definedName>
    <definedName function="false" hidden="true" name="IQRAQ6" vbProcedure="false">"$AQ$7:$AQ$256"</definedName>
    <definedName function="false" hidden="true" name="IQRAQ81" vbProcedure="false">"$AQ$82"</definedName>
    <definedName function="false" hidden="true" name="IQRAR8" vbProcedure="false">#REF!</definedName>
    <definedName function="false" hidden="true" name="IQRAR81" vbProcedure="false">"$AR$82"</definedName>
    <definedName function="false" hidden="true" name="IQRAS53" vbProcedure="false">"$AS$54:$AS$61"</definedName>
    <definedName function="false" hidden="true" name="IQRAS81" vbProcedure="false">"$AS$82"</definedName>
    <definedName function="false" hidden="true" name="IQRAT81" vbProcedure="false">"$AT$82"</definedName>
    <definedName function="false" hidden="true" name="IQRAU120" vbProcedure="false">"$AU$121:$AU$138"</definedName>
    <definedName function="false" hidden="true" name="IQRAU121" vbProcedure="false">"$AU$122:$AU$156"</definedName>
    <definedName function="false" hidden="true" name="IQRAU122" vbProcedure="false">"$AU$123:$AU$153"</definedName>
    <definedName function="false" hidden="true" name="IQRAU123" vbProcedure="false">"$AU$124:$AU$154"</definedName>
    <definedName function="false" hidden="true" name="IQRAU124" vbProcedure="false">"$AU$125:$AU$152"</definedName>
    <definedName function="false" hidden="true" name="IQRAU125" vbProcedure="false">"$AU$126:$AU$151"</definedName>
    <definedName function="false" hidden="true" name="IQRAU126" vbProcedure="false">"$AU$127:$AU$152"</definedName>
    <definedName function="false" hidden="true" name="IQRAU28" vbProcedure="false">"$AU$29:$AU$48"</definedName>
    <definedName function="false" hidden="true" name="IQRAU6" vbProcedure="false">"$AU$7:$AU$256"</definedName>
    <definedName function="false" hidden="true" name="IQRAU7" vbProcedure="false">"$AU$8:$AU$267"</definedName>
    <definedName function="false" hidden="true" name="IQRAU81" vbProcedure="false">"$AU$82"</definedName>
    <definedName function="false" hidden="true" name="IQRAV124" vbProcedure="false">"$AV$125:$AV$149"</definedName>
    <definedName function="false" hidden="true" name="IQRAV27" vbProcedure="false">"$AV$28:$AV$89"</definedName>
    <definedName function="false" hidden="true" name="IQRAV28" vbProcedure="false">"$AV$29:$AV$90"</definedName>
    <definedName function="false" hidden="true" name="IQRAV53" vbProcedure="false">"$AV$54:$AV$118"</definedName>
    <definedName function="false" hidden="true" name="IQRAV8" vbProcedure="false">#REF!</definedName>
    <definedName function="false" hidden="true" name="IQRAV81" vbProcedure="false">"$AV$82"</definedName>
    <definedName function="false" hidden="true" name="IQRAW128" vbProcedure="false">"$AW$129:$AW$141"</definedName>
    <definedName function="false" hidden="true" name="IQRAW129" vbProcedure="false">"$AW$130:$AW$153"</definedName>
    <definedName function="false" hidden="true" name="IQRAW130" vbProcedure="false">"$AW$131:$AW$156"</definedName>
    <definedName function="false" hidden="true" name="IQRAW53" vbProcedure="false">"$AW$54:$AW$66"</definedName>
    <definedName function="false" hidden="true" name="IQRAW81" vbProcedure="false">"$AW$82"</definedName>
    <definedName function="false" hidden="true" name="IQRAX53" vbProcedure="false">"$AX$54:$AX$182"</definedName>
    <definedName function="false" hidden="true" name="IQRAX81" vbProcedure="false">"$AX$82"</definedName>
    <definedName function="false" hidden="true" name="IQRAY81" vbProcedure="false">"$AY$82"</definedName>
    <definedName function="false" hidden="true" name="IQRAZ28" vbProcedure="false">"$AZ$29:$AZ$90"</definedName>
    <definedName function="false" hidden="true" name="IQRAZ6" vbProcedure="false">"$AZ$7:$AZ$256"</definedName>
    <definedName function="false" hidden="true" name="IQRAZ7" vbProcedure="false">"$AZ$8:$AZ$257"</definedName>
    <definedName function="false" hidden="true" name="IQRAZ81" vbProcedure="false">"$AZ$82"</definedName>
    <definedName function="false" hidden="true" name="IQRAZNH20" vbProcedure="false">#REF!</definedName>
    <definedName function="false" hidden="true" name="IQRB10" vbProcedure="false">"$B$11:$B$269"</definedName>
    <definedName function="false" hidden="true" name="IQRB11" vbProcedure="false">#REF!</definedName>
    <definedName function="false" hidden="true" name="IQRB12" vbProcedure="false">"$B$13:$B$33"</definedName>
    <definedName function="false" hidden="true" name="IQRB1273" vbProcedure="false">"$B$1274"</definedName>
    <definedName function="false" hidden="true" name="IQRB13" vbProcedure="false">#REF!</definedName>
    <definedName function="false" hidden="true" name="IQRB14" vbProcedure="false">#REF!</definedName>
    <definedName function="false" hidden="true" name="IQRB15" vbProcedure="false">"$B$16:$B$17"</definedName>
    <definedName function="false" hidden="true" name="IQRB16" vbProcedure="false">#REF!</definedName>
    <definedName function="false" hidden="true" name="IQRB17" vbProcedure="false">"$B$18:$B$22"</definedName>
    <definedName function="false" hidden="true" name="IQRB18" vbProcedure="false">"$B$19:$B$23"</definedName>
    <definedName function="false" hidden="true" name="IQRB19" vbProcedure="false">"$B$20:$B$24"</definedName>
    <definedName function="false" hidden="true" name="IQRB2" vbProcedure="false">"$B$3:$B$118"</definedName>
    <definedName function="false" hidden="true" name="IQRB20" vbProcedure="false">"$B$21:$B$25"</definedName>
    <definedName function="false" hidden="true" name="IQRB21" vbProcedure="false">"$B$22:$B$26"</definedName>
    <definedName function="false" hidden="true" name="IQRB22" vbProcedure="false">"$B$23:$B$27"</definedName>
    <definedName function="false" hidden="true" name="IQRB23" vbProcedure="false">"$B$24:$B$28"</definedName>
    <definedName function="false" hidden="true" name="IQRB24" vbProcedure="false">"$B$25:$B$29"</definedName>
    <definedName function="false" hidden="true" name="IQRB25" vbProcedure="false">#REF!</definedName>
    <definedName function="false" hidden="true" name="IQRB26" vbProcedure="false">#REF!</definedName>
    <definedName function="false" hidden="true" name="IQRB27" vbProcedure="false">#REF!</definedName>
    <definedName function="false" hidden="true" name="IQRB28" vbProcedure="false">#REF!</definedName>
    <definedName function="false" hidden="true" name="IQRB29" vbProcedure="false">#REF!</definedName>
    <definedName function="false" hidden="true" name="IQRB3" vbProcedure="false">"$B$4:$B$119"</definedName>
    <definedName function="false" hidden="true" name="IQRB30" vbProcedure="false">#REF!</definedName>
    <definedName function="false" hidden="true" name="IQRB31" vbProcedure="false">#REF!</definedName>
    <definedName function="false" hidden="true" name="IQRB32" vbProcedure="false">"$B$33:$B$37"</definedName>
    <definedName function="false" hidden="true" name="IQRB33" vbProcedure="false">"$B$34:$B$38"</definedName>
    <definedName function="false" hidden="true" name="IQRB34" vbProcedure="false">"$B$35:$B$39"</definedName>
    <definedName function="false" hidden="true" name="IQRB35" vbProcedure="false">#REF!</definedName>
    <definedName function="false" hidden="true" name="IQRB36" vbProcedure="false">#REF!</definedName>
    <definedName function="false" hidden="true" name="IQRB38" vbProcedure="false">"$B$39:$B$48"</definedName>
    <definedName function="false" hidden="true" name="IQRB39" vbProcedure="false">"$B$40:$B$61"</definedName>
    <definedName function="false" hidden="true" name="IQRB4" vbProcedure="false">"$B$5:$B$254"</definedName>
    <definedName function="false" hidden="true" name="IQRB400" vbProcedure="false">"$B$401:$B$652"</definedName>
    <definedName function="false" hidden="true" name="IQRB402" vbProcedure="false">"$B$403:$B$654"</definedName>
    <definedName function="false" hidden="true" name="IQRB403" vbProcedure="false">"$B$404:$B$656"</definedName>
    <definedName function="false" hidden="true" name="IQRB405" vbProcedure="false">"$B$406:$B$658"</definedName>
    <definedName function="false" hidden="true" name="IQRB406" vbProcedure="false">"$B$407:$B$659"</definedName>
    <definedName function="false" hidden="true" name="IQRB413" vbProcedure="false">"$B$414:$B$666"</definedName>
    <definedName function="false" hidden="true" name="IQRB415" vbProcedure="false">"$B$416:$B$668"</definedName>
    <definedName function="false" hidden="true" name="IQRB417" vbProcedure="false">"$B$418:$B$670"</definedName>
    <definedName function="false" hidden="true" name="IQRB419" vbProcedure="false">"$B$420:$B$672"</definedName>
    <definedName function="false" hidden="true" name="IQRB434" vbProcedure="false">"$B$435:$B$687"</definedName>
    <definedName function="false" hidden="true" name="IQRB439" vbProcedure="false">"$B$440:$B$692"</definedName>
    <definedName function="false" hidden="true" name="IQRB441" vbProcedure="false">"$B$442:$B$694"</definedName>
    <definedName function="false" hidden="true" name="IQRB442" vbProcedure="false">"$B$443:$B$695"</definedName>
    <definedName function="false" hidden="true" name="IQRB443" vbProcedure="false">"$B$444:$B$696"</definedName>
    <definedName function="false" hidden="true" name="IQRB444" vbProcedure="false">"$B$445:$B$697"</definedName>
    <definedName function="false" hidden="true" name="IQRB448" vbProcedure="false">"$B$449:$B$701"</definedName>
    <definedName function="false" hidden="true" name="IQRB449" vbProcedure="false">"$B$450:$B$702"</definedName>
    <definedName function="false" hidden="true" name="IQRB450" vbProcedure="false">"$B$451:$B$703"</definedName>
    <definedName function="false" hidden="true" name="IQRB48" vbProcedure="false">#REF!</definedName>
    <definedName function="false" hidden="true" name="IQRB49" vbProcedure="false">#REF!</definedName>
    <definedName function="false" hidden="true" name="IQRB5" vbProcedure="false">"$B$6:$B$255"</definedName>
    <definedName function="false" hidden="true" name="IQRB50" vbProcedure="false">#REF!</definedName>
    <definedName function="false" hidden="true" name="IQRB581" vbProcedure="false">"$B$582:$B$834"</definedName>
    <definedName function="false" hidden="true" name="IQRB582" vbProcedure="false">"$B$583:$B$835"</definedName>
    <definedName function="false" hidden="true" name="IQRB583" vbProcedure="false">"$B$584:$B$836"</definedName>
    <definedName function="false" hidden="true" name="IQRB6" vbProcedure="false">"$B$7:$B$2204"</definedName>
    <definedName function="false" hidden="true" name="IQRB7" vbProcedure="false">"$B$8:$B$257"</definedName>
    <definedName function="false" hidden="true" name="IQRB8" vbProcedure="false">#REF!</definedName>
    <definedName function="false" hidden="true" name="IQRB9" vbProcedure="false">"$B$10"</definedName>
    <definedName function="false" hidden="true" name="IQRBA28" vbProcedure="false">"$BA$29:$BA$90"</definedName>
    <definedName function="false" hidden="true" name="IQRBA4" vbProcedure="false">"$BA$5:$BA$9"</definedName>
    <definedName function="false" hidden="true" name="IQRBA81" vbProcedure="false">"$BA$82"</definedName>
    <definedName function="false" hidden="true" name="IQRBasicCAUsageB16" vbProcedure="false">#REF!</definedName>
    <definedName function="false" hidden="true" name="IQRBasicCAUsageB63" vbProcedure="false">#REF!</definedName>
    <definedName function="false" hidden="true" name="IQRBasicCAUsageC16" vbProcedure="false">#REF!</definedName>
    <definedName function="false" hidden="true" name="IQRBasicCAUsageE16" vbProcedure="false">#REF!</definedName>
    <definedName function="false" hidden="true" name="IQRBasicCAUsageE63" vbProcedure="false">#REF!</definedName>
    <definedName function="false" hidden="true" name="IQRBasicCAUsageG63" vbProcedure="false">#REF!</definedName>
    <definedName function="false" hidden="true" name="IQRBasicCAUsageH16" vbProcedure="false">#REF!</definedName>
    <definedName function="false" hidden="true" name="IQRBasicCAUsageH63" vbProcedure="false">#REF!</definedName>
    <definedName function="false" hidden="true" name="IQRBB28" vbProcedure="false">"$BB$29:$BB$90"</definedName>
    <definedName function="false" hidden="true" name="IQRBB4" vbProcedure="false">"$BB$5:$BB$9"</definedName>
    <definedName function="false" hidden="true" name="IQRBB81" vbProcedure="false">"$BB$82"</definedName>
    <definedName function="false" hidden="true" name="IQRBC28" vbProcedure="false">"$BC$29:$BC$90"</definedName>
    <definedName function="false" hidden="true" name="IQRBC81" vbProcedure="false">"$BC$82"</definedName>
    <definedName function="false" hidden="true" name="IQRBD28" vbProcedure="false">"$BD$29:$BD$90"</definedName>
    <definedName function="false" hidden="true" name="IQRBD81" vbProcedure="false">"$BD$82"</definedName>
    <definedName function="false" hidden="true" name="IQRBE81" vbProcedure="false">"$BE$82"</definedName>
    <definedName function="false" hidden="true" name="IQRBetaCalculation5ymonthlyAF11" vbProcedure="false">#REF!</definedName>
    <definedName function="false" hidden="true" name="IQRBetaCalculation5ymonthlyAP11" vbProcedure="false">#REF!</definedName>
    <definedName function="false" hidden="true" name="IQRBetaCalculation5ymonthlyAZ11" vbProcedure="false">#REF!</definedName>
    <definedName function="false" hidden="true" name="IQRBetaCalculation5ymonthlyBJ11" vbProcedure="false">#REF!</definedName>
    <definedName function="false" hidden="true" name="IQRBetaCalculation5ymonthlyL11" vbProcedure="false">#REF!</definedName>
    <definedName function="false" hidden="true" name="IQRBetaCalculation5ymonthlyV11" vbProcedure="false">#REF!</definedName>
    <definedName function="false" hidden="true" name="IQRBetaCalculation5yweeklyAF11" vbProcedure="false">#REF!</definedName>
    <definedName function="false" hidden="true" name="IQRBetaCalculation5yweeklyAP11" vbProcedure="false">#REF!</definedName>
    <definedName function="false" hidden="true" name="IQRBetaCalculation5yweeklyAZ11" vbProcedure="false">#REF!</definedName>
    <definedName function="false" hidden="true" name="IQRBetaCalculation5yweeklyBJ11" vbProcedure="false">#REF!</definedName>
    <definedName function="false" hidden="true" name="IQRBetaCalculation5yweeklyL11" vbProcedure="false">#REF!</definedName>
    <definedName function="false" hidden="true" name="IQRBetaCalculation5yweeklyV11" vbProcedure="false">#REF!</definedName>
    <definedName function="false" hidden="true" name="IQRBetaCalculationAH20" vbProcedure="false">#REF!</definedName>
    <definedName function="false" hidden="true" name="IQRBetaCalculationAP20" vbProcedure="false">#REF!</definedName>
    <definedName function="false" hidden="true" name="IQRBetaCalculationAX20" vbProcedure="false">#REF!</definedName>
    <definedName function="false" hidden="true" name="IQRBetaCalculationBF20" vbProcedure="false">#REF!</definedName>
    <definedName function="false" hidden="true" name="IQRBetaCalculationZ20" vbProcedure="false">#REF!</definedName>
    <definedName function="false" hidden="true" name="IQRBetaDATASHEETB17" vbProcedure="false">#REF!</definedName>
    <definedName function="false" hidden="true" name="IQRBF49" vbProcedure="false">"$BF$50:$BF$302"</definedName>
    <definedName function="false" hidden="true" name="IQRBF81" vbProcedure="false">"$BF$82"</definedName>
    <definedName function="false" hidden="true" name="IQRBG81" vbProcedure="false">"$BG$82"</definedName>
    <definedName function="false" hidden="true" name="IQRBH81" vbProcedure="false">"$BH$82"</definedName>
    <definedName function="false" hidden="true" name="IQRBI81" vbProcedure="false">"$BI$82"</definedName>
    <definedName function="false" hidden="true" name="IQRBJ81" vbProcedure="false">"$BJ$82"</definedName>
    <definedName function="false" hidden="true" name="IQRBK81" vbProcedure="false">"$BK$82"</definedName>
    <definedName function="false" hidden="true" name="IQRBL81" vbProcedure="false">"$BL$82"</definedName>
    <definedName function="false" hidden="true" name="IQRBM81" vbProcedure="false">"$BM$82"</definedName>
    <definedName function="false" hidden="true" name="IQRBMYH20" vbProcedure="false">#REF!</definedName>
    <definedName function="false" hidden="true" name="IQRBN81" vbProcedure="false">"$BN$82"</definedName>
    <definedName function="false" hidden="true" name="IQRBO81" vbProcedure="false">"$BO$82"</definedName>
    <definedName function="false" hidden="true" name="IQRBoardB6" vbProcedure="false">#REF!</definedName>
    <definedName function="false" hidden="true" name="IQRBP81" vbProcedure="false">"$BP$82"</definedName>
    <definedName function="false" hidden="true" name="IQRC10" vbProcedure="false">"$C$11:$C$863"</definedName>
    <definedName function="false" hidden="true" name="IQRC11" vbProcedure="false">"$C$12:$C$864"</definedName>
    <definedName function="false" hidden="true" name="IQRC12" vbProcedure="false">"$C$13:$C$865"</definedName>
    <definedName function="false" hidden="true" name="IQRC13" vbProcedure="false">"$C$14:$C$866"</definedName>
    <definedName function="false" hidden="true" name="IQRC14" vbProcedure="false">"$C$15:$C$867"</definedName>
    <definedName function="false" hidden="true" name="IQRC15" vbProcedure="false">"$C$16:$C$20"</definedName>
    <definedName function="false" hidden="true" name="IQRC16" vbProcedure="false">"$C$17:$C$869"</definedName>
    <definedName function="false" hidden="true" name="IQRC17" vbProcedure="false">"$C$18:$C$870"</definedName>
    <definedName function="false" hidden="true" name="IQRC18" vbProcedure="false">"$C$19:$C$871"</definedName>
    <definedName function="false" hidden="true" name="IQRC19" vbProcedure="false">"$C$20:$C$872"</definedName>
    <definedName function="false" hidden="true" name="IQRC2" vbProcedure="false">"$C$3:$C$13"</definedName>
    <definedName function="false" hidden="true" name="IQRC20" vbProcedure="false">"$C$21:$C$873"</definedName>
    <definedName function="false" hidden="true" name="IQRC21" vbProcedure="false">"$C$22:$C$874"</definedName>
    <definedName function="false" hidden="true" name="IQRC22" vbProcedure="false">"$C$23:$C$875"</definedName>
    <definedName function="false" hidden="true" name="IQRC23" vbProcedure="false">"$C$24:$C$876"</definedName>
    <definedName function="false" hidden="true" name="IQRC24" vbProcedure="false">"$C$25:$C$29"</definedName>
    <definedName function="false" hidden="true" name="IQRC25" vbProcedure="false">"$C$26:$C$878"</definedName>
    <definedName function="false" hidden="true" name="IQRC26" vbProcedure="false">"$C$27:$C$879"</definedName>
    <definedName function="false" hidden="true" name="IQRC27" vbProcedure="false">"$C$28:$C$880"</definedName>
    <definedName function="false" hidden="true" name="IQRC28" vbProcedure="false">"$C$29:$C$881"</definedName>
    <definedName function="false" hidden="true" name="IQRC29" vbProcedure="false">"$C$30:$C$882"</definedName>
    <definedName function="false" hidden="true" name="IQRC3" vbProcedure="false">"$C$4:$C$253"</definedName>
    <definedName function="false" hidden="true" name="IQRC30" vbProcedure="false">"$C$31:$C$883"</definedName>
    <definedName function="false" hidden="true" name="IQRC31" vbProcedure="false">"$C$32:$C$884"</definedName>
    <definedName function="false" hidden="true" name="IQRC32" vbProcedure="false">"$C$33:$C$885"</definedName>
    <definedName function="false" hidden="true" name="IQRC33" vbProcedure="false">"$C$34:$C$886"</definedName>
    <definedName function="false" hidden="true" name="IQRC34" vbProcedure="false">"$C$35:$C$887"</definedName>
    <definedName function="false" hidden="true" name="IQRC35" vbProcedure="false">"$C$36:$C$888"</definedName>
    <definedName function="false" hidden="true" name="IQRC36" vbProcedure="false">"$C$37:$C$889"</definedName>
    <definedName function="false" hidden="true" name="IQRC37" vbProcedure="false">"$C$38:$C$890"</definedName>
    <definedName function="false" hidden="true" name="IQRC38" vbProcedure="false">"$C$39:$C$891"</definedName>
    <definedName function="false" hidden="true" name="IQRC39" vbProcedure="false">"$C$40:$C$83"</definedName>
    <definedName function="false" hidden="true" name="IQRC4" vbProcedure="false">"$C$5:$C$254"</definedName>
    <definedName function="false" hidden="true" name="IQRC40" vbProcedure="false">"$C$41:$C$893"</definedName>
    <definedName function="false" hidden="true" name="IQRC42" vbProcedure="false">"$C$43:$C$895"</definedName>
    <definedName function="false" hidden="true" name="IQRC44" vbProcedure="false">"$C$45:$C$897"</definedName>
    <definedName function="false" hidden="true" name="IQRC5" vbProcedure="false">"$C$6:$C$255"</definedName>
    <definedName function="false" hidden="true" name="IQRC50" vbProcedure="false">#REF!</definedName>
    <definedName function="false" hidden="true" name="IQRC6" vbProcedure="false">"$C$7:$C$21"</definedName>
    <definedName function="false" hidden="true" name="IQRC7" vbProcedure="false">"$C$8:$C$860"</definedName>
    <definedName function="false" hidden="true" name="IQRC8" vbProcedure="false">"$C$9:$C$19"</definedName>
    <definedName function="false" hidden="true" name="IQRC9" vbProcedure="false">"$C$10:$C$862"</definedName>
    <definedName function="false" hidden="true" name="IQRCDS2A9" vbProcedure="false">#REF!</definedName>
    <definedName function="false" hidden="true" name="IQRChartsAG53" vbProcedure="false">#REF!</definedName>
    <definedName function="false" hidden="true" name="IQRChartsAJ53" vbProcedure="false">#REF!</definedName>
    <definedName function="false" hidden="true" name="IQRChartsAM53" vbProcedure="false">#REF!</definedName>
    <definedName function="false" hidden="true" name="IQRChartsAX53" vbProcedure="false">#REF!</definedName>
    <definedName function="false" hidden="true" name="IQRCIQPricedataHF29" vbProcedure="false">#REF!</definedName>
    <definedName function="false" hidden="true" name="IQRCIQPricedataHS29" vbProcedure="false">#REF!</definedName>
    <definedName function="false" hidden="true" name="IQRCompany_Tear_SheetG19" vbProcedure="false">#REF!</definedName>
    <definedName function="false" hidden="true" name="IQRCompany_Tear_SheetG20" vbProcedure="false">#REF!</definedName>
    <definedName function="false" hidden="true" name="IQRCompany_Tear_SheetG21" vbProcedure="false">#REF!</definedName>
    <definedName function="false" hidden="true" name="IQRCompany_Tear_SheetH20" vbProcedure="false">#REF!</definedName>
    <definedName function="false" hidden="true" name="IQRCompsAC5" vbProcedure="false">#REF!</definedName>
    <definedName function="false" hidden="true" name="IQRContractsD4" vbProcedure="false">#REF!</definedName>
    <definedName function="false" hidden="true" name="IQRContractsT39" vbProcedure="false">#REF!</definedName>
    <definedName function="false" hidden="true" name="IQRCorporateYieldCurvesAS73" vbProcedure="false">#REF!</definedName>
    <definedName function="false" hidden="true" name="IQRCreditAnalyticsScoringAA34" vbProcedure="false">#REF!</definedName>
    <definedName function="false" hidden="true" name="IQRCreditAnalyticsScoringAB34" vbProcedure="false">#REF!</definedName>
    <definedName function="false" hidden="true" name="IQRCreditAnalyticsScoringAI34" vbProcedure="false">#REF!</definedName>
    <definedName function="false" hidden="true" name="IQRCreditAnalyticsScoringAL34" vbProcedure="false">#REF!</definedName>
    <definedName function="false" hidden="true" name="IQRCreditAnalyticsScoringAN34" vbProcedure="false">#REF!</definedName>
    <definedName function="false" hidden="true" name="IQRCreditAnalyticsScoringAO34" vbProcedure="false">#REF!</definedName>
    <definedName function="false" hidden="true" name="IQRCreditAnalyticsScoringAQ34" vbProcedure="false">#REF!</definedName>
    <definedName function="false" hidden="true" name="IQRCreditAnalyticsScoringAV34" vbProcedure="false">#REF!</definedName>
    <definedName function="false" hidden="true" name="IQRCreditAnalyticsScoringBC34" vbProcedure="false">#REF!</definedName>
    <definedName function="false" hidden="true" name="IQRCreditAnalyticsScoringBF33" vbProcedure="false">#REF!</definedName>
    <definedName function="false" hidden="true" name="IQRCreditAnalyticsScoringBG33" vbProcedure="false">#REF!</definedName>
    <definedName function="false" hidden="true" name="IQRCreditAnalyticsScoringBW34" vbProcedure="false">#REF!</definedName>
    <definedName function="false" hidden="true" name="IQRCreditAnalyticsScoringBX34" vbProcedure="false">#REF!</definedName>
    <definedName function="false" hidden="true" name="IQRCreditAnalyticsScoringCK34" vbProcedure="false">#REF!</definedName>
    <definedName function="false" hidden="true" name="IQRCreditAnalyticsScoringCL34" vbProcedure="false">#REF!</definedName>
    <definedName function="false" hidden="true" name="IQRCreditspreadAA23" vbProcedure="false">#REF!</definedName>
    <definedName function="false" hidden="true" name="IQRCreditspreadAB23" vbProcedure="false">#REF!</definedName>
    <definedName function="false" hidden="true" name="IQRCreditspreadAC23" vbProcedure="false">#REF!</definedName>
    <definedName function="false" hidden="true" name="IQRCreditspreadAD23" vbProcedure="false">#REF!</definedName>
    <definedName function="false" hidden="true" name="IQRCreditspreadAE23" vbProcedure="false">#REF!</definedName>
    <definedName function="false" hidden="true" name="IQRCreditspreadAF23" vbProcedure="false">#REF!</definedName>
    <definedName function="false" hidden="true" name="IQRCreditspreadAG23" vbProcedure="false">#REF!</definedName>
    <definedName function="false" hidden="true" name="IQRCreditspreadAW23" vbProcedure="false">#REF!</definedName>
    <definedName function="false" hidden="true" name="IQRCreditspreadAX23" vbProcedure="false">#REF!</definedName>
    <definedName function="false" hidden="true" name="IQRCreditspreadAY23" vbProcedure="false">#REF!</definedName>
    <definedName function="false" hidden="true" name="IQRCreditspreadAZ23" vbProcedure="false">#REF!</definedName>
    <definedName function="false" hidden="true" name="IQRCreditspreadBA23" vbProcedure="false">#REF!</definedName>
    <definedName function="false" hidden="true" name="IQRCreditspreadBB23" vbProcedure="false">#REF!</definedName>
    <definedName function="false" hidden="true" name="IQRCreditspreadBC23" vbProcedure="false">#REF!</definedName>
    <definedName function="false" hidden="true" name="IQRCreditspreadBD23" vbProcedure="false">#REF!</definedName>
    <definedName function="false" hidden="true" name="IQRCreditspreadBE23" vbProcedure="false">#REF!</definedName>
    <definedName function="false" hidden="true" name="IQRCreditspreadBetaAA23" vbProcedure="false">#REF!</definedName>
    <definedName function="false" hidden="true" name="IQRCreditspreadBetaAB23" vbProcedure="false">#REF!</definedName>
    <definedName function="false" hidden="true" name="IQRCreditspreadBetaAC23" vbProcedure="false">#REF!</definedName>
    <definedName function="false" hidden="true" name="IQRCreditspreadBetaAD23" vbProcedure="false">#REF!</definedName>
    <definedName function="false" hidden="true" name="IQRCreditspreadBetaAE23" vbProcedure="false">#REF!</definedName>
    <definedName function="false" hidden="true" name="IQRCreditspreadBetaAF23" vbProcedure="false">#REF!</definedName>
    <definedName function="false" hidden="true" name="IQRCreditspreadBetaAG23" vbProcedure="false">#REF!</definedName>
    <definedName function="false" hidden="true" name="IQRCreditspreadBetaAH23" vbProcedure="false">#REF!</definedName>
    <definedName function="false" hidden="true" name="IQRCreditspreadBetaAW23" vbProcedure="false">#REF!</definedName>
    <definedName function="false" hidden="true" name="IQRCreditspreadBetaAX23" vbProcedure="false">#REF!</definedName>
    <definedName function="false" hidden="true" name="IQRCreditspreadBetaAY23" vbProcedure="false">#REF!</definedName>
    <definedName function="false" hidden="true" name="IQRCreditspreadBetaAZ23" vbProcedure="false">#REF!</definedName>
    <definedName function="false" hidden="true" name="IQRCreditspreadBetaBA23" vbProcedure="false">#REF!</definedName>
    <definedName function="false" hidden="true" name="IQRCreditspreadBetaBB23" vbProcedure="false">#REF!</definedName>
    <definedName function="false" hidden="true" name="IQRCreditspreadBetaBC23" vbProcedure="false">#REF!</definedName>
    <definedName function="false" hidden="true" name="IQRCreditspreadBetaBD23" vbProcedure="false">#REF!</definedName>
    <definedName function="false" hidden="true" name="IQRCreditspreadBetaBE23" vbProcedure="false">#REF!</definedName>
    <definedName function="false" hidden="true" name="IQRCreditspreadBetaBF23" vbProcedure="false">#REF!</definedName>
    <definedName function="false" hidden="true" name="IQRCreditspreadBetaBG23" vbProcedure="false">#REF!</definedName>
    <definedName function="false" hidden="true" name="IQRCreditspreadBetaBH23" vbProcedure="false">#REF!</definedName>
    <definedName function="false" hidden="true" name="IQRCreditspreadBetaBI23" vbProcedure="false">#REF!</definedName>
    <definedName function="false" hidden="true" name="IQRCreditspreadBetaBJ23" vbProcedure="false">#REF!</definedName>
    <definedName function="false" hidden="true" name="IQRCreditspreadBetaBK23" vbProcedure="false">#REF!</definedName>
    <definedName function="false" hidden="true" name="IQRCreditspreadBetaBL23" vbProcedure="false">#REF!</definedName>
    <definedName function="false" hidden="true" name="IQRCreditspreadBetaBM23" vbProcedure="false">#REF!</definedName>
    <definedName function="false" hidden="true" name="IQRCreditspreadBetaBN23" vbProcedure="false">#REF!</definedName>
    <definedName function="false" hidden="true" name="IQRCreditspreadBetaBO23" vbProcedure="false">#REF!</definedName>
    <definedName function="false" hidden="true" name="IQRCreditspreadBetaBP23" vbProcedure="false">#REF!</definedName>
    <definedName function="false" hidden="true" name="IQRCreditspreadBetaBQ23" vbProcedure="false">#REF!</definedName>
    <definedName function="false" hidden="true" name="IQRCreditspreadBetaCF23" vbProcedure="false">#REF!</definedName>
    <definedName function="false" hidden="true" name="IQRCreditspreadBetaCG23" vbProcedure="false">#REF!</definedName>
    <definedName function="false" hidden="true" name="IQRCreditspreadBetaCH23" vbProcedure="false">#REF!</definedName>
    <definedName function="false" hidden="true" name="IQRCreditspreadBetaCI23" vbProcedure="false">#REF!</definedName>
    <definedName function="false" hidden="true" name="IQRCreditspreadBetaCJ23" vbProcedure="false">#REF!</definedName>
    <definedName function="false" hidden="true" name="IQRCreditspreadBetaCK23" vbProcedure="false">#REF!</definedName>
    <definedName function="false" hidden="true" name="IQRCreditspreadBetaCL23" vbProcedure="false">#REF!</definedName>
    <definedName function="false" hidden="true" name="IQRCreditspreadBetaCM23" vbProcedure="false">#REF!</definedName>
    <definedName function="false" hidden="true" name="IQRCreditspreadBetaCN23" vbProcedure="false">#REF!</definedName>
    <definedName function="false" hidden="true" name="IQRCreditspreadBetaCO23" vbProcedure="false">#REF!</definedName>
    <definedName function="false" hidden="true" name="IQRCreditspreadBetaCP23" vbProcedure="false">#REF!</definedName>
    <definedName function="false" hidden="true" name="IQRCreditspreadBetaCQ23" vbProcedure="false">#REF!</definedName>
    <definedName function="false" hidden="true" name="IQRCreditspreadBetaCR23" vbProcedure="false">#REF!</definedName>
    <definedName function="false" hidden="true" name="IQRCreditspreadBetaCS23" vbProcedure="false">#REF!</definedName>
    <definedName function="false" hidden="true" name="IQRCreditspreadBetaCT23" vbProcedure="false">#REF!</definedName>
    <definedName function="false" hidden="true" name="IQRCreditspreadBetaCU23" vbProcedure="false">#REF!</definedName>
    <definedName function="false" hidden="true" name="IQRCreditspreadBetaCV23" vbProcedure="false">#REF!</definedName>
    <definedName function="false" hidden="true" name="IQRCreditspreadBetaCW23" vbProcedure="false">#REF!</definedName>
    <definedName function="false" hidden="true" name="IQRCreditspreadBetaCX23" vbProcedure="false">#REF!</definedName>
    <definedName function="false" hidden="true" name="IQRCreditspreadBetaCY23" vbProcedure="false">#REF!</definedName>
    <definedName function="false" hidden="true" name="IQRCreditspreadBetaCZ23" vbProcedure="false">#REF!</definedName>
    <definedName function="false" hidden="true" name="IQRCreditspreadBetaDO23" vbProcedure="false">#REF!</definedName>
    <definedName function="false" hidden="true" name="IQRCreditspreadBetaDP23" vbProcedure="false">#REF!</definedName>
    <definedName function="false" hidden="true" name="IQRCreditspreadBetaDQ23" vbProcedure="false">#REF!</definedName>
    <definedName function="false" hidden="true" name="IQRCreditspreadBetaDR23" vbProcedure="false">#REF!</definedName>
    <definedName function="false" hidden="true" name="IQRCreditspreadBetaDS23" vbProcedure="false">#REF!</definedName>
    <definedName function="false" hidden="true" name="IQRCreditspreadBetaDT23" vbProcedure="false">#REF!</definedName>
    <definedName function="false" hidden="true" name="IQRCreditspreadBetaDU23" vbProcedure="false">#REF!</definedName>
    <definedName function="false" hidden="true" name="IQRCreditspreadBetaDV23" vbProcedure="false">#REF!</definedName>
    <definedName function="false" hidden="true" name="IQRCreditspreadBetaDW23" vbProcedure="false">#REF!</definedName>
    <definedName function="false" hidden="true" name="IQRCreditspreadBetaDX23" vbProcedure="false">#REF!</definedName>
    <definedName function="false" hidden="true" name="IQRCreditspreadBetaDY23" vbProcedure="false">#REF!</definedName>
    <definedName function="false" hidden="true" name="IQRCreditspreadBetaDZ23" vbProcedure="false">#REF!</definedName>
    <definedName function="false" hidden="true" name="IQRCreditspreadBetaEA23" vbProcedure="false">#REF!</definedName>
    <definedName function="false" hidden="true" name="IQRCreditspreadBetaEB23" vbProcedure="false">#REF!</definedName>
    <definedName function="false" hidden="true" name="IQRCreditspreadBetaEC23" vbProcedure="false">#REF!</definedName>
    <definedName function="false" hidden="true" name="IQRCreditspreadBetaED23" vbProcedure="false">#REF!</definedName>
    <definedName function="false" hidden="true" name="IQRCreditspreadBetaEE23" vbProcedure="false">#REF!</definedName>
    <definedName function="false" hidden="true" name="IQRCreditspreadBetaEF23" vbProcedure="false">#REF!</definedName>
    <definedName function="false" hidden="true" name="IQRCreditspreadBetaEG23" vbProcedure="false">#REF!</definedName>
    <definedName function="false" hidden="true" name="IQRCreditspreadBetaEH23" vbProcedure="false">#REF!</definedName>
    <definedName function="false" hidden="true" name="IQRCreditspreadBetaEI23" vbProcedure="false">#REF!</definedName>
    <definedName function="false" hidden="true" name="IQRCreditspreadBetaEX23" vbProcedure="false">#REF!</definedName>
    <definedName function="false" hidden="true" name="IQRCreditspreadBetaEY23" vbProcedure="false">#REF!</definedName>
    <definedName function="false" hidden="true" name="IQRCreditspreadBetaEZ23" vbProcedure="false">#REF!</definedName>
    <definedName function="false" hidden="true" name="IQRCreditspreadBetaFA23" vbProcedure="false">#REF!</definedName>
    <definedName function="false" hidden="true" name="IQRCreditspreadBetaFB23" vbProcedure="false">#REF!</definedName>
    <definedName function="false" hidden="true" name="IQRCreditspreadBetaFC23" vbProcedure="false">#REF!</definedName>
    <definedName function="false" hidden="true" name="IQRCreditspreadBetaFD23" vbProcedure="false">#REF!</definedName>
    <definedName function="false" hidden="true" name="IQRCreditspreadBetaFE23" vbProcedure="false">#REF!</definedName>
    <definedName function="false" hidden="true" name="IQRCreditspreadBetaFF23" vbProcedure="false">#REF!</definedName>
    <definedName function="false" hidden="true" name="IQRCreditspreadBetaFG23" vbProcedure="false">#REF!</definedName>
    <definedName function="false" hidden="true" name="IQRCreditspreadBetaFH23" vbProcedure="false">#REF!</definedName>
    <definedName function="false" hidden="true" name="IQRCreditspreadBetaFI23" vbProcedure="false">#REF!</definedName>
    <definedName function="false" hidden="true" name="IQRCreditspreadBetaFJ23" vbProcedure="false">#REF!</definedName>
    <definedName function="false" hidden="true" name="IQRCreditspreadBetaFK23" vbProcedure="false">#REF!</definedName>
    <definedName function="false" hidden="true" name="IQRCreditspreadBetaFL23" vbProcedure="false">#REF!</definedName>
    <definedName function="false" hidden="true" name="IQRCreditspreadBetaFM23" vbProcedure="false">#REF!</definedName>
    <definedName function="false" hidden="true" name="IQRCreditspreadBetaFN23" vbProcedure="false">#REF!</definedName>
    <definedName function="false" hidden="true" name="IQRCreditspreadBetaFO23" vbProcedure="false">#REF!</definedName>
    <definedName function="false" hidden="true" name="IQRCreditspreadBetaFP23" vbProcedure="false">#REF!</definedName>
    <definedName function="false" hidden="true" name="IQRCreditspreadBetaFQ23" vbProcedure="false">#REF!</definedName>
    <definedName function="false" hidden="true" name="IQRCreditspreadBetaFR23" vbProcedure="false">#REF!</definedName>
    <definedName function="false" hidden="true" name="IQRCreditspreadBetaGG23" vbProcedure="false">#REF!</definedName>
    <definedName function="false" hidden="true" name="IQRCreditspreadBetaGH23" vbProcedure="false">#REF!</definedName>
    <definedName function="false" hidden="true" name="IQRCreditspreadBetaGI23" vbProcedure="false">#REF!</definedName>
    <definedName function="false" hidden="true" name="IQRCreditspreadBetaGJ23" vbProcedure="false">#REF!</definedName>
    <definedName function="false" hidden="true" name="IQRCreditspreadBetaGK23" vbProcedure="false">#REF!</definedName>
    <definedName function="false" hidden="true" name="IQRCreditspreadBetaGL23" vbProcedure="false">#REF!</definedName>
    <definedName function="false" hidden="true" name="IQRCreditspreadBetaGM23" vbProcedure="false">#REF!</definedName>
    <definedName function="false" hidden="true" name="IQRCreditspreadBetaGN23" vbProcedure="false">#REF!</definedName>
    <definedName function="false" hidden="true" name="IQRCreditspreadBetaGO23" vbProcedure="false">#REF!</definedName>
    <definedName function="false" hidden="true" name="IQRCreditspreadBetaGP23" vbProcedure="false">#REF!</definedName>
    <definedName function="false" hidden="true" name="IQRCreditspreadBetaGQ23" vbProcedure="false">#REF!</definedName>
    <definedName function="false" hidden="true" name="IQRCreditspreadBetaGR23" vbProcedure="false">#REF!</definedName>
    <definedName function="false" hidden="true" name="IQRCreditspreadBetaGS23" vbProcedure="false">#REF!</definedName>
    <definedName function="false" hidden="true" name="IQRCreditspreadBetaGT23" vbProcedure="false">#REF!</definedName>
    <definedName function="false" hidden="true" name="IQRCreditspreadBetaGU23" vbProcedure="false">#REF!</definedName>
    <definedName function="false" hidden="true" name="IQRCreditspreadBetaGV23" vbProcedure="false">#REF!</definedName>
    <definedName function="false" hidden="true" name="IQRCreditspreadBetaGW23" vbProcedure="false">#REF!</definedName>
    <definedName function="false" hidden="true" name="IQRCreditspreadBetaGX23" vbProcedure="false">#REF!</definedName>
    <definedName function="false" hidden="true" name="IQRCreditspreadBetaGY23" vbProcedure="false">#REF!</definedName>
    <definedName function="false" hidden="true" name="IQRCreditspreadBetaGZ23" vbProcedure="false">#REF!</definedName>
    <definedName function="false" hidden="true" name="IQRCreditspreadBetaHA23" vbProcedure="false">#REF!</definedName>
    <definedName function="false" hidden="true" name="IQRCreditspreadBetaHP23" vbProcedure="false">#REF!</definedName>
    <definedName function="false" hidden="true" name="IQRCreditspreadBetaHQ23" vbProcedure="false">#REF!</definedName>
    <definedName function="false" hidden="true" name="IQRCreditspreadBetaHR23" vbProcedure="false">#REF!</definedName>
    <definedName function="false" hidden="true" name="IQRCreditspreadBetaHS23" vbProcedure="false">#REF!</definedName>
    <definedName function="false" hidden="true" name="IQRCreditspreadBetaHT23" vbProcedure="false">#REF!</definedName>
    <definedName function="false" hidden="true" name="IQRCreditspreadBetaHU23" vbProcedure="false">#REF!</definedName>
    <definedName function="false" hidden="true" name="IQRCreditspreadBetaHV23" vbProcedure="false">#REF!</definedName>
    <definedName function="false" hidden="true" name="IQRCreditspreadBetaHW23" vbProcedure="false">#REF!</definedName>
    <definedName function="false" hidden="true" name="IQRCreditspreadBetaHX23" vbProcedure="false">#REF!</definedName>
    <definedName function="false" hidden="true" name="IQRCreditspreadBetaHY23" vbProcedure="false">#REF!</definedName>
    <definedName function="false" hidden="true" name="IQRCreditspreadBetaHZ23" vbProcedure="false">#REF!</definedName>
    <definedName function="false" hidden="true" name="IQRCreditspreadBetaIA23" vbProcedure="false">#REF!</definedName>
    <definedName function="false" hidden="true" name="IQRCreditspreadBetaIB23" vbProcedure="false">#REF!</definedName>
    <definedName function="false" hidden="true" name="IQRCreditspreadBetaIC23" vbProcedure="false">#REF!</definedName>
    <definedName function="false" hidden="true" name="IQRCreditspreadBetaID23" vbProcedure="false">#REF!</definedName>
    <definedName function="false" hidden="true" name="IQRCreditspreadBetaIE23" vbProcedure="false">#REF!</definedName>
    <definedName function="false" hidden="true" name="IQRCreditspreadBetaIF23" vbProcedure="false">#REF!</definedName>
    <definedName function="false" hidden="true" name="IQRCreditspreadBetaIG23" vbProcedure="false">#REF!</definedName>
    <definedName function="false" hidden="true" name="IQRCreditspreadBetaIH23" vbProcedure="false">#REF!</definedName>
    <definedName function="false" hidden="true" name="IQRCreditspreadBetaII23" vbProcedure="false">#REF!</definedName>
    <definedName function="false" hidden="true" name="IQRCreditspreadBetaIJ23" vbProcedure="false">#REF!</definedName>
    <definedName function="false" hidden="true" name="IQRCreditspreadBetaIR43" vbProcedure="false">#REF!</definedName>
    <definedName function="false" hidden="true" name="IQRCreditspreadBetaIY23" vbProcedure="false">#REF!</definedName>
    <definedName function="false" hidden="true" name="IQRCreditspreadBetaIZ23" vbProcedure="false">#REF!</definedName>
    <definedName function="false" hidden="true" name="IQRCreditspreadBetaJA23" vbProcedure="false">#REF!</definedName>
    <definedName function="false" hidden="true" name="IQRCreditspreadBetaJB23" vbProcedure="false">#REF!</definedName>
    <definedName function="false" hidden="true" name="IQRCreditspreadBetaJC23" vbProcedure="false">#REF!</definedName>
    <definedName function="false" hidden="true" name="IQRCreditspreadBetaJD23" vbProcedure="false">#REF!</definedName>
    <definedName function="false" hidden="true" name="IQRCreditspreadBetaJE23" vbProcedure="false">#REF!</definedName>
    <definedName function="false" hidden="true" name="IQRCreditspreadBetaJF23" vbProcedure="false">#REF!</definedName>
    <definedName function="false" hidden="true" name="IQRCreditspreadBetaJG23" vbProcedure="false">#REF!</definedName>
    <definedName function="false" hidden="true" name="IQRCreditspreadBetaJH23" vbProcedure="false">#REF!</definedName>
    <definedName function="false" hidden="true" name="IQRCreditspreadBetaJI23" vbProcedure="false">#REF!</definedName>
    <definedName function="false" hidden="true" name="IQRCreditspreadBetaJJ23" vbProcedure="false">#REF!</definedName>
    <definedName function="false" hidden="true" name="IQRCreditspreadBetaJK23" vbProcedure="false">#REF!</definedName>
    <definedName function="false" hidden="true" name="IQRCreditspreadBetaJL23" vbProcedure="false">#REF!</definedName>
    <definedName function="false" hidden="true" name="IQRCreditspreadBetaJM23" vbProcedure="false">#REF!</definedName>
    <definedName function="false" hidden="true" name="IQRCreditspreadBetaJN23" vbProcedure="false">#REF!</definedName>
    <definedName function="false" hidden="true" name="IQRCreditspreadBetaJO23" vbProcedure="false">#REF!</definedName>
    <definedName function="false" hidden="true" name="IQRCreditspreadBetaJP23" vbProcedure="false">#REF!</definedName>
    <definedName function="false" hidden="true" name="IQRCreditspreadBetaJQ23" vbProcedure="false">#REF!</definedName>
    <definedName function="false" hidden="true" name="IQRCreditspreadBetaJR23" vbProcedure="false">#REF!</definedName>
    <definedName function="false" hidden="true" name="IQRCreditspreadBetaJS23" vbProcedure="false">#REF!</definedName>
    <definedName function="false" hidden="true" name="IQRCreditspreadBetaKH23" vbProcedure="false">#REF!</definedName>
    <definedName function="false" hidden="true" name="IQRCreditspreadBetaKI23" vbProcedure="false">#REF!</definedName>
    <definedName function="false" hidden="true" name="IQRCreditspreadBetaKJ23" vbProcedure="false">#REF!</definedName>
    <definedName function="false" hidden="true" name="IQRCreditspreadBetaKK23" vbProcedure="false">#REF!</definedName>
    <definedName function="false" hidden="true" name="IQRCreditspreadBetaKL23" vbProcedure="false">#REF!</definedName>
    <definedName function="false" hidden="true" name="IQRCreditspreadBetaKM23" vbProcedure="false">#REF!</definedName>
    <definedName function="false" hidden="true" name="IQRCreditspreadBetaKN23" vbProcedure="false">#REF!</definedName>
    <definedName function="false" hidden="true" name="IQRCreditspreadBetaKO23" vbProcedure="false">#REF!</definedName>
    <definedName function="false" hidden="true" name="IQRCreditspreadBetaKP23" vbProcedure="false">#REF!</definedName>
    <definedName function="false" hidden="true" name="IQRCreditspreadBetaKQ23" vbProcedure="false">#REF!</definedName>
    <definedName function="false" hidden="true" name="IQRCreditspreadBetaKR23" vbProcedure="false">#REF!</definedName>
    <definedName function="false" hidden="true" name="IQRCreditspreadBetaKS23" vbProcedure="false">#REF!</definedName>
    <definedName function="false" hidden="true" name="IQRCreditspreadBetaKT23" vbProcedure="false">#REF!</definedName>
    <definedName function="false" hidden="true" name="IQRCreditspreadBetaKU23" vbProcedure="false">#REF!</definedName>
    <definedName function="false" hidden="true" name="IQRCreditspreadBetaKV23" vbProcedure="false">#REF!</definedName>
    <definedName function="false" hidden="true" name="IQRCreditspreadBetaKW23" vbProcedure="false">#REF!</definedName>
    <definedName function="false" hidden="true" name="IQRCreditspreadBetaKX23" vbProcedure="false">#REF!</definedName>
    <definedName function="false" hidden="true" name="IQRCreditspreadBetaKY23" vbProcedure="false">#REF!</definedName>
    <definedName function="false" hidden="true" name="IQRCreditspreadBetaKZ23" vbProcedure="false">#REF!</definedName>
    <definedName function="false" hidden="true" name="IQRCreditspreadBetaLA23" vbProcedure="false">#REF!</definedName>
    <definedName function="false" hidden="true" name="IQRCreditspreadBetaLB23" vbProcedure="false">#REF!</definedName>
    <definedName function="false" hidden="true" name="IQRCreditspreadBetaLQ23" vbProcedure="false">#REF!</definedName>
    <definedName function="false" hidden="true" name="IQRCreditspreadBetaLR23" vbProcedure="false">#REF!</definedName>
    <definedName function="false" hidden="true" name="IQRCreditspreadBetaLS23" vbProcedure="false">#REF!</definedName>
    <definedName function="false" hidden="true" name="IQRCreditspreadBetaLT23" vbProcedure="false">#REF!</definedName>
    <definedName function="false" hidden="true" name="IQRCreditspreadBetaLU23" vbProcedure="false">#REF!</definedName>
    <definedName function="false" hidden="true" name="IQRCreditspreadBetaLV23" vbProcedure="false">#REF!</definedName>
    <definedName function="false" hidden="true" name="IQRCreditspreadBetaLW23" vbProcedure="false">#REF!</definedName>
    <definedName function="false" hidden="true" name="IQRCreditspreadBetaLX23" vbProcedure="false">#REF!</definedName>
    <definedName function="false" hidden="true" name="IQRCreditspreadBetaLY23" vbProcedure="false">#REF!</definedName>
    <definedName function="false" hidden="true" name="IQRCreditspreadBetaLZ23" vbProcedure="false">#REF!</definedName>
    <definedName function="false" hidden="true" name="IQRCreditspreadBetaMA23" vbProcedure="false">#REF!</definedName>
    <definedName function="false" hidden="true" name="IQRCreditspreadBetaMB23" vbProcedure="false">#REF!</definedName>
    <definedName function="false" hidden="true" name="IQRCreditspreadBetaMC23" vbProcedure="false">#REF!</definedName>
    <definedName function="false" hidden="true" name="IQRCreditspreadBetaMD23" vbProcedure="false">#REF!</definedName>
    <definedName function="false" hidden="true" name="IQRCreditspreadBetaME23" vbProcedure="false">#REF!</definedName>
    <definedName function="false" hidden="true" name="IQRCreditspreadBetaMF23" vbProcedure="false">#REF!</definedName>
    <definedName function="false" hidden="true" name="IQRCreditspreadBetaMG23" vbProcedure="false">#REF!</definedName>
    <definedName function="false" hidden="true" name="IQRCreditspreadBetaMH23" vbProcedure="false">#REF!</definedName>
    <definedName function="false" hidden="true" name="IQRCreditspreadBetaMI23" vbProcedure="false">#REF!</definedName>
    <definedName function="false" hidden="true" name="IQRCreditspreadBetaMJ23" vbProcedure="false">#REF!</definedName>
    <definedName function="false" hidden="true" name="IQRCreditspreadBetaMK23" vbProcedure="false">#REF!</definedName>
    <definedName function="false" hidden="true" name="IQRCreditspreadBetaMZ23" vbProcedure="false">#REF!</definedName>
    <definedName function="false" hidden="true" name="IQRCreditspreadBetaN23" vbProcedure="false">#REF!</definedName>
    <definedName function="false" hidden="true" name="IQRCreditspreadBetaNA23" vbProcedure="false">#REF!</definedName>
    <definedName function="false" hidden="true" name="IQRCreditspreadBetaNB23" vbProcedure="false">#REF!</definedName>
    <definedName function="false" hidden="true" name="IQRCreditspreadBetaNC23" vbProcedure="false">#REF!</definedName>
    <definedName function="false" hidden="true" name="IQRCreditspreadBetaND23" vbProcedure="false">#REF!</definedName>
    <definedName function="false" hidden="true" name="IQRCreditspreadBetaNE23" vbProcedure="false">#REF!</definedName>
    <definedName function="false" hidden="true" name="IQRCreditspreadBetaNF23" vbProcedure="false">#REF!</definedName>
    <definedName function="false" hidden="true" name="IQRCreditspreadBetaNG23" vbProcedure="false">#REF!</definedName>
    <definedName function="false" hidden="true" name="IQRCreditspreadBetaNH23" vbProcedure="false">#REF!</definedName>
    <definedName function="false" hidden="true" name="IQRCreditspreadBetaNI23" vbProcedure="false">#REF!</definedName>
    <definedName function="false" hidden="true" name="IQRCreditspreadBetaNJ23" vbProcedure="false">#REF!</definedName>
    <definedName function="false" hidden="true" name="IQRCreditspreadBetaNK23" vbProcedure="false">#REF!</definedName>
    <definedName function="false" hidden="true" name="IQRCreditspreadBetaNL23" vbProcedure="false">#REF!</definedName>
    <definedName function="false" hidden="true" name="IQRCreditspreadBetaNM23" vbProcedure="false">#REF!</definedName>
    <definedName function="false" hidden="true" name="IQRCreditspreadBetaNN23" vbProcedure="false">#REF!</definedName>
    <definedName function="false" hidden="true" name="IQRCreditspreadBetaNO23" vbProcedure="false">#REF!</definedName>
    <definedName function="false" hidden="true" name="IQRCreditspreadBetaNP23" vbProcedure="false">#REF!</definedName>
    <definedName function="false" hidden="true" name="IQRCreditspreadBetaNQ23" vbProcedure="false">#REF!</definedName>
    <definedName function="false" hidden="true" name="IQRCreditspreadBetaNR23" vbProcedure="false">#REF!</definedName>
    <definedName function="false" hidden="true" name="IQRCreditspreadBetaNS23" vbProcedure="false">#REF!</definedName>
    <definedName function="false" hidden="true" name="IQRCreditspreadBetaNT23" vbProcedure="false">#REF!</definedName>
    <definedName function="false" hidden="true" name="IQRCreditspreadBetaO23" vbProcedure="false">#REF!</definedName>
    <definedName function="false" hidden="true" name="IQRCreditspreadBetaOI23" vbProcedure="false">#REF!</definedName>
    <definedName function="false" hidden="true" name="IQRCreditspreadBetaOJ23" vbProcedure="false">#REF!</definedName>
    <definedName function="false" hidden="true" name="IQRCreditspreadBetaOK23" vbProcedure="false">#REF!</definedName>
    <definedName function="false" hidden="true" name="IQRCreditspreadBetaOL23" vbProcedure="false">#REF!</definedName>
    <definedName function="false" hidden="true" name="IQRCreditspreadBetaOM23" vbProcedure="false">#REF!</definedName>
    <definedName function="false" hidden="true" name="IQRCreditspreadBetaON23" vbProcedure="false">#REF!</definedName>
    <definedName function="false" hidden="true" name="IQRCreditspreadBetaOO23" vbProcedure="false">#REF!</definedName>
    <definedName function="false" hidden="true" name="IQRCreditspreadBetaOP23" vbProcedure="false">#REF!</definedName>
    <definedName function="false" hidden="true" name="IQRCreditspreadBetaOQ23" vbProcedure="false">#REF!</definedName>
    <definedName function="false" hidden="true" name="IQRCreditspreadBetaOR23" vbProcedure="false">#REF!</definedName>
    <definedName function="false" hidden="true" name="IQRCreditspreadBetaOS23" vbProcedure="false">#REF!</definedName>
    <definedName function="false" hidden="true" name="IQRCreditspreadBetaOT23" vbProcedure="false">#REF!</definedName>
    <definedName function="false" hidden="true" name="IQRCreditspreadBetaOU23" vbProcedure="false">#REF!</definedName>
    <definedName function="false" hidden="true" name="IQRCreditspreadBetaOV23" vbProcedure="false">#REF!</definedName>
    <definedName function="false" hidden="true" name="IQRCreditspreadBetaOW23" vbProcedure="false">#REF!</definedName>
    <definedName function="false" hidden="true" name="IQRCreditspreadBetaOX23" vbProcedure="false">#REF!</definedName>
    <definedName function="false" hidden="true" name="IQRCreditspreadBetaOY23" vbProcedure="false">#REF!</definedName>
    <definedName function="false" hidden="true" name="IQRCreditspreadBetaOZ23" vbProcedure="false">#REF!</definedName>
    <definedName function="false" hidden="true" name="IQRCreditspreadBetaP23" vbProcedure="false">#REF!</definedName>
    <definedName function="false" hidden="true" name="IQRCreditspreadBetaPA23" vbProcedure="false">#REF!</definedName>
    <definedName function="false" hidden="true" name="IQRCreditspreadBetaPB23" vbProcedure="false">#REF!</definedName>
    <definedName function="false" hidden="true" name="IQRCreditspreadBetaPC23" vbProcedure="false">#REF!</definedName>
    <definedName function="false" hidden="true" name="IQRCreditspreadBetaPR23" vbProcedure="false">#REF!</definedName>
    <definedName function="false" hidden="true" name="IQRCreditspreadBetaPS23" vbProcedure="false">#REF!</definedName>
    <definedName function="false" hidden="true" name="IQRCreditspreadBetaPT23" vbProcedure="false">#REF!</definedName>
    <definedName function="false" hidden="true" name="IQRCreditspreadBetaPU23" vbProcedure="false">#REF!</definedName>
    <definedName function="false" hidden="true" name="IQRCreditspreadBetaPV23" vbProcedure="false">#REF!</definedName>
    <definedName function="false" hidden="true" name="IQRCreditspreadBetaPW23" vbProcedure="false">#REF!</definedName>
    <definedName function="false" hidden="true" name="IQRCreditspreadBetaPX23" vbProcedure="false">#REF!</definedName>
    <definedName function="false" hidden="true" name="IQRCreditspreadBetaPY23" vbProcedure="false">#REF!</definedName>
    <definedName function="false" hidden="true" name="IQRCreditspreadBetaPZ23" vbProcedure="false">#REF!</definedName>
    <definedName function="false" hidden="true" name="IQRCreditspreadBetaQ23" vbProcedure="false">#REF!</definedName>
    <definedName function="false" hidden="true" name="IQRCreditspreadBetaQA23" vbProcedure="false">#REF!</definedName>
    <definedName function="false" hidden="true" name="IQRCreditspreadBetaQB23" vbProcedure="false">#REF!</definedName>
    <definedName function="false" hidden="true" name="IQRCreditspreadBetaQC23" vbProcedure="false">#REF!</definedName>
    <definedName function="false" hidden="true" name="IQRCreditspreadBetaQD23" vbProcedure="false">#REF!</definedName>
    <definedName function="false" hidden="true" name="IQRCreditspreadBetaQE23" vbProcedure="false">#REF!</definedName>
    <definedName function="false" hidden="true" name="IQRCreditspreadBetaQF23" vbProcedure="false">#REF!</definedName>
    <definedName function="false" hidden="true" name="IQRCreditspreadBetaQG23" vbProcedure="false">#REF!</definedName>
    <definedName function="false" hidden="true" name="IQRCreditspreadBetaQH23" vbProcedure="false">#REF!</definedName>
    <definedName function="false" hidden="true" name="IQRCreditspreadBetaQI23" vbProcedure="false">#REF!</definedName>
    <definedName function="false" hidden="true" name="IQRCreditspreadBetaQJ23" vbProcedure="false">#REF!</definedName>
    <definedName function="false" hidden="true" name="IQRCreditspreadBetaQK23" vbProcedure="false">#REF!</definedName>
    <definedName function="false" hidden="true" name="IQRCreditspreadBetaQL23" vbProcedure="false">#REF!</definedName>
    <definedName function="false" hidden="true" name="IQRCreditspreadBetaR23" vbProcedure="false">#REF!</definedName>
    <definedName function="false" hidden="true" name="IQRCreditspreadBetaRA23" vbProcedure="false">#REF!</definedName>
    <definedName function="false" hidden="true" name="IQRCreditspreadBetaRB23" vbProcedure="false">#REF!</definedName>
    <definedName function="false" hidden="true" name="IQRCreditspreadBetaRC23" vbProcedure="false">#REF!</definedName>
    <definedName function="false" hidden="true" name="IQRCreditspreadBetaRD23" vbProcedure="false">#REF!</definedName>
    <definedName function="false" hidden="true" name="IQRCreditspreadBetaRE23" vbProcedure="false">#REF!</definedName>
    <definedName function="false" hidden="true" name="IQRCreditspreadBetaRF23" vbProcedure="false">#REF!</definedName>
    <definedName function="false" hidden="true" name="IQRCreditspreadBetaRG23" vbProcedure="false">#REF!</definedName>
    <definedName function="false" hidden="true" name="IQRCreditspreadBetaRH23" vbProcedure="false">#REF!</definedName>
    <definedName function="false" hidden="true" name="IQRCreditspreadBetaRI23" vbProcedure="false">#REF!</definedName>
    <definedName function="false" hidden="true" name="IQRCreditspreadBetaRJ23" vbProcedure="false">#REF!</definedName>
    <definedName function="false" hidden="true" name="IQRCreditspreadBetaRK23" vbProcedure="false">#REF!</definedName>
    <definedName function="false" hidden="true" name="IQRCreditspreadBetaRL23" vbProcedure="false">#REF!</definedName>
    <definedName function="false" hidden="true" name="IQRCreditspreadBetaRM23" vbProcedure="false">#REF!</definedName>
    <definedName function="false" hidden="true" name="IQRCreditspreadBetaRN23" vbProcedure="false">#REF!</definedName>
    <definedName function="false" hidden="true" name="IQRCreditspreadBetaRO23" vbProcedure="false">#REF!</definedName>
    <definedName function="false" hidden="true" name="IQRCreditspreadBetaRP23" vbProcedure="false">#REF!</definedName>
    <definedName function="false" hidden="true" name="IQRCreditspreadBetaRQ23" vbProcedure="false">#REF!</definedName>
    <definedName function="false" hidden="true" name="IQRCreditspreadBetaRR23" vbProcedure="false">#REF!</definedName>
    <definedName function="false" hidden="true" name="IQRCreditspreadBetaRS23" vbProcedure="false">#REF!</definedName>
    <definedName function="false" hidden="true" name="IQRCreditspreadBetaRT23" vbProcedure="false">#REF!</definedName>
    <definedName function="false" hidden="true" name="IQRCreditspreadBetaRU23" vbProcedure="false">#REF!</definedName>
    <definedName function="false" hidden="true" name="IQRCreditspreadBetaS23" vbProcedure="false">#REF!</definedName>
    <definedName function="false" hidden="true" name="IQRCreditspreadBetaSJ23" vbProcedure="false">#REF!</definedName>
    <definedName function="false" hidden="true" name="IQRCreditspreadBetaSK23" vbProcedure="false">#REF!</definedName>
    <definedName function="false" hidden="true" name="IQRCreditspreadBetaSL23" vbProcedure="false">#REF!</definedName>
    <definedName function="false" hidden="true" name="IQRCreditspreadBetaSM23" vbProcedure="false">#REF!</definedName>
    <definedName function="false" hidden="true" name="IQRCreditspreadBetaSN23" vbProcedure="false">#REF!</definedName>
    <definedName function="false" hidden="true" name="IQRCreditspreadBetaSO23" vbProcedure="false">#REF!</definedName>
    <definedName function="false" hidden="true" name="IQRCreditspreadBetaSP23" vbProcedure="false">#REF!</definedName>
    <definedName function="false" hidden="true" name="IQRCreditspreadBetaSQ23" vbProcedure="false">#REF!</definedName>
    <definedName function="false" hidden="true" name="IQRCreditspreadBetaSR23" vbProcedure="false">#REF!</definedName>
    <definedName function="false" hidden="true" name="IQRCreditspreadBetaSS23" vbProcedure="false">#REF!</definedName>
    <definedName function="false" hidden="true" name="IQRCreditspreadBetaST23" vbProcedure="false">#REF!</definedName>
    <definedName function="false" hidden="true" name="IQRCreditspreadBetaSU23" vbProcedure="false">#REF!</definedName>
    <definedName function="false" hidden="true" name="IQRCreditspreadBetaSV23" vbProcedure="false">#REF!</definedName>
    <definedName function="false" hidden="true" name="IQRCreditspreadBetaSW23" vbProcedure="false">#REF!</definedName>
    <definedName function="false" hidden="true" name="IQRCreditspreadBetaSX23" vbProcedure="false">#REF!</definedName>
    <definedName function="false" hidden="true" name="IQRCreditspreadBetaSY23" vbProcedure="false">#REF!</definedName>
    <definedName function="false" hidden="true" name="IQRCreditspreadBetaSZ23" vbProcedure="false">#REF!</definedName>
    <definedName function="false" hidden="true" name="IQRCreditspreadBetaT23" vbProcedure="false">#REF!</definedName>
    <definedName function="false" hidden="true" name="IQRCreditspreadBetaTA23" vbProcedure="false">#REF!</definedName>
    <definedName function="false" hidden="true" name="IQRCreditspreadBetaTB23" vbProcedure="false">#REF!</definedName>
    <definedName function="false" hidden="true" name="IQRCreditspreadBetaTC23" vbProcedure="false">#REF!</definedName>
    <definedName function="false" hidden="true" name="IQRCreditspreadBetaTD23" vbProcedure="false">#REF!</definedName>
    <definedName function="false" hidden="true" name="IQRCreditspreadBetaTS23" vbProcedure="false">#REF!</definedName>
    <definedName function="false" hidden="true" name="IQRCreditspreadBetaTT23" vbProcedure="false">#REF!</definedName>
    <definedName function="false" hidden="true" name="IQRCreditspreadBetaTU23" vbProcedure="false">#REF!</definedName>
    <definedName function="false" hidden="true" name="IQRCreditspreadBetaTV23" vbProcedure="false">#REF!</definedName>
    <definedName function="false" hidden="true" name="IQRCreditspreadBetaTW23" vbProcedure="false">#REF!</definedName>
    <definedName function="false" hidden="true" name="IQRCreditspreadBetaTX23" vbProcedure="false">#REF!</definedName>
    <definedName function="false" hidden="true" name="IQRCreditspreadBetaTY23" vbProcedure="false">#REF!</definedName>
    <definedName function="false" hidden="true" name="IQRCreditspreadBetaTZ23" vbProcedure="false">#REF!</definedName>
    <definedName function="false" hidden="true" name="IQRCreditspreadBetaU23" vbProcedure="false">#REF!</definedName>
    <definedName function="false" hidden="true" name="IQRCreditspreadBetaUA23" vbProcedure="false">#REF!</definedName>
    <definedName function="false" hidden="true" name="IQRCreditspreadBetaUB23" vbProcedure="false">#REF!</definedName>
    <definedName function="false" hidden="true" name="IQRCreditspreadBetaUC23" vbProcedure="false">#REF!</definedName>
    <definedName function="false" hidden="true" name="IQRCreditspreadBetaUD23" vbProcedure="false">#REF!</definedName>
    <definedName function="false" hidden="true" name="IQRCreditspreadBetaUE23" vbProcedure="false">#REF!</definedName>
    <definedName function="false" hidden="true" name="IQRCreditspreadBetaUF23" vbProcedure="false">#REF!</definedName>
    <definedName function="false" hidden="true" name="IQRCreditspreadBetaUG23" vbProcedure="false">#REF!</definedName>
    <definedName function="false" hidden="true" name="IQRCreditspreadBetaUH23" vbProcedure="false">#REF!</definedName>
    <definedName function="false" hidden="true" name="IQRCreditspreadBetaUI23" vbProcedure="false">#REF!</definedName>
    <definedName function="false" hidden="true" name="IQRCreditspreadBetaUJ23" vbProcedure="false">#REF!</definedName>
    <definedName function="false" hidden="true" name="IQRCreditspreadBetaUK23" vbProcedure="false">#REF!</definedName>
    <definedName function="false" hidden="true" name="IQRCreditspreadBetaUL23" vbProcedure="false">#REF!</definedName>
    <definedName function="false" hidden="true" name="IQRCreditspreadBetaUM23" vbProcedure="false">#REF!</definedName>
    <definedName function="false" hidden="true" name="IQRCreditspreadBetaV23" vbProcedure="false">#REF!</definedName>
    <definedName function="false" hidden="true" name="IQRCreditspreadBetaVB23" vbProcedure="false">#REF!</definedName>
    <definedName function="false" hidden="true" name="IQRCreditspreadBetaVC23" vbProcedure="false">#REF!</definedName>
    <definedName function="false" hidden="true" name="IQRCreditspreadBetaVD23" vbProcedure="false">#REF!</definedName>
    <definedName function="false" hidden="true" name="IQRCreditspreadBetaVE23" vbProcedure="false">#REF!</definedName>
    <definedName function="false" hidden="true" name="IQRCreditspreadBetaVF23" vbProcedure="false">#REF!</definedName>
    <definedName function="false" hidden="true" name="IQRCreditspreadBetaVG23" vbProcedure="false">#REF!</definedName>
    <definedName function="false" hidden="true" name="IQRCreditspreadBetaVH23" vbProcedure="false">#REF!</definedName>
    <definedName function="false" hidden="true" name="IQRCreditspreadBetaVI23" vbProcedure="false">#REF!</definedName>
    <definedName function="false" hidden="true" name="IQRCreditspreadBetaVJ23" vbProcedure="false">#REF!</definedName>
    <definedName function="false" hidden="true" name="IQRCreditspreadBetaVK23" vbProcedure="false">#REF!</definedName>
    <definedName function="false" hidden="true" name="IQRCreditspreadBetaVL23" vbProcedure="false">#REF!</definedName>
    <definedName function="false" hidden="true" name="IQRCreditspreadBetaVM23" vbProcedure="false">#REF!</definedName>
    <definedName function="false" hidden="true" name="IQRCreditspreadBetaVN23" vbProcedure="false">#REF!</definedName>
    <definedName function="false" hidden="true" name="IQRCreditspreadBetaVO23" vbProcedure="false">#REF!</definedName>
    <definedName function="false" hidden="true" name="IQRCreditspreadBetaVP23" vbProcedure="false">#REF!</definedName>
    <definedName function="false" hidden="true" name="IQRCreditspreadBetaVQ23" vbProcedure="false">#REF!</definedName>
    <definedName function="false" hidden="true" name="IQRCreditspreadBetaVR23" vbProcedure="false">#REF!</definedName>
    <definedName function="false" hidden="true" name="IQRCreditspreadBetaVS23" vbProcedure="false">#REF!</definedName>
    <definedName function="false" hidden="true" name="IQRCreditspreadBetaVT23" vbProcedure="false">#REF!</definedName>
    <definedName function="false" hidden="true" name="IQRCreditspreadBetaVU23" vbProcedure="false">#REF!</definedName>
    <definedName function="false" hidden="true" name="IQRCreditspreadBetaVV23" vbProcedure="false">#REF!</definedName>
    <definedName function="false" hidden="true" name="IQRCreditspreadBetaW23" vbProcedure="false">#REF!</definedName>
    <definedName function="false" hidden="true" name="IQRCreditspreadBetaWK23" vbProcedure="false">#REF!</definedName>
    <definedName function="false" hidden="true" name="IQRCreditspreadBetaWL23" vbProcedure="false">#REF!</definedName>
    <definedName function="false" hidden="true" name="IQRCreditspreadBetaWM23" vbProcedure="false">#REF!</definedName>
    <definedName function="false" hidden="true" name="IQRCreditspreadBetaWN23" vbProcedure="false">#REF!</definedName>
    <definedName function="false" hidden="true" name="IQRCreditspreadBetaWO23" vbProcedure="false">#REF!</definedName>
    <definedName function="false" hidden="true" name="IQRCreditspreadBetaWP23" vbProcedure="false">#REF!</definedName>
    <definedName function="false" hidden="true" name="IQRCreditspreadBetaWQ23" vbProcedure="false">#REF!</definedName>
    <definedName function="false" hidden="true" name="IQRCreditspreadBetaWR23" vbProcedure="false">#REF!</definedName>
    <definedName function="false" hidden="true" name="IQRCreditspreadBetaWS23" vbProcedure="false">#REF!</definedName>
    <definedName function="false" hidden="true" name="IQRCreditspreadBetaWT23" vbProcedure="false">#REF!</definedName>
    <definedName function="false" hidden="true" name="IQRCreditspreadBetaWU23" vbProcedure="false">#REF!</definedName>
    <definedName function="false" hidden="true" name="IQRCreditspreadBetaWV23" vbProcedure="false">#REF!</definedName>
    <definedName function="false" hidden="true" name="IQRCreditspreadBetaWW23" vbProcedure="false">#REF!</definedName>
    <definedName function="false" hidden="true" name="IQRCreditspreadBetaWX23" vbProcedure="false">#REF!</definedName>
    <definedName function="false" hidden="true" name="IQRCreditspreadBetaWY23" vbProcedure="false">#REF!</definedName>
    <definedName function="false" hidden="true" name="IQRCreditspreadBetaWZ23" vbProcedure="false">#REF!</definedName>
    <definedName function="false" hidden="true" name="IQRCreditspreadBetaX23" vbProcedure="false">#REF!</definedName>
    <definedName function="false" hidden="true" name="IQRCreditspreadBetaXA23" vbProcedure="false">#REF!</definedName>
    <definedName function="false" hidden="true" name="IQRCreditspreadBetaXB23" vbProcedure="false">#REF!</definedName>
    <definedName function="false" hidden="true" name="IQRCreditspreadBetaXC23" vbProcedure="false">#REF!</definedName>
    <definedName function="false" hidden="true" name="IQRCreditspreadBetaXD23" vbProcedure="false">#REF!</definedName>
    <definedName function="false" hidden="true" name="IQRCreditspreadBetaXE23" vbProcedure="false">#REF!</definedName>
    <definedName function="false" hidden="true" name="IQRCreditspreadBetaXT23" vbProcedure="false">#REF!</definedName>
    <definedName function="false" hidden="true" name="IQRCreditspreadBetaXU23" vbProcedure="false">#REF!</definedName>
    <definedName function="false" hidden="true" name="IQRCreditspreadBetaXV23" vbProcedure="false">#REF!</definedName>
    <definedName function="false" hidden="true" name="IQRCreditspreadBetaXW23" vbProcedure="false">#REF!</definedName>
    <definedName function="false" hidden="true" name="IQRCreditspreadBetaXX23" vbProcedure="false">#REF!</definedName>
    <definedName function="false" hidden="true" name="IQRCreditspreadBetaXY23" vbProcedure="false">#REF!</definedName>
    <definedName function="false" hidden="true" name="IQRCreditspreadBetaXZ23" vbProcedure="false">#REF!</definedName>
    <definedName function="false" hidden="true" name="IQRCreditspreadBetaY23" vbProcedure="false">#REF!</definedName>
    <definedName function="false" hidden="true" name="IQRCreditspreadBetaYA23" vbProcedure="false">#REF!</definedName>
    <definedName function="false" hidden="true" name="IQRCreditspreadBetaYB23" vbProcedure="false">#REF!</definedName>
    <definedName function="false" hidden="true" name="IQRCreditspreadBetaYC23" vbProcedure="false">#REF!</definedName>
    <definedName function="false" hidden="true" name="IQRCreditspreadBetaYD23" vbProcedure="false">#REF!</definedName>
    <definedName function="false" hidden="true" name="IQRCreditspreadBetaYE23" vbProcedure="false">#REF!</definedName>
    <definedName function="false" hidden="true" name="IQRCreditspreadBetaYF23" vbProcedure="false">#REF!</definedName>
    <definedName function="false" hidden="true" name="IQRCreditspreadBetaYG23" vbProcedure="false">#REF!</definedName>
    <definedName function="false" hidden="true" name="IQRCreditspreadBetaYH23" vbProcedure="false">#REF!</definedName>
    <definedName function="false" hidden="true" name="IQRCreditspreadBetaYI23" vbProcedure="false">#REF!</definedName>
    <definedName function="false" hidden="true" name="IQRCreditspreadBetaYJ23" vbProcedure="false">#REF!</definedName>
    <definedName function="false" hidden="true" name="IQRCreditspreadBetaYK23" vbProcedure="false">#REF!</definedName>
    <definedName function="false" hidden="true" name="IQRCreditspreadBetaYL23" vbProcedure="false">#REF!</definedName>
    <definedName function="false" hidden="true" name="IQRCreditspreadBetaYM23" vbProcedure="false">#REF!</definedName>
    <definedName function="false" hidden="true" name="IQRCreditspreadBetaYN23" vbProcedure="false">#REF!</definedName>
    <definedName function="false" hidden="true" name="IQRCreditspreadBetaZ23" vbProcedure="false">#REF!</definedName>
    <definedName function="false" hidden="true" name="IQRCreditspreadBetaZC23" vbProcedure="false">#REF!</definedName>
    <definedName function="false" hidden="true" name="IQRCreditspreadBetaZD23" vbProcedure="false">#REF!</definedName>
    <definedName function="false" hidden="true" name="IQRCreditspreadBetaZE23" vbProcedure="false">#REF!</definedName>
    <definedName function="false" hidden="true" name="IQRCreditspreadBetaZF23" vbProcedure="false">#REF!</definedName>
    <definedName function="false" hidden="true" name="IQRCreditspreadBetaZG23" vbProcedure="false">#REF!</definedName>
    <definedName function="false" hidden="true" name="IQRCreditspreadBetaZH23" vbProcedure="false">#REF!</definedName>
    <definedName function="false" hidden="true" name="IQRCreditspreadBetaZI23" vbProcedure="false">#REF!</definedName>
    <definedName function="false" hidden="true" name="IQRCreditspreadBetaZJ23" vbProcedure="false">#REF!</definedName>
    <definedName function="false" hidden="true" name="IQRCreditspreadBetaZK23" vbProcedure="false">#REF!</definedName>
    <definedName function="false" hidden="true" name="IQRCreditspreadBetaZL23" vbProcedure="false">#REF!</definedName>
    <definedName function="false" hidden="true" name="IQRCreditspreadBetaZM23" vbProcedure="false">#REF!</definedName>
    <definedName function="false" hidden="true" name="IQRCreditspreadBetaZN23" vbProcedure="false">#REF!</definedName>
    <definedName function="false" hidden="true" name="IQRCreditspreadBetaZO23" vbProcedure="false">#REF!</definedName>
    <definedName function="false" hidden="true" name="IQRCreditspreadBetaZP23" vbProcedure="false">#REF!</definedName>
    <definedName function="false" hidden="true" name="IQRCreditspreadBetaZQ23" vbProcedure="false">#REF!</definedName>
    <definedName function="false" hidden="true" name="IQRCreditspreadBetaZR23" vbProcedure="false">#REF!</definedName>
    <definedName function="false" hidden="true" name="IQRCreditspreadBetaZS23" vbProcedure="false">#REF!</definedName>
    <definedName function="false" hidden="true" name="IQRCreditspreadBetaZT23" vbProcedure="false">#REF!</definedName>
    <definedName function="false" hidden="true" name="IQRCreditspreadBetaZU23" vbProcedure="false">#REF!</definedName>
    <definedName function="false" hidden="true" name="IQRCreditspreadBetaZV23" vbProcedure="false">#REF!</definedName>
    <definedName function="false" hidden="true" name="IQRCreditspreadBetaZW23" vbProcedure="false">#REF!</definedName>
    <definedName function="false" hidden="true" name="IQRCreditspreadBF23" vbProcedure="false">#REF!</definedName>
    <definedName function="false" hidden="true" name="IQRCreditspreadBG23" vbProcedure="false">#REF!</definedName>
    <definedName function="false" hidden="true" name="IQRCreditspreadBH23" vbProcedure="false">#REF!</definedName>
    <definedName function="false" hidden="true" name="IQRCreditspreadBI23" vbProcedure="false">#REF!</definedName>
    <definedName function="false" hidden="true" name="IQRCreditspreadBJ23" vbProcedure="false">#REF!</definedName>
    <definedName function="false" hidden="true" name="IQRCreditspreadBK23" vbProcedure="false">#REF!</definedName>
    <definedName function="false" hidden="true" name="IQRCreditspreadBL23" vbProcedure="false">#REF!</definedName>
    <definedName function="false" hidden="true" name="IQRCreditspreadBM23" vbProcedure="false">#REF!</definedName>
    <definedName function="false" hidden="true" name="IQRCreditspreadBN23" vbProcedure="false">#REF!</definedName>
    <definedName function="false" hidden="true" name="IQRCreditspreadBO23" vbProcedure="false">#REF!</definedName>
    <definedName function="false" hidden="true" name="IQRCreditspreadBP23" vbProcedure="false">#REF!</definedName>
    <definedName function="false" hidden="true" name="IQRCreditspreadCF23" vbProcedure="false">#REF!</definedName>
    <definedName function="false" hidden="true" name="IQRCreditspreadCG23" vbProcedure="false">#REF!</definedName>
    <definedName function="false" hidden="true" name="IQRCreditspreadCH23" vbProcedure="false">#REF!</definedName>
    <definedName function="false" hidden="true" name="IQRCreditspreadCI23" vbProcedure="false">#REF!</definedName>
    <definedName function="false" hidden="true" name="IQRCreditspreadCJ23" vbProcedure="false">#REF!</definedName>
    <definedName function="false" hidden="true" name="IQRCreditspreadCK23" vbProcedure="false">#REF!</definedName>
    <definedName function="false" hidden="true" name="IQRCreditspreadCL23" vbProcedure="false">#REF!</definedName>
    <definedName function="false" hidden="true" name="IQRCreditspreadCM23" vbProcedure="false">#REF!</definedName>
    <definedName function="false" hidden="true" name="IQRCreditspreadCN23" vbProcedure="false">#REF!</definedName>
    <definedName function="false" hidden="true" name="IQRCreditspreadCO23" vbProcedure="false">#REF!</definedName>
    <definedName function="false" hidden="true" name="IQRCreditspreadCP23" vbProcedure="false">#REF!</definedName>
    <definedName function="false" hidden="true" name="IQRCreditspreadCQ23" vbProcedure="false">#REF!</definedName>
    <definedName function="false" hidden="true" name="IQRCreditspreadCR23" vbProcedure="false">#REF!</definedName>
    <definedName function="false" hidden="true" name="IQRCreditspreadCS23" vbProcedure="false">#REF!</definedName>
    <definedName function="false" hidden="true" name="IQRCreditspreadCT23" vbProcedure="false">#REF!</definedName>
    <definedName function="false" hidden="true" name="IQRCreditspreadCU23" vbProcedure="false">#REF!</definedName>
    <definedName function="false" hidden="true" name="IQRCreditspreadCV23" vbProcedure="false">#REF!</definedName>
    <definedName function="false" hidden="true" name="IQRCreditspreadCW23" vbProcedure="false">#REF!</definedName>
    <definedName function="false" hidden="true" name="IQRCreditspreadCX23" vbProcedure="false">#REF!</definedName>
    <definedName function="false" hidden="true" name="IQRCreditspreadCY23" vbProcedure="false">#REF!</definedName>
    <definedName function="false" hidden="true" name="IQRCreditspreadDO23" vbProcedure="false">#REF!</definedName>
    <definedName function="false" hidden="true" name="IQRCreditspreadDP23" vbProcedure="false">#REF!</definedName>
    <definedName function="false" hidden="true" name="IQRCreditspreadDQ23" vbProcedure="false">#REF!</definedName>
    <definedName function="false" hidden="true" name="IQRCreditspreadDR23" vbProcedure="false">#REF!</definedName>
    <definedName function="false" hidden="true" name="IQRCreditspreadDS23" vbProcedure="false">#REF!</definedName>
    <definedName function="false" hidden="true" name="IQRCreditspreadDT23" vbProcedure="false">#REF!</definedName>
    <definedName function="false" hidden="true" name="IQRCreditspreadDU23" vbProcedure="false">#REF!</definedName>
    <definedName function="false" hidden="true" name="IQRCreditspreadDV23" vbProcedure="false">#REF!</definedName>
    <definedName function="false" hidden="true" name="IQRCreditspreadDW23" vbProcedure="false">#REF!</definedName>
    <definedName function="false" hidden="true" name="IQRCreditspreadDX23" vbProcedure="false">#REF!</definedName>
    <definedName function="false" hidden="true" name="IQRCreditspreadDY23" vbProcedure="false">#REF!</definedName>
    <definedName function="false" hidden="true" name="IQRCreditspreadDZ23" vbProcedure="false">#REF!</definedName>
    <definedName function="false" hidden="true" name="IQRCreditspreadEA23" vbProcedure="false">#REF!</definedName>
    <definedName function="false" hidden="true" name="IQRCreditspreadEB23" vbProcedure="false">#REF!</definedName>
    <definedName function="false" hidden="true" name="IQRCreditspreadEC23" vbProcedure="false">#REF!</definedName>
    <definedName function="false" hidden="true" name="IQRCreditspreadED23" vbProcedure="false">#REF!</definedName>
    <definedName function="false" hidden="true" name="IQRCreditspreadEE23" vbProcedure="false">#REF!</definedName>
    <definedName function="false" hidden="true" name="IQRCreditspreadEF23" vbProcedure="false">#REF!</definedName>
    <definedName function="false" hidden="true" name="IQRCreditspreadEG23" vbProcedure="false">#REF!</definedName>
    <definedName function="false" hidden="true" name="IQRCreditspreadEH23" vbProcedure="false">#REF!</definedName>
    <definedName function="false" hidden="true" name="IQRCreditspreadEX23" vbProcedure="false">#REF!</definedName>
    <definedName function="false" hidden="true" name="IQRCreditspreadEY23" vbProcedure="false">#REF!</definedName>
    <definedName function="false" hidden="true" name="IQRCreditspreadEZ23" vbProcedure="false">#REF!</definedName>
    <definedName function="false" hidden="true" name="IQRCreditspreadFA23" vbProcedure="false">#REF!</definedName>
    <definedName function="false" hidden="true" name="IQRCreditspreadFB23" vbProcedure="false">#REF!</definedName>
    <definedName function="false" hidden="true" name="IQRCreditspreadFC23" vbProcedure="false">#REF!</definedName>
    <definedName function="false" hidden="true" name="IQRCreditspreadFD23" vbProcedure="false">#REF!</definedName>
    <definedName function="false" hidden="true" name="IQRCreditspreadFE23" vbProcedure="false">#REF!</definedName>
    <definedName function="false" hidden="true" name="IQRCreditspreadFF23" vbProcedure="false">#REF!</definedName>
    <definedName function="false" hidden="true" name="IQRCreditspreadFG23" vbProcedure="false">#REF!</definedName>
    <definedName function="false" hidden="true" name="IQRCreditspreadFH23" vbProcedure="false">#REF!</definedName>
    <definedName function="false" hidden="true" name="IQRCreditspreadFI23" vbProcedure="false">#REF!</definedName>
    <definedName function="false" hidden="true" name="IQRCreditspreadFJ23" vbProcedure="false">#REF!</definedName>
    <definedName function="false" hidden="true" name="IQRCreditspreadFK23" vbProcedure="false">#REF!</definedName>
    <definedName function="false" hidden="true" name="IQRCreditspreadFL23" vbProcedure="false">#REF!</definedName>
    <definedName function="false" hidden="true" name="IQRCreditspreadFM23" vbProcedure="false">#REF!</definedName>
    <definedName function="false" hidden="true" name="IQRCreditspreadFN23" vbProcedure="false">#REF!</definedName>
    <definedName function="false" hidden="true" name="IQRCreditspreadFO23" vbProcedure="false">#REF!</definedName>
    <definedName function="false" hidden="true" name="IQRCreditspreadFP23" vbProcedure="false">#REF!</definedName>
    <definedName function="false" hidden="true" name="IQRCreditspreadFQ23" vbProcedure="false">#REF!</definedName>
    <definedName function="false" hidden="true" name="IQRCreditspreadGG23" vbProcedure="false">#REF!</definedName>
    <definedName function="false" hidden="true" name="IQRCreditspreadGH23" vbProcedure="false">#REF!</definedName>
    <definedName function="false" hidden="true" name="IQRCreditspreadGI23" vbProcedure="false">#REF!</definedName>
    <definedName function="false" hidden="true" name="IQRCreditspreadGJ23" vbProcedure="false">#REF!</definedName>
    <definedName function="false" hidden="true" name="IQRCreditspreadGK23" vbProcedure="false">#REF!</definedName>
    <definedName function="false" hidden="true" name="IQRCreditspreadGL23" vbProcedure="false">#REF!</definedName>
    <definedName function="false" hidden="true" name="IQRCreditspreadGM23" vbProcedure="false">#REF!</definedName>
    <definedName function="false" hidden="true" name="IQRCreditspreadGN23" vbProcedure="false">#REF!</definedName>
    <definedName function="false" hidden="true" name="IQRCreditspreadGO23" vbProcedure="false">#REF!</definedName>
    <definedName function="false" hidden="true" name="IQRCreditspreadGP23" vbProcedure="false">#REF!</definedName>
    <definedName function="false" hidden="true" name="IQRCreditspreadGQ23" vbProcedure="false">#REF!</definedName>
    <definedName function="false" hidden="true" name="IQRCreditspreadGR23" vbProcedure="false">#REF!</definedName>
    <definedName function="false" hidden="true" name="IQRCreditspreadGS23" vbProcedure="false">#REF!</definedName>
    <definedName function="false" hidden="true" name="IQRCreditspreadGT23" vbProcedure="false">#REF!</definedName>
    <definedName function="false" hidden="true" name="IQRCreditspreadGU23" vbProcedure="false">#REF!</definedName>
    <definedName function="false" hidden="true" name="IQRCreditspreadGV23" vbProcedure="false">#REF!</definedName>
    <definedName function="false" hidden="true" name="IQRCreditspreadGW23" vbProcedure="false">#REF!</definedName>
    <definedName function="false" hidden="true" name="IQRCreditspreadGX23" vbProcedure="false">#REF!</definedName>
    <definedName function="false" hidden="true" name="IQRCreditspreadGY23" vbProcedure="false">#REF!</definedName>
    <definedName function="false" hidden="true" name="IQRCreditspreadGZ23" vbProcedure="false">#REF!</definedName>
    <definedName function="false" hidden="true" name="IQRCreditspreadHP23" vbProcedure="false">#REF!</definedName>
    <definedName function="false" hidden="true" name="IQRCreditspreadHQ23" vbProcedure="false">#REF!</definedName>
    <definedName function="false" hidden="true" name="IQRCreditspreadHR23" vbProcedure="false">#REF!</definedName>
    <definedName function="false" hidden="true" name="IQRCreditspreadHS23" vbProcedure="false">#REF!</definedName>
    <definedName function="false" hidden="true" name="IQRCreditspreadHT23" vbProcedure="false">#REF!</definedName>
    <definedName function="false" hidden="true" name="IQRCreditspreadHU23" vbProcedure="false">#REF!</definedName>
    <definedName function="false" hidden="true" name="IQRCreditspreadHV23" vbProcedure="false">#REF!</definedName>
    <definedName function="false" hidden="true" name="IQRCreditspreadHW23" vbProcedure="false">#REF!</definedName>
    <definedName function="false" hidden="true" name="IQRCreditspreadHX23" vbProcedure="false">#REF!</definedName>
    <definedName function="false" hidden="true" name="IQRCreditspreadHY23" vbProcedure="false">#REF!</definedName>
    <definedName function="false" hidden="true" name="IQRCreditspreadHZ23" vbProcedure="false">#REF!</definedName>
    <definedName function="false" hidden="true" name="IQRCreditspreadIA23" vbProcedure="false">#REF!</definedName>
    <definedName function="false" hidden="true" name="IQRCreditspreadIB23" vbProcedure="false">#REF!</definedName>
    <definedName function="false" hidden="true" name="IQRCreditspreadIC23" vbProcedure="false">#REF!</definedName>
    <definedName function="false" hidden="true" name="IQRCreditspreadID23" vbProcedure="false">#REF!</definedName>
    <definedName function="false" hidden="true" name="IQRCreditspreadIE23" vbProcedure="false">#REF!</definedName>
    <definedName function="false" hidden="true" name="IQRCreditspreadIF23" vbProcedure="false">#REF!</definedName>
    <definedName function="false" hidden="true" name="IQRCreditspreadIG23" vbProcedure="false">#REF!</definedName>
    <definedName function="false" hidden="true" name="IQRCreditspreadIH23" vbProcedure="false">#REF!</definedName>
    <definedName function="false" hidden="true" name="IQRCreditspreadII23" vbProcedure="false">#REF!</definedName>
    <definedName function="false" hidden="true" name="IQRCreditspreadIY23" vbProcedure="false">#REF!</definedName>
    <definedName function="false" hidden="true" name="IQRCreditspreadIZ23" vbProcedure="false">#REF!</definedName>
    <definedName function="false" hidden="true" name="IQRCreditspreadJA23" vbProcedure="false">#REF!</definedName>
    <definedName function="false" hidden="true" name="IQRCreditspreadJB23" vbProcedure="false">#REF!</definedName>
    <definedName function="false" hidden="true" name="IQRCreditspreadJC23" vbProcedure="false">#REF!</definedName>
    <definedName function="false" hidden="true" name="IQRCreditspreadJD23" vbProcedure="false">#REF!</definedName>
    <definedName function="false" hidden="true" name="IQRCreditspreadJE23" vbProcedure="false">#REF!</definedName>
    <definedName function="false" hidden="true" name="IQRCreditspreadJF23" vbProcedure="false">#REF!</definedName>
    <definedName function="false" hidden="true" name="IQRCreditspreadJG23" vbProcedure="false">#REF!</definedName>
    <definedName function="false" hidden="true" name="IQRCreditspreadJH23" vbProcedure="false">#REF!</definedName>
    <definedName function="false" hidden="true" name="IQRCreditspreadJI23" vbProcedure="false">#REF!</definedName>
    <definedName function="false" hidden="true" name="IQRCreditspreadJJ23" vbProcedure="false">#REF!</definedName>
    <definedName function="false" hidden="true" name="IQRCreditspreadJK23" vbProcedure="false">#REF!</definedName>
    <definedName function="false" hidden="true" name="IQRCreditspreadJL23" vbProcedure="false">#REF!</definedName>
    <definedName function="false" hidden="true" name="IQRCreditspreadJM23" vbProcedure="false">#REF!</definedName>
    <definedName function="false" hidden="true" name="IQRCreditspreadJN23" vbProcedure="false">#REF!</definedName>
    <definedName function="false" hidden="true" name="IQRCreditspreadJO23" vbProcedure="false">#REF!</definedName>
    <definedName function="false" hidden="true" name="IQRCreditspreadJP23" vbProcedure="false">#REF!</definedName>
    <definedName function="false" hidden="true" name="IQRCreditspreadJQ23" vbProcedure="false">#REF!</definedName>
    <definedName function="false" hidden="true" name="IQRCreditspreadJR23" vbProcedure="false">#REF!</definedName>
    <definedName function="false" hidden="true" name="IQRCreditspreadKH23" vbProcedure="false">#REF!</definedName>
    <definedName function="false" hidden="true" name="IQRCreditspreadKI23" vbProcedure="false">#REF!</definedName>
    <definedName function="false" hidden="true" name="IQRCreditspreadKJ23" vbProcedure="false">#REF!</definedName>
    <definedName function="false" hidden="true" name="IQRCreditspreadKK23" vbProcedure="false">#REF!</definedName>
    <definedName function="false" hidden="true" name="IQRCreditspreadKL23" vbProcedure="false">#REF!</definedName>
    <definedName function="false" hidden="true" name="IQRCreditspreadKM23" vbProcedure="false">#REF!</definedName>
    <definedName function="false" hidden="true" name="IQRCreditspreadKN23" vbProcedure="false">#REF!</definedName>
    <definedName function="false" hidden="true" name="IQRCreditspreadKO23" vbProcedure="false">#REF!</definedName>
    <definedName function="false" hidden="true" name="IQRCreditspreadKP23" vbProcedure="false">#REF!</definedName>
    <definedName function="false" hidden="true" name="IQRCreditspreadKQ23" vbProcedure="false">#REF!</definedName>
    <definedName function="false" hidden="true" name="IQRCreditspreadKR23" vbProcedure="false">#REF!</definedName>
    <definedName function="false" hidden="true" name="IQRCreditspreadKS23" vbProcedure="false">#REF!</definedName>
    <definedName function="false" hidden="true" name="IQRCreditspreadKT23" vbProcedure="false">#REF!</definedName>
    <definedName function="false" hidden="true" name="IQRCreditspreadKU23" vbProcedure="false">#REF!</definedName>
    <definedName function="false" hidden="true" name="IQRCreditspreadKV23" vbProcedure="false">#REF!</definedName>
    <definedName function="false" hidden="true" name="IQRCreditspreadKW23" vbProcedure="false">#REF!</definedName>
    <definedName function="false" hidden="true" name="IQRCreditspreadKX23" vbProcedure="false">#REF!</definedName>
    <definedName function="false" hidden="true" name="IQRCreditspreadKY23" vbProcedure="false">#REF!</definedName>
    <definedName function="false" hidden="true" name="IQRCreditspreadKZ23" vbProcedure="false">#REF!</definedName>
    <definedName function="false" hidden="true" name="IQRCreditspreadLA23" vbProcedure="false">#REF!</definedName>
    <definedName function="false" hidden="true" name="IQRCreditspreadLQ23" vbProcedure="false">#REF!</definedName>
    <definedName function="false" hidden="true" name="IQRCreditspreadLR23" vbProcedure="false">#REF!</definedName>
    <definedName function="false" hidden="true" name="IQRCreditspreadLS23" vbProcedure="false">#REF!</definedName>
    <definedName function="false" hidden="true" name="IQRCreditspreadLT23" vbProcedure="false">#REF!</definedName>
    <definedName function="false" hidden="true" name="IQRCreditspreadLU23" vbProcedure="false">#REF!</definedName>
    <definedName function="false" hidden="true" name="IQRCreditspreadLV23" vbProcedure="false">#REF!</definedName>
    <definedName function="false" hidden="true" name="IQRCreditspreadLW23" vbProcedure="false">#REF!</definedName>
    <definedName function="false" hidden="true" name="IQRCreditspreadLX23" vbProcedure="false">#REF!</definedName>
    <definedName function="false" hidden="true" name="IQRCreditspreadLY23" vbProcedure="false">#REF!</definedName>
    <definedName function="false" hidden="true" name="IQRCreditspreadLZ23" vbProcedure="false">#REF!</definedName>
    <definedName function="false" hidden="true" name="IQRCreditspreadMA23" vbProcedure="false">#REF!</definedName>
    <definedName function="false" hidden="true" name="IQRCreditspreadMB23" vbProcedure="false">#REF!</definedName>
    <definedName function="false" hidden="true" name="IQRCreditspreadMC23" vbProcedure="false">#REF!</definedName>
    <definedName function="false" hidden="true" name="IQRCreditspreadMD23" vbProcedure="false">#REF!</definedName>
    <definedName function="false" hidden="true" name="IQRCreditspreadME23" vbProcedure="false">#REF!</definedName>
    <definedName function="false" hidden="true" name="IQRCreditspreadMF23" vbProcedure="false">#REF!</definedName>
    <definedName function="false" hidden="true" name="IQRCreditspreadMG23" vbProcedure="false">#REF!</definedName>
    <definedName function="false" hidden="true" name="IQRCreditspreadMH23" vbProcedure="false">#REF!</definedName>
    <definedName function="false" hidden="true" name="IQRCreditspreadMI23" vbProcedure="false">#REF!</definedName>
    <definedName function="false" hidden="true" name="IQRCreditspreadMJ23" vbProcedure="false">#REF!</definedName>
    <definedName function="false" hidden="true" name="IQRCreditspreadMZ23" vbProcedure="false">#REF!</definedName>
    <definedName function="false" hidden="true" name="IQRCreditspreadN23" vbProcedure="false">#REF!</definedName>
    <definedName function="false" hidden="true" name="IQRCreditspreadNA23" vbProcedure="false">#REF!</definedName>
    <definedName function="false" hidden="true" name="IQRCreditspreadNB23" vbProcedure="false">#REF!</definedName>
    <definedName function="false" hidden="true" name="IQRCreditspreadNC23" vbProcedure="false">#REF!</definedName>
    <definedName function="false" hidden="true" name="IQRCreditspreadND23" vbProcedure="false">#REF!</definedName>
    <definedName function="false" hidden="true" name="IQRCreditspreadNE23" vbProcedure="false">#REF!</definedName>
    <definedName function="false" hidden="true" name="IQRCreditspreadNF23" vbProcedure="false">#REF!</definedName>
    <definedName function="false" hidden="true" name="IQRCreditspreadNG23" vbProcedure="false">#REF!</definedName>
    <definedName function="false" hidden="true" name="IQRCreditspreadNH23" vbProcedure="false">#REF!</definedName>
    <definedName function="false" hidden="true" name="IQRCreditspreadNI23" vbProcedure="false">#REF!</definedName>
    <definedName function="false" hidden="true" name="IQRCreditspreadNJ23" vbProcedure="false">#REF!</definedName>
    <definedName function="false" hidden="true" name="IQRCreditspreadNK23" vbProcedure="false">#REF!</definedName>
    <definedName function="false" hidden="true" name="IQRCreditspreadNL23" vbProcedure="false">#REF!</definedName>
    <definedName function="false" hidden="true" name="IQRCreditspreadNM23" vbProcedure="false">#REF!</definedName>
    <definedName function="false" hidden="true" name="IQRCreditspreadNN23" vbProcedure="false">#REF!</definedName>
    <definedName function="false" hidden="true" name="IQRCreditspreadNO23" vbProcedure="false">#REF!</definedName>
    <definedName function="false" hidden="true" name="IQRCreditspreadNP23" vbProcedure="false">#REF!</definedName>
    <definedName function="false" hidden="true" name="IQRCreditspreadNQ23" vbProcedure="false">#REF!</definedName>
    <definedName function="false" hidden="true" name="IQRCreditspreadNR23" vbProcedure="false">#REF!</definedName>
    <definedName function="false" hidden="true" name="IQRCreditspreadNS23" vbProcedure="false">#REF!</definedName>
    <definedName function="false" hidden="true" name="IQRCreditspreadO23" vbProcedure="false">#REF!</definedName>
    <definedName function="false" hidden="true" name="IQRCreditspreadOI23" vbProcedure="false">#REF!</definedName>
    <definedName function="false" hidden="true" name="IQRCreditspreadOJ23" vbProcedure="false">#REF!</definedName>
    <definedName function="false" hidden="true" name="IQRCreditspreadOK23" vbProcedure="false">#REF!</definedName>
    <definedName function="false" hidden="true" name="IQRCreditspreadOL23" vbProcedure="false">#REF!</definedName>
    <definedName function="false" hidden="true" name="IQRCreditspreadOM23" vbProcedure="false">#REF!</definedName>
    <definedName function="false" hidden="true" name="IQRCreditspreadON23" vbProcedure="false">#REF!</definedName>
    <definedName function="false" hidden="true" name="IQRCreditspreadOO23" vbProcedure="false">#REF!</definedName>
    <definedName function="false" hidden="true" name="IQRCreditspreadOP23" vbProcedure="false">#REF!</definedName>
    <definedName function="false" hidden="true" name="IQRCreditspreadOQ23" vbProcedure="false">#REF!</definedName>
    <definedName function="false" hidden="true" name="IQRCreditspreadOR23" vbProcedure="false">#REF!</definedName>
    <definedName function="false" hidden="true" name="IQRCreditspreadOS23" vbProcedure="false">#REF!</definedName>
    <definedName function="false" hidden="true" name="IQRCreditspreadOT23" vbProcedure="false">#REF!</definedName>
    <definedName function="false" hidden="true" name="IQRCreditspreadOU23" vbProcedure="false">#REF!</definedName>
    <definedName function="false" hidden="true" name="IQRCreditspreadOV23" vbProcedure="false">#REF!</definedName>
    <definedName function="false" hidden="true" name="IQRCreditspreadOW23" vbProcedure="false">#REF!</definedName>
    <definedName function="false" hidden="true" name="IQRCreditspreadOX23" vbProcedure="false">#REF!</definedName>
    <definedName function="false" hidden="true" name="IQRCreditspreadOY23" vbProcedure="false">#REF!</definedName>
    <definedName function="false" hidden="true" name="IQRCreditspreadOZ23" vbProcedure="false">#REF!</definedName>
    <definedName function="false" hidden="true" name="IQRCreditspreadP23" vbProcedure="false">#REF!</definedName>
    <definedName function="false" hidden="true" name="IQRCreditspreadPA23" vbProcedure="false">#REF!</definedName>
    <definedName function="false" hidden="true" name="IQRCreditspreadPB23" vbProcedure="false">#REF!</definedName>
    <definedName function="false" hidden="true" name="IQRCreditspreadPR23" vbProcedure="false">#REF!</definedName>
    <definedName function="false" hidden="true" name="IQRCreditspreadPS23" vbProcedure="false">#REF!</definedName>
    <definedName function="false" hidden="true" name="IQRCreditspreadPT23" vbProcedure="false">#REF!</definedName>
    <definedName function="false" hidden="true" name="IQRCreditspreadPU23" vbProcedure="false">#REF!</definedName>
    <definedName function="false" hidden="true" name="IQRCreditspreadPV23" vbProcedure="false">#REF!</definedName>
    <definedName function="false" hidden="true" name="IQRCreditspreadPW23" vbProcedure="false">#REF!</definedName>
    <definedName function="false" hidden="true" name="IQRCreditspreadPX23" vbProcedure="false">#REF!</definedName>
    <definedName function="false" hidden="true" name="IQRCreditspreadPY23" vbProcedure="false">#REF!</definedName>
    <definedName function="false" hidden="true" name="IQRCreditspreadPZ23" vbProcedure="false">#REF!</definedName>
    <definedName function="false" hidden="true" name="IQRCreditspreadQ23" vbProcedure="false">#REF!</definedName>
    <definedName function="false" hidden="true" name="IQRCreditspreadQA23" vbProcedure="false">#REF!</definedName>
    <definedName function="false" hidden="true" name="IQRCreditspreadQB23" vbProcedure="false">#REF!</definedName>
    <definedName function="false" hidden="true" name="IQRCreditspreadQC23" vbProcedure="false">#REF!</definedName>
    <definedName function="false" hidden="true" name="IQRCreditspreadQD23" vbProcedure="false">#REF!</definedName>
    <definedName function="false" hidden="true" name="IQRCreditspreadQE23" vbProcedure="false">#REF!</definedName>
    <definedName function="false" hidden="true" name="IQRCreditspreadQF23" vbProcedure="false">#REF!</definedName>
    <definedName function="false" hidden="true" name="IQRCreditspreadQG23" vbProcedure="false">#REF!</definedName>
    <definedName function="false" hidden="true" name="IQRCreditspreadQH23" vbProcedure="false">#REF!</definedName>
    <definedName function="false" hidden="true" name="IQRCreditspreadQI23" vbProcedure="false">#REF!</definedName>
    <definedName function="false" hidden="true" name="IQRCreditspreadQJ23" vbProcedure="false">#REF!</definedName>
    <definedName function="false" hidden="true" name="IQRCreditspreadQK23" vbProcedure="false">#REF!</definedName>
    <definedName function="false" hidden="true" name="IQRCreditspreadR23" vbProcedure="false">#REF!</definedName>
    <definedName function="false" hidden="true" name="IQRCreditspreadRA23" vbProcedure="false">#REF!</definedName>
    <definedName function="false" hidden="true" name="IQRCreditspreadRB23" vbProcedure="false">#REF!</definedName>
    <definedName function="false" hidden="true" name="IQRCreditspreadRC23" vbProcedure="false">#REF!</definedName>
    <definedName function="false" hidden="true" name="IQRCreditspreadRD23" vbProcedure="false">#REF!</definedName>
    <definedName function="false" hidden="true" name="IQRCreditspreadRE23" vbProcedure="false">#REF!</definedName>
    <definedName function="false" hidden="true" name="IQRCreditspreadRF23" vbProcedure="false">#REF!</definedName>
    <definedName function="false" hidden="true" name="IQRCreditspreadRG23" vbProcedure="false">#REF!</definedName>
    <definedName function="false" hidden="true" name="IQRCreditspreadRH23" vbProcedure="false">#REF!</definedName>
    <definedName function="false" hidden="true" name="IQRCreditspreadRI23" vbProcedure="false">#REF!</definedName>
    <definedName function="false" hidden="true" name="IQRCreditspreadRJ23" vbProcedure="false">#REF!</definedName>
    <definedName function="false" hidden="true" name="IQRCreditspreadRK23" vbProcedure="false">#REF!</definedName>
    <definedName function="false" hidden="true" name="IQRCreditspreadRL23" vbProcedure="false">#REF!</definedName>
    <definedName function="false" hidden="true" name="IQRCreditspreadRM23" vbProcedure="false">#REF!</definedName>
    <definedName function="false" hidden="true" name="IQRCreditspreadRN23" vbProcedure="false">#REF!</definedName>
    <definedName function="false" hidden="true" name="IQRCreditspreadRO23" vbProcedure="false">#REF!</definedName>
    <definedName function="false" hidden="true" name="IQRCreditspreadRP23" vbProcedure="false">#REF!</definedName>
    <definedName function="false" hidden="true" name="IQRCreditspreadRQ23" vbProcedure="false">#REF!</definedName>
    <definedName function="false" hidden="true" name="IQRCreditspreadRR23" vbProcedure="false">#REF!</definedName>
    <definedName function="false" hidden="true" name="IQRCreditspreadRS23" vbProcedure="false">#REF!</definedName>
    <definedName function="false" hidden="true" name="IQRCreditspreadRT23" vbProcedure="false">#REF!</definedName>
    <definedName function="false" hidden="true" name="IQRCreditspreadS23" vbProcedure="false">#REF!</definedName>
    <definedName function="false" hidden="true" name="IQRCreditspreadSJ23" vbProcedure="false">#REF!</definedName>
    <definedName function="false" hidden="true" name="IQRCreditspreadSK23" vbProcedure="false">#REF!</definedName>
    <definedName function="false" hidden="true" name="IQRCreditspreadSL23" vbProcedure="false">#REF!</definedName>
    <definedName function="false" hidden="true" name="IQRCreditspreadSM23" vbProcedure="false">#REF!</definedName>
    <definedName function="false" hidden="true" name="IQRCreditspreadSN23" vbProcedure="false">#REF!</definedName>
    <definedName function="false" hidden="true" name="IQRCreditspreadSO23" vbProcedure="false">#REF!</definedName>
    <definedName function="false" hidden="true" name="IQRCreditspreadSP23" vbProcedure="false">#REF!</definedName>
    <definedName function="false" hidden="true" name="IQRCreditspreadSQ23" vbProcedure="false">#REF!</definedName>
    <definedName function="false" hidden="true" name="IQRCreditspreadSR23" vbProcedure="false">#REF!</definedName>
    <definedName function="false" hidden="true" name="IQRCreditspreadSS23" vbProcedure="false">#REF!</definedName>
    <definedName function="false" hidden="true" name="IQRCreditspreadST23" vbProcedure="false">#REF!</definedName>
    <definedName function="false" hidden="true" name="IQRCreditspreadSU23" vbProcedure="false">#REF!</definedName>
    <definedName function="false" hidden="true" name="IQRCreditspreadSV23" vbProcedure="false">#REF!</definedName>
    <definedName function="false" hidden="true" name="IQRCreditspreadSW23" vbProcedure="false">#REF!</definedName>
    <definedName function="false" hidden="true" name="IQRCreditspreadSX23" vbProcedure="false">#REF!</definedName>
    <definedName function="false" hidden="true" name="IQRCreditspreadSY23" vbProcedure="false">#REF!</definedName>
    <definedName function="false" hidden="true" name="IQRCreditspreadSZ23" vbProcedure="false">#REF!</definedName>
    <definedName function="false" hidden="true" name="IQRCreditspreadT23" vbProcedure="false">#REF!</definedName>
    <definedName function="false" hidden="true" name="IQRCreditspreadTA23" vbProcedure="false">#REF!</definedName>
    <definedName function="false" hidden="true" name="IQRCreditspreadTB23" vbProcedure="false">#REF!</definedName>
    <definedName function="false" hidden="true" name="IQRCreditspreadTC23" vbProcedure="false">#REF!</definedName>
    <definedName function="false" hidden="true" name="IQRCreditspreadTS23" vbProcedure="false">#REF!</definedName>
    <definedName function="false" hidden="true" name="IQRCreditspreadTT23" vbProcedure="false">#REF!</definedName>
    <definedName function="false" hidden="true" name="IQRCreditspreadTU23" vbProcedure="false">#REF!</definedName>
    <definedName function="false" hidden="true" name="IQRCreditspreadTV23" vbProcedure="false">#REF!</definedName>
    <definedName function="false" hidden="true" name="IQRCreditspreadTW23" vbProcedure="false">#REF!</definedName>
    <definedName function="false" hidden="true" name="IQRCreditspreadTX23" vbProcedure="false">#REF!</definedName>
    <definedName function="false" hidden="true" name="IQRCreditspreadTY23" vbProcedure="false">#REF!</definedName>
    <definedName function="false" hidden="true" name="IQRCreditspreadTZ23" vbProcedure="false">#REF!</definedName>
    <definedName function="false" hidden="true" name="IQRCreditspreadU23" vbProcedure="false">#REF!</definedName>
    <definedName function="false" hidden="true" name="IQRCreditspreadUA23" vbProcedure="false">#REF!</definedName>
    <definedName function="false" hidden="true" name="IQRCreditspreadUB23" vbProcedure="false">#REF!</definedName>
    <definedName function="false" hidden="true" name="IQRCreditspreadUC23" vbProcedure="false">#REF!</definedName>
    <definedName function="false" hidden="true" name="IQRCreditspreadUD23" vbProcedure="false">#REF!</definedName>
    <definedName function="false" hidden="true" name="IQRCreditspreadUE23" vbProcedure="false">#REF!</definedName>
    <definedName function="false" hidden="true" name="IQRCreditspreadUF23" vbProcedure="false">#REF!</definedName>
    <definedName function="false" hidden="true" name="IQRCreditspreadUG23" vbProcedure="false">#REF!</definedName>
    <definedName function="false" hidden="true" name="IQRCreditspreadUH23" vbProcedure="false">#REF!</definedName>
    <definedName function="false" hidden="true" name="IQRCreditspreadUI23" vbProcedure="false">#REF!</definedName>
    <definedName function="false" hidden="true" name="IQRCreditspreadUJ23" vbProcedure="false">#REF!</definedName>
    <definedName function="false" hidden="true" name="IQRCreditspreadUK23" vbProcedure="false">#REF!</definedName>
    <definedName function="false" hidden="true" name="IQRCreditspreadUL23" vbProcedure="false">#REF!</definedName>
    <definedName function="false" hidden="true" name="IQRCreditspreadV23" vbProcedure="false">#REF!</definedName>
    <definedName function="false" hidden="true" name="IQRCreditspreadVB23" vbProcedure="false">#REF!</definedName>
    <definedName function="false" hidden="true" name="IQRCreditspreadVC23" vbProcedure="false">#REF!</definedName>
    <definedName function="false" hidden="true" name="IQRCreditspreadVD23" vbProcedure="false">#REF!</definedName>
    <definedName function="false" hidden="true" name="IQRCreditspreadVE23" vbProcedure="false">#REF!</definedName>
    <definedName function="false" hidden="true" name="IQRCreditspreadVF23" vbProcedure="false">#REF!</definedName>
    <definedName function="false" hidden="true" name="IQRCreditspreadVG23" vbProcedure="false">#REF!</definedName>
    <definedName function="false" hidden="true" name="IQRCreditspreadVH23" vbProcedure="false">#REF!</definedName>
    <definedName function="false" hidden="true" name="IQRCreditspreadVI23" vbProcedure="false">#REF!</definedName>
    <definedName function="false" hidden="true" name="IQRCreditspreadVJ23" vbProcedure="false">#REF!</definedName>
    <definedName function="false" hidden="true" name="IQRCreditspreadVK23" vbProcedure="false">#REF!</definedName>
    <definedName function="false" hidden="true" name="IQRCreditspreadVL23" vbProcedure="false">#REF!</definedName>
    <definedName function="false" hidden="true" name="IQRCreditspreadVM23" vbProcedure="false">#REF!</definedName>
    <definedName function="false" hidden="true" name="IQRCreditspreadVN23" vbProcedure="false">#REF!</definedName>
    <definedName function="false" hidden="true" name="IQRCreditspreadVO23" vbProcedure="false">#REF!</definedName>
    <definedName function="false" hidden="true" name="IQRCreditspreadVP23" vbProcedure="false">#REF!</definedName>
    <definedName function="false" hidden="true" name="IQRCreditspreadVQ23" vbProcedure="false">#REF!</definedName>
    <definedName function="false" hidden="true" name="IQRCreditspreadVR23" vbProcedure="false">#REF!</definedName>
    <definedName function="false" hidden="true" name="IQRCreditspreadVS23" vbProcedure="false">#REF!</definedName>
    <definedName function="false" hidden="true" name="IQRCreditspreadVT23" vbProcedure="false">#REF!</definedName>
    <definedName function="false" hidden="true" name="IQRCreditspreadVU23" vbProcedure="false">#REF!</definedName>
    <definedName function="false" hidden="true" name="IQRCreditspreadW23" vbProcedure="false">#REF!</definedName>
    <definedName function="false" hidden="true" name="IQRCreditspreadWK23" vbProcedure="false">#REF!</definedName>
    <definedName function="false" hidden="true" name="IQRCreditspreadWL23" vbProcedure="false">#REF!</definedName>
    <definedName function="false" hidden="true" name="IQRCreditspreadWM23" vbProcedure="false">#REF!</definedName>
    <definedName function="false" hidden="true" name="IQRCreditspreadWN23" vbProcedure="false">#REF!</definedName>
    <definedName function="false" hidden="true" name="IQRCreditspreadWO23" vbProcedure="false">#REF!</definedName>
    <definedName function="false" hidden="true" name="IQRCreditspreadWP23" vbProcedure="false">#REF!</definedName>
    <definedName function="false" hidden="true" name="IQRCreditspreadWQ23" vbProcedure="false">#REF!</definedName>
    <definedName function="false" hidden="true" name="IQRCreditspreadWR23" vbProcedure="false">#REF!</definedName>
    <definedName function="false" hidden="true" name="IQRCreditspreadWS23" vbProcedure="false">#REF!</definedName>
    <definedName function="false" hidden="true" name="IQRCreditspreadWT23" vbProcedure="false">#REF!</definedName>
    <definedName function="false" hidden="true" name="IQRCreditspreadWU23" vbProcedure="false">#REF!</definedName>
    <definedName function="false" hidden="true" name="IQRCreditspreadWV23" vbProcedure="false">#REF!</definedName>
    <definedName function="false" hidden="true" name="IQRCreditspreadWW23" vbProcedure="false">#REF!</definedName>
    <definedName function="false" hidden="true" name="IQRCreditspreadWX23" vbProcedure="false">#REF!</definedName>
    <definedName function="false" hidden="true" name="IQRCreditspreadWY23" vbProcedure="false">#REF!</definedName>
    <definedName function="false" hidden="true" name="IQRCreditspreadWZ23" vbProcedure="false">#REF!</definedName>
    <definedName function="false" hidden="true" name="IQRCreditspreadX23" vbProcedure="false">#REF!</definedName>
    <definedName function="false" hidden="true" name="IQRCreditspreadXA23" vbProcedure="false">#REF!</definedName>
    <definedName function="false" hidden="true" name="IQRCreditspreadXB23" vbProcedure="false">#REF!</definedName>
    <definedName function="false" hidden="true" name="IQRCreditspreadXC23" vbProcedure="false">#REF!</definedName>
    <definedName function="false" hidden="true" name="IQRCreditspreadXD23" vbProcedure="false">#REF!</definedName>
    <definedName function="false" hidden="true" name="IQRCreditspreadXT23" vbProcedure="false">#REF!</definedName>
    <definedName function="false" hidden="true" name="IQRCreditspreadXU23" vbProcedure="false">#REF!</definedName>
    <definedName function="false" hidden="true" name="IQRCreditspreadXV23" vbProcedure="false">#REF!</definedName>
    <definedName function="false" hidden="true" name="IQRCreditspreadXW23" vbProcedure="false">#REF!</definedName>
    <definedName function="false" hidden="true" name="IQRCreditspreadXX23" vbProcedure="false">#REF!</definedName>
    <definedName function="false" hidden="true" name="IQRCreditspreadXY23" vbProcedure="false">#REF!</definedName>
    <definedName function="false" hidden="true" name="IQRCreditspreadXZ23" vbProcedure="false">#REF!</definedName>
    <definedName function="false" hidden="true" name="IQRCreditspreadY23" vbProcedure="false">#REF!</definedName>
    <definedName function="false" hidden="true" name="IQRCreditspreadYA23" vbProcedure="false">#REF!</definedName>
    <definedName function="false" hidden="true" name="IQRCreditspreadYB23" vbProcedure="false">#REF!</definedName>
    <definedName function="false" hidden="true" name="IQRCreditspreadYC23" vbProcedure="false">#REF!</definedName>
    <definedName function="false" hidden="true" name="IQRCreditspreadYD23" vbProcedure="false">#REF!</definedName>
    <definedName function="false" hidden="true" name="IQRCreditspreadYE23" vbProcedure="false">#REF!</definedName>
    <definedName function="false" hidden="true" name="IQRCreditspreadYF23" vbProcedure="false">#REF!</definedName>
    <definedName function="false" hidden="true" name="IQRCreditspreadYG23" vbProcedure="false">#REF!</definedName>
    <definedName function="false" hidden="true" name="IQRCreditspreadYH23" vbProcedure="false">#REF!</definedName>
    <definedName function="false" hidden="true" name="IQRCreditspreadYI23" vbProcedure="false">#REF!</definedName>
    <definedName function="false" hidden="true" name="IQRCreditspreadYJ23" vbProcedure="false">#REF!</definedName>
    <definedName function="false" hidden="true" name="IQRCreditspreadYK23" vbProcedure="false">#REF!</definedName>
    <definedName function="false" hidden="true" name="IQRCreditspreadYL23" vbProcedure="false">#REF!</definedName>
    <definedName function="false" hidden="true" name="IQRCreditspreadYM23" vbProcedure="false">#REF!</definedName>
    <definedName function="false" hidden="true" name="IQRCreditspreadZ23" vbProcedure="false">#REF!</definedName>
    <definedName function="false" hidden="true" name="IQRCreditspreadZC23" vbProcedure="false">#REF!</definedName>
    <definedName function="false" hidden="true" name="IQRCreditspreadZD23" vbProcedure="false">#REF!</definedName>
    <definedName function="false" hidden="true" name="IQRCreditspreadZE23" vbProcedure="false">#REF!</definedName>
    <definedName function="false" hidden="true" name="IQRCreditspreadZF23" vbProcedure="false">#REF!</definedName>
    <definedName function="false" hidden="true" name="IQRCreditspreadZG23" vbProcedure="false">#REF!</definedName>
    <definedName function="false" hidden="true" name="IQRCreditspreadZH23" vbProcedure="false">#REF!</definedName>
    <definedName function="false" hidden="true" name="IQRCreditspreadZI23" vbProcedure="false">#REF!</definedName>
    <definedName function="false" hidden="true" name="IQRCreditspreadZJ23" vbProcedure="false">#REF!</definedName>
    <definedName function="false" hidden="true" name="IQRCreditspreadZK23" vbProcedure="false">#REF!</definedName>
    <definedName function="false" hidden="true" name="IQRCreditspreadZL23" vbProcedure="false">#REF!</definedName>
    <definedName function="false" hidden="true" name="IQRCreditspreadZM23" vbProcedure="false">#REF!</definedName>
    <definedName function="false" hidden="true" name="IQRCreditspreadZN23" vbProcedure="false">#REF!</definedName>
    <definedName function="false" hidden="true" name="IQRCreditspreadZO23" vbProcedure="false">#REF!</definedName>
    <definedName function="false" hidden="true" name="IQRCreditspreadZP23" vbProcedure="false">#REF!</definedName>
    <definedName function="false" hidden="true" name="IQRCreditspreadZQ23" vbProcedure="false">#REF!</definedName>
    <definedName function="false" hidden="true" name="IQRCreditspreadZR23" vbProcedure="false">#REF!</definedName>
    <definedName function="false" hidden="true" name="IQRCreditspreadZS23" vbProcedure="false">#REF!</definedName>
    <definedName function="false" hidden="true" name="IQRCreditspreadZT23" vbProcedure="false">#REF!</definedName>
    <definedName function="false" hidden="true" name="IQRCreditspreadZU23" vbProcedure="false">#REF!</definedName>
    <definedName function="false" hidden="true" name="IQRCreditspreadZV23" vbProcedure="false">#REF!</definedName>
    <definedName function="false" hidden="true" name="IQRCurrencyRatingAS41" vbProcedure="false">#REF!</definedName>
    <definedName function="false" hidden="true" name="IQRCurrencyRatingAX41" vbProcedure="false">#REF!</definedName>
    <definedName function="false" hidden="true" name="IQRCurrencyRatingAX42" vbProcedure="false">#REF!</definedName>
    <definedName function="false" hidden="true" name="IQRCurrencyRatingBN41" vbProcedure="false">#REF!</definedName>
    <definedName function="false" hidden="true" name="IQRCurrencyRatingBS41" vbProcedure="false">#REF!</definedName>
    <definedName function="false" hidden="true" name="IQRCurrencyRatingBS42" vbProcedure="false">#REF!</definedName>
    <definedName function="false" hidden="true" name="IQRCurrentCompsO6" vbProcedure="false">#REF!</definedName>
    <definedName function="false" hidden="true" name="IQRCurrRatingAS41" vbProcedure="false">#REF!</definedName>
    <definedName function="false" hidden="true" name="IQRCurrRatingBN41" vbProcedure="false">#REF!</definedName>
    <definedName function="false" hidden="true" name="IQRD10" vbProcedure="false">#REF!</definedName>
    <definedName function="false" hidden="true" name="IQRD11" vbProcedure="false">#REF!</definedName>
    <definedName function="false" hidden="true" name="IQRD12" vbProcedure="false">#REF!</definedName>
    <definedName function="false" hidden="true" name="IQRD13" vbProcedure="false">#REF!</definedName>
    <definedName function="false" hidden="true" name="IQRD14" vbProcedure="false">#REF!</definedName>
    <definedName function="false" hidden="true" name="IQRD15" vbProcedure="false">"$D$16:$D$17"</definedName>
    <definedName function="false" hidden="true" name="IQRD16" vbProcedure="false">#REF!</definedName>
    <definedName function="false" hidden="true" name="IQRD17" vbProcedure="false">#REF!</definedName>
    <definedName function="false" hidden="true" name="IQRD18" vbProcedure="false">#REF!</definedName>
    <definedName function="false" hidden="true" name="IQRD19" vbProcedure="false">#REF!</definedName>
    <definedName function="false" hidden="true" name="IQRD2" vbProcedure="false">"$D$3:$D$62"</definedName>
    <definedName function="false" hidden="true" name="IQRD20" vbProcedure="false">#REF!</definedName>
    <definedName function="false" hidden="true" name="IQRD21" vbProcedure="false">#REF!</definedName>
    <definedName function="false" hidden="true" name="IQRD22" vbProcedure="false">#REF!</definedName>
    <definedName function="false" hidden="true" name="IQRD23" vbProcedure="false">#REF!</definedName>
    <definedName function="false" hidden="true" name="IQRD24" vbProcedure="false">"$D$25"</definedName>
    <definedName function="false" hidden="true" name="IQRD25" vbProcedure="false">#REF!</definedName>
    <definedName function="false" hidden="true" name="IQRD26" vbProcedure="false">#REF!</definedName>
    <definedName function="false" hidden="true" name="IQRD27" vbProcedure="false">#REF!</definedName>
    <definedName function="false" hidden="true" name="IQRD28" vbProcedure="false">#REF!</definedName>
    <definedName function="false" hidden="true" name="IQRD29" vbProcedure="false">#REF!</definedName>
    <definedName function="false" hidden="true" name="IQRD3" vbProcedure="false">"$D$4:$D$253"</definedName>
    <definedName function="false" hidden="true" name="IQRD30" vbProcedure="false">#REF!</definedName>
    <definedName function="false" hidden="true" name="IQRD31" vbProcedure="false">#REF!</definedName>
    <definedName function="false" hidden="true" name="IQRD32" vbProcedure="false">#REF!</definedName>
    <definedName function="false" hidden="true" name="IQRD33" vbProcedure="false">#REF!</definedName>
    <definedName function="false" hidden="true" name="IQRD34" vbProcedure="false">#REF!</definedName>
    <definedName function="false" hidden="true" name="IQRD35" vbProcedure="false">#REF!</definedName>
    <definedName function="false" hidden="true" name="IQRD36" vbProcedure="false">#REF!</definedName>
    <definedName function="false" hidden="true" name="IQRD37" vbProcedure="false">#REF!</definedName>
    <definedName function="false" hidden="true" name="IQRD38" vbProcedure="false">#REF!</definedName>
    <definedName function="false" hidden="true" name="IQRD39" vbProcedure="false">"$D$40:$D$83"</definedName>
    <definedName function="false" hidden="true" name="IQRD4" vbProcedure="false">"$D$5:$D$1262"</definedName>
    <definedName function="false" hidden="true" name="IQRD405" vbProcedure="false">"$D$406:$D$658"</definedName>
    <definedName function="false" hidden="true" name="IQRD406" vbProcedure="false">"$D$407:$D$659"</definedName>
    <definedName function="false" hidden="true" name="IQRD413" vbProcedure="false">"$D$414:$D$666"</definedName>
    <definedName function="false" hidden="true" name="IQRD415" vbProcedure="false">"$D$416:$D$668"</definedName>
    <definedName function="false" hidden="true" name="IQRD417" vbProcedure="false">"$D$418:$D$670"</definedName>
    <definedName function="false" hidden="true" name="IQRD419" vbProcedure="false">"$D$420:$D$672"</definedName>
    <definedName function="false" hidden="true" name="IQRD434" vbProcedure="false">"$D$435:$D$687"</definedName>
    <definedName function="false" hidden="true" name="IQRD439" vbProcedure="false">"$D$440:$D$692"</definedName>
    <definedName function="false" hidden="true" name="IQRD441" vbProcedure="false">"$D$442:$D$694"</definedName>
    <definedName function="false" hidden="true" name="IQRD442" vbProcedure="false">"$D$443:$D$695"</definedName>
    <definedName function="false" hidden="true" name="IQRD443" vbProcedure="false">"$D$444:$D$696"</definedName>
    <definedName function="false" hidden="true" name="IQRD444" vbProcedure="false">"$D$445:$D$697"</definedName>
    <definedName function="false" hidden="true" name="IQRD448" vbProcedure="false">"$D$449:$D$701"</definedName>
    <definedName function="false" hidden="true" name="IQRD449" vbProcedure="false">"$D$450:$D$702"</definedName>
    <definedName function="false" hidden="true" name="IQRD450" vbProcedure="false">"$D$451:$D$703"</definedName>
    <definedName function="false" hidden="true" name="IQRD5" vbProcedure="false">"$D$6:$D$259"</definedName>
    <definedName function="false" hidden="true" name="IQRD581" vbProcedure="false">"$D$582:$D$834"</definedName>
    <definedName function="false" hidden="true" name="IQRD582" vbProcedure="false">"$D$583:$D$835"</definedName>
    <definedName function="false" hidden="true" name="IQRD583" vbProcedure="false">"$D$584:$D$836"</definedName>
    <definedName function="false" hidden="true" name="IQRD6" vbProcedure="false">"$D$7:$D$258"</definedName>
    <definedName function="false" hidden="true" name="IQRD7" vbProcedure="false">"$D$8"</definedName>
    <definedName function="false" hidden="true" name="IQRD8" vbProcedure="false">#REF!</definedName>
    <definedName function="false" hidden="true" name="IQRD9" vbProcedure="false">#REF!</definedName>
    <definedName function="false" hidden="true" name="IQRDebtbetaAA23" vbProcedure="false">#REF!</definedName>
    <definedName function="false" hidden="true" name="IQRDebtbetaAB23" vbProcedure="false">#REF!</definedName>
    <definedName function="false" hidden="true" name="IQRDebtbetaAC23" vbProcedure="false">#REF!</definedName>
    <definedName function="false" hidden="true" name="IQRDebtbetaAD23" vbProcedure="false">#REF!</definedName>
    <definedName function="false" hidden="true" name="IQRDebtbetaAE23" vbProcedure="false">#REF!</definedName>
    <definedName function="false" hidden="true" name="IQRDebtbetaAF23" vbProcedure="false">#REF!</definedName>
    <definedName function="false" hidden="true" name="IQRDebtbetaAG23" vbProcedure="false">#REF!</definedName>
    <definedName function="false" hidden="true" name="IQRDebtbetaN22" vbProcedure="false">#REF!</definedName>
    <definedName function="false" hidden="true" name="IQRDebtbetaN23" vbProcedure="false">#REF!</definedName>
    <definedName function="false" hidden="true" name="IQRDebtbetaO22" vbProcedure="false">#REF!</definedName>
    <definedName function="false" hidden="true" name="IQRDebtbetaO23" vbProcedure="false">#REF!</definedName>
    <definedName function="false" hidden="true" name="IQRDebtbetaP22" vbProcedure="false">#REF!</definedName>
    <definedName function="false" hidden="true" name="IQRDebtbetaP23" vbProcedure="false">#REF!</definedName>
    <definedName function="false" hidden="true" name="IQRDebtbetaQ22" vbProcedure="false">#REF!</definedName>
    <definedName function="false" hidden="true" name="IQRDebtbetaQ23" vbProcedure="false">#REF!</definedName>
    <definedName function="false" hidden="true" name="IQRDebtbetaR23" vbProcedure="false">#REF!</definedName>
    <definedName function="false" hidden="true" name="IQRDebtbetaS22" vbProcedure="false">#REF!</definedName>
    <definedName function="false" hidden="true" name="IQRDebtbetaS23" vbProcedure="false">#REF!</definedName>
    <definedName function="false" hidden="true" name="IQRDebtbetaT22" vbProcedure="false">#REF!</definedName>
    <definedName function="false" hidden="true" name="IQRDebtbetaT23" vbProcedure="false">#REF!</definedName>
    <definedName function="false" hidden="true" name="IQRDebtbetaU22" vbProcedure="false">#REF!</definedName>
    <definedName function="false" hidden="true" name="IQRDebtbetaU23" vbProcedure="false">#REF!</definedName>
    <definedName function="false" hidden="true" name="IQRDebtbetaV23" vbProcedure="false">#REF!</definedName>
    <definedName function="false" hidden="true" name="IQRDebtbetaW23" vbProcedure="false">#REF!</definedName>
    <definedName function="false" hidden="true" name="IQRDebtbetaX23" vbProcedure="false">#REF!</definedName>
    <definedName function="false" hidden="true" name="IQRDebtbetaY23" vbProcedure="false">#REF!</definedName>
    <definedName function="false" hidden="true" name="IQRDebtbetaZ23" vbProcedure="false">#REF!</definedName>
    <definedName function="false" hidden="true" name="IQRDEratioQ16" vbProcedure="false">#REF!</definedName>
    <definedName function="false" hidden="true" name="IQRDEratioQ17" vbProcedure="false">#REF!</definedName>
    <definedName function="false" hidden="true" name="IQRE16" vbProcedure="false">#REF!</definedName>
    <definedName function="false" hidden="true" name="IQRE18" vbProcedure="false">"$E$19:$E$80"</definedName>
    <definedName function="false" hidden="true" name="IQRE19" vbProcedure="false">"$E$20:$E$80"</definedName>
    <definedName function="false" hidden="true" name="IQRE24" vbProcedure="false">"$E$25"</definedName>
    <definedName function="false" hidden="true" name="IQRE45" vbProcedure="false">#REF!</definedName>
    <definedName function="false" hidden="true" name="IQRE49" vbProcedure="false">"$E$50:$E$302"</definedName>
    <definedName function="false" hidden="true" name="IQRE6" vbProcedure="false">"$E$7:$E$258"</definedName>
    <definedName function="false" hidden="true" name="IQRE7" vbProcedure="false">"$E$8"</definedName>
    <definedName function="false" hidden="true" name="IQRE8" vbProcedure="false">#REF!</definedName>
    <definedName function="false" hidden="true" name="IQRE81" vbProcedure="false">"$E$82:$E$86"</definedName>
    <definedName function="false" hidden="true" name="IQRE88" vbProcedure="false">"$E$89:$E$93"</definedName>
    <definedName function="false" hidden="true" name="IQRE9" vbProcedure="false">"$E$10:$E$70"</definedName>
    <definedName function="false" hidden="true" name="IQrevisiondate" vbProcedure="false">40877.5011458333</definedName>
    <definedName function="false" hidden="true" name="IQRExampleTearSheetH20" vbProcedure="false">#REF!</definedName>
    <definedName function="false" hidden="true" name="IQRF24" vbProcedure="false">"$F$25"</definedName>
    <definedName function="false" hidden="true" name="IQRF3" vbProcedure="false">"$F$4:$F$253"</definedName>
    <definedName function="false" hidden="true" name="IQRF39" vbProcedure="false">"$F$40:$F$61"</definedName>
    <definedName function="false" hidden="true" name="IQRF4" vbProcedure="false">"$F$5:$F$254"</definedName>
    <definedName function="false" hidden="true" name="IQRF405" vbProcedure="false">"$F$406:$F$658"</definedName>
    <definedName function="false" hidden="true" name="IQRF406" vbProcedure="false">"$F$407:$F$659"</definedName>
    <definedName function="false" hidden="true" name="IQRF413" vbProcedure="false">"$F$414:$F$666"</definedName>
    <definedName function="false" hidden="true" name="IQRF415" vbProcedure="false">"$F$416:$F$668"</definedName>
    <definedName function="false" hidden="true" name="IQRF417" vbProcedure="false">"$F$418:$F$670"</definedName>
    <definedName function="false" hidden="true" name="IQRF419" vbProcedure="false">"$F$420:$F$672"</definedName>
    <definedName function="false" hidden="true" name="IQRF434" vbProcedure="false">"$F$435:$F$687"</definedName>
    <definedName function="false" hidden="true" name="IQRF439" vbProcedure="false">"$F$440:$F$692"</definedName>
    <definedName function="false" hidden="true" name="IQRF441" vbProcedure="false">"$F$442:$F$694"</definedName>
    <definedName function="false" hidden="true" name="IQRF442" vbProcedure="false">"$F$443:$F$695"</definedName>
    <definedName function="false" hidden="true" name="IQRF443" vbProcedure="false">"$F$444:$F$696"</definedName>
    <definedName function="false" hidden="true" name="IQRF444" vbProcedure="false">"$F$445:$F$697"</definedName>
    <definedName function="false" hidden="true" name="IQRF448" vbProcedure="false">"$F$449:$F$701"</definedName>
    <definedName function="false" hidden="true" name="IQRF449" vbProcedure="false">"$F$450:$F$702"</definedName>
    <definedName function="false" hidden="true" name="IQRF450" vbProcedure="false">"$F$451:$F$703"</definedName>
    <definedName function="false" hidden="true" name="IQRF5" vbProcedure="false">"$F$6:$F$255"</definedName>
    <definedName function="false" hidden="true" name="IQRF581" vbProcedure="false">"$F$582:$F$834"</definedName>
    <definedName function="false" hidden="true" name="IQRF582" vbProcedure="false">"$F$583:$F$835"</definedName>
    <definedName function="false" hidden="true" name="IQRF583" vbProcedure="false">"$F$584:$F$836"</definedName>
    <definedName function="false" hidden="true" name="IQRF6" vbProcedure="false">"$F$7:$F$256"</definedName>
    <definedName function="false" hidden="true" name="IQRF7" vbProcedure="false">"$F$8"</definedName>
    <definedName function="false" hidden="true" name="IQRF81" vbProcedure="false">"$F$82:$F$86"</definedName>
    <definedName function="false" hidden="true" name="IQRFinancialCollectionP15" vbProcedure="false">#REF!</definedName>
    <definedName function="false" hidden="true" name="IQRFinancialCollectionQ15" vbProcedure="false">#REF!</definedName>
    <definedName function="false" hidden="true" name="IQRFinancialCollectionTemplateAH5" vbProcedure="false">#REF!</definedName>
    <definedName function="false" hidden="true" name="IQRFinancialCollectionTemplateP15" vbProcedure="false">#REF!</definedName>
    <definedName function="false" hidden="true" name="IQRFinancialCollectionTemplateQ15" vbProcedure="false">#REF!</definedName>
    <definedName function="false" hidden="true" name="IQRFinancialCollectionTemplateV15" vbProcedure="false">#REF!</definedName>
    <definedName function="false" hidden="true" name="IQRFinancialCollectionTemplateV5" vbProcedure="false">#REF!</definedName>
    <definedName function="false" hidden="true" name="IQRFullCurveTransparencyAA32" vbProcedure="false">#REF!</definedName>
    <definedName function="false" hidden="true" name="IQRFullCurveTransparencyAZ77" vbProcedure="false">#REF!</definedName>
    <definedName function="false" hidden="true" name="IQRFullCurveTransparencyBC77" vbProcedure="false">#REF!</definedName>
    <definedName function="false" hidden="true" name="IQRFullCurveTransparencyBD77" vbProcedure="false">#REF!</definedName>
    <definedName function="false" hidden="true" name="IQRFullCurveTransparencyBE77" vbProcedure="false">#REF!</definedName>
    <definedName function="false" hidden="true" name="IQRFullCurveTransparencyBF77" vbProcedure="false">#REF!</definedName>
    <definedName function="false" hidden="true" name="IQRFullCurveTransparencyC32" vbProcedure="false">#REF!</definedName>
    <definedName function="false" hidden="true" name="IQRFullCurveTransparencyC38" vbProcedure="false">#REF!</definedName>
    <definedName function="false" hidden="true" name="IQRFullCurveTransparencyD32" vbProcedure="false">#REF!</definedName>
    <definedName function="false" hidden="true" name="IQRFullCurveTransparencyD38" vbProcedure="false">#REF!</definedName>
    <definedName function="false" hidden="true" name="IQRFullCurveTransparencyE32" vbProcedure="false">#REF!</definedName>
    <definedName function="false" hidden="true" name="IQRFullCurveTransparencyE38" vbProcedure="false">#REF!</definedName>
    <definedName function="false" hidden="true" name="IQRFullCurveTransparencyF32" vbProcedure="false">#REF!</definedName>
    <definedName function="false" hidden="true" name="IQRFullCurveTransparencyF38" vbProcedure="false">#REF!</definedName>
    <definedName function="false" hidden="true" name="IQRFundamentaldatenB121" vbProcedure="false">#REF!</definedName>
    <definedName function="false" hidden="true" name="IQRFundamentaldatenB149" vbProcedure="false">#REF!</definedName>
    <definedName function="false" hidden="true" name="IQRFundamentaldatenB177" vbProcedure="false">#REF!</definedName>
    <definedName function="false" hidden="true" name="IQRFundamentaldatenB205" vbProcedure="false">#REF!</definedName>
    <definedName function="false" hidden="true" name="IQRFundamentaldatenB233" vbProcedure="false">#REF!</definedName>
    <definedName function="false" hidden="true" name="IQRFundamentaldatenB261" vbProcedure="false">#REF!</definedName>
    <definedName function="false" hidden="true" name="IQRFundamentaldatenB289" vbProcedure="false">#REF!</definedName>
    <definedName function="false" hidden="true" name="IQRFundamentaldatenB317" vbProcedure="false">#REF!</definedName>
    <definedName function="false" hidden="true" name="IQRFundamentaldatenB345" vbProcedure="false">#REF!</definedName>
    <definedName function="false" hidden="true" name="IQRFundamentaldatenB37" vbProcedure="false">#REF!</definedName>
    <definedName function="false" hidden="true" name="IQRFundamentaldatenB65" vbProcedure="false">#REF!</definedName>
    <definedName function="false" hidden="true" name="IQRFundamentaldatenB9" vbProcedure="false">#REF!</definedName>
    <definedName function="false" hidden="true" name="IQRFundamentaldatenB93" vbProcedure="false">#REF!</definedName>
    <definedName function="false" hidden="true" name="IQRFundamentaldatenJ121" vbProcedure="false">#REF!</definedName>
    <definedName function="false" hidden="true" name="IQRFundamentaldatenJ149" vbProcedure="false">#REF!</definedName>
    <definedName function="false" hidden="true" name="IQRFundamentaldatenJ177" vbProcedure="false">#REF!</definedName>
    <definedName function="false" hidden="true" name="IQRFundamentaldatenJ205" vbProcedure="false">#REF!</definedName>
    <definedName function="false" hidden="true" name="IQRFundamentaldatenJ233" vbProcedure="false">#REF!</definedName>
    <definedName function="false" hidden="true" name="IQRFundamentaldatenJ261" vbProcedure="false">#REF!</definedName>
    <definedName function="false" hidden="true" name="IQRFundamentaldatenJ289" vbProcedure="false">#REF!</definedName>
    <definedName function="false" hidden="true" name="IQRFundamentaldatenJ317" vbProcedure="false">#REF!</definedName>
    <definedName function="false" hidden="true" name="IQRFundamentaldatenJ345" vbProcedure="false">#REF!</definedName>
    <definedName function="false" hidden="true" name="IQRFundamentaldatenJ37" vbProcedure="false">#REF!</definedName>
    <definedName function="false" hidden="true" name="IQRFundamentaldatenJ65" vbProcedure="false">#REF!</definedName>
    <definedName function="false" hidden="true" name="IQRFundamentaldatenJ9" vbProcedure="false">#REF!</definedName>
    <definedName function="false" hidden="true" name="IQRFundamentaldatenJ93" vbProcedure="false">#REF!</definedName>
    <definedName function="false" hidden="true" name="IQRFundamentaldatenR121" vbProcedure="false">#REF!</definedName>
    <definedName function="false" hidden="true" name="IQRFundamentaldatenR149" vbProcedure="false">#REF!</definedName>
    <definedName function="false" hidden="true" name="IQRFundamentaldatenR177" vbProcedure="false">#REF!</definedName>
    <definedName function="false" hidden="true" name="IQRFundamentaldatenR205" vbProcedure="false">#REF!</definedName>
    <definedName function="false" hidden="true" name="IQRFundamentaldatenR233" vbProcedure="false">#REF!</definedName>
    <definedName function="false" hidden="true" name="IQRFundamentaldatenR261" vbProcedure="false">#REF!</definedName>
    <definedName function="false" hidden="true" name="IQRFundamentaldatenR289" vbProcedure="false">#REF!</definedName>
    <definedName function="false" hidden="true" name="IQRFundamentaldatenR317" vbProcedure="false">#REF!</definedName>
    <definedName function="false" hidden="true" name="IQRFundamentaldatenR345" vbProcedure="false">#REF!</definedName>
    <definedName function="false" hidden="true" name="IQRFundamentaldatenR37" vbProcedure="false">#REF!</definedName>
    <definedName function="false" hidden="true" name="IQRFundamentaldatenR373" vbProcedure="false">#REF!</definedName>
    <definedName function="false" hidden="true" name="IQRFundamentaldatenR65" vbProcedure="false">#REF!</definedName>
    <definedName function="false" hidden="true" name="IQRFundamentaldatenR9" vbProcedure="false">#REF!</definedName>
    <definedName function="false" hidden="true" name="IQRFundamentaldatenR93" vbProcedure="false">#REF!</definedName>
    <definedName function="false" hidden="true" name="IQRFuturesDataA10" vbProcedure="false">#REF!</definedName>
    <definedName function="false" hidden="true" name="IQRFuturesTrendsAG3" vbProcedure="false">#REF!</definedName>
    <definedName function="false" hidden="true" name="IQRFuturesTrendsT1" vbProcedure="false">#REF!</definedName>
    <definedName function="false" hidden="true" name="IQRFXFuturesSummaryP164" vbProcedure="false">#REF!</definedName>
    <definedName function="false" hidden="true" name="IQRG24" vbProcedure="false">"$G$25"</definedName>
    <definedName function="false" hidden="true" name="IQRG3" vbProcedure="false">"$G$4:$G$253"</definedName>
    <definedName function="false" hidden="true" name="IQRG4" vbProcedure="false">"$G$5:$G$254"</definedName>
    <definedName function="false" hidden="true" name="IQRG5" vbProcedure="false">"$G$6:$G$511"</definedName>
    <definedName function="false" hidden="true" name="IQRG6" vbProcedure="false">"$G$7:$G$256"</definedName>
    <definedName function="false" hidden="true" name="IQRG7" vbProcedure="false">"$G$8"</definedName>
    <definedName function="false" hidden="true" name="IQRG81" vbProcedure="false">"$G$82:$G$86"</definedName>
    <definedName function="false" hidden="true" name="IQRGSKH20" vbProcedure="false">#REF!</definedName>
    <definedName function="false" hidden="true" name="IQRH12" vbProcedure="false">"$H$13:$H$36"</definedName>
    <definedName function="false" hidden="true" name="IQRH13" vbProcedure="false">"$H$14:$H$264"</definedName>
    <definedName function="false" hidden="true" name="IQRH21" vbProcedure="false">"$H$22"</definedName>
    <definedName function="false" hidden="true" name="IQRH24" vbProcedure="false">"$H$25"</definedName>
    <definedName function="false" hidden="true" name="IQRH3" vbProcedure="false">"$H$4:$H$253"</definedName>
    <definedName function="false" hidden="true" name="IQRH405" vbProcedure="false">"$H$406:$H$658"</definedName>
    <definedName function="false" hidden="true" name="IQRH406" vbProcedure="false">"$H$407:$H$659"</definedName>
    <definedName function="false" hidden="true" name="IQRH41" vbProcedure="false">"$H$42"</definedName>
    <definedName function="false" hidden="true" name="IQRH413" vbProcedure="false">"$H$414:$H$666"</definedName>
    <definedName function="false" hidden="true" name="IQRH415" vbProcedure="false">"$H$416:$H$668"</definedName>
    <definedName function="false" hidden="true" name="IQRH417" vbProcedure="false">"$H$418:$H$670"</definedName>
    <definedName function="false" hidden="true" name="IQRH419" vbProcedure="false">"$H$420:$H$672"</definedName>
    <definedName function="false" hidden="true" name="IQRH434" vbProcedure="false">"$H$435:$H$687"</definedName>
    <definedName function="false" hidden="true" name="IQRH439" vbProcedure="false">"$H$440:$H$692"</definedName>
    <definedName function="false" hidden="true" name="IQRH441" vbProcedure="false">"$H$442:$H$694"</definedName>
    <definedName function="false" hidden="true" name="IQRH442" vbProcedure="false">"$H$443:$H$695"</definedName>
    <definedName function="false" hidden="true" name="IQRH443" vbProcedure="false">"$H$444:$H$696"</definedName>
    <definedName function="false" hidden="true" name="IQRH444" vbProcedure="false">"$H$445:$H$697"</definedName>
    <definedName function="false" hidden="true" name="IQRH448" vbProcedure="false">"$H$449:$H$701"</definedName>
    <definedName function="false" hidden="true" name="IQRH449" vbProcedure="false">"$H$450:$H$702"</definedName>
    <definedName function="false" hidden="true" name="IQRH450" vbProcedure="false">"$H$451:$H$703"</definedName>
    <definedName function="false" hidden="true" name="IQRH5" vbProcedure="false">"$H$6:$H$256"</definedName>
    <definedName function="false" hidden="true" name="IQRH581" vbProcedure="false">"$H$582:$H$834"</definedName>
    <definedName function="false" hidden="true" name="IQRH582" vbProcedure="false">"$H$583:$H$835"</definedName>
    <definedName function="false" hidden="true" name="IQRH583" vbProcedure="false">"$H$584:$H$836"</definedName>
    <definedName function="false" hidden="true" name="IQRH59" vbProcedure="false">"$H$60"</definedName>
    <definedName function="false" hidden="true" name="IQRH6" vbProcedure="false">"$H$7:$H$112"</definedName>
    <definedName function="false" hidden="true" name="IQRH7" vbProcedure="false">"$H$8"</definedName>
    <definedName function="false" hidden="true" name="IQRH8" vbProcedure="false">#REF!</definedName>
    <definedName function="false" hidden="true" name="IQRH81" vbProcedure="false">"$H$82:$H$86"</definedName>
    <definedName function="false" hidden="true" name="IQRH9" vbProcedure="false">#REF!</definedName>
    <definedName function="false" hidden="true" name="IQRHandelsdatenO13" vbProcedure="false">#REF!</definedName>
    <definedName function="false" hidden="true" name="IQRHandelsdatenP13" vbProcedure="false">#REF!</definedName>
    <definedName function="false" hidden="true" name="IQRHistoricalOwnershipA14" vbProcedure="false">#REF!</definedName>
    <definedName function="false" hidden="true" name="IQRHistoricalOwnershipAA14" vbProcedure="false">#REF!</definedName>
    <definedName function="false" hidden="true" name="IQRHistoricalOwnershipB14" vbProcedure="false">#REF!</definedName>
    <definedName function="false" hidden="true" name="IQRHistoricalOwnershipE14" vbProcedure="false">#REF!</definedName>
    <definedName function="false" hidden="true" name="IQRHistoricalOwnershipG14" vbProcedure="false">#REF!</definedName>
    <definedName function="false" hidden="true" name="IQRHistoricalOwnershipI14" vbProcedure="false">#REF!</definedName>
    <definedName function="false" hidden="true" name="IQRHistoricalOwnershipK14" vbProcedure="false">#REF!</definedName>
    <definedName function="false" hidden="true" name="IQRHistoricalOwnershipM14" vbProcedure="false">#REF!</definedName>
    <definedName function="false" hidden="true" name="IQRHistoricalOwnershipO14" vbProcedure="false">#REF!</definedName>
    <definedName function="false" hidden="true" name="IQRHistoricalOwnershipQ14" vbProcedure="false">#REF!</definedName>
    <definedName function="false" hidden="true" name="IQRHistoricalOwnershipS14" vbProcedure="false">#REF!</definedName>
    <definedName function="false" hidden="true" name="IQRHistoricalOwnershipU14" vbProcedure="false">#REF!</definedName>
    <definedName function="false" hidden="true" name="IQRHistoricalOwnershipW14" vbProcedure="false">#REF!</definedName>
    <definedName function="false" hidden="true" name="IQRHistoricalOwnershipY14" vbProcedure="false">#REF!</definedName>
    <definedName function="false" hidden="true" name="IQRI12" vbProcedure="false">"$I$13:$I$36"</definedName>
    <definedName function="false" hidden="true" name="IQRI2" vbProcedure="false">"$I$3:$I$66"</definedName>
    <definedName function="false" hidden="true" name="IQRI21" vbProcedure="false">"$I$22"</definedName>
    <definedName function="false" hidden="true" name="IQRI24" vbProcedure="false">"$I$25"</definedName>
    <definedName function="false" hidden="true" name="IQRI39" vbProcedure="false">"$I$40:$I$61"</definedName>
    <definedName function="false" hidden="true" name="IQRI5" vbProcedure="false">"$I$6:$I$511"</definedName>
    <definedName function="false" hidden="true" name="IQRI6" vbProcedure="false">"$I$7:$I$112"</definedName>
    <definedName function="false" hidden="true" name="IQRI7" vbProcedure="false">"$I$8"</definedName>
    <definedName function="false" hidden="true" name="IQRI81" vbProcedure="false">"$I$82:$I$86"</definedName>
    <definedName function="false" hidden="true" name="IQRIdentifierLookupI13" vbProcedure="false">#REF!</definedName>
    <definedName function="false" hidden="true" name="IQRIdentifierLookupJ13" vbProcedure="false">#REF!</definedName>
    <definedName function="false" hidden="true" name="IQRIdentifiersA7" vbProcedure="false">#REF!</definedName>
    <definedName function="false" hidden="true" name="IQRIdentifiersH10" vbProcedure="false">#REF!</definedName>
    <definedName function="false" hidden="true" name="IQRIdentifiersH100" vbProcedure="false">#REF!</definedName>
    <definedName function="false" hidden="true" name="IQRIdentifiersH101" vbProcedure="false">#REF!</definedName>
    <definedName function="false" hidden="true" name="IQRIdentifiersH102" vbProcedure="false">#REF!</definedName>
    <definedName function="false" hidden="true" name="IQRIdentifiersH103" vbProcedure="false">#REF!</definedName>
    <definedName function="false" hidden="true" name="IQRIdentifiersH104" vbProcedure="false">#REF!</definedName>
    <definedName function="false" hidden="true" name="IQRIdentifiersH105" vbProcedure="false">#REF!</definedName>
    <definedName function="false" hidden="true" name="IQRIdentifiersH106" vbProcedure="false">#REF!</definedName>
    <definedName function="false" hidden="true" name="IQRIdentifiersH107" vbProcedure="false">#REF!</definedName>
    <definedName function="false" hidden="true" name="IQRIdentifiersH108" vbProcedure="false">#REF!</definedName>
    <definedName function="false" hidden="true" name="IQRIdentifiersH109" vbProcedure="false">#REF!</definedName>
    <definedName function="false" hidden="true" name="IQRIdentifiersH11" vbProcedure="false">#REF!</definedName>
    <definedName function="false" hidden="true" name="IQRIdentifiersH110" vbProcedure="false">#REF!</definedName>
    <definedName function="false" hidden="true" name="IQRIdentifiersH111" vbProcedure="false">#REF!</definedName>
    <definedName function="false" hidden="true" name="IQRIdentifiersH112" vbProcedure="false">#REF!</definedName>
    <definedName function="false" hidden="true" name="IQRIdentifiersH113" vbProcedure="false">#REF!</definedName>
    <definedName function="false" hidden="true" name="IQRIdentifiersH114" vbProcedure="false">#REF!</definedName>
    <definedName function="false" hidden="true" name="IQRIdentifiersH115" vbProcedure="false">#REF!</definedName>
    <definedName function="false" hidden="true" name="IQRIdentifiersH116" vbProcedure="false">#REF!</definedName>
    <definedName function="false" hidden="true" name="IQRIdentifiersH117" vbProcedure="false">#REF!</definedName>
    <definedName function="false" hidden="true" name="IQRIdentifiersH118" vbProcedure="false">#REF!</definedName>
    <definedName function="false" hidden="true" name="IQRIdentifiersH119" vbProcedure="false">#REF!</definedName>
    <definedName function="false" hidden="true" name="IQRIdentifiersH12" vbProcedure="false">#REF!</definedName>
    <definedName function="false" hidden="true" name="IQRIdentifiersH120" vbProcedure="false">#REF!</definedName>
    <definedName function="false" hidden="true" name="IQRIdentifiersH121" vbProcedure="false">#REF!</definedName>
    <definedName function="false" hidden="true" name="IQRIdentifiersH122" vbProcedure="false">#REF!</definedName>
    <definedName function="false" hidden="true" name="IQRIdentifiersH123" vbProcedure="false">#REF!</definedName>
    <definedName function="false" hidden="true" name="IQRIdentifiersH124" vbProcedure="false">#REF!</definedName>
    <definedName function="false" hidden="true" name="IQRIdentifiersH125" vbProcedure="false">#REF!</definedName>
    <definedName function="false" hidden="true" name="IQRIdentifiersH126" vbProcedure="false">#REF!</definedName>
    <definedName function="false" hidden="true" name="IQRIdentifiersH127" vbProcedure="false">#REF!</definedName>
    <definedName function="false" hidden="true" name="IQRIdentifiersH128" vbProcedure="false">#REF!</definedName>
    <definedName function="false" hidden="true" name="IQRIdentifiersH129" vbProcedure="false">#REF!</definedName>
    <definedName function="false" hidden="true" name="IQRIdentifiersH13" vbProcedure="false">#REF!</definedName>
    <definedName function="false" hidden="true" name="IQRIdentifiersH130" vbProcedure="false">#REF!</definedName>
    <definedName function="false" hidden="true" name="IQRIdentifiersH131" vbProcedure="false">#REF!</definedName>
    <definedName function="false" hidden="true" name="IQRIdentifiersH132" vbProcedure="false">#REF!</definedName>
    <definedName function="false" hidden="true" name="IQRIdentifiersH133" vbProcedure="false">#REF!</definedName>
    <definedName function="false" hidden="true" name="IQRIdentifiersH134" vbProcedure="false">#REF!</definedName>
    <definedName function="false" hidden="true" name="IQRIdentifiersH135" vbProcedure="false">#REF!</definedName>
    <definedName function="false" hidden="true" name="IQRIdentifiersH136" vbProcedure="false">#REF!</definedName>
    <definedName function="false" hidden="true" name="IQRIdentifiersH137" vbProcedure="false">#REF!</definedName>
    <definedName function="false" hidden="true" name="IQRIdentifiersH138" vbProcedure="false">#REF!</definedName>
    <definedName function="false" hidden="true" name="IQRIdentifiersH139" vbProcedure="false">#REF!</definedName>
    <definedName function="false" hidden="true" name="IQRIdentifiersH14" vbProcedure="false">#REF!</definedName>
    <definedName function="false" hidden="true" name="IQRIdentifiersH140" vbProcedure="false">#REF!</definedName>
    <definedName function="false" hidden="true" name="IQRIdentifiersH141" vbProcedure="false">#REF!</definedName>
    <definedName function="false" hidden="true" name="IQRIdentifiersH142" vbProcedure="false">#REF!</definedName>
    <definedName function="false" hidden="true" name="IQRIdentifiersH143" vbProcedure="false">#REF!</definedName>
    <definedName function="false" hidden="true" name="IQRIdentifiersH144" vbProcedure="false">#REF!</definedName>
    <definedName function="false" hidden="true" name="IQRIdentifiersH145" vbProcedure="false">#REF!</definedName>
    <definedName function="false" hidden="true" name="IQRIdentifiersH146" vbProcedure="false">#REF!</definedName>
    <definedName function="false" hidden="true" name="IQRIdentifiersH147" vbProcedure="false">#REF!</definedName>
    <definedName function="false" hidden="true" name="IQRIdentifiersH148" vbProcedure="false">#REF!</definedName>
    <definedName function="false" hidden="true" name="IQRIdentifiersH149" vbProcedure="false">#REF!</definedName>
    <definedName function="false" hidden="true" name="IQRIdentifiersH15" vbProcedure="false">#REF!</definedName>
    <definedName function="false" hidden="true" name="IQRIdentifiersH150" vbProcedure="false">#REF!</definedName>
    <definedName function="false" hidden="true" name="IQRIdentifiersH151" vbProcedure="false">#REF!</definedName>
    <definedName function="false" hidden="true" name="IQRIdentifiersH152" vbProcedure="false">#REF!</definedName>
    <definedName function="false" hidden="true" name="IQRIdentifiersH153" vbProcedure="false">#REF!</definedName>
    <definedName function="false" hidden="true" name="IQRIdentifiersH154" vbProcedure="false">#REF!</definedName>
    <definedName function="false" hidden="true" name="IQRIdentifiersH155" vbProcedure="false">#REF!</definedName>
    <definedName function="false" hidden="true" name="IQRIdentifiersH156" vbProcedure="false">#REF!</definedName>
    <definedName function="false" hidden="true" name="IQRIdentifiersH157" vbProcedure="false">#REF!</definedName>
    <definedName function="false" hidden="true" name="IQRIdentifiersH158" vbProcedure="false">#REF!</definedName>
    <definedName function="false" hidden="true" name="IQRIdentifiersH159" vbProcedure="false">#REF!</definedName>
    <definedName function="false" hidden="true" name="IQRIdentifiersH16" vbProcedure="false">#REF!</definedName>
    <definedName function="false" hidden="true" name="IQRIdentifiersH160" vbProcedure="false">#REF!</definedName>
    <definedName function="false" hidden="true" name="IQRIdentifiersH161" vbProcedure="false">#REF!</definedName>
    <definedName function="false" hidden="true" name="IQRIdentifiersH162" vbProcedure="false">#REF!</definedName>
    <definedName function="false" hidden="true" name="IQRIdentifiersH163" vbProcedure="false">#REF!</definedName>
    <definedName function="false" hidden="true" name="IQRIdentifiersH164" vbProcedure="false">#REF!</definedName>
    <definedName function="false" hidden="true" name="IQRIdentifiersH165" vbProcedure="false">#REF!</definedName>
    <definedName function="false" hidden="true" name="IQRIdentifiersH166" vbProcedure="false">#REF!</definedName>
    <definedName function="false" hidden="true" name="IQRIdentifiersH167" vbProcedure="false">#REF!</definedName>
    <definedName function="false" hidden="true" name="IQRIdentifiersH168" vbProcedure="false">#REF!</definedName>
    <definedName function="false" hidden="true" name="IQRIdentifiersH169" vbProcedure="false">#REF!</definedName>
    <definedName function="false" hidden="true" name="IQRIdentifiersH17" vbProcedure="false">#REF!</definedName>
    <definedName function="false" hidden="true" name="IQRIdentifiersH170" vbProcedure="false">#REF!</definedName>
    <definedName function="false" hidden="true" name="IQRIdentifiersH171" vbProcedure="false">#REF!</definedName>
    <definedName function="false" hidden="true" name="IQRIdentifiersH172" vbProcedure="false">#REF!</definedName>
    <definedName function="false" hidden="true" name="IQRIdentifiersH173" vbProcedure="false">#REF!</definedName>
    <definedName function="false" hidden="true" name="IQRIdentifiersH174" vbProcedure="false">#REF!</definedName>
    <definedName function="false" hidden="true" name="IQRIdentifiersH175" vbProcedure="false">#REF!</definedName>
    <definedName function="false" hidden="true" name="IQRIdentifiersH176" vbProcedure="false">#REF!</definedName>
    <definedName function="false" hidden="true" name="IQRIdentifiersH177" vbProcedure="false">#REF!</definedName>
    <definedName function="false" hidden="true" name="IQRIdentifiersH178" vbProcedure="false">#REF!</definedName>
    <definedName function="false" hidden="true" name="IQRIdentifiersH179" vbProcedure="false">#REF!</definedName>
    <definedName function="false" hidden="true" name="IQRIdentifiersH18" vbProcedure="false">#REF!</definedName>
    <definedName function="false" hidden="true" name="IQRIdentifiersH180" vbProcedure="false">#REF!</definedName>
    <definedName function="false" hidden="true" name="IQRIdentifiersH181" vbProcedure="false">#REF!</definedName>
    <definedName function="false" hidden="true" name="IQRIdentifiersH182" vbProcedure="false">#REF!</definedName>
    <definedName function="false" hidden="true" name="IQRIdentifiersH183" vbProcedure="false">#REF!</definedName>
    <definedName function="false" hidden="true" name="IQRIdentifiersH184" vbProcedure="false">#REF!</definedName>
    <definedName function="false" hidden="true" name="IQRIdentifiersH185" vbProcedure="false">#REF!</definedName>
    <definedName function="false" hidden="true" name="IQRIdentifiersH186" vbProcedure="false">#REF!</definedName>
    <definedName function="false" hidden="true" name="IQRIdentifiersH187" vbProcedure="false">#REF!</definedName>
    <definedName function="false" hidden="true" name="IQRIdentifiersH188" vbProcedure="false">#REF!</definedName>
    <definedName function="false" hidden="true" name="IQRIdentifiersH189" vbProcedure="false">#REF!</definedName>
    <definedName function="false" hidden="true" name="IQRIdentifiersH19" vbProcedure="false">#REF!</definedName>
    <definedName function="false" hidden="true" name="IQRIdentifiersH190" vbProcedure="false">#REF!</definedName>
    <definedName function="false" hidden="true" name="IQRIdentifiersH191" vbProcedure="false">#REF!</definedName>
    <definedName function="false" hidden="true" name="IQRIdentifiersH192" vbProcedure="false">#REF!</definedName>
    <definedName function="false" hidden="true" name="IQRIdentifiersH193" vbProcedure="false">#REF!</definedName>
    <definedName function="false" hidden="true" name="IQRIdentifiersH194" vbProcedure="false">#REF!</definedName>
    <definedName function="false" hidden="true" name="IQRIdentifiersH195" vbProcedure="false">#REF!</definedName>
    <definedName function="false" hidden="true" name="IQRIdentifiersH196" vbProcedure="false">#REF!</definedName>
    <definedName function="false" hidden="true" name="IQRIdentifiersH197" vbProcedure="false">#REF!</definedName>
    <definedName function="false" hidden="true" name="IQRIdentifiersH198" vbProcedure="false">#REF!</definedName>
    <definedName function="false" hidden="true" name="IQRIdentifiersH199" vbProcedure="false">#REF!</definedName>
    <definedName function="false" hidden="true" name="IQRIdentifiersH20" vbProcedure="false">#REF!</definedName>
    <definedName function="false" hidden="true" name="IQRIdentifiersH200" vbProcedure="false">#REF!</definedName>
    <definedName function="false" hidden="true" name="IQRIdentifiersH201" vbProcedure="false">#REF!</definedName>
    <definedName function="false" hidden="true" name="IQRIdentifiersH202" vbProcedure="false">#REF!</definedName>
    <definedName function="false" hidden="true" name="IQRIdentifiersH203" vbProcedure="false">#REF!</definedName>
    <definedName function="false" hidden="true" name="IQRIdentifiersH204" vbProcedure="false">#REF!</definedName>
    <definedName function="false" hidden="true" name="IQRIdentifiersH205" vbProcedure="false">#REF!</definedName>
    <definedName function="false" hidden="true" name="IQRIdentifiersH206" vbProcedure="false">#REF!</definedName>
    <definedName function="false" hidden="true" name="IQRIdentifiersH207" vbProcedure="false">#REF!</definedName>
    <definedName function="false" hidden="true" name="IQRIdentifiersH208" vbProcedure="false">#REF!</definedName>
    <definedName function="false" hidden="true" name="IQRIdentifiersH209" vbProcedure="false">#REF!</definedName>
    <definedName function="false" hidden="true" name="IQRIdentifiersH21" vbProcedure="false">#REF!</definedName>
    <definedName function="false" hidden="true" name="IQRIdentifiersH210" vbProcedure="false">#REF!</definedName>
    <definedName function="false" hidden="true" name="IQRIdentifiersH211" vbProcedure="false">#REF!</definedName>
    <definedName function="false" hidden="true" name="IQRIdentifiersH212" vbProcedure="false">#REF!</definedName>
    <definedName function="false" hidden="true" name="IQRIdentifiersH213" vbProcedure="false">#REF!</definedName>
    <definedName function="false" hidden="true" name="IQRIdentifiersH214" vbProcedure="false">#REF!</definedName>
    <definedName function="false" hidden="true" name="IQRIdentifiersH215" vbProcedure="false">#REF!</definedName>
    <definedName function="false" hidden="true" name="IQRIdentifiersH216" vbProcedure="false">#REF!</definedName>
    <definedName function="false" hidden="true" name="IQRIdentifiersH217" vbProcedure="false">#REF!</definedName>
    <definedName function="false" hidden="true" name="IQRIdentifiersH218" vbProcedure="false">#REF!</definedName>
    <definedName function="false" hidden="true" name="IQRIdentifiersH219" vbProcedure="false">#REF!</definedName>
    <definedName function="false" hidden="true" name="IQRIdentifiersH22" vbProcedure="false">#REF!</definedName>
    <definedName function="false" hidden="true" name="IQRIdentifiersH220" vbProcedure="false">#REF!</definedName>
    <definedName function="false" hidden="true" name="IQRIdentifiersH221" vbProcedure="false">#REF!</definedName>
    <definedName function="false" hidden="true" name="IQRIdentifiersH222" vbProcedure="false">#REF!</definedName>
    <definedName function="false" hidden="true" name="IQRIdentifiersH223" vbProcedure="false">#REF!</definedName>
    <definedName function="false" hidden="true" name="IQRIdentifiersH224" vbProcedure="false">#REF!</definedName>
    <definedName function="false" hidden="true" name="IQRIdentifiersH225" vbProcedure="false">#REF!</definedName>
    <definedName function="false" hidden="true" name="IQRIdentifiersH226" vbProcedure="false">#REF!</definedName>
    <definedName function="false" hidden="true" name="IQRIdentifiersH227" vbProcedure="false">#REF!</definedName>
    <definedName function="false" hidden="true" name="IQRIdentifiersH228" vbProcedure="false">#REF!</definedName>
    <definedName function="false" hidden="true" name="IQRIdentifiersH229" vbProcedure="false">#REF!</definedName>
    <definedName function="false" hidden="true" name="IQRIdentifiersH23" vbProcedure="false">#REF!</definedName>
    <definedName function="false" hidden="true" name="IQRIdentifiersH230" vbProcedure="false">#REF!</definedName>
    <definedName function="false" hidden="true" name="IQRIdentifiersH231" vbProcedure="false">#REF!</definedName>
    <definedName function="false" hidden="true" name="IQRIdentifiersH232" vbProcedure="false">#REF!</definedName>
    <definedName function="false" hidden="true" name="IQRIdentifiersH233" vbProcedure="false">#REF!</definedName>
    <definedName function="false" hidden="true" name="IQRIdentifiersH234" vbProcedure="false">#REF!</definedName>
    <definedName function="false" hidden="true" name="IQRIdentifiersH235" vbProcedure="false">#REF!</definedName>
    <definedName function="false" hidden="true" name="IQRIdentifiersH236" vbProcedure="false">#REF!</definedName>
    <definedName function="false" hidden="true" name="IQRIdentifiersH237" vbProcedure="false">#REF!</definedName>
    <definedName function="false" hidden="true" name="IQRIdentifiersH238" vbProcedure="false">#REF!</definedName>
    <definedName function="false" hidden="true" name="IQRIdentifiersH239" vbProcedure="false">#REF!</definedName>
    <definedName function="false" hidden="true" name="IQRIdentifiersH24" vbProcedure="false">#REF!</definedName>
    <definedName function="false" hidden="true" name="IQRIdentifiersH240" vbProcedure="false">#REF!</definedName>
    <definedName function="false" hidden="true" name="IQRIdentifiersH241" vbProcedure="false">#REF!</definedName>
    <definedName function="false" hidden="true" name="IQRIdentifiersH242" vbProcedure="false">#REF!</definedName>
    <definedName function="false" hidden="true" name="IQRIdentifiersH243" vbProcedure="false">#REF!</definedName>
    <definedName function="false" hidden="true" name="IQRIdentifiersH244" vbProcedure="false">#REF!</definedName>
    <definedName function="false" hidden="true" name="IQRIdentifiersH245" vbProcedure="false">#REF!</definedName>
    <definedName function="false" hidden="true" name="IQRIdentifiersH246" vbProcedure="false">#REF!</definedName>
    <definedName function="false" hidden="true" name="IQRIdentifiersH247" vbProcedure="false">#REF!</definedName>
    <definedName function="false" hidden="true" name="IQRIdentifiersH248" vbProcedure="false">#REF!</definedName>
    <definedName function="false" hidden="true" name="IQRIdentifiersH249" vbProcedure="false">#REF!</definedName>
    <definedName function="false" hidden="true" name="IQRIdentifiersH25" vbProcedure="false">#REF!</definedName>
    <definedName function="false" hidden="true" name="IQRIdentifiersH250" vbProcedure="false">#REF!</definedName>
    <definedName function="false" hidden="true" name="IQRIdentifiersH251" vbProcedure="false">#REF!</definedName>
    <definedName function="false" hidden="true" name="IQRIdentifiersH252" vbProcedure="false">#REF!</definedName>
    <definedName function="false" hidden="true" name="IQRIdentifiersH253" vbProcedure="false">#REF!</definedName>
    <definedName function="false" hidden="true" name="IQRIdentifiersH254" vbProcedure="false">#REF!</definedName>
    <definedName function="false" hidden="true" name="IQRIdentifiersH255" vbProcedure="false">#REF!</definedName>
    <definedName function="false" hidden="true" name="IQRIdentifiersH256" vbProcedure="false">#REF!</definedName>
    <definedName function="false" hidden="true" name="IQRIdentifiersH257" vbProcedure="false">#REF!</definedName>
    <definedName function="false" hidden="true" name="IQRIdentifiersH258" vbProcedure="false">#REF!</definedName>
    <definedName function="false" hidden="true" name="IQRIdentifiersH259" vbProcedure="false">#REF!</definedName>
    <definedName function="false" hidden="true" name="IQRIdentifiersH26" vbProcedure="false">#REF!</definedName>
    <definedName function="false" hidden="true" name="IQRIdentifiersH260" vbProcedure="false">#REF!</definedName>
    <definedName function="false" hidden="true" name="IQRIdentifiersH261" vbProcedure="false">#REF!</definedName>
    <definedName function="false" hidden="true" name="IQRIdentifiersH262" vbProcedure="false">#REF!</definedName>
    <definedName function="false" hidden="true" name="IQRIdentifiersH263" vbProcedure="false">#REF!</definedName>
    <definedName function="false" hidden="true" name="IQRIdentifiersH264" vbProcedure="false">#REF!</definedName>
    <definedName function="false" hidden="true" name="IQRIdentifiersH265" vbProcedure="false">#REF!</definedName>
    <definedName function="false" hidden="true" name="IQRIdentifiersH266" vbProcedure="false">#REF!</definedName>
    <definedName function="false" hidden="true" name="IQRIdentifiersH267" vbProcedure="false">#REF!</definedName>
    <definedName function="false" hidden="true" name="IQRIdentifiersH268" vbProcedure="false">#REF!</definedName>
    <definedName function="false" hidden="true" name="IQRIdentifiersH269" vbProcedure="false">#REF!</definedName>
    <definedName function="false" hidden="true" name="IQRIdentifiersH27" vbProcedure="false">#REF!</definedName>
    <definedName function="false" hidden="true" name="IQRIdentifiersH270" vbProcedure="false">#REF!</definedName>
    <definedName function="false" hidden="true" name="IQRIdentifiersH271" vbProcedure="false">#REF!</definedName>
    <definedName function="false" hidden="true" name="IQRIdentifiersH272" vbProcedure="false">#REF!</definedName>
    <definedName function="false" hidden="true" name="IQRIdentifiersH273" vbProcedure="false">#REF!</definedName>
    <definedName function="false" hidden="true" name="IQRIdentifiersH274" vbProcedure="false">#REF!</definedName>
    <definedName function="false" hidden="true" name="IQRIdentifiersH275" vbProcedure="false">#REF!</definedName>
    <definedName function="false" hidden="true" name="IQRIdentifiersH276" vbProcedure="false">#REF!</definedName>
    <definedName function="false" hidden="true" name="IQRIdentifiersH277" vbProcedure="false">#REF!</definedName>
    <definedName function="false" hidden="true" name="IQRIdentifiersH278" vbProcedure="false">#REF!</definedName>
    <definedName function="false" hidden="true" name="IQRIdentifiersH279" vbProcedure="false">#REF!</definedName>
    <definedName function="false" hidden="true" name="IQRIdentifiersH28" vbProcedure="false">#REF!</definedName>
    <definedName function="false" hidden="true" name="IQRIdentifiersH280" vbProcedure="false">#REF!</definedName>
    <definedName function="false" hidden="true" name="IQRIdentifiersH281" vbProcedure="false">#REF!</definedName>
    <definedName function="false" hidden="true" name="IQRIdentifiersH282" vbProcedure="false">#REF!</definedName>
    <definedName function="false" hidden="true" name="IQRIdentifiersH283" vbProcedure="false">#REF!</definedName>
    <definedName function="false" hidden="true" name="IQRIdentifiersH284" vbProcedure="false">#REF!</definedName>
    <definedName function="false" hidden="true" name="IQRIdentifiersH285" vbProcedure="false">#REF!</definedName>
    <definedName function="false" hidden="true" name="IQRIdentifiersH286" vbProcedure="false">#REF!</definedName>
    <definedName function="false" hidden="true" name="IQRIdentifiersH287" vbProcedure="false">#REF!</definedName>
    <definedName function="false" hidden="true" name="IQRIdentifiersH288" vbProcedure="false">#REF!</definedName>
    <definedName function="false" hidden="true" name="IQRIdentifiersH289" vbProcedure="false">#REF!</definedName>
    <definedName function="false" hidden="true" name="IQRIdentifiersH29" vbProcedure="false">#REF!</definedName>
    <definedName function="false" hidden="true" name="IQRIdentifiersH290" vbProcedure="false">#REF!</definedName>
    <definedName function="false" hidden="true" name="IQRIdentifiersH291" vbProcedure="false">#REF!</definedName>
    <definedName function="false" hidden="true" name="IQRIdentifiersH292" vbProcedure="false">#REF!</definedName>
    <definedName function="false" hidden="true" name="IQRIdentifiersH293" vbProcedure="false">#REF!</definedName>
    <definedName function="false" hidden="true" name="IQRIdentifiersH294" vbProcedure="false">#REF!</definedName>
    <definedName function="false" hidden="true" name="IQRIdentifiersH295" vbProcedure="false">#REF!</definedName>
    <definedName function="false" hidden="true" name="IQRIdentifiersH296" vbProcedure="false">#REF!</definedName>
    <definedName function="false" hidden="true" name="IQRIdentifiersH297" vbProcedure="false">#REF!</definedName>
    <definedName function="false" hidden="true" name="IQRIdentifiersH298" vbProcedure="false">#REF!</definedName>
    <definedName function="false" hidden="true" name="IQRIdentifiersH299" vbProcedure="false">#REF!</definedName>
    <definedName function="false" hidden="true" name="IQRIdentifiersH30" vbProcedure="false">#REF!</definedName>
    <definedName function="false" hidden="true" name="IQRIdentifiersH300" vbProcedure="false">#REF!</definedName>
    <definedName function="false" hidden="true" name="IQRIdentifiersH301" vbProcedure="false">#REF!</definedName>
    <definedName function="false" hidden="true" name="IQRIdentifiersH302" vbProcedure="false">#REF!</definedName>
    <definedName function="false" hidden="true" name="IQRIdentifiersH303" vbProcedure="false">#REF!</definedName>
    <definedName function="false" hidden="true" name="IQRIdentifiersH304" vbProcedure="false">#REF!</definedName>
    <definedName function="false" hidden="true" name="IQRIdentifiersH305" vbProcedure="false">#REF!</definedName>
    <definedName function="false" hidden="true" name="IQRIdentifiersH306" vbProcedure="false">#REF!</definedName>
    <definedName function="false" hidden="true" name="IQRIdentifiersH307" vbProcedure="false">#REF!</definedName>
    <definedName function="false" hidden="true" name="IQRIdentifiersH308" vbProcedure="false">#REF!</definedName>
    <definedName function="false" hidden="true" name="IQRIdentifiersH309" vbProcedure="false">#REF!</definedName>
    <definedName function="false" hidden="true" name="IQRIdentifiersH31" vbProcedure="false">#REF!</definedName>
    <definedName function="false" hidden="true" name="IQRIdentifiersH310" vbProcedure="false">#REF!</definedName>
    <definedName function="false" hidden="true" name="IQRIdentifiersH311" vbProcedure="false">#REF!</definedName>
    <definedName function="false" hidden="true" name="IQRIdentifiersH312" vbProcedure="false">#REF!</definedName>
    <definedName function="false" hidden="true" name="IQRIdentifiersH313" vbProcedure="false">#REF!</definedName>
    <definedName function="false" hidden="true" name="IQRIdentifiersH314" vbProcedure="false">#REF!</definedName>
    <definedName function="false" hidden="true" name="IQRIdentifiersH315" vbProcedure="false">#REF!</definedName>
    <definedName function="false" hidden="true" name="IQRIdentifiersH316" vbProcedure="false">#REF!</definedName>
    <definedName function="false" hidden="true" name="IQRIdentifiersH317" vbProcedure="false">#REF!</definedName>
    <definedName function="false" hidden="true" name="IQRIdentifiersH318" vbProcedure="false">#REF!</definedName>
    <definedName function="false" hidden="true" name="IQRIdentifiersH319" vbProcedure="false">#REF!</definedName>
    <definedName function="false" hidden="true" name="IQRIdentifiersH32" vbProcedure="false">#REF!</definedName>
    <definedName function="false" hidden="true" name="IQRIdentifiersH320" vbProcedure="false">#REF!</definedName>
    <definedName function="false" hidden="true" name="IQRIdentifiersH321" vbProcedure="false">#REF!</definedName>
    <definedName function="false" hidden="true" name="IQRIdentifiersH322" vbProcedure="false">#REF!</definedName>
    <definedName function="false" hidden="true" name="IQRIdentifiersH323" vbProcedure="false">#REF!</definedName>
    <definedName function="false" hidden="true" name="IQRIdentifiersH324" vbProcedure="false">#REF!</definedName>
    <definedName function="false" hidden="true" name="IQRIdentifiersH325" vbProcedure="false">#REF!</definedName>
    <definedName function="false" hidden="true" name="IQRIdentifiersH326" vbProcedure="false">#REF!</definedName>
    <definedName function="false" hidden="true" name="IQRIdentifiersH327" vbProcedure="false">#REF!</definedName>
    <definedName function="false" hidden="true" name="IQRIdentifiersH328" vbProcedure="false">#REF!</definedName>
    <definedName function="false" hidden="true" name="IQRIdentifiersH329" vbProcedure="false">#REF!</definedName>
    <definedName function="false" hidden="true" name="IQRIdentifiersH33" vbProcedure="false">#REF!</definedName>
    <definedName function="false" hidden="true" name="IQRIdentifiersH330" vbProcedure="false">#REF!</definedName>
    <definedName function="false" hidden="true" name="IQRIdentifiersH331" vbProcedure="false">#REF!</definedName>
    <definedName function="false" hidden="true" name="IQRIdentifiersH332" vbProcedure="false">#REF!</definedName>
    <definedName function="false" hidden="true" name="IQRIdentifiersH333" vbProcedure="false">#REF!</definedName>
    <definedName function="false" hidden="true" name="IQRIdentifiersH334" vbProcedure="false">#REF!</definedName>
    <definedName function="false" hidden="true" name="IQRIdentifiersH335" vbProcedure="false">#REF!</definedName>
    <definedName function="false" hidden="true" name="IQRIdentifiersH336" vbProcedure="false">#REF!</definedName>
    <definedName function="false" hidden="true" name="IQRIdentifiersH337" vbProcedure="false">#REF!</definedName>
    <definedName function="false" hidden="true" name="IQRIdentifiersH338" vbProcedure="false">#REF!</definedName>
    <definedName function="false" hidden="true" name="IQRIdentifiersH339" vbProcedure="false">#REF!</definedName>
    <definedName function="false" hidden="true" name="IQRIdentifiersH34" vbProcedure="false">#REF!</definedName>
    <definedName function="false" hidden="true" name="IQRIdentifiersH340" vbProcedure="false">#REF!</definedName>
    <definedName function="false" hidden="true" name="IQRIdentifiersH341" vbProcedure="false">#REF!</definedName>
    <definedName function="false" hidden="true" name="IQRIdentifiersH342" vbProcedure="false">#REF!</definedName>
    <definedName function="false" hidden="true" name="IQRIdentifiersH343" vbProcedure="false">#REF!</definedName>
    <definedName function="false" hidden="true" name="IQRIdentifiersH344" vbProcedure="false">#REF!</definedName>
    <definedName function="false" hidden="true" name="IQRIdentifiersH345" vbProcedure="false">#REF!</definedName>
    <definedName function="false" hidden="true" name="IQRIdentifiersH346" vbProcedure="false">#REF!</definedName>
    <definedName function="false" hidden="true" name="IQRIdentifiersH347" vbProcedure="false">#REF!</definedName>
    <definedName function="false" hidden="true" name="IQRIdentifiersH348" vbProcedure="false">#REF!</definedName>
    <definedName function="false" hidden="true" name="IQRIdentifiersH349" vbProcedure="false">#REF!</definedName>
    <definedName function="false" hidden="true" name="IQRIdentifiersH35" vbProcedure="false">#REF!</definedName>
    <definedName function="false" hidden="true" name="IQRIdentifiersH350" vbProcedure="false">#REF!</definedName>
    <definedName function="false" hidden="true" name="IQRIdentifiersH351" vbProcedure="false">#REF!</definedName>
    <definedName function="false" hidden="true" name="IQRIdentifiersH352" vbProcedure="false">#REF!</definedName>
    <definedName function="false" hidden="true" name="IQRIdentifiersH353" vbProcedure="false">#REF!</definedName>
    <definedName function="false" hidden="true" name="IQRIdentifiersH354" vbProcedure="false">#REF!</definedName>
    <definedName function="false" hidden="true" name="IQRIdentifiersH355" vbProcedure="false">#REF!</definedName>
    <definedName function="false" hidden="true" name="IQRIdentifiersH356" vbProcedure="false">#REF!</definedName>
    <definedName function="false" hidden="true" name="IQRIdentifiersH357" vbProcedure="false">#REF!</definedName>
    <definedName function="false" hidden="true" name="IQRIdentifiersH358" vbProcedure="false">#REF!</definedName>
    <definedName function="false" hidden="true" name="IQRIdentifiersH359" vbProcedure="false">#REF!</definedName>
    <definedName function="false" hidden="true" name="IQRIdentifiersH36" vbProcedure="false">#REF!</definedName>
    <definedName function="false" hidden="true" name="IQRIdentifiersH360" vbProcedure="false">#REF!</definedName>
    <definedName function="false" hidden="true" name="IQRIdentifiersH361" vbProcedure="false">#REF!</definedName>
    <definedName function="false" hidden="true" name="IQRIdentifiersH362" vbProcedure="false">#REF!</definedName>
    <definedName function="false" hidden="true" name="IQRIdentifiersH363" vbProcedure="false">#REF!</definedName>
    <definedName function="false" hidden="true" name="IQRIdentifiersH364" vbProcedure="false">#REF!</definedName>
    <definedName function="false" hidden="true" name="IQRIdentifiersH365" vbProcedure="false">#REF!</definedName>
    <definedName function="false" hidden="true" name="IQRIdentifiersH366" vbProcedure="false">#REF!</definedName>
    <definedName function="false" hidden="true" name="IQRIdentifiersH367" vbProcedure="false">#REF!</definedName>
    <definedName function="false" hidden="true" name="IQRIdentifiersH368" vbProcedure="false">#REF!</definedName>
    <definedName function="false" hidden="true" name="IQRIdentifiersH369" vbProcedure="false">#REF!</definedName>
    <definedName function="false" hidden="true" name="IQRIdentifiersH37" vbProcedure="false">#REF!</definedName>
    <definedName function="false" hidden="true" name="IQRIdentifiersH370" vbProcedure="false">#REF!</definedName>
    <definedName function="false" hidden="true" name="IQRIdentifiersH371" vbProcedure="false">#REF!</definedName>
    <definedName function="false" hidden="true" name="IQRIdentifiersH372" vbProcedure="false">#REF!</definedName>
    <definedName function="false" hidden="true" name="IQRIdentifiersH373" vbProcedure="false">#REF!</definedName>
    <definedName function="false" hidden="true" name="IQRIdentifiersH374" vbProcedure="false">#REF!</definedName>
    <definedName function="false" hidden="true" name="IQRIdentifiersH375" vbProcedure="false">#REF!</definedName>
    <definedName function="false" hidden="true" name="IQRIdentifiersH376" vbProcedure="false">#REF!</definedName>
    <definedName function="false" hidden="true" name="IQRIdentifiersH377" vbProcedure="false">#REF!</definedName>
    <definedName function="false" hidden="true" name="IQRIdentifiersH378" vbProcedure="false">#REF!</definedName>
    <definedName function="false" hidden="true" name="IQRIdentifiersH379" vbProcedure="false">#REF!</definedName>
    <definedName function="false" hidden="true" name="IQRIdentifiersH38" vbProcedure="false">#REF!</definedName>
    <definedName function="false" hidden="true" name="IQRIdentifiersH380" vbProcedure="false">#REF!</definedName>
    <definedName function="false" hidden="true" name="IQRIdentifiersH381" vbProcedure="false">#REF!</definedName>
    <definedName function="false" hidden="true" name="IQRIdentifiersH382" vbProcedure="false">#REF!</definedName>
    <definedName function="false" hidden="true" name="IQRIdentifiersH383" vbProcedure="false">#REF!</definedName>
    <definedName function="false" hidden="true" name="IQRIdentifiersH384" vbProcedure="false">#REF!</definedName>
    <definedName function="false" hidden="true" name="IQRIdentifiersH385" vbProcedure="false">#REF!</definedName>
    <definedName function="false" hidden="true" name="IQRIdentifiersH386" vbProcedure="false">#REF!</definedName>
    <definedName function="false" hidden="true" name="IQRIdentifiersH387" vbProcedure="false">#REF!</definedName>
    <definedName function="false" hidden="true" name="IQRIdentifiersH388" vbProcedure="false">#REF!</definedName>
    <definedName function="false" hidden="true" name="IQRIdentifiersH389" vbProcedure="false">#REF!</definedName>
    <definedName function="false" hidden="true" name="IQRIdentifiersH39" vbProcedure="false">#REF!</definedName>
    <definedName function="false" hidden="true" name="IQRIdentifiersH390" vbProcedure="false">#REF!</definedName>
    <definedName function="false" hidden="true" name="IQRIdentifiersH391" vbProcedure="false">#REF!</definedName>
    <definedName function="false" hidden="true" name="IQRIdentifiersH392" vbProcedure="false">#REF!</definedName>
    <definedName function="false" hidden="true" name="IQRIdentifiersH393" vbProcedure="false">#REF!</definedName>
    <definedName function="false" hidden="true" name="IQRIdentifiersH394" vbProcedure="false">#REF!</definedName>
    <definedName function="false" hidden="true" name="IQRIdentifiersH395" vbProcedure="false">#REF!</definedName>
    <definedName function="false" hidden="true" name="IQRIdentifiersH396" vbProcedure="false">#REF!</definedName>
    <definedName function="false" hidden="true" name="IQRIdentifiersH397" vbProcedure="false">#REF!</definedName>
    <definedName function="false" hidden="true" name="IQRIdentifiersH398" vbProcedure="false">#REF!</definedName>
    <definedName function="false" hidden="true" name="IQRIdentifiersH399" vbProcedure="false">#REF!</definedName>
    <definedName function="false" hidden="true" name="IQRIdentifiersH40" vbProcedure="false">#REF!</definedName>
    <definedName function="false" hidden="true" name="IQRIdentifiersH400" vbProcedure="false">#REF!</definedName>
    <definedName function="false" hidden="true" name="IQRIdentifiersH401" vbProcedure="false">#REF!</definedName>
    <definedName function="false" hidden="true" name="IQRIdentifiersH402" vbProcedure="false">#REF!</definedName>
    <definedName function="false" hidden="true" name="IQRIdentifiersH403" vbProcedure="false">#REF!</definedName>
    <definedName function="false" hidden="true" name="IQRIdentifiersH404" vbProcedure="false">#REF!</definedName>
    <definedName function="false" hidden="true" name="IQRIdentifiersH405" vbProcedure="false">#REF!</definedName>
    <definedName function="false" hidden="true" name="IQRIdentifiersH406" vbProcedure="false">#REF!</definedName>
    <definedName function="false" hidden="true" name="IQRIdentifiersH407" vbProcedure="false">#REF!</definedName>
    <definedName function="false" hidden="true" name="IQRIdentifiersH408" vbProcedure="false">#REF!</definedName>
    <definedName function="false" hidden="true" name="IQRIdentifiersH409" vbProcedure="false">#REF!</definedName>
    <definedName function="false" hidden="true" name="IQRIdentifiersH41" vbProcedure="false">#REF!</definedName>
    <definedName function="false" hidden="true" name="IQRIdentifiersH410" vbProcedure="false">#REF!</definedName>
    <definedName function="false" hidden="true" name="IQRIdentifiersH411" vbProcedure="false">#REF!</definedName>
    <definedName function="false" hidden="true" name="IQRIdentifiersH412" vbProcedure="false">#REF!</definedName>
    <definedName function="false" hidden="true" name="IQRIdentifiersH413" vbProcedure="false">#REF!</definedName>
    <definedName function="false" hidden="true" name="IQRIdentifiersH414" vbProcedure="false">#REF!</definedName>
    <definedName function="false" hidden="true" name="IQRIdentifiersH415" vbProcedure="false">#REF!</definedName>
    <definedName function="false" hidden="true" name="IQRIdentifiersH416" vbProcedure="false">#REF!</definedName>
    <definedName function="false" hidden="true" name="IQRIdentifiersH417" vbProcedure="false">#REF!</definedName>
    <definedName function="false" hidden="true" name="IQRIdentifiersH418" vbProcedure="false">#REF!</definedName>
    <definedName function="false" hidden="true" name="IQRIdentifiersH419" vbProcedure="false">#REF!</definedName>
    <definedName function="false" hidden="true" name="IQRIdentifiersH42" vbProcedure="false">#REF!</definedName>
    <definedName function="false" hidden="true" name="IQRIdentifiersH420" vbProcedure="false">#REF!</definedName>
    <definedName function="false" hidden="true" name="IQRIdentifiersH421" vbProcedure="false">#REF!</definedName>
    <definedName function="false" hidden="true" name="IQRIdentifiersH422" vbProcedure="false">#REF!</definedName>
    <definedName function="false" hidden="true" name="IQRIdentifiersH423" vbProcedure="false">#REF!</definedName>
    <definedName function="false" hidden="true" name="IQRIdentifiersH424" vbProcedure="false">#REF!</definedName>
    <definedName function="false" hidden="true" name="IQRIdentifiersH425" vbProcedure="false">#REF!</definedName>
    <definedName function="false" hidden="true" name="IQRIdentifiersH426" vbProcedure="false">#REF!</definedName>
    <definedName function="false" hidden="true" name="IQRIdentifiersH427" vbProcedure="false">#REF!</definedName>
    <definedName function="false" hidden="true" name="IQRIdentifiersH428" vbProcedure="false">#REF!</definedName>
    <definedName function="false" hidden="true" name="IQRIdentifiersH429" vbProcedure="false">#REF!</definedName>
    <definedName function="false" hidden="true" name="IQRIdentifiersH43" vbProcedure="false">#REF!</definedName>
    <definedName function="false" hidden="true" name="IQRIdentifiersH430" vbProcedure="false">#REF!</definedName>
    <definedName function="false" hidden="true" name="IQRIdentifiersH431" vbProcedure="false">#REF!</definedName>
    <definedName function="false" hidden="true" name="IQRIdentifiersH432" vbProcedure="false">#REF!</definedName>
    <definedName function="false" hidden="true" name="IQRIdentifiersH433" vbProcedure="false">#REF!</definedName>
    <definedName function="false" hidden="true" name="IQRIdentifiersH434" vbProcedure="false">#REF!</definedName>
    <definedName function="false" hidden="true" name="IQRIdentifiersH435" vbProcedure="false">#REF!</definedName>
    <definedName function="false" hidden="true" name="IQRIdentifiersH436" vbProcedure="false">#REF!</definedName>
    <definedName function="false" hidden="true" name="IQRIdentifiersH437" vbProcedure="false">#REF!</definedName>
    <definedName function="false" hidden="true" name="IQRIdentifiersH438" vbProcedure="false">#REF!</definedName>
    <definedName function="false" hidden="true" name="IQRIdentifiersH439" vbProcedure="false">#REF!</definedName>
    <definedName function="false" hidden="true" name="IQRIdentifiersH44" vbProcedure="false">#REF!</definedName>
    <definedName function="false" hidden="true" name="IQRIdentifiersH440" vbProcedure="false">#REF!</definedName>
    <definedName function="false" hidden="true" name="IQRIdentifiersH441" vbProcedure="false">#REF!</definedName>
    <definedName function="false" hidden="true" name="IQRIdentifiersH442" vbProcedure="false">#REF!</definedName>
    <definedName function="false" hidden="true" name="IQRIdentifiersH443" vbProcedure="false">#REF!</definedName>
    <definedName function="false" hidden="true" name="IQRIdentifiersH444" vbProcedure="false">#REF!</definedName>
    <definedName function="false" hidden="true" name="IQRIdentifiersH445" vbProcedure="false">#REF!</definedName>
    <definedName function="false" hidden="true" name="IQRIdentifiersH446" vbProcedure="false">#REF!</definedName>
    <definedName function="false" hidden="true" name="IQRIdentifiersH447" vbProcedure="false">#REF!</definedName>
    <definedName function="false" hidden="true" name="IQRIdentifiersH448" vbProcedure="false">#REF!</definedName>
    <definedName function="false" hidden="true" name="IQRIdentifiersH449" vbProcedure="false">#REF!</definedName>
    <definedName function="false" hidden="true" name="IQRIdentifiersH45" vbProcedure="false">#REF!</definedName>
    <definedName function="false" hidden="true" name="IQRIdentifiersH450" vbProcedure="false">#REF!</definedName>
    <definedName function="false" hidden="true" name="IQRIdentifiersH451" vbProcedure="false">#REF!</definedName>
    <definedName function="false" hidden="true" name="IQRIdentifiersH452" vbProcedure="false">#REF!</definedName>
    <definedName function="false" hidden="true" name="IQRIdentifiersH453" vbProcedure="false">#REF!</definedName>
    <definedName function="false" hidden="true" name="IQRIdentifiersH454" vbProcedure="false">#REF!</definedName>
    <definedName function="false" hidden="true" name="IQRIdentifiersH455" vbProcedure="false">#REF!</definedName>
    <definedName function="false" hidden="true" name="IQRIdentifiersH456" vbProcedure="false">#REF!</definedName>
    <definedName function="false" hidden="true" name="IQRIdentifiersH457" vbProcedure="false">#REF!</definedName>
    <definedName function="false" hidden="true" name="IQRIdentifiersH458" vbProcedure="false">#REF!</definedName>
    <definedName function="false" hidden="true" name="IQRIdentifiersH459" vbProcedure="false">#REF!</definedName>
    <definedName function="false" hidden="true" name="IQRIdentifiersH46" vbProcedure="false">#REF!</definedName>
    <definedName function="false" hidden="true" name="IQRIdentifiersH460" vbProcedure="false">#REF!</definedName>
    <definedName function="false" hidden="true" name="IQRIdentifiersH461" vbProcedure="false">#REF!</definedName>
    <definedName function="false" hidden="true" name="IQRIdentifiersH462" vbProcedure="false">#REF!</definedName>
    <definedName function="false" hidden="true" name="IQRIdentifiersH463" vbProcedure="false">#REF!</definedName>
    <definedName function="false" hidden="true" name="IQRIdentifiersH464" vbProcedure="false">#REF!</definedName>
    <definedName function="false" hidden="true" name="IQRIdentifiersH465" vbProcedure="false">#REF!</definedName>
    <definedName function="false" hidden="true" name="IQRIdentifiersH466" vbProcedure="false">#REF!</definedName>
    <definedName function="false" hidden="true" name="IQRIdentifiersH467" vbProcedure="false">#REF!</definedName>
    <definedName function="false" hidden="true" name="IQRIdentifiersH468" vbProcedure="false">#REF!</definedName>
    <definedName function="false" hidden="true" name="IQRIdentifiersH469" vbProcedure="false">#REF!</definedName>
    <definedName function="false" hidden="true" name="IQRIdentifiersH47" vbProcedure="false">#REF!</definedName>
    <definedName function="false" hidden="true" name="IQRIdentifiersH470" vbProcedure="false">#REF!</definedName>
    <definedName function="false" hidden="true" name="IQRIdentifiersH471" vbProcedure="false">#REF!</definedName>
    <definedName function="false" hidden="true" name="IQRIdentifiersH472" vbProcedure="false">#REF!</definedName>
    <definedName function="false" hidden="true" name="IQRIdentifiersH473" vbProcedure="false">#REF!</definedName>
    <definedName function="false" hidden="true" name="IQRIdentifiersH474" vbProcedure="false">#REF!</definedName>
    <definedName function="false" hidden="true" name="IQRIdentifiersH475" vbProcedure="false">#REF!</definedName>
    <definedName function="false" hidden="true" name="IQRIdentifiersH476" vbProcedure="false">#REF!</definedName>
    <definedName function="false" hidden="true" name="IQRIdentifiersH477" vbProcedure="false">#REF!</definedName>
    <definedName function="false" hidden="true" name="IQRIdentifiersH478" vbProcedure="false">#REF!</definedName>
    <definedName function="false" hidden="true" name="IQRIdentifiersH479" vbProcedure="false">#REF!</definedName>
    <definedName function="false" hidden="true" name="IQRIdentifiersH48" vbProcedure="false">#REF!</definedName>
    <definedName function="false" hidden="true" name="IQRIdentifiersH480" vbProcedure="false">#REF!</definedName>
    <definedName function="false" hidden="true" name="IQRIdentifiersH481" vbProcedure="false">#REF!</definedName>
    <definedName function="false" hidden="true" name="IQRIdentifiersH482" vbProcedure="false">#REF!</definedName>
    <definedName function="false" hidden="true" name="IQRIdentifiersH483" vbProcedure="false">#REF!</definedName>
    <definedName function="false" hidden="true" name="IQRIdentifiersH484" vbProcedure="false">#REF!</definedName>
    <definedName function="false" hidden="true" name="IQRIdentifiersH485" vbProcedure="false">#REF!</definedName>
    <definedName function="false" hidden="true" name="IQRIdentifiersH486" vbProcedure="false">#REF!</definedName>
    <definedName function="false" hidden="true" name="IQRIdentifiersH487" vbProcedure="false">#REF!</definedName>
    <definedName function="false" hidden="true" name="IQRIdentifiersH488" vbProcedure="false">#REF!</definedName>
    <definedName function="false" hidden="true" name="IQRIdentifiersH489" vbProcedure="false">#REF!</definedName>
    <definedName function="false" hidden="true" name="IQRIdentifiersH49" vbProcedure="false">#REF!</definedName>
    <definedName function="false" hidden="true" name="IQRIdentifiersH490" vbProcedure="false">#REF!</definedName>
    <definedName function="false" hidden="true" name="IQRIdentifiersH491" vbProcedure="false">#REF!</definedName>
    <definedName function="false" hidden="true" name="IQRIdentifiersH492" vbProcedure="false">#REF!</definedName>
    <definedName function="false" hidden="true" name="IQRIdentifiersH493" vbProcedure="false">#REF!</definedName>
    <definedName function="false" hidden="true" name="IQRIdentifiersH494" vbProcedure="false">#REF!</definedName>
    <definedName function="false" hidden="true" name="IQRIdentifiersH495" vbProcedure="false">#REF!</definedName>
    <definedName function="false" hidden="true" name="IQRIdentifiersH496" vbProcedure="false">#REF!</definedName>
    <definedName function="false" hidden="true" name="IQRIdentifiersH497" vbProcedure="false">#REF!</definedName>
    <definedName function="false" hidden="true" name="IQRIdentifiersH498" vbProcedure="false">#REF!</definedName>
    <definedName function="false" hidden="true" name="IQRIdentifiersH499" vbProcedure="false">#REF!</definedName>
    <definedName function="false" hidden="true" name="IQRIdentifiersH50" vbProcedure="false">#REF!</definedName>
    <definedName function="false" hidden="true" name="IQRIdentifiersH500" vbProcedure="false">#REF!</definedName>
    <definedName function="false" hidden="true" name="IQRIdentifiersH501" vbProcedure="false">#REF!</definedName>
    <definedName function="false" hidden="true" name="IQRIdentifiersH502" vbProcedure="false">#REF!</definedName>
    <definedName function="false" hidden="true" name="IQRIdentifiersH503" vbProcedure="false">#REF!</definedName>
    <definedName function="false" hidden="true" name="IQRIdentifiersH504" vbProcedure="false">#REF!</definedName>
    <definedName function="false" hidden="true" name="IQRIdentifiersH505" vbProcedure="false">#REF!</definedName>
    <definedName function="false" hidden="true" name="IQRIdentifiersH506" vbProcedure="false">#REF!</definedName>
    <definedName function="false" hidden="true" name="IQRIdentifiersH507" vbProcedure="false">#REF!</definedName>
    <definedName function="false" hidden="true" name="IQRIdentifiersH51" vbProcedure="false">#REF!</definedName>
    <definedName function="false" hidden="true" name="IQRIdentifiersH52" vbProcedure="false">#REF!</definedName>
    <definedName function="false" hidden="true" name="IQRIdentifiersH53" vbProcedure="false">#REF!</definedName>
    <definedName function="false" hidden="true" name="IQRIdentifiersH54" vbProcedure="false">#REF!</definedName>
    <definedName function="false" hidden="true" name="IQRIdentifiersH55" vbProcedure="false">#REF!</definedName>
    <definedName function="false" hidden="true" name="IQRIdentifiersH56" vbProcedure="false">#REF!</definedName>
    <definedName function="false" hidden="true" name="IQRIdentifiersH57" vbProcedure="false">#REF!</definedName>
    <definedName function="false" hidden="true" name="IQRIdentifiersH58" vbProcedure="false">#REF!</definedName>
    <definedName function="false" hidden="true" name="IQRIdentifiersH59" vbProcedure="false">#REF!</definedName>
    <definedName function="false" hidden="true" name="IQRIdentifiersH60" vbProcedure="false">#REF!</definedName>
    <definedName function="false" hidden="true" name="IQRIdentifiersH61" vbProcedure="false">#REF!</definedName>
    <definedName function="false" hidden="true" name="IQRIdentifiersH62" vbProcedure="false">#REF!</definedName>
    <definedName function="false" hidden="true" name="IQRIdentifiersH63" vbProcedure="false">#REF!</definedName>
    <definedName function="false" hidden="true" name="IQRIdentifiersH64" vbProcedure="false">#REF!</definedName>
    <definedName function="false" hidden="true" name="IQRIdentifiersH65" vbProcedure="false">#REF!</definedName>
    <definedName function="false" hidden="true" name="IQRIdentifiersH66" vbProcedure="false">#REF!</definedName>
    <definedName function="false" hidden="true" name="IQRIdentifiersH67" vbProcedure="false">#REF!</definedName>
    <definedName function="false" hidden="true" name="IQRIdentifiersH68" vbProcedure="false">#REF!</definedName>
    <definedName function="false" hidden="true" name="IQRIdentifiersH69" vbProcedure="false">#REF!</definedName>
    <definedName function="false" hidden="true" name="IQRIdentifiersH70" vbProcedure="false">#REF!</definedName>
    <definedName function="false" hidden="true" name="IQRIdentifiersH71" vbProcedure="false">#REF!</definedName>
    <definedName function="false" hidden="true" name="IQRIdentifiersH72" vbProcedure="false">#REF!</definedName>
    <definedName function="false" hidden="true" name="IQRIdentifiersH73" vbProcedure="false">#REF!</definedName>
    <definedName function="false" hidden="true" name="IQRIdentifiersH74" vbProcedure="false">#REF!</definedName>
    <definedName function="false" hidden="true" name="IQRIdentifiersH75" vbProcedure="false">#REF!</definedName>
    <definedName function="false" hidden="true" name="IQRIdentifiersH76" vbProcedure="false">#REF!</definedName>
    <definedName function="false" hidden="true" name="IQRIdentifiersH77" vbProcedure="false">#REF!</definedName>
    <definedName function="false" hidden="true" name="IQRIdentifiersH78" vbProcedure="false">#REF!</definedName>
    <definedName function="false" hidden="true" name="IQRIdentifiersH79" vbProcedure="false">#REF!</definedName>
    <definedName function="false" hidden="true" name="IQRIdentifiersH8" vbProcedure="false">#REF!</definedName>
    <definedName function="false" hidden="true" name="IQRIdentifiersH80" vbProcedure="false">#REF!</definedName>
    <definedName function="false" hidden="true" name="IQRIdentifiersH81" vbProcedure="false">#REF!</definedName>
    <definedName function="false" hidden="true" name="IQRIdentifiersH82" vbProcedure="false">#REF!</definedName>
    <definedName function="false" hidden="true" name="IQRIdentifiersH83" vbProcedure="false">#REF!</definedName>
    <definedName function="false" hidden="true" name="IQRIdentifiersH84" vbProcedure="false">#REF!</definedName>
    <definedName function="false" hidden="true" name="IQRIdentifiersH85" vbProcedure="false">#REF!</definedName>
    <definedName function="false" hidden="true" name="IQRIdentifiersH86" vbProcedure="false">#REF!</definedName>
    <definedName function="false" hidden="true" name="IQRIdentifiersH87" vbProcedure="false">#REF!</definedName>
    <definedName function="false" hidden="true" name="IQRIdentifiersH88" vbProcedure="false">#REF!</definedName>
    <definedName function="false" hidden="true" name="IQRIdentifiersH89" vbProcedure="false">#REF!</definedName>
    <definedName function="false" hidden="true" name="IQRIdentifiersH9" vbProcedure="false">#REF!</definedName>
    <definedName function="false" hidden="true" name="IQRIdentifiersH90" vbProcedure="false">#REF!</definedName>
    <definedName function="false" hidden="true" name="IQRIdentifiersH91" vbProcedure="false">#REF!</definedName>
    <definedName function="false" hidden="true" name="IQRIdentifiersH92" vbProcedure="false">#REF!</definedName>
    <definedName function="false" hidden="true" name="IQRIdentifiersH93" vbProcedure="false">#REF!</definedName>
    <definedName function="false" hidden="true" name="IQRIdentifiersH94" vbProcedure="false">#REF!</definedName>
    <definedName function="false" hidden="true" name="IQRIdentifiersH95" vbProcedure="false">#REF!</definedName>
    <definedName function="false" hidden="true" name="IQRIdentifiersH96" vbProcedure="false">#REF!</definedName>
    <definedName function="false" hidden="true" name="IQRIdentifiersH97" vbProcedure="false">#REF!</definedName>
    <definedName function="false" hidden="true" name="IQRIdentifiersH98" vbProcedure="false">#REF!</definedName>
    <definedName function="false" hidden="true" name="IQRIdentifiersH99" vbProcedure="false">#REF!</definedName>
    <definedName function="false" hidden="true" name="IQRIdentifiersI8" vbProcedure="false">#REF!</definedName>
    <definedName function="false" hidden="true" name="IQRIdentifiersJ14" vbProcedure="false">#REF!</definedName>
    <definedName function="false" hidden="true" name="IQRIdentifiersK8" vbProcedure="false">#REF!</definedName>
    <definedName function="false" hidden="true" name="IQRIndexDataA8" vbProcedure="false">#REF!</definedName>
    <definedName function="false" hidden="true" name="IQRInputH15" vbProcedure="false">#REF!</definedName>
    <definedName function="false" hidden="true" name="IQRInputsC1" vbProcedure="false">#REF!</definedName>
    <definedName function="false" hidden="true" name="IQRInputTabC14" vbProcedure="false">#REF!</definedName>
    <definedName function="false" hidden="true" name="IQRInterestRateDataA4" vbProcedure="false">#REF!</definedName>
    <definedName function="false" hidden="true" name="IQRIQ_YieldCurvesAQ76" vbProcedure="false">#REF!</definedName>
    <definedName function="false" hidden="true" name="IQRIssuerTransparencyAX3" vbProcedure="false">#REF!</definedName>
    <definedName function="false" hidden="true" name="IQRIssuerTransparencyAX4" vbProcedure="false">#REF!</definedName>
    <definedName function="false" hidden="true" name="IQRIssuerTransparencyBV3" vbProcedure="false">#REF!</definedName>
    <definedName function="false" hidden="true" name="IQRIssuerTransparencyT3" vbProcedure="false">#REF!</definedName>
    <definedName function="false" hidden="true" name="IQRIssuerTransparencyU3" vbProcedure="false">#REF!</definedName>
    <definedName function="false" hidden="true" name="IQRIssuerTransparencyV3" vbProcedure="false">#REF!</definedName>
    <definedName function="false" hidden="true" name="IQRIssuesD1" vbProcedure="false">#REF!</definedName>
    <definedName function="false" hidden="true" name="IQRIssuesD10" vbProcedure="false">#REF!</definedName>
    <definedName function="false" hidden="true" name="IQRIssuesD11" vbProcedure="false">#REF!</definedName>
    <definedName function="false" hidden="true" name="IQRIssuesD12" vbProcedure="false">#REF!</definedName>
    <definedName function="false" hidden="true" name="IQRIssuesD13" vbProcedure="false">#REF!</definedName>
    <definedName function="false" hidden="true" name="IQRIssuesD14" vbProcedure="false">#REF!</definedName>
    <definedName function="false" hidden="true" name="IQRIssuesD15" vbProcedure="false">#REF!</definedName>
    <definedName function="false" hidden="true" name="IQRIssuesD16" vbProcedure="false">#REF!</definedName>
    <definedName function="false" hidden="true" name="IQRIssuesD17" vbProcedure="false">#REF!</definedName>
    <definedName function="false" hidden="true" name="IQRIssuesD18" vbProcedure="false">#REF!</definedName>
    <definedName function="false" hidden="true" name="IQRIssuesD19" vbProcedure="false">#REF!</definedName>
    <definedName function="false" hidden="true" name="IQRIssuesD2" vbProcedure="false">#REF!</definedName>
    <definedName function="false" hidden="true" name="IQRIssuesD20" vbProcedure="false">#REF!</definedName>
    <definedName function="false" hidden="true" name="IQRIssuesD21" vbProcedure="false">#REF!</definedName>
    <definedName function="false" hidden="true" name="IQRIssuesD24" vbProcedure="false">#REF!</definedName>
    <definedName function="false" hidden="true" name="IQRIssuesD25" vbProcedure="false">#REF!</definedName>
    <definedName function="false" hidden="true" name="IQRIssuesD26" vbProcedure="false">#REF!</definedName>
    <definedName function="false" hidden="true" name="IQRIssuesD28" vbProcedure="false">#REF!</definedName>
    <definedName function="false" hidden="true" name="IQRIssuesD29" vbProcedure="false">#REF!</definedName>
    <definedName function="false" hidden="true" name="IQRIssuesD3" vbProcedure="false">#REF!</definedName>
    <definedName function="false" hidden="true" name="IQRIssuesD30" vbProcedure="false">#REF!</definedName>
    <definedName function="false" hidden="true" name="IQRIssuesD31" vbProcedure="false">#REF!</definedName>
    <definedName function="false" hidden="true" name="IQRIssuesD32" vbProcedure="false">#REF!</definedName>
    <definedName function="false" hidden="true" name="IQRIssuesD33" vbProcedure="false">#REF!</definedName>
    <definedName function="false" hidden="true" name="IQRIssuesD34" vbProcedure="false">#REF!</definedName>
    <definedName function="false" hidden="true" name="IQRIssuesD35" vbProcedure="false">#REF!</definedName>
    <definedName function="false" hidden="true" name="IQRIssuesD36" vbProcedure="false">#REF!</definedName>
    <definedName function="false" hidden="true" name="IQRIssuesD37" vbProcedure="false">#REF!</definedName>
    <definedName function="false" hidden="true" name="IQRIssuesD38" vbProcedure="false">#REF!</definedName>
    <definedName function="false" hidden="true" name="IQRIssuesD39" vbProcedure="false">#REF!</definedName>
    <definedName function="false" hidden="true" name="IQRIssuesD4" vbProcedure="false">#REF!</definedName>
    <definedName function="false" hidden="true" name="IQRIssuesD40" vbProcedure="false">#REF!</definedName>
    <definedName function="false" hidden="true" name="IQRIssuesD41" vbProcedure="false">#REF!</definedName>
    <definedName function="false" hidden="true" name="IQRIssuesD42" vbProcedure="false">#REF!</definedName>
    <definedName function="false" hidden="true" name="IQRIssuesD43" vbProcedure="false">#REF!</definedName>
    <definedName function="false" hidden="true" name="IQRIssuesD44" vbProcedure="false">#REF!</definedName>
    <definedName function="false" hidden="true" name="IQRIssuesD45" vbProcedure="false">#REF!</definedName>
    <definedName function="false" hidden="true" name="IQRIssuesD46" vbProcedure="false">#REF!</definedName>
    <definedName function="false" hidden="true" name="IQRIssuesD47" vbProcedure="false">#REF!</definedName>
    <definedName function="false" hidden="true" name="IQRIssuesD48" vbProcedure="false">#REF!</definedName>
    <definedName function="false" hidden="true" name="IQRIssuesD5" vbProcedure="false">#REF!</definedName>
    <definedName function="false" hidden="true" name="IQRIssuesD6" vbProcedure="false">#REF!</definedName>
    <definedName function="false" hidden="true" name="IQRIssuesD7" vbProcedure="false">#REF!</definedName>
    <definedName function="false" hidden="true" name="IQRIssuesD8" vbProcedure="false">#REF!</definedName>
    <definedName function="false" hidden="true" name="IQRIssuesD9" vbProcedure="false">#REF!</definedName>
    <definedName function="false" hidden="true" name="IQRJ24" vbProcedure="false">"$J$25:$J$26"</definedName>
    <definedName function="false" hidden="true" name="IQRJ3" vbProcedure="false">"$J$4:$J$253"</definedName>
    <definedName function="false" hidden="true" name="IQRJ4" vbProcedure="false">"$J$5:$J$254"</definedName>
    <definedName function="false" hidden="true" name="IQRJ405" vbProcedure="false">"$J$406:$J$658"</definedName>
    <definedName function="false" hidden="true" name="IQRJ406" vbProcedure="false">"$J$407:$J$659"</definedName>
    <definedName function="false" hidden="true" name="IQRJ413" vbProcedure="false">"$J$414:$J$666"</definedName>
    <definedName function="false" hidden="true" name="IQRJ415" vbProcedure="false">"$J$416:$J$668"</definedName>
    <definedName function="false" hidden="true" name="IQRJ417" vbProcedure="false">"$J$418:$J$670"</definedName>
    <definedName function="false" hidden="true" name="IQRJ419" vbProcedure="false">"$J$420:$J$672"</definedName>
    <definedName function="false" hidden="true" name="IQRJ434" vbProcedure="false">"$J$435:$J$687"</definedName>
    <definedName function="false" hidden="true" name="IQRJ439" vbProcedure="false">"$J$440:$J$692"</definedName>
    <definedName function="false" hidden="true" name="IQRJ441" vbProcedure="false">"$J$442:$J$694"</definedName>
    <definedName function="false" hidden="true" name="IQRJ442" vbProcedure="false">"$J$443:$J$695"</definedName>
    <definedName function="false" hidden="true" name="IQRJ443" vbProcedure="false">"$J$444:$J$696"</definedName>
    <definedName function="false" hidden="true" name="IQRJ444" vbProcedure="false">"$J$445:$J$697"</definedName>
    <definedName function="false" hidden="true" name="IQRJ448" vbProcedure="false">"$J$449:$J$701"</definedName>
    <definedName function="false" hidden="true" name="IQRJ449" vbProcedure="false">"$J$450:$J$702"</definedName>
    <definedName function="false" hidden="true" name="IQRJ450" vbProcedure="false">"$J$451:$J$703"</definedName>
    <definedName function="false" hidden="true" name="IQRJ5" vbProcedure="false">"$J$6:$J$255"</definedName>
    <definedName function="false" hidden="true" name="IQRJ581" vbProcedure="false">"$J$582:$J$834"</definedName>
    <definedName function="false" hidden="true" name="IQRJ582" vbProcedure="false">"$J$583:$J$835"</definedName>
    <definedName function="false" hidden="true" name="IQRJ583" vbProcedure="false">"$J$584:$J$836"</definedName>
    <definedName function="false" hidden="true" name="IQRJ59" vbProcedure="false">"$J$60"</definedName>
    <definedName function="false" hidden="true" name="IQRJ6" vbProcedure="false">"$J$7:$J$256"</definedName>
    <definedName function="false" hidden="true" name="IQRJ7" vbProcedure="false">"$J$8:$J$9"</definedName>
    <definedName function="false" hidden="true" name="IQRJ8" vbProcedure="false">"$J$9:$J$13"</definedName>
    <definedName function="false" hidden="true" name="IQRJ81" vbProcedure="false">"$J$82:$J$86"</definedName>
    <definedName function="false" hidden="true" name="IQRK102" vbProcedure="false">"$K$103:$K$352"</definedName>
    <definedName function="false" hidden="true" name="IQRK13" vbProcedure="false">"$K$14"</definedName>
    <definedName function="false" hidden="true" name="IQRK24" vbProcedure="false">"$K$25:$K$27"</definedName>
    <definedName function="false" hidden="true" name="IQRK3" vbProcedure="false">"$K$4:$K$253"</definedName>
    <definedName function="false" hidden="true" name="IQRK4" vbProcedure="false">"$K$5:$K$254"</definedName>
    <definedName function="false" hidden="true" name="IQRK5" vbProcedure="false">"$K$6:$K$443"</definedName>
    <definedName function="false" hidden="true" name="IQRK6" vbProcedure="false">"$K$7:$K$256"</definedName>
    <definedName function="false" hidden="true" name="IQRK7" vbProcedure="false">"$K$8:$K$10"</definedName>
    <definedName function="false" hidden="true" name="IQRK71" vbProcedure="false">"$K$72:$K$321"</definedName>
    <definedName function="false" hidden="true" name="IQRK73" vbProcedure="false">"$K$74:$K$323"</definedName>
    <definedName function="false" hidden="true" name="IQRK74" vbProcedure="false">"$K$75"</definedName>
    <definedName function="false" hidden="true" name="IQRK75" vbProcedure="false">"$K$76"</definedName>
    <definedName function="false" hidden="true" name="IQRK77" vbProcedure="false">"$K$78:$K$85"</definedName>
    <definedName function="false" hidden="true" name="IQRK78" vbProcedure="false">"$K$79:$K$88"</definedName>
    <definedName function="false" hidden="true" name="IQRK81" vbProcedure="false">"$K$82:$K$86"</definedName>
    <definedName function="false" hidden="true" name="IQRK91" vbProcedure="false">"$K$92:$K$94"</definedName>
    <definedName function="false" hidden="true" name="IQRK92" vbProcedure="false">"$K$93:$K$95"</definedName>
    <definedName function="false" hidden="true" name="IQRKeyDevsNewsEventsO5" vbProcedure="false">#REF!</definedName>
    <definedName function="false" hidden="true" name="IQRL13" vbProcedure="false">"$L$14"</definedName>
    <definedName function="false" hidden="true" name="IQRL14" vbProcedure="false">"$L$15:$L$1962"</definedName>
    <definedName function="false" hidden="true" name="IQRL16" vbProcedure="false">"$L$17:$L$21"</definedName>
    <definedName function="false" hidden="true" name="IQRL21" vbProcedure="false">"$L$22"</definedName>
    <definedName function="false" hidden="true" name="IQRL24" vbProcedure="false">"$L$25"</definedName>
    <definedName function="false" hidden="true" name="IQRL3" vbProcedure="false">"$L$4:$L$253"</definedName>
    <definedName function="false" hidden="true" name="IQRL34" vbProcedure="false">"$L$35:$L$921"</definedName>
    <definedName function="false" hidden="true" name="IQRL39" vbProcedure="false">"$L$40:$L$61"</definedName>
    <definedName function="false" hidden="true" name="IQRL405" vbProcedure="false">"$L$406:$L$658"</definedName>
    <definedName function="false" hidden="true" name="IQRL406" vbProcedure="false">"$L$407:$L$659"</definedName>
    <definedName function="false" hidden="true" name="IQRL413" vbProcedure="false">"$L$414:$L$666"</definedName>
    <definedName function="false" hidden="true" name="IQRL415" vbProcedure="false">"$L$416:$L$668"</definedName>
    <definedName function="false" hidden="true" name="IQRL417" vbProcedure="false">"$L$418:$L$670"</definedName>
    <definedName function="false" hidden="true" name="IQRL419" vbProcedure="false">"$L$420:$L$672"</definedName>
    <definedName function="false" hidden="true" name="IQRL434" vbProcedure="false">"$L$435:$L$687"</definedName>
    <definedName function="false" hidden="true" name="IQRL439" vbProcedure="false">"$L$440:$L$692"</definedName>
    <definedName function="false" hidden="true" name="IQRL441" vbProcedure="false">"$L$442:$L$694"</definedName>
    <definedName function="false" hidden="true" name="IQRL442" vbProcedure="false">"$L$443:$L$695"</definedName>
    <definedName function="false" hidden="true" name="IQRL443" vbProcedure="false">"$L$444:$L$696"</definedName>
    <definedName function="false" hidden="true" name="IQRL444" vbProcedure="false">"$L$445:$L$697"</definedName>
    <definedName function="false" hidden="true" name="IQRL448" vbProcedure="false">"$L$449:$L$701"</definedName>
    <definedName function="false" hidden="true" name="IQRL449" vbProcedure="false">"$L$450:$L$702"</definedName>
    <definedName function="false" hidden="true" name="IQRL450" vbProcedure="false">"$L$451:$L$703"</definedName>
    <definedName function="false" hidden="true" name="IQRL581" vbProcedure="false">"$L$582:$L$834"</definedName>
    <definedName function="false" hidden="true" name="IQRL582" vbProcedure="false">"$L$583:$L$835"</definedName>
    <definedName function="false" hidden="true" name="IQRL583" vbProcedure="false">"$L$584:$L$836"</definedName>
    <definedName function="false" hidden="true" name="IQRL59" vbProcedure="false">"$L$60"</definedName>
    <definedName function="false" hidden="true" name="IQRL6" vbProcedure="false">"$L$7:$L$256"</definedName>
    <definedName function="false" hidden="true" name="IQRL7" vbProcedure="false">"$L$8"</definedName>
    <definedName function="false" hidden="true" name="IQRL8" vbProcedure="false">#REF!</definedName>
    <definedName function="false" hidden="true" name="IQRL81" vbProcedure="false">"$L$82:$L$86"</definedName>
    <definedName function="false" hidden="true" name="IQRLiquidityAA14" vbProcedure="false">#REF!</definedName>
    <definedName function="false" hidden="true" name="IQRLiquidityAC14" vbProcedure="false">#REF!</definedName>
    <definedName function="false" hidden="true" name="IQRLiquidityAD14" vbProcedure="false">#REF!</definedName>
    <definedName function="false" hidden="true" name="IQRLiquidityAE14" vbProcedure="false">#REF!</definedName>
    <definedName function="false" hidden="true" name="IQRLiquidityAF14" vbProcedure="false">#REF!</definedName>
    <definedName function="false" hidden="true" name="IQRLiquidityAG14" vbProcedure="false">#REF!</definedName>
    <definedName function="false" hidden="true" name="IQRLiquidityAG18" vbProcedure="false">#REF!</definedName>
    <definedName function="false" hidden="true" name="IQRLiquidityAI14" vbProcedure="false">#REF!</definedName>
    <definedName function="false" hidden="true" name="IQRLiquidityAJ14" vbProcedure="false">#REF!</definedName>
    <definedName function="false" hidden="true" name="IQRLiquidityAJ18" vbProcedure="false">#REF!</definedName>
    <definedName function="false" hidden="true" name="IQRLiquidityAK14" vbProcedure="false">#REF!</definedName>
    <definedName function="false" hidden="true" name="IQRLiquidityAK18" vbProcedure="false">#REF!</definedName>
    <definedName function="false" hidden="true" name="IQRLiquidityAL14" vbProcedure="false">#REF!</definedName>
    <definedName function="false" hidden="true" name="IQRLiquidityAM14" vbProcedure="false">#REF!</definedName>
    <definedName function="false" hidden="true" name="IQRLiquidityAO14" vbProcedure="false">#REF!</definedName>
    <definedName function="false" hidden="true" name="IQRLiquidityAP14" vbProcedure="false">#REF!</definedName>
    <definedName function="false" hidden="true" name="IQRLiquidityAQ14" vbProcedure="false">#REF!</definedName>
    <definedName function="false" hidden="true" name="IQRLiquidityAR14" vbProcedure="false">#REF!</definedName>
    <definedName function="false" hidden="true" name="IQRLiquidityAS14" vbProcedure="false">#REF!</definedName>
    <definedName function="false" hidden="true" name="IQRLiquidityAU14" vbProcedure="false">#REF!</definedName>
    <definedName function="false" hidden="true" name="IQRLiquidityAV14" vbProcedure="false">#REF!</definedName>
    <definedName function="false" hidden="true" name="IQRLiquidityAV18" vbProcedure="false">#REF!</definedName>
    <definedName function="false" hidden="true" name="IQRLiquidityAW14" vbProcedure="false">#REF!</definedName>
    <definedName function="false" hidden="true" name="IQRLiquidityAX14" vbProcedure="false">#REF!</definedName>
    <definedName function="false" hidden="true" name="IQRLiquidityAY14" vbProcedure="false">#REF!</definedName>
    <definedName function="false" hidden="true" name="IQRLiquidityAZ18" vbProcedure="false">#REF!</definedName>
    <definedName function="false" hidden="true" name="IQRLiquidityBY14" vbProcedure="false">#REF!</definedName>
    <definedName function="false" hidden="true" name="IQRLiquidityBZ14" vbProcedure="false">#REF!</definedName>
    <definedName function="false" hidden="true" name="IQRLiquidityCA14" vbProcedure="false">#REF!</definedName>
    <definedName function="false" hidden="true" name="IQRLiquidityCB14" vbProcedure="false">#REF!</definedName>
    <definedName function="false" hidden="true" name="IQRLiquidityCC14" vbProcedure="false">#REF!</definedName>
    <definedName function="false" hidden="true" name="IQRLiquidityCC18" vbProcedure="false">#REF!</definedName>
    <definedName function="false" hidden="true" name="IQRLiquidityCR18" vbProcedure="false">#REF!</definedName>
    <definedName function="false" hidden="true" name="IQRLiquidityCS18" vbProcedure="false">#REF!</definedName>
    <definedName function="false" hidden="true" name="IQRLiquidityDD18" vbProcedure="false">#REF!</definedName>
    <definedName function="false" hidden="true" name="IQRLiquidityDG18" vbProcedure="false">#REF!</definedName>
    <definedName function="false" hidden="true" name="IQRLiquidityDH18" vbProcedure="false">#REF!</definedName>
    <definedName function="false" hidden="true" name="IQRLiquidityDW18" vbProcedure="false">#REF!</definedName>
    <definedName function="false" hidden="true" name="IQRLiquidityE14" vbProcedure="false">#REF!</definedName>
    <definedName function="false" hidden="true" name="IQRLiquidityEH18" vbProcedure="false">#REF!</definedName>
    <definedName function="false" hidden="true" name="IQRLiquidityEZ18" vbProcedure="false">#REF!</definedName>
    <definedName function="false" hidden="true" name="IQRLiquidityF14" vbProcedure="false">#REF!</definedName>
    <definedName function="false" hidden="true" name="IQRLiquidityFL18" vbProcedure="false">#REF!</definedName>
    <definedName function="false" hidden="true" name="IQRLiquidityFP18" vbProcedure="false">#REF!</definedName>
    <definedName function="false" hidden="true" name="IQRLiquidityG14" vbProcedure="false">#REF!</definedName>
    <definedName function="false" hidden="true" name="IQRLiquidityGT18" vbProcedure="false">#REF!</definedName>
    <definedName function="false" hidden="true" name="IQRLiquidityH14" vbProcedure="false">#REF!</definedName>
    <definedName function="false" hidden="true" name="IQRLiquidityHE18" vbProcedure="false">#REF!</definedName>
    <definedName function="false" hidden="true" name="IQRLiquidityHH18" vbProcedure="false">#REF!</definedName>
    <definedName function="false" hidden="true" name="IQRLiquidityHX18" vbProcedure="false">#REF!</definedName>
    <definedName function="false" hidden="true" name="IQRLiquidityI14" vbProcedure="false">#REF!</definedName>
    <definedName function="false" hidden="true" name="IQRLiquidityK14" vbProcedure="false">#REF!</definedName>
    <definedName function="false" hidden="true" name="IQRLiquidityL14" vbProcedure="false">#REF!</definedName>
    <definedName function="false" hidden="true" name="IQRLiquidityM14" vbProcedure="false">#REF!</definedName>
    <definedName function="false" hidden="true" name="IQRLiquidityN14" vbProcedure="false">#REF!</definedName>
    <definedName function="false" hidden="true" name="IQRLiquidityO14" vbProcedure="false">#REF!</definedName>
    <definedName function="false" hidden="true" name="IQRLiquidityQ14" vbProcedure="false">#REF!</definedName>
    <definedName function="false" hidden="true" name="IQRLiquidityR14" vbProcedure="false">#REF!</definedName>
    <definedName function="false" hidden="true" name="IQRLiquidityS14" vbProcedure="false">#REF!</definedName>
    <definedName function="false" hidden="true" name="IQRLiquidityT14" vbProcedure="false">#REF!</definedName>
    <definedName function="false" hidden="true" name="IQRLiquidityU14" vbProcedure="false">#REF!</definedName>
    <definedName function="false" hidden="true" name="IQRLiquidityU18" vbProcedure="false">#REF!</definedName>
    <definedName function="false" hidden="true" name="IQRLiquidityW14" vbProcedure="false">#REF!</definedName>
    <definedName function="false" hidden="true" name="IQRLiquidityX14" vbProcedure="false">#REF!</definedName>
    <definedName function="false" hidden="true" name="IQRLiquidityY14" vbProcedure="false">#REF!</definedName>
    <definedName function="false" hidden="true" name="IQRLiquidityZ14" vbProcedure="false">#REF!</definedName>
    <definedName function="false" hidden="true" name="IQRLLYH20" vbProcedure="false">#REF!</definedName>
    <definedName function="false" hidden="true" name="IQRLSESNH20" vbProcedure="false">#REF!</definedName>
    <definedName function="false" hidden="true" name="IQRM101" vbProcedure="false">"$M$102:$M$351"</definedName>
    <definedName function="false" hidden="true" name="IQRM102" vbProcedure="false">"$M$103:$M$352"</definedName>
    <definedName function="false" hidden="true" name="IQRM103" vbProcedure="false">"$M$104:$M$353"</definedName>
    <definedName function="false" hidden="true" name="IQRM104" vbProcedure="false">"$M$105:$M$354"</definedName>
    <definedName function="false" hidden="true" name="IQRM105" vbProcedure="false">"$M$106:$M$355"</definedName>
    <definedName function="false" hidden="true" name="IQRM13" vbProcedure="false">"$M$14"</definedName>
    <definedName function="false" hidden="true" name="IQRM15" vbProcedure="false">"$M$16"</definedName>
    <definedName function="false" hidden="true" name="IQRM16" vbProcedure="false">"$N$16"</definedName>
    <definedName function="false" hidden="true" name="IQRM17" vbProcedure="false">"$M$18:$M$22"</definedName>
    <definedName function="false" hidden="true" name="IQRM21" vbProcedure="false">"$M$22"</definedName>
    <definedName function="false" hidden="true" name="IQRM22" vbProcedure="false">"$M$23:$M$387"</definedName>
    <definedName function="false" hidden="true" name="IQRM24" vbProcedure="false">"$M$25"</definedName>
    <definedName function="false" hidden="true" name="IQRM3" vbProcedure="false">"$M$4:$M$253"</definedName>
    <definedName function="false" hidden="true" name="IQRM34" vbProcedure="false">"$M$35:$M$921"</definedName>
    <definedName function="false" hidden="true" name="IQRM39" vbProcedure="false">"$M$40:$M$61"</definedName>
    <definedName function="false" hidden="true" name="IQRM5" vbProcedure="false">"$M$6:$M$373"</definedName>
    <definedName function="false" hidden="true" name="IQRM7" vbProcedure="false">"$M$8"</definedName>
    <definedName function="false" hidden="true" name="IQRM97" vbProcedure="false">"$M$98:$M$347"</definedName>
    <definedName function="false" hidden="true" name="IQRModelSpecificSingleScoreAA15" vbProcedure="false">#REF!</definedName>
    <definedName function="false" hidden="true" name="IQRModelSpecificSingleScoreAB15" vbProcedure="false">#REF!</definedName>
    <definedName function="false" hidden="true" name="IQRModelSpecificSingleScoreAH5" vbProcedure="false">#REF!</definedName>
    <definedName function="false" hidden="true" name="IQRModelSpecificSingleScoreAI5" vbProcedure="false">#REF!</definedName>
    <definedName function="false" hidden="true" name="IQRModelSpecificSingleScoreAJ5" vbProcedure="false">#REF!</definedName>
    <definedName function="false" hidden="true" name="IQRModelSpecificSingleScoreAR37" vbProcedure="false">#REF!</definedName>
    <definedName function="false" hidden="true" name="IQRModelSpecificSingleScoreAT37" vbProcedure="false">#REF!</definedName>
    <definedName function="false" hidden="true" name="IQRModelSpecificSingleScoreAU37" vbProcedure="false">#REF!</definedName>
    <definedName function="false" hidden="true" name="IQRModelSpecificSingleScoreAW37" vbProcedure="false">#REF!</definedName>
    <definedName function="false" hidden="true" name="IQRModelSpecificSingleScoreP15" vbProcedure="false">#REF!</definedName>
    <definedName function="false" hidden="true" name="IQRModelSpecificSingleScoreP37" vbProcedure="false">#REF!</definedName>
    <definedName function="false" hidden="true" name="IQRModelSpecificSingleScoreQ15" vbProcedure="false">#REF!</definedName>
    <definedName function="false" hidden="true" name="IQRModelSpecificSingleScoreQ37" vbProcedure="false">#REF!</definedName>
    <definedName function="false" hidden="true" name="IQRModelSpecificSingleScoreR15" vbProcedure="false">#REF!</definedName>
    <definedName function="false" hidden="true" name="IQRModelSpecificSingleScoreR37" vbProcedure="false">#REF!</definedName>
    <definedName function="false" hidden="true" name="IQRModelSpecificSingleScoreS15" vbProcedure="false">#REF!</definedName>
    <definedName function="false" hidden="true" name="IQRModelSpecificSingleScoreS37" vbProcedure="false">#REF!</definedName>
    <definedName function="false" hidden="true" name="IQRModelSpecificSingleScoreT37" vbProcedure="false">#REF!</definedName>
    <definedName function="false" hidden="true" name="IQRModelSpecificSingleScoreU37" vbProcedure="false">#REF!</definedName>
    <definedName function="false" hidden="true" name="IQRModelSpecificSingleScoreV15" vbProcedure="false">#REF!</definedName>
    <definedName function="false" hidden="true" name="IQRModelSpecificSingleScoreV37" vbProcedure="false">#REF!</definedName>
    <definedName function="false" hidden="true" name="IQRModelSpecificSingleScoreV5" vbProcedure="false">#REF!</definedName>
    <definedName function="false" hidden="true" name="IQRModelSpecificSingleScoreW15" vbProcedure="false">#REF!</definedName>
    <definedName function="false" hidden="true" name="IQRModelSpecificSingleScoreW5" vbProcedure="false">#REF!</definedName>
    <definedName function="false" hidden="true" name="IQRModelSpecificSingleScoreX15" vbProcedure="false">#REF!</definedName>
    <definedName function="false" hidden="true" name="IQRModelSpecificSingleScoreX5" vbProcedure="false">#REF!</definedName>
    <definedName function="false" hidden="true" name="IQRModelSpecificSingleScoreY15" vbProcedure="false">#REF!</definedName>
    <definedName function="false" hidden="true" name="IQRModelSpecificSingleScoreZ15" vbProcedure="false">#REF!</definedName>
    <definedName function="false" hidden="true" name="IQRMRKH20" vbProcedure="false">#REF!</definedName>
    <definedName function="false" hidden="true" name="IQRMultiCompanyCIQBasedSco2AB18" vbProcedure="false">#REF!</definedName>
    <definedName function="false" hidden="true" name="IQRMultiCompanyCIQBasedSco2AB40" vbProcedure="false">#REF!</definedName>
    <definedName function="false" hidden="true" name="IQRMultiCompanyCIQBasedSco2AB53" vbProcedure="false">#REF!</definedName>
    <definedName function="false" hidden="true" name="IQRMultiCompanyCIQBasedSco2AB71" vbProcedure="false">#REF!</definedName>
    <definedName function="false" hidden="true" name="IQRMultiCompanyCIQBasedSco2AB9" vbProcedure="false">#REF!</definedName>
    <definedName function="false" hidden="true" name="IQRMultiCompanyCIQBasedSco2AC18" vbProcedure="false">#REF!</definedName>
    <definedName function="false" hidden="true" name="IQRMultiCompanyCIQBasedSco2AC40" vbProcedure="false">#REF!</definedName>
    <definedName function="false" hidden="true" name="IQRMultiCompanyCIQBasedSco2AC53" vbProcedure="false">#REF!</definedName>
    <definedName function="false" hidden="true" name="IQRMultiCompanyCIQBasedSco2AC71" vbProcedure="false">#REF!</definedName>
    <definedName function="false" hidden="true" name="IQRMultiCompanyCIQBasedSco2AC9" vbProcedure="false">#REF!</definedName>
    <definedName function="false" hidden="true" name="IQRMultiCompanyCIQBasedSco2AE18" vbProcedure="false">#REF!</definedName>
    <definedName function="false" hidden="true" name="IQRMultiCompanyCIQBasedSco2AE40" vbProcedure="false">#REF!</definedName>
    <definedName function="false" hidden="true" name="IQRMultiCompanyCIQBasedSco2AE53" vbProcedure="false">#REF!</definedName>
    <definedName function="false" hidden="true" name="IQRMultiCompanyCIQBasedSco2AE71" vbProcedure="false">#REF!</definedName>
    <definedName function="false" hidden="true" name="IQRMultiCompanyCIQBasedSco2AE9" vbProcedure="false">#REF!</definedName>
    <definedName function="false" hidden="true" name="IQRMultiCompanyCIQBasedSco2AF18" vbProcedure="false">#REF!</definedName>
    <definedName function="false" hidden="true" name="IQRMultiCompanyCIQBasedSco2AF40" vbProcedure="false">#REF!</definedName>
    <definedName function="false" hidden="true" name="IQRMultiCompanyCIQBasedSco2AF53" vbProcedure="false">#REF!</definedName>
    <definedName function="false" hidden="true" name="IQRMultiCompanyCIQBasedSco2AF71" vbProcedure="false">#REF!</definedName>
    <definedName function="false" hidden="true" name="IQRMultiCompanyCIQBasedSco2AF9" vbProcedure="false">#REF!</definedName>
    <definedName function="false" hidden="true" name="IQRMultiCompanyCIQBasedSco2S18" vbProcedure="false">#REF!</definedName>
    <definedName function="false" hidden="true" name="IQRMultiCompanyCIQBasedSco2S40" vbProcedure="false">#REF!</definedName>
    <definedName function="false" hidden="true" name="IQRMultiCompanyCIQBasedSco2S53" vbProcedure="false">#REF!</definedName>
    <definedName function="false" hidden="true" name="IQRMultiCompanyCIQBasedSco2S71" vbProcedure="false">#REF!</definedName>
    <definedName function="false" hidden="true" name="IQRMultiCompanyCIQBasedSco2S9" vbProcedure="false">#REF!</definedName>
    <definedName function="false" hidden="true" name="IQRMultiCompanyCIQBasedSco2T18" vbProcedure="false">#REF!</definedName>
    <definedName function="false" hidden="true" name="IQRMultiCompanyCIQBasedSco2T40" vbProcedure="false">#REF!</definedName>
    <definedName function="false" hidden="true" name="IQRMultiCompanyCIQBasedSco2T53" vbProcedure="false">#REF!</definedName>
    <definedName function="false" hidden="true" name="IQRMultiCompanyCIQBasedSco2T71" vbProcedure="false">#REF!</definedName>
    <definedName function="false" hidden="true" name="IQRMultiCompanyCIQBasedSco2T9" vbProcedure="false">#REF!</definedName>
    <definedName function="false" hidden="true" name="IQRMultiCompanyCIQBasedSco2V18" vbProcedure="false">#REF!</definedName>
    <definedName function="false" hidden="true" name="IQRMultiCompanyCIQBasedSco2V40" vbProcedure="false">#REF!</definedName>
    <definedName function="false" hidden="true" name="IQRMultiCompanyCIQBasedSco2V53" vbProcedure="false">#REF!</definedName>
    <definedName function="false" hidden="true" name="IQRMultiCompanyCIQBasedSco2V71" vbProcedure="false">#REF!</definedName>
    <definedName function="false" hidden="true" name="IQRMultiCompanyCIQBasedSco2V9" vbProcedure="false">#REF!</definedName>
    <definedName function="false" hidden="true" name="IQRMultiCompanyCIQBasedSco2W18" vbProcedure="false">#REF!</definedName>
    <definedName function="false" hidden="true" name="IQRMultiCompanyCIQBasedSco2W40" vbProcedure="false">#REF!</definedName>
    <definedName function="false" hidden="true" name="IQRMultiCompanyCIQBasedSco2W53" vbProcedure="false">#REF!</definedName>
    <definedName function="false" hidden="true" name="IQRMultiCompanyCIQBasedSco2W71" vbProcedure="false">#REF!</definedName>
    <definedName function="false" hidden="true" name="IQRMultiCompanyCIQBasedSco2W9" vbProcedure="false">#REF!</definedName>
    <definedName function="false" hidden="true" name="IQRMultiCompanyCIQBasedSco2Y18" vbProcedure="false">#REF!</definedName>
    <definedName function="false" hidden="true" name="IQRMultiCompanyCIQBasedSco2Y40" vbProcedure="false">#REF!</definedName>
    <definedName function="false" hidden="true" name="IQRMultiCompanyCIQBasedSco2Y53" vbProcedure="false">#REF!</definedName>
    <definedName function="false" hidden="true" name="IQRMultiCompanyCIQBasedSco2Y71" vbProcedure="false">#REF!</definedName>
    <definedName function="false" hidden="true" name="IQRMultiCompanyCIQBasedSco2Y9" vbProcedure="false">#REF!</definedName>
    <definedName function="false" hidden="true" name="IQRMultiCompanyCIQBasedSco2Z18" vbProcedure="false">#REF!</definedName>
    <definedName function="false" hidden="true" name="IQRMultiCompanyCIQBasedSco2Z40" vbProcedure="false">#REF!</definedName>
    <definedName function="false" hidden="true" name="IQRMultiCompanyCIQBasedSco2Z53" vbProcedure="false">#REF!</definedName>
    <definedName function="false" hidden="true" name="IQRMultiCompanyCIQBasedSco2Z71" vbProcedure="false">#REF!</definedName>
    <definedName function="false" hidden="true" name="IQRMultiCompanyCIQBasedSco2Z9" vbProcedure="false">#REF!</definedName>
    <definedName function="false" hidden="true" name="IQRMultiCompanyCIQBasedScoreAA17" vbProcedure="false">#REF!</definedName>
    <definedName function="false" hidden="true" name="IQRMultiCompanyCIQBasedScoreAA29" vbProcedure="false">#REF!</definedName>
    <definedName function="false" hidden="true" name="IQRMultiCompanyCIQBasedScoreAA51" vbProcedure="false">#REF!</definedName>
    <definedName function="false" hidden="true" name="IQRMultiCompanyCIQBasedScoreAA69" vbProcedure="false">#REF!</definedName>
    <definedName function="false" hidden="true" name="IQRMultiCompanyCIQBasedScoreAB17" vbProcedure="false">#REF!</definedName>
    <definedName function="false" hidden="true" name="IQRMultiCompanyCIQBasedScoreAB18" vbProcedure="false">#REF!</definedName>
    <definedName function="false" hidden="true" name="IQRMultiCompanyCIQBasedScoreAB29" vbProcedure="false">#REF!</definedName>
    <definedName function="false" hidden="true" name="IQRMultiCompanyCIQBasedScoreAB30" vbProcedure="false">#REF!</definedName>
    <definedName function="false" hidden="true" name="IQRMultiCompanyCIQBasedScoreAB31" vbProcedure="false">#REF!</definedName>
    <definedName function="false" hidden="true" name="IQRMultiCompanyCIQBasedScoreAB38" vbProcedure="false">#REF!</definedName>
    <definedName function="false" hidden="true" name="IQRMultiCompanyCIQBasedScoreAB39" vbProcedure="false">#REF!</definedName>
    <definedName function="false" hidden="true" name="IQRMultiCompanyCIQBasedScoreAB40" vbProcedure="false">#REF!</definedName>
    <definedName function="false" hidden="true" name="IQRMultiCompanyCIQBasedScoreAB51" vbProcedure="false">#REF!</definedName>
    <definedName function="false" hidden="true" name="IQRMultiCompanyCIQBasedScoreAB52" vbProcedure="false">#REF!</definedName>
    <definedName function="false" hidden="true" name="IQRMultiCompanyCIQBasedScoreAB53" vbProcedure="false">#REF!</definedName>
    <definedName function="false" hidden="true" name="IQRMultiCompanyCIQBasedScoreAB65" vbProcedure="false">#REF!</definedName>
    <definedName function="false" hidden="true" name="IQRMultiCompanyCIQBasedScoreAB66" vbProcedure="false">#REF!</definedName>
    <definedName function="false" hidden="true" name="IQRMultiCompanyCIQBasedScoreAB69" vbProcedure="false">#REF!</definedName>
    <definedName function="false" hidden="true" name="IQRMultiCompanyCIQBasedScoreAB70" vbProcedure="false">#REF!</definedName>
    <definedName function="false" hidden="true" name="IQRMultiCompanyCIQBasedScoreAB71" vbProcedure="false">#REF!</definedName>
    <definedName function="false" hidden="true" name="IQRMultiCompanyCIQBasedScoreAB73" vbProcedure="false">#REF!</definedName>
    <definedName function="false" hidden="true" name="IQRMultiCompanyCIQBasedScoreAB83" vbProcedure="false">#REF!</definedName>
    <definedName function="false" hidden="true" name="IQRMultiCompanyCIQBasedScoreAB84" vbProcedure="false">#REF!</definedName>
    <definedName function="false" hidden="true" name="IQRMultiCompanyCIQBasedScoreAB9" vbProcedure="false">#REF!</definedName>
    <definedName function="false" hidden="true" name="IQRMultiCompanyCIQBasedScoreAB91" vbProcedure="false">#REF!</definedName>
    <definedName function="false" hidden="true" name="IQRMultiCompanyCIQBasedScoreAC17" vbProcedure="false">#REF!</definedName>
    <definedName function="false" hidden="true" name="IQRMultiCompanyCIQBasedScoreAC18" vbProcedure="false">#REF!</definedName>
    <definedName function="false" hidden="true" name="IQRMultiCompanyCIQBasedScoreAC29" vbProcedure="false">#REF!</definedName>
    <definedName function="false" hidden="true" name="IQRMultiCompanyCIQBasedScoreAC30" vbProcedure="false">#REF!</definedName>
    <definedName function="false" hidden="true" name="IQRMultiCompanyCIQBasedScoreAC31" vbProcedure="false">#REF!</definedName>
    <definedName function="false" hidden="true" name="IQRMultiCompanyCIQBasedScoreAC38" vbProcedure="false">#REF!</definedName>
    <definedName function="false" hidden="true" name="IQRMultiCompanyCIQBasedScoreAC39" vbProcedure="false">#REF!</definedName>
    <definedName function="false" hidden="true" name="IQRMultiCompanyCIQBasedScoreAC40" vbProcedure="false">#REF!</definedName>
    <definedName function="false" hidden="true" name="IQRMultiCompanyCIQBasedScoreAC51" vbProcedure="false">#REF!</definedName>
    <definedName function="false" hidden="true" name="IQRMultiCompanyCIQBasedScoreAC52" vbProcedure="false">#REF!</definedName>
    <definedName function="false" hidden="true" name="IQRMultiCompanyCIQBasedScoreAC53" vbProcedure="false">#REF!</definedName>
    <definedName function="false" hidden="true" name="IQRMultiCompanyCIQBasedScoreAC65" vbProcedure="false">#REF!</definedName>
    <definedName function="false" hidden="true" name="IQRMultiCompanyCIQBasedScoreAC66" vbProcedure="false">#REF!</definedName>
    <definedName function="false" hidden="true" name="IQRMultiCompanyCIQBasedScoreAC69" vbProcedure="false">#REF!</definedName>
    <definedName function="false" hidden="true" name="IQRMultiCompanyCIQBasedScoreAC70" vbProcedure="false">#REF!</definedName>
    <definedName function="false" hidden="true" name="IQRMultiCompanyCIQBasedScoreAC71" vbProcedure="false">#REF!</definedName>
    <definedName function="false" hidden="true" name="IQRMultiCompanyCIQBasedScoreAC73" vbProcedure="false">#REF!</definedName>
    <definedName function="false" hidden="true" name="IQRMultiCompanyCIQBasedScoreAC83" vbProcedure="false">#REF!</definedName>
    <definedName function="false" hidden="true" name="IQRMultiCompanyCIQBasedScoreAC84" vbProcedure="false">#REF!</definedName>
    <definedName function="false" hidden="true" name="IQRMultiCompanyCIQBasedScoreAC9" vbProcedure="false">#REF!</definedName>
    <definedName function="false" hidden="true" name="IQRMultiCompanyCIQBasedScoreAC91" vbProcedure="false">#REF!</definedName>
    <definedName function="false" hidden="true" name="IQRMultiCompanyCIQBasedScoreAD17" vbProcedure="false">#REF!</definedName>
    <definedName function="false" hidden="true" name="IQRMultiCompanyCIQBasedScoreAD29" vbProcedure="false">#REF!</definedName>
    <definedName function="false" hidden="true" name="IQRMultiCompanyCIQBasedScoreAD51" vbProcedure="false">#REF!</definedName>
    <definedName function="false" hidden="true" name="IQRMultiCompanyCIQBasedScoreAD69" vbProcedure="false">#REF!</definedName>
    <definedName function="false" hidden="true" name="IQRMultiCompanyCIQBasedScoreAE17" vbProcedure="false">#REF!</definedName>
    <definedName function="false" hidden="true" name="IQRMultiCompanyCIQBasedScoreAE18" vbProcedure="false">#REF!</definedName>
    <definedName function="false" hidden="true" name="IQRMultiCompanyCIQBasedScoreAE29" vbProcedure="false">#REF!</definedName>
    <definedName function="false" hidden="true" name="IQRMultiCompanyCIQBasedScoreAE30" vbProcedure="false">#REF!</definedName>
    <definedName function="false" hidden="true" name="IQRMultiCompanyCIQBasedScoreAE31" vbProcedure="false">#REF!</definedName>
    <definedName function="false" hidden="true" name="IQRMultiCompanyCIQBasedScoreAE38" vbProcedure="false">#REF!</definedName>
    <definedName function="false" hidden="true" name="IQRMultiCompanyCIQBasedScoreAE39" vbProcedure="false">#REF!</definedName>
    <definedName function="false" hidden="true" name="IQRMultiCompanyCIQBasedScoreAE40" vbProcedure="false">#REF!</definedName>
    <definedName function="false" hidden="true" name="IQRMultiCompanyCIQBasedScoreAE51" vbProcedure="false">#REF!</definedName>
    <definedName function="false" hidden="true" name="IQRMultiCompanyCIQBasedScoreAE52" vbProcedure="false">#REF!</definedName>
    <definedName function="false" hidden="true" name="IQRMultiCompanyCIQBasedScoreAE53" vbProcedure="false">#REF!</definedName>
    <definedName function="false" hidden="true" name="IQRMultiCompanyCIQBasedScoreAE65" vbProcedure="false">#REF!</definedName>
    <definedName function="false" hidden="true" name="IQRMultiCompanyCIQBasedScoreAE66" vbProcedure="false">#REF!</definedName>
    <definedName function="false" hidden="true" name="IQRMultiCompanyCIQBasedScoreAE69" vbProcedure="false">#REF!</definedName>
    <definedName function="false" hidden="true" name="IQRMultiCompanyCIQBasedScoreAE70" vbProcedure="false">#REF!</definedName>
    <definedName function="false" hidden="true" name="IQRMultiCompanyCIQBasedScoreAE71" vbProcedure="false">#REF!</definedName>
    <definedName function="false" hidden="true" name="IQRMultiCompanyCIQBasedScoreAE73" vbProcedure="false">#REF!</definedName>
    <definedName function="false" hidden="true" name="IQRMultiCompanyCIQBasedScoreAE83" vbProcedure="false">#REF!</definedName>
    <definedName function="false" hidden="true" name="IQRMultiCompanyCIQBasedScoreAE84" vbProcedure="false">#REF!</definedName>
    <definedName function="false" hidden="true" name="IQRMultiCompanyCIQBasedScoreAE9" vbProcedure="false">#REF!</definedName>
    <definedName function="false" hidden="true" name="IQRMultiCompanyCIQBasedScoreAE91" vbProcedure="false">#REF!</definedName>
    <definedName function="false" hidden="true" name="IQRMultiCompanyCIQBasedScoreAF17" vbProcedure="false">#REF!</definedName>
    <definedName function="false" hidden="true" name="IQRMultiCompanyCIQBasedScoreAF18" vbProcedure="false">#REF!</definedName>
    <definedName function="false" hidden="true" name="IQRMultiCompanyCIQBasedScoreAF29" vbProcedure="false">#REF!</definedName>
    <definedName function="false" hidden="true" name="IQRMultiCompanyCIQBasedScoreAF30" vbProcedure="false">#REF!</definedName>
    <definedName function="false" hidden="true" name="IQRMultiCompanyCIQBasedScoreAF31" vbProcedure="false">#REF!</definedName>
    <definedName function="false" hidden="true" name="IQRMultiCompanyCIQBasedScoreAF38" vbProcedure="false">#REF!</definedName>
    <definedName function="false" hidden="true" name="IQRMultiCompanyCIQBasedScoreAF39" vbProcedure="false">#REF!</definedName>
    <definedName function="false" hidden="true" name="IQRMultiCompanyCIQBasedScoreAF40" vbProcedure="false">#REF!</definedName>
    <definedName function="false" hidden="true" name="IQRMultiCompanyCIQBasedScoreAF51" vbProcedure="false">#REF!</definedName>
    <definedName function="false" hidden="true" name="IQRMultiCompanyCIQBasedScoreAF52" vbProcedure="false">#REF!</definedName>
    <definedName function="false" hidden="true" name="IQRMultiCompanyCIQBasedScoreAF53" vbProcedure="false">#REF!</definedName>
    <definedName function="false" hidden="true" name="IQRMultiCompanyCIQBasedScoreAF69" vbProcedure="false">#REF!</definedName>
    <definedName function="false" hidden="true" name="IQRMultiCompanyCIQBasedScoreAF70" vbProcedure="false">#REF!</definedName>
    <definedName function="false" hidden="true" name="IQRMultiCompanyCIQBasedScoreAF71" vbProcedure="false">#REF!</definedName>
    <definedName function="false" hidden="true" name="IQRMultiCompanyCIQBasedScoreAF9" vbProcedure="false">#REF!</definedName>
    <definedName function="false" hidden="true" name="IQRMultiCompanyCIQBasedScoreAG17" vbProcedure="false">#REF!</definedName>
    <definedName function="false" hidden="true" name="IQRMultiCompanyCIQBasedScoreAG29" vbProcedure="false">#REF!</definedName>
    <definedName function="false" hidden="true" name="IQRMultiCompanyCIQBasedScoreAG51" vbProcedure="false">#REF!</definedName>
    <definedName function="false" hidden="true" name="IQRMultiCompanyCIQBasedScoreAG69" vbProcedure="false">#REF!</definedName>
    <definedName function="false" hidden="true" name="IQRMultiCompanyCIQBasedScoreAH17" vbProcedure="false">#REF!</definedName>
    <definedName function="false" hidden="true" name="IQRMultiCompanyCIQBasedScoreAH29" vbProcedure="false">#REF!</definedName>
    <definedName function="false" hidden="true" name="IQRMultiCompanyCIQBasedScoreAH51" vbProcedure="false">#REF!</definedName>
    <definedName function="false" hidden="true" name="IQRMultiCompanyCIQBasedScoreAH69" vbProcedure="false">#REF!</definedName>
    <definedName function="false" hidden="true" name="IQRMultiCompanyCIQBasedScoreS17" vbProcedure="false">#REF!</definedName>
    <definedName function="false" hidden="true" name="IQRMultiCompanyCIQBasedScoreS18" vbProcedure="false">#REF!</definedName>
    <definedName function="false" hidden="true" name="IQRMultiCompanyCIQBasedScoreS38" vbProcedure="false">#REF!</definedName>
    <definedName function="false" hidden="true" name="IQRMultiCompanyCIQBasedScoreS39" vbProcedure="false">#REF!</definedName>
    <definedName function="false" hidden="true" name="IQRMultiCompanyCIQBasedScoreS40" vbProcedure="false">#REF!</definedName>
    <definedName function="false" hidden="true" name="IQRMultiCompanyCIQBasedScoreS52" vbProcedure="false">#REF!</definedName>
    <definedName function="false" hidden="true" name="IQRMultiCompanyCIQBasedScoreS53" vbProcedure="false">#REF!</definedName>
    <definedName function="false" hidden="true" name="IQRMultiCompanyCIQBasedScoreS70" vbProcedure="false">#REF!</definedName>
    <definedName function="false" hidden="true" name="IQRMultiCompanyCIQBasedScoreS71" vbProcedure="false">#REF!</definedName>
    <definedName function="false" hidden="true" name="IQRMultiCompanyCIQBasedScoreS9" vbProcedure="false">#REF!</definedName>
    <definedName function="false" hidden="true" name="IQRMultiCompanyCIQBasedScoreT17" vbProcedure="false">#REF!</definedName>
    <definedName function="false" hidden="true" name="IQRMultiCompanyCIQBasedScoreT18" vbProcedure="false">#REF!</definedName>
    <definedName function="false" hidden="true" name="IQRMultiCompanyCIQBasedScoreT29" vbProcedure="false">#REF!</definedName>
    <definedName function="false" hidden="true" name="IQRMultiCompanyCIQBasedScoreT38" vbProcedure="false">#REF!</definedName>
    <definedName function="false" hidden="true" name="IQRMultiCompanyCIQBasedScoreT39" vbProcedure="false">#REF!</definedName>
    <definedName function="false" hidden="true" name="IQRMultiCompanyCIQBasedScoreT40" vbProcedure="false">#REF!</definedName>
    <definedName function="false" hidden="true" name="IQRMultiCompanyCIQBasedScoreT51" vbProcedure="false">#REF!</definedName>
    <definedName function="false" hidden="true" name="IQRMultiCompanyCIQBasedScoreT52" vbProcedure="false">#REF!</definedName>
    <definedName function="false" hidden="true" name="IQRMultiCompanyCIQBasedScoreT53" vbProcedure="false">#REF!</definedName>
    <definedName function="false" hidden="true" name="IQRMultiCompanyCIQBasedScoreT69" vbProcedure="false">#REF!</definedName>
    <definedName function="false" hidden="true" name="IQRMultiCompanyCIQBasedScoreT70" vbProcedure="false">#REF!</definedName>
    <definedName function="false" hidden="true" name="IQRMultiCompanyCIQBasedScoreT71" vbProcedure="false">#REF!</definedName>
    <definedName function="false" hidden="true" name="IQRMultiCompanyCIQBasedScoreT9" vbProcedure="false">#REF!</definedName>
    <definedName function="false" hidden="true" name="IQRMultiCompanyCIQBasedScoreU17" vbProcedure="false">#REF!</definedName>
    <definedName function="false" hidden="true" name="IQRMultiCompanyCIQBasedScoreU29" vbProcedure="false">#REF!</definedName>
    <definedName function="false" hidden="true" name="IQRMultiCompanyCIQBasedScoreU38" vbProcedure="false">#REF!</definedName>
    <definedName function="false" hidden="true" name="IQRMultiCompanyCIQBasedScoreU50" vbProcedure="false">#REF!</definedName>
    <definedName function="false" hidden="true" name="IQRMultiCompanyCIQBasedScoreU51" vbProcedure="false">#REF!</definedName>
    <definedName function="false" hidden="true" name="IQRMultiCompanyCIQBasedScoreU69" vbProcedure="false">#REF!</definedName>
    <definedName function="false" hidden="true" name="IQRMultiCompanyCIQBasedScoreU7" vbProcedure="false">#REF!</definedName>
    <definedName function="false" hidden="true" name="IQRMultiCompanyCIQBasedScoreU8" vbProcedure="false">#REF!</definedName>
    <definedName function="false" hidden="true" name="IQRMultiCompanyCIQBasedScoreU9" vbProcedure="false">#REF!</definedName>
    <definedName function="false" hidden="true" name="IQRMultiCompanyCIQBasedScoreV17" vbProcedure="false">#REF!</definedName>
    <definedName function="false" hidden="true" name="IQRMultiCompanyCIQBasedScoreV18" vbProcedure="false">#REF!</definedName>
    <definedName function="false" hidden="true" name="IQRMultiCompanyCIQBasedScoreV29" vbProcedure="false">#REF!</definedName>
    <definedName function="false" hidden="true" name="IQRMultiCompanyCIQBasedScoreV30" vbProcedure="false">#REF!</definedName>
    <definedName function="false" hidden="true" name="IQRMultiCompanyCIQBasedScoreV31" vbProcedure="false">#REF!</definedName>
    <definedName function="false" hidden="true" name="IQRMultiCompanyCIQBasedScoreV38" vbProcedure="false">#REF!</definedName>
    <definedName function="false" hidden="true" name="IQRMultiCompanyCIQBasedScoreV39" vbProcedure="false">#REF!</definedName>
    <definedName function="false" hidden="true" name="IQRMultiCompanyCIQBasedScoreV40" vbProcedure="false">#REF!</definedName>
    <definedName function="false" hidden="true" name="IQRMultiCompanyCIQBasedScoreV51" vbProcedure="false">#REF!</definedName>
    <definedName function="false" hidden="true" name="IQRMultiCompanyCIQBasedScoreV52" vbProcedure="false">#REF!</definedName>
    <definedName function="false" hidden="true" name="IQRMultiCompanyCIQBasedScoreV53" vbProcedure="false">#REF!</definedName>
    <definedName function="false" hidden="true" name="IQRMultiCompanyCIQBasedScoreV65" vbProcedure="false">#REF!</definedName>
    <definedName function="false" hidden="true" name="IQRMultiCompanyCIQBasedScoreV66" vbProcedure="false">#REF!</definedName>
    <definedName function="false" hidden="true" name="IQRMultiCompanyCIQBasedScoreV69" vbProcedure="false">#REF!</definedName>
    <definedName function="false" hidden="true" name="IQRMultiCompanyCIQBasedScoreV70" vbProcedure="false">#REF!</definedName>
    <definedName function="false" hidden="true" name="IQRMultiCompanyCIQBasedScoreV71" vbProcedure="false">#REF!</definedName>
    <definedName function="false" hidden="true" name="IQRMultiCompanyCIQBasedScoreV73" vbProcedure="false">#REF!</definedName>
    <definedName function="false" hidden="true" name="IQRMultiCompanyCIQBasedScoreV83" vbProcedure="false">#REF!</definedName>
    <definedName function="false" hidden="true" name="IQRMultiCompanyCIQBasedScoreV84" vbProcedure="false">#REF!</definedName>
    <definedName function="false" hidden="true" name="IQRMultiCompanyCIQBasedScoreV9" vbProcedure="false">#REF!</definedName>
    <definedName function="false" hidden="true" name="IQRMultiCompanyCIQBasedScoreV91" vbProcedure="false">#REF!</definedName>
    <definedName function="false" hidden="true" name="IQRMultiCompanyCIQBasedScoreW17" vbProcedure="false">#REF!</definedName>
    <definedName function="false" hidden="true" name="IQRMultiCompanyCIQBasedScoreW18" vbProcedure="false">#REF!</definedName>
    <definedName function="false" hidden="true" name="IQRMultiCompanyCIQBasedScoreW29" vbProcedure="false">#REF!</definedName>
    <definedName function="false" hidden="true" name="IQRMultiCompanyCIQBasedScoreW30" vbProcedure="false">#REF!</definedName>
    <definedName function="false" hidden="true" name="IQRMultiCompanyCIQBasedScoreW31" vbProcedure="false">#REF!</definedName>
    <definedName function="false" hidden="true" name="IQRMultiCompanyCIQBasedScoreW38" vbProcedure="false">#REF!</definedName>
    <definedName function="false" hidden="true" name="IQRMultiCompanyCIQBasedScoreW39" vbProcedure="false">#REF!</definedName>
    <definedName function="false" hidden="true" name="IQRMultiCompanyCIQBasedScoreW40" vbProcedure="false">#REF!</definedName>
    <definedName function="false" hidden="true" name="IQRMultiCompanyCIQBasedScoreW51" vbProcedure="false">#REF!</definedName>
    <definedName function="false" hidden="true" name="IQRMultiCompanyCIQBasedScoreW52" vbProcedure="false">#REF!</definedName>
    <definedName function="false" hidden="true" name="IQRMultiCompanyCIQBasedScoreW53" vbProcedure="false">#REF!</definedName>
    <definedName function="false" hidden="true" name="IQRMultiCompanyCIQBasedScoreW65" vbProcedure="false">#REF!</definedName>
    <definedName function="false" hidden="true" name="IQRMultiCompanyCIQBasedScoreW66" vbProcedure="false">#REF!</definedName>
    <definedName function="false" hidden="true" name="IQRMultiCompanyCIQBasedScoreW69" vbProcedure="false">#REF!</definedName>
    <definedName function="false" hidden="true" name="IQRMultiCompanyCIQBasedScoreW70" vbProcedure="false">#REF!</definedName>
    <definedName function="false" hidden="true" name="IQRMultiCompanyCIQBasedScoreW71" vbProcedure="false">#REF!</definedName>
    <definedName function="false" hidden="true" name="IQRMultiCompanyCIQBasedScoreW73" vbProcedure="false">#REF!</definedName>
    <definedName function="false" hidden="true" name="IQRMultiCompanyCIQBasedScoreW83" vbProcedure="false">#REF!</definedName>
    <definedName function="false" hidden="true" name="IQRMultiCompanyCIQBasedScoreW84" vbProcedure="false">#REF!</definedName>
    <definedName function="false" hidden="true" name="IQRMultiCompanyCIQBasedScoreW9" vbProcedure="false">#REF!</definedName>
    <definedName function="false" hidden="true" name="IQRMultiCompanyCIQBasedScoreW91" vbProcedure="false">#REF!</definedName>
    <definedName function="false" hidden="true" name="IQRMultiCompanyCIQBasedScoreX17" vbProcedure="false">#REF!</definedName>
    <definedName function="false" hidden="true" name="IQRMultiCompanyCIQBasedScoreX29" vbProcedure="false">#REF!</definedName>
    <definedName function="false" hidden="true" name="IQRMultiCompanyCIQBasedScoreX51" vbProcedure="false">#REF!</definedName>
    <definedName function="false" hidden="true" name="IQRMultiCompanyCIQBasedScoreX69" vbProcedure="false">#REF!</definedName>
    <definedName function="false" hidden="true" name="IQRMultiCompanyCIQBasedScoreX7" vbProcedure="false">#REF!</definedName>
    <definedName function="false" hidden="true" name="IQRMultiCompanyCIQBasedScoreX9" vbProcedure="false">#REF!</definedName>
    <definedName function="false" hidden="true" name="IQRMultiCompanyCIQBasedScoreY17" vbProcedure="false">#REF!</definedName>
    <definedName function="false" hidden="true" name="IQRMultiCompanyCIQBasedScoreY18" vbProcedure="false">#REF!</definedName>
    <definedName function="false" hidden="true" name="IQRMultiCompanyCIQBasedScoreY29" vbProcedure="false">#REF!</definedName>
    <definedName function="false" hidden="true" name="IQRMultiCompanyCIQBasedScoreY30" vbProcedure="false">#REF!</definedName>
    <definedName function="false" hidden="true" name="IQRMultiCompanyCIQBasedScoreY31" vbProcedure="false">#REF!</definedName>
    <definedName function="false" hidden="true" name="IQRMultiCompanyCIQBasedScoreY38" vbProcedure="false">#REF!</definedName>
    <definedName function="false" hidden="true" name="IQRMultiCompanyCIQBasedScoreY39" vbProcedure="false">#REF!</definedName>
    <definedName function="false" hidden="true" name="IQRMultiCompanyCIQBasedScoreY40" vbProcedure="false">#REF!</definedName>
    <definedName function="false" hidden="true" name="IQRMultiCompanyCIQBasedScoreY51" vbProcedure="false">#REF!</definedName>
    <definedName function="false" hidden="true" name="IQRMultiCompanyCIQBasedScoreY52" vbProcedure="false">#REF!</definedName>
    <definedName function="false" hidden="true" name="IQRMultiCompanyCIQBasedScoreY53" vbProcedure="false">#REF!</definedName>
    <definedName function="false" hidden="true" name="IQRMultiCompanyCIQBasedScoreY65" vbProcedure="false">#REF!</definedName>
    <definedName function="false" hidden="true" name="IQRMultiCompanyCIQBasedScoreY66" vbProcedure="false">#REF!</definedName>
    <definedName function="false" hidden="true" name="IQRMultiCompanyCIQBasedScoreY69" vbProcedure="false">#REF!</definedName>
    <definedName function="false" hidden="true" name="IQRMultiCompanyCIQBasedScoreY70" vbProcedure="false">#REF!</definedName>
    <definedName function="false" hidden="true" name="IQRMultiCompanyCIQBasedScoreY71" vbProcedure="false">#REF!</definedName>
    <definedName function="false" hidden="true" name="IQRMultiCompanyCIQBasedScoreY73" vbProcedure="false">#REF!</definedName>
    <definedName function="false" hidden="true" name="IQRMultiCompanyCIQBasedScoreY83" vbProcedure="false">#REF!</definedName>
    <definedName function="false" hidden="true" name="IQRMultiCompanyCIQBasedScoreY84" vbProcedure="false">#REF!</definedName>
    <definedName function="false" hidden="true" name="IQRMultiCompanyCIQBasedScoreY9" vbProcedure="false">#REF!</definedName>
    <definedName function="false" hidden="true" name="IQRMultiCompanyCIQBasedScoreY91" vbProcedure="false">#REF!</definedName>
    <definedName function="false" hidden="true" name="IQRMultiCompanyCIQBasedScoreZ17" vbProcedure="false">#REF!</definedName>
    <definedName function="false" hidden="true" name="IQRMultiCompanyCIQBasedScoreZ18" vbProcedure="false">#REF!</definedName>
    <definedName function="false" hidden="true" name="IQRMultiCompanyCIQBasedScoreZ29" vbProcedure="false">#REF!</definedName>
    <definedName function="false" hidden="true" name="IQRMultiCompanyCIQBasedScoreZ30" vbProcedure="false">#REF!</definedName>
    <definedName function="false" hidden="true" name="IQRMultiCompanyCIQBasedScoreZ31" vbProcedure="false">#REF!</definedName>
    <definedName function="false" hidden="true" name="IQRMultiCompanyCIQBasedScoreZ38" vbProcedure="false">#REF!</definedName>
    <definedName function="false" hidden="true" name="IQRMultiCompanyCIQBasedScoreZ39" vbProcedure="false">#REF!</definedName>
    <definedName function="false" hidden="true" name="IQRMultiCompanyCIQBasedScoreZ40" vbProcedure="false">#REF!</definedName>
    <definedName function="false" hidden="true" name="IQRMultiCompanyCIQBasedScoreZ51" vbProcedure="false">#REF!</definedName>
    <definedName function="false" hidden="true" name="IQRMultiCompanyCIQBasedScoreZ52" vbProcedure="false">#REF!</definedName>
    <definedName function="false" hidden="true" name="IQRMultiCompanyCIQBasedScoreZ53" vbProcedure="false">#REF!</definedName>
    <definedName function="false" hidden="true" name="IQRMultiCompanyCIQBasedScoreZ65" vbProcedure="false">#REF!</definedName>
    <definedName function="false" hidden="true" name="IQRMultiCompanyCIQBasedScoreZ66" vbProcedure="false">#REF!</definedName>
    <definedName function="false" hidden="true" name="IQRMultiCompanyCIQBasedScoreZ69" vbProcedure="false">#REF!</definedName>
    <definedName function="false" hidden="true" name="IQRMultiCompanyCIQBasedScoreZ70" vbProcedure="false">#REF!</definedName>
    <definedName function="false" hidden="true" name="IQRMultiCompanyCIQBasedScoreZ71" vbProcedure="false">#REF!</definedName>
    <definedName function="false" hidden="true" name="IQRMultiCompanyCIQBasedScoreZ73" vbProcedure="false">#REF!</definedName>
    <definedName function="false" hidden="true" name="IQRMultiCompanyCIQBasedScoreZ83" vbProcedure="false">#REF!</definedName>
    <definedName function="false" hidden="true" name="IQRMultiCompanyCIQBasedScoreZ84" vbProcedure="false">#REF!</definedName>
    <definedName function="false" hidden="true" name="IQRMultiCompanyCIQBasedScoreZ9" vbProcedure="false">#REF!</definedName>
    <definedName function="false" hidden="true" name="IQRMultiCompanyCIQBasedScoreZ91" vbProcedure="false">#REF!</definedName>
    <definedName function="false" hidden="true" name="IQRMultiplesAM5" vbProcedure="false">#REF!</definedName>
    <definedName function="false" hidden="true" name="IQRMultiplesL8" vbProcedure="false">#REF!</definedName>
    <definedName function="false" hidden="true" name="IQRN13" vbProcedure="false">"$N$14"</definedName>
    <definedName function="false" hidden="true" name="IQRN24" vbProcedure="false">"$N$25:$N$37"</definedName>
    <definedName function="false" hidden="true" name="IQRN3" vbProcedure="false">"$N$4:$N$253"</definedName>
    <definedName function="false" hidden="true" name="IQRN39" vbProcedure="false">"$N$40:$N$83"</definedName>
    <definedName function="false" hidden="true" name="IQRN4" vbProcedure="false">"$N$5:$N$254"</definedName>
    <definedName function="false" hidden="true" name="IQRN40" vbProcedure="false">"$N$41:$N$84"</definedName>
    <definedName function="false" hidden="true" name="IQRN406" vbProcedure="false">"$N$407:$N$659"</definedName>
    <definedName function="false" hidden="true" name="IQRN5" vbProcedure="false">"$N$6:$N$255"</definedName>
    <definedName function="false" hidden="true" name="IQRN6" vbProcedure="false">"$N$7:$N$256"</definedName>
    <definedName function="false" hidden="true" name="IQRN7" vbProcedure="false">"$N$8:$N$20"</definedName>
    <definedName function="false" hidden="true" name="IQRN81" vbProcedure="false">"$N$82:$N$86"</definedName>
    <definedName function="false" hidden="true" name="IQRN97" vbProcedure="false">"$N$98:$N$347"</definedName>
    <definedName function="false" hidden="true" name="IQRNasdaqGSHOLXH20" vbProcedure="false">#REF!</definedName>
    <definedName function="false" hidden="true" name="IQRNasdaqGSISRGH20" vbProcedure="false">#REF!</definedName>
    <definedName function="false" hidden="true" name="IQRNVGNH20" vbProcedure="false">#REF!</definedName>
    <definedName function="false" hidden="true" name="IQRNYSEBAXH20" vbProcedure="false">#REF!</definedName>
    <definedName function="false" hidden="true" name="IQRNYSEBCRH20" vbProcedure="false">#REF!</definedName>
    <definedName function="false" hidden="true" name="IQRNYSEBDXH20" vbProcedure="false">#REF!</definedName>
    <definedName function="false" hidden="true" name="IQRNYSEBSXH20" vbProcedure="false">#REF!</definedName>
    <definedName function="false" hidden="true" name="IQRNYSECFNH20" vbProcedure="false">#REF!</definedName>
    <definedName function="false" hidden="true" name="IQRNYSECOOH20" vbProcedure="false">#REF!</definedName>
    <definedName function="false" hidden="true" name="IQRNYSECOVH20" vbProcedure="false">#REF!</definedName>
    <definedName function="false" hidden="true" name="IQRNYSEEWH20" vbProcedure="false">#REF!</definedName>
    <definedName function="false" hidden="true" name="IQRNYSEMDTH20" vbProcedure="false">#REF!</definedName>
    <definedName function="false" hidden="true" name="IQRNYSESTJH20" vbProcedure="false">#REF!</definedName>
    <definedName function="false" hidden="true" name="IQRNYSESYKH20" vbProcedure="false">#REF!</definedName>
    <definedName function="false" hidden="true" name="IQRNYSEVARH20" vbProcedure="false">#REF!</definedName>
    <definedName function="false" hidden="true" name="IQRNYSEZMHH20" vbProcedure="false">#REF!</definedName>
    <definedName function="false" hidden="true" name="IQRO13" vbProcedure="false">"$O$14"</definedName>
    <definedName function="false" hidden="true" name="IQRO14" vbProcedure="false">"$O$15:$O$27"</definedName>
    <definedName function="false" hidden="true" name="IQRO24" vbProcedure="false">"$O$25:$O$28"</definedName>
    <definedName function="false" hidden="true" name="IQRO3" vbProcedure="false">"$O$4:$O$253"</definedName>
    <definedName function="false" hidden="true" name="IQRO39" vbProcedure="false">"$O$40:$O$61"</definedName>
    <definedName function="false" hidden="true" name="IQRO4" vbProcedure="false">"$O$5:$O$254"</definedName>
    <definedName function="false" hidden="true" name="IQRO40" vbProcedure="false">"$O$41:$O$84"</definedName>
    <definedName function="false" hidden="true" name="IQRO405" vbProcedure="false">"$O$406:$O$658"</definedName>
    <definedName function="false" hidden="true" name="IQRO406" vbProcedure="false">"$O$407:$O$659"</definedName>
    <definedName function="false" hidden="true" name="IQRO413" vbProcedure="false">"$O$414:$O$666"</definedName>
    <definedName function="false" hidden="true" name="IQRO415" vbProcedure="false">"$O$416:$O$668"</definedName>
    <definedName function="false" hidden="true" name="IQRO417" vbProcedure="false">"$O$418:$O$670"</definedName>
    <definedName function="false" hidden="true" name="IQRO419" vbProcedure="false">"$O$420:$O$672"</definedName>
    <definedName function="false" hidden="true" name="IQRO434" vbProcedure="false">"$O$435:$O$687"</definedName>
    <definedName function="false" hidden="true" name="IQRO439" vbProcedure="false">"$O$440:$O$692"</definedName>
    <definedName function="false" hidden="true" name="IQRO441" vbProcedure="false">"$O$442:$O$694"</definedName>
    <definedName function="false" hidden="true" name="IQRO442" vbProcedure="false">"$O$443:$O$695"</definedName>
    <definedName function="false" hidden="true" name="IQRO443" vbProcedure="false">"$O$444:$O$696"</definedName>
    <definedName function="false" hidden="true" name="IQRO444" vbProcedure="false">"$O$445:$O$697"</definedName>
    <definedName function="false" hidden="true" name="IQRO448" vbProcedure="false">"$O$449:$O$701"</definedName>
    <definedName function="false" hidden="true" name="IQRO449" vbProcedure="false">"$O$450:$O$702"</definedName>
    <definedName function="false" hidden="true" name="IQRO450" vbProcedure="false">"$O$451:$O$703"</definedName>
    <definedName function="false" hidden="true" name="IQRO5" vbProcedure="false">"$O$6:$O$506"</definedName>
    <definedName function="false" hidden="true" name="IQRO581" vbProcedure="false">"$O$582:$O$834"</definedName>
    <definedName function="false" hidden="true" name="IQRO582" vbProcedure="false">"$O$583:$O$835"</definedName>
    <definedName function="false" hidden="true" name="IQRO583" vbProcedure="false">"$O$584:$O$836"</definedName>
    <definedName function="false" hidden="true" name="IQRO6" vbProcedure="false">"$O$7:$O$256"</definedName>
    <definedName function="false" hidden="true" name="IQRO7" vbProcedure="false">"$O$8:$O$11"</definedName>
    <definedName function="false" hidden="true" name="IQRO74" vbProcedure="false">"$O$75"</definedName>
    <definedName function="false" hidden="true" name="IQRO75" vbProcedure="false">"$O$76"</definedName>
    <definedName function="false" hidden="true" name="IQRO77" vbProcedure="false">"$O$78:$O$87"</definedName>
    <definedName function="false" hidden="true" name="IQRO78" vbProcedure="false">"$O$79:$O$88"</definedName>
    <definedName function="false" hidden="true" name="IQRO81" vbProcedure="false">"$O$82:$O$86"</definedName>
    <definedName function="false" hidden="true" name="IQRO91" vbProcedure="false">"$O$92:$O$101"</definedName>
    <definedName function="false" hidden="true" name="IQRO92" vbProcedure="false">"$O$93:$O$95"</definedName>
    <definedName function="false" hidden="true" name="IQRO97" vbProcedure="false">"$O$98:$O$347"</definedName>
    <definedName function="false" hidden="true" name="IQROnePagerAF17" vbProcedure="false">#REF!</definedName>
    <definedName function="false" hidden="true" name="IQROnePagerAP89" vbProcedure="false">#REF!</definedName>
    <definedName function="false" hidden="true" name="IQROnePagerAR89" vbProcedure="false">#REF!</definedName>
    <definedName function="false" hidden="true" name="IQROnePagerAT89" vbProcedure="false">#REF!</definedName>
    <definedName function="false" hidden="true" name="IQROnePagerAV89" vbProcedure="false">#REF!</definedName>
    <definedName function="false" hidden="true" name="IQROnePagerAX89" vbProcedure="false">#REF!</definedName>
    <definedName function="false" hidden="true" name="IQROnePagerAZ17" vbProcedure="false">#REF!</definedName>
    <definedName function="false" hidden="true" name="IQROptions2C24" vbProcedure="false">#REF!</definedName>
    <definedName function="false" hidden="true" name="IQROptions2C7" vbProcedure="false">#REF!</definedName>
    <definedName function="false" hidden="true" name="IQROptions2H24" vbProcedure="false">#REF!</definedName>
    <definedName function="false" hidden="true" name="IQROptions2H7" vbProcedure="false">#REF!</definedName>
    <definedName function="false" hidden="true" name="IQROptions2J24" vbProcedure="false">#REF!</definedName>
    <definedName function="false" hidden="true" name="IQROptions2J7" vbProcedure="false">#REF!</definedName>
    <definedName function="false" hidden="true" name="IQROptions2M24" vbProcedure="false">#REF!</definedName>
    <definedName function="false" hidden="true" name="IQROptions2M7" vbProcedure="false">#REF!</definedName>
    <definedName function="false" hidden="true" name="IQROptions2N24" vbProcedure="false">#REF!</definedName>
    <definedName function="false" hidden="true" name="IQROptions2N7" vbProcedure="false">#REF!</definedName>
    <definedName function="false" hidden="true" name="IQROptionsB24" vbProcedure="false">#REF!</definedName>
    <definedName function="false" hidden="true" name="IQROptionsB7" vbProcedure="false">#REF!</definedName>
    <definedName function="false" hidden="true" name="IQROptionsC24" vbProcedure="false">#REF!</definedName>
    <definedName function="false" hidden="true" name="IQROptionsC7" vbProcedure="false">#REF!</definedName>
    <definedName function="false" hidden="true" name="IQROptionsD24" vbProcedure="false">#REF!</definedName>
    <definedName function="false" hidden="true" name="IQROptionsD7" vbProcedure="false">#REF!</definedName>
    <definedName function="false" hidden="true" name="IQROptionsE24" vbProcedure="false">#REF!</definedName>
    <definedName function="false" hidden="true" name="IQROptionsE7" vbProcedure="false">#REF!</definedName>
    <definedName function="false" hidden="true" name="IQROptionsF24" vbProcedure="false">#REF!</definedName>
    <definedName function="false" hidden="true" name="IQROptionsF7" vbProcedure="false">#REF!</definedName>
    <definedName function="false" hidden="true" name="IQROptionsG24" vbProcedure="false">#REF!</definedName>
    <definedName function="false" hidden="true" name="IQROptionsG7" vbProcedure="false">#REF!</definedName>
    <definedName function="false" hidden="true" name="IQROptionsK24" vbProcedure="false">#REF!</definedName>
    <definedName function="false" hidden="true" name="IQROptionsK7" vbProcedure="false">#REF!</definedName>
    <definedName function="false" hidden="true" name="IQROptionsL24" vbProcedure="false">#REF!</definedName>
    <definedName function="false" hidden="true" name="IQROptionsL7" vbProcedure="false">#REF!</definedName>
    <definedName function="false" hidden="true" name="IQROptionsM24" vbProcedure="false">#REF!</definedName>
    <definedName function="false" hidden="true" name="IQROptionsM7" vbProcedure="false">#REF!</definedName>
    <definedName function="false" hidden="true" name="IQROptionsN24" vbProcedure="false">#REF!</definedName>
    <definedName function="false" hidden="true" name="IQROptionsN7" vbProcedure="false">#REF!</definedName>
    <definedName function="false" hidden="true" name="IQROptionsO24" vbProcedure="false">#REF!</definedName>
    <definedName function="false" hidden="true" name="IQROptionsO7" vbProcedure="false">#REF!</definedName>
    <definedName function="false" hidden="true" name="IQROptionsP24" vbProcedure="false">#REF!</definedName>
    <definedName function="false" hidden="true" name="IQROptionsP7" vbProcedure="false">#REF!</definedName>
    <definedName function="false" hidden="true" name="IQROptionsQ24" vbProcedure="false">#REF!</definedName>
    <definedName function="false" hidden="true" name="IQROptionsQ7" vbProcedure="false">#REF!</definedName>
    <definedName function="false" hidden="true" name="IQROptionsR24" vbProcedure="false">#REF!</definedName>
    <definedName function="false" hidden="true" name="IQROptionsR7" vbProcedure="false">#REF!</definedName>
    <definedName function="false" hidden="true" name="IQROptionsT24" vbProcedure="false">#REF!</definedName>
    <definedName function="false" hidden="true" name="IQROptionsT7" vbProcedure="false">#REF!</definedName>
    <definedName function="false" hidden="true" name="IQROptionsU24" vbProcedure="false">#REF!</definedName>
    <definedName function="false" hidden="true" name="IQROptionsU7" vbProcedure="false">#REF!</definedName>
    <definedName function="false" hidden="true" name="IQROptionsV24" vbProcedure="false">#REF!</definedName>
    <definedName function="false" hidden="true" name="IQROptionsV7" vbProcedure="false">#REF!</definedName>
    <definedName function="false" hidden="true" name="IQROptionsW24" vbProcedure="false">#REF!</definedName>
    <definedName function="false" hidden="true" name="IQROptionsW7" vbProcedure="false">#REF!</definedName>
    <definedName function="false" hidden="true" name="IQROptionsX24" vbProcedure="false">#REF!</definedName>
    <definedName function="false" hidden="true" name="IQROptionsX7" vbProcedure="false">#REF!</definedName>
    <definedName function="false" hidden="true" name="IQROptionsY24" vbProcedure="false">#REF!</definedName>
    <definedName function="false" hidden="true" name="IQROptionsY7" vbProcedure="false">#REF!</definedName>
    <definedName function="false" hidden="true" name="IQROwnershipB12" vbProcedure="false">#REF!</definedName>
    <definedName function="false" hidden="true" name="IQROwnershipB6" vbProcedure="false">#REF!</definedName>
    <definedName function="false" hidden="true" name="IQROwnershipCA11" vbProcedure="false">#REF!</definedName>
    <definedName function="false" hidden="true" name="IQROwnershipEA8" vbProcedure="false">#REF!</definedName>
    <definedName function="false" hidden="true" name="IQROwnershipO12" vbProcedure="false">#REF!</definedName>
    <definedName function="false" hidden="true" name="IQROwnershipO6" vbProcedure="false">#REF!</definedName>
    <definedName function="false" hidden="true" name="IQROwnershipX8" vbProcedure="false">#REF!</definedName>
    <definedName function="false" hidden="true" name="IQRP10" vbProcedure="false">#REF!</definedName>
    <definedName function="false" hidden="true" name="IQRP11" vbProcedure="false">#REF!</definedName>
    <definedName function="false" hidden="true" name="IQRP119" vbProcedure="false">"$P$120:$P$369"</definedName>
    <definedName function="false" hidden="true" name="IQRP12" vbProcedure="false">#REF!</definedName>
    <definedName function="false" hidden="true" name="IQRP120" vbProcedure="false">"$P$121:$P$370"</definedName>
    <definedName function="false" hidden="true" name="IQRP129" vbProcedure="false">"$P$130:$P$379"</definedName>
    <definedName function="false" hidden="true" name="IQRP13" vbProcedure="false">#REF!</definedName>
    <definedName function="false" hidden="true" name="IQRP14" vbProcedure="false">#REF!</definedName>
    <definedName function="false" hidden="true" name="IQRP15" vbProcedure="false">#REF!</definedName>
    <definedName function="false" hidden="true" name="IQRP16" vbProcedure="false">#REF!</definedName>
    <definedName function="false" hidden="true" name="IQRP17" vbProcedure="false">#REF!</definedName>
    <definedName function="false" hidden="true" name="IQRP18" vbProcedure="false">#REF!</definedName>
    <definedName function="false" hidden="true" name="IQRP19" vbProcedure="false">#REF!</definedName>
    <definedName function="false" hidden="true" name="IQRP20" vbProcedure="false">#REF!</definedName>
    <definedName function="false" hidden="true" name="IQRP21" vbProcedure="false">#REF!</definedName>
    <definedName function="false" hidden="true" name="IQRP22" vbProcedure="false">#REF!</definedName>
    <definedName function="false" hidden="true" name="IQRP23" vbProcedure="false">#REF!</definedName>
    <definedName function="false" hidden="true" name="IQRP24" vbProcedure="false">"$P$25"</definedName>
    <definedName function="false" hidden="true" name="IQRP25" vbProcedure="false">#REF!</definedName>
    <definedName function="false" hidden="true" name="IQRP26" vbProcedure="false">#REF!</definedName>
    <definedName function="false" hidden="true" name="IQRP27" vbProcedure="false">#REF!</definedName>
    <definedName function="false" hidden="true" name="IQRP28" vbProcedure="false">#REF!</definedName>
    <definedName function="false" hidden="true" name="IQRP29" vbProcedure="false">#REF!</definedName>
    <definedName function="false" hidden="true" name="IQRP3" vbProcedure="false">"$P$4:$P$253"</definedName>
    <definedName function="false" hidden="true" name="IQRP30" vbProcedure="false">"$P$31:$P$281"</definedName>
    <definedName function="false" hidden="true" name="IQRP31" vbProcedure="false">#REF!</definedName>
    <definedName function="false" hidden="true" name="IQRP32" vbProcedure="false">#REF!</definedName>
    <definedName function="false" hidden="true" name="IQRP33" vbProcedure="false">#REF!</definedName>
    <definedName function="false" hidden="true" name="IQRP34" vbProcedure="false">#REF!</definedName>
    <definedName function="false" hidden="true" name="IQRP35" vbProcedure="false">#REF!</definedName>
    <definedName function="false" hidden="true" name="IQRP36" vbProcedure="false">#REF!</definedName>
    <definedName function="false" hidden="true" name="IQRP37" vbProcedure="false">#REF!</definedName>
    <definedName function="false" hidden="true" name="IQRP38" vbProcedure="false">#REF!</definedName>
    <definedName function="false" hidden="true" name="IQRP39" vbProcedure="false">"$P$40:$P$61"</definedName>
    <definedName function="false" hidden="true" name="IQRP7" vbProcedure="false">"$P$8"</definedName>
    <definedName function="false" hidden="true" name="IQRP77" vbProcedure="false">"$P$78:$P$85"</definedName>
    <definedName function="false" hidden="true" name="IQRP78" vbProcedure="false">"$P$79:$P$88"</definedName>
    <definedName function="false" hidden="true" name="IQRP8" vbProcedure="false">#REF!</definedName>
    <definedName function="false" hidden="true" name="IQRP81" vbProcedure="false">"$P$82:$P$86"</definedName>
    <definedName function="false" hidden="true" name="IQRP9" vbProcedure="false">"$P$10:$P$129"</definedName>
    <definedName function="false" hidden="true" name="IQRP91" vbProcedure="false">"$P$92:$P$94"</definedName>
    <definedName function="false" hidden="true" name="IQRPFEH20" vbProcedure="false">#REF!</definedName>
    <definedName function="false" hidden="true" name="IQRPreScoresAA37" vbProcedure="false">#REF!</definedName>
    <definedName function="false" hidden="true" name="IQRPreScoresAE63" vbProcedure="false">#REF!</definedName>
    <definedName function="false" hidden="true" name="IQRPreScoresAJ77" vbProcedure="false">#REF!</definedName>
    <definedName function="false" hidden="true" name="IQRPreScoresAJ78" vbProcedure="false">#REF!</definedName>
    <definedName function="false" hidden="true" name="IQRPreScoresAL77" vbProcedure="false">#REF!</definedName>
    <definedName function="false" hidden="true" name="IQRPreScoresAL78" vbProcedure="false">#REF!</definedName>
    <definedName function="false" hidden="true" name="IQRPreScoresAM77" vbProcedure="false">#REF!</definedName>
    <definedName function="false" hidden="true" name="IQRPreScoresAM78" vbProcedure="false">#REF!</definedName>
    <definedName function="false" hidden="true" name="IQRPreScoresAX19" vbProcedure="false">#REF!</definedName>
    <definedName function="false" hidden="true" name="IQRPreScoresBQ19" vbProcedure="false">#REF!</definedName>
    <definedName function="false" hidden="true" name="IQRPreScoresBV19" vbProcedure="false">#REF!</definedName>
    <definedName function="false" hidden="true" name="IQRPreScoresCA19" vbProcedure="false">#REF!</definedName>
    <definedName function="false" hidden="true" name="IQRPreScoresCB19" vbProcedure="false">#REF!</definedName>
    <definedName function="false" hidden="true" name="IQRPreScoresCC19" vbProcedure="false">#REF!</definedName>
    <definedName function="false" hidden="true" name="IQRPreScoresZ83" vbProcedure="false">#REF!</definedName>
    <definedName function="false" hidden="true" name="IQRProprietaryDataUploadW57" vbProcedure="false">#REF!</definedName>
    <definedName function="false" hidden="true" name="IQRPublicComp1WACC2BF9" vbProcedure="false">#REF!</definedName>
    <definedName function="false" hidden="true" name="IQRPublicComp1WACC2BN9" vbProcedure="false">#REF!</definedName>
    <definedName function="false" hidden="true" name="IQRPublicComp1WACCBF10" vbProcedure="false">#REF!</definedName>
    <definedName function="false" hidden="true" name="IQRPublicComp1WACCBF9" vbProcedure="false">#REF!</definedName>
    <definedName function="false" hidden="true" name="IQRPublicComp1WACCBN10" vbProcedure="false">#REF!</definedName>
    <definedName function="false" hidden="true" name="IQRPublicComp4WACCBF9" vbProcedure="false">#REF!</definedName>
    <definedName function="false" hidden="true" name="IQRPublicComp4WACCBN9" vbProcedure="false">#REF!</definedName>
    <definedName function="false" hidden="true" name="IQRPublicComp6WACCBN9" vbProcedure="false">#REF!</definedName>
    <definedName function="false" hidden="true" name="IQRPublicComp7WACCBN9" vbProcedure="false">#REF!</definedName>
    <definedName function="false" hidden="true" name="IQRPublicTradingMultiplesC10" vbProcedure="false">#REF!</definedName>
    <definedName function="false" hidden="true" name="IQRPublicTradingMultiplesC12" vbProcedure="false">#REF!</definedName>
    <definedName function="false" hidden="true" name="IQRPublicTradingMultiplesC24" vbProcedure="false">#REF!</definedName>
    <definedName function="false" hidden="true" name="IQRQ102" vbProcedure="false">"$Q$103:$Q$352"</definedName>
    <definedName function="false" hidden="true" name="IQRQ129" vbProcedure="false">"$Q$130:$Q$379"</definedName>
    <definedName function="false" hidden="true" name="IQRQ21" vbProcedure="false">"$Q$22"</definedName>
    <definedName function="false" hidden="true" name="IQRQ24" vbProcedure="false">"$Q$25"</definedName>
    <definedName function="false" hidden="true" name="IQRQ3" vbProcedure="false">"$Q$4:$Q$253"</definedName>
    <definedName function="false" hidden="true" name="IQRQ40" vbProcedure="false">"$Q$41:$Q$65"</definedName>
    <definedName function="false" hidden="true" name="IQRQ5" vbProcedure="false">"$Q$6:$Q$512"</definedName>
    <definedName function="false" hidden="true" name="IQRQ6" vbProcedure="false">"$Q$7:$Q$256"</definedName>
    <definedName function="false" hidden="true" name="IQRQ7" vbProcedure="false">"$Q$8"</definedName>
    <definedName function="false" hidden="true" name="IQRQ73" vbProcedure="false">"$Q$74:$Q$323"</definedName>
    <definedName function="false" hidden="true" name="IQRQ74" vbProcedure="false">"$Q$75:$Q$324"</definedName>
    <definedName function="false" hidden="true" name="IQRQ77" vbProcedure="false">"$Q$78:$Q$327"</definedName>
    <definedName function="false" hidden="true" name="IQRQ81" vbProcedure="false">"$Q$82:$Q$86"</definedName>
    <definedName function="false" hidden="true" name="IQRQ94" vbProcedure="false">"$Q$95:$Q$344"</definedName>
    <definedName function="false" hidden="true" name="IQRQ95" vbProcedure="false">"$Q$96:$Q$345"</definedName>
    <definedName function="false" hidden="true" name="IQRR102" vbProcedure="false">"$R$103:$R$352"</definedName>
    <definedName function="false" hidden="true" name="IQRR13" vbProcedure="false">"$R$14"</definedName>
    <definedName function="false" hidden="true" name="IQRR192" vbProcedure="false">"$R$193:$R$443"</definedName>
    <definedName function="false" hidden="true" name="IQRR207" vbProcedure="false">"$R$208:$R$458"</definedName>
    <definedName function="false" hidden="true" name="IQRR24" vbProcedure="false">"$R$25"</definedName>
    <definedName function="false" hidden="true" name="IQRR3" vbProcedure="false">"$R$4:$R$253"</definedName>
    <definedName function="false" hidden="true" name="IQRR36" vbProcedure="false">"$R$37:$R$58"</definedName>
    <definedName function="false" hidden="true" name="IQRR4" vbProcedure="false">"$R$5:$R$254"</definedName>
    <definedName function="false" hidden="true" name="IQRR5" vbProcedure="false">"$R$6:$R$257"</definedName>
    <definedName function="false" hidden="true" name="IQRR6" vbProcedure="false">"$R$7:$R$256"</definedName>
    <definedName function="false" hidden="true" name="IQRR7" vbProcedure="false">"$R$8"</definedName>
    <definedName function="false" hidden="true" name="IQRR81" vbProcedure="false">"$R$82:$R$86"</definedName>
    <definedName function="false" hidden="true" name="IQRREAConsensusAM40" vbProcedure="false">#REF!</definedName>
    <definedName function="false" hidden="true" name="IQRREAConsensusAT40" vbProcedure="false">#REF!</definedName>
    <definedName function="false" hidden="true" name="IQRREAConsensusAU40" vbProcedure="false">#REF!</definedName>
    <definedName function="false" hidden="true" name="IQRREAConsensusAV40" vbProcedure="false">#REF!</definedName>
    <definedName function="false" hidden="true" name="IQRREAConsensusC39" vbProcedure="false">#REF!</definedName>
    <definedName function="false" hidden="true" name="IQRREAConsensusD33" vbProcedure="false">#REF!</definedName>
    <definedName function="false" hidden="true" name="IQRREAConsensusD34" vbProcedure="false">#REF!</definedName>
    <definedName function="false" hidden="true" name="IQRREAConsensusD39" vbProcedure="false">#REF!</definedName>
    <definedName function="false" hidden="true" name="IQRREAConsensusD41" vbProcedure="false">#REF!</definedName>
    <definedName function="false" hidden="true" name="IQRREAConsensusE33" vbProcedure="false">#REF!</definedName>
    <definedName function="false" hidden="true" name="IQRREAConsensusE34" vbProcedure="false">#REF!</definedName>
    <definedName function="false" hidden="true" name="IQRREAConsensusE40" vbProcedure="false">#REF!</definedName>
    <definedName function="false" hidden="true" name="IQRREAConsensusE41" vbProcedure="false">#REF!</definedName>
    <definedName function="false" hidden="true" name="IQRREAConsensusF33" vbProcedure="false">#REF!</definedName>
    <definedName function="false" hidden="true" name="IQRREAConsensusF34" vbProcedure="false">#REF!</definedName>
    <definedName function="false" hidden="true" name="IQRREAConsensusF39" vbProcedure="false">#REF!</definedName>
    <definedName function="false" hidden="true" name="IQRREAConsensusF40" vbProcedure="false">#REF!</definedName>
    <definedName function="false" hidden="true" name="IQRREAConsensusF41" vbProcedure="false">#REF!</definedName>
    <definedName function="false" hidden="true" name="IQRREAConsensusF66" vbProcedure="false">#REF!</definedName>
    <definedName function="false" hidden="true" name="IQRREAConsensusG40" vbProcedure="false">#REF!</definedName>
    <definedName function="false" hidden="true" name="IQRREAConsensusG41" vbProcedure="false">#REF!</definedName>
    <definedName function="false" hidden="true" name="IQRREAConsensusG66" vbProcedure="false">#REF!</definedName>
    <definedName function="false" hidden="true" name="IQRREAConsensusH39" vbProcedure="false">#REF!</definedName>
    <definedName function="false" hidden="true" name="IQRREAConsensusI39" vbProcedure="false">#REF!</definedName>
    <definedName function="false" hidden="true" name="IQRREAConsensusI40" vbProcedure="false">#REF!</definedName>
    <definedName function="false" hidden="true" name="IQRREAConsensusJ39" vbProcedure="false">#REF!</definedName>
    <definedName function="false" hidden="true" name="IQRREAConsensusJ40" vbProcedure="false">#REF!</definedName>
    <definedName function="false" hidden="true" name="IQRREAConsensusK39" vbProcedure="false">#REF!</definedName>
    <definedName function="false" hidden="true" name="IQRREAConsensusK40" vbProcedure="false">#REF!</definedName>
    <definedName function="false" hidden="true" name="IQRREAConsensusL39" vbProcedure="false">#REF!</definedName>
    <definedName function="false" hidden="true" name="IQRREAConsensusL40" vbProcedure="false">#REF!</definedName>
    <definedName function="false" hidden="true" name="IQRREAConsensusM40" vbProcedure="false">#REF!</definedName>
    <definedName function="false" hidden="true" name="IQRREAConsensusN40" vbProcedure="false">#REF!</definedName>
    <definedName function="false" hidden="true" name="IQRREAConsensusO40" vbProcedure="false">#REF!</definedName>
    <definedName function="false" hidden="true" name="IQRREAConsensusU40" vbProcedure="false">#REF!</definedName>
    <definedName function="false" hidden="true" name="IQRREAConsensusV40" vbProcedure="false">#REF!</definedName>
    <definedName function="false" hidden="true" name="IQRREAConsensusW40" vbProcedure="false">#REF!</definedName>
    <definedName function="false" hidden="true" name="IQRReportAA10" vbProcedure="false">#REF!</definedName>
    <definedName function="false" hidden="true" name="IQRReportAA100" vbProcedure="false">#REF!</definedName>
    <definedName function="false" hidden="true" name="IQRReportAA101" vbProcedure="false">#REF!</definedName>
    <definedName function="false" hidden="true" name="IQRReportAA102" vbProcedure="false">#REF!</definedName>
    <definedName function="false" hidden="true" name="IQRReportAA103" vbProcedure="false">#REF!</definedName>
    <definedName function="false" hidden="true" name="IQRReportAA104" vbProcedure="false">#REF!</definedName>
    <definedName function="false" hidden="true" name="IQRReportAA105" vbProcedure="false">#REF!</definedName>
    <definedName function="false" hidden="true" name="IQRReportAA106" vbProcedure="false">#REF!</definedName>
    <definedName function="false" hidden="true" name="IQRReportAA107" vbProcedure="false">#REF!</definedName>
    <definedName function="false" hidden="true" name="IQRReportAA108" vbProcedure="false">#REF!</definedName>
    <definedName function="false" hidden="true" name="IQRReportAA109" vbProcedure="false">#REF!</definedName>
    <definedName function="false" hidden="true" name="IQRReportAA11" vbProcedure="false">#REF!</definedName>
    <definedName function="false" hidden="true" name="IQRReportAA110" vbProcedure="false">#REF!</definedName>
    <definedName function="false" hidden="true" name="IQRReportAA111" vbProcedure="false">#REF!</definedName>
    <definedName function="false" hidden="true" name="IQRReportAA112" vbProcedure="false">#REF!</definedName>
    <definedName function="false" hidden="true" name="IQRReportAA113" vbProcedure="false">#REF!</definedName>
    <definedName function="false" hidden="true" name="IQRReportAA114" vbProcedure="false">#REF!</definedName>
    <definedName function="false" hidden="true" name="IQRReportAA115" vbProcedure="false">#REF!</definedName>
    <definedName function="false" hidden="true" name="IQRReportAA116" vbProcedure="false">#REF!</definedName>
    <definedName function="false" hidden="true" name="IQRReportAA117" vbProcedure="false">#REF!</definedName>
    <definedName function="false" hidden="true" name="IQRReportAA118" vbProcedure="false">#REF!</definedName>
    <definedName function="false" hidden="true" name="IQRReportAA119" vbProcedure="false">#REF!</definedName>
    <definedName function="false" hidden="true" name="IQRReportAA12" vbProcedure="false">#REF!</definedName>
    <definedName function="false" hidden="true" name="IQRReportAA120" vbProcedure="false">#REF!</definedName>
    <definedName function="false" hidden="true" name="IQRReportAA121" vbProcedure="false">#REF!</definedName>
    <definedName function="false" hidden="true" name="IQRReportAA122" vbProcedure="false">#REF!</definedName>
    <definedName function="false" hidden="true" name="IQRReportAA123" vbProcedure="false">#REF!</definedName>
    <definedName function="false" hidden="true" name="IQRReportAA124" vbProcedure="false">#REF!</definedName>
    <definedName function="false" hidden="true" name="IQRReportAA125" vbProcedure="false">#REF!</definedName>
    <definedName function="false" hidden="true" name="IQRReportAA126" vbProcedure="false">#REF!</definedName>
    <definedName function="false" hidden="true" name="IQRReportAA127" vbProcedure="false">#REF!</definedName>
    <definedName function="false" hidden="true" name="IQRReportAA128" vbProcedure="false">#REF!</definedName>
    <definedName function="false" hidden="true" name="IQRReportAA129" vbProcedure="false">#REF!</definedName>
    <definedName function="false" hidden="true" name="IQRReportAA13" vbProcedure="false">#REF!</definedName>
    <definedName function="false" hidden="true" name="IQRReportAA130" vbProcedure="false">#REF!</definedName>
    <definedName function="false" hidden="true" name="IQRReportAA131" vbProcedure="false">#REF!</definedName>
    <definedName function="false" hidden="true" name="IQRReportAA132" vbProcedure="false">#REF!</definedName>
    <definedName function="false" hidden="true" name="IQRReportAA133" vbProcedure="false">#REF!</definedName>
    <definedName function="false" hidden="true" name="IQRReportAA134" vbProcedure="false">#REF!</definedName>
    <definedName function="false" hidden="true" name="IQRReportAA135" vbProcedure="false">#REF!</definedName>
    <definedName function="false" hidden="true" name="IQRReportAA136" vbProcedure="false">#REF!</definedName>
    <definedName function="false" hidden="true" name="IQRReportAA137" vbProcedure="false">#REF!</definedName>
    <definedName function="false" hidden="true" name="IQRReportAA138" vbProcedure="false">#REF!</definedName>
    <definedName function="false" hidden="true" name="IQRReportAA139" vbProcedure="false">#REF!</definedName>
    <definedName function="false" hidden="true" name="IQRReportAA14" vbProcedure="false">#REF!</definedName>
    <definedName function="false" hidden="true" name="IQRReportAA140" vbProcedure="false">#REF!</definedName>
    <definedName function="false" hidden="true" name="IQRReportAA141" vbProcedure="false">#REF!</definedName>
    <definedName function="false" hidden="true" name="IQRReportAA142" vbProcedure="false">#REF!</definedName>
    <definedName function="false" hidden="true" name="IQRReportAA143" vbProcedure="false">#REF!</definedName>
    <definedName function="false" hidden="true" name="IQRReportAA144" vbProcedure="false">#REF!</definedName>
    <definedName function="false" hidden="true" name="IQRReportAA145" vbProcedure="false">#REF!</definedName>
    <definedName function="false" hidden="true" name="IQRReportAA146" vbProcedure="false">#REF!</definedName>
    <definedName function="false" hidden="true" name="IQRReportAA147" vbProcedure="false">#REF!</definedName>
    <definedName function="false" hidden="true" name="IQRReportAA148" vbProcedure="false">#REF!</definedName>
    <definedName function="false" hidden="true" name="IQRReportAA149" vbProcedure="false">#REF!</definedName>
    <definedName function="false" hidden="true" name="IQRReportAA15" vbProcedure="false">#REF!</definedName>
    <definedName function="false" hidden="true" name="IQRReportAA150" vbProcedure="false">#REF!</definedName>
    <definedName function="false" hidden="true" name="IQRReportAA151" vbProcedure="false">#REF!</definedName>
    <definedName function="false" hidden="true" name="IQRReportAA152" vbProcedure="false">#REF!</definedName>
    <definedName function="false" hidden="true" name="IQRReportAA153" vbProcedure="false">#REF!</definedName>
    <definedName function="false" hidden="true" name="IQRReportAA154" vbProcedure="false">#REF!</definedName>
    <definedName function="false" hidden="true" name="IQRReportAA155" vbProcedure="false">#REF!</definedName>
    <definedName function="false" hidden="true" name="IQRReportAA156" vbProcedure="false">#REF!</definedName>
    <definedName function="false" hidden="true" name="IQRReportAA157" vbProcedure="false">#REF!</definedName>
    <definedName function="false" hidden="true" name="IQRReportAA158" vbProcedure="false">#REF!</definedName>
    <definedName function="false" hidden="true" name="IQRReportAA159" vbProcedure="false">#REF!</definedName>
    <definedName function="false" hidden="true" name="IQRReportAA16" vbProcedure="false">#REF!</definedName>
    <definedName function="false" hidden="true" name="IQRReportAA160" vbProcedure="false">#REF!</definedName>
    <definedName function="false" hidden="true" name="IQRReportAA161" vbProcedure="false">#REF!</definedName>
    <definedName function="false" hidden="true" name="IQRReportAA162" vbProcedure="false">#REF!</definedName>
    <definedName function="false" hidden="true" name="IQRReportAA163" vbProcedure="false">#REF!</definedName>
    <definedName function="false" hidden="true" name="IQRReportAA164" vbProcedure="false">#REF!</definedName>
    <definedName function="false" hidden="true" name="IQRReportAA165" vbProcedure="false">#REF!</definedName>
    <definedName function="false" hidden="true" name="IQRReportAA166" vbProcedure="false">#REF!</definedName>
    <definedName function="false" hidden="true" name="IQRReportAA167" vbProcedure="false">#REF!</definedName>
    <definedName function="false" hidden="true" name="IQRReportAA168" vbProcedure="false">#REF!</definedName>
    <definedName function="false" hidden="true" name="IQRReportAA169" vbProcedure="false">#REF!</definedName>
    <definedName function="false" hidden="true" name="IQRReportAA17" vbProcedure="false">#REF!</definedName>
    <definedName function="false" hidden="true" name="IQRReportAA170" vbProcedure="false">#REF!</definedName>
    <definedName function="false" hidden="true" name="IQRReportAA171" vbProcedure="false">#REF!</definedName>
    <definedName function="false" hidden="true" name="IQRReportAA172" vbProcedure="false">#REF!</definedName>
    <definedName function="false" hidden="true" name="IQRReportAA173" vbProcedure="false">#REF!</definedName>
    <definedName function="false" hidden="true" name="IQRReportAA174" vbProcedure="false">#REF!</definedName>
    <definedName function="false" hidden="true" name="IQRReportAA175" vbProcedure="false">#REF!</definedName>
    <definedName function="false" hidden="true" name="IQRReportAA176" vbProcedure="false">#REF!</definedName>
    <definedName function="false" hidden="true" name="IQRReportAA177" vbProcedure="false">#REF!</definedName>
    <definedName function="false" hidden="true" name="IQRReportAA178" vbProcedure="false">#REF!</definedName>
    <definedName function="false" hidden="true" name="IQRReportAA179" vbProcedure="false">#REF!</definedName>
    <definedName function="false" hidden="true" name="IQRReportAA18" vbProcedure="false">#REF!</definedName>
    <definedName function="false" hidden="true" name="IQRReportAA180" vbProcedure="false">#REF!</definedName>
    <definedName function="false" hidden="true" name="IQRReportAA181" vbProcedure="false">#REF!</definedName>
    <definedName function="false" hidden="true" name="IQRReportAA182" vbProcedure="false">#REF!</definedName>
    <definedName function="false" hidden="true" name="IQRReportAA183" vbProcedure="false">#REF!</definedName>
    <definedName function="false" hidden="true" name="IQRReportAA184" vbProcedure="false">#REF!</definedName>
    <definedName function="false" hidden="true" name="IQRReportAA185" vbProcedure="false">#REF!</definedName>
    <definedName function="false" hidden="true" name="IQRReportAA186" vbProcedure="false">#REF!</definedName>
    <definedName function="false" hidden="true" name="IQRReportAA187" vbProcedure="false">#REF!</definedName>
    <definedName function="false" hidden="true" name="IQRReportAA188" vbProcedure="false">#REF!</definedName>
    <definedName function="false" hidden="true" name="IQRReportAA189" vbProcedure="false">#REF!</definedName>
    <definedName function="false" hidden="true" name="IQRReportAA19" vbProcedure="false">#REF!</definedName>
    <definedName function="false" hidden="true" name="IQRReportAA190" vbProcedure="false">#REF!</definedName>
    <definedName function="false" hidden="true" name="IQRReportAA191" vbProcedure="false">#REF!</definedName>
    <definedName function="false" hidden="true" name="IQRReportAA192" vbProcedure="false">#REF!</definedName>
    <definedName function="false" hidden="true" name="IQRReportAA193" vbProcedure="false">#REF!</definedName>
    <definedName function="false" hidden="true" name="IQRReportAA194" vbProcedure="false">#REF!</definedName>
    <definedName function="false" hidden="true" name="IQRReportAA195" vbProcedure="false">#REF!</definedName>
    <definedName function="false" hidden="true" name="IQRReportAA196" vbProcedure="false">#REF!</definedName>
    <definedName function="false" hidden="true" name="IQRReportAA197" vbProcedure="false">#REF!</definedName>
    <definedName function="false" hidden="true" name="IQRReportAA198" vbProcedure="false">#REF!</definedName>
    <definedName function="false" hidden="true" name="IQRReportAA199" vbProcedure="false">#REF!</definedName>
    <definedName function="false" hidden="true" name="IQRReportAA20" vbProcedure="false">#REF!</definedName>
    <definedName function="false" hidden="true" name="IQRReportAA200" vbProcedure="false">#REF!</definedName>
    <definedName function="false" hidden="true" name="IQRReportAA201" vbProcedure="false">#REF!</definedName>
    <definedName function="false" hidden="true" name="IQRReportAA202" vbProcedure="false">#REF!</definedName>
    <definedName function="false" hidden="true" name="IQRReportAA203" vbProcedure="false">#REF!</definedName>
    <definedName function="false" hidden="true" name="IQRReportAA204" vbProcedure="false">#REF!</definedName>
    <definedName function="false" hidden="true" name="IQRReportAA205" vbProcedure="false">#REF!</definedName>
    <definedName function="false" hidden="true" name="IQRReportAA206" vbProcedure="false">#REF!</definedName>
    <definedName function="false" hidden="true" name="IQRReportAA207" vbProcedure="false">#REF!</definedName>
    <definedName function="false" hidden="true" name="IQRReportAA208" vbProcedure="false">#REF!</definedName>
    <definedName function="false" hidden="true" name="IQRReportAA209" vbProcedure="false">#REF!</definedName>
    <definedName function="false" hidden="true" name="IQRReportAA21" vbProcedure="false">#REF!</definedName>
    <definedName function="false" hidden="true" name="IQRReportAA210" vbProcedure="false">#REF!</definedName>
    <definedName function="false" hidden="true" name="IQRReportAA211" vbProcedure="false">#REF!</definedName>
    <definedName function="false" hidden="true" name="IQRReportAA212" vbProcedure="false">#REF!</definedName>
    <definedName function="false" hidden="true" name="IQRReportAA213" vbProcedure="false">#REF!</definedName>
    <definedName function="false" hidden="true" name="IQRReportAA214" vbProcedure="false">#REF!</definedName>
    <definedName function="false" hidden="true" name="IQRReportAA215" vbProcedure="false">#REF!</definedName>
    <definedName function="false" hidden="true" name="IQRReportAA216" vbProcedure="false">#REF!</definedName>
    <definedName function="false" hidden="true" name="IQRReportAA217" vbProcedure="false">#REF!</definedName>
    <definedName function="false" hidden="true" name="IQRReportAA218" vbProcedure="false">#REF!</definedName>
    <definedName function="false" hidden="true" name="IQRReportAA219" vbProcedure="false">#REF!</definedName>
    <definedName function="false" hidden="true" name="IQRReportAA22" vbProcedure="false">#REF!</definedName>
    <definedName function="false" hidden="true" name="IQRReportAA220" vbProcedure="false">#REF!</definedName>
    <definedName function="false" hidden="true" name="IQRReportAA221" vbProcedure="false">#REF!</definedName>
    <definedName function="false" hidden="true" name="IQRReportAA222" vbProcedure="false">#REF!</definedName>
    <definedName function="false" hidden="true" name="IQRReportAA223" vbProcedure="false">#REF!</definedName>
    <definedName function="false" hidden="true" name="IQRReportAA225" vbProcedure="false">#REF!</definedName>
    <definedName function="false" hidden="true" name="IQRReportAA226" vbProcedure="false">#REF!</definedName>
    <definedName function="false" hidden="true" name="IQRReportAA227" vbProcedure="false">#REF!</definedName>
    <definedName function="false" hidden="true" name="IQRReportAA228" vbProcedure="false">#REF!</definedName>
    <definedName function="false" hidden="true" name="IQRReportAA229" vbProcedure="false">#REF!</definedName>
    <definedName function="false" hidden="true" name="IQRReportAA23" vbProcedure="false">#REF!</definedName>
    <definedName function="false" hidden="true" name="IQRReportAA230" vbProcedure="false">#REF!</definedName>
    <definedName function="false" hidden="true" name="IQRReportAA231" vbProcedure="false">#REF!</definedName>
    <definedName function="false" hidden="true" name="IQRReportAA232" vbProcedure="false">#REF!</definedName>
    <definedName function="false" hidden="true" name="IQRReportAA233" vbProcedure="false">#REF!</definedName>
    <definedName function="false" hidden="true" name="IQRReportAA234" vbProcedure="false">#REF!</definedName>
    <definedName function="false" hidden="true" name="IQRReportAA235" vbProcedure="false">#REF!</definedName>
    <definedName function="false" hidden="true" name="IQRReportAA236" vbProcedure="false">#REF!</definedName>
    <definedName function="false" hidden="true" name="IQRReportAA237" vbProcedure="false">#REF!</definedName>
    <definedName function="false" hidden="true" name="IQRReportAA238" vbProcedure="false">#REF!</definedName>
    <definedName function="false" hidden="true" name="IQRReportAA239" vbProcedure="false">#REF!</definedName>
    <definedName function="false" hidden="true" name="IQRReportAA24" vbProcedure="false">#REF!</definedName>
    <definedName function="false" hidden="true" name="IQRReportAA240" vbProcedure="false">#REF!</definedName>
    <definedName function="false" hidden="true" name="IQRReportAA241" vbProcedure="false">#REF!</definedName>
    <definedName function="false" hidden="true" name="IQRReportAA242" vbProcedure="false">#REF!</definedName>
    <definedName function="false" hidden="true" name="IQRReportAA243" vbProcedure="false">#REF!</definedName>
    <definedName function="false" hidden="true" name="IQRReportAA244" vbProcedure="false">#REF!</definedName>
    <definedName function="false" hidden="true" name="IQRReportAA245" vbProcedure="false">#REF!</definedName>
    <definedName function="false" hidden="true" name="IQRReportAA246" vbProcedure="false">#REF!</definedName>
    <definedName function="false" hidden="true" name="IQRReportAA248" vbProcedure="false">#REF!</definedName>
    <definedName function="false" hidden="true" name="IQRReportAA249" vbProcedure="false">#REF!</definedName>
    <definedName function="false" hidden="true" name="IQRReportAA25" vbProcedure="false">#REF!</definedName>
    <definedName function="false" hidden="true" name="IQRReportAA250" vbProcedure="false">#REF!</definedName>
    <definedName function="false" hidden="true" name="IQRReportAA251" vbProcedure="false">#REF!</definedName>
    <definedName function="false" hidden="true" name="IQRReportAA253" vbProcedure="false">#REF!</definedName>
    <definedName function="false" hidden="true" name="IQRReportAA254" vbProcedure="false">#REF!</definedName>
    <definedName function="false" hidden="true" name="IQRReportAA255" vbProcedure="false">#REF!</definedName>
    <definedName function="false" hidden="true" name="IQRReportAA256" vbProcedure="false">#REF!</definedName>
    <definedName function="false" hidden="true" name="IQRReportAA257" vbProcedure="false">#REF!</definedName>
    <definedName function="false" hidden="true" name="IQRReportAA26" vbProcedure="false">#REF!</definedName>
    <definedName function="false" hidden="true" name="IQRReportAA27" vbProcedure="false">#REF!</definedName>
    <definedName function="false" hidden="true" name="IQRReportAA28" vbProcedure="false">#REF!</definedName>
    <definedName function="false" hidden="true" name="IQRReportAA29" vbProcedure="false">#REF!</definedName>
    <definedName function="false" hidden="true" name="IQRReportAA30" vbProcedure="false">#REF!</definedName>
    <definedName function="false" hidden="true" name="IQRReportAA31" vbProcedure="false">#REF!</definedName>
    <definedName function="false" hidden="true" name="IQRReportAA32" vbProcedure="false">#REF!</definedName>
    <definedName function="false" hidden="true" name="IQRReportAA33" vbProcedure="false">#REF!</definedName>
    <definedName function="false" hidden="true" name="IQRReportAA34" vbProcedure="false">#REF!</definedName>
    <definedName function="false" hidden="true" name="IQRReportAA35" vbProcedure="false">#REF!</definedName>
    <definedName function="false" hidden="true" name="IQRReportAA36" vbProcedure="false">#REF!</definedName>
    <definedName function="false" hidden="true" name="IQRReportAA37" vbProcedure="false">#REF!</definedName>
    <definedName function="false" hidden="true" name="IQRReportAA38" vbProcedure="false">#REF!</definedName>
    <definedName function="false" hidden="true" name="IQRReportAA39" vbProcedure="false">#REF!</definedName>
    <definedName function="false" hidden="true" name="IQRReportAA40" vbProcedure="false">#REF!</definedName>
    <definedName function="false" hidden="true" name="IQRReportAA41" vbProcedure="false">#REF!</definedName>
    <definedName function="false" hidden="true" name="IQRReportAA42" vbProcedure="false">#REF!</definedName>
    <definedName function="false" hidden="true" name="IQRReportAA43" vbProcedure="false">#REF!</definedName>
    <definedName function="false" hidden="true" name="IQRReportAA44" vbProcedure="false">#REF!</definedName>
    <definedName function="false" hidden="true" name="IQRReportAA45" vbProcedure="false">#REF!</definedName>
    <definedName function="false" hidden="true" name="IQRReportAA46" vbProcedure="false">#REF!</definedName>
    <definedName function="false" hidden="true" name="IQRReportAA47" vbProcedure="false">#REF!</definedName>
    <definedName function="false" hidden="true" name="IQRReportAA48" vbProcedure="false">#REF!</definedName>
    <definedName function="false" hidden="true" name="IQRReportAA49" vbProcedure="false">#REF!</definedName>
    <definedName function="false" hidden="true" name="IQRReportAA50" vbProcedure="false">#REF!</definedName>
    <definedName function="false" hidden="true" name="IQRReportAA51" vbProcedure="false">#REF!</definedName>
    <definedName function="false" hidden="true" name="IQRReportAA52" vbProcedure="false">#REF!</definedName>
    <definedName function="false" hidden="true" name="IQRReportAA53" vbProcedure="false">#REF!</definedName>
    <definedName function="false" hidden="true" name="IQRReportAA54" vbProcedure="false">#REF!</definedName>
    <definedName function="false" hidden="true" name="IQRReportAA55" vbProcedure="false">#REF!</definedName>
    <definedName function="false" hidden="true" name="IQRReportAA56" vbProcedure="false">#REF!</definedName>
    <definedName function="false" hidden="true" name="IQRReportAA57" vbProcedure="false">#REF!</definedName>
    <definedName function="false" hidden="true" name="IQRReportAA58" vbProcedure="false">#REF!</definedName>
    <definedName function="false" hidden="true" name="IQRReportAA59" vbProcedure="false">#REF!</definedName>
    <definedName function="false" hidden="true" name="IQRReportAA60" vbProcedure="false">#REF!</definedName>
    <definedName function="false" hidden="true" name="IQRReportAA61" vbProcedure="false">#REF!</definedName>
    <definedName function="false" hidden="true" name="IQRReportAA62" vbProcedure="false">#REF!</definedName>
    <definedName function="false" hidden="true" name="IQRReportAA63" vbProcedure="false">#REF!</definedName>
    <definedName function="false" hidden="true" name="IQRReportAA64" vbProcedure="false">#REF!</definedName>
    <definedName function="false" hidden="true" name="IQRReportAA65" vbProcedure="false">#REF!</definedName>
    <definedName function="false" hidden="true" name="IQRReportAA66" vbProcedure="false">#REF!</definedName>
    <definedName function="false" hidden="true" name="IQRReportAA67" vbProcedure="false">#REF!</definedName>
    <definedName function="false" hidden="true" name="IQRReportAA68" vbProcedure="false">#REF!</definedName>
    <definedName function="false" hidden="true" name="IQRReportAA69" vbProcedure="false">#REF!</definedName>
    <definedName function="false" hidden="true" name="IQRReportAA7" vbProcedure="false">#REF!</definedName>
    <definedName function="false" hidden="true" name="IQRReportAA70" vbProcedure="false">#REF!</definedName>
    <definedName function="false" hidden="true" name="IQRReportAA71" vbProcedure="false">#REF!</definedName>
    <definedName function="false" hidden="true" name="IQRReportAA72" vbProcedure="false">#REF!</definedName>
    <definedName function="false" hidden="true" name="IQRReportAA73" vbProcedure="false">#REF!</definedName>
    <definedName function="false" hidden="true" name="IQRReportAA74" vbProcedure="false">#REF!</definedName>
    <definedName function="false" hidden="true" name="IQRReportAA75" vbProcedure="false">#REF!</definedName>
    <definedName function="false" hidden="true" name="IQRReportAA76" vbProcedure="false">#REF!</definedName>
    <definedName function="false" hidden="true" name="IQRReportAA77" vbProcedure="false">#REF!</definedName>
    <definedName function="false" hidden="true" name="IQRReportAA78" vbProcedure="false">#REF!</definedName>
    <definedName function="false" hidden="true" name="IQRReportAA79" vbProcedure="false">#REF!</definedName>
    <definedName function="false" hidden="true" name="IQRReportAA8" vbProcedure="false">#REF!</definedName>
    <definedName function="false" hidden="true" name="IQRReportAA80" vbProcedure="false">#REF!</definedName>
    <definedName function="false" hidden="true" name="IQRReportAA81" vbProcedure="false">#REF!</definedName>
    <definedName function="false" hidden="true" name="IQRReportAA82" vbProcedure="false">#REF!</definedName>
    <definedName function="false" hidden="true" name="IQRReportAA83" vbProcedure="false">#REF!</definedName>
    <definedName function="false" hidden="true" name="IQRReportAA84" vbProcedure="false">#REF!</definedName>
    <definedName function="false" hidden="true" name="IQRReportAA85" vbProcedure="false">#REF!</definedName>
    <definedName function="false" hidden="true" name="IQRReportAA86" vbProcedure="false">#REF!</definedName>
    <definedName function="false" hidden="true" name="IQRReportAA87" vbProcedure="false">#REF!</definedName>
    <definedName function="false" hidden="true" name="IQRReportAA88" vbProcedure="false">#REF!</definedName>
    <definedName function="false" hidden="true" name="IQRReportAA89" vbProcedure="false">#REF!</definedName>
    <definedName function="false" hidden="true" name="IQRReportAA9" vbProcedure="false">#REF!</definedName>
    <definedName function="false" hidden="true" name="IQRReportAA90" vbProcedure="false">#REF!</definedName>
    <definedName function="false" hidden="true" name="IQRReportAA91" vbProcedure="false">#REF!</definedName>
    <definedName function="false" hidden="true" name="IQRReportAA92" vbProcedure="false">#REF!</definedName>
    <definedName function="false" hidden="true" name="IQRReportAA93" vbProcedure="false">#REF!</definedName>
    <definedName function="false" hidden="true" name="IQRReportAA94" vbProcedure="false">#REF!</definedName>
    <definedName function="false" hidden="true" name="IQRReportAA95" vbProcedure="false">#REF!</definedName>
    <definedName function="false" hidden="true" name="IQRReportAA96" vbProcedure="false">#REF!</definedName>
    <definedName function="false" hidden="true" name="IQRReportAA97" vbProcedure="false">#REF!</definedName>
    <definedName function="false" hidden="true" name="IQRReportAA98" vbProcedure="false">#REF!</definedName>
    <definedName function="false" hidden="true" name="IQRReportAA99" vbProcedure="false">#REF!</definedName>
    <definedName function="false" hidden="true" name="IQRReportAC10" vbProcedure="false">#REF!</definedName>
    <definedName function="false" hidden="true" name="IQRReportAC104" vbProcedure="false">#REF!</definedName>
    <definedName function="false" hidden="true" name="IQRReportAC105" vbProcedure="false">#REF!</definedName>
    <definedName function="false" hidden="true" name="IQRReportAC13" vbProcedure="false">#REF!</definedName>
    <definedName function="false" hidden="true" name="IQRReportAC14" vbProcedure="false">#REF!</definedName>
    <definedName function="false" hidden="true" name="IQRReportAC15" vbProcedure="false">#REF!</definedName>
    <definedName function="false" hidden="true" name="IQRReportAC18" vbProcedure="false">#REF!</definedName>
    <definedName function="false" hidden="true" name="IQRReportAC19" vbProcedure="false">#REF!</definedName>
    <definedName function="false" hidden="true" name="IQRReportAC20" vbProcedure="false">#REF!</definedName>
    <definedName function="false" hidden="true" name="IQRReportAC23" vbProcedure="false">#REF!</definedName>
    <definedName function="false" hidden="true" name="IQRReportAC24" vbProcedure="false">#REF!</definedName>
    <definedName function="false" hidden="true" name="IQRReportAC26" vbProcedure="false">#REF!</definedName>
    <definedName function="false" hidden="true" name="IQRReportAC27" vbProcedure="false">#REF!</definedName>
    <definedName function="false" hidden="true" name="IQRReportAC28" vbProcedure="false">#REF!</definedName>
    <definedName function="false" hidden="true" name="IQRReportAC37" vbProcedure="false">#REF!</definedName>
    <definedName function="false" hidden="true" name="IQRReportAC39" vbProcedure="false">#REF!</definedName>
    <definedName function="false" hidden="true" name="IQRReportAC40" vbProcedure="false">#REF!</definedName>
    <definedName function="false" hidden="true" name="IQRReportAC42" vbProcedure="false">#REF!</definedName>
    <definedName function="false" hidden="true" name="IQRReportAC45" vbProcedure="false">#REF!</definedName>
    <definedName function="false" hidden="true" name="IQRReportAC50" vbProcedure="false">#REF!</definedName>
    <definedName function="false" hidden="true" name="IQRReportAC51" vbProcedure="false">#REF!</definedName>
    <definedName function="false" hidden="true" name="IQRReportAC52" vbProcedure="false">#REF!</definedName>
    <definedName function="false" hidden="true" name="IQRReportAC53" vbProcedure="false">#REF!</definedName>
    <definedName function="false" hidden="true" name="IQRReportAC54" vbProcedure="false">#REF!</definedName>
    <definedName function="false" hidden="true" name="IQRReportAC55" vbProcedure="false">#REF!</definedName>
    <definedName function="false" hidden="true" name="IQRReportAC56" vbProcedure="false">#REF!</definedName>
    <definedName function="false" hidden="true" name="IQRReportAC58" vbProcedure="false">#REF!</definedName>
    <definedName function="false" hidden="true" name="IQRReportAC66" vbProcedure="false">#REF!</definedName>
    <definedName function="false" hidden="true" name="IQRReportAC68" vbProcedure="false">#REF!</definedName>
    <definedName function="false" hidden="true" name="IQRReportAC69" vbProcedure="false">#REF!</definedName>
    <definedName function="false" hidden="true" name="IQRReportAC71" vbProcedure="false">#REF!</definedName>
    <definedName function="false" hidden="true" name="IQRReportAC72" vbProcedure="false">#REF!</definedName>
    <definedName function="false" hidden="true" name="IQRReportAC74" vbProcedure="false">#REF!</definedName>
    <definedName function="false" hidden="true" name="IQRReportAC75" vbProcedure="false">#REF!</definedName>
    <definedName function="false" hidden="true" name="IQRReportAC77" vbProcedure="false">#REF!</definedName>
    <definedName function="false" hidden="true" name="IQRReportAC8" vbProcedure="false">#REF!</definedName>
    <definedName function="false" hidden="true" name="IQRReportAC80" vbProcedure="false">#REF!</definedName>
    <definedName function="false" hidden="true" name="IQRReportAC83" vbProcedure="false">#REF!</definedName>
    <definedName function="false" hidden="true" name="IQRReportAC85" vbProcedure="false">#REF!</definedName>
    <definedName function="false" hidden="true" name="IQRReportAC86" vbProcedure="false">#REF!</definedName>
    <definedName function="false" hidden="true" name="IQRReportAC87" vbProcedure="false">#REF!</definedName>
    <definedName function="false" hidden="true" name="IQRReportAC88" vbProcedure="false">#REF!</definedName>
    <definedName function="false" hidden="true" name="IQRReportAC90" vbProcedure="false">#REF!</definedName>
    <definedName function="false" hidden="true" name="IQRReportAC92" vbProcedure="false">#REF!</definedName>
    <definedName function="false" hidden="true" name="IQRReportAC98" vbProcedure="false">#REF!</definedName>
    <definedName function="false" hidden="true" name="IQRReportAC99" vbProcedure="false">#REF!</definedName>
    <definedName function="false" hidden="true" name="IQRReportAD10" vbProcedure="false">#REF!</definedName>
    <definedName function="false" hidden="true" name="IQRReportAD8" vbProcedure="false">#REF!</definedName>
    <definedName function="false" hidden="true" name="IQRReportAD9" vbProcedure="false">#REF!</definedName>
    <definedName function="false" hidden="true" name="IQRReportAG10" vbProcedure="false">#REF!</definedName>
    <definedName function="false" hidden="true" name="IQRReportAG104" vbProcedure="false">#REF!</definedName>
    <definedName function="false" hidden="true" name="IQRReportAG105" vbProcedure="false">#REF!</definedName>
    <definedName function="false" hidden="true" name="IQRReportAG13" vbProcedure="false">#REF!</definedName>
    <definedName function="false" hidden="true" name="IQRReportAG14" vbProcedure="false">#REF!</definedName>
    <definedName function="false" hidden="true" name="IQRReportAG15" vbProcedure="false">#REF!</definedName>
    <definedName function="false" hidden="true" name="IQRReportAG18" vbProcedure="false">#REF!</definedName>
    <definedName function="false" hidden="true" name="IQRReportAG19" vbProcedure="false">#REF!</definedName>
    <definedName function="false" hidden="true" name="IQRReportAG20" vbProcedure="false">#REF!</definedName>
    <definedName function="false" hidden="true" name="IQRReportAG23" vbProcedure="false">#REF!</definedName>
    <definedName function="false" hidden="true" name="IQRReportAG24" vbProcedure="false">#REF!</definedName>
    <definedName function="false" hidden="true" name="IQRReportAG26" vbProcedure="false">#REF!</definedName>
    <definedName function="false" hidden="true" name="IQRReportAG27" vbProcedure="false">#REF!</definedName>
    <definedName function="false" hidden="true" name="IQRReportAG28" vbProcedure="false">#REF!</definedName>
    <definedName function="false" hidden="true" name="IQRReportAG37" vbProcedure="false">#REF!</definedName>
    <definedName function="false" hidden="true" name="IQRReportAG39" vbProcedure="false">#REF!</definedName>
    <definedName function="false" hidden="true" name="IQRReportAG40" vbProcedure="false">#REF!</definedName>
    <definedName function="false" hidden="true" name="IQRReportAG42" vbProcedure="false">#REF!</definedName>
    <definedName function="false" hidden="true" name="IQRReportAG45" vbProcedure="false">#REF!</definedName>
    <definedName function="false" hidden="true" name="IQRReportAG50" vbProcedure="false">#REF!</definedName>
    <definedName function="false" hidden="true" name="IQRReportAG51" vbProcedure="false">#REF!</definedName>
    <definedName function="false" hidden="true" name="IQRReportAG52" vbProcedure="false">#REF!</definedName>
    <definedName function="false" hidden="true" name="IQRReportAG53" vbProcedure="false">#REF!</definedName>
    <definedName function="false" hidden="true" name="IQRReportAG54" vbProcedure="false">#REF!</definedName>
    <definedName function="false" hidden="true" name="IQRReportAG55" vbProcedure="false">#REF!</definedName>
    <definedName function="false" hidden="true" name="IQRReportAG56" vbProcedure="false">#REF!</definedName>
    <definedName function="false" hidden="true" name="IQRReportAG58" vbProcedure="false">#REF!</definedName>
    <definedName function="false" hidden="true" name="IQRReportAG66" vbProcedure="false">#REF!</definedName>
    <definedName function="false" hidden="true" name="IQRReportAG68" vbProcedure="false">#REF!</definedName>
    <definedName function="false" hidden="true" name="IQRReportAG69" vbProcedure="false">#REF!</definedName>
    <definedName function="false" hidden="true" name="IQRReportAG71" vbProcedure="false">#REF!</definedName>
    <definedName function="false" hidden="true" name="IQRReportAG72" vbProcedure="false">#REF!</definedName>
    <definedName function="false" hidden="true" name="IQRReportAG74" vbProcedure="false">#REF!</definedName>
    <definedName function="false" hidden="true" name="IQRReportAG75" vbProcedure="false">#REF!</definedName>
    <definedName function="false" hidden="true" name="IQRReportAG77" vbProcedure="false">#REF!</definedName>
    <definedName function="false" hidden="true" name="IQRReportAG8" vbProcedure="false">#REF!</definedName>
    <definedName function="false" hidden="true" name="IQRReportAG80" vbProcedure="false">#REF!</definedName>
    <definedName function="false" hidden="true" name="IQRReportAG83" vbProcedure="false">#REF!</definedName>
    <definedName function="false" hidden="true" name="IQRReportAG85" vbProcedure="false">#REF!</definedName>
    <definedName function="false" hidden="true" name="IQRReportAG86" vbProcedure="false">#REF!</definedName>
    <definedName function="false" hidden="true" name="IQRReportAG87" vbProcedure="false">#REF!</definedName>
    <definedName function="false" hidden="true" name="IQRReportAG88" vbProcedure="false">#REF!</definedName>
    <definedName function="false" hidden="true" name="IQRReportAG90" vbProcedure="false">#REF!</definedName>
    <definedName function="false" hidden="true" name="IQRReportAG92" vbProcedure="false">#REF!</definedName>
    <definedName function="false" hidden="true" name="IQRReportAG98" vbProcedure="false">#REF!</definedName>
    <definedName function="false" hidden="true" name="IQRReportAG99" vbProcedure="false">#REF!</definedName>
    <definedName function="false" hidden="true" name="IQRReportAH10" vbProcedure="false">#REF!</definedName>
    <definedName function="false" hidden="true" name="IQRReportAH8" vbProcedure="false">#REF!</definedName>
    <definedName function="false" hidden="true" name="IQRReportAH9" vbProcedure="false">#REF!</definedName>
    <definedName function="false" hidden="true" name="IQRReportAI10" vbProcedure="false">#REF!</definedName>
    <definedName function="false" hidden="true" name="IQRReportAI14" vbProcedure="false">#REF!</definedName>
    <definedName function="false" hidden="true" name="IQRReportAI7" vbProcedure="false">#REF!</definedName>
    <definedName function="false" hidden="true" name="IQRReportAI8" vbProcedure="false">#REF!</definedName>
    <definedName function="false" hidden="true" name="IQRReportAI9" vbProcedure="false">#REF!</definedName>
    <definedName function="false" hidden="true" name="IQRReportAJ7" vbProcedure="false">#REF!</definedName>
    <definedName function="false" hidden="true" name="IQRReportAJ8" vbProcedure="false">#REF!</definedName>
    <definedName function="false" hidden="true" name="IQRReportAJ9" vbProcedure="false">#REF!</definedName>
    <definedName function="false" hidden="true" name="IQRReportAM13" vbProcedure="false">#REF!</definedName>
    <definedName function="false" hidden="true" name="IQRReportAM14" vbProcedure="false">#REF!</definedName>
    <definedName function="false" hidden="true" name="IQRReportAM4" vbProcedure="false">#REF!</definedName>
    <definedName function="false" hidden="true" name="IQRReportAM5" vbProcedure="false">#REF!</definedName>
    <definedName function="false" hidden="true" name="IQRReportAM6" vbProcedure="false">#REF!</definedName>
    <definedName function="false" hidden="true" name="IQRReportAM7" vbProcedure="false">#REF!</definedName>
    <definedName function="false" hidden="true" name="IQRReportAM8" vbProcedure="false">#REF!</definedName>
    <definedName function="false" hidden="true" name="IQRReportAM9" vbProcedure="false">#REF!</definedName>
    <definedName function="false" hidden="true" name="IQRReportAW8" vbProcedure="false">#REF!</definedName>
    <definedName function="false" hidden="true" name="IQRReportAX10" vbProcedure="false">#REF!</definedName>
    <definedName function="false" hidden="true" name="IQRReportAX104" vbProcedure="false">#REF!</definedName>
    <definedName function="false" hidden="true" name="IQRReportAX105" vbProcedure="false">#REF!</definedName>
    <definedName function="false" hidden="true" name="IQRReportAX11" vbProcedure="false">#REF!</definedName>
    <definedName function="false" hidden="true" name="IQRReportAX13" vbProcedure="false">#REF!</definedName>
    <definedName function="false" hidden="true" name="IQRReportAX14" vbProcedure="false">#REF!</definedName>
    <definedName function="false" hidden="true" name="IQRReportAX15" vbProcedure="false">#REF!</definedName>
    <definedName function="false" hidden="true" name="IQRReportAX17" vbProcedure="false">#REF!</definedName>
    <definedName function="false" hidden="true" name="IQRReportAX18" vbProcedure="false">#REF!</definedName>
    <definedName function="false" hidden="true" name="IQRReportAX19" vbProcedure="false">#REF!</definedName>
    <definedName function="false" hidden="true" name="IQRReportAX20" vbProcedure="false">#REF!</definedName>
    <definedName function="false" hidden="true" name="IQRReportAX23" vbProcedure="false">#REF!</definedName>
    <definedName function="false" hidden="true" name="IQRReportAX24" vbProcedure="false">#REF!</definedName>
    <definedName function="false" hidden="true" name="IQRReportAX26" vbProcedure="false">#REF!</definedName>
    <definedName function="false" hidden="true" name="IQRReportAX27" vbProcedure="false">#REF!</definedName>
    <definedName function="false" hidden="true" name="IQRReportAX28" vbProcedure="false">#REF!</definedName>
    <definedName function="false" hidden="true" name="IQRReportAX37" vbProcedure="false">#REF!</definedName>
    <definedName function="false" hidden="true" name="IQRReportAX39" vbProcedure="false">#REF!</definedName>
    <definedName function="false" hidden="true" name="IQRReportAX40" vbProcedure="false">#REF!</definedName>
    <definedName function="false" hidden="true" name="IQRReportAX42" vbProcedure="false">#REF!</definedName>
    <definedName function="false" hidden="true" name="IQRReportAX45" vbProcedure="false">#REF!</definedName>
    <definedName function="false" hidden="true" name="IQRReportAX50" vbProcedure="false">#REF!</definedName>
    <definedName function="false" hidden="true" name="IQRReportAX51" vbProcedure="false">#REF!</definedName>
    <definedName function="false" hidden="true" name="IQRReportAX52" vbProcedure="false">#REF!</definedName>
    <definedName function="false" hidden="true" name="IQRReportAX53" vbProcedure="false">#REF!</definedName>
    <definedName function="false" hidden="true" name="IQRReportAX54" vbProcedure="false">#REF!</definedName>
    <definedName function="false" hidden="true" name="IQRReportAX55" vbProcedure="false">#REF!</definedName>
    <definedName function="false" hidden="true" name="IQRReportAX56" vbProcedure="false">#REF!</definedName>
    <definedName function="false" hidden="true" name="IQRReportAX58" vbProcedure="false">#REF!</definedName>
    <definedName function="false" hidden="true" name="IQRReportAX66" vbProcedure="false">#REF!</definedName>
    <definedName function="false" hidden="true" name="IQRReportAX68" vbProcedure="false">#REF!</definedName>
    <definedName function="false" hidden="true" name="IQRReportAX69" vbProcedure="false">#REF!</definedName>
    <definedName function="false" hidden="true" name="IQRReportAX71" vbProcedure="false">#REF!</definedName>
    <definedName function="false" hidden="true" name="IQRReportAX72" vbProcedure="false">#REF!</definedName>
    <definedName function="false" hidden="true" name="IQRReportAX74" vbProcedure="false">#REF!</definedName>
    <definedName function="false" hidden="true" name="IQRReportAX75" vbProcedure="false">#REF!</definedName>
    <definedName function="false" hidden="true" name="IQRReportAX77" vbProcedure="false">#REF!</definedName>
    <definedName function="false" hidden="true" name="IQRReportAX8" vbProcedure="false">#REF!</definedName>
    <definedName function="false" hidden="true" name="IQRReportAX80" vbProcedure="false">#REF!</definedName>
    <definedName function="false" hidden="true" name="IQRReportAX83" vbProcedure="false">#REF!</definedName>
    <definedName function="false" hidden="true" name="IQRReportAX85" vbProcedure="false">#REF!</definedName>
    <definedName function="false" hidden="true" name="IQRReportAX86" vbProcedure="false">#REF!</definedName>
    <definedName function="false" hidden="true" name="IQRReportAX87" vbProcedure="false">#REF!</definedName>
    <definedName function="false" hidden="true" name="IQRReportAX88" vbProcedure="false">#REF!</definedName>
    <definedName function="false" hidden="true" name="IQRReportAX9" vbProcedure="false">#REF!</definedName>
    <definedName function="false" hidden="true" name="IQRReportAX90" vbProcedure="false">#REF!</definedName>
    <definedName function="false" hidden="true" name="IQRReportAX92" vbProcedure="false">#REF!</definedName>
    <definedName function="false" hidden="true" name="IQRReportAX98" vbProcedure="false">#REF!</definedName>
    <definedName function="false" hidden="true" name="IQRReportAX99" vbProcedure="false">#REF!</definedName>
    <definedName function="false" hidden="true" name="IQRReportAY8" vbProcedure="false">#REF!</definedName>
    <definedName function="false" hidden="true" name="IQRReportE3" vbProcedure="false">#REF!</definedName>
    <definedName function="false" hidden="true" name="IQRReportE4" vbProcedure="false">#REF!</definedName>
    <definedName function="false" hidden="true" name="IQRReportF10" vbProcedure="false">#REF!</definedName>
    <definedName function="false" hidden="true" name="IQRReportF101" vbProcedure="false">#REF!</definedName>
    <definedName function="false" hidden="true" name="IQRReportF102" vbProcedure="false">#REF!</definedName>
    <definedName function="false" hidden="true" name="IQRReportF104" vbProcedure="false">#REF!</definedName>
    <definedName function="false" hidden="true" name="IQRReportF105" vbProcedure="false">#REF!</definedName>
    <definedName function="false" hidden="true" name="IQRReportF107" vbProcedure="false">#REF!</definedName>
    <definedName function="false" hidden="true" name="IQRReportF108" vbProcedure="false">#REF!</definedName>
    <definedName function="false" hidden="true" name="IQRReportF109" vbProcedure="false">#REF!</definedName>
    <definedName function="false" hidden="true" name="IQRReportF11" vbProcedure="false">#REF!</definedName>
    <definedName function="false" hidden="true" name="IQRReportF110" vbProcedure="false">#REF!</definedName>
    <definedName function="false" hidden="true" name="IQRReportF111" vbProcedure="false">#REF!</definedName>
    <definedName function="false" hidden="true" name="IQRReportF112" vbProcedure="false">#REF!</definedName>
    <definedName function="false" hidden="true" name="IQRReportF114" vbProcedure="false">#REF!</definedName>
    <definedName function="false" hidden="true" name="IQRReportF115" vbProcedure="false">#REF!</definedName>
    <definedName function="false" hidden="true" name="IQRReportF116" vbProcedure="false">#REF!</definedName>
    <definedName function="false" hidden="true" name="IQRReportF117" vbProcedure="false">#REF!</definedName>
    <definedName function="false" hidden="true" name="IQRReportF118" vbProcedure="false">#REF!</definedName>
    <definedName function="false" hidden="true" name="IQRReportF119" vbProcedure="false">#REF!</definedName>
    <definedName function="false" hidden="true" name="IQRReportF12" vbProcedure="false">#REF!</definedName>
    <definedName function="false" hidden="true" name="IQRReportF120" vbProcedure="false">#REF!</definedName>
    <definedName function="false" hidden="true" name="IQRReportF121" vbProcedure="false">#REF!</definedName>
    <definedName function="false" hidden="true" name="IQRReportF123" vbProcedure="false">#REF!</definedName>
    <definedName function="false" hidden="true" name="IQRReportF124" vbProcedure="false">#REF!</definedName>
    <definedName function="false" hidden="true" name="IQRReportF125" vbProcedure="false">#REF!</definedName>
    <definedName function="false" hidden="true" name="IQRReportF126" vbProcedure="false">#REF!</definedName>
    <definedName function="false" hidden="true" name="IQRReportF127" vbProcedure="false">#REF!</definedName>
    <definedName function="false" hidden="true" name="IQRReportF128" vbProcedure="false">#REF!</definedName>
    <definedName function="false" hidden="true" name="IQRReportF129" vbProcedure="false">#REF!</definedName>
    <definedName function="false" hidden="true" name="IQRReportF13" vbProcedure="false">#REF!</definedName>
    <definedName function="false" hidden="true" name="IQRReportF130" vbProcedure="false">#REF!</definedName>
    <definedName function="false" hidden="true" name="IQRReportF131" vbProcedure="false">#REF!</definedName>
    <definedName function="false" hidden="true" name="IQRReportF132" vbProcedure="false">#REF!</definedName>
    <definedName function="false" hidden="true" name="IQRReportF134" vbProcedure="false">#REF!</definedName>
    <definedName function="false" hidden="true" name="IQRReportF135" vbProcedure="false">#REF!</definedName>
    <definedName function="false" hidden="true" name="IQRReportF136" vbProcedure="false">#REF!</definedName>
    <definedName function="false" hidden="true" name="IQRReportF137" vbProcedure="false">#REF!</definedName>
    <definedName function="false" hidden="true" name="IQRReportF138" vbProcedure="false">#REF!</definedName>
    <definedName function="false" hidden="true" name="IQRReportF14" vbProcedure="false">#REF!</definedName>
    <definedName function="false" hidden="true" name="IQRReportF140" vbProcedure="false">#REF!</definedName>
    <definedName function="false" hidden="true" name="IQRReportF141" vbProcedure="false">#REF!</definedName>
    <definedName function="false" hidden="true" name="IQRReportF142" vbProcedure="false">#REF!</definedName>
    <definedName function="false" hidden="true" name="IQRReportF143" vbProcedure="false">#REF!</definedName>
    <definedName function="false" hidden="true" name="IQRReportF144" vbProcedure="false">#REF!</definedName>
    <definedName function="false" hidden="true" name="IQRReportF145" vbProcedure="false">#REF!</definedName>
    <definedName function="false" hidden="true" name="IQRReportF146" vbProcedure="false">#REF!</definedName>
    <definedName function="false" hidden="true" name="IQRReportF147" vbProcedure="false">#REF!</definedName>
    <definedName function="false" hidden="true" name="IQRReportF148" vbProcedure="false">#REF!</definedName>
    <definedName function="false" hidden="true" name="IQRReportF149" vbProcedure="false">#REF!</definedName>
    <definedName function="false" hidden="true" name="IQRReportF15" vbProcedure="false">#REF!</definedName>
    <definedName function="false" hidden="true" name="IQRReportF151" vbProcedure="false">#REF!</definedName>
    <definedName function="false" hidden="true" name="IQRReportF152" vbProcedure="false">#REF!</definedName>
    <definedName function="false" hidden="true" name="IQRReportF153" vbProcedure="false">#REF!</definedName>
    <definedName function="false" hidden="true" name="IQRReportF154" vbProcedure="false">#REF!</definedName>
    <definedName function="false" hidden="true" name="IQRReportF155" vbProcedure="false">#REF!</definedName>
    <definedName function="false" hidden="true" name="IQRReportF156" vbProcedure="false">#REF!</definedName>
    <definedName function="false" hidden="true" name="IQRReportF157" vbProcedure="false">#REF!</definedName>
    <definedName function="false" hidden="true" name="IQRReportF158" vbProcedure="false">#REF!</definedName>
    <definedName function="false" hidden="true" name="IQRReportF159" vbProcedure="false">#REF!</definedName>
    <definedName function="false" hidden="true" name="IQRReportF16" vbProcedure="false">#REF!</definedName>
    <definedName function="false" hidden="true" name="IQRReportF160" vbProcedure="false">#REF!</definedName>
    <definedName function="false" hidden="true" name="IQRReportF161" vbProcedure="false">#REF!</definedName>
    <definedName function="false" hidden="true" name="IQRReportF162" vbProcedure="false">#REF!</definedName>
    <definedName function="false" hidden="true" name="IQRReportF163" vbProcedure="false">#REF!</definedName>
    <definedName function="false" hidden="true" name="IQRReportF164" vbProcedure="false">#REF!</definedName>
    <definedName function="false" hidden="true" name="IQRReportF165" vbProcedure="false">#REF!</definedName>
    <definedName function="false" hidden="true" name="IQRReportF166" vbProcedure="false">#REF!</definedName>
    <definedName function="false" hidden="true" name="IQRReportF167" vbProcedure="false">#REF!</definedName>
    <definedName function="false" hidden="true" name="IQRReportF168" vbProcedure="false">#REF!</definedName>
    <definedName function="false" hidden="true" name="IQRReportF169" vbProcedure="false">#REF!</definedName>
    <definedName function="false" hidden="true" name="IQRReportF17" vbProcedure="false">#REF!</definedName>
    <definedName function="false" hidden="true" name="IQRReportF170" vbProcedure="false">#REF!</definedName>
    <definedName function="false" hidden="true" name="IQRReportF171" vbProcedure="false">#REF!</definedName>
    <definedName function="false" hidden="true" name="IQRReportF172" vbProcedure="false">#REF!</definedName>
    <definedName function="false" hidden="true" name="IQRReportF173" vbProcedure="false">#REF!</definedName>
    <definedName function="false" hidden="true" name="IQRReportF174" vbProcedure="false">#REF!</definedName>
    <definedName function="false" hidden="true" name="IQRReportF175" vbProcedure="false">#REF!</definedName>
    <definedName function="false" hidden="true" name="IQRReportF176" vbProcedure="false">#REF!</definedName>
    <definedName function="false" hidden="true" name="IQRReportF177" vbProcedure="false">#REF!</definedName>
    <definedName function="false" hidden="true" name="IQRReportF178" vbProcedure="false">#REF!</definedName>
    <definedName function="false" hidden="true" name="IQRReportF18" vbProcedure="false">#REF!</definedName>
    <definedName function="false" hidden="true" name="IQRReportF181" vbProcedure="false">#REF!</definedName>
    <definedName function="false" hidden="true" name="IQRReportF182" vbProcedure="false">#REF!</definedName>
    <definedName function="false" hidden="true" name="IQRReportF183" vbProcedure="false">#REF!</definedName>
    <definedName function="false" hidden="true" name="IQRReportF184" vbProcedure="false">#REF!</definedName>
    <definedName function="false" hidden="true" name="IQRReportF185" vbProcedure="false">#REF!</definedName>
    <definedName function="false" hidden="true" name="IQRReportF186" vbProcedure="false">#REF!</definedName>
    <definedName function="false" hidden="true" name="IQRReportF187" vbProcedure="false">#REF!</definedName>
    <definedName function="false" hidden="true" name="IQRReportF188" vbProcedure="false">#REF!</definedName>
    <definedName function="false" hidden="true" name="IQRReportF19" vbProcedure="false">#REF!</definedName>
    <definedName function="false" hidden="true" name="IQRReportF190" vbProcedure="false">#REF!</definedName>
    <definedName function="false" hidden="true" name="IQRReportF192" vbProcedure="false">#REF!</definedName>
    <definedName function="false" hidden="true" name="IQRReportF193" vbProcedure="false">#REF!</definedName>
    <definedName function="false" hidden="true" name="IQRReportF194" vbProcedure="false">#REF!</definedName>
    <definedName function="false" hidden="true" name="IQRReportF195" vbProcedure="false">#REF!</definedName>
    <definedName function="false" hidden="true" name="IQRReportF196" vbProcedure="false">#REF!</definedName>
    <definedName function="false" hidden="true" name="IQRReportF197" vbProcedure="false">#REF!</definedName>
    <definedName function="false" hidden="true" name="IQRReportF198" vbProcedure="false">#REF!</definedName>
    <definedName function="false" hidden="true" name="IQRReportF199" vbProcedure="false">#REF!</definedName>
    <definedName function="false" hidden="true" name="IQRReportF20" vbProcedure="false">#REF!</definedName>
    <definedName function="false" hidden="true" name="IQRReportF200" vbProcedure="false">#REF!</definedName>
    <definedName function="false" hidden="true" name="IQRReportF201" vbProcedure="false">#REF!</definedName>
    <definedName function="false" hidden="true" name="IQRReportF202" vbProcedure="false">#REF!</definedName>
    <definedName function="false" hidden="true" name="IQRReportF204" vbProcedure="false">#REF!</definedName>
    <definedName function="false" hidden="true" name="IQRReportF205" vbProcedure="false">#REF!</definedName>
    <definedName function="false" hidden="true" name="IQRReportF206" vbProcedure="false">#REF!</definedName>
    <definedName function="false" hidden="true" name="IQRReportF207" vbProcedure="false">#REF!</definedName>
    <definedName function="false" hidden="true" name="IQRReportF21" vbProcedure="false">#REF!</definedName>
    <definedName function="false" hidden="true" name="IQRReportF211" vbProcedure="false">#REF!</definedName>
    <definedName function="false" hidden="true" name="IQRReportF212" vbProcedure="false">#REF!</definedName>
    <definedName function="false" hidden="true" name="IQRReportF219" vbProcedure="false">#REF!</definedName>
    <definedName function="false" hidden="true" name="IQRReportF22" vbProcedure="false">#REF!</definedName>
    <definedName function="false" hidden="true" name="IQRReportF23" vbProcedure="false">#REF!</definedName>
    <definedName function="false" hidden="true" name="IQRReportF233" vbProcedure="false">#REF!</definedName>
    <definedName function="false" hidden="true" name="IQRReportF238" vbProcedure="false">#REF!</definedName>
    <definedName function="false" hidden="true" name="IQRReportF24" vbProcedure="false">#REF!</definedName>
    <definedName function="false" hidden="true" name="IQRReportF242" vbProcedure="false">#REF!</definedName>
    <definedName function="false" hidden="true" name="IQRReportF244" vbProcedure="false">#REF!</definedName>
    <definedName function="false" hidden="true" name="IQRReportF246" vbProcedure="false">#REF!</definedName>
    <definedName function="false" hidden="true" name="IQRReportF248" vbProcedure="false">#REF!</definedName>
    <definedName function="false" hidden="true" name="IQRReportF25" vbProcedure="false">#REF!</definedName>
    <definedName function="false" hidden="true" name="IQRReportF253" vbProcedure="false">#REF!</definedName>
    <definedName function="false" hidden="true" name="IQRReportF26" vbProcedure="false">#REF!</definedName>
    <definedName function="false" hidden="true" name="IQRReportF27" vbProcedure="false">#REF!</definedName>
    <definedName function="false" hidden="true" name="IQRReportF28" vbProcedure="false">#REF!</definedName>
    <definedName function="false" hidden="true" name="IQRReportF29" vbProcedure="false">#REF!</definedName>
    <definedName function="false" hidden="true" name="IQRReportF3" vbProcedure="false">#REF!</definedName>
    <definedName function="false" hidden="true" name="IQRReportF30" vbProcedure="false">#REF!</definedName>
    <definedName function="false" hidden="true" name="IQRReportF31" vbProcedure="false">#REF!</definedName>
    <definedName function="false" hidden="true" name="IQRReportF32" vbProcedure="false">#REF!</definedName>
    <definedName function="false" hidden="true" name="IQRReportF35" vbProcedure="false">#REF!</definedName>
    <definedName function="false" hidden="true" name="IQRReportF37" vbProcedure="false">#REF!</definedName>
    <definedName function="false" hidden="true" name="IQRReportF38" vbProcedure="false">#REF!</definedName>
    <definedName function="false" hidden="true" name="IQRReportF39" vbProcedure="false">#REF!</definedName>
    <definedName function="false" hidden="true" name="IQRReportF4" vbProcedure="false">#REF!</definedName>
    <definedName function="false" hidden="true" name="IQRReportF40" vbProcedure="false">#REF!</definedName>
    <definedName function="false" hidden="true" name="IQRReportF41" vbProcedure="false">#REF!</definedName>
    <definedName function="false" hidden="true" name="IQRReportF42" vbProcedure="false">#REF!</definedName>
    <definedName function="false" hidden="true" name="IQRReportF44" vbProcedure="false">#REF!</definedName>
    <definedName function="false" hidden="true" name="IQRReportF45" vbProcedure="false">#REF!</definedName>
    <definedName function="false" hidden="true" name="IQRReportF46" vbProcedure="false">#REF!</definedName>
    <definedName function="false" hidden="true" name="IQRReportF47" vbProcedure="false">#REF!</definedName>
    <definedName function="false" hidden="true" name="IQRReportF48" vbProcedure="false">#REF!</definedName>
    <definedName function="false" hidden="true" name="IQRReportF5" vbProcedure="false">#REF!</definedName>
    <definedName function="false" hidden="true" name="IQRReportF50" vbProcedure="false">#REF!</definedName>
    <definedName function="false" hidden="true" name="IQRReportF51" vbProcedure="false">#REF!</definedName>
    <definedName function="false" hidden="true" name="IQRReportF52" vbProcedure="false">#REF!</definedName>
    <definedName function="false" hidden="true" name="IQRReportF53" vbProcedure="false">#REF!</definedName>
    <definedName function="false" hidden="true" name="IQRReportF54" vbProcedure="false">#REF!</definedName>
    <definedName function="false" hidden="true" name="IQRReportF55" vbProcedure="false">#REF!</definedName>
    <definedName function="false" hidden="true" name="IQRReportF56" vbProcedure="false">#REF!</definedName>
    <definedName function="false" hidden="true" name="IQRReportF57" vbProcedure="false">#REF!</definedName>
    <definedName function="false" hidden="true" name="IQRReportF58" vbProcedure="false">#REF!</definedName>
    <definedName function="false" hidden="true" name="IQRReportF59" vbProcedure="false">#REF!</definedName>
    <definedName function="false" hidden="true" name="IQRReportF6" vbProcedure="false">#REF!</definedName>
    <definedName function="false" hidden="true" name="IQRReportF61" vbProcedure="false">#REF!</definedName>
    <definedName function="false" hidden="true" name="IQRReportF63" vbProcedure="false">#REF!</definedName>
    <definedName function="false" hidden="true" name="IQRReportF64" vbProcedure="false">#REF!</definedName>
    <definedName function="false" hidden="true" name="IQRReportF65" vbProcedure="false">#REF!</definedName>
    <definedName function="false" hidden="true" name="IQRReportF66" vbProcedure="false">#REF!</definedName>
    <definedName function="false" hidden="true" name="IQRReportF68" vbProcedure="false">#REF!</definedName>
    <definedName function="false" hidden="true" name="IQRReportF69" vbProcedure="false">#REF!</definedName>
    <definedName function="false" hidden="true" name="IQRReportF7" vbProcedure="false">#REF!</definedName>
    <definedName function="false" hidden="true" name="IQRReportF71" vbProcedure="false">#REF!</definedName>
    <definedName function="false" hidden="true" name="IQRReportF72" vbProcedure="false">#REF!</definedName>
    <definedName function="false" hidden="true" name="IQRReportF73" vbProcedure="false">#REF!</definedName>
    <definedName function="false" hidden="true" name="IQRReportF74" vbProcedure="false">#REF!</definedName>
    <definedName function="false" hidden="true" name="IQRReportF75" vbProcedure="false">#REF!</definedName>
    <definedName function="false" hidden="true" name="IQRReportF76" vbProcedure="false">#REF!</definedName>
    <definedName function="false" hidden="true" name="IQRReportF77" vbProcedure="false">#REF!</definedName>
    <definedName function="false" hidden="true" name="IQRReportF78" vbProcedure="false">#REF!</definedName>
    <definedName function="false" hidden="true" name="IQRReportF79" vbProcedure="false">#REF!</definedName>
    <definedName function="false" hidden="true" name="IQRReportF8" vbProcedure="false">#REF!</definedName>
    <definedName function="false" hidden="true" name="IQRReportF80" vbProcedure="false">#REF!</definedName>
    <definedName function="false" hidden="true" name="IQRReportF81" vbProcedure="false">#REF!</definedName>
    <definedName function="false" hidden="true" name="IQRReportF83" vbProcedure="false">#REF!</definedName>
    <definedName function="false" hidden="true" name="IQRReportF84" vbProcedure="false">#REF!</definedName>
    <definedName function="false" hidden="true" name="IQRReportF85" vbProcedure="false">#REF!</definedName>
    <definedName function="false" hidden="true" name="IQRReportF86" vbProcedure="false">#REF!</definedName>
    <definedName function="false" hidden="true" name="IQRReportF87" vbProcedure="false">#REF!</definedName>
    <definedName function="false" hidden="true" name="IQRReportF88" vbProcedure="false">#REF!</definedName>
    <definedName function="false" hidden="true" name="IQRReportF89" vbProcedure="false">#REF!</definedName>
    <definedName function="false" hidden="true" name="IQRReportF9" vbProcedure="false">#REF!</definedName>
    <definedName function="false" hidden="true" name="IQRReportF90" vbProcedure="false">#REF!</definedName>
    <definedName function="false" hidden="true" name="IQRReportF91" vbProcedure="false">#REF!</definedName>
    <definedName function="false" hidden="true" name="IQRReportF92" vbProcedure="false">#REF!</definedName>
    <definedName function="false" hidden="true" name="IQRReportF93" vbProcedure="false">#REF!</definedName>
    <definedName function="false" hidden="true" name="IQRReportF94" vbProcedure="false">#REF!</definedName>
    <definedName function="false" hidden="true" name="IQRReportF95" vbProcedure="false">#REF!</definedName>
    <definedName function="false" hidden="true" name="IQRReportF96" vbProcedure="false">#REF!</definedName>
    <definedName function="false" hidden="true" name="IQRReportF97" vbProcedure="false">#REF!</definedName>
    <definedName function="false" hidden="true" name="IQRReportF98" vbProcedure="false">#REF!</definedName>
    <definedName function="false" hidden="true" name="IQRReportF99" vbProcedure="false">#REF!</definedName>
    <definedName function="false" hidden="true" name="IQRReportG10" vbProcedure="false">#REF!</definedName>
    <definedName function="false" hidden="true" name="IQRReportG17" vbProcedure="false">#REF!</definedName>
    <definedName function="false" hidden="true" name="IQRReportG6" vbProcedure="false">#REF!</definedName>
    <definedName function="false" hidden="true" name="IQRReportG7" vbProcedure="false">#REF!</definedName>
    <definedName function="false" hidden="true" name="IQRReportG8" vbProcedure="false">#REF!</definedName>
    <definedName function="false" hidden="true" name="IQRReportG9" vbProcedure="false">#REF!</definedName>
    <definedName function="false" hidden="true" name="IQRReportH10" vbProcedure="false">#REF!</definedName>
    <definedName function="false" hidden="true" name="IQRReportH8" vbProcedure="false">#REF!</definedName>
    <definedName function="false" hidden="true" name="IQRReportH9" vbProcedure="false">#REF!</definedName>
    <definedName function="false" hidden="true" name="IQRReportR12" vbProcedure="false">#REF!</definedName>
    <definedName function="false" hidden="true" name="IQRReportR13" vbProcedure="false">#REF!</definedName>
    <definedName function="false" hidden="true" name="IQRReportR14" vbProcedure="false">#REF!</definedName>
    <definedName function="false" hidden="true" name="IQRReportR3" vbProcedure="false">#REF!</definedName>
    <definedName function="false" hidden="true" name="IQRReportR4" vbProcedure="false">#REF!</definedName>
    <definedName function="false" hidden="true" name="IQRReportR5" vbProcedure="false">#REF!</definedName>
    <definedName function="false" hidden="true" name="IQRReportR6" vbProcedure="false">#REF!</definedName>
    <definedName function="false" hidden="true" name="IQRReportR7" vbProcedure="false">#REF!</definedName>
    <definedName function="false" hidden="true" name="IQRReportR8" vbProcedure="false">#REF!</definedName>
    <definedName function="false" hidden="true" name="IQRReportR9" vbProcedure="false">#REF!</definedName>
    <definedName function="false" hidden="true" name="IQRReportW10" vbProcedure="false">#REF!</definedName>
    <definedName function="false" hidden="true" name="IQRReportW7" vbProcedure="false">#REF!</definedName>
    <definedName function="false" hidden="true" name="IQRReportW8" vbProcedure="false">#REF!</definedName>
    <definedName function="false" hidden="true" name="IQRReportW9" vbProcedure="false">#REF!</definedName>
    <definedName function="false" hidden="true" name="IQRReportZ10" vbProcedure="false">#REF!</definedName>
    <definedName function="false" hidden="true" name="IQRReportZ108" vbProcedure="false">#REF!</definedName>
    <definedName function="false" hidden="true" name="IQRReportZ116" vbProcedure="false">#REF!</definedName>
    <definedName function="false" hidden="true" name="IQRReportZ8" vbProcedure="false">#REF!</definedName>
    <definedName function="false" hidden="true" name="IQRReportZ9" vbProcedure="false">#REF!</definedName>
    <definedName function="false" hidden="true" name="IQRS13" vbProcedure="false">"$S$14"</definedName>
    <definedName function="false" hidden="true" name="IQRS24" vbProcedure="false">"$S$25"</definedName>
    <definedName function="false" hidden="true" name="IQRS3" vbProcedure="false">"$S$4:$S$253"</definedName>
    <definedName function="false" hidden="true" name="IQRS39" vbProcedure="false">"$S$40:$S$56"</definedName>
    <definedName function="false" hidden="true" name="IQRS4" vbProcedure="false">"$S$5:$S$254"</definedName>
    <definedName function="false" hidden="true" name="IQRS5" vbProcedure="false">"$S$6:$S$511"</definedName>
    <definedName function="false" hidden="true" name="IQRS6" vbProcedure="false">"$S$7:$S$256"</definedName>
    <definedName function="false" hidden="true" name="IQRS7" vbProcedure="false">"$S$8"</definedName>
    <definedName function="false" hidden="true" name="IQRS71" vbProcedure="false">"$S$72:$S$321"</definedName>
    <definedName function="false" hidden="true" name="IQRS74" vbProcedure="false">"$S$75:$S$324"</definedName>
    <definedName function="false" hidden="true" name="IQRS81" vbProcedure="false">"$S$82:$S$86"</definedName>
    <definedName function="false" hidden="true" name="IQRScatterI53" vbProcedure="false">#REF!</definedName>
    <definedName function="false" hidden="true" name="IQRScoreResultsAA113" vbProcedure="false">#REF!</definedName>
    <definedName function="false" hidden="true" name="IQRScoreResultsAA114" vbProcedure="false">#REF!</definedName>
    <definedName function="false" hidden="true" name="IQRScoreResultsAA117" vbProcedure="false">#REF!</definedName>
    <definedName function="false" hidden="true" name="IQRScoreResultsAA48" vbProcedure="false">#REF!</definedName>
    <definedName function="false" hidden="true" name="IQRScoreResultsAA49" vbProcedure="false">#REF!</definedName>
    <definedName function="false" hidden="true" name="IQRScoreResultsCodeC117" vbProcedure="false">#REF!</definedName>
    <definedName function="false" hidden="true" name="IQRScoreResultsCodeC118" vbProcedure="false">#REF!</definedName>
    <definedName function="false" hidden="true" name="IQRScoreResultsCodeC119" vbProcedure="false">#REF!</definedName>
    <definedName function="false" hidden="true" name="IQRScoreResultsCodeC120" vbProcedure="false">#REF!</definedName>
    <definedName function="false" hidden="true" name="IQRScoreResultsCodeC121" vbProcedure="false">#REF!</definedName>
    <definedName function="false" hidden="true" name="IQRScoreResultsCodeC122" vbProcedure="false">#REF!</definedName>
    <definedName function="false" hidden="true" name="IQRScoreResultsCodeC13" vbProcedure="false">#REF!</definedName>
    <definedName function="false" hidden="true" name="IQRScoreResultsCodeC14" vbProcedure="false">#REF!</definedName>
    <definedName function="false" hidden="true" name="IQRScoreResultsCodeC15" vbProcedure="false">#REF!</definedName>
    <definedName function="false" hidden="true" name="IQRScoreResultsCodeC16" vbProcedure="false">#REF!</definedName>
    <definedName function="false" hidden="true" name="IQRScoreResultsCodeC17" vbProcedure="false">#REF!</definedName>
    <definedName function="false" hidden="true" name="IQRScoreResultsCodeC18" vbProcedure="false">#REF!</definedName>
    <definedName function="false" hidden="true" name="IQRScoreResultsCodeC21" vbProcedure="false">#REF!</definedName>
    <definedName function="false" hidden="true" name="IQRScoreResultsCodeC22" vbProcedure="false">#REF!</definedName>
    <definedName function="false" hidden="true" name="IQRScoreResultsCodeC25" vbProcedure="false">#REF!</definedName>
    <definedName function="false" hidden="true" name="IQRScoreResultsCodeC26" vbProcedure="false">#REF!</definedName>
    <definedName function="false" hidden="true" name="IQRScoreResultsCodeC27" vbProcedure="false">#REF!</definedName>
    <definedName function="false" hidden="true" name="IQRScoreResultsCodeC28" vbProcedure="false">#REF!</definedName>
    <definedName function="false" hidden="true" name="IQRScoreResultsCodeC29" vbProcedure="false">#REF!</definedName>
    <definedName function="false" hidden="true" name="IQRScoreResultsCodeC30" vbProcedure="false">#REF!</definedName>
    <definedName function="false" hidden="true" name="IQRScoreResultsCodeC48" vbProcedure="false">#REF!</definedName>
    <definedName function="false" hidden="true" name="IQRScoreResultsCodeC49" vbProcedure="false">#REF!</definedName>
    <definedName function="false" hidden="true" name="IQRScoreResultsCodeC50" vbProcedure="false">#REF!</definedName>
    <definedName function="false" hidden="true" name="IQRScoreResultsCodeC51" vbProcedure="false">#REF!</definedName>
    <definedName function="false" hidden="true" name="IQRScoreResultsCodeC52" vbProcedure="false">#REF!</definedName>
    <definedName function="false" hidden="true" name="IQRScoreResultsCodeC53" vbProcedure="false">#REF!</definedName>
    <definedName function="false" hidden="true" name="IQRScoreResultsCodeC67" vbProcedure="false">#REF!</definedName>
    <definedName function="false" hidden="true" name="IQRScoreResultsCodeC68" vbProcedure="false">#REF!</definedName>
    <definedName function="false" hidden="true" name="IQRScoreResultsCodeC69" vbProcedure="false">#REF!</definedName>
    <definedName function="false" hidden="true" name="IQRScoreResultsCodeC70" vbProcedure="false">#REF!</definedName>
    <definedName function="false" hidden="true" name="IQRScoreResultsCodeC71" vbProcedure="false">#REF!</definedName>
    <definedName function="false" hidden="true" name="IQRScoreResultsCodeC72" vbProcedure="false">#REF!</definedName>
    <definedName function="false" hidden="true" name="IQRScoreResultsCodeC87" vbProcedure="false">#REF!</definedName>
    <definedName function="false" hidden="true" name="IQRScoreResultsCodeC88" vbProcedure="false">#REF!</definedName>
    <definedName function="false" hidden="true" name="IQRScoreResultsCodeC89" vbProcedure="false">#REF!</definedName>
    <definedName function="false" hidden="true" name="IQRScoreResultsCodeC90" vbProcedure="false">#REF!</definedName>
    <definedName function="false" hidden="true" name="IQRScoreResultsCodeC91" vbProcedure="false">#REF!</definedName>
    <definedName function="false" hidden="true" name="IQRScoreResultsCodeC92" vbProcedure="false">#REF!</definedName>
    <definedName function="false" hidden="true" name="IQRScoreResultsCodeD10" vbProcedure="false">#REF!</definedName>
    <definedName function="false" hidden="true" name="IQRScoreResultsCodeD100" vbProcedure="false">#REF!</definedName>
    <definedName function="false" hidden="true" name="IQRScoreResultsCodeD101" vbProcedure="false">#REF!</definedName>
    <definedName function="false" hidden="true" name="IQRScoreResultsCodeD106" vbProcedure="false">#REF!</definedName>
    <definedName function="false" hidden="true" name="IQRScoreResultsCodeD107" vbProcedure="false">#REF!</definedName>
    <definedName function="false" hidden="true" name="IQRScoreResultsCodeD11" vbProcedure="false">#REF!</definedName>
    <definedName function="false" hidden="true" name="IQRScoreResultsCodeD117" vbProcedure="false">#REF!</definedName>
    <definedName function="false" hidden="true" name="IQRScoreResultsCodeD12" vbProcedure="false">#REF!</definedName>
    <definedName function="false" hidden="true" name="IQRScoreResultsCodeD121" vbProcedure="false">#REF!</definedName>
    <definedName function="false" hidden="true" name="IQRScoreResultsCodeD122" vbProcedure="false">#REF!</definedName>
    <definedName function="false" hidden="true" name="IQRScoreResultsCodeD123" vbProcedure="false">#REF!</definedName>
    <definedName function="false" hidden="true" name="IQRScoreResultsCodeD124" vbProcedure="false">#REF!</definedName>
    <definedName function="false" hidden="true" name="IQRScoreResultsCodeD126" vbProcedure="false">#REF!</definedName>
    <definedName function="false" hidden="true" name="IQRScoreResultsCodeD128" vbProcedure="false">#REF!</definedName>
    <definedName function="false" hidden="true" name="IQRScoreResultsCodeD13" vbProcedure="false">#REF!</definedName>
    <definedName function="false" hidden="true" name="IQRScoreResultsCodeD14" vbProcedure="false">#REF!</definedName>
    <definedName function="false" hidden="true" name="IQRScoreResultsCodeD148" vbProcedure="false">#REF!</definedName>
    <definedName function="false" hidden="true" name="IQRScoreResultsCodeD15" vbProcedure="false">#REF!</definedName>
    <definedName function="false" hidden="true" name="IQRScoreResultsCodeD152" vbProcedure="false">#REF!</definedName>
    <definedName function="false" hidden="true" name="IQRScoreResultsCodeD153" vbProcedure="false">#REF!</definedName>
    <definedName function="false" hidden="true" name="IQRScoreResultsCodeD159" vbProcedure="false">#REF!</definedName>
    <definedName function="false" hidden="true" name="IQRScoreResultsCodeD16" vbProcedure="false">#REF!</definedName>
    <definedName function="false" hidden="true" name="IQRScoreResultsCodeD17" vbProcedure="false">#REF!</definedName>
    <definedName function="false" hidden="true" name="IQRScoreResultsCodeD18" vbProcedure="false">#REF!</definedName>
    <definedName function="false" hidden="true" name="IQRScoreResultsCodeD19" vbProcedure="false">#REF!</definedName>
    <definedName function="false" hidden="true" name="IQRScoreResultsCodeD20" vbProcedure="false">#REF!</definedName>
    <definedName function="false" hidden="true" name="IQRScoreResultsCodeD22" vbProcedure="false">#REF!</definedName>
    <definedName function="false" hidden="true" name="IQRScoreResultsCodeD25" vbProcedure="false">#REF!</definedName>
    <definedName function="false" hidden="true" name="IQRScoreResultsCodeD26" vbProcedure="false">#REF!</definedName>
    <definedName function="false" hidden="true" name="IQRScoreResultsCodeD27" vbProcedure="false">#REF!</definedName>
    <definedName function="false" hidden="true" name="IQRScoreResultsCodeD28" vbProcedure="false">#REF!</definedName>
    <definedName function="false" hidden="true" name="IQRScoreResultsCodeD29" vbProcedure="false">#REF!</definedName>
    <definedName function="false" hidden="true" name="IQRScoreResultsCodeD30" vbProcedure="false">#REF!</definedName>
    <definedName function="false" hidden="true" name="IQRScoreResultsCodeD31" vbProcedure="false">#REF!</definedName>
    <definedName function="false" hidden="true" name="IQRScoreResultsCodeD32" vbProcedure="false">#REF!</definedName>
    <definedName function="false" hidden="true" name="IQRScoreResultsCodeD34" vbProcedure="false">#REF!</definedName>
    <definedName function="false" hidden="true" name="IQRScoreResultsCodeD37" vbProcedure="false">#REF!</definedName>
    <definedName function="false" hidden="true" name="IQRScoreResultsCodeD41" vbProcedure="false">#REF!</definedName>
    <definedName function="false" hidden="true" name="IQRScoreResultsCodeD42" vbProcedure="false">#REF!</definedName>
    <definedName function="false" hidden="true" name="IQRScoreResultsCodeD48" vbProcedure="false">#REF!</definedName>
    <definedName function="false" hidden="true" name="IQRScoreResultsCodeD49" vbProcedure="false">#REF!</definedName>
    <definedName function="false" hidden="true" name="IQRScoreResultsCodeD50" vbProcedure="false">#REF!</definedName>
    <definedName function="false" hidden="true" name="IQRScoreResultsCodeD53" vbProcedure="false">#REF!</definedName>
    <definedName function="false" hidden="true" name="IQRScoreResultsCodeD54" vbProcedure="false">#REF!</definedName>
    <definedName function="false" hidden="true" name="IQRScoreResultsCodeD55" vbProcedure="false">#REF!</definedName>
    <definedName function="false" hidden="true" name="IQRScoreResultsCodeD57" vbProcedure="false">#REF!</definedName>
    <definedName function="false" hidden="true" name="IQRScoreResultsCodeD6" vbProcedure="false">#REF!</definedName>
    <definedName function="false" hidden="true" name="IQRScoreResultsCodeD61" vbProcedure="false">#REF!</definedName>
    <definedName function="false" hidden="true" name="IQRScoreResultsCodeD67" vbProcedure="false">#REF!</definedName>
    <definedName function="false" hidden="true" name="IQRScoreResultsCodeD68" vbProcedure="false">#REF!</definedName>
    <definedName function="false" hidden="true" name="IQRScoreResultsCodeD69" vbProcedure="false">#REF!</definedName>
    <definedName function="false" hidden="true" name="IQRScoreResultsCodeD7" vbProcedure="false">#REF!</definedName>
    <definedName function="false" hidden="true" name="IQRScoreResultsCodeD70" vbProcedure="false">#REF!</definedName>
    <definedName function="false" hidden="true" name="IQRScoreResultsCodeD71" vbProcedure="false">#REF!</definedName>
    <definedName function="false" hidden="true" name="IQRScoreResultsCodeD72" vbProcedure="false">#REF!</definedName>
    <definedName function="false" hidden="true" name="IQRScoreResultsCodeD73" vbProcedure="false">#REF!</definedName>
    <definedName function="false" hidden="true" name="IQRScoreResultsCodeD74" vbProcedure="false">#REF!</definedName>
    <definedName function="false" hidden="true" name="IQRScoreResultsCodeD76" vbProcedure="false">#REF!</definedName>
    <definedName function="false" hidden="true" name="IQRScoreResultsCodeD78" vbProcedure="false">#REF!</definedName>
    <definedName function="false" hidden="true" name="IQRScoreResultsCodeD79" vbProcedure="false">#REF!</definedName>
    <definedName function="false" hidden="true" name="IQRScoreResultsCodeD8" vbProcedure="false">#REF!</definedName>
    <definedName function="false" hidden="true" name="IQRScoreResultsCodeD85" vbProcedure="false">#REF!</definedName>
    <definedName function="false" hidden="true" name="IQRScoreResultsCodeD87" vbProcedure="false">#REF!</definedName>
    <definedName function="false" hidden="true" name="IQRScoreResultsCodeD88" vbProcedure="false">#REF!</definedName>
    <definedName function="false" hidden="true" name="IQRScoreResultsCodeD89" vbProcedure="false">#REF!</definedName>
    <definedName function="false" hidden="true" name="IQRScoreResultsCodeD9" vbProcedure="false">#REF!</definedName>
    <definedName function="false" hidden="true" name="IQRScoreResultsCodeD90" vbProcedure="false">#REF!</definedName>
    <definedName function="false" hidden="true" name="IQRScoreResultsCodeD91" vbProcedure="false">#REF!</definedName>
    <definedName function="false" hidden="true" name="IQRScoreResultsCodeD92" vbProcedure="false">#REF!</definedName>
    <definedName function="false" hidden="true" name="IQRScoreResultsCodeD93" vbProcedure="false">#REF!</definedName>
    <definedName function="false" hidden="true" name="IQRScoreResultsCodeD94" vbProcedure="false">#REF!</definedName>
    <definedName function="false" hidden="true" name="IQRScoreResultsCodeD96" vbProcedure="false">#REF!</definedName>
    <definedName function="false" hidden="true" name="IQRScoreResultsCodeE101" vbProcedure="false">#REF!</definedName>
    <definedName function="false" hidden="true" name="IQRScoreResultsCodeE102" vbProcedure="false">#REF!</definedName>
    <definedName function="false" hidden="true" name="IQRScoreResultsCodeE105" vbProcedure="false">#REF!</definedName>
    <definedName function="false" hidden="true" name="IQRScoreResultsCodeE11" vbProcedure="false">#REF!</definedName>
    <definedName function="false" hidden="true" name="IQRScoreResultsCodeE112" vbProcedure="false">#REF!</definedName>
    <definedName function="false" hidden="true" name="IQRScoreResultsCodeE117" vbProcedure="false">#REF!</definedName>
    <definedName function="false" hidden="true" name="IQRScoreResultsCodeE12" vbProcedure="false">#REF!</definedName>
    <definedName function="false" hidden="true" name="IQRScoreResultsCodeE122" vbProcedure="false">#REF!</definedName>
    <definedName function="false" hidden="true" name="IQRScoreResultsCodeE126" vbProcedure="false">#REF!</definedName>
    <definedName function="false" hidden="true" name="IQRScoreResultsCodeE127" vbProcedure="false">#REF!</definedName>
    <definedName function="false" hidden="true" name="IQRScoreResultsCodeE128" vbProcedure="false">#REF!</definedName>
    <definedName function="false" hidden="true" name="IQRScoreResultsCodeE129" vbProcedure="false">#REF!</definedName>
    <definedName function="false" hidden="true" name="IQRScoreResultsCodeE13" vbProcedure="false">#REF!</definedName>
    <definedName function="false" hidden="true" name="IQRScoreResultsCodeE131" vbProcedure="false">#REF!</definedName>
    <definedName function="false" hidden="true" name="IQRScoreResultsCodeE135" vbProcedure="false">#REF!</definedName>
    <definedName function="false" hidden="true" name="IQRScoreResultsCodeE14" vbProcedure="false">#REF!</definedName>
    <definedName function="false" hidden="true" name="IQRScoreResultsCodeE142" vbProcedure="false">#REF!</definedName>
    <definedName function="false" hidden="true" name="IQRScoreResultsCodeE15" vbProcedure="false">#REF!</definedName>
    <definedName function="false" hidden="true" name="IQRScoreResultsCodeE152" vbProcedure="false">#REF!</definedName>
    <definedName function="false" hidden="true" name="IQRScoreResultsCodeE16" vbProcedure="false">#REF!</definedName>
    <definedName function="false" hidden="true" name="IQRScoreResultsCodeE17" vbProcedure="false">#REF!</definedName>
    <definedName function="false" hidden="true" name="IQRScoreResultsCodeE18" vbProcedure="false">#REF!</definedName>
    <definedName function="false" hidden="true" name="IQRScoreResultsCodeE19" vbProcedure="false">#REF!</definedName>
    <definedName function="false" hidden="true" name="IQRScoreResultsCodeE20" vbProcedure="false">#REF!</definedName>
    <definedName function="false" hidden="true" name="IQRScoreResultsCodeE22" vbProcedure="false">#REF!</definedName>
    <definedName function="false" hidden="true" name="IQRScoreResultsCodeE23" vbProcedure="false">#REF!</definedName>
    <definedName function="false" hidden="true" name="IQRScoreResultsCodeE24" vbProcedure="false">#REF!</definedName>
    <definedName function="false" hidden="true" name="IQRScoreResultsCodeE25" vbProcedure="false">#REF!</definedName>
    <definedName function="false" hidden="true" name="IQRScoreResultsCodeE27" vbProcedure="false">#REF!</definedName>
    <definedName function="false" hidden="true" name="IQRScoreResultsCodeE30" vbProcedure="false">#REF!</definedName>
    <definedName function="false" hidden="true" name="IQRScoreResultsCodeE31" vbProcedure="false">#REF!</definedName>
    <definedName function="false" hidden="true" name="IQRScoreResultsCodeE32" vbProcedure="false">#REF!</definedName>
    <definedName function="false" hidden="true" name="IQRScoreResultsCodeE34" vbProcedure="false">#REF!</definedName>
    <definedName function="false" hidden="true" name="IQRScoreResultsCodeE35" vbProcedure="false">#REF!</definedName>
    <definedName function="false" hidden="true" name="IQRScoreResultsCodeE36" vbProcedure="false">#REF!</definedName>
    <definedName function="false" hidden="true" name="IQRScoreResultsCodeE37" vbProcedure="false">#REF!</definedName>
    <definedName function="false" hidden="true" name="IQRScoreResultsCodeE38" vbProcedure="false">#REF!</definedName>
    <definedName function="false" hidden="true" name="IQRScoreResultsCodeE39" vbProcedure="false">#REF!</definedName>
    <definedName function="false" hidden="true" name="IQRScoreResultsCodeE43" vbProcedure="false">#REF!</definedName>
    <definedName function="false" hidden="true" name="IQRScoreResultsCodeE48" vbProcedure="false">#REF!</definedName>
    <definedName function="false" hidden="true" name="IQRScoreResultsCodeE49" vbProcedure="false">#REF!</definedName>
    <definedName function="false" hidden="true" name="IQRScoreResultsCodeE50" vbProcedure="false">#REF!</definedName>
    <definedName function="false" hidden="true" name="IQRScoreResultsCodeE51" vbProcedure="false">#REF!</definedName>
    <definedName function="false" hidden="true" name="IQRScoreResultsCodeE52" vbProcedure="false">#REF!</definedName>
    <definedName function="false" hidden="true" name="IQRScoreResultsCodeE53" vbProcedure="false">#REF!</definedName>
    <definedName function="false" hidden="true" name="IQRScoreResultsCodeE57" vbProcedure="false">#REF!</definedName>
    <definedName function="false" hidden="true" name="IQRScoreResultsCodeE58" vbProcedure="false">#REF!</definedName>
    <definedName function="false" hidden="true" name="IQRScoreResultsCodeE59" vbProcedure="false">#REF!</definedName>
    <definedName function="false" hidden="true" name="IQRScoreResultsCodeE60" vbProcedure="false">#REF!</definedName>
    <definedName function="false" hidden="true" name="IQRScoreResultsCodeE62" vbProcedure="false">#REF!</definedName>
    <definedName function="false" hidden="true" name="IQRScoreResultsCodeE66" vbProcedure="false">#REF!</definedName>
    <definedName function="false" hidden="true" name="IQRScoreResultsCodeE67" vbProcedure="false">#REF!</definedName>
    <definedName function="false" hidden="true" name="IQRScoreResultsCodeE72" vbProcedure="false">#REF!</definedName>
    <definedName function="false" hidden="true" name="IQRScoreResultsCodeE73" vbProcedure="false">#REF!</definedName>
    <definedName function="false" hidden="true" name="IQRScoreResultsCodeE74" vbProcedure="false">#REF!</definedName>
    <definedName function="false" hidden="true" name="IQRScoreResultsCodeE76" vbProcedure="false">#REF!</definedName>
    <definedName function="false" hidden="true" name="IQRScoreResultsCodeE77" vbProcedure="false">#REF!</definedName>
    <definedName function="false" hidden="true" name="IQRScoreResultsCodeE78" vbProcedure="false">#REF!</definedName>
    <definedName function="false" hidden="true" name="IQRScoreResultsCodeE79" vbProcedure="false">#REF!</definedName>
    <definedName function="false" hidden="true" name="IQRScoreResultsCodeE81" vbProcedure="false">#REF!</definedName>
    <definedName function="false" hidden="true" name="IQRScoreResultsCodeE83" vbProcedure="false">#REF!</definedName>
    <definedName function="false" hidden="true" name="IQRScoreResultsCodeE85" vbProcedure="false">#REF!</definedName>
    <definedName function="false" hidden="true" name="IQRScoreResultsCodeE87" vbProcedure="false">#REF!</definedName>
    <definedName function="false" hidden="true" name="IQRScoreResultsCodeE92" vbProcedure="false">#REF!</definedName>
    <definedName function="false" hidden="true" name="IQRScoreResultsCodeE93" vbProcedure="false">#REF!</definedName>
    <definedName function="false" hidden="true" name="IQRScoreResultsCodeE94" vbProcedure="false">#REF!</definedName>
    <definedName function="false" hidden="true" name="IQRScoreResultsCodeE96" vbProcedure="false">#REF!</definedName>
    <definedName function="false" hidden="true" name="IQRScoreResultsCodeE97" vbProcedure="false">#REF!</definedName>
    <definedName function="false" hidden="true" name="IQRScoreResultsCodeE98" vbProcedure="false">#REF!</definedName>
    <definedName function="false" hidden="true" name="IQRScoreResultsCodeE99" vbProcedure="false">#REF!</definedName>
    <definedName function="false" hidden="true" name="IQRScoreResultsCodeF101" vbProcedure="false">#REF!</definedName>
    <definedName function="false" hidden="true" name="IQRScoreResultsCodeF102" vbProcedure="false">#REF!</definedName>
    <definedName function="false" hidden="true" name="IQRScoreResultsCodeF105" vbProcedure="false">#REF!</definedName>
    <definedName function="false" hidden="true" name="IQRScoreResultsCodeF112" vbProcedure="false">#REF!</definedName>
    <definedName function="false" hidden="true" name="IQRScoreResultsCodeF122" vbProcedure="false">#REF!</definedName>
    <definedName function="false" hidden="true" name="IQRScoreResultsCodeF15" vbProcedure="false">#REF!</definedName>
    <definedName function="false" hidden="true" name="IQRScoreResultsCodeF152" vbProcedure="false">#REF!</definedName>
    <definedName function="false" hidden="true" name="IQRScoreResultsCodeF16" vbProcedure="false">#REF!</definedName>
    <definedName function="false" hidden="true" name="IQRScoreResultsCodeF17" vbProcedure="false">#REF!</definedName>
    <definedName function="false" hidden="true" name="IQRScoreResultsCodeF18" vbProcedure="false">#REF!</definedName>
    <definedName function="false" hidden="true" name="IQRScoreResultsCodeF19" vbProcedure="false">#REF!</definedName>
    <definedName function="false" hidden="true" name="IQRScoreResultsCodeF20" vbProcedure="false">#REF!</definedName>
    <definedName function="false" hidden="true" name="IQRScoreResultsCodeF22" vbProcedure="false">#REF!</definedName>
    <definedName function="false" hidden="true" name="IQRScoreResultsCodeF23" vbProcedure="false">#REF!</definedName>
    <definedName function="false" hidden="true" name="IQRScoreResultsCodeF24" vbProcedure="false">#REF!</definedName>
    <definedName function="false" hidden="true" name="IQRScoreResultsCodeF25" vbProcedure="false">#REF!</definedName>
    <definedName function="false" hidden="true" name="IQRScoreResultsCodeF27" vbProcedure="false">#REF!</definedName>
    <definedName function="false" hidden="true" name="IQRScoreResultsCodeF31" vbProcedure="false">#REF!</definedName>
    <definedName function="false" hidden="true" name="IQRScoreResultsCodeF34" vbProcedure="false">#REF!</definedName>
    <definedName function="false" hidden="true" name="IQRScoreResultsCodeF35" vbProcedure="false">#REF!</definedName>
    <definedName function="false" hidden="true" name="IQRScoreResultsCodeF36" vbProcedure="false">#REF!</definedName>
    <definedName function="false" hidden="true" name="IQRScoreResultsCodeF37" vbProcedure="false">#REF!</definedName>
    <definedName function="false" hidden="true" name="IQRScoreResultsCodeF38" vbProcedure="false">#REF!</definedName>
    <definedName function="false" hidden="true" name="IQRScoreResultsCodeF39" vbProcedure="false">#REF!</definedName>
    <definedName function="false" hidden="true" name="IQRScoreResultsCodeF43" vbProcedure="false">#REF!</definedName>
    <definedName function="false" hidden="true" name="IQRScoreResultsCodeF48" vbProcedure="false">#REF!</definedName>
    <definedName function="false" hidden="true" name="IQRScoreResultsCodeF50" vbProcedure="false">#REF!</definedName>
    <definedName function="false" hidden="true" name="IQRScoreResultsCodeF53" vbProcedure="false">#REF!</definedName>
    <definedName function="false" hidden="true" name="IQRScoreResultsCodeF54" vbProcedure="false">#REF!</definedName>
    <definedName function="false" hidden="true" name="IQRScoreResultsCodeF55" vbProcedure="false">#REF!</definedName>
    <definedName function="false" hidden="true" name="IQRScoreResultsCodeF57" vbProcedure="false">#REF!</definedName>
    <definedName function="false" hidden="true" name="IQRScoreResultsCodeF60" vbProcedure="false">#REF!</definedName>
    <definedName function="false" hidden="true" name="IQRScoreResultsCodeF76" vbProcedure="false">#REF!</definedName>
    <definedName function="false" hidden="true" name="IQRScoreResultsCodeF77" vbProcedure="false">#REF!</definedName>
    <definedName function="false" hidden="true" name="IQRScoreResultsCodeF78" vbProcedure="false">#REF!</definedName>
    <definedName function="false" hidden="true" name="IQRScoreResultsCodeF79" vbProcedure="false">#REF!</definedName>
    <definedName function="false" hidden="true" name="IQRScoreResultsCodeF81" vbProcedure="false">#REF!</definedName>
    <definedName function="false" hidden="true" name="IQRScoreResultsCodeF83" vbProcedure="false">#REF!</definedName>
    <definedName function="false" hidden="true" name="IQRScoreResultsCodeF85" vbProcedure="false">#REF!</definedName>
    <definedName function="false" hidden="true" name="IQRScoreResultsCodeF92" vbProcedure="false">#REF!</definedName>
    <definedName function="false" hidden="true" name="IQRScoreResultsCodeF96" vbProcedure="false">#REF!</definedName>
    <definedName function="false" hidden="true" name="IQRScoreResultsCodeF97" vbProcedure="false">#REF!</definedName>
    <definedName function="false" hidden="true" name="IQRScoreResultsCodeF98" vbProcedure="false">#REF!</definedName>
    <definedName function="false" hidden="true" name="IQRScoreResultsCodeF99" vbProcedure="false">#REF!</definedName>
    <definedName function="false" hidden="true" name="IQRScoreResultsCodeG102" vbProcedure="false">#REF!</definedName>
    <definedName function="false" hidden="true" name="IQRScoreResultsCodeG103" vbProcedure="false">#REF!</definedName>
    <definedName function="false" hidden="true" name="IQRScoreResultsCodeG104" vbProcedure="false">#REF!</definedName>
    <definedName function="false" hidden="true" name="IQRScoreResultsCodeG105" vbProcedure="false">#REF!</definedName>
    <definedName function="false" hidden="true" name="IQRScoreResultsCodeG117" vbProcedure="false">#REF!</definedName>
    <definedName function="false" hidden="true" name="IQRScoreResultsCodeG121" vbProcedure="false">#REF!</definedName>
    <definedName function="false" hidden="true" name="IQRScoreResultsCodeG122" vbProcedure="false">#REF!</definedName>
    <definedName function="false" hidden="true" name="IQRScoreResultsCodeG123" vbProcedure="false">#REF!</definedName>
    <definedName function="false" hidden="true" name="IQRScoreResultsCodeG124" vbProcedure="false">#REF!</definedName>
    <definedName function="false" hidden="true" name="IQRScoreResultsCodeG125" vbProcedure="false">#REF!</definedName>
    <definedName function="false" hidden="true" name="IQRScoreResultsCodeG126" vbProcedure="false">#REF!</definedName>
    <definedName function="false" hidden="true" name="IQRScoreResultsCodeG127" vbProcedure="false">#REF!</definedName>
    <definedName function="false" hidden="true" name="IQRScoreResultsCodeG128" vbProcedure="false">#REF!</definedName>
    <definedName function="false" hidden="true" name="IQRScoreResultsCodeG15" vbProcedure="false">#REF!</definedName>
    <definedName function="false" hidden="true" name="IQRScoreResultsCodeG152" vbProcedure="false">#REF!</definedName>
    <definedName function="false" hidden="true" name="IQRScoreResultsCodeG153" vbProcedure="false">#REF!</definedName>
    <definedName function="false" hidden="true" name="IQRScoreResultsCodeG154" vbProcedure="false">#REF!</definedName>
    <definedName function="false" hidden="true" name="IQRScoreResultsCodeG155" vbProcedure="false">#REF!</definedName>
    <definedName function="false" hidden="true" name="IQRScoreResultsCodeG156" vbProcedure="false">#REF!</definedName>
    <definedName function="false" hidden="true" name="IQRScoreResultsCodeG157" vbProcedure="false">#REF!</definedName>
    <definedName function="false" hidden="true" name="IQRScoreResultsCodeG158" vbProcedure="false">#REF!</definedName>
    <definedName function="false" hidden="true" name="IQRScoreResultsCodeG159" vbProcedure="false">#REF!</definedName>
    <definedName function="false" hidden="true" name="IQRScoreResultsCodeG16" vbProcedure="false">#REF!</definedName>
    <definedName function="false" hidden="true" name="IQRScoreResultsCodeG18" vbProcedure="false">#REF!</definedName>
    <definedName function="false" hidden="true" name="IQRScoreResultsCodeG22" vbProcedure="false">#REF!</definedName>
    <definedName function="false" hidden="true" name="IQRScoreResultsCodeG23" vbProcedure="false">#REF!</definedName>
    <definedName function="false" hidden="true" name="IQRScoreResultsCodeG24" vbProcedure="false">#REF!</definedName>
    <definedName function="false" hidden="true" name="IQRScoreResultsCodeG25" vbProcedure="false">#REF!</definedName>
    <definedName function="false" hidden="true" name="IQRScoreResultsCodeG27" vbProcedure="false">#REF!</definedName>
    <definedName function="false" hidden="true" name="IQRScoreResultsCodeG31" vbProcedure="false">#REF!</definedName>
    <definedName function="false" hidden="true" name="IQRScoreResultsCodeG48" vbProcedure="false">#REF!</definedName>
    <definedName function="false" hidden="true" name="IQRScoreResultsCodeG49" vbProcedure="false">#REF!</definedName>
    <definedName function="false" hidden="true" name="IQRScoreResultsCodeG50" vbProcedure="false">#REF!</definedName>
    <definedName function="false" hidden="true" name="IQRScoreResultsCodeG51" vbProcedure="false">#REF!</definedName>
    <definedName function="false" hidden="true" name="IQRScoreResultsCodeG52" vbProcedure="false">#REF!</definedName>
    <definedName function="false" hidden="true" name="IQRScoreResultsCodeG53" vbProcedure="false">#REF!</definedName>
    <definedName function="false" hidden="true" name="IQRScoreResultsCodeG57" vbProcedure="false">#REF!</definedName>
    <definedName function="false" hidden="true" name="IQRScoreResultsCodeG58" vbProcedure="false">#REF!</definedName>
    <definedName function="false" hidden="true" name="IQRScoreResultsCodeG59" vbProcedure="false">#REF!</definedName>
    <definedName function="false" hidden="true" name="IQRScoreResultsCodeG60" vbProcedure="false">#REF!</definedName>
    <definedName function="false" hidden="true" name="IQRScoreResultsCodeG61" vbProcedure="false">#REF!</definedName>
    <definedName function="false" hidden="true" name="IQRScoreResultsCodeG62" vbProcedure="false">#REF!</definedName>
    <definedName function="false" hidden="true" name="IQRScoreResultsCodeG66" vbProcedure="false">#REF!</definedName>
    <definedName function="false" hidden="true" name="IQRScoreResultsCodeG83" vbProcedure="false">#REF!</definedName>
    <definedName function="false" hidden="true" name="IQRScoreResultsCodeG84" vbProcedure="false">#REF!</definedName>
    <definedName function="false" hidden="true" name="IQRScoreResultsCodeG85" vbProcedure="false">#REF!</definedName>
    <definedName function="false" hidden="true" name="IQRScoreResultsCodeH100" vbProcedure="false">#REF!</definedName>
    <definedName function="false" hidden="true" name="IQRScoreResultsCodeH101" vbProcedure="false">#REF!</definedName>
    <definedName function="false" hidden="true" name="IQRScoreResultsCodeH102" vbProcedure="false">#REF!</definedName>
    <definedName function="false" hidden="true" name="IQRScoreResultsCodeH103" vbProcedure="false">#REF!</definedName>
    <definedName function="false" hidden="true" name="IQRScoreResultsCodeH104" vbProcedure="false">#REF!</definedName>
    <definedName function="false" hidden="true" name="IQRScoreResultsCodeH105" vbProcedure="false">#REF!</definedName>
    <definedName function="false" hidden="true" name="IQRScoreResultsCodeH106" vbProcedure="false">#REF!</definedName>
    <definedName function="false" hidden="true" name="IQRScoreResultsCodeH107" vbProcedure="false">#REF!</definedName>
    <definedName function="false" hidden="true" name="IQRScoreResultsCodeH122" vbProcedure="false">#REF!</definedName>
    <definedName function="false" hidden="true" name="IQRScoreResultsCodeH123" vbProcedure="false">#REF!</definedName>
    <definedName function="false" hidden="true" name="IQRScoreResultsCodeH124" vbProcedure="false">#REF!</definedName>
    <definedName function="false" hidden="true" name="IQRScoreResultsCodeH125" vbProcedure="false">#REF!</definedName>
    <definedName function="false" hidden="true" name="IQRScoreResultsCodeH126" vbProcedure="false">#REF!</definedName>
    <definedName function="false" hidden="true" name="IQRScoreResultsCodeH127" vbProcedure="false">#REF!</definedName>
    <definedName function="false" hidden="true" name="IQRScoreResultsCodeH128" vbProcedure="false">#REF!</definedName>
    <definedName function="false" hidden="true" name="IQRScoreResultsCodeH152" vbProcedure="false">#REF!</definedName>
    <definedName function="false" hidden="true" name="IQRScoreResultsCodeH37" vbProcedure="false">#REF!</definedName>
    <definedName function="false" hidden="true" name="IQRScoreResultsCodeH41" vbProcedure="false">#REF!</definedName>
    <definedName function="false" hidden="true" name="IQRScoreResultsCodeH42" vbProcedure="false">#REF!</definedName>
    <definedName function="false" hidden="true" name="IQRScoreResultsCodeH48" vbProcedure="false">#REF!</definedName>
    <definedName function="false" hidden="true" name="IQRScoreResultsCodeH49" vbProcedure="false">#REF!</definedName>
    <definedName function="false" hidden="true" name="IQRScoreResultsCodeH50" vbProcedure="false">#REF!</definedName>
    <definedName function="false" hidden="true" name="IQRScoreResultsCodeH53" vbProcedure="false">#REF!</definedName>
    <definedName function="false" hidden="true" name="IQRScoreResultsCodeH54" vbProcedure="false">#REF!</definedName>
    <definedName function="false" hidden="true" name="IQRScoreResultsCodeH55" vbProcedure="false">#REF!</definedName>
    <definedName function="false" hidden="true" name="IQRScoreResultsCodeH57" vbProcedure="false">#REF!</definedName>
    <definedName function="false" hidden="true" name="IQRScoreResultsCodeH60" vbProcedure="false">#REF!</definedName>
    <definedName function="false" hidden="true" name="IQRScoreResultsCodeH61" vbProcedure="false">#REF!</definedName>
    <definedName function="false" hidden="true" name="IQRScoreResultsCodeH74" vbProcedure="false">#REF!</definedName>
    <definedName function="false" hidden="true" name="IQRScoreResultsCodeH78" vbProcedure="false">#REF!</definedName>
    <definedName function="false" hidden="true" name="IQRScoreResultsCodeH79" vbProcedure="false">#REF!</definedName>
    <definedName function="false" hidden="true" name="IQRScoreResultsCodeH83" vbProcedure="false">#REF!</definedName>
    <definedName function="false" hidden="true" name="IQRScoreResultsCodeH85" vbProcedure="false">#REF!</definedName>
    <definedName function="false" hidden="true" name="IQRScoreResultsCodeH96" vbProcedure="false">#REF!</definedName>
    <definedName function="false" hidden="true" name="IQRScoreResultsCodeI102" vbProcedure="false">#REF!</definedName>
    <definedName function="false" hidden="true" name="IQRScoreResultsCodeI122" vbProcedure="false">#REF!</definedName>
    <definedName function="false" hidden="true" name="IQRScoreResultsCodeI148" vbProcedure="false">#REF!</definedName>
    <definedName function="false" hidden="true" name="IQRScoreResultsCodeI37" vbProcedure="false">#REF!</definedName>
    <definedName function="false" hidden="true" name="IQRScoreResultsCodeI41" vbProcedure="false">#REF!</definedName>
    <definedName function="false" hidden="true" name="IQRScoreResultsCodeI42" vbProcedure="false">#REF!</definedName>
    <definedName function="false" hidden="true" name="IQRScoreResultsCodeI48" vbProcedure="false">#REF!</definedName>
    <definedName function="false" hidden="true" name="IQRScoreResultsCodeI49" vbProcedure="false">#REF!</definedName>
    <definedName function="false" hidden="true" name="IQRScoreResultsCodeI50" vbProcedure="false">#REF!</definedName>
    <definedName function="false" hidden="true" name="IQRScoreResultsCodeI57" vbProcedure="false">#REF!</definedName>
    <definedName function="false" hidden="true" name="IQRScoreResultsCodeI58" vbProcedure="false">#REF!</definedName>
    <definedName function="false" hidden="true" name="IQRScoreResultsCodeI59" vbProcedure="false">#REF!</definedName>
    <definedName function="false" hidden="true" name="IQRScoreResultsCodeI60" vbProcedure="false">#REF!</definedName>
    <definedName function="false" hidden="true" name="IQRScoreResultsCodeI62" vbProcedure="false">#REF!</definedName>
    <definedName function="false" hidden="true" name="IQRScoreResultsCodeI66" vbProcedure="false">#REF!</definedName>
    <definedName function="false" hidden="true" name="IQRScoreResultsCodeI74" vbProcedure="false">#REF!</definedName>
    <definedName function="false" hidden="true" name="IQRScoreResultsCodeI78" vbProcedure="false">#REF!</definedName>
    <definedName function="false" hidden="true" name="IQRScoreResultsCodeI79" vbProcedure="false">#REF!</definedName>
    <definedName function="false" hidden="true" name="IQRScoreResultsCodeI83" vbProcedure="false">#REF!</definedName>
    <definedName function="false" hidden="true" name="IQRScoreResultsCodeI84" vbProcedure="false">#REF!</definedName>
    <definedName function="false" hidden="true" name="IQRScoreResultsCodeI85" vbProcedure="false">#REF!</definedName>
    <definedName function="false" hidden="true" name="IQRScoreResultsCodeI96" vbProcedure="false">#REF!</definedName>
    <definedName function="false" hidden="true" name="IQRScoreResultsCodeJ117" vbProcedure="false">#REF!</definedName>
    <definedName function="false" hidden="true" name="IQRScoreResultsCodeJ118" vbProcedure="false">#REF!</definedName>
    <definedName function="false" hidden="true" name="IQRScoreResultsCodeJ119" vbProcedure="false">#REF!</definedName>
    <definedName function="false" hidden="true" name="IQRScoreResultsCodeJ120" vbProcedure="false">#REF!</definedName>
    <definedName function="false" hidden="true" name="IQRScoreResultsCodeJ121" vbProcedure="false">#REF!</definedName>
    <definedName function="false" hidden="true" name="IQRScoreResultsCodeJ122" vbProcedure="false">#REF!</definedName>
    <definedName function="false" hidden="true" name="IQRScoreResultsCodeJ13" vbProcedure="false">#REF!</definedName>
    <definedName function="false" hidden="true" name="IQRScoreResultsCodeJ14" vbProcedure="false">#REF!</definedName>
    <definedName function="false" hidden="true" name="IQRScoreResultsCodeJ148" vbProcedure="false">#REF!</definedName>
    <definedName function="false" hidden="true" name="IQRScoreResultsCodeJ15" vbProcedure="false">#REF!</definedName>
    <definedName function="false" hidden="true" name="IQRScoreResultsCodeJ16" vbProcedure="false">#REF!</definedName>
    <definedName function="false" hidden="true" name="IQRScoreResultsCodeJ17" vbProcedure="false">#REF!</definedName>
    <definedName function="false" hidden="true" name="IQRScoreResultsCodeJ18" vbProcedure="false">#REF!</definedName>
    <definedName function="false" hidden="true" name="IQRScoreResultsCodeJ25" vbProcedure="false">#REF!</definedName>
    <definedName function="false" hidden="true" name="IQRScoreResultsCodeJ26" vbProcedure="false">#REF!</definedName>
    <definedName function="false" hidden="true" name="IQRScoreResultsCodeJ27" vbProcedure="false">#REF!</definedName>
    <definedName function="false" hidden="true" name="IQRScoreResultsCodeJ28" vbProcedure="false">#REF!</definedName>
    <definedName function="false" hidden="true" name="IQRScoreResultsCodeJ29" vbProcedure="false">#REF!</definedName>
    <definedName function="false" hidden="true" name="IQRScoreResultsCodeJ30" vbProcedure="false">#REF!</definedName>
    <definedName function="false" hidden="true" name="IQRScoreResultsCodeJ37" vbProcedure="false">#REF!</definedName>
    <definedName function="false" hidden="true" name="IQRScoreResultsCodeJ48" vbProcedure="false">#REF!</definedName>
    <definedName function="false" hidden="true" name="IQRScoreResultsCodeJ49" vbProcedure="false">#REF!</definedName>
    <definedName function="false" hidden="true" name="IQRScoreResultsCodeJ50" vbProcedure="false">#REF!</definedName>
    <definedName function="false" hidden="true" name="IQRScoreResultsCodeJ51" vbProcedure="false">#REF!</definedName>
    <definedName function="false" hidden="true" name="IQRScoreResultsCodeJ52" vbProcedure="false">#REF!</definedName>
    <definedName function="false" hidden="true" name="IQRScoreResultsCodeJ53" vbProcedure="false">#REF!</definedName>
    <definedName function="false" hidden="true" name="IQRScoreResultsCodeJ67" vbProcedure="false">#REF!</definedName>
    <definedName function="false" hidden="true" name="IQRScoreResultsCodeJ68" vbProcedure="false">#REF!</definedName>
    <definedName function="false" hidden="true" name="IQRScoreResultsCodeJ69" vbProcedure="false">#REF!</definedName>
    <definedName function="false" hidden="true" name="IQRScoreResultsCodeJ70" vbProcedure="false">#REF!</definedName>
    <definedName function="false" hidden="true" name="IQRScoreResultsCodeJ71" vbProcedure="false">#REF!</definedName>
    <definedName function="false" hidden="true" name="IQRScoreResultsCodeJ72" vbProcedure="false">#REF!</definedName>
    <definedName function="false" hidden="true" name="IQRScoreResultsCodeJ74" vbProcedure="false">#REF!</definedName>
    <definedName function="false" hidden="true" name="IQRScoreResultsCodeJ83" vbProcedure="false">#REF!</definedName>
    <definedName function="false" hidden="true" name="IQRScoreResultsCodeJ87" vbProcedure="false">#REF!</definedName>
    <definedName function="false" hidden="true" name="IQRScoreResultsCodeJ88" vbProcedure="false">#REF!</definedName>
    <definedName function="false" hidden="true" name="IQRScoreResultsCodeJ89" vbProcedure="false">#REF!</definedName>
    <definedName function="false" hidden="true" name="IQRScoreResultsCodeJ90" vbProcedure="false">#REF!</definedName>
    <definedName function="false" hidden="true" name="IQRScoreResultsCodeJ91" vbProcedure="false">#REF!</definedName>
    <definedName function="false" hidden="true" name="IQRScoreResultsCodeJ92" vbProcedure="false">#REF!</definedName>
    <definedName function="false" hidden="true" name="IQRScoreResultsCodeJ96" vbProcedure="false">#REF!</definedName>
    <definedName function="false" hidden="true" name="IQRScoreResultsCodeK122" vbProcedure="false">#REF!</definedName>
    <definedName function="false" hidden="true" name="IQRScoreResultsCodeK123" vbProcedure="false">#REF!</definedName>
    <definedName function="false" hidden="true" name="IQRScoreResultsCodeK124" vbProcedure="false">#REF!</definedName>
    <definedName function="false" hidden="true" name="IQRScoreResultsCodeK126" vbProcedure="false">#REF!</definedName>
    <definedName function="false" hidden="true" name="IQRScoreResultsCodeK13" vbProcedure="false">#REF!</definedName>
    <definedName function="false" hidden="true" name="IQRScoreResultsCodeK14" vbProcedure="false">#REF!</definedName>
    <definedName function="false" hidden="true" name="IQRScoreResultsCodeK148" vbProcedure="false">#REF!</definedName>
    <definedName function="false" hidden="true" name="IQRScoreResultsCodeK15" vbProcedure="false">#REF!</definedName>
    <definedName function="false" hidden="true" name="IQRScoreResultsCodeK16" vbProcedure="false">#REF!</definedName>
    <definedName function="false" hidden="true" name="IQRScoreResultsCodeK17" vbProcedure="false">#REF!</definedName>
    <definedName function="false" hidden="true" name="IQRScoreResultsCodeK18" vbProcedure="false">#REF!</definedName>
    <definedName function="false" hidden="true" name="IQRScoreResultsCodeK19" vbProcedure="false">#REF!</definedName>
    <definedName function="false" hidden="true" name="IQRScoreResultsCodeK20" vbProcedure="false">#REF!</definedName>
    <definedName function="false" hidden="true" name="IQRScoreResultsCodeK22" vbProcedure="false">#REF!</definedName>
    <definedName function="false" hidden="true" name="IQRScoreResultsCodeK25" vbProcedure="false">#REF!</definedName>
    <definedName function="false" hidden="true" name="IQRScoreResultsCodeK26" vbProcedure="false">#REF!</definedName>
    <definedName function="false" hidden="true" name="IQRScoreResultsCodeK27" vbProcedure="false">#REF!</definedName>
    <definedName function="false" hidden="true" name="IQRScoreResultsCodeK28" vbProcedure="false">#REF!</definedName>
    <definedName function="false" hidden="true" name="IQRScoreResultsCodeK29" vbProcedure="false">#REF!</definedName>
    <definedName function="false" hidden="true" name="IQRScoreResultsCodeK30" vbProcedure="false">#REF!</definedName>
    <definedName function="false" hidden="true" name="IQRScoreResultsCodeK31" vbProcedure="false">#REF!</definedName>
    <definedName function="false" hidden="true" name="IQRScoreResultsCodeK32" vbProcedure="false">#REF!</definedName>
    <definedName function="false" hidden="true" name="IQRScoreResultsCodeK34" vbProcedure="false">#REF!</definedName>
    <definedName function="false" hidden="true" name="IQRScoreResultsCodeK53" vbProcedure="false">#REF!</definedName>
    <definedName function="false" hidden="true" name="IQRScoreResultsCodeK54" vbProcedure="false">#REF!</definedName>
    <definedName function="false" hidden="true" name="IQRScoreResultsCodeK55" vbProcedure="false">#REF!</definedName>
    <definedName function="false" hidden="true" name="IQRScoreResultsCodeK57" vbProcedure="false">#REF!</definedName>
    <definedName function="false" hidden="true" name="IQRScoreResultsCodeK67" vbProcedure="false">#REF!</definedName>
    <definedName function="false" hidden="true" name="IQRScoreResultsCodeK68" vbProcedure="false">#REF!</definedName>
    <definedName function="false" hidden="true" name="IQRScoreResultsCodeK69" vbProcedure="false">#REF!</definedName>
    <definedName function="false" hidden="true" name="IQRScoreResultsCodeK70" vbProcedure="false">#REF!</definedName>
    <definedName function="false" hidden="true" name="IQRScoreResultsCodeK71" vbProcedure="false">#REF!</definedName>
    <definedName function="false" hidden="true" name="IQRScoreResultsCodeK72" vbProcedure="false">#REF!</definedName>
    <definedName function="false" hidden="true" name="IQRScoreResultsCodeK73" vbProcedure="false">#REF!</definedName>
    <definedName function="false" hidden="true" name="IQRScoreResultsCodeK74" vbProcedure="false">#REF!</definedName>
    <definedName function="false" hidden="true" name="IQRScoreResultsCodeK76" vbProcedure="false">#REF!</definedName>
    <definedName function="false" hidden="true" name="IQRScoreResultsCodeK83" vbProcedure="false">#REF!</definedName>
    <definedName function="false" hidden="true" name="IQRScoreResultsCodeK84" vbProcedure="false">#REF!</definedName>
    <definedName function="false" hidden="true" name="IQRScoreResultsCodeK85" vbProcedure="false">#REF!</definedName>
    <definedName function="false" hidden="true" name="IQRScoreResultsCodeK87" vbProcedure="false">#REF!</definedName>
    <definedName function="false" hidden="true" name="IQRScoreResultsCodeK88" vbProcedure="false">#REF!</definedName>
    <definedName function="false" hidden="true" name="IQRScoreResultsCodeK89" vbProcedure="false">#REF!</definedName>
    <definedName function="false" hidden="true" name="IQRScoreResultsCodeK90" vbProcedure="false">#REF!</definedName>
    <definedName function="false" hidden="true" name="IQRScoreResultsCodeK91" vbProcedure="false">#REF!</definedName>
    <definedName function="false" hidden="true" name="IQRScoreResultsCodeK92" vbProcedure="false">#REF!</definedName>
    <definedName function="false" hidden="true" name="IQRScoreResultsCodeK93" vbProcedure="false">#REF!</definedName>
    <definedName function="false" hidden="true" name="IQRScoreResultsCodeK94" vbProcedure="false">#REF!</definedName>
    <definedName function="false" hidden="true" name="IQRScoreResultsCodeK96" vbProcedure="false">#REF!</definedName>
    <definedName function="false" hidden="true" name="IQRScoreResultsCodeL101" vbProcedure="false">#REF!</definedName>
    <definedName function="false" hidden="true" name="IQRScoreResultsCodeL102" vbProcedure="false">#REF!</definedName>
    <definedName function="false" hidden="true" name="IQRScoreResultsCodeL105" vbProcedure="false">#REF!</definedName>
    <definedName function="false" hidden="true" name="IQRScoreResultsCodeL112" vbProcedure="false">#REF!</definedName>
    <definedName function="false" hidden="true" name="IQRScoreResultsCodeL117" vbProcedure="false">#REF!</definedName>
    <definedName function="false" hidden="true" name="IQRScoreResultsCodeL122" vbProcedure="false">#REF!</definedName>
    <definedName function="false" hidden="true" name="IQRScoreResultsCodeL126" vbProcedure="false">#REF!</definedName>
    <definedName function="false" hidden="true" name="IQRScoreResultsCodeL127" vbProcedure="false">#REF!</definedName>
    <definedName function="false" hidden="true" name="IQRScoreResultsCodeL128" vbProcedure="false">#REF!</definedName>
    <definedName function="false" hidden="true" name="IQRScoreResultsCodeL129" vbProcedure="false">#REF!</definedName>
    <definedName function="false" hidden="true" name="IQRScoreResultsCodeL13" vbProcedure="false">#REF!</definedName>
    <definedName function="false" hidden="true" name="IQRScoreResultsCodeL131" vbProcedure="false">#REF!</definedName>
    <definedName function="false" hidden="true" name="IQRScoreResultsCodeL135" vbProcedure="false">#REF!</definedName>
    <definedName function="false" hidden="true" name="IQRScoreResultsCodeL14" vbProcedure="false">#REF!</definedName>
    <definedName function="false" hidden="true" name="IQRScoreResultsCodeL142" vbProcedure="false">#REF!</definedName>
    <definedName function="false" hidden="true" name="IQRScoreResultsCodeL15" vbProcedure="false">#REF!</definedName>
    <definedName function="false" hidden="true" name="IQRScoreResultsCodeL152" vbProcedure="false">#REF!</definedName>
    <definedName function="false" hidden="true" name="IQRScoreResultsCodeL16" vbProcedure="false">#REF!</definedName>
    <definedName function="false" hidden="true" name="IQRScoreResultsCodeL17" vbProcedure="false">#REF!</definedName>
    <definedName function="false" hidden="true" name="IQRScoreResultsCodeL18" vbProcedure="false">#REF!</definedName>
    <definedName function="false" hidden="true" name="IQRScoreResultsCodeL19" vbProcedure="false">#REF!</definedName>
    <definedName function="false" hidden="true" name="IQRScoreResultsCodeL20" vbProcedure="false">#REF!</definedName>
    <definedName function="false" hidden="true" name="IQRScoreResultsCodeL22" vbProcedure="false">#REF!</definedName>
    <definedName function="false" hidden="true" name="IQRScoreResultsCodeL23" vbProcedure="false">#REF!</definedName>
    <definedName function="false" hidden="true" name="IQRScoreResultsCodeL24" vbProcedure="false">#REF!</definedName>
    <definedName function="false" hidden="true" name="IQRScoreResultsCodeL25" vbProcedure="false">#REF!</definedName>
    <definedName function="false" hidden="true" name="IQRScoreResultsCodeL27" vbProcedure="false">#REF!</definedName>
    <definedName function="false" hidden="true" name="IQRScoreResultsCodeL30" vbProcedure="false">#REF!</definedName>
    <definedName function="false" hidden="true" name="IQRScoreResultsCodeL31" vbProcedure="false">#REF!</definedName>
    <definedName function="false" hidden="true" name="IQRScoreResultsCodeL32" vbProcedure="false">#REF!</definedName>
    <definedName function="false" hidden="true" name="IQRScoreResultsCodeL34" vbProcedure="false">#REF!</definedName>
    <definedName function="false" hidden="true" name="IQRScoreResultsCodeL35" vbProcedure="false">#REF!</definedName>
    <definedName function="false" hidden="true" name="IQRScoreResultsCodeL36" vbProcedure="false">#REF!</definedName>
    <definedName function="false" hidden="true" name="IQRScoreResultsCodeL37" vbProcedure="false">#REF!</definedName>
    <definedName function="false" hidden="true" name="IQRScoreResultsCodeL38" vbProcedure="false">#REF!</definedName>
    <definedName function="false" hidden="true" name="IQRScoreResultsCodeL39" vbProcedure="false">#REF!</definedName>
    <definedName function="false" hidden="true" name="IQRScoreResultsCodeL43" vbProcedure="false">#REF!</definedName>
    <definedName function="false" hidden="true" name="IQRScoreResultsCodeL48" vbProcedure="false">#REF!</definedName>
    <definedName function="false" hidden="true" name="IQRScoreResultsCodeL49" vbProcedure="false">#REF!</definedName>
    <definedName function="false" hidden="true" name="IQRScoreResultsCodeL50" vbProcedure="false">#REF!</definedName>
    <definedName function="false" hidden="true" name="IQRScoreResultsCodeL51" vbProcedure="false">#REF!</definedName>
    <definedName function="false" hidden="true" name="IQRScoreResultsCodeL52" vbProcedure="false">#REF!</definedName>
    <definedName function="false" hidden="true" name="IQRScoreResultsCodeL53" vbProcedure="false">#REF!</definedName>
    <definedName function="false" hidden="true" name="IQRScoreResultsCodeL57" vbProcedure="false">#REF!</definedName>
    <definedName function="false" hidden="true" name="IQRScoreResultsCodeL58" vbProcedure="false">#REF!</definedName>
    <definedName function="false" hidden="true" name="IQRScoreResultsCodeL59" vbProcedure="false">#REF!</definedName>
    <definedName function="false" hidden="true" name="IQRScoreResultsCodeL60" vbProcedure="false">#REF!</definedName>
    <definedName function="false" hidden="true" name="IQRScoreResultsCodeL62" vbProcedure="false">#REF!</definedName>
    <definedName function="false" hidden="true" name="IQRScoreResultsCodeL66" vbProcedure="false">#REF!</definedName>
    <definedName function="false" hidden="true" name="IQRScoreResultsCodeL67" vbProcedure="false">#REF!</definedName>
    <definedName function="false" hidden="true" name="IQRScoreResultsCodeL72" vbProcedure="false">#REF!</definedName>
    <definedName function="false" hidden="true" name="IQRScoreResultsCodeL73" vbProcedure="false">#REF!</definedName>
    <definedName function="false" hidden="true" name="IQRScoreResultsCodeL74" vbProcedure="false">#REF!</definedName>
    <definedName function="false" hidden="true" name="IQRScoreResultsCodeL76" vbProcedure="false">#REF!</definedName>
    <definedName function="false" hidden="true" name="IQRScoreResultsCodeL77" vbProcedure="false">#REF!</definedName>
    <definedName function="false" hidden="true" name="IQRScoreResultsCodeL78" vbProcedure="false">#REF!</definedName>
    <definedName function="false" hidden="true" name="IQRScoreResultsCodeL79" vbProcedure="false">#REF!</definedName>
    <definedName function="false" hidden="true" name="IQRScoreResultsCodeL81" vbProcedure="false">#REF!</definedName>
    <definedName function="false" hidden="true" name="IQRScoreResultsCodeL83" vbProcedure="false">#REF!</definedName>
    <definedName function="false" hidden="true" name="IQRScoreResultsCodeL85" vbProcedure="false">#REF!</definedName>
    <definedName function="false" hidden="true" name="IQRScoreResultsCodeL87" vbProcedure="false">#REF!</definedName>
    <definedName function="false" hidden="true" name="IQRScoreResultsCodeL88" vbProcedure="false">#REF!</definedName>
    <definedName function="false" hidden="true" name="IQRScoreResultsCodeL89" vbProcedure="false">#REF!</definedName>
    <definedName function="false" hidden="true" name="IQRScoreResultsCodeL90" vbProcedure="false">#REF!</definedName>
    <definedName function="false" hidden="true" name="IQRScoreResultsCodeL91" vbProcedure="false">#REF!</definedName>
    <definedName function="false" hidden="true" name="IQRScoreResultsCodeL92" vbProcedure="false">#REF!</definedName>
    <definedName function="false" hidden="true" name="IQRScoreResultsCodeL93" vbProcedure="false">#REF!</definedName>
    <definedName function="false" hidden="true" name="IQRScoreResultsCodeL94" vbProcedure="false">#REF!</definedName>
    <definedName function="false" hidden="true" name="IQRScoreResultsCodeL96" vbProcedure="false">#REF!</definedName>
    <definedName function="false" hidden="true" name="IQRScoreResultsCodeL97" vbProcedure="false">#REF!</definedName>
    <definedName function="false" hidden="true" name="IQRScoreResultsCodeL98" vbProcedure="false">#REF!</definedName>
    <definedName function="false" hidden="true" name="IQRScoreResultsCodeL99" vbProcedure="false">#REF!</definedName>
    <definedName function="false" hidden="true" name="IQRScoreResultsCodeM101" vbProcedure="false">#REF!</definedName>
    <definedName function="false" hidden="true" name="IQRScoreResultsCodeM102" vbProcedure="false">#REF!</definedName>
    <definedName function="false" hidden="true" name="IQRScoreResultsCodeM105" vbProcedure="false">#REF!</definedName>
    <definedName function="false" hidden="true" name="IQRScoreResultsCodeM112" vbProcedure="false">#REF!</definedName>
    <definedName function="false" hidden="true" name="IQRScoreResultsCodeM122" vbProcedure="false">#REF!</definedName>
    <definedName function="false" hidden="true" name="IQRScoreResultsCodeM152" vbProcedure="false">#REF!</definedName>
    <definedName function="false" hidden="true" name="IQRScoreResultsCodeM18" vbProcedure="false">#REF!</definedName>
    <definedName function="false" hidden="true" name="IQRScoreResultsCodeM19" vbProcedure="false">#REF!</definedName>
    <definedName function="false" hidden="true" name="IQRScoreResultsCodeM20" vbProcedure="false">#REF!</definedName>
    <definedName function="false" hidden="true" name="IQRScoreResultsCodeM22" vbProcedure="false">#REF!</definedName>
    <definedName function="false" hidden="true" name="IQRScoreResultsCodeM23" vbProcedure="false">#REF!</definedName>
    <definedName function="false" hidden="true" name="IQRScoreResultsCodeM24" vbProcedure="false">#REF!</definedName>
    <definedName function="false" hidden="true" name="IQRScoreResultsCodeM25" vbProcedure="false">#REF!</definedName>
    <definedName function="false" hidden="true" name="IQRScoreResultsCodeM27" vbProcedure="false">#REF!</definedName>
    <definedName function="false" hidden="true" name="IQRScoreResultsCodeM31" vbProcedure="false">#REF!</definedName>
    <definedName function="false" hidden="true" name="IQRScoreResultsCodeM34" vbProcedure="false">#REF!</definedName>
    <definedName function="false" hidden="true" name="IQRScoreResultsCodeM35" vbProcedure="false">#REF!</definedName>
    <definedName function="false" hidden="true" name="IQRScoreResultsCodeM36" vbProcedure="false">#REF!</definedName>
    <definedName function="false" hidden="true" name="IQRScoreResultsCodeM37" vbProcedure="false">#REF!</definedName>
    <definedName function="false" hidden="true" name="IQRScoreResultsCodeM38" vbProcedure="false">#REF!</definedName>
    <definedName function="false" hidden="true" name="IQRScoreResultsCodeM39" vbProcedure="false">#REF!</definedName>
    <definedName function="false" hidden="true" name="IQRScoreResultsCodeM43" vbProcedure="false">#REF!</definedName>
    <definedName function="false" hidden="true" name="IQRScoreResultsCodeM48" vbProcedure="false">#REF!</definedName>
    <definedName function="false" hidden="true" name="IQRScoreResultsCodeM50" vbProcedure="false">#REF!</definedName>
    <definedName function="false" hidden="true" name="IQRScoreResultsCodeM53" vbProcedure="false">#REF!</definedName>
    <definedName function="false" hidden="true" name="IQRScoreResultsCodeM54" vbProcedure="false">#REF!</definedName>
    <definedName function="false" hidden="true" name="IQRScoreResultsCodeM55" vbProcedure="false">#REF!</definedName>
    <definedName function="false" hidden="true" name="IQRScoreResultsCodeM57" vbProcedure="false">#REF!</definedName>
    <definedName function="false" hidden="true" name="IQRScoreResultsCodeM60" vbProcedure="false">#REF!</definedName>
    <definedName function="false" hidden="true" name="IQRScoreResultsCodeM76" vbProcedure="false">#REF!</definedName>
    <definedName function="false" hidden="true" name="IQRScoreResultsCodeM77" vbProcedure="false">#REF!</definedName>
    <definedName function="false" hidden="true" name="IQRScoreResultsCodeM78" vbProcedure="false">#REF!</definedName>
    <definedName function="false" hidden="true" name="IQRScoreResultsCodeM79" vbProcedure="false">#REF!</definedName>
    <definedName function="false" hidden="true" name="IQRScoreResultsCodeM81" vbProcedure="false">#REF!</definedName>
    <definedName function="false" hidden="true" name="IQRScoreResultsCodeM83" vbProcedure="false">#REF!</definedName>
    <definedName function="false" hidden="true" name="IQRScoreResultsCodeM85" vbProcedure="false">#REF!</definedName>
    <definedName function="false" hidden="true" name="IQRScoreResultsCodeM92" vbProcedure="false">#REF!</definedName>
    <definedName function="false" hidden="true" name="IQRScoreResultsCodeM93" vbProcedure="false">#REF!</definedName>
    <definedName function="false" hidden="true" name="IQRScoreResultsCodeM94" vbProcedure="false">#REF!</definedName>
    <definedName function="false" hidden="true" name="IQRScoreResultsCodeM96" vbProcedure="false">#REF!</definedName>
    <definedName function="false" hidden="true" name="IQRScoreResultsCodeM97" vbProcedure="false">#REF!</definedName>
    <definedName function="false" hidden="true" name="IQRScoreResultsCodeM98" vbProcedure="false">#REF!</definedName>
    <definedName function="false" hidden="true" name="IQRScoreResultsCodeM99" vbProcedure="false">#REF!</definedName>
    <definedName function="false" hidden="true" name="IQRScoreResultsCodeN100" vbProcedure="false">#REF!</definedName>
    <definedName function="false" hidden="true" name="IQRScoreResultsCodeN101" vbProcedure="false">#REF!</definedName>
    <definedName function="false" hidden="true" name="IQRScoreResultsCodeN102" vbProcedure="false">#REF!</definedName>
    <definedName function="false" hidden="true" name="IQRScoreResultsCodeN103" vbProcedure="false">#REF!</definedName>
    <definedName function="false" hidden="true" name="IQRScoreResultsCodeN104" vbProcedure="false">#REF!</definedName>
    <definedName function="false" hidden="true" name="IQRScoreResultsCodeN105" vbProcedure="false">#REF!</definedName>
    <definedName function="false" hidden="true" name="IQRScoreResultsCodeN106" vbProcedure="false">#REF!</definedName>
    <definedName function="false" hidden="true" name="IQRScoreResultsCodeN107" vbProcedure="false">#REF!</definedName>
    <definedName function="false" hidden="true" name="IQRScoreResultsCodeN112" vbProcedure="false">#REF!</definedName>
    <definedName function="false" hidden="true" name="IQRScoreResultsCodeN117" vbProcedure="false">#REF!</definedName>
    <definedName function="false" hidden="true" name="IQRScoreResultsCodeN121" vbProcedure="false">#REF!</definedName>
    <definedName function="false" hidden="true" name="IQRScoreResultsCodeN122" vbProcedure="false">#REF!</definedName>
    <definedName function="false" hidden="true" name="IQRScoreResultsCodeN123" vbProcedure="false">#REF!</definedName>
    <definedName function="false" hidden="true" name="IQRScoreResultsCodeN124" vbProcedure="false">#REF!</definedName>
    <definedName function="false" hidden="true" name="IQRScoreResultsCodeN125" vbProcedure="false">#REF!</definedName>
    <definedName function="false" hidden="true" name="IQRScoreResultsCodeN126" vbProcedure="false">#REF!</definedName>
    <definedName function="false" hidden="true" name="IQRScoreResultsCodeN127" vbProcedure="false">#REF!</definedName>
    <definedName function="false" hidden="true" name="IQRScoreResultsCodeN128" vbProcedure="false">#REF!</definedName>
    <definedName function="false" hidden="true" name="IQRScoreResultsCodeN148" vbProcedure="false">#REF!</definedName>
    <definedName function="false" hidden="true" name="IQRScoreResultsCodeN152" vbProcedure="false">#REF!</definedName>
    <definedName function="false" hidden="true" name="IQRScoreResultsCodeN153" vbProcedure="false">#REF!</definedName>
    <definedName function="false" hidden="true" name="IQRScoreResultsCodeN154" vbProcedure="false">#REF!</definedName>
    <definedName function="false" hidden="true" name="IQRScoreResultsCodeN155" vbProcedure="false">#REF!</definedName>
    <definedName function="false" hidden="true" name="IQRScoreResultsCodeN156" vbProcedure="false">#REF!</definedName>
    <definedName function="false" hidden="true" name="IQRScoreResultsCodeN157" vbProcedure="false">#REF!</definedName>
    <definedName function="false" hidden="true" name="IQRScoreResultsCodeN158" vbProcedure="false">#REF!</definedName>
    <definedName function="false" hidden="true" name="IQRScoreResultsCodeN159" vbProcedure="false">#REF!</definedName>
    <definedName function="false" hidden="true" name="IQRScoreResultsCodeN22" vbProcedure="false">#REF!</definedName>
    <definedName function="false" hidden="true" name="IQRScoreResultsCodeN23" vbProcedure="false">#REF!</definedName>
    <definedName function="false" hidden="true" name="IQRScoreResultsCodeN24" vbProcedure="false">#REF!</definedName>
    <definedName function="false" hidden="true" name="IQRScoreResultsCodeN25" vbProcedure="false">#REF!</definedName>
    <definedName function="false" hidden="true" name="IQRScoreResultsCodeN27" vbProcedure="false">#REF!</definedName>
    <definedName function="false" hidden="true" name="IQRScoreResultsCodeN31" vbProcedure="false">#REF!</definedName>
    <definedName function="false" hidden="true" name="IQRScoreResultsCodeN37" vbProcedure="false">#REF!</definedName>
    <definedName function="false" hidden="true" name="IQRScoreResultsCodeN41" vbProcedure="false">#REF!</definedName>
    <definedName function="false" hidden="true" name="IQRScoreResultsCodeN42" vbProcedure="false">#REF!</definedName>
    <definedName function="false" hidden="true" name="IQRScoreResultsCodeN48" vbProcedure="false">#REF!</definedName>
    <definedName function="false" hidden="true" name="IQRScoreResultsCodeN49" vbProcedure="false">#REF!</definedName>
    <definedName function="false" hidden="true" name="IQRScoreResultsCodeN50" vbProcedure="false">#REF!</definedName>
    <definedName function="false" hidden="true" name="IQRScoreResultsCodeN51" vbProcedure="false">#REF!</definedName>
    <definedName function="false" hidden="true" name="IQRScoreResultsCodeN52" vbProcedure="false">#REF!</definedName>
    <definedName function="false" hidden="true" name="IQRScoreResultsCodeN53" vbProcedure="false">#REF!</definedName>
    <definedName function="false" hidden="true" name="IQRScoreResultsCodeN54" vbProcedure="false">#REF!</definedName>
    <definedName function="false" hidden="true" name="IQRScoreResultsCodeN55" vbProcedure="false">#REF!</definedName>
    <definedName function="false" hidden="true" name="IQRScoreResultsCodeN57" vbProcedure="false">#REF!</definedName>
    <definedName function="false" hidden="true" name="IQRScoreResultsCodeN58" vbProcedure="false">#REF!</definedName>
    <definedName function="false" hidden="true" name="IQRScoreResultsCodeN59" vbProcedure="false">#REF!</definedName>
    <definedName function="false" hidden="true" name="IQRScoreResultsCodeN60" vbProcedure="false">#REF!</definedName>
    <definedName function="false" hidden="true" name="IQRScoreResultsCodeN61" vbProcedure="false">#REF!</definedName>
    <definedName function="false" hidden="true" name="IQRScoreResultsCodeN62" vbProcedure="false">#REF!</definedName>
    <definedName function="false" hidden="true" name="IQRScoreResultsCodeN66" vbProcedure="false">#REF!</definedName>
    <definedName function="false" hidden="true" name="IQRScoreResultsCodeN74" vbProcedure="false">#REF!</definedName>
    <definedName function="false" hidden="true" name="IQRScoreResultsCodeN78" vbProcedure="false">#REF!</definedName>
    <definedName function="false" hidden="true" name="IQRScoreResultsCodeN79" vbProcedure="false">#REF!</definedName>
    <definedName function="false" hidden="true" name="IQRScoreResultsCodeN83" vbProcedure="false">#REF!</definedName>
    <definedName function="false" hidden="true" name="IQRScoreResultsCodeN84" vbProcedure="false">#REF!</definedName>
    <definedName function="false" hidden="true" name="IQRScoreResultsCodeN85" vbProcedure="false">#REF!</definedName>
    <definedName function="false" hidden="true" name="IQRScoreResultsCodeN96" vbProcedure="false">#REF!</definedName>
    <definedName function="false" hidden="true" name="IQRScoreResultsCodeN97" vbProcedure="false">#REF!</definedName>
    <definedName function="false" hidden="true" name="IQRScoreResultsCodeN98" vbProcedure="false">#REF!</definedName>
    <definedName function="false" hidden="true" name="IQRScoreResultsCodeN99" vbProcedure="false">#REF!</definedName>
    <definedName function="false" hidden="true" name="IQRScoreResultsCodeO102" vbProcedure="false">#REF!</definedName>
    <definedName function="false" hidden="true" name="IQRScoreResultsCodeO103" vbProcedure="false">#REF!</definedName>
    <definedName function="false" hidden="true" name="IQRScoreResultsCodeO104" vbProcedure="false">#REF!</definedName>
    <definedName function="false" hidden="true" name="IQRScoreResultsCodeO105" vbProcedure="false">#REF!</definedName>
    <definedName function="false" hidden="true" name="IQRScoreResultsCodeO106" vbProcedure="false">#REF!</definedName>
    <definedName function="false" hidden="true" name="IQRScoreResultsCodeO107" vbProcedure="false">#REF!</definedName>
    <definedName function="false" hidden="true" name="IQRScoreResultsCodeO117" vbProcedure="false">#REF!</definedName>
    <definedName function="false" hidden="true" name="IQRScoreResultsCodeO122" vbProcedure="false">#REF!</definedName>
    <definedName function="false" hidden="true" name="IQRScoreResultsCodeO123" vbProcedure="false">#REF!</definedName>
    <definedName function="false" hidden="true" name="IQRScoreResultsCodeO124" vbProcedure="false">#REF!</definedName>
    <definedName function="false" hidden="true" name="IQRScoreResultsCodeO125" vbProcedure="false">#REF!</definedName>
    <definedName function="false" hidden="true" name="IQRScoreResultsCodeO126" vbProcedure="false">#REF!</definedName>
    <definedName function="false" hidden="true" name="IQRScoreResultsCodeO127" vbProcedure="false">#REF!</definedName>
    <definedName function="false" hidden="true" name="IQRScoreResultsCodeO128" vbProcedure="false">#REF!</definedName>
    <definedName function="false" hidden="true" name="IQRScoreResultsCodeO148" vbProcedure="false">#REF!</definedName>
    <definedName function="false" hidden="true" name="IQRScoreResultsCodeO15" vbProcedure="false">#REF!</definedName>
    <definedName function="false" hidden="true" name="IQRScoreResultsCodeO152" vbProcedure="false">#REF!</definedName>
    <definedName function="false" hidden="true" name="IQRScoreResultsCodeO16" vbProcedure="false">#REF!</definedName>
    <definedName function="false" hidden="true" name="IQRScoreResultsCodeO22" vbProcedure="false">#REF!</definedName>
    <definedName function="false" hidden="true" name="IQRScoreResultsCodeO37" vbProcedure="false">#REF!</definedName>
    <definedName function="false" hidden="true" name="IQRScoreResultsCodeO48" vbProcedure="false">#REF!</definedName>
    <definedName function="false" hidden="true" name="IQRScoreResultsCodeO49" vbProcedure="false">#REF!</definedName>
    <definedName function="false" hidden="true" name="IQRScoreResultsCodeO50" vbProcedure="false">#REF!</definedName>
    <definedName function="false" hidden="true" name="IQRScoreResultsCodeO53" vbProcedure="false">#REF!</definedName>
    <definedName function="false" hidden="true" name="IQRScoreResultsCodeO54" vbProcedure="false">#REF!</definedName>
    <definedName function="false" hidden="true" name="IQRScoreResultsCodeO55" vbProcedure="false">#REF!</definedName>
    <definedName function="false" hidden="true" name="IQRScoreResultsCodeO57" vbProcedure="false">#REF!</definedName>
    <definedName function="false" hidden="true" name="IQRScoreResultsCodeO60" vbProcedure="false">#REF!</definedName>
    <definedName function="false" hidden="true" name="IQRScoreResultsCodeO61" vbProcedure="false">#REF!</definedName>
    <definedName function="false" hidden="true" name="IQRScoreResultsCodeO74" vbProcedure="false">#REF!</definedName>
    <definedName function="false" hidden="true" name="IQRScoreResultsCodeO83" vbProcedure="false">#REF!</definedName>
    <definedName function="false" hidden="true" name="IQRScoreResultsCodeO96" vbProcedure="false">#REF!</definedName>
    <definedName function="false" hidden="true" name="IQRScoreResultsCodeP102" vbProcedure="false">#REF!</definedName>
    <definedName function="false" hidden="true" name="IQRScoreResultsCodeP122" vbProcedure="false">#REF!</definedName>
    <definedName function="false" hidden="true" name="IQRScoreResultsCodeP123" vbProcedure="false">#REF!</definedName>
    <definedName function="false" hidden="true" name="IQRScoreResultsCodeP124" vbProcedure="false">#REF!</definedName>
    <definedName function="false" hidden="true" name="IQRScoreResultsCodeP125" vbProcedure="false">#REF!</definedName>
    <definedName function="false" hidden="true" name="IQRScoreResultsCodeP126" vbProcedure="false">#REF!</definedName>
    <definedName function="false" hidden="true" name="IQRScoreResultsCodeP127" vbProcedure="false">#REF!</definedName>
    <definedName function="false" hidden="true" name="IQRScoreResultsCodeP128" vbProcedure="false">#REF!</definedName>
    <definedName function="false" hidden="true" name="IQRScoreResultsCodeP16" vbProcedure="false">#REF!</definedName>
    <definedName function="false" hidden="true" name="IQRScoreResultsCodeP22" vbProcedure="false">#REF!</definedName>
    <definedName function="false" hidden="true" name="IQRScoreResultsCodeP48" vbProcedure="false">#REF!</definedName>
    <definedName function="false" hidden="true" name="IQRScoreResultsCodeP49" vbProcedure="false">#REF!</definedName>
    <definedName function="false" hidden="true" name="IQRScoreResultsCodeP57" vbProcedure="false">#REF!</definedName>
    <definedName function="false" hidden="true" name="IQRScoreResultsCodeP58" vbProcedure="false">#REF!</definedName>
    <definedName function="false" hidden="true" name="IQRScoreResultsCodeP59" vbProcedure="false">#REF!</definedName>
    <definedName function="false" hidden="true" name="IQRScoreResultsCodeP60" vbProcedure="false">#REF!</definedName>
    <definedName function="false" hidden="true" name="IQRScoreResultsCodeP62" vbProcedure="false">#REF!</definedName>
    <definedName function="false" hidden="true" name="IQRScoreResultsCodeP66" vbProcedure="false">#REF!</definedName>
    <definedName function="false" hidden="true" name="IQRScoreResultsCodeP83" vbProcedure="false">#REF!</definedName>
    <definedName function="false" hidden="true" name="IQRScoreResultsCodeP84" vbProcedure="false">#REF!</definedName>
    <definedName function="false" hidden="true" name="IQRScoreResultsCodeP85" vbProcedure="false">#REF!</definedName>
    <definedName function="false" hidden="true" name="IQRScoreResultsCodeQ117" vbProcedure="false">#REF!</definedName>
    <definedName function="false" hidden="true" name="IQRScoreResultsCodeQ121" vbProcedure="false">#REF!</definedName>
    <definedName function="false" hidden="true" name="IQRScoreResultsCodeQ122" vbProcedure="false">#REF!</definedName>
    <definedName function="false" hidden="true" name="IQRScoreResultsCodeQ128" vbProcedure="false">#REF!</definedName>
    <definedName function="false" hidden="true" name="IQRScoreResultsCodeQ48" vbProcedure="false">#REF!</definedName>
    <definedName function="false" hidden="true" name="IQRScoreResultsCodeQ83" vbProcedure="false">#REF!</definedName>
    <definedName function="false" hidden="true" name="IQRScoreResultsCodeR100" vbProcedure="false">#REF!</definedName>
    <definedName function="false" hidden="true" name="IQRScoreResultsCodeR101" vbProcedure="false">#REF!</definedName>
    <definedName function="false" hidden="true" name="IQRScoreResultsCodeR107" vbProcedure="false">#REF!</definedName>
    <definedName function="false" hidden="true" name="IQRScoreResultsCodeR117" vbProcedure="false">#REF!</definedName>
    <definedName function="false" hidden="true" name="IQRScoreResultsCodeR37" vbProcedure="false">#REF!</definedName>
    <definedName function="false" hidden="true" name="IQRScoreResultsCodeR41" vbProcedure="false">#REF!</definedName>
    <definedName function="false" hidden="true" name="IQRScoreResultsCodeR42" vbProcedure="false">#REF!</definedName>
    <definedName function="false" hidden="true" name="IQRScoreResultsCodeR48" vbProcedure="false">#REF!</definedName>
    <definedName function="false" hidden="true" name="IQRScoreResultsCodeR50" vbProcedure="false">#REF!</definedName>
    <definedName function="false" hidden="true" name="IQRScoreResultsCodeR54" vbProcedure="false">#REF!</definedName>
    <definedName function="false" hidden="true" name="IQRScoreResultsCodeR55" vbProcedure="false">#REF!</definedName>
    <definedName function="false" hidden="true" name="IQRScoreResultsCodeR61" vbProcedure="false">#REF!</definedName>
    <definedName function="false" hidden="true" name="IQRScoreResultsCodeR74" vbProcedure="false">#REF!</definedName>
    <definedName function="false" hidden="true" name="IQRScoreResultsCodeR78" vbProcedure="false">#REF!</definedName>
    <definedName function="false" hidden="true" name="IQRScoreResultsCodeR79" vbProcedure="false">#REF!</definedName>
    <definedName function="false" hidden="true" name="IQRScoreResultsCodeR83" vbProcedure="false">#REF!</definedName>
    <definedName function="false" hidden="true" name="IQRScoreResultsCodeR84" vbProcedure="false">#REF!</definedName>
    <definedName function="false" hidden="true" name="IQRScoreResultsCodeR85" vbProcedure="false">#REF!</definedName>
    <definedName function="false" hidden="true" name="IQRScoreResultsCodeR96" vbProcedure="false">#REF!</definedName>
    <definedName function="false" hidden="true" name="IQRScoreResultsCodeS148" vbProcedure="false">#REF!</definedName>
    <definedName function="false" hidden="true" name="IQRScoreResultsCodeS37" vbProcedure="false">#REF!</definedName>
    <definedName function="false" hidden="true" name="IQRScoreResultsCodeS41" vbProcedure="false">#REF!</definedName>
    <definedName function="false" hidden="true" name="IQRScoreResultsCodeS42" vbProcedure="false">#REF!</definedName>
    <definedName function="false" hidden="true" name="IQRScoreResultsCodeS48" vbProcedure="false">#REF!</definedName>
    <definedName function="false" hidden="true" name="IQRScoreResultsCodeS50" vbProcedure="false">#REF!</definedName>
    <definedName function="false" hidden="true" name="IQRScoreResultsCodeS74" vbProcedure="false">#REF!</definedName>
    <definedName function="false" hidden="true" name="IQRScoreResultsCodeS78" vbProcedure="false">#REF!</definedName>
    <definedName function="false" hidden="true" name="IQRScoreResultsCodeS79" vbProcedure="false">#REF!</definedName>
    <definedName function="false" hidden="true" name="IQRScoreResultsCodeS83" vbProcedure="false">#REF!</definedName>
    <definedName function="false" hidden="true" name="IQRScoreResultsCodeS85" vbProcedure="false">#REF!</definedName>
    <definedName function="false" hidden="true" name="IQRScoreResultsCodeS96" vbProcedure="false">#REF!</definedName>
    <definedName function="false" hidden="true" name="IQRScoreResultsCodeT148" vbProcedure="false">#REF!</definedName>
    <definedName function="false" hidden="true" name="IQRScoreResultsCodeT35" vbProcedure="false">#REF!</definedName>
    <definedName function="false" hidden="true" name="IQRScoreResultsCodeT37" vbProcedure="false">#REF!</definedName>
    <definedName function="false" hidden="true" name="IQRScoreResultsCodeT74" vbProcedure="false">#REF!</definedName>
    <definedName function="false" hidden="true" name="IQRScoreResultsCodeT96" vbProcedure="false">#REF!</definedName>
    <definedName function="false" hidden="true" name="IQRScoreResultsCodeU148" vbProcedure="false">#REF!</definedName>
    <definedName function="false" hidden="true" name="IQRScoreResultsCodeU74" vbProcedure="false">#REF!</definedName>
    <definedName function="false" hidden="true" name="IQRScoreResultsCodeW148" vbProcedure="false">#REF!</definedName>
    <definedName function="false" hidden="true" name="IQRScoreResultsCodeW37" vbProcedure="false">#REF!</definedName>
    <definedName function="false" hidden="true" name="IQRScoreResultsCodeW48" vbProcedure="false">#REF!</definedName>
    <definedName function="false" hidden="true" name="IQRScoreResultsCodeW96" vbProcedure="false">#REF!</definedName>
    <definedName function="false" hidden="true" name="IQRScoreResultsCodeY37" vbProcedure="false">#REF!</definedName>
    <definedName function="false" hidden="true" name="IQRScoreResultsCodeY96" vbProcedure="false">#REF!</definedName>
    <definedName function="false" hidden="true" name="IQRScoreResultsP113" vbProcedure="false">#REF!</definedName>
    <definedName function="false" hidden="true" name="IQRScoreResultsP114" vbProcedure="false">#REF!</definedName>
    <definedName function="false" hidden="true" name="IQRScoreResultsP117" vbProcedure="false">#REF!</definedName>
    <definedName function="false" hidden="true" name="IQRScoreResultsP13" vbProcedure="false">#REF!</definedName>
    <definedName function="false" hidden="true" name="IQRScoreResultsP25" vbProcedure="false">#REF!</definedName>
    <definedName function="false" hidden="true" name="IQRScoreResultsP26" vbProcedure="false">#REF!</definedName>
    <definedName function="false" hidden="true" name="IQRScoreResultsP27" vbProcedure="false">#REF!</definedName>
    <definedName function="false" hidden="true" name="IQRScoreResultsP47" vbProcedure="false">#REF!</definedName>
    <definedName function="false" hidden="true" name="IQRScoreResultsP48" vbProcedure="false">#REF!</definedName>
    <definedName function="false" hidden="true" name="IQRScoreResultsP49" vbProcedure="false">#REF!</definedName>
    <definedName function="false" hidden="true" name="IQRScoreResultsP64" vbProcedure="false">#REF!</definedName>
    <definedName function="false" hidden="true" name="IQRScoreResultsP67" vbProcedure="false">#REF!</definedName>
    <definedName function="false" hidden="true" name="IQRScoreResultsP87" vbProcedure="false">#REF!</definedName>
    <definedName function="false" hidden="true" name="IQRScoreResultsQ13" vbProcedure="false">#REF!</definedName>
    <definedName function="false" hidden="true" name="IQRScoreResultsQ25" vbProcedure="false">#REF!</definedName>
    <definedName function="false" hidden="true" name="IQRScoreResultsQ26" vbProcedure="false">#REF!</definedName>
    <definedName function="false" hidden="true" name="IQRScoreResultsQ27" vbProcedure="false">#REF!</definedName>
    <definedName function="false" hidden="true" name="IQRScoreResultsQ5" vbProcedure="false">#REF!</definedName>
    <definedName function="false" hidden="true" name="IQRScoreResultsQ6" vbProcedure="false">#REF!</definedName>
    <definedName function="false" hidden="true" name="IQRScoreResultsQ67" vbProcedure="false">#REF!</definedName>
    <definedName function="false" hidden="true" name="IQRScoreResultsQ7" vbProcedure="false">#REF!</definedName>
    <definedName function="false" hidden="true" name="IQRScoreResultsQ8" vbProcedure="false">#REF!</definedName>
    <definedName function="false" hidden="true" name="IQRScoreResultsQ87" vbProcedure="false">#REF!</definedName>
    <definedName function="false" hidden="true" name="IQRScoreResultsQ9" vbProcedure="false">#REF!</definedName>
    <definedName function="false" hidden="true" name="IQRScoreResultsR113" vbProcedure="false">#REF!</definedName>
    <definedName function="false" hidden="true" name="IQRScoreResultsR114" vbProcedure="false">#REF!</definedName>
    <definedName function="false" hidden="true" name="IQRScoreResultsR117" vbProcedure="false">#REF!</definedName>
    <definedName function="false" hidden="true" name="IQRScoreResultsR13" vbProcedure="false">#REF!</definedName>
    <definedName function="false" hidden="true" name="IQRScoreResultsR47" vbProcedure="false">#REF!</definedName>
    <definedName function="false" hidden="true" name="IQRScoreResultsR48" vbProcedure="false">#REF!</definedName>
    <definedName function="false" hidden="true" name="IQRScoreResultsR49" vbProcedure="false">#REF!</definedName>
    <definedName function="false" hidden="true" name="IQRScoreResultsR5" vbProcedure="false">#REF!</definedName>
    <definedName function="false" hidden="true" name="IQRScoreResultsR6" vbProcedure="false">#REF!</definedName>
    <definedName function="false" hidden="true" name="IQRScoreResultsR67" vbProcedure="false">#REF!</definedName>
    <definedName function="false" hidden="true" name="IQRScoreResultsR87" vbProcedure="false">#REF!</definedName>
    <definedName function="false" hidden="true" name="IQRScoreResultsS47" vbProcedure="false">#REF!</definedName>
    <definedName function="false" hidden="true" name="IQRScoreResultsS48" vbProcedure="false">#REF!</definedName>
    <definedName function="false" hidden="true" name="IQRScoreResultsS49" vbProcedure="false">#REF!</definedName>
    <definedName function="false" hidden="true" name="IQRScoreResultsT113" vbProcedure="false">#REF!</definedName>
    <definedName function="false" hidden="true" name="IQRScoreResultsT114" vbProcedure="false">#REF!</definedName>
    <definedName function="false" hidden="true" name="IQRScoreResultsT117" vbProcedure="false">#REF!</definedName>
    <definedName function="false" hidden="true" name="IQRScoreResultsT48" vbProcedure="false">#REF!</definedName>
    <definedName function="false" hidden="true" name="IQRScoreResultsT49" vbProcedure="false">#REF!</definedName>
    <definedName function="false" hidden="true" name="IQRScoreResultsW113" vbProcedure="false">#REF!</definedName>
    <definedName function="false" hidden="true" name="IQRScoreResultsW117" vbProcedure="false">#REF!</definedName>
    <definedName function="false" hidden="true" name="IQRScoreResultsW13" vbProcedure="false">#REF!</definedName>
    <definedName function="false" hidden="true" name="IQRScoreResultsW25" vbProcedure="false">#REF!</definedName>
    <definedName function="false" hidden="true" name="IQRScoreResultsW26" vbProcedure="false">#REF!</definedName>
    <definedName function="false" hidden="true" name="IQRScoreResultsW27" vbProcedure="false">#REF!</definedName>
    <definedName function="false" hidden="true" name="IQRScoreResultsW47" vbProcedure="false">#REF!</definedName>
    <definedName function="false" hidden="true" name="IQRScoreResultsW48" vbProcedure="false">#REF!</definedName>
    <definedName function="false" hidden="true" name="IQRScoreResultsW49" vbProcedure="false">#REF!</definedName>
    <definedName function="false" hidden="true" name="IQRScoreResultsW67" vbProcedure="false">#REF!</definedName>
    <definedName function="false" hidden="true" name="IQRScoreResultsW87" vbProcedure="false">#REF!</definedName>
    <definedName function="false" hidden="true" name="IQRScoreResultsX13" vbProcedure="false">#REF!</definedName>
    <definedName function="false" hidden="true" name="IQRScoreResultsX25" vbProcedure="false">#REF!</definedName>
    <definedName function="false" hidden="true" name="IQRScoreResultsX26" vbProcedure="false">#REF!</definedName>
    <definedName function="false" hidden="true" name="IQRScoreResultsX27" vbProcedure="false">#REF!</definedName>
    <definedName function="false" hidden="true" name="IQRScoreResultsX67" vbProcedure="false">#REF!</definedName>
    <definedName function="false" hidden="true" name="IQRScoreResultsX87" vbProcedure="false">#REF!</definedName>
    <definedName function="false" hidden="true" name="IQRScoreResultsY113" vbProcedure="false">#REF!</definedName>
    <definedName function="false" hidden="true" name="IQRScoreResultsY117" vbProcedure="false">#REF!</definedName>
    <definedName function="false" hidden="true" name="IQRScoreResultsY13" vbProcedure="false">#REF!</definedName>
    <definedName function="false" hidden="true" name="IQRScoreResultsY47" vbProcedure="false">#REF!</definedName>
    <definedName function="false" hidden="true" name="IQRScoreResultsY48" vbProcedure="false">#REF!</definedName>
    <definedName function="false" hidden="true" name="IQRScoreResultsY49" vbProcedure="false">#REF!</definedName>
    <definedName function="false" hidden="true" name="IQRScoreResultsY67" vbProcedure="false">#REF!</definedName>
    <definedName function="false" hidden="true" name="IQRScoreResultsY87" vbProcedure="false">#REF!</definedName>
    <definedName function="false" hidden="true" name="IQRScoreResultsZ47" vbProcedure="false">#REF!</definedName>
    <definedName function="false" hidden="true" name="IQRScoreResultsZ48" vbProcedure="false">#REF!</definedName>
    <definedName function="false" hidden="true" name="IQRScoreResultsZ49" vbProcedure="false">#REF!</definedName>
    <definedName function="false" hidden="true" name="IQRScoreSetupCodeA4" vbProcedure="false">#REF!</definedName>
    <definedName function="false" hidden="true" name="IQRScoreSetupCodeAA35" vbProcedure="false">#REF!</definedName>
    <definedName function="false" hidden="true" name="IQRScoreSetupCodeAA4" vbProcedure="false">#REF!</definedName>
    <definedName function="false" hidden="true" name="IQRScoreSetupCodeAB35" vbProcedure="false">#REF!</definedName>
    <definedName function="false" hidden="true" name="IQRScoreSetupCodeAB4" vbProcedure="false">#REF!</definedName>
    <definedName function="false" hidden="true" name="IQRScoreSetupCodeAC35" vbProcedure="false">#REF!</definedName>
    <definedName function="false" hidden="true" name="IQRScoreSetupCodeAC4" vbProcedure="false">#REF!</definedName>
    <definedName function="false" hidden="true" name="IQRScoreSetupCodeAD35" vbProcedure="false">#REF!</definedName>
    <definedName function="false" hidden="true" name="IQRScoreSetupCodeAD4" vbProcedure="false">#REF!</definedName>
    <definedName function="false" hidden="true" name="IQRScoreSetupCodeAE35" vbProcedure="false">#REF!</definedName>
    <definedName function="false" hidden="true" name="IQRScoreSetupCodeAE4" vbProcedure="false">#REF!</definedName>
    <definedName function="false" hidden="true" name="IQRScoreSetupCodeAF35" vbProcedure="false">#REF!</definedName>
    <definedName function="false" hidden="true" name="IQRScoreSetupCodeAF4" vbProcedure="false">#REF!</definedName>
    <definedName function="false" hidden="true" name="IQRScoreSetupCodeAG35" vbProcedure="false">#REF!</definedName>
    <definedName function="false" hidden="true" name="IQRScoreSetupCodeAG4" vbProcedure="false">#REF!</definedName>
    <definedName function="false" hidden="true" name="IQRScoreSetupCodeAH35" vbProcedure="false">#REF!</definedName>
    <definedName function="false" hidden="true" name="IQRScoreSetupCodeAH36" vbProcedure="false">#REF!</definedName>
    <definedName function="false" hidden="true" name="IQRScoreSetupCodeAH4" vbProcedure="false">#REF!</definedName>
    <definedName function="false" hidden="true" name="IQRScoreSetupCodeAI35" vbProcedure="false">#REF!</definedName>
    <definedName function="false" hidden="true" name="IQRScoreSetupCodeAI36" vbProcedure="false">#REF!</definedName>
    <definedName function="false" hidden="true" name="IQRScoreSetupCodeAI4" vbProcedure="false">#REF!</definedName>
    <definedName function="false" hidden="true" name="IQRScoreSetupCodeAJ35" vbProcedure="false">#REF!</definedName>
    <definedName function="false" hidden="true" name="IQRScoreSetupCodeAJ36" vbProcedure="false">#REF!</definedName>
    <definedName function="false" hidden="true" name="IQRScoreSetupCodeAJ4" vbProcedure="false">#REF!</definedName>
    <definedName function="false" hidden="true" name="IQRScoreSetupCodeAK35" vbProcedure="false">#REF!</definedName>
    <definedName function="false" hidden="true" name="IQRScoreSetupCodeAK36" vbProcedure="false">#REF!</definedName>
    <definedName function="false" hidden="true" name="IQRScoreSetupCodeAK4" vbProcedure="false">#REF!</definedName>
    <definedName function="false" hidden="true" name="IQRScoreSetupCodeAL35" vbProcedure="false">#REF!</definedName>
    <definedName function="false" hidden="true" name="IQRScoreSetupCodeAL4" vbProcedure="false">#REF!</definedName>
    <definedName function="false" hidden="true" name="IQRScoreSetupCodeAM35" vbProcedure="false">#REF!</definedName>
    <definedName function="false" hidden="true" name="IQRScoreSetupCodeAM4" vbProcedure="false">#REF!</definedName>
    <definedName function="false" hidden="true" name="IQRScoreSetupCodeAN35" vbProcedure="false">#REF!</definedName>
    <definedName function="false" hidden="true" name="IQRScoreSetupCodeAN4" vbProcedure="false">#REF!</definedName>
    <definedName function="false" hidden="true" name="IQRScoreSetupCodeAO35" vbProcedure="false">#REF!</definedName>
    <definedName function="false" hidden="true" name="IQRScoreSetupCodeAO4" vbProcedure="false">#REF!</definedName>
    <definedName function="false" hidden="true" name="IQRScoreSetupCodeAP35" vbProcedure="false">#REF!</definedName>
    <definedName function="false" hidden="true" name="IQRScoreSetupCodeAP4" vbProcedure="false">#REF!</definedName>
    <definedName function="false" hidden="true" name="IQRScoreSetupCodeAQ35" vbProcedure="false">#REF!</definedName>
    <definedName function="false" hidden="true" name="IQRScoreSetupCodeAQ4" vbProcedure="false">#REF!</definedName>
    <definedName function="false" hidden="true" name="IQRScoreSetupCodeAR35" vbProcedure="false">#REF!</definedName>
    <definedName function="false" hidden="true" name="IQRScoreSetupCodeAR4" vbProcedure="false">#REF!</definedName>
    <definedName function="false" hidden="true" name="IQRScoreSetupCodeAS35" vbProcedure="false">#REF!</definedName>
    <definedName function="false" hidden="true" name="IQRScoreSetupCodeAS4" vbProcedure="false">#REF!</definedName>
    <definedName function="false" hidden="true" name="IQRScoreSetupCodeAT35" vbProcedure="false">#REF!</definedName>
    <definedName function="false" hidden="true" name="IQRScoreSetupCodeAT4" vbProcedure="false">#REF!</definedName>
    <definedName function="false" hidden="true" name="IQRScoreSetupCodeAU35" vbProcedure="false">#REF!</definedName>
    <definedName function="false" hidden="true" name="IQRScoreSetupCodeAU4" vbProcedure="false">#REF!</definedName>
    <definedName function="false" hidden="true" name="IQRScoreSetupCodeAV35" vbProcedure="false">#REF!</definedName>
    <definedName function="false" hidden="true" name="IQRScoreSetupCodeAV4" vbProcedure="false">#REF!</definedName>
    <definedName function="false" hidden="true" name="IQRScoreSetupCodeAW35" vbProcedure="false">#REF!</definedName>
    <definedName function="false" hidden="true" name="IQRScoreSetupCodeJ34" vbProcedure="false">#REF!</definedName>
    <definedName function="false" hidden="true" name="IQRScoreSetupCodeL24" vbProcedure="false">#REF!</definedName>
    <definedName function="false" hidden="true" name="IQRScoreSetupCodeL25" vbProcedure="false">#REF!</definedName>
    <definedName function="false" hidden="true" name="IQRScoreSetupCodeL3" vbProcedure="false">#REF!</definedName>
    <definedName function="false" hidden="true" name="IQRScoreSetupCodeL31" vbProcedure="false">#REF!</definedName>
    <definedName function="false" hidden="true" name="IQRScoreSetupCodeL32" vbProcedure="false">#REF!</definedName>
    <definedName function="false" hidden="true" name="IQRScoreSetupCodeL33" vbProcedure="false">#REF!</definedName>
    <definedName function="false" hidden="true" name="IQRScoreSetupCodeL4" vbProcedure="false">#REF!</definedName>
    <definedName function="false" hidden="true" name="IQRScoreSetupCodeM33" vbProcedure="false">#REF!</definedName>
    <definedName function="false" hidden="true" name="IQRScoreSetupCodeM34" vbProcedure="false">#REF!</definedName>
    <definedName function="false" hidden="true" name="IQRScoreSetupCodeM4" vbProcedure="false">#REF!</definedName>
    <definedName function="false" hidden="true" name="IQRScoreSetupCodeN24" vbProcedure="false">#REF!</definedName>
    <definedName function="false" hidden="true" name="IQRScoreSetupCodeN25" vbProcedure="false">#REF!</definedName>
    <definedName function="false" hidden="true" name="IQRScoreSetupCodeN3" vbProcedure="false">#REF!</definedName>
    <definedName function="false" hidden="true" name="IQRScoreSetupCodeN31" vbProcedure="false">#REF!</definedName>
    <definedName function="false" hidden="true" name="IQRScoreSetupCodeN32" vbProcedure="false">#REF!</definedName>
    <definedName function="false" hidden="true" name="IQRScoreSetupCodeN33" vbProcedure="false">#REF!</definedName>
    <definedName function="false" hidden="true" name="IQRScoreSetupCodeN4" vbProcedure="false">#REF!</definedName>
    <definedName function="false" hidden="true" name="IQRScoreSetupCodeP33" vbProcedure="false">#REF!</definedName>
    <definedName function="false" hidden="true" name="IQRScoreSetupCodeP4" vbProcedure="false">#REF!</definedName>
    <definedName function="false" hidden="true" name="IQRScoreSetupCodeQ33" vbProcedure="false">#REF!</definedName>
    <definedName function="false" hidden="true" name="IQRScoreSetupCodeQ4" vbProcedure="false">#REF!</definedName>
    <definedName function="false" hidden="true" name="IQRScoreSetupCodeR33" vbProcedure="false">#REF!</definedName>
    <definedName function="false" hidden="true" name="IQRScoreSetupCodeR34" vbProcedure="false">#REF!</definedName>
    <definedName function="false" hidden="true" name="IQRScoreSetupCodeR4" vbProcedure="false">#REF!</definedName>
    <definedName function="false" hidden="true" name="IQRScoreSetupCodeS28" vbProcedure="false">#REF!</definedName>
    <definedName function="false" hidden="true" name="IQRScoreSetupCodeU20" vbProcedure="false">#REF!</definedName>
    <definedName function="false" hidden="true" name="IQRScoreSetupCodeU23" vbProcedure="false">#REF!</definedName>
    <definedName function="false" hidden="true" name="IQRScoreSetupCodeU28" vbProcedure="false">#REF!</definedName>
    <definedName function="false" hidden="true" name="IQRScoreSetupCodeU34" vbProcedure="false">#REF!</definedName>
    <definedName function="false" hidden="true" name="IQRScoreSetupCodeU36" vbProcedure="false">#REF!</definedName>
    <definedName function="false" hidden="true" name="IQRScoreSetupCodeU4" vbProcedure="false">#REF!</definedName>
    <definedName function="false" hidden="true" name="IQRScoreSetupCodeU63" vbProcedure="false">#REF!</definedName>
    <definedName function="false" hidden="true" name="IQRScoreSetupCodeV20" vbProcedure="false">#REF!</definedName>
    <definedName function="false" hidden="true" name="IQRScoreSetupCodeV23" vbProcedure="false">#REF!</definedName>
    <definedName function="false" hidden="true" name="IQRScoreSetupCodeV34" vbProcedure="false">#REF!</definedName>
    <definedName function="false" hidden="true" name="IQRScoreSetupCodeV36" vbProcedure="false">#REF!</definedName>
    <definedName function="false" hidden="true" name="IQRScoreSetupCodeV4" vbProcedure="false">#REF!</definedName>
    <definedName function="false" hidden="true" name="IQRScoreSetupCodeV63" vbProcedure="false">#REF!</definedName>
    <definedName function="false" hidden="true" name="IQRScoreSetupCodeW63" vbProcedure="false">#REF!</definedName>
    <definedName function="false" hidden="true" name="IQRScoreSetupCodeX20" vbProcedure="false">#REF!</definedName>
    <definedName function="false" hidden="true" name="IQRScoreSetupCodeX35" vbProcedure="false">#REF!</definedName>
    <definedName function="false" hidden="true" name="IQRScoreSetupCodeX4" vbProcedure="false">#REF!</definedName>
    <definedName function="false" hidden="true" name="IQRScoreSetupCodeY20" vbProcedure="false">#REF!</definedName>
    <definedName function="false" hidden="true" name="IQRScoreSetupCodeY35" vbProcedure="false">#REF!</definedName>
    <definedName function="false" hidden="true" name="IQRScoreSetupCodeY4" vbProcedure="false">#REF!</definedName>
    <definedName function="false" hidden="true" name="IQRScoreSetupCodeZ35" vbProcedure="false">#REF!</definedName>
    <definedName function="false" hidden="true" name="IQRScoreSetupCodeZ4" vbProcedure="false">#REF!</definedName>
    <definedName function="false" hidden="true" name="IQRScoreSetupV25" vbProcedure="false">#REF!</definedName>
    <definedName function="false" hidden="true" name="IQRScoreSetupV4" vbProcedure="false">#REF!</definedName>
    <definedName function="false" hidden="true" name="IQRScoreSetupW25" vbProcedure="false">#REF!</definedName>
    <definedName function="false" hidden="true" name="IQRScoreSetupW4" vbProcedure="false">#REF!</definedName>
    <definedName function="false" hidden="true" name="IQRScoreSetupX25" vbProcedure="false">#REF!</definedName>
    <definedName function="false" hidden="true" name="IQRScoreSetupX4" vbProcedure="false">#REF!</definedName>
    <definedName function="false" hidden="true" name="IQRScoreSetupY25" vbProcedure="false">#REF!</definedName>
    <definedName function="false" hidden="true" name="IQRScoreSetupY4" vbProcedure="false">#REF!</definedName>
    <definedName function="false" hidden="true" name="IQRSectorHistorical2AS41" vbProcedure="false">#REF!</definedName>
    <definedName function="false" hidden="true" name="IQRSectorHistorical2BN41" vbProcedure="false">#REF!</definedName>
    <definedName function="false" hidden="true" name="IQRSectorHistoricalAS41" vbProcedure="false">#REF!</definedName>
    <definedName function="false" hidden="true" name="IQRSectorHistoricalAT41" vbProcedure="false">#REF!</definedName>
    <definedName function="false" hidden="true" name="IQRSectorHistoricalAX41" vbProcedure="false">#REF!</definedName>
    <definedName function="false" hidden="true" name="IQRSectorHistoricalBN41" vbProcedure="false">#REF!</definedName>
    <definedName function="false" hidden="true" name="IQRSectorHistoricalBS41" vbProcedure="false">#REF!</definedName>
    <definedName function="false" hidden="true" name="IQRSheet10H12" vbProcedure="false">#REF!</definedName>
    <definedName function="false" hidden="true" name="IQRSheet10N12" vbProcedure="false">#REF!</definedName>
    <definedName function="false" hidden="true" name="IQRSheet1B10" vbProcedure="false">#REF!</definedName>
    <definedName function="false" hidden="true" name="IQRSheet1B5" vbProcedure="false">#REF!</definedName>
    <definedName function="false" hidden="true" name="IQRSheet1B8" vbProcedure="false">#REF!</definedName>
    <definedName function="false" hidden="true" name="IQRSheet1B9" vbProcedure="false">#REF!</definedName>
    <definedName function="false" hidden="true" name="IQRSheet1C10" vbProcedure="false">#REF!</definedName>
    <definedName function="false" hidden="true" name="IQRSheet1E2646" vbProcedure="false">#REF!</definedName>
    <definedName function="false" hidden="true" name="IQRSheet1H11" vbProcedure="false">#REF!</definedName>
    <definedName function="false" hidden="true" name="IQRSheet1K13" vbProcedure="false">#REF!</definedName>
    <definedName function="false" hidden="true" name="IQRSheet1L13" vbProcedure="false">#REF!</definedName>
    <definedName function="false" hidden="true" name="IQRSheet1M13" vbProcedure="false">#REF!</definedName>
    <definedName function="false" hidden="true" name="IQRSheet1N13" vbProcedure="false">#REF!</definedName>
    <definedName function="false" hidden="true" name="IQRSheet1O13" vbProcedure="false">#REF!</definedName>
    <definedName function="false" hidden="true" name="IQRSheet1P13" vbProcedure="false">#REF!</definedName>
    <definedName function="false" hidden="true" name="IQRSheet1P15" vbProcedure="false">#REF!</definedName>
    <definedName function="false" hidden="true" name="IQRSheet1Q15" vbProcedure="false">#REF!</definedName>
    <definedName function="false" hidden="true" name="IQRSheet1R13" vbProcedure="false">#REF!</definedName>
    <definedName function="false" hidden="true" name="IQRSheet1S13" vbProcedure="false">#REF!</definedName>
    <definedName function="false" hidden="true" name="IQRSheet1T13" vbProcedure="false">#REF!</definedName>
    <definedName function="false" hidden="true" name="IQRSheet2I11" vbProcedure="false">#REF!</definedName>
    <definedName function="false" hidden="true" name="IQRSheet2I12" vbProcedure="false">#REF!</definedName>
    <definedName function="false" hidden="true" name="IQRSheet2I13" vbProcedure="false">#REF!</definedName>
    <definedName function="false" hidden="true" name="IQRSheet2J11" vbProcedure="false">#REF!</definedName>
    <definedName function="false" hidden="true" name="IQRSheet2J12" vbProcedure="false">#REF!</definedName>
    <definedName function="false" hidden="true" name="IQRSheet2J13" vbProcedure="false">#REF!</definedName>
    <definedName function="false" hidden="true" name="IQRSheet3D1" vbProcedure="false">#REF!</definedName>
    <definedName function="false" hidden="true" name="IQRSheet3D10" vbProcedure="false">#REF!</definedName>
    <definedName function="false" hidden="true" name="IQRSheet3D11" vbProcedure="false">#REF!</definedName>
    <definedName function="false" hidden="true" name="IQRSheet3D12" vbProcedure="false">#REF!</definedName>
    <definedName function="false" hidden="true" name="IQRSheet3D13" vbProcedure="false">#REF!</definedName>
    <definedName function="false" hidden="true" name="IQRSheet3D14" vbProcedure="false">#REF!</definedName>
    <definedName function="false" hidden="true" name="IQRSheet3D15" vbProcedure="false">#REF!</definedName>
    <definedName function="false" hidden="true" name="IQRSheet3D16" vbProcedure="false">#REF!</definedName>
    <definedName function="false" hidden="true" name="IQRSheet3D17" vbProcedure="false">#REF!</definedName>
    <definedName function="false" hidden="true" name="IQRSheet3D18" vbProcedure="false">#REF!</definedName>
    <definedName function="false" hidden="true" name="IQRSheet3D19" vbProcedure="false">#REF!</definedName>
    <definedName function="false" hidden="true" name="IQRSheet3D2" vbProcedure="false">#REF!</definedName>
    <definedName function="false" hidden="true" name="IQRSheet3D20" vbProcedure="false">#REF!</definedName>
    <definedName function="false" hidden="true" name="IQRSheet3D21" vbProcedure="false">#REF!</definedName>
    <definedName function="false" hidden="true" name="IQRSheet3D24" vbProcedure="false">#REF!</definedName>
    <definedName function="false" hidden="true" name="IQRSheet3D25" vbProcedure="false">#REF!</definedName>
    <definedName function="false" hidden="true" name="IQRSheet3D26" vbProcedure="false">#REF!</definedName>
    <definedName function="false" hidden="true" name="IQRSheet3D28" vbProcedure="false">#REF!</definedName>
    <definedName function="false" hidden="true" name="IQRSheet3D29" vbProcedure="false">#REF!</definedName>
    <definedName function="false" hidden="true" name="IQRSheet3D3" vbProcedure="false">#REF!</definedName>
    <definedName function="false" hidden="true" name="IQRSheet3D30" vbProcedure="false">#REF!</definedName>
    <definedName function="false" hidden="true" name="IQRSheet3D31" vbProcedure="false">#REF!</definedName>
    <definedName function="false" hidden="true" name="IQRSheet3D32" vbProcedure="false">#REF!</definedName>
    <definedName function="false" hidden="true" name="IQRSheet3D33" vbProcedure="false">#REF!</definedName>
    <definedName function="false" hidden="true" name="IQRSheet3D34" vbProcedure="false">#REF!</definedName>
    <definedName function="false" hidden="true" name="IQRSheet3D35" vbProcedure="false">#REF!</definedName>
    <definedName function="false" hidden="true" name="IQRSheet3D36" vbProcedure="false">#REF!</definedName>
    <definedName function="false" hidden="true" name="IQRSheet3D37" vbProcedure="false">#REF!</definedName>
    <definedName function="false" hidden="true" name="IQRSheet3D38" vbProcedure="false">#REF!</definedName>
    <definedName function="false" hidden="true" name="IQRSheet3D39" vbProcedure="false">#REF!</definedName>
    <definedName function="false" hidden="true" name="IQRSheet3D4" vbProcedure="false">#REF!</definedName>
    <definedName function="false" hidden="true" name="IQRSheet3D40" vbProcedure="false">#REF!</definedName>
    <definedName function="false" hidden="true" name="IQRSheet3D41" vbProcedure="false">#REF!</definedName>
    <definedName function="false" hidden="true" name="IQRSheet3D42" vbProcedure="false">#REF!</definedName>
    <definedName function="false" hidden="true" name="IQRSheet3D43" vbProcedure="false">#REF!</definedName>
    <definedName function="false" hidden="true" name="IQRSheet3D44" vbProcedure="false">#REF!</definedName>
    <definedName function="false" hidden="true" name="IQRSheet3D45" vbProcedure="false">#REF!</definedName>
    <definedName function="false" hidden="true" name="IQRSheet3D46" vbProcedure="false">#REF!</definedName>
    <definedName function="false" hidden="true" name="IQRSheet3D47" vbProcedure="false">#REF!</definedName>
    <definedName function="false" hidden="true" name="IQRSheet3D48" vbProcedure="false">#REF!</definedName>
    <definedName function="false" hidden="true" name="IQRSheet3D5" vbProcedure="false">#REF!</definedName>
    <definedName function="false" hidden="true" name="IQRSheet3D6" vbProcedure="false">#REF!</definedName>
    <definedName function="false" hidden="true" name="IQRSheet3D7" vbProcedure="false">#REF!</definedName>
    <definedName function="false" hidden="true" name="IQRSheet3D8" vbProcedure="false">#REF!</definedName>
    <definedName function="false" hidden="true" name="IQRSheet3D9" vbProcedure="false">#REF!</definedName>
    <definedName function="false" hidden="true" name="IQRSheet4G10" vbProcedure="false">#REF!</definedName>
    <definedName function="false" hidden="true" name="IQRSheet4G8" vbProcedure="false">#REF!</definedName>
    <definedName function="false" hidden="true" name="IQRSheet4G9" vbProcedure="false">#REF!</definedName>
    <definedName function="false" hidden="true" name="IQRSheet4H10" vbProcedure="false">#REF!</definedName>
    <definedName function="false" hidden="true" name="IQRSheet4H8" vbProcedure="false">#REF!</definedName>
    <definedName function="false" hidden="true" name="IQRSheet4H9" vbProcedure="false">#REF!</definedName>
    <definedName function="false" hidden="true" name="IQRSheet4J10" vbProcedure="false">#REF!</definedName>
    <definedName function="false" hidden="true" name="IQRSheet4J8" vbProcedure="false">#REF!</definedName>
    <definedName function="false" hidden="true" name="IQRSheet4J9" vbProcedure="false">#REF!</definedName>
    <definedName function="false" hidden="true" name="IQRSheet6BF9" vbProcedure="false">#REF!</definedName>
    <definedName function="false" hidden="true" name="IQRSheet6BN9" vbProcedure="false">#REF!</definedName>
    <definedName function="false" hidden="true" name="IQRSHPGH20" vbProcedure="false">#REF!</definedName>
    <definedName function="false" hidden="true" name="IQRSingleScore2AH5" vbProcedure="false">#REF!</definedName>
    <definedName function="false" hidden="true" name="IQRSingleScore2P15" vbProcedure="false">#REF!</definedName>
    <definedName function="false" hidden="true" name="IQRSingleScore2P37" vbProcedure="false">#REF!</definedName>
    <definedName function="false" hidden="true" name="IQRSingleScore2Q15" vbProcedure="false">#REF!</definedName>
    <definedName function="false" hidden="true" name="IQRSingleScore2R37" vbProcedure="false">#REF!</definedName>
    <definedName function="false" hidden="true" name="IQRSingleScore2S37" vbProcedure="false">#REF!</definedName>
    <definedName function="false" hidden="true" name="IQRSingleScore2U37" vbProcedure="false">#REF!</definedName>
    <definedName function="false" hidden="true" name="IQRSingleScore2V15" vbProcedure="false">#REF!</definedName>
    <definedName function="false" hidden="true" name="IQRSingleScore2V5" vbProcedure="false">#REF!</definedName>
    <definedName function="false" hidden="true" name="IQRSingleScore2X15" vbProcedure="false">#REF!</definedName>
    <definedName function="false" hidden="true" name="IQRSingleScore2Z15" vbProcedure="false">#REF!</definedName>
    <definedName function="false" hidden="true" name="IQRSingleScoreAB15" vbProcedure="false">#REF!</definedName>
    <definedName function="false" hidden="true" name="IQRSingleScoreAC15" vbProcedure="false">#REF!</definedName>
    <definedName function="false" hidden="true" name="IQRSingleScoreAC5" vbProcedure="false">#REF!</definedName>
    <definedName function="false" hidden="true" name="IQRSingleScoreAD15" vbProcedure="false">#REF!</definedName>
    <definedName function="false" hidden="true" name="IQRSingleScoreAD37" vbProcedure="false">#REF!</definedName>
    <definedName function="false" hidden="true" name="IQRSingleScoreAD5" vbProcedure="false">#REF!</definedName>
    <definedName function="false" hidden="true" name="IQRSingleScoreAE37" vbProcedure="false">#REF!</definedName>
    <definedName function="false" hidden="true" name="IQRSingleScoreAF37" vbProcedure="false">#REF!</definedName>
    <definedName function="false" hidden="true" name="IQRSingleScoreAG15" vbProcedure="false">#REF!</definedName>
    <definedName function="false" hidden="true" name="IQRSingleScoreAG5" vbProcedure="false">#REF!</definedName>
    <definedName function="false" hidden="true" name="IQRSingleScoreAH15" vbProcedure="false">#REF!</definedName>
    <definedName function="false" hidden="true" name="IQRSingleScoreAH4" vbProcedure="false">#REF!</definedName>
    <definedName function="false" hidden="true" name="IQRSingleScoreAH5" vbProcedure="false">#REF!</definedName>
    <definedName function="false" hidden="true" name="IQRSingleScoreAI2003" vbProcedure="false">#REF!</definedName>
    <definedName function="false" hidden="true" name="IQRSingleScoreAI4" vbProcedure="false">#REF!</definedName>
    <definedName function="false" hidden="true" name="IQRSingleScoreAL16" vbProcedure="false">#REF!</definedName>
    <definedName function="false" hidden="true" name="IQRSingleScoreAL5" vbProcedure="false">#REF!</definedName>
    <definedName function="false" hidden="true" name="IQRSingleScoreAL7" vbProcedure="false">#REF!</definedName>
    <definedName function="false" hidden="true" name="IQRSingleScoreAO5" vbProcedure="false">#REF!</definedName>
    <definedName function="false" hidden="true" name="IQRSingleScoreAP5" vbProcedure="false">#REF!</definedName>
    <definedName function="false" hidden="true" name="IQRSingleScoreAS5" vbProcedure="false">#REF!</definedName>
    <definedName function="false" hidden="true" name="IQRSingleScoreH10" vbProcedure="false">#REF!</definedName>
    <definedName function="false" hidden="true" name="IQRSingleScoreH11" vbProcedure="false">#REF!</definedName>
    <definedName function="false" hidden="true" name="IQRSingleScoreH5" vbProcedure="false">#REF!</definedName>
    <definedName function="false" hidden="true" name="IQRSingleScoreH8" vbProcedure="false">#REF!</definedName>
    <definedName function="false" hidden="true" name="IQRSingleScoreH9" vbProcedure="false">#REF!</definedName>
    <definedName function="false" hidden="true" name="IQRSingleScoreI5" vbProcedure="false">#REF!</definedName>
    <definedName function="false" hidden="true" name="IQRSingleScoreJ11" vbProcedure="false">#REF!</definedName>
    <definedName function="false" hidden="true" name="IQRSingleScoreJ12" vbProcedure="false">#REF!</definedName>
    <definedName function="false" hidden="true" name="IQRSingleScoreJ5" vbProcedure="false">#REF!</definedName>
    <definedName function="false" hidden="true" name="IQRSingleScoreK12" vbProcedure="false">#REF!</definedName>
    <definedName function="false" hidden="true" name="IQRSingleScoreK5" vbProcedure="false">#REF!</definedName>
    <definedName function="false" hidden="true" name="IQRSingleScoreL12" vbProcedure="false">#REF!</definedName>
    <definedName function="false" hidden="true" name="IQRSingleScoreL13" vbProcedure="false">#REF!</definedName>
    <definedName function="false" hidden="true" name="IQRSingleScoreL14" vbProcedure="false">#REF!</definedName>
    <definedName function="false" hidden="true" name="IQRSingleScoreL15" vbProcedure="false">#REF!</definedName>
    <definedName function="false" hidden="true" name="IQRSingleScoreL35" vbProcedure="false">#REF!</definedName>
    <definedName function="false" hidden="true" name="IQRSingleScoreL36" vbProcedure="false">#REF!</definedName>
    <definedName function="false" hidden="true" name="IQRSingleScoreL37" vbProcedure="false">#REF!</definedName>
    <definedName function="false" hidden="true" name="IQRSingleScoreL38" vbProcedure="false">#REF!</definedName>
    <definedName function="false" hidden="true" name="IQRSingleScoreL5" vbProcedure="false">#REF!</definedName>
    <definedName function="false" hidden="true" name="IQRSingleScoreL6" vbProcedure="false">#REF!</definedName>
    <definedName function="false" hidden="true" name="IQRSingleScoreM11" vbProcedure="false">#REF!</definedName>
    <definedName function="false" hidden="true" name="IQRSingleScoreM12" vbProcedure="false">#REF!</definedName>
    <definedName function="false" hidden="true" name="IQRSingleScoreM37" vbProcedure="false">#REF!</definedName>
    <definedName function="false" hidden="true" name="IQRSingleScoreN11" vbProcedure="false">#REF!</definedName>
    <definedName function="false" hidden="true" name="IQRSingleScoreN12" vbProcedure="false">#REF!</definedName>
    <definedName function="false" hidden="true" name="IQRSingleScoreN37" vbProcedure="false">#REF!</definedName>
    <definedName function="false" hidden="true" name="IQRSingleScoreO11" vbProcedure="false">#REF!</definedName>
    <definedName function="false" hidden="true" name="IQRSingleScoreO12" vbProcedure="false">#REF!</definedName>
    <definedName function="false" hidden="true" name="IQRSingleScoreO13" vbProcedure="false">#REF!</definedName>
    <definedName function="false" hidden="true" name="IQRSingleScoreO14" vbProcedure="false">#REF!</definedName>
    <definedName function="false" hidden="true" name="IQRSingleScoreO15" vbProcedure="false">#REF!</definedName>
    <definedName function="false" hidden="true" name="IQRSingleScoreO37" vbProcedure="false">#REF!</definedName>
    <definedName function="false" hidden="true" name="IQRSingleScoreP12" vbProcedure="false">#REF!</definedName>
    <definedName function="false" hidden="true" name="IQRSingleScoreP13" vbProcedure="false">#REF!</definedName>
    <definedName function="false" hidden="true" name="IQRSingleScoreP14" vbProcedure="false">#REF!</definedName>
    <definedName function="false" hidden="true" name="IQRSingleScoreP15" vbProcedure="false">#REF!</definedName>
    <definedName function="false" hidden="true" name="IQRSingleScoreP37" vbProcedure="false">#REF!</definedName>
    <definedName function="false" hidden="true" name="IQRSingleScoreQ15" vbProcedure="false">#REF!</definedName>
    <definedName function="false" hidden="true" name="IQRSingleScoreQ37" vbProcedure="false">#REF!</definedName>
    <definedName function="false" hidden="true" name="IQRSingleScoreR37" vbProcedure="false">#REF!</definedName>
    <definedName function="false" hidden="true" name="IQRSingleScoreS37" vbProcedure="false">#REF!</definedName>
    <definedName function="false" hidden="true" name="IQRSingleScoreT37" vbProcedure="false">#REF!</definedName>
    <definedName function="false" hidden="true" name="IQRSingleScoreU13" vbProcedure="false">#REF!</definedName>
    <definedName function="false" hidden="true" name="IQRSingleScoreU14" vbProcedure="false">#REF!</definedName>
    <definedName function="false" hidden="true" name="IQRSingleScoreU15" vbProcedure="false">#REF!</definedName>
    <definedName function="false" hidden="true" name="IQRSingleScoreU37" vbProcedure="false">#REF!</definedName>
    <definedName function="false" hidden="true" name="IQRSingleScoreU5" vbProcedure="false">#REF!</definedName>
    <definedName function="false" hidden="true" name="IQRSingleScoreV15" vbProcedure="false">#REF!</definedName>
    <definedName function="false" hidden="true" name="IQRSingleScoreV5" vbProcedure="false">#REF!</definedName>
    <definedName function="false" hidden="true" name="IQRSingleScoreW13" vbProcedure="false">#REF!</definedName>
    <definedName function="false" hidden="true" name="IQRSingleScoreW14" vbProcedure="false">#REF!</definedName>
    <definedName function="false" hidden="true" name="IQRSingleScoreW15" vbProcedure="false">#REF!</definedName>
    <definedName function="false" hidden="true" name="IQRSingleScoreX13" vbProcedure="false">#REF!</definedName>
    <definedName function="false" hidden="true" name="IQRSingleScoreX14" vbProcedure="false">#REF!</definedName>
    <definedName function="false" hidden="true" name="IQRSingleScoreX15" vbProcedure="false">#REF!</definedName>
    <definedName function="false" hidden="true" name="IQRSingleScoreY15" vbProcedure="false">#REF!</definedName>
    <definedName function="false" hidden="true" name="IQRSingleScoreZ15" vbProcedure="false">#REF!</definedName>
    <definedName function="false" hidden="true" name="IQRSingleScoreZ37" vbProcedure="false">#REF!</definedName>
    <definedName function="false" hidden="true" name="IQRSummaryTransparencyAZ77" vbProcedure="false">#REF!</definedName>
    <definedName function="false" hidden="true" name="IQRSummaryTransparencyBC77" vbProcedure="false">#REF!</definedName>
    <definedName function="false" hidden="true" name="IQRSummaryTransparencyBD77" vbProcedure="false">#REF!</definedName>
    <definedName function="false" hidden="true" name="IQRSummaryTransparencyBE77" vbProcedure="false">#REF!</definedName>
    <definedName function="false" hidden="true" name="IQRSummaryTransparencyBF77" vbProcedure="false">#REF!</definedName>
    <definedName function="false" hidden="true" name="IQRSummaryTransparencyCR77" vbProcedure="false">#REF!</definedName>
    <definedName function="false" hidden="true" name="IQRSummaryTransparencyCS77" vbProcedure="false">#REF!</definedName>
    <definedName function="false" hidden="true" name="IQRSummaryTransparencyDH77" vbProcedure="false">#REF!</definedName>
    <definedName function="false" hidden="true" name="IQRSummaryTransparencyDI77" vbProcedure="false">#REF!</definedName>
    <definedName function="false" hidden="true" name="IQRSummaryTransparencyDJ77" vbProcedure="false">#REF!</definedName>
    <definedName function="false" hidden="true" name="IQRSummaryTransparencyDK77" vbProcedure="false">#REF!</definedName>
    <definedName function="false" hidden="true" name="IQRSummaryTransparencyDL77" vbProcedure="false">#REF!</definedName>
    <definedName function="false" hidden="true" name="IQRSummaryTransparencyDM77" vbProcedure="false">#REF!</definedName>
    <definedName function="false" hidden="true" name="IQRSummaryTransparencyDN77" vbProcedure="false">#REF!</definedName>
    <definedName function="false" hidden="true" name="IQRSummaryTransparencyDO77" vbProcedure="false">#REF!</definedName>
    <definedName function="false" hidden="true" name="IQRSummaryTransparencyDP77" vbProcedure="false">#REF!</definedName>
    <definedName function="false" hidden="true" name="IQRSummaryTransparencyDQ77" vbProcedure="false">#REF!</definedName>
    <definedName function="false" hidden="true" name="IQRSummaryTransparencyDR77" vbProcedure="false">#REF!</definedName>
    <definedName function="false" hidden="true" name="IQRSummaryTransparencyDS77" vbProcedure="false">#REF!</definedName>
    <definedName function="false" hidden="true" name="IQRSummaryTransparencyDT77" vbProcedure="false">#REF!</definedName>
    <definedName function="false" hidden="true" name="IQRSummaryTransparencyDU77" vbProcedure="false">#REF!</definedName>
    <definedName function="false" hidden="true" name="IQRSummaryTransparencyDV77" vbProcedure="false">#REF!</definedName>
    <definedName function="false" hidden="true" name="IQRSummaryTransparencyDW77" vbProcedure="false">#REF!</definedName>
    <definedName function="false" hidden="true" name="IQRSummaryTransparencyDX77" vbProcedure="false">#REF!</definedName>
    <definedName function="false" hidden="true" name="IQRSummaryTransparencyDY77" vbProcedure="false">#REF!</definedName>
    <definedName function="false" hidden="true" name="IQRSummaryTransparencyDZ77" vbProcedure="false">#REF!</definedName>
    <definedName function="false" hidden="true" name="IQRSummaryTransparencyEA77" vbProcedure="false">#REF!</definedName>
    <definedName function="false" hidden="true" name="IQRSummaryTransparencyEB77" vbProcedure="false">#REF!</definedName>
    <definedName function="false" hidden="true" name="IQRSummaryTransparencyEC77" vbProcedure="false">#REF!</definedName>
    <definedName function="false" hidden="true" name="IQRSummaryTransparencyED77" vbProcedure="false">#REF!</definedName>
    <definedName function="false" hidden="true" name="IQRSummaryTransparencyEE77" vbProcedure="false">#REF!</definedName>
    <definedName function="false" hidden="true" name="IQRSummaryTransparencyEF77" vbProcedure="false">#REF!</definedName>
    <definedName function="false" hidden="true" name="IQRSummaryTransparencyEG77" vbProcedure="false">#REF!</definedName>
    <definedName function="false" hidden="true" name="IQRSummaryTransparencyEH77" vbProcedure="false">#REF!</definedName>
    <definedName function="false" hidden="true" name="IQRSummaryTransparencyEI77" vbProcedure="false">#REF!</definedName>
    <definedName function="false" hidden="true" name="IQRSummaryTransparencyEJ77" vbProcedure="false">#REF!</definedName>
    <definedName function="false" hidden="true" name="IQRSummaryTransparencyEK77" vbProcedure="false">#REF!</definedName>
    <definedName function="false" hidden="true" name="IQRSummaryTransparencyEL77" vbProcedure="false">#REF!</definedName>
    <definedName function="false" hidden="true" name="IQRSummaryTransparencyEM77" vbProcedure="false">#REF!</definedName>
    <definedName function="false" hidden="true" name="IQRSummaryTransparencyEN77" vbProcedure="false">#REF!</definedName>
    <definedName function="false" hidden="true" name="IQRSummaryTransparencyEO77" vbProcedure="false">#REF!</definedName>
    <definedName function="false" hidden="true" name="IQRSummaryTransparencyEP77" vbProcedure="false">#REF!</definedName>
    <definedName function="false" hidden="true" name="IQRSummaryTransparencyEQ77" vbProcedure="false">#REF!</definedName>
    <definedName function="false" hidden="true" name="IQRSummaryTransparencyER77" vbProcedure="false">#REF!</definedName>
    <definedName function="false" hidden="true" name="IQRSummaryTransparencyES77" vbProcedure="false">#REF!</definedName>
    <definedName function="false" hidden="true" name="IQRSummaryTransparencyET77" vbProcedure="false">#REF!</definedName>
    <definedName function="false" hidden="true" name="IQRSummaryTransparencyEU77" vbProcedure="false">#REF!</definedName>
    <definedName function="false" hidden="true" name="IQRSummaryTransparencyEV77" vbProcedure="false">#REF!</definedName>
    <definedName function="false" hidden="true" name="IQRSummaryTransparencyEW77" vbProcedure="false">#REF!</definedName>
    <definedName function="false" hidden="true" name="IQRSummaryTransparencyEX77" vbProcedure="false">#REF!</definedName>
    <definedName function="false" hidden="true" name="IQRSummaryTransparencyEY77" vbProcedure="false">#REF!</definedName>
    <definedName function="false" hidden="true" name="IQRSummaryTransparencyEZ77" vbProcedure="false">#REF!</definedName>
    <definedName function="false" hidden="true" name="IQRSummaryTransparencyFA77" vbProcedure="false">#REF!</definedName>
    <definedName function="false" hidden="true" name="IQRSummaryTransparencyFB77" vbProcedure="false">#REF!</definedName>
    <definedName function="false" hidden="true" name="IQRSummaryTransparencyFC77" vbProcedure="false">#REF!</definedName>
    <definedName function="false" hidden="true" name="IQRSummaryTransparencyFD77" vbProcedure="false">#REF!</definedName>
    <definedName function="false" hidden="true" name="IQRSummaryTransparencyFE77" vbProcedure="false">#REF!</definedName>
    <definedName function="false" hidden="true" name="IQRSummaryTransparencyFF77" vbProcedure="false">#REF!</definedName>
    <definedName function="false" hidden="true" name="IQRT1" vbProcedure="false">"$T$2:$T$23"</definedName>
    <definedName function="false" hidden="true" name="IQRT10" vbProcedure="false">"$T$11:$T$81"</definedName>
    <definedName function="false" hidden="true" name="IQRT13" vbProcedure="false">"$T$14:$T$84"</definedName>
    <definedName function="false" hidden="true" name="IQRT14" vbProcedure="false">"$T$15"</definedName>
    <definedName function="false" hidden="true" name="IQRT21" vbProcedure="false">"$T$22"</definedName>
    <definedName function="false" hidden="true" name="IQRT23" vbProcedure="false">"$T$24:$T$43"</definedName>
    <definedName function="false" hidden="true" name="IQRT24" vbProcedure="false">"$T$25"</definedName>
    <definedName function="false" hidden="true" name="IQRT3" vbProcedure="false">"$T$4:$T$253"</definedName>
    <definedName function="false" hidden="true" name="IQRT39" vbProcedure="false">"$T$40:$T$56"</definedName>
    <definedName function="false" hidden="true" name="IQRT57" vbProcedure="false">"$T$58:$T$127"</definedName>
    <definedName function="false" hidden="true" name="IQRT7" vbProcedure="false">"$T$8"</definedName>
    <definedName function="false" hidden="true" name="IQRT8" vbProcedure="false">#REF!</definedName>
    <definedName function="false" hidden="true" name="IQRT81" vbProcedure="false">"$T$82"</definedName>
    <definedName function="false" hidden="true" name="IQRTabelle16AB8" vbProcedure="false">#REF!</definedName>
    <definedName function="false" hidden="true" name="IQRTabelle16AF8" vbProcedure="false">#REF!</definedName>
    <definedName function="false" hidden="true" name="IQRTabelle16AJ8" vbProcedure="false">#REF!</definedName>
    <definedName function="false" hidden="true" name="IQRTabelle16AN8" vbProcedure="false">#REF!</definedName>
    <definedName function="false" hidden="true" name="IQRTabelle16AR8" vbProcedure="false">#REF!</definedName>
    <definedName function="false" hidden="true" name="IQRTabelle16AV8" vbProcedure="false">#REF!</definedName>
    <definedName function="false" hidden="true" name="IQRTabelle16B50" vbProcedure="false">#REF!</definedName>
    <definedName function="false" hidden="true" name="IQRTabelle16C50" vbProcedure="false">#REF!</definedName>
    <definedName function="false" hidden="true" name="IQRTabelle16D8" vbProcedure="false">#REF!</definedName>
    <definedName function="false" hidden="true" name="IQRTabelle16H8" vbProcedure="false">#REF!</definedName>
    <definedName function="false" hidden="true" name="IQRTabelle16L8" vbProcedure="false">#REF!</definedName>
    <definedName function="false" hidden="true" name="IQRTabelle16P8" vbProcedure="false">#REF!</definedName>
    <definedName function="false" hidden="true" name="IQRTabelle16T8" vbProcedure="false">#REF!</definedName>
    <definedName function="false" hidden="true" name="IQRTabelle16X8" vbProcedure="false">#REF!</definedName>
    <definedName function="false" hidden="true" name="IQRTabelle17AB8" vbProcedure="false">#REF!</definedName>
    <definedName function="false" hidden="true" name="IQRTabelle17AF8" vbProcedure="false">#REF!</definedName>
    <definedName function="false" hidden="true" name="IQRTabelle17AJ8" vbProcedure="false">#REF!</definedName>
    <definedName function="false" hidden="true" name="IQRTabelle17AN8" vbProcedure="false">#REF!</definedName>
    <definedName function="false" hidden="true" name="IQRTabelle17AR8" vbProcedure="false">#REF!</definedName>
    <definedName function="false" hidden="true" name="IQRTabelle17AV8" vbProcedure="false">#REF!</definedName>
    <definedName function="false" hidden="true" name="IQRTabelle17B50" vbProcedure="false">#REF!</definedName>
    <definedName function="false" hidden="true" name="IQRTabelle17C50" vbProcedure="false">#REF!</definedName>
    <definedName function="false" hidden="true" name="IQRTabelle17D8" vbProcedure="false">#REF!</definedName>
    <definedName function="false" hidden="true" name="IQRTabelle17H8" vbProcedure="false">#REF!</definedName>
    <definedName function="false" hidden="true" name="IQRTabelle17L8" vbProcedure="false">#REF!</definedName>
    <definedName function="false" hidden="true" name="IQRTabelle17P8" vbProcedure="false">#REF!</definedName>
    <definedName function="false" hidden="true" name="IQRTabelle17T8" vbProcedure="false">#REF!</definedName>
    <definedName function="false" hidden="true" name="IQRTabelle17X8" vbProcedure="false">#REF!</definedName>
    <definedName function="false" hidden="true" name="IQRTabelle5C3" vbProcedure="false">#REF!</definedName>
    <definedName function="false" hidden="true" name="IQRTabelle5D3" vbProcedure="false">#REF!</definedName>
    <definedName function="false" hidden="true" name="IQRTabelle8C42" vbProcedure="false">#REF!</definedName>
    <definedName function="false" hidden="true" name="IQRTabelle8M4" vbProcedure="false">#REF!</definedName>
    <definedName function="false" hidden="true" name="IQRTabelle8P4" vbProcedure="false">#REF!</definedName>
    <definedName function="false" hidden="true" name="IQRTabelle8R4" vbProcedure="false">#REF!</definedName>
    <definedName function="false" hidden="true" name="IQRTD2AZ77" vbProcedure="false">#REF!</definedName>
    <definedName function="false" hidden="true" name="IQRTD2BC77" vbProcedure="false">#REF!</definedName>
    <definedName function="false" hidden="true" name="IQRTD2BD77" vbProcedure="false">#REF!</definedName>
    <definedName function="false" hidden="true" name="IQRTD2BE77" vbProcedure="false">#REF!</definedName>
    <definedName function="false" hidden="true" name="IQRTD2BF77" vbProcedure="false">#REF!</definedName>
    <definedName function="false" hidden="true" name="IQRTDAT75" vbProcedure="false">#REF!</definedName>
    <definedName function="false" hidden="true" name="IQRTDAT76" vbProcedure="false">#REF!</definedName>
    <definedName function="false" hidden="true" name="IQRTDAT77" vbProcedure="false">#REF!</definedName>
    <definedName function="false" hidden="true" name="IQRTDAW75" vbProcedure="false">#REF!</definedName>
    <definedName function="false" hidden="true" name="IQRTDAW76" vbProcedure="false">#REF!</definedName>
    <definedName function="false" hidden="true" name="IQRTDAW77" vbProcedure="false">#REF!</definedName>
    <definedName function="false" hidden="true" name="IQRTDAW78" vbProcedure="false">#REF!</definedName>
    <definedName function="false" hidden="true" name="IQRTDAW79" vbProcedure="false">#REF!</definedName>
    <definedName function="false" hidden="true" name="IQRTDAW80" vbProcedure="false">#REF!</definedName>
    <definedName function="false" hidden="true" name="IQRTDAX75" vbProcedure="false">#REF!</definedName>
    <definedName function="false" hidden="true" name="IQRTDAX76" vbProcedure="false">#REF!</definedName>
    <definedName function="false" hidden="true" name="IQRTDAX77" vbProcedure="false">#REF!</definedName>
    <definedName function="false" hidden="true" name="IQRTDAX78" vbProcedure="false">#REF!</definedName>
    <definedName function="false" hidden="true" name="IQRTDAX79" vbProcedure="false">#REF!</definedName>
    <definedName function="false" hidden="true" name="IQRTDAX80" vbProcedure="false">#REF!</definedName>
    <definedName function="false" hidden="true" name="IQRTDAY75" vbProcedure="false">#REF!</definedName>
    <definedName function="false" hidden="true" name="IQRTDAY76" vbProcedure="false">#REF!</definedName>
    <definedName function="false" hidden="true" name="IQRTDAY77" vbProcedure="false">#REF!</definedName>
    <definedName function="false" hidden="true" name="IQRTDAY78" vbProcedure="false">#REF!</definedName>
    <definedName function="false" hidden="true" name="IQRTDAY79" vbProcedure="false">#REF!</definedName>
    <definedName function="false" hidden="true" name="IQRTDAY80" vbProcedure="false">#REF!</definedName>
    <definedName function="false" hidden="true" name="IQRTDAZ75" vbProcedure="false">#REF!</definedName>
    <definedName function="false" hidden="true" name="IQRTDAZ76" vbProcedure="false">#REF!</definedName>
    <definedName function="false" hidden="true" name="IQRTDAZ77" vbProcedure="false">#REF!</definedName>
    <definedName function="false" hidden="true" name="IQRTDAZ78" vbProcedure="false">#REF!</definedName>
    <definedName function="false" hidden="true" name="IQRTDAZ79" vbProcedure="false">#REF!</definedName>
    <definedName function="false" hidden="true" name="IQRTDAZ80" vbProcedure="false">#REF!</definedName>
    <definedName function="false" hidden="true" name="IQRTDBA75" vbProcedure="false">#REF!</definedName>
    <definedName function="false" hidden="true" name="IQRTDBA77" vbProcedure="false">#REF!</definedName>
    <definedName function="false" hidden="true" name="IQRTDBB77" vbProcedure="false">#REF!</definedName>
    <definedName function="false" hidden="true" name="IQRTDBC77" vbProcedure="false">#REF!</definedName>
    <definedName function="false" hidden="true" name="IQRTDBD77" vbProcedure="false">#REF!</definedName>
    <definedName function="false" hidden="true" name="IQRTDBE77" vbProcedure="false">#REF!</definedName>
    <definedName function="false" hidden="true" name="IQRTDBF77" vbProcedure="false">#REF!</definedName>
    <definedName function="false" hidden="true" name="IQRTDCR77" vbProcedure="false">#REF!</definedName>
    <definedName function="false" hidden="true" name="IQRTDCS77" vbProcedure="false">#REF!</definedName>
    <definedName function="false" hidden="true" name="IQRTearsheetAG15" vbProcedure="false">#REF!</definedName>
    <definedName function="false" hidden="true" name="IQRTearsheetAH15" vbProcedure="false">#REF!</definedName>
    <definedName function="false" hidden="true" name="IQRTearsheetAI15" vbProcedure="false">#REF!</definedName>
    <definedName function="false" hidden="true" name="IQRTreasurymethod2AB24" vbProcedure="false">#REF!</definedName>
    <definedName function="false" hidden="true" name="IQRTreasurymethod2AB7" vbProcedure="false">#REF!</definedName>
    <definedName function="false" hidden="true" name="IQRTreasurymethod2AC24" vbProcedure="false">#REF!</definedName>
    <definedName function="false" hidden="true" name="IQRTreasurymethod2AC7" vbProcedure="false">#REF!</definedName>
    <definedName function="false" hidden="true" name="IQRTreasurymethodAB24" vbProcedure="false">#REF!</definedName>
    <definedName function="false" hidden="true" name="IQRTreasurymethodAB7" vbProcedure="false">#REF!</definedName>
    <definedName function="false" hidden="true" name="IQRTreasurymethodAC24" vbProcedure="false">#REF!</definedName>
    <definedName function="false" hidden="true" name="IQRTreasurymethodAC7" vbProcedure="false">#REF!</definedName>
    <definedName function="false" hidden="true" name="IQRTreasurymethodAD23" vbProcedure="false">#REF!</definedName>
    <definedName function="false" hidden="true" name="IQRTreasurymethodAD24" vbProcedure="false">#REF!</definedName>
    <definedName function="false" hidden="true" name="IQRTreasurymethodAD6" vbProcedure="false">#REF!</definedName>
    <definedName function="false" hidden="true" name="IQRTreasurymethodAD7" vbProcedure="false">#REF!</definedName>
    <definedName function="false" hidden="true" name="IQRTreasurymethodAE23" vbProcedure="false">#REF!</definedName>
    <definedName function="false" hidden="true" name="IQRTreasurymethodAE24" vbProcedure="false">#REF!</definedName>
    <definedName function="false" hidden="true" name="IQRTreasurymethodAE6" vbProcedure="false">#REF!</definedName>
    <definedName function="false" hidden="true" name="IQRTreasurymethodAE7" vbProcedure="false">#REF!</definedName>
    <definedName function="false" hidden="true" name="IQRTreasurymethodOptionsAC24" vbProcedure="false">#REF!</definedName>
    <definedName function="false" hidden="true" name="IQRTreasurymethodOptionsAC7" vbProcedure="false">#REF!</definedName>
    <definedName function="false" hidden="true" name="IQRU11" vbProcedure="false">"$U$12:$U$264"</definedName>
    <definedName function="false" hidden="true" name="IQRU21" vbProcedure="false">"$U$22"</definedName>
    <definedName function="false" hidden="true" name="IQRU24" vbProcedure="false">"$U$25:$U$29"</definedName>
    <definedName function="false" hidden="true" name="IQRU28" vbProcedure="false">"$U$29:$U$48"</definedName>
    <definedName function="false" hidden="true" name="IQRU3" vbProcedure="false">"$U$4:$U$253"</definedName>
    <definedName function="false" hidden="true" name="IQRU36" vbProcedure="false">"$U$37:$U$290"</definedName>
    <definedName function="false" hidden="true" name="IQRU39" vbProcedure="false">"$U$40:$U$291"</definedName>
    <definedName function="false" hidden="true" name="IQRU40" vbProcedure="false">"$U$41:$U$286"</definedName>
    <definedName function="false" hidden="true" name="IQRU5" vbProcedure="false">"$U$6:$U$512"</definedName>
    <definedName function="false" hidden="true" name="IQRU7" vbProcedure="false">"$U$8:$U$12"</definedName>
    <definedName function="false" hidden="true" name="IQRU81" vbProcedure="false">"$U$82"</definedName>
    <definedName function="false" hidden="true" name="IQRUploadCAOnlyFinancialsR15" vbProcedure="false">#REF!</definedName>
    <definedName function="false" hidden="true" name="IQRUploadCAOnlyFinancialsR16" vbProcedure="false">#REF!</definedName>
    <definedName function="false" hidden="true" name="IQRUploadCAOnlyFinancialsR17" vbProcedure="false">#REF!</definedName>
    <definedName function="false" hidden="true" name="IQRUploadCAOnlyFinancialsR5" vbProcedure="false">#REF!</definedName>
    <definedName function="false" hidden="true" name="IQRUploadCAOnlyFinancialsS15" vbProcedure="false">#REF!</definedName>
    <definedName function="false" hidden="true" name="IQRUploadCAOnlyFinancialsS16" vbProcedure="false">#REF!</definedName>
    <definedName function="false" hidden="true" name="IQRUploadCAOnlyFinancialsS17" vbProcedure="false">#REF!</definedName>
    <definedName function="false" hidden="true" name="IQRUploadCAOnlyFinancialsY15" vbProcedure="false">#REF!</definedName>
    <definedName function="false" hidden="true" name="IQRUploadCAOnlyFinancialsY16" vbProcedure="false">#REF!</definedName>
    <definedName function="false" hidden="true" name="IQRUploadCAOnlyFinancialsY17" vbProcedure="false">#REF!</definedName>
    <definedName function="false" hidden="true" name="IQRUploadCAOnlyFinancialsY5" vbProcedure="false">#REF!</definedName>
    <definedName function="false" hidden="true" name="IQRUploadCAOnlyFinancialsZ15" vbProcedure="false">#REF!</definedName>
    <definedName function="false" hidden="true" name="IQRUploadCAOnlyFinancialsZ16" vbProcedure="false">#REF!</definedName>
    <definedName function="false" hidden="true" name="IQRUploadCAOnlyFinancialsZ17" vbProcedure="false">#REF!</definedName>
    <definedName function="false" hidden="true" name="IQRUploadSummaryFinancialsAA15" vbProcedure="false">#REF!</definedName>
    <definedName function="false" hidden="true" name="IQRUploadSummaryFinancialsAA53" vbProcedure="false">#REF!</definedName>
    <definedName function="false" hidden="true" name="IQRUploadSummaryFinancialsAA71" vbProcedure="false">#REF!</definedName>
    <definedName function="false" hidden="true" name="IQRUploadSummaryFinancialsAH5" vbProcedure="false">#REF!</definedName>
    <definedName function="false" hidden="true" name="IQRUploadSummaryFinancialsP15" vbProcedure="false">#REF!</definedName>
    <definedName function="false" hidden="true" name="IQRUploadSummaryFinancialsP37" vbProcedure="false">#REF!</definedName>
    <definedName function="false" hidden="true" name="IQRUploadSummaryFinancialsQ15" vbProcedure="false">#REF!</definedName>
    <definedName function="false" hidden="true" name="IQRUploadSummaryFinancialsR15" vbProcedure="false">#REF!</definedName>
    <definedName function="false" hidden="true" name="IQRUploadSummaryFinancialsR16" vbProcedure="false">#REF!</definedName>
    <definedName function="false" hidden="true" name="IQRUploadSummaryFinancialsR31" vbProcedure="false">#REF!</definedName>
    <definedName function="false" hidden="true" name="IQRUploadSummaryFinancialsR37" vbProcedure="false">#REF!</definedName>
    <definedName function="false" hidden="true" name="IQRUploadSummaryFinancialsR38" vbProcedure="false">#REF!</definedName>
    <definedName function="false" hidden="true" name="IQRUploadSummaryFinancialsR5" vbProcedure="false">#REF!</definedName>
    <definedName function="false" hidden="true" name="IQRUploadSummaryFinancialsR53" vbProcedure="false">#REF!</definedName>
    <definedName function="false" hidden="true" name="IQRUploadSummaryFinancialsR56" vbProcedure="false">#REF!</definedName>
    <definedName function="false" hidden="true" name="IQRUploadSummaryFinancialsR71" vbProcedure="false">#REF!</definedName>
    <definedName function="false" hidden="true" name="IQRUploadSummaryFinancialsS15" vbProcedure="false">#REF!</definedName>
    <definedName function="false" hidden="true" name="IQRUploadSummaryFinancialsS16" vbProcedure="false">#REF!</definedName>
    <definedName function="false" hidden="true" name="IQRUploadSummaryFinancialsS31" vbProcedure="false">#REF!</definedName>
    <definedName function="false" hidden="true" name="IQRUploadSummaryFinancialsS37" vbProcedure="false">#REF!</definedName>
    <definedName function="false" hidden="true" name="IQRUploadSummaryFinancialsT15" vbProcedure="false">#REF!</definedName>
    <definedName function="false" hidden="true" name="IQRUploadSummaryFinancialsT53" vbProcedure="false">#REF!</definedName>
    <definedName function="false" hidden="true" name="IQRUploadSummaryFinancialsT71" vbProcedure="false">#REF!</definedName>
    <definedName function="false" hidden="true" name="IQRUploadSummaryFinancialsU37" vbProcedure="false">#REF!</definedName>
    <definedName function="false" hidden="true" name="IQRUploadSummaryFinancialsV15" vbProcedure="false">#REF!</definedName>
    <definedName function="false" hidden="true" name="IQRUploadSummaryFinancialsV5" vbProcedure="false">#REF!</definedName>
    <definedName function="false" hidden="true" name="IQRUploadSummaryFinancialsX15" vbProcedure="false">#REF!</definedName>
    <definedName function="false" hidden="true" name="IQRUploadSummaryFinancialsY15" vbProcedure="false">#REF!</definedName>
    <definedName function="false" hidden="true" name="IQRUploadSummaryFinancialsY16" vbProcedure="false">#REF!</definedName>
    <definedName function="false" hidden="true" name="IQRUploadSummaryFinancialsY31" vbProcedure="false">#REF!</definedName>
    <definedName function="false" hidden="true" name="IQRUploadSummaryFinancialsY38" vbProcedure="false">#REF!</definedName>
    <definedName function="false" hidden="true" name="IQRUploadSummaryFinancialsY5" vbProcedure="false">#REF!</definedName>
    <definedName function="false" hidden="true" name="IQRUploadSummaryFinancialsY53" vbProcedure="false">#REF!</definedName>
    <definedName function="false" hidden="true" name="IQRUploadSummaryFinancialsY56" vbProcedure="false">#REF!</definedName>
    <definedName function="false" hidden="true" name="IQRUploadSummaryFinancialsY71" vbProcedure="false">#REF!</definedName>
    <definedName function="false" hidden="true" name="IQRUploadSummaryFinancialsZ15" vbProcedure="false">#REF!</definedName>
    <definedName function="false" hidden="true" name="IQRUploadSummaryFinancialsZ16" vbProcedure="false">#REF!</definedName>
    <definedName function="false" hidden="true" name="IQRUploadSummaryFinancialsZ31" vbProcedure="false">#REF!</definedName>
    <definedName function="false" hidden="true" name="IQRV11" vbProcedure="false">"$V$12:$V$264"</definedName>
    <definedName function="false" hidden="true" name="IQRV125" vbProcedure="false">"$V$126:$V$375"</definedName>
    <definedName function="false" hidden="true" name="IQRV126" vbProcedure="false">"$V$127:$V$376"</definedName>
    <definedName function="false" hidden="true" name="IQRV127" vbProcedure="false">"$V$128:$V$377"</definedName>
    <definedName function="false" hidden="true" name="IQRV128" vbProcedure="false">"$V$129:$V$378"</definedName>
    <definedName function="false" hidden="true" name="IQRV129" vbProcedure="false">"$V$130:$V$379"</definedName>
    <definedName function="false" hidden="true" name="IQRV20" vbProcedure="false">"$V$21:$V$23"</definedName>
    <definedName function="false" hidden="true" name="IQRV24" vbProcedure="false">"$V$25:$V$28"</definedName>
    <definedName function="false" hidden="true" name="IQRV28" vbProcedure="false">"$V$29:$V$48"</definedName>
    <definedName function="false" hidden="true" name="IQRV3" vbProcedure="false">"$V$4:$V$253"</definedName>
    <definedName function="false" hidden="true" name="IQRV39" vbProcedure="false">"$V$40:$V$292"</definedName>
    <definedName function="false" hidden="true" name="IQRV4" vbProcedure="false">"$V$5:$V$254"</definedName>
    <definedName function="false" hidden="true" name="IQRV40" vbProcedure="false">"$V$41:$V$286"</definedName>
    <definedName function="false" hidden="true" name="IQRV5" vbProcedure="false">"$V$6:$V$255"</definedName>
    <definedName function="false" hidden="true" name="IQRV6" vbProcedure="false">"$V$7:$V$256"</definedName>
    <definedName function="false" hidden="true" name="IQRV7" vbProcedure="false">"$V$8:$V$11"</definedName>
    <definedName function="false" hidden="true" name="IQRV81" vbProcedure="false">"$V$82"</definedName>
    <definedName function="false" hidden="true" name="IQRV97" vbProcedure="false">"$V$98:$V$347"</definedName>
    <definedName function="false" hidden="true" name="IQRValuationA53" vbProcedure="false">#REF!</definedName>
    <definedName function="false" hidden="true" name="IQRW23" vbProcedure="false">"$W$24:$W$275"</definedName>
    <definedName function="false" hidden="true" name="IQRW24" vbProcedure="false">"$W$25:$W$26"</definedName>
    <definedName function="false" hidden="true" name="IQRW28" vbProcedure="false">"$W$29:$W$48"</definedName>
    <definedName function="false" hidden="true" name="IQRW3" vbProcedure="false">"$W$4:$W$253"</definedName>
    <definedName function="false" hidden="true" name="IQRW4" vbProcedure="false">"$W$5:$W$254"</definedName>
    <definedName function="false" hidden="true" name="IQRW5" vbProcedure="false">"$W$6:$W$393"</definedName>
    <definedName function="false" hidden="true" name="IQRW6" vbProcedure="false">"$W$7:$W$256"</definedName>
    <definedName function="false" hidden="true" name="IQRW7" vbProcedure="false">"$W$8:$W$9"</definedName>
    <definedName function="false" hidden="true" name="IQRW81" vbProcedure="false">"$W$82"</definedName>
    <definedName function="false" hidden="true" name="IQRWACCAnalysisBV10" vbProcedure="false">#REF!</definedName>
    <definedName function="false" hidden="true" name="IQRWACC_Comp5BN9" vbProcedure="false">#REF!</definedName>
    <definedName function="false" hidden="true" name="IQRWACC_Comp6BF9" vbProcedure="false">#REF!</definedName>
    <definedName function="false" hidden="true" name="IQRWACC_Comp7BN9" vbProcedure="false">#REF!</definedName>
    <definedName function="false" hidden="true" name="IQRWACC_Comp8BF9" vbProcedure="false">#REF!</definedName>
    <definedName function="false" hidden="true" name="IQRWACC_Comp8BN9" vbProcedure="false">#REF!</definedName>
    <definedName function="false" hidden="true" name="IQRWACC_Comp9BF9" vbProcedure="false">#REF!</definedName>
    <definedName function="false" hidden="true" name="IQRWACC_Comp9BN9" vbProcedure="false">#REF!</definedName>
    <definedName function="false" hidden="true" name="IQRWarrantsAM24" vbProcedure="false">#REF!</definedName>
    <definedName function="false" hidden="true" name="IQRWarrantsAM7" vbProcedure="false">#REF!</definedName>
    <definedName function="false" hidden="true" name="IQRWarrantsC24" vbProcedure="false">#REF!</definedName>
    <definedName function="false" hidden="true" name="IQRWarrantsC7" vbProcedure="false">#REF!</definedName>
    <definedName function="false" hidden="true" name="IQRX10" vbProcedure="false">"$X$11:$X$114"</definedName>
    <definedName function="false" hidden="true" name="IQRX24" vbProcedure="false">"$X$25"</definedName>
    <definedName function="false" hidden="true" name="IQRX28" vbProcedure="false">"$X$29:$X$48"</definedName>
    <definedName function="false" hidden="true" name="IQRX3" vbProcedure="false">"$X$4:$X$253"</definedName>
    <definedName function="false" hidden="true" name="IQRX49" vbProcedure="false">"$X$50:$X$302"</definedName>
    <definedName function="false" hidden="true" name="IQRX51" vbProcedure="false">"$X$52"</definedName>
    <definedName function="false" hidden="true" name="IQRX7" vbProcedure="false">"$X$8"</definedName>
    <definedName function="false" hidden="true" name="IQRX8" vbProcedure="false">#REF!</definedName>
    <definedName function="false" hidden="true" name="IQRX81" vbProcedure="false">"$X$82"</definedName>
    <definedName function="false" hidden="true" name="IQRY18" vbProcedure="false">"$Y$19:$Y$81"</definedName>
    <definedName function="false" hidden="true" name="IQRY19" vbProcedure="false">"$Y$20:$Y$81"</definedName>
    <definedName function="false" hidden="true" name="IQRY21" vbProcedure="false">"$Y$22"</definedName>
    <definedName function="false" hidden="true" name="IQRY24" vbProcedure="false">"$Y$25"</definedName>
    <definedName function="false" hidden="true" name="IQRY28" vbProcedure="false">"$Y$29:$Y$48"</definedName>
    <definedName function="false" hidden="true" name="IQRY3" vbProcedure="false">"$Y$4:$Y$253"</definedName>
    <definedName function="false" hidden="true" name="IQRY5" vbProcedure="false">"$Y$6:$Y$512"</definedName>
    <definedName function="false" hidden="true" name="IQRY51" vbProcedure="false">"$Y$52:$Y$310"</definedName>
    <definedName function="false" hidden="true" name="IQRY7" vbProcedure="false">"$Y$8"</definedName>
    <definedName function="false" hidden="true" name="IQRY81" vbProcedure="false">"$Y$82"</definedName>
    <definedName function="false" hidden="true" name="IQRYieldCurveAveragesN100" vbProcedure="false">#REF!</definedName>
    <definedName function="false" hidden="true" name="IQRYieldCurveAveragesN101" vbProcedure="false">#REF!</definedName>
    <definedName function="false" hidden="true" name="IQRYieldCurveAveragesN102" vbProcedure="false">#REF!</definedName>
    <definedName function="false" hidden="true" name="IQRYieldCurveAveragesN103" vbProcedure="false">#REF!</definedName>
    <definedName function="false" hidden="true" name="IQRYieldCurveAveragesN104" vbProcedure="false">#REF!</definedName>
    <definedName function="false" hidden="true" name="IQRYieldCurveAveragesN30" vbProcedure="false">#REF!</definedName>
    <definedName function="false" hidden="true" name="IQRYieldCurveAveragesN31" vbProcedure="false">#REF!</definedName>
    <definedName function="false" hidden="true" name="IQRYieldCurveAveragesN32" vbProcedure="false">#REF!</definedName>
    <definedName function="false" hidden="true" name="IQRYieldCurveAveragesN33" vbProcedure="false">#REF!</definedName>
    <definedName function="false" hidden="true" name="IQRYieldCurveAveragesN34" vbProcedure="false">#REF!</definedName>
    <definedName function="false" hidden="true" name="IQRYieldCurveAveragesN35" vbProcedure="false">#REF!</definedName>
    <definedName function="false" hidden="true" name="IQRYieldCurveAveragesN36" vbProcedure="false">#REF!</definedName>
    <definedName function="false" hidden="true" name="IQRYieldCurveAveragesN37" vbProcedure="false">#REF!</definedName>
    <definedName function="false" hidden="true" name="IQRYieldCurveAveragesN38" vbProcedure="false">#REF!</definedName>
    <definedName function="false" hidden="true" name="IQRYieldCurveAveragesN39" vbProcedure="false">#REF!</definedName>
    <definedName function="false" hidden="true" name="IQRYieldCurveAveragesN40" vbProcedure="false">#REF!</definedName>
    <definedName function="false" hidden="true" name="IQRYieldCurveAveragesN41" vbProcedure="false">#REF!</definedName>
    <definedName function="false" hidden="true" name="IQRYieldCurveAveragesN42" vbProcedure="false">#REF!</definedName>
    <definedName function="false" hidden="true" name="IQRYieldCurveAveragesN43" vbProcedure="false">#REF!</definedName>
    <definedName function="false" hidden="true" name="IQRYieldCurveAveragesN44" vbProcedure="false">#REF!</definedName>
    <definedName function="false" hidden="true" name="IQRYieldCurveAveragesN45" vbProcedure="false">#REF!</definedName>
    <definedName function="false" hidden="true" name="IQRYieldCurveAveragesN46" vbProcedure="false">#REF!</definedName>
    <definedName function="false" hidden="true" name="IQRYieldCurveAveragesN47" vbProcedure="false">#REF!</definedName>
    <definedName function="false" hidden="true" name="IQRYieldCurveAveragesN48" vbProcedure="false">#REF!</definedName>
    <definedName function="false" hidden="true" name="IQRYieldCurveAveragesN49" vbProcedure="false">#REF!</definedName>
    <definedName function="false" hidden="true" name="IQRYieldCurveAveragesN50" vbProcedure="false">#REF!</definedName>
    <definedName function="false" hidden="true" name="IQRYieldCurveAveragesN51" vbProcedure="false">#REF!</definedName>
    <definedName function="false" hidden="true" name="IQRYieldCurveAveragesN52" vbProcedure="false">#REF!</definedName>
    <definedName function="false" hidden="true" name="IQRYieldCurveAveragesN53" vbProcedure="false">#REF!</definedName>
    <definedName function="false" hidden="true" name="IQRYieldCurveAveragesN54" vbProcedure="false">#REF!</definedName>
    <definedName function="false" hidden="true" name="IQRYieldCurveAveragesN55" vbProcedure="false">#REF!</definedName>
    <definedName function="false" hidden="true" name="IQRYieldCurveAveragesN56" vbProcedure="false">#REF!</definedName>
    <definedName function="false" hidden="true" name="IQRYieldCurveAveragesN57" vbProcedure="false">#REF!</definedName>
    <definedName function="false" hidden="true" name="IQRYieldCurveAveragesN58" vbProcedure="false">#REF!</definedName>
    <definedName function="false" hidden="true" name="IQRYieldCurveAveragesN59" vbProcedure="false">#REF!</definedName>
    <definedName function="false" hidden="true" name="IQRYieldCurveAveragesN60" vbProcedure="false">#REF!</definedName>
    <definedName function="false" hidden="true" name="IQRYieldCurveAveragesN61" vbProcedure="false">#REF!</definedName>
    <definedName function="false" hidden="true" name="IQRYieldCurveAveragesN62" vbProcedure="false">#REF!</definedName>
    <definedName function="false" hidden="true" name="IQRYieldCurveAveragesN63" vbProcedure="false">#REF!</definedName>
    <definedName function="false" hidden="true" name="IQRYieldCurveAveragesN71" vbProcedure="false">#REF!</definedName>
    <definedName function="false" hidden="true" name="IQRYieldCurveAveragesN72" vbProcedure="false">#REF!</definedName>
    <definedName function="false" hidden="true" name="IQRYieldCurveAveragesN73" vbProcedure="false">#REF!</definedName>
    <definedName function="false" hidden="true" name="IQRYieldCurveAveragesN74" vbProcedure="false">#REF!</definedName>
    <definedName function="false" hidden="true" name="IQRYieldCurveAveragesN75" vbProcedure="false">#REF!</definedName>
    <definedName function="false" hidden="true" name="IQRYieldCurveAveragesN76" vbProcedure="false">#REF!</definedName>
    <definedName function="false" hidden="true" name="IQRYieldCurveAveragesN77" vbProcedure="false">#REF!</definedName>
    <definedName function="false" hidden="true" name="IQRYieldCurveAveragesN78" vbProcedure="false">#REF!</definedName>
    <definedName function="false" hidden="true" name="IQRYieldCurveAveragesN79" vbProcedure="false">#REF!</definedName>
    <definedName function="false" hidden="true" name="IQRYieldCurveAveragesN80" vbProcedure="false">#REF!</definedName>
    <definedName function="false" hidden="true" name="IQRYieldCurveAveragesN81" vbProcedure="false">#REF!</definedName>
    <definedName function="false" hidden="true" name="IQRYieldCurveAveragesN82" vbProcedure="false">#REF!</definedName>
    <definedName function="false" hidden="true" name="IQRYieldCurveAveragesN83" vbProcedure="false">#REF!</definedName>
    <definedName function="false" hidden="true" name="IQRYieldCurveAveragesN84" vbProcedure="false">#REF!</definedName>
    <definedName function="false" hidden="true" name="IQRYieldCurveAveragesN85" vbProcedure="false">#REF!</definedName>
    <definedName function="false" hidden="true" name="IQRYieldCurveAveragesN86" vbProcedure="false">#REF!</definedName>
    <definedName function="false" hidden="true" name="IQRYieldCurveAveragesN87" vbProcedure="false">#REF!</definedName>
    <definedName function="false" hidden="true" name="IQRYieldCurveAveragesN88" vbProcedure="false">#REF!</definedName>
    <definedName function="false" hidden="true" name="IQRYieldCurveAveragesN89" vbProcedure="false">#REF!</definedName>
    <definedName function="false" hidden="true" name="IQRYieldCurveAveragesN90" vbProcedure="false">#REF!</definedName>
    <definedName function="false" hidden="true" name="IQRYieldCurveAveragesN91" vbProcedure="false">#REF!</definedName>
    <definedName function="false" hidden="true" name="IQRYieldCurveAveragesN92" vbProcedure="false">#REF!</definedName>
    <definedName function="false" hidden="true" name="IQRYieldCurveAveragesN93" vbProcedure="false">#REF!</definedName>
    <definedName function="false" hidden="true" name="IQRYieldCurveAveragesN94" vbProcedure="false">#REF!</definedName>
    <definedName function="false" hidden="true" name="IQRYieldCurveAveragesN95" vbProcedure="false">#REF!</definedName>
    <definedName function="false" hidden="true" name="IQRYieldCurveAveragesN96" vbProcedure="false">#REF!</definedName>
    <definedName function="false" hidden="true" name="IQRYieldCurveAveragesN97" vbProcedure="false">#REF!</definedName>
    <definedName function="false" hidden="true" name="IQRYieldCurveAveragesN98" vbProcedure="false">#REF!</definedName>
    <definedName function="false" hidden="true" name="IQRYieldCurveAveragesN99" vbProcedure="false">#REF!</definedName>
    <definedName function="false" hidden="true" name="IQRYieldCurveAveragesO100" vbProcedure="false">#REF!</definedName>
    <definedName function="false" hidden="true" name="IQRYieldCurveAveragesO101" vbProcedure="false">#REF!</definedName>
    <definedName function="false" hidden="true" name="IQRYieldCurveAveragesO102" vbProcedure="false">#REF!</definedName>
    <definedName function="false" hidden="true" name="IQRYieldCurveAveragesO103" vbProcedure="false">#REF!</definedName>
    <definedName function="false" hidden="true" name="IQRYieldCurveAveragesO104" vbProcedure="false">#REF!</definedName>
    <definedName function="false" hidden="true" name="IQRYieldCurveAveragesO30" vbProcedure="false">#REF!</definedName>
    <definedName function="false" hidden="true" name="IQRYieldCurveAveragesO31" vbProcedure="false">#REF!</definedName>
    <definedName function="false" hidden="true" name="IQRYieldCurveAveragesO32" vbProcedure="false">#REF!</definedName>
    <definedName function="false" hidden="true" name="IQRYieldCurveAveragesO33" vbProcedure="false">#REF!</definedName>
    <definedName function="false" hidden="true" name="IQRYieldCurveAveragesO34" vbProcedure="false">#REF!</definedName>
    <definedName function="false" hidden="true" name="IQRYieldCurveAveragesO35" vbProcedure="false">#REF!</definedName>
    <definedName function="false" hidden="true" name="IQRYieldCurveAveragesO36" vbProcedure="false">#REF!</definedName>
    <definedName function="false" hidden="true" name="IQRYieldCurveAveragesO37" vbProcedure="false">#REF!</definedName>
    <definedName function="false" hidden="true" name="IQRYieldCurveAveragesO38" vbProcedure="false">#REF!</definedName>
    <definedName function="false" hidden="true" name="IQRYieldCurveAveragesO39" vbProcedure="false">#REF!</definedName>
    <definedName function="false" hidden="true" name="IQRYieldCurveAveragesO40" vbProcedure="false">#REF!</definedName>
    <definedName function="false" hidden="true" name="IQRYieldCurveAveragesO41" vbProcedure="false">#REF!</definedName>
    <definedName function="false" hidden="true" name="IQRYieldCurveAveragesO42" vbProcedure="false">#REF!</definedName>
    <definedName function="false" hidden="true" name="IQRYieldCurveAveragesO43" vbProcedure="false">#REF!</definedName>
    <definedName function="false" hidden="true" name="IQRYieldCurveAveragesO44" vbProcedure="false">#REF!</definedName>
    <definedName function="false" hidden="true" name="IQRYieldCurveAveragesO45" vbProcedure="false">#REF!</definedName>
    <definedName function="false" hidden="true" name="IQRYieldCurveAveragesO46" vbProcedure="false">#REF!</definedName>
    <definedName function="false" hidden="true" name="IQRYieldCurveAveragesO47" vbProcedure="false">#REF!</definedName>
    <definedName function="false" hidden="true" name="IQRYieldCurveAveragesO48" vbProcedure="false">#REF!</definedName>
    <definedName function="false" hidden="true" name="IQRYieldCurveAveragesO49" vbProcedure="false">#REF!</definedName>
    <definedName function="false" hidden="true" name="IQRYieldCurveAveragesO50" vbProcedure="false">#REF!</definedName>
    <definedName function="false" hidden="true" name="IQRYieldCurveAveragesO51" vbProcedure="false">#REF!</definedName>
    <definedName function="false" hidden="true" name="IQRYieldCurveAveragesO52" vbProcedure="false">#REF!</definedName>
    <definedName function="false" hidden="true" name="IQRYieldCurveAveragesO53" vbProcedure="false">#REF!</definedName>
    <definedName function="false" hidden="true" name="IQRYieldCurveAveragesO54" vbProcedure="false">#REF!</definedName>
    <definedName function="false" hidden="true" name="IQRYieldCurveAveragesO55" vbProcedure="false">#REF!</definedName>
    <definedName function="false" hidden="true" name="IQRYieldCurveAveragesO56" vbProcedure="false">#REF!</definedName>
    <definedName function="false" hidden="true" name="IQRYieldCurveAveragesO57" vbProcedure="false">#REF!</definedName>
    <definedName function="false" hidden="true" name="IQRYieldCurveAveragesO58" vbProcedure="false">#REF!</definedName>
    <definedName function="false" hidden="true" name="IQRYieldCurveAveragesO59" vbProcedure="false">#REF!</definedName>
    <definedName function="false" hidden="true" name="IQRYieldCurveAveragesO60" vbProcedure="false">#REF!</definedName>
    <definedName function="false" hidden="true" name="IQRYieldCurveAveragesO61" vbProcedure="false">#REF!</definedName>
    <definedName function="false" hidden="true" name="IQRYieldCurveAveragesO62" vbProcedure="false">#REF!</definedName>
    <definedName function="false" hidden="true" name="IQRYieldCurveAveragesO63" vbProcedure="false">#REF!</definedName>
    <definedName function="false" hidden="true" name="IQRYieldCurveAveragesO71" vbProcedure="false">#REF!</definedName>
    <definedName function="false" hidden="true" name="IQRYieldCurveAveragesO72" vbProcedure="false">#REF!</definedName>
    <definedName function="false" hidden="true" name="IQRYieldCurveAveragesO73" vbProcedure="false">#REF!</definedName>
    <definedName function="false" hidden="true" name="IQRYieldCurveAveragesO74" vbProcedure="false">#REF!</definedName>
    <definedName function="false" hidden="true" name="IQRYieldCurveAveragesO75" vbProcedure="false">#REF!</definedName>
    <definedName function="false" hidden="true" name="IQRYieldCurveAveragesO76" vbProcedure="false">#REF!</definedName>
    <definedName function="false" hidden="true" name="IQRYieldCurveAveragesO77" vbProcedure="false">#REF!</definedName>
    <definedName function="false" hidden="true" name="IQRYieldCurveAveragesO78" vbProcedure="false">#REF!</definedName>
    <definedName function="false" hidden="true" name="IQRYieldCurveAveragesO79" vbProcedure="false">#REF!</definedName>
    <definedName function="false" hidden="true" name="IQRYieldCurveAveragesO80" vbProcedure="false">#REF!</definedName>
    <definedName function="false" hidden="true" name="IQRYieldCurveAveragesO81" vbProcedure="false">#REF!</definedName>
    <definedName function="false" hidden="true" name="IQRYieldCurveAveragesO82" vbProcedure="false">#REF!</definedName>
    <definedName function="false" hidden="true" name="IQRYieldCurveAveragesO83" vbProcedure="false">#REF!</definedName>
    <definedName function="false" hidden="true" name="IQRYieldCurveAveragesO84" vbProcedure="false">#REF!</definedName>
    <definedName function="false" hidden="true" name="IQRYieldCurveAveragesO85" vbProcedure="false">#REF!</definedName>
    <definedName function="false" hidden="true" name="IQRYieldCurveAveragesO86" vbProcedure="false">#REF!</definedName>
    <definedName function="false" hidden="true" name="IQRYieldCurveAveragesO87" vbProcedure="false">#REF!</definedName>
    <definedName function="false" hidden="true" name="IQRYieldCurveAveragesO88" vbProcedure="false">#REF!</definedName>
    <definedName function="false" hidden="true" name="IQRYieldCurveAveragesO89" vbProcedure="false">#REF!</definedName>
    <definedName function="false" hidden="true" name="IQRYieldCurveAveragesO90" vbProcedure="false">#REF!</definedName>
    <definedName function="false" hidden="true" name="IQRYieldCurveAveragesO91" vbProcedure="false">#REF!</definedName>
    <definedName function="false" hidden="true" name="IQRYieldCurveAveragesO92" vbProcedure="false">#REF!</definedName>
    <definedName function="false" hidden="true" name="IQRYieldCurveAveragesO93" vbProcedure="false">#REF!</definedName>
    <definedName function="false" hidden="true" name="IQRYieldCurveAveragesO94" vbProcedure="false">#REF!</definedName>
    <definedName function="false" hidden="true" name="IQRYieldCurveAveragesO95" vbProcedure="false">#REF!</definedName>
    <definedName function="false" hidden="true" name="IQRYieldCurveAveragesO96" vbProcedure="false">#REF!</definedName>
    <definedName function="false" hidden="true" name="IQRYieldCurveAveragesO97" vbProcedure="false">#REF!</definedName>
    <definedName function="false" hidden="true" name="IQRYieldCurveAveragesO98" vbProcedure="false">#REF!</definedName>
    <definedName function="false" hidden="true" name="IQRYieldCurveAveragesO99" vbProcedure="false">#REF!</definedName>
    <definedName function="false" hidden="true" name="IQRYieldCurveComparisonv12AE15" vbProcedure="false">#REF!</definedName>
    <definedName function="false" hidden="true" name="IQRYieldCurveComparisonv12AG15" vbProcedure="false">#REF!</definedName>
    <definedName function="false" hidden="true" name="IQRYieldCurveComparisonv12AH15" vbProcedure="false">#REF!</definedName>
    <definedName function="false" hidden="true" name="IQRYieldCurveComparisonv12AJ15" vbProcedure="false">#REF!</definedName>
    <definedName function="false" hidden="true" name="IQRYieldCurveComparisonv12AK15" vbProcedure="false">#REF!</definedName>
    <definedName function="false" hidden="true" name="IQRYieldCurveComparisonv12AL15" vbProcedure="false">#REF!</definedName>
    <definedName function="false" hidden="true" name="IQRYieldCurveComparisonv12AT15" vbProcedure="false">#REF!</definedName>
    <definedName function="false" hidden="true" name="IQRYieldCurveComparisonv1AE15" vbProcedure="false">#REF!</definedName>
    <definedName function="false" hidden="true" name="IQRYieldCurveComparisonv1AE37" vbProcedure="false">#REF!</definedName>
    <definedName function="false" hidden="true" name="IQRYieldCurveComparisonv1AE40" vbProcedure="false">#REF!</definedName>
    <definedName function="false" hidden="true" name="IQRYieldCurveComparisonv1AE41" vbProcedure="false">#REF!</definedName>
    <definedName function="false" hidden="true" name="IQRYieldCurveComparisonv1AH41" vbProcedure="false">#REF!</definedName>
    <definedName function="false" hidden="true" name="IQRYieldCurveComparisonv1AR41" vbProcedure="false">#REF!</definedName>
    <definedName function="false" hidden="true" name="IQRYieldCurveComparisonv1AS41" vbProcedure="false">#REF!</definedName>
    <definedName function="false" hidden="true" name="IQRYieldCurveComparisonv1AT15" vbProcedure="false">#REF!</definedName>
    <definedName function="false" hidden="true" name="IQRYieldCurveComparisonv1AT37" vbProcedure="false">#REF!</definedName>
    <definedName function="false" hidden="true" name="IQRYieldCurveComparisonv1AT40" vbProcedure="false">#REF!</definedName>
    <definedName function="false" hidden="true" name="IQRYieldCurveComparisonv1AT41" vbProcedure="false">#REF!</definedName>
    <definedName function="false" hidden="true" name="IQRYieldCurveComparisonv1AV41" vbProcedure="false">#REF!</definedName>
    <definedName function="false" hidden="true" name="IQRYieldCurveComparisonv1AW41" vbProcedure="false">#REF!</definedName>
    <definedName function="false" hidden="true" name="IQRYieldCurveComparisonv1AZ41" vbProcedure="false">#REF!</definedName>
    <definedName function="false" hidden="true" name="IQRYieldCurveComparisonv1BG41" vbProcedure="false">#REF!</definedName>
    <definedName function="false" hidden="true" name="IQRYieldCurveComparisonv1BJ41" vbProcedure="false">#REF!</definedName>
    <definedName function="false" hidden="true" name="IQRYieldCurveComparisonv1BM41" vbProcedure="false">#REF!</definedName>
    <definedName function="false" hidden="true" name="IQRYieldCurveComparisonv1BN41" vbProcedure="false">#REF!</definedName>
    <definedName function="false" hidden="true" name="IQRYieldCurveComparisonv2AL15" vbProcedure="false">#REF!</definedName>
    <definedName function="false" hidden="true" name="IQRYieldCurves2AR75" vbProcedure="false">#REF!</definedName>
    <definedName function="false" hidden="true" name="IQRYieldCurves2AS75" vbProcedure="false">#REF!</definedName>
    <definedName function="false" hidden="true" name="IQRYieldCurves2AT75" vbProcedure="false">#REF!</definedName>
    <definedName function="false" hidden="true" name="IQRYieldCurves2AU75" vbProcedure="false">#REF!</definedName>
    <definedName function="false" hidden="true" name="IQRYieldCurves2AV75" vbProcedure="false">#REF!</definedName>
    <definedName function="false" hidden="true" name="IQRYieldCurves2AW75" vbProcedure="false">#REF!</definedName>
    <definedName function="false" hidden="true" name="IQRYieldCurves2AX75" vbProcedure="false">#REF!</definedName>
    <definedName function="false" hidden="true" name="IQRYieldCurves2AY75" vbProcedure="false">#REF!</definedName>
    <definedName function="false" hidden="true" name="IQRYieldCurves2AZ75" vbProcedure="false">#REF!</definedName>
    <definedName function="false" hidden="true" name="IQRYieldCurvesAA15" vbProcedure="false">#REF!</definedName>
    <definedName function="false" hidden="true" name="IQRYieldCurvesAI5" vbProcedure="false">#REF!</definedName>
    <definedName function="false" hidden="true" name="IQRYieldCurvesAR37" vbProcedure="false">#REF!</definedName>
    <definedName function="false" hidden="true" name="IQRYieldCurvesAS73" vbProcedure="false">#REF!</definedName>
    <definedName function="false" hidden="true" name="IQRYieldCurvesAT37" vbProcedure="false">#REF!</definedName>
    <definedName function="false" hidden="true" name="IQRYieldCurvesAU37" vbProcedure="false">#REF!</definedName>
    <definedName function="false" hidden="true" name="IQRYieldCurvesAW37" vbProcedure="false">#REF!</definedName>
    <definedName function="false" hidden="true" name="IQRYieldCurvesQ15" vbProcedure="false">#REF!</definedName>
    <definedName function="false" hidden="true" name="IQRYieldCurvesR15" vbProcedure="false">#REF!</definedName>
    <definedName function="false" hidden="true" name="IQRYieldCurvesW15" vbProcedure="false">#REF!</definedName>
    <definedName function="false" hidden="true" name="IQRYieldCurvesW5" vbProcedure="false">#REF!</definedName>
    <definedName function="false" hidden="true" name="IQRYieldCurvesY15" vbProcedure="false">#REF!</definedName>
    <definedName function="false" hidden="true" name="IQRZ10" vbProcedure="false">"$Z$11:$Z$263"</definedName>
    <definedName function="false" hidden="true" name="IQRZ21" vbProcedure="false">"$Z$22"</definedName>
    <definedName function="false" hidden="true" name="IQRZ24" vbProcedure="false">"$Z$25"</definedName>
    <definedName function="false" hidden="true" name="IQRZ28" vbProcedure="false">"$Z$29:$Z$48"</definedName>
    <definedName function="false" hidden="true" name="IQRZ3" vbProcedure="false">"$Z$4:$Z$253"</definedName>
    <definedName function="false" hidden="true" name="IQRZ4" vbProcedure="false">"$Z$5:$Z$254"</definedName>
    <definedName function="false" hidden="true" name="IQRZ5" vbProcedure="false">"$Z$6:$Z$255"</definedName>
    <definedName function="false" hidden="true" name="IQRZ6" vbProcedure="false">"$Z$7:$Z$256"</definedName>
    <definedName function="false" hidden="true" name="IQRZ7" vbProcedure="false">"$Z$8"</definedName>
    <definedName function="false" hidden="true" name="IQRZ8" vbProcedure="false">"$Z$9:$Z$72"</definedName>
    <definedName function="false" hidden="true" name="IQRZ81" vbProcedure="false">"$Z$82"</definedName>
    <definedName function="false" hidden="true" name="IQRZTSH20" vbProcedure="false">#REF!</definedName>
    <definedName function="false" hidden="true" name="IQSCapIQDownloadA1" vbProcedure="false">"$A$2:$A$56"</definedName>
    <definedName function="false" hidden="true" name="iQShowHideColumns" vbProcedure="false">"iQShowAnnual"</definedName>
    <definedName function="false" hidden="true" name="IQSInputD4" vbProcedure="false">#REF!</definedName>
    <definedName function="false" hidden="true" name="IQSTabelle5C4" vbProcedure="false">#REF!</definedName>
    <definedName function="false" hidden="true" name="IQ_1_4_FAMILY_JUNIOR_LIENS_CHARGE_OFFS_FDIC" vbProcedure="false">"c6605"</definedName>
    <definedName function="false" hidden="true" name="IQ_1_4_FAMILY_JUNIOR_LIENS_NET_CHARGE_OFFS_FDIC" vbProcedure="false">"c6643"</definedName>
    <definedName function="false" hidden="true" name="IQ_1_4_FAMILY_JUNIOR_LIENS_RECOVERIES_FDIC" vbProcedure="false">"c6624"</definedName>
    <definedName function="false" hidden="true" name="IQ_1_4_FAMILY_RES_DOM_FFIEC" vbProcedure="false">"c15269"</definedName>
    <definedName function="false" hidden="true" name="IQ_1_4_FAMILY_SENIOR_LIENS_CHARGE_OFFS_FDIC" vbProcedure="false">"c6604"</definedName>
    <definedName function="false" hidden="true" name="IQ_1_4_FAMILY_SENIOR_LIENS_NET_CHARGE_OFFS_FDIC" vbProcedure="false">"c6642"</definedName>
    <definedName function="false" hidden="true" name="IQ_1_4_FAMILY_SENIOR_LIENS_RECOVERIES_FDIC" vbProcedure="false">"c6623"</definedName>
    <definedName function="false" hidden="true" name="IQ_1_4_HOME_EQUITY_NET_LOANS_FDIC" vbProcedure="false">"c6441"</definedName>
    <definedName function="false" hidden="true" name="IQ_1_4_RESIDENTIAL_FIRST_LIENS_NET_LOANS_FDIC" vbProcedure="false">"c6439"</definedName>
    <definedName function="false" hidden="true" name="IQ_1_4_RESIDENTIAL_JUNIOR_LIENS_NET_LOANS_FDIC" vbProcedure="false">"c6440"</definedName>
    <definedName function="false" hidden="true" name="IQ_1_4_RESIDENTIAL_LOANS_FDIC" vbProcedure="false">"c6310"</definedName>
    <definedName function="false" hidden="true" name="IQ_ACCEPTANCES_OTHER_FOREIGN_BANKS_LL_REC_FFIEC" vbProcedure="false">"c15293"</definedName>
    <definedName function="false" hidden="true" name="IQ_ACCEPTANCES_OTHER_US_BANKS_LL_REC_FFIEC" vbProcedure="false">"c15292"</definedName>
    <definedName function="false" hidden="true" name="IQ_ACCOUNTS_PAY" vbProcedure="false">"c32"</definedName>
    <definedName function="false" hidden="true" name="IQ_ACCOUNTS_PAY2" vbProcedure="false">"c32"</definedName>
    <definedName function="false" hidden="true" name="IQ_ACCOUNT_CHANGE" vbProcedure="false">"c413"</definedName>
    <definedName function="false" hidden="true" name="IQ_ACCOUNT_CHANGE2" vbProcedure="false">"c413"</definedName>
    <definedName function="false" hidden="true" name="IQ_ACCRUED_EXP" vbProcedure="false">"c8"</definedName>
    <definedName function="false" hidden="true" name="IQ_ACCRUED_EXP2" vbProcedure="false">"c8"</definedName>
    <definedName function="false" hidden="true" name="IQ_ACCR_INT_PAY" vbProcedure="false">"c1"</definedName>
    <definedName function="false" hidden="true" name="IQ_ACCR_INT_PAY_CF" vbProcedure="false">"c2"</definedName>
    <definedName function="false" hidden="true" name="IQ_ACCR_INT_RECEIV" vbProcedure="false">"c3"</definedName>
    <definedName function="false" hidden="true" name="IQ_ACCR_INT_RECEIV_CF" vbProcedure="false">"c4"</definedName>
    <definedName function="false" hidden="true" name="IQ_ACCUM_DEP" vbProcedure="false">"c7"</definedName>
    <definedName function="false" hidden="true" name="IQ_ACCUM_DEP2" vbProcedure="false">"c7"</definedName>
    <definedName function="false" hidden="true" name="IQ_ACQUIRED_BY_REPORTING_BANK_FDIC" vbProcedure="false">"c6535"</definedName>
    <definedName function="false" hidden="true" name="IQ_ACQUIRE_REAL_ESTATE_CF" vbProcedure="false">"c6"</definedName>
    <definedName function="false" hidden="true" name="IQ_ACQUISITION_RE_ASSETS" vbProcedure="false">"c1628"</definedName>
    <definedName function="false" hidden="true" name="IQ_ACQ_COSTS_CAPITALIZED" vbProcedure="false">"c5"</definedName>
    <definedName function="false" hidden="true" name="IQ_AD" vbProcedure="false">"c7"</definedName>
    <definedName function="false" hidden="true" name="IQ_ADDIN" vbProcedure="false">"AUTO"</definedName>
    <definedName function="false" hidden="true" name="IQ_ADDITIONAL_NON_INT_INC_FDIC" vbProcedure="false">"c6574"</definedName>
    <definedName function="false" hidden="true" name="IQ_ADDITIONS_NON_ACCRUAL_ASSET_DURING_QTR_FFIEC" vbProcedure="false">"c15349"</definedName>
    <definedName function="false" hidden="true" name="IQ_ADD_PAID_IN" vbProcedure="false">"c39"</definedName>
    <definedName function="false" hidden="true" name="IQ_ADD_PAIN_IN2" vbProcedure="false">"c39"</definedName>
    <definedName function="false" hidden="true" name="IQ_ADJUSTABLE_RATE_LOANS_FDIC" vbProcedure="false">"c6375"</definedName>
    <definedName function="false" hidden="true" name="IQ_ADVERTISING_MARKETING" vbProcedure="false">"c1566"</definedName>
    <definedName function="false" hidden="true" name="IQ_AE" vbProcedure="false">"c8"</definedName>
    <definedName function="false" hidden="true" name="IQ_AE_BNK" vbProcedure="false">"c9"</definedName>
    <definedName function="false" hidden="true" name="IQ_AE_BR" vbProcedure="false">"c10"</definedName>
    <definedName function="false" hidden="true" name="IQ_AE_FIN" vbProcedure="false">"c11"</definedName>
    <definedName function="false" hidden="true" name="IQ_AE_INS" vbProcedure="false">"c12"</definedName>
    <definedName function="false" hidden="true" name="IQ_AE_REIT" vbProcedure="false">"c13"</definedName>
    <definedName function="false" hidden="true" name="IQ_AE_UTI" vbProcedure="false">"c14"</definedName>
    <definedName function="false" hidden="true" name="IQ_AFTER_TAX_INCOME_FDIC" vbProcedure="false">"c6583"</definedName>
    <definedName function="false" hidden="true" name="IQ_AGRICULTURAL_PRODUCTION_CHARGE_OFFS_FDIC" vbProcedure="false">"c6597"</definedName>
    <definedName function="false" hidden="true" name="IQ_AGRICULTURAL_PRODUCTION_CHARGE_OFFS_LESS_THAN_300M_FDIC" vbProcedure="false">"c6655"</definedName>
    <definedName function="false" hidden="true" name="IQ_AGRICULTURAL_PRODUCTION_NET_CHARGE_OFFS_FDIC" vbProcedure="false">"c6635"</definedName>
    <definedName function="false" hidden="true" name="IQ_AGRICULTURAL_PRODUCTION_NET_CHARGE_OFFS_LESS_THAN_300M_FDIC" vbProcedure="false">"c6657"</definedName>
    <definedName function="false" hidden="true" name="IQ_AGRICULTURAL_PRODUCTION_RECOVERIES_FDIC" vbProcedure="false">"c6616"</definedName>
    <definedName function="false" hidden="true" name="IQ_AGRICULTURAL_PRODUCTION_RECOVERIES_LESS_THAN_300M_FDIC" vbProcedure="false">"c6656"</definedName>
    <definedName function="false" hidden="true" name="IQ_AG_PROD_FARM_LOANS_DOM_QUARTERLY_AVG_FFIEC" vbProcedure="false">"c15477"</definedName>
    <definedName function="false" hidden="true" name="IQ_ALLOWANCE_10YR_ANN_GROWTH" vbProcedure="false">"c18"</definedName>
    <definedName function="false" hidden="true" name="IQ_ALLOWANCE_1YR_ANN_GROWTH" vbProcedure="false">"c19"</definedName>
    <definedName function="false" hidden="true" name="IQ_ALLOWANCE_2YR_ANN_GROWTH" vbProcedure="false">"c20"</definedName>
    <definedName function="false" hidden="true" name="IQ_ALLOWANCE_3YR_ANN_GROWTH" vbProcedure="false">"c21"</definedName>
    <definedName function="false" hidden="true" name="IQ_ALLOWANCE_5YR_ANN_GROWTH" vbProcedure="false">"c22"</definedName>
    <definedName function="false" hidden="true" name="IQ_ALLOWANCE_7YR_ANN_GROWTH" vbProcedure="false">"c23"</definedName>
    <definedName function="false" hidden="true" name="IQ_ALLOWANCE_CHARGE_OFFS" vbProcedure="false">"c24"</definedName>
    <definedName function="false" hidden="true" name="IQ_ALLOWANCE_NON_PERF_LOANS" vbProcedure="false">"c25"</definedName>
    <definedName function="false" hidden="true" name="IQ_ALLOWANCE_TOTAL_LOANS" vbProcedure="false">"c26"</definedName>
    <definedName function="false" hidden="true" name="IQ_ALLOW_BORROW_CONST" vbProcedure="false">"c15"</definedName>
    <definedName function="false" hidden="true" name="IQ_ALLOW_CONST" vbProcedure="false">"c16"</definedName>
    <definedName function="false" hidden="true" name="IQ_ALLOW_CONST2" vbProcedure="false">"c16"</definedName>
    <definedName function="false" hidden="true" name="IQ_ALLOW_EQUITY_CONST" vbProcedure="false">"c16"</definedName>
    <definedName function="false" hidden="true" name="IQ_ALLOW_LL" vbProcedure="false">"c17"</definedName>
    <definedName function="false" hidden="true" name="IQ_ALL_OTHER_DEPOSITS_FOREIGN_DEP_FFIEC" vbProcedure="false">"c15347"</definedName>
    <definedName function="false" hidden="true" name="IQ_ALL_OTHER_INVEST_UNCONSOL_SUBS_FFIEC" vbProcedure="false">"c15275"</definedName>
    <definedName function="false" hidden="true" name="IQ_AMENDED_BALANCE_PREVIOUS_YR_FDIC" vbProcedure="false">"c6499"</definedName>
    <definedName function="false" hidden="true" name="IQ_AMORTIZATION" vbProcedure="false">"c1471"</definedName>
    <definedName function="false" hidden="true" name="IQ_AMORTIZATION2" vbProcedure="false">"c1471"</definedName>
    <definedName function="false" hidden="true" name="IQ_AMORTIZED_COST_FDIC" vbProcedure="false">"c6426"</definedName>
    <definedName function="false" hidden="true" name="IQ_AMORT_EXPENSE_FDIC" vbProcedure="false">"c6677"</definedName>
    <definedName function="false" hidden="true" name="IQ_ANALYST_DET_EST_REUT" vbProcedure="false">"c12135"</definedName>
    <definedName function="false" hidden="true" name="IQ_ANALYST_NON_PER_DET_EST_REUT" vbProcedure="false">"c12758"</definedName>
    <definedName function="false" hidden="true" name="IQ_ANNUALIZED_DIVIDEND" vbProcedure="false">"c1579"</definedName>
    <definedName function="false" hidden="true" name="IQ_ANNUAL_DIVIDEND" vbProcedure="false">"c229"</definedName>
    <definedName function="false" hidden="true" name="IQ_ANNUITY_LIAB" vbProcedure="false">"c27"</definedName>
    <definedName function="false" hidden="true" name="IQ_ANNUITY_PAY" vbProcedure="false">"c28"</definedName>
    <definedName function="false" hidden="true" name="IQ_ANNUITY_POLICY_EXP" vbProcedure="false">"c29"</definedName>
    <definedName function="false" hidden="true" name="IQ_ANNUITY_REC" vbProcedure="false">"c30"</definedName>
    <definedName function="false" hidden="true" name="IQ_ANNUITY_REV" vbProcedure="false">"c31"</definedName>
    <definedName function="false" hidden="true" name="IQ_AP" vbProcedure="false">"c32"</definedName>
    <definedName function="false" hidden="true" name="IQ_APIC" vbProcedure="false">"c39"</definedName>
    <definedName function="false" hidden="true" name="IQ_AP_BNK" vbProcedure="false">"c33"</definedName>
    <definedName function="false" hidden="true" name="IQ_AP_BR" vbProcedure="false">"c34"</definedName>
    <definedName function="false" hidden="true" name="IQ_AP_FIN" vbProcedure="false">"c35"</definedName>
    <definedName function="false" hidden="true" name="IQ_AP_INS" vbProcedure="false">"c36"</definedName>
    <definedName function="false" hidden="true" name="IQ_AP_REIT" vbProcedure="false">"c37"</definedName>
    <definedName function="false" hidden="true" name="IQ_AP_UTI" vbProcedure="false">"c38"</definedName>
    <definedName function="false" hidden="true" name="IQ_AR" vbProcedure="false">"c40"</definedName>
    <definedName function="false" hidden="true" name="IQ_AR_BR" vbProcedure="false">"c41"</definedName>
    <definedName function="false" hidden="true" name="IQ_AR_LT" vbProcedure="false">"c42"</definedName>
    <definedName function="false" hidden="true" name="IQ_AR_REIT" vbProcedure="false">"c43"</definedName>
    <definedName function="false" hidden="true" name="IQ_AR_TURNS" vbProcedure="false">"c44"</definedName>
    <definedName function="false" hidden="true" name="IQ_AR_UTI" vbProcedure="false">"c45"</definedName>
    <definedName function="false" hidden="true" name="IQ_ASSETS_HELD_FDIC" vbProcedure="false">"c6305"</definedName>
    <definedName function="false" hidden="true" name="IQ_ASSETS_PER_EMPLOYEE_FDIC" vbProcedure="false">"c6737"</definedName>
    <definedName function="false" hidden="true" name="IQ_ASSETS_SOLD_1_4_FAMILY_LOANS_FDIC" vbProcedure="false">"c6686"</definedName>
    <definedName function="false" hidden="true" name="IQ_ASSETS_SOLD_AUTO_LOANS_FDIC" vbProcedure="false">"c6680"</definedName>
    <definedName function="false" hidden="true" name="IQ_ASSETS_SOLD_CL_LOANS_FDIC" vbProcedure="false">"c6681"</definedName>
    <definedName function="false" hidden="true" name="IQ_ASSETS_SOLD_CREDIT_CARDS_RECEIVABLES_FDIC" vbProcedure="false">"c6683"</definedName>
    <definedName function="false" hidden="true" name="IQ_ASSETS_SOLD_HOME_EQUITY_LINES_FDIC" vbProcedure="false">"c6684"</definedName>
    <definedName function="false" hidden="true" name="IQ_ASSETS_SOLD_OTHER_CONSUMER_LOANS_FDIC" vbProcedure="false">"c6682"</definedName>
    <definedName function="false" hidden="true" name="IQ_ASSETS_SOLD_OTHER_LOANS_FDIC" vbProcedure="false">"c6685"</definedName>
    <definedName function="false" hidden="true" name="IQ_ASSET_BACKED_FDIC" vbProcedure="false">"c6301"</definedName>
    <definedName function="false" hidden="true" name="IQ_ASSET_MGMT_FEE" vbProcedure="false">"c46"</definedName>
    <definedName function="false" hidden="true" name="IQ_ASSET_TURNS" vbProcedure="false">"c47"</definedName>
    <definedName function="false" hidden="true" name="IQ_ASSET_WRITEDOWN" vbProcedure="false">"c48"</definedName>
    <definedName function="false" hidden="true" name="IQ_ASSET_WRITEDOWN_BNK" vbProcedure="false">"c49"</definedName>
    <definedName function="false" hidden="true" name="IQ_ASSET_WRITEDOWN_BR" vbProcedure="false">"c50"</definedName>
    <definedName function="false" hidden="true" name="IQ_ASSET_WRITEDOWN_CF" vbProcedure="false">"c51"</definedName>
    <definedName function="false" hidden="true" name="IQ_ASSET_WRITEDOWN_CF_BNK" vbProcedure="false">"c52"</definedName>
    <definedName function="false" hidden="true" name="IQ_ASSET_WRITEDOWN_CF_BR" vbProcedure="false">"c53"</definedName>
    <definedName function="false" hidden="true" name="IQ_ASSET_WRITEDOWN_CF_FIN" vbProcedure="false">"c54"</definedName>
    <definedName function="false" hidden="true" name="IQ_ASSET_WRITEDOWN_CF_INS" vbProcedure="false">"c55"</definedName>
    <definedName function="false" hidden="true" name="IQ_ASSET_WRITEDOWN_CF_REIT" vbProcedure="false">"c56"</definedName>
    <definedName function="false" hidden="true" name="IQ_ASSET_WRITEDOWN_CF_UTI" vbProcedure="false">"c57"</definedName>
    <definedName function="false" hidden="true" name="IQ_ASSET_WRITEDOWN_FIN" vbProcedure="false">"c58"</definedName>
    <definedName function="false" hidden="true" name="IQ_ASSET_WRITEDOWN_INS" vbProcedure="false">"c59"</definedName>
    <definedName function="false" hidden="true" name="IQ_ASSET_WRITEDOWN_REIT" vbProcedure="false">"c60"</definedName>
    <definedName function="false" hidden="true" name="IQ_ASSET_WRITEDOWN_UTI" vbProcedure="false">"c61"</definedName>
    <definedName function="false" hidden="true" name="IQ_AUDITOR_NAME" vbProcedure="false">"c1539"</definedName>
    <definedName function="false" hidden="true" name="IQ_AUDITOR_OPINION" vbProcedure="false">"c1540"</definedName>
    <definedName function="false" hidden="true" name="IQ_AUTO_WRITTEN" vbProcedure="false">"c62"</definedName>
    <definedName function="false" hidden="true" name="IQ_AVAILABLE_FOR_SALE_FDIC" vbProcedure="false">"c6409"</definedName>
    <definedName function="false" hidden="true" name="IQ_AVAIL_FOR_SALE_FAIR_VALUE_TOT_FFIEC" vbProcedure="false">"c15399"</definedName>
    <definedName function="false" hidden="true" name="IQ_AVAIL_FOR_SALE_LEVEL_1_FFIEC" vbProcedure="false">"c15421"</definedName>
    <definedName function="false" hidden="true" name="IQ_AVAIL_FOR_SALE_LEVEL_2_FFIEC" vbProcedure="false">"c15434"</definedName>
    <definedName function="false" hidden="true" name="IQ_AVAIL_FOR_SALE_LEVEL_3_FFIEC" vbProcedure="false">"c15447"</definedName>
    <definedName function="false" hidden="true" name="IQ_AVERAGE_ASSETS_FDIC" vbProcedure="false">"c6362"</definedName>
    <definedName function="false" hidden="true" name="IQ_AVERAGE_ASSETS_QUART_FDIC" vbProcedure="false">"c6363"</definedName>
    <definedName function="false" hidden="true" name="IQ_AVERAGE_DEPOSITS" vbProcedure="false">"c15256"</definedName>
    <definedName function="false" hidden="true" name="IQ_AVERAGE_EARNING_ASSETS_FDIC" vbProcedure="false">"c6748"</definedName>
    <definedName function="false" hidden="true" name="IQ_AVERAGE_EQUITY_FDIC" vbProcedure="false">"c6749"</definedName>
    <definedName function="false" hidden="true" name="IQ_AVERAGE_INTEREST_BEARING_DEPOSITS" vbProcedure="false">"c15254"</definedName>
    <definedName function="false" hidden="true" name="IQ_AVERAGE_LOANS_FDIC" vbProcedure="false">"c6750"</definedName>
    <definedName function="false" hidden="true" name="IQ_AVERAGE_LOANS_HFI" vbProcedure="false">"c15251"</definedName>
    <definedName function="false" hidden="true" name="IQ_AVERAGE_LOANS_HFS" vbProcedure="false">"c15252"</definedName>
    <definedName function="false" hidden="true" name="IQ_AVERAGE_NON_INTEREST_BEARING_DEPOSITS" vbProcedure="false">"c15255"</definedName>
    <definedName function="false" hidden="true" name="IQ_AVG_BROKER_REC" vbProcedure="false">"c63"</definedName>
    <definedName function="false" hidden="true" name="IQ_AVG_BROKER_REC_NO" vbProcedure="false">"c64"</definedName>
    <definedName function="false" hidden="true" name="IQ_AVG_BROKER_REC_NO_REUT" vbProcedure="false">"c5315"</definedName>
    <definedName function="false" hidden="true" name="IQ_AVG_BROKER_REC_REUT" vbProcedure="false">"c3630"</definedName>
    <definedName function="false" hidden="true" name="IQ_AVG_DAILY_VOL" vbProcedure="false">"c65"</definedName>
    <definedName function="false" hidden="true" name="IQ_AVG_INT_BEAR_LIAB" vbProcedure="false">"c66"</definedName>
    <definedName function="false" hidden="true" name="IQ_AVG_INT_BEAR_LIAB_10YR_ANN_GROWTH" vbProcedure="false">"c67"</definedName>
    <definedName function="false" hidden="true" name="IQ_AVG_INT_BEAR_LIAB_1YR_ANN_GROWTH" vbProcedure="false">"c68"</definedName>
    <definedName function="false" hidden="true" name="IQ_AVG_INT_BEAR_LIAB_2YR_ANN_GROWTH" vbProcedure="false">"c69"</definedName>
    <definedName function="false" hidden="true" name="IQ_AVG_INT_BEAR_LIAB_3YR_ANN_GROWTH" vbProcedure="false">"c70"</definedName>
    <definedName function="false" hidden="true" name="IQ_AVG_INT_BEAR_LIAB_5YR_ANN_GROWTH" vbProcedure="false">"c71"</definedName>
    <definedName function="false" hidden="true" name="IQ_AVG_INT_BEAR_LIAB_7YR_ANN_GROWTH" vbProcedure="false">"c72"</definedName>
    <definedName function="false" hidden="true" name="IQ_AVG_INT_EARN_ASSETS" vbProcedure="false">"c73"</definedName>
    <definedName function="false" hidden="true" name="IQ_AVG_INT_EARN_ASSETS_10YR_ANN_GROWTH" vbProcedure="false">"c74"</definedName>
    <definedName function="false" hidden="true" name="IQ_AVG_INT_EARN_ASSETS_1YR_ANN_GROWTH" vbProcedure="false">"c75"</definedName>
    <definedName function="false" hidden="true" name="IQ_AVG_INT_EARN_ASSETS_2YR_ANN_GROWTH" vbProcedure="false">"c76"</definedName>
    <definedName function="false" hidden="true" name="IQ_AVG_INT_EARN_ASSETS_3YR_ANN_GROWTH" vbProcedure="false">"c77"</definedName>
    <definedName function="false" hidden="true" name="IQ_AVG_INT_EARN_ASSETS_5YR_ANN_GROWTH" vbProcedure="false">"c78"</definedName>
    <definedName function="false" hidden="true" name="IQ_AVG_INT_EARN_ASSETS_7YR_ANN_GROWTH" vbProcedure="false">"c79"</definedName>
    <definedName function="false" hidden="true" name="IQ_AVG_MKTCAP" vbProcedure="false">"c80"</definedName>
    <definedName function="false" hidden="true" name="IQ_AVG_PRICE" vbProcedure="false">"c81"</definedName>
    <definedName function="false" hidden="true" name="IQ_AVG_PRICE_TARGET" vbProcedure="false">"c82"</definedName>
    <definedName function="false" hidden="true" name="IQ_AVG_SHAREOUTSTANDING" vbProcedure="false">"c83"</definedName>
    <definedName function="false" hidden="true" name="IQ_AVG_TEV" vbProcedure="false">"c84"</definedName>
    <definedName function="false" hidden="true" name="IQ_AVG_VOLUME" vbProcedure="false">"c65"</definedName>
    <definedName function="false" hidden="true" name="IQ_AVG_VOLUME2" vbProcedure="false">"c65"</definedName>
    <definedName function="false" hidden="true" name="IQ_BALANCES_DUE_DEPOSITORY_INSTITUTIONS_FDIC" vbProcedure="false">"c6389"</definedName>
    <definedName function="false" hidden="true" name="IQ_BALANCES_DUE_FOREIGN_FDIC" vbProcedure="false">"c6391"</definedName>
    <definedName function="false" hidden="true" name="IQ_BALANCES_DUE_FRB_FDIC" vbProcedure="false">"c6393"</definedName>
    <definedName function="false" hidden="true" name="IQ_BALANCE_GOODS_APR_FC_UNUSED_UNUSED_UNUSED" vbProcedure="false">"c8353"</definedName>
    <definedName function="false" hidden="true" name="IQ_BALANCE_GOODS_APR_UNUSED_UNUSED_UNUSED" vbProcedure="false">"c7473"</definedName>
    <definedName function="false" hidden="true" name="IQ_BALANCE_GOODS_FC_UNUSED_UNUSED_UNUSED" vbProcedure="false">"c7693"</definedName>
    <definedName function="false" hidden="true" name="IQ_BALANCE_GOODS_POP_FC_UNUSED_UNUSED_UNUSED" vbProcedure="false">"c7913"</definedName>
    <definedName function="false" hidden="true" name="IQ_BALANCE_GOODS_POP_UNUSED_UNUSED_UNUSED" vbProcedure="false">"c7033"</definedName>
    <definedName function="false" hidden="true" name="IQ_BALANCE_GOODS_UNUSED_UNUSED_UNUSED" vbProcedure="false">"c6813"</definedName>
    <definedName function="false" hidden="true" name="IQ_BALANCE_GOODS_YOY_FC_UNUSED_UNUSED_UNUSED" vbProcedure="false">"c8133"</definedName>
    <definedName function="false" hidden="true" name="IQ_BALANCE_GOODS_YOY_UNUSED_UNUSED_UNUSED" vbProcedure="false">"c7253"</definedName>
    <definedName function="false" hidden="true" name="IQ_BALANCE_SERV_APR_FC_UNUSED_UNUSED_UNUSED" vbProcedure="false">"c8355"</definedName>
    <definedName function="false" hidden="true" name="IQ_BALANCE_SERV_APR_UNUSED_UNUSED_UNUSED" vbProcedure="false">"c7475"</definedName>
    <definedName function="false" hidden="true" name="IQ_BALANCE_SERV_FC_UNUSED_UNUSED_UNUSED" vbProcedure="false">"c7695"</definedName>
    <definedName function="false" hidden="true" name="IQ_BALANCE_SERV_POP_FC_UNUSED_UNUSED_UNUSED" vbProcedure="false">"c7915"</definedName>
    <definedName function="false" hidden="true" name="IQ_BALANCE_SERV_POP_UNUSED_UNUSED_UNUSED" vbProcedure="false">"c7035"</definedName>
    <definedName function="false" hidden="true" name="IQ_BALANCE_SERV_UNUSED_UNUSED_UNUSED" vbProcedure="false">"c6815"</definedName>
    <definedName function="false" hidden="true" name="IQ_BALANCE_SERV_YOY_FC_UNUSED_UNUSED_UNUSED" vbProcedure="false">"c8135"</definedName>
    <definedName function="false" hidden="true" name="IQ_BALANCE_SERV_YOY_UNUSED_UNUSED_UNUSED" vbProcedure="false">"c7255"</definedName>
    <definedName function="false" hidden="true" name="IQ_BALANCE_TRADE_APR_FC_UNUSED_UNUSED_UNUSED" vbProcedure="false">"c8357"</definedName>
    <definedName function="false" hidden="true" name="IQ_BALANCE_TRADE_APR_UNUSED_UNUSED_UNUSED" vbProcedure="false">"c7477"</definedName>
    <definedName function="false" hidden="true" name="IQ_BALANCE_TRADE_FC_UNUSED_UNUSED_UNUSED" vbProcedure="false">"c7697"</definedName>
    <definedName function="false" hidden="true" name="IQ_BALANCE_TRADE_POP_FC_UNUSED_UNUSED_UNUSED" vbProcedure="false">"c7917"</definedName>
    <definedName function="false" hidden="true" name="IQ_BALANCE_TRADE_POP_UNUSED_UNUSED_UNUSED" vbProcedure="false">"c7037"</definedName>
    <definedName function="false" hidden="true" name="IQ_BALANCE_TRADE_UNUSED_UNUSED_UNUSED" vbProcedure="false">"c6817"</definedName>
    <definedName function="false" hidden="true" name="IQ_BALANCE_TRADE_YOY_FC_UNUSED_UNUSED_UNUSED" vbProcedure="false">"c8137"</definedName>
    <definedName function="false" hidden="true" name="IQ_BALANCE_TRADE_YOY_UNUSED_UNUSED_UNUSED" vbProcedure="false">"c7257"</definedName>
    <definedName function="false" hidden="true" name="IQ_BANKS_FOREIGN_COUNTRIES_NON_TRANS_ACCTS_FFIEC" vbProcedure="false">"c15326"</definedName>
    <definedName function="false" hidden="true" name="IQ_BANKS_FOREIGN_COUNTRIES_TOTAL_DEPOSITS_FDIC" vbProcedure="false">"c6475"</definedName>
    <definedName function="false" hidden="true" name="IQ_BANKS_FOREIGN_COUNTRIES_TRANS_ACCTS_FFIEC" vbProcedure="false">"c15318"</definedName>
    <definedName function="false" hidden="true" name="IQ_BANK_BENEFICIARY_FDIC" vbProcedure="false">"c6505"</definedName>
    <definedName function="false" hidden="true" name="IQ_BANK_GUARANTOR_FDIC" vbProcedure="false">"c6506"</definedName>
    <definedName function="false" hidden="true" name="IQ_BANK_PREMISES_FDIC" vbProcedure="false">"c6329"</definedName>
    <definedName function="false" hidden="true" name="IQ_BANK_SECURITIZATION_1_4_FAMILY_LOANS_FDIC" vbProcedure="false">"c6721"</definedName>
    <definedName function="false" hidden="true" name="IQ_BANK_SECURITIZATION_AUTO_LOANS_FDIC" vbProcedure="false">"c6715"</definedName>
    <definedName function="false" hidden="true" name="IQ_BANK_SECURITIZATION_CL_LOANS_FDIC" vbProcedure="false">"c6716"</definedName>
    <definedName function="false" hidden="true" name="IQ_BANK_SECURITIZATION_CREDIT_CARDS_RECEIVABLES_FDIC" vbProcedure="false">"c6718"</definedName>
    <definedName function="false" hidden="true" name="IQ_BANK_SECURITIZATION_HOME_EQUITY_LINES_FDIC" vbProcedure="false">"c6719"</definedName>
    <definedName function="false" hidden="true" name="IQ_BANK_SECURITIZATION_OTHER_CONSUMER_LOANS_FDIC" vbProcedure="false">"c6717"</definedName>
    <definedName function="false" hidden="true" name="IQ_BANK_SECURITIZATION_OTHER_LOANS_FDIC" vbProcedure="false">"c6720"</definedName>
    <definedName function="false" hidden="true" name="IQ_BASIC_EPS_EXCL" vbProcedure="false">"c85"</definedName>
    <definedName function="false" hidden="true" name="IQ_BASIC_EPS_INCL" vbProcedure="false">"c86"</definedName>
    <definedName function="false" hidden="true" name="IQ_BASIC_NORMAL_EPS" vbProcedure="false">"c1592"</definedName>
    <definedName function="false" hidden="true" name="IQ_BASIC_WEIGHT" vbProcedure="false">"c87"</definedName>
    <definedName function="false" hidden="true" name="IQ_BETA" vbProcedure="false">"c88"</definedName>
    <definedName function="false" hidden="true" name="IQ_BETA2" vbProcedure="false">"c88"</definedName>
    <definedName function="false" hidden="true" name="IQ_BIG_INT_BEAR_CD" vbProcedure="false">"c89"</definedName>
    <definedName function="false" hidden="true" name="IQ_BOARD_MEMBER" vbProcedure="false">"c96"</definedName>
    <definedName function="false" hidden="true" name="IQ_BOARD_MEMBER_ASSISTANT_EMAIL" vbProcedure="false">"c15179"</definedName>
    <definedName function="false" hidden="true" name="IQ_BOARD_MEMBER_ASSISTANT_FAX" vbProcedure="false">"c15181"</definedName>
    <definedName function="false" hidden="true" name="IQ_BOARD_MEMBER_ASSISTANT_NAME" vbProcedure="false">"c15178"</definedName>
    <definedName function="false" hidden="true" name="IQ_BOARD_MEMBER_ASSISTANT_PHONE" vbProcedure="false">"c15180"</definedName>
    <definedName function="false" hidden="true" name="IQ_BOARD_MEMBER_DIRECT_FAX" vbProcedure="false">"c15176"</definedName>
    <definedName function="false" hidden="true" name="IQ_BOARD_MEMBER_DIRECT_PHONE" vbProcedure="false">"c15175"</definedName>
    <definedName function="false" hidden="true" name="IQ_BOARD_MEMBER_EMAIL" vbProcedure="false">"c15177"</definedName>
    <definedName function="false" hidden="true" name="IQ_BOARD_MEMBER_FAX" vbProcedure="false">"c2100"</definedName>
    <definedName function="false" hidden="true" name="IQ_BOARD_MEMBER_MAIN_FAX" vbProcedure="false">"c15174"</definedName>
    <definedName function="false" hidden="true" name="IQ_BOARD_MEMBER_MAIN_PHONE" vbProcedure="false">"c15173"</definedName>
    <definedName function="false" hidden="true" name="IQ_BOARD_MEMBER_OFFICE" vbProcedure="false">"c2098"</definedName>
    <definedName function="false" hidden="true" name="IQ_BOARD_MEMBER_OFFICE_ADDRESS" vbProcedure="false">"c15172"</definedName>
    <definedName function="false" hidden="true" name="IQ_BOARD_MEMBER_PHONE" vbProcedure="false">"c2099"</definedName>
    <definedName function="false" hidden="true" name="IQ_BOARD_MEMBER_TITLE" vbProcedure="false">"c97"</definedName>
    <definedName function="false" hidden="true" name="IQ_BONDRATING_FITCH" vbProcedure="false">"IQ_BONDRATING_FITCH"</definedName>
    <definedName function="false" hidden="true" name="IQ_BONDRATING_FITCH_DATE" vbProcedure="false">"c241"</definedName>
    <definedName function="false" hidden="true" name="IQ_BONDRATING_MOODYS" vbProcedure="false">"IQ_BONDRATING_MOODYS"</definedName>
    <definedName function="false" hidden="true" name="IQ_BONDRATING_SP" vbProcedure="false">"IQ_BONDRATING_SP"</definedName>
    <definedName function="false" hidden="true" name="IQ_BONDRATING_SP_DATE" vbProcedure="false">"c242"</definedName>
    <definedName function="false" hidden="true" name="IQ_BOOK_VALUE" vbProcedure="false">"IQ_BOOK_VALUE"</definedName>
    <definedName function="false" hidden="true" name="IQ_BROKERED_DEPOSITS_FDIC" vbProcedure="false">"c6486"</definedName>
    <definedName function="false" hidden="true" name="IQ_BROKER_DEPOSIT_LESS_THAN_100000_1_YR_LESS_FFIEC" vbProcedure="false">"c15307"</definedName>
    <definedName function="false" hidden="true" name="IQ_BROKER_DEPOSIT_LESS_THAN_100000_1_YR_MORE_FFIEC" vbProcedure="false">"c15308"</definedName>
    <definedName function="false" hidden="true" name="IQ_BROKER_DEPOSIT_LESS_THAN_100000_FFIEC" vbProcedure="false">"c15306"</definedName>
    <definedName function="false" hidden="true" name="IQ_BROKER_DEPOSIT_MORE_THAN_100000_1_YR_LESS_FFIEC" vbProcedure="false">"c15310"</definedName>
    <definedName function="false" hidden="true" name="IQ_BROKER_DEPOSIT_MORE_THAN_100000_1_YR_MORE_FFIEC" vbProcedure="false">"c15311"</definedName>
    <definedName function="false" hidden="true" name="IQ_BROKER_DEPOSIT_MORE_THAN_100000_FFIEC" vbProcedure="false">"c15309"</definedName>
    <definedName function="false" hidden="true" name="IQ_BROK_COMISSION" vbProcedure="false">"c98"</definedName>
    <definedName function="false" hidden="true" name="IQ_BUDGET_BALANCE_APR_FC_UNUSED_UNUSED_UNUSED" vbProcedure="false">"c8359"</definedName>
    <definedName function="false" hidden="true" name="IQ_BUDGET_BALANCE_APR_UNUSED_UNUSED_UNUSED" vbProcedure="false">"c7479"</definedName>
    <definedName function="false" hidden="true" name="IQ_BUDGET_BALANCE_FC_UNUSED_UNUSED_UNUSED" vbProcedure="false">"c7699"</definedName>
    <definedName function="false" hidden="true" name="IQ_BUDGET_BALANCE_POP_FC_UNUSED_UNUSED_UNUSED" vbProcedure="false">"c7919"</definedName>
    <definedName function="false" hidden="true" name="IQ_BUDGET_BALANCE_POP_UNUSED_UNUSED_UNUSED" vbProcedure="false">"c7039"</definedName>
    <definedName function="false" hidden="true" name="IQ_BUDGET_BALANCE_UNUSED_UNUSED_UNUSED" vbProcedure="false">"c6819"</definedName>
    <definedName function="false" hidden="true" name="IQ_BUDGET_BALANCE_YOY_FC_UNUSED_UNUSED_UNUSED" vbProcedure="false">"c8139"</definedName>
    <definedName function="false" hidden="true" name="IQ_BUDGET_BALANCE_YOY_UNUSED_UNUSED_UNUSED" vbProcedure="false">"c7259"</definedName>
    <definedName function="false" hidden="true" name="IQ_BUDGET_RECEIPTS_APR_FC_UNUSED_UNUSED_UNUSED" vbProcedure="false">"c8361"</definedName>
    <definedName function="false" hidden="true" name="IQ_BUDGET_RECEIPTS_APR_UNUSED_UNUSED_UNUSED" vbProcedure="false">"c7481"</definedName>
    <definedName function="false" hidden="true" name="IQ_BUDGET_RECEIPTS_FC_UNUSED_UNUSED_UNUSED" vbProcedure="false">"c7701"</definedName>
    <definedName function="false" hidden="true" name="IQ_BUDGET_RECEIPTS_POP_FC_UNUSED_UNUSED_UNUSED" vbProcedure="false">"c7921"</definedName>
    <definedName function="false" hidden="true" name="IQ_BUDGET_RECEIPTS_POP_UNUSED_UNUSED_UNUSED" vbProcedure="false">"c7041"</definedName>
    <definedName function="false" hidden="true" name="IQ_BUDGET_RECEIPTS_UNUSED_UNUSED_UNUSED" vbProcedure="false">"c6821"</definedName>
    <definedName function="false" hidden="true" name="IQ_BUDGET_RECEIPTS_YOY_FC_UNUSED_UNUSED_UNUSED" vbProcedure="false">"c8141"</definedName>
    <definedName function="false" hidden="true" name="IQ_BUDGET_RECEIPTS_YOY_UNUSED_UNUSED_UNUSED" vbProcedure="false">"c7261"</definedName>
    <definedName function="false" hidden="true" name="IQ_BUILDINGS" vbProcedure="false">"c99"</definedName>
    <definedName function="false" hidden="true" name="IQ_BUSINESS_DESCRIPTION" vbProcedure="false">"c322"</definedName>
    <definedName function="false" hidden="true" name="IQ_BUS_SEG_PRIMARY_GIC" vbProcedure="false">"c15584"</definedName>
    <definedName function="false" hidden="true" name="IQ_BUS_SEG_PRIMARY_GIC_ABS" vbProcedure="false">"c15572"</definedName>
    <definedName function="false" hidden="true" name="IQ_BUS_SEG_SECONDARY_GIC" vbProcedure="false">"c15585"</definedName>
    <definedName function="false" hidden="true" name="IQ_BUS_SEG_SECONDARY_GIC_ABS" vbProcedure="false">"c15573"</definedName>
    <definedName function="false" hidden="true" name="IQ_BV_ACT_OR_EST_REUT" vbProcedure="false">"c5471"</definedName>
    <definedName function="false" hidden="true" name="IQ_BV_ACT_OR_EST_THOM" vbProcedure="false">"c5308"</definedName>
    <definedName function="false" hidden="true" name="IQ_BV_EST_REUT" vbProcedure="false">"c5403"</definedName>
    <definedName function="false" hidden="true" name="IQ_BV_EST_THOM" vbProcedure="false">"c5147"</definedName>
    <definedName function="false" hidden="true" name="IQ_BV_HIGH_EST_REUT" vbProcedure="false">"c5405"</definedName>
    <definedName function="false" hidden="true" name="IQ_BV_HIGH_EST_THOM" vbProcedure="false">"c5149"</definedName>
    <definedName function="false" hidden="true" name="IQ_BV_LOW_EST_REUT" vbProcedure="false">"c5406"</definedName>
    <definedName function="false" hidden="true" name="IQ_BV_LOW_EST_THOM" vbProcedure="false">"c5150"</definedName>
    <definedName function="false" hidden="true" name="IQ_BV_MEDIAN_EST_REUT" vbProcedure="false">"c5404"</definedName>
    <definedName function="false" hidden="true" name="IQ_BV_MEDIAN_EST_THOM" vbProcedure="false">"c5148"</definedName>
    <definedName function="false" hidden="true" name="IQ_BV_NUM_EST_REUT" vbProcedure="false">"c5407"</definedName>
    <definedName function="false" hidden="true" name="IQ_BV_NUM_EST_THOM" vbProcedure="false">"c5151"</definedName>
    <definedName function="false" hidden="true" name="IQ_BV_OVER_SHARES" vbProcedure="false">"c100"</definedName>
    <definedName function="false" hidden="true" name="IQ_BV_OVER_SHARES2" vbProcedure="false">"c100"</definedName>
    <definedName function="false" hidden="true" name="IQ_BV_SHARE" vbProcedure="false">"c100"</definedName>
    <definedName function="false" hidden="true" name="IQ_BV_SHARE_ACT_OR_EST_REUT" vbProcedure="false">"c5477"</definedName>
    <definedName function="false" hidden="true" name="IQ_BV_SHARE_DET_EST_CURRENCY_REUT" vbProcedure="false">"c12524"</definedName>
    <definedName function="false" hidden="true" name="IQ_BV_SHARE_DET_EST_DATE_REUT" vbProcedure="false">"c12281"</definedName>
    <definedName function="false" hidden="true" name="IQ_BV_SHARE_DET_EST_INCL_REUT" vbProcedure="false">"c12407"</definedName>
    <definedName function="false" hidden="true" name="IQ_BV_SHARE_DET_EST_ORIGIN_REUT" vbProcedure="false">"c12649"</definedName>
    <definedName function="false" hidden="true" name="IQ_BV_SHARE_DET_EST_REUT" vbProcedure="false">"c12139"</definedName>
    <definedName function="false" hidden="true" name="IQ_BV_SHARE_EST_REUT" vbProcedure="false">"c5439"</definedName>
    <definedName function="false" hidden="true" name="IQ_BV_SHARE_HIGH_EST_REUT" vbProcedure="false">"c5441"</definedName>
    <definedName function="false" hidden="true" name="IQ_BV_SHARE_LOW_EST_REUT" vbProcedure="false">"c5442"</definedName>
    <definedName function="false" hidden="true" name="IQ_BV_SHARE_MEDIAN_EST_REUT" vbProcedure="false">"c5440"</definedName>
    <definedName function="false" hidden="true" name="IQ_BV_SHARE_NUM_EST_REUT" vbProcedure="false">"c5443"</definedName>
    <definedName function="false" hidden="true" name="IQ_BV_SHARE_STDDEV_EST_REUT" vbProcedure="false">"c5444"</definedName>
    <definedName function="false" hidden="true" name="IQ_BV_STDDEV_EST_REUT" vbProcedure="false">"c5408"</definedName>
    <definedName function="false" hidden="true" name="IQ_BV_STDDEV_EST_THOM" vbProcedure="false">"c5152"</definedName>
    <definedName function="false" hidden="true" name="IQ_CAL_Q" vbProcedure="false">"c101"</definedName>
    <definedName function="false" hidden="true" name="IQ_CAL_Q_EST_REUT" vbProcedure="false">"c6800"</definedName>
    <definedName function="false" hidden="true" name="IQ_CAL_Y" vbProcedure="false">"c102"</definedName>
    <definedName function="false" hidden="true" name="IQ_CAL_Y_EST_REUT" vbProcedure="false">"c6801"</definedName>
    <definedName function="false" hidden="true" name="IQ_CAPEX" vbProcedure="false">"c103"</definedName>
    <definedName function="false" hidden="true" name="IQ_CAPEX_10YR_ANN_GROWTH" vbProcedure="false">"c104"</definedName>
    <definedName function="false" hidden="true" name="IQ_CAPEX_1YR_ANN_GROWTH" vbProcedure="false">"c105"</definedName>
    <definedName function="false" hidden="true" name="IQ_CAPEX_2YR_ANN_GROWTH" vbProcedure="false">"c106"</definedName>
    <definedName function="false" hidden="true" name="IQ_CAPEX_3YR_ANN_GROWTH" vbProcedure="false">"c107"</definedName>
    <definedName function="false" hidden="true" name="IQ_CAPEX_5YR_ANN_GROWTH" vbProcedure="false">"c108"</definedName>
    <definedName function="false" hidden="true" name="IQ_CAPEX_7YR_ANN_GROWTH" vbProcedure="false">"c109"</definedName>
    <definedName function="false" hidden="true" name="IQ_CAPEX_ACT_OR_EST_REUT" vbProcedure="false">"c5474"</definedName>
    <definedName function="false" hidden="true" name="IQ_CAPEX_BNK" vbProcedure="false">"c110"</definedName>
    <definedName function="false" hidden="true" name="IQ_CAPEX_BR" vbProcedure="false">"c111"</definedName>
    <definedName function="false" hidden="true" name="IQ_CAPEX_DET_EST_CURRENCY_REUT" vbProcedure="false">"c12525"</definedName>
    <definedName function="false" hidden="true" name="IQ_CAPEX_DET_EST_DATE_REUT" vbProcedure="false">"c12282"</definedName>
    <definedName function="false" hidden="true" name="IQ_CAPEX_DET_EST_INCL_REUT" vbProcedure="false">"c12408"</definedName>
    <definedName function="false" hidden="true" name="IQ_CAPEX_DET_EST_ORIGIN_REUT" vbProcedure="false">"c12768"</definedName>
    <definedName function="false" hidden="true" name="IQ_CAPEX_DET_EST_REUT" vbProcedure="false">"c12140"</definedName>
    <definedName function="false" hidden="true" name="IQ_CAPEX_EST_REUT" vbProcedure="false">"c3969"</definedName>
    <definedName function="false" hidden="true" name="IQ_CAPEX_FIN" vbProcedure="false">"c112"</definedName>
    <definedName function="false" hidden="true" name="IQ_CAPEX_HIGH_EST_REUT" vbProcedure="false">"c3971"</definedName>
    <definedName function="false" hidden="true" name="IQ_CAPEX_INS" vbProcedure="false">"c113"</definedName>
    <definedName function="false" hidden="true" name="IQ_CAPEX_LOW_EST_REUT" vbProcedure="false">"c3972"</definedName>
    <definedName function="false" hidden="true" name="IQ_CAPEX_MEDIAN_EST_REUT" vbProcedure="false">"c3970"</definedName>
    <definedName function="false" hidden="true" name="IQ_CAPEX_NUM_EST_REUT" vbProcedure="false">"c3973"</definedName>
    <definedName function="false" hidden="true" name="IQ_CAPEX_STDDEV_EST_REUT" vbProcedure="false">"c3974"</definedName>
    <definedName function="false" hidden="true" name="IQ_CAPEX_UTI" vbProcedure="false">"c114"</definedName>
    <definedName function="false" hidden="true" name="IQ_CAPITALIZED_INTEREST2" vbProcedure="false">"c2076"</definedName>
    <definedName function="false" hidden="true" name="IQ_CAPITAL_ALLOCATION_ADJUSTMENT_FOREIGN_FFIEC" vbProcedure="false">"c15389"</definedName>
    <definedName function="false" hidden="true" name="IQ_CAPITAL_LEASE" vbProcedure="false">"c115"</definedName>
    <definedName function="false" hidden="true" name="IQ_CAPITAL_LEASE2" vbProcedure="false">"c115"</definedName>
    <definedName function="false" hidden="true" name="IQ_CAPITAL_LEASES" vbProcedure="false">"c115"</definedName>
    <definedName function="false" hidden="true" name="IQ_CASH" vbProcedure="false">"c118"</definedName>
    <definedName function="false" hidden="true" name="IQ_CASH2" vbProcedure="false">"c118"</definedName>
    <definedName function="false" hidden="true" name="IQ_CASH_ACQUIRE_CF" vbProcedure="false">"c1630"</definedName>
    <definedName function="false" hidden="true" name="IQ_CASH_BANKS_FOREIGN_COUNTRIES_DOM_FFIEC" vbProcedure="false">"c15289"</definedName>
    <definedName function="false" hidden="true" name="IQ_CASH_COLLECTION_UNPOSTED_DEBITS_CURRENCY_FFIEC" vbProcedure="false">"c15279"</definedName>
    <definedName function="false" hidden="true" name="IQ_CASH_COLLECTION_UNPOSTED_DEBITS_DOM_FFIEC" vbProcedure="false">"c15286"</definedName>
    <definedName function="false" hidden="true" name="IQ_CASH_CONVERSION" vbProcedure="false">"c117"</definedName>
    <definedName function="false" hidden="true" name="IQ_CASH_DEPOSITORY_INSTIT_US_DOM_FFIEC" vbProcedure="false">"c15288"</definedName>
    <definedName function="false" hidden="true" name="IQ_CASH_DIVIDENDS_NET_INCOME_FDIC" vbProcedure="false">"c6738"</definedName>
    <definedName function="false" hidden="true" name="IQ_CASH_DUE_BANKS" vbProcedure="false">"c118"</definedName>
    <definedName function="false" hidden="true" name="IQ_CASH_DUE_OTHER_FED_RESERVE_BANKS_DOM_FFIEC" vbProcedure="false">"c15290"</definedName>
    <definedName function="false" hidden="true" name="IQ_CASH_DUE_OTHER_FED_RESERVE_BANKS_FFIEC" vbProcedure="false">"c15284"</definedName>
    <definedName function="false" hidden="true" name="IQ_CASH_DUE_US_BRANCH_FOREIGN_BANK_FFIEC" vbProcedure="false">"c15280"</definedName>
    <definedName function="false" hidden="true" name="IQ_CASH_EQUIV" vbProcedure="false">"c118"</definedName>
    <definedName function="false" hidden="true" name="IQ_CASH_FINAN" vbProcedure="false">"c119"</definedName>
    <definedName function="false" hidden="true" name="IQ_CASH_FOREIGN_BRANCH_OTHER_US_BANKS_FFIEC" vbProcedure="false">"c15282"</definedName>
    <definedName function="false" hidden="true" name="IQ_CASH_INTEREST" vbProcedure="false">"c120"</definedName>
    <definedName function="false" hidden="true" name="IQ_CASH_INVEST" vbProcedure="false">"c121"</definedName>
    <definedName function="false" hidden="true" name="IQ_CASH_IN_PROCESS_FDIC" vbProcedure="false">"c6386"</definedName>
    <definedName function="false" hidden="true" name="IQ_CASH_OPER" vbProcedure="false">"c122"</definedName>
    <definedName function="false" hidden="true" name="IQ_CASH_OPER_ACT_OR_EST" vbProcedure="false">"c4164"</definedName>
    <definedName function="false" hidden="true" name="IQ_CASH_OPER_EST" vbProcedure="false">"c4163"</definedName>
    <definedName function="false" hidden="true" name="IQ_CASH_OPER_HIGH_EST" vbProcedure="false">"c4166"</definedName>
    <definedName function="false" hidden="true" name="IQ_CASH_OPER_LOW_EST" vbProcedure="false">"c4244"</definedName>
    <definedName function="false" hidden="true" name="IQ_CASH_OPER_MEDIAN_EST" vbProcedure="false">"c4245"</definedName>
    <definedName function="false" hidden="true" name="IQ_CASH_OPER_NUM_EST" vbProcedure="false">"c4246"</definedName>
    <definedName function="false" hidden="true" name="IQ_CASH_OPER_STDDEV_EST" vbProcedure="false">"c4247"</definedName>
    <definedName function="false" hidden="true" name="IQ_CASH_OTHER_BANKS_FOREIGN_COUNTRIES_FFIEC" vbProcedure="false">"c15283"</definedName>
    <definedName function="false" hidden="true" name="IQ_CASH_OTHER_US_COMM_BANK_DEP_INSTIT_FFIEC" vbProcedure="false">"c15281"</definedName>
    <definedName function="false" hidden="true" name="IQ_CASH_SEGREG" vbProcedure="false">"c123"</definedName>
    <definedName function="false" hidden="true" name="IQ_CASH_ST" vbProcedure="false">"c124"</definedName>
    <definedName function="false" hidden="true" name="IQ_CASH_STRUCTURED_PRODUCTS_AVAIL_SALE_FFIEC" vbProcedure="false">"c15263"</definedName>
    <definedName function="false" hidden="true" name="IQ_CASH_STRUCTURED_PRODUCTS_FFIEC" vbProcedure="false">"c15260"</definedName>
    <definedName function="false" hidden="true" name="IQ_CASH_ST_INVEST" vbProcedure="false">"c124"</definedName>
    <definedName function="false" hidden="true" name="IQ_CASH_TAXES" vbProcedure="false">"c125"</definedName>
    <definedName function="false" hidden="true" name="IQ_CCE_FDIC" vbProcedure="false">"c6296"</definedName>
    <definedName function="false" hidden="true" name="IQ_CDS_COUPON" vbProcedure="false">"c15234"</definedName>
    <definedName function="false" hidden="true" name="IQ_CDS_NEXT_SERIES_ID" vbProcedure="false">"c15231"</definedName>
    <definedName function="false" hidden="true" name="IQ_CDS_PREV_SERIES_ID" vbProcedure="false">"c15232"</definedName>
    <definedName function="false" hidden="true" name="IQ_CDS_PRICE_TYPE" vbProcedure="false">"c15233"</definedName>
    <definedName function="false" hidden="true" name="IQ_CEO_ID" vbProcedure="false">"c15210"</definedName>
    <definedName function="false" hidden="true" name="IQ_CEO_NAME" vbProcedure="false">"c15209"</definedName>
    <definedName function="false" hidden="true" name="IQ_CERTIFIED_OFFICIAL_CHECKS_TRANS_ACCTS_FFIEC" vbProcedure="false">"c15320"</definedName>
    <definedName function="false" hidden="true" name="IQ_CFO_10YR_ANN_GROWTH" vbProcedure="false">"c126"</definedName>
    <definedName function="false" hidden="true" name="IQ_CFO_1YR_ANN_GROWTH" vbProcedure="false">"c127"</definedName>
    <definedName function="false" hidden="true" name="IQ_CFO_2YR_ANN_GROWTH" vbProcedure="false">"c128"</definedName>
    <definedName function="false" hidden="true" name="IQ_CFO_3YR_ANN_GROWTH" vbProcedure="false">"c129"</definedName>
    <definedName function="false" hidden="true" name="IQ_CFO_5YR_ANN_GROWTH" vbProcedure="false">"c130"</definedName>
    <definedName function="false" hidden="true" name="IQ_CFO_7YR_ANN_GROWTH" vbProcedure="false">"c131"</definedName>
    <definedName function="false" hidden="true" name="IQ_CFO_CURRENT_LIAB" vbProcedure="false">"c132"</definedName>
    <definedName function="false" hidden="true" name="IQ_CFO_ID" vbProcedure="false">"c15212"</definedName>
    <definedName function="false" hidden="true" name="IQ_CFO_NAME" vbProcedure="false">"c15211"</definedName>
    <definedName function="false" hidden="true" name="IQ_CFPS_ACT_OR_EST_REUT" vbProcedure="false">"c5463"</definedName>
    <definedName function="false" hidden="true" name="IQ_CFPS_DET_EST_DATE_REUT" vbProcedure="false">"c12283"</definedName>
    <definedName function="false" hidden="true" name="IQ_CFPS_DET_EST_INCL_REUT" vbProcedure="false">"c12409"</definedName>
    <definedName function="false" hidden="true" name="IQ_CFPS_DET_EST_ORIGIN_REUT" vbProcedure="false">"c12651"</definedName>
    <definedName function="false" hidden="true" name="IQ_CFPS_DET_EST_REUT" vbProcedure="false">"c12141"</definedName>
    <definedName function="false" hidden="true" name="IQ_CFPS_DET_EST_REUT_CURRENCY_CURRENCY_REUT" vbProcedure="false">"c12526"</definedName>
    <definedName function="false" hidden="true" name="IQ_CFPS_EST_REUT" vbProcedure="false">"c3844"</definedName>
    <definedName function="false" hidden="true" name="IQ_CFPS_HIGH_EST_REUT" vbProcedure="false">"c3846"</definedName>
    <definedName function="false" hidden="true" name="IQ_CFPS_LOW_EST_REUT" vbProcedure="false">"c3847"</definedName>
    <definedName function="false" hidden="true" name="IQ_CFPS_MEDIAN_EST_REUT" vbProcedure="false">"c3845"</definedName>
    <definedName function="false" hidden="true" name="IQ_CFPS_NUM_EST_REUT" vbProcedure="false">"c3848"</definedName>
    <definedName function="false" hidden="true" name="IQ_CFPS_STDDEV_EST_REUT" vbProcedure="false">"c3849"</definedName>
    <definedName function="false" hidden="false" name="IQ_CH" vbProcedure="false">110000</definedName>
    <definedName function="false" hidden="true" name="IQ_CHAIRMAN_ID" vbProcedure="false">"c15218"</definedName>
    <definedName function="false" hidden="true" name="IQ_CHAIRMAN_NAME" vbProcedure="false">"c15217"</definedName>
    <definedName function="false" hidden="true" name="IQ_CHANGES_WORK_CAP" vbProcedure="false">"c161"</definedName>
    <definedName function="false" hidden="true" name="IQ_CHANGE_AP" vbProcedure="false">"c133"</definedName>
    <definedName function="false" hidden="true" name="IQ_CHANGE_AP_BNK" vbProcedure="false">"c134"</definedName>
    <definedName function="false" hidden="true" name="IQ_CHANGE_AP_BR" vbProcedure="false">"c135"</definedName>
    <definedName function="false" hidden="true" name="IQ_CHANGE_AP_FIN" vbProcedure="false">"c136"</definedName>
    <definedName function="false" hidden="true" name="IQ_CHANGE_AP_INS" vbProcedure="false">"c137"</definedName>
    <definedName function="false" hidden="true" name="IQ_CHANGE_AP_REIT" vbProcedure="false">"c138"</definedName>
    <definedName function="false" hidden="true" name="IQ_CHANGE_AP_UTI" vbProcedure="false">"c139"</definedName>
    <definedName function="false" hidden="true" name="IQ_CHANGE_AR" vbProcedure="false">"c140"</definedName>
    <definedName function="false" hidden="true" name="IQ_CHANGE_AR_BNK" vbProcedure="false">"c141"</definedName>
    <definedName function="false" hidden="true" name="IQ_CHANGE_AR_BR" vbProcedure="false">"c142"</definedName>
    <definedName function="false" hidden="true" name="IQ_CHANGE_AR_FIN" vbProcedure="false">"c143"</definedName>
    <definedName function="false" hidden="true" name="IQ_CHANGE_AR_INS" vbProcedure="false">"c144"</definedName>
    <definedName function="false" hidden="true" name="IQ_CHANGE_AR_REIT" vbProcedure="false">"c145"</definedName>
    <definedName function="false" hidden="true" name="IQ_CHANGE_AR_UTI" vbProcedure="false">"c146"</definedName>
    <definedName function="false" hidden="true" name="IQ_CHANGE_DEF_TAX" vbProcedure="false">"c147"</definedName>
    <definedName function="false" hidden="true" name="IQ_CHANGE_DEF_TAX_TOTAL" vbProcedure="false">"c15557"</definedName>
    <definedName function="false" hidden="true" name="IQ_CHANGE_DEPOSIT_ACCT" vbProcedure="false">"c148"</definedName>
    <definedName function="false" hidden="true" name="IQ_CHANGE_INC_TAX" vbProcedure="false">"c149"</definedName>
    <definedName function="false" hidden="true" name="IQ_CHANGE_INS_RES_LIAB" vbProcedure="false">"c150"</definedName>
    <definedName function="false" hidden="true" name="IQ_CHANGE_INVENTORY" vbProcedure="false">"c151"</definedName>
    <definedName function="false" hidden="true" name="IQ_CHANGE_INVENT_REAL_APR_FC_UNUSED_UNUSED_UNUSED" vbProcedure="false">"c8500"</definedName>
    <definedName function="false" hidden="true" name="IQ_CHANGE_INVENT_REAL_APR_UNUSED_UNUSED_UNUSED" vbProcedure="false">"c7620"</definedName>
    <definedName function="false" hidden="true" name="IQ_CHANGE_INVENT_REAL_FC_UNUSED_UNUSED_UNUSED" vbProcedure="false">"c7840"</definedName>
    <definedName function="false" hidden="true" name="IQ_CHANGE_INVENT_REAL_POP_FC_UNUSED_UNUSED_UNUSED" vbProcedure="false">"c8060"</definedName>
    <definedName function="false" hidden="true" name="IQ_CHANGE_INVENT_REAL_POP_UNUSED_UNUSED_UNUSED" vbProcedure="false">"c7180"</definedName>
    <definedName function="false" hidden="true" name="IQ_CHANGE_INVENT_REAL_UNUSED_UNUSED_UNUSED" vbProcedure="false">"c6960"</definedName>
    <definedName function="false" hidden="true" name="IQ_CHANGE_INVENT_REAL_YOY_FC_UNUSED_UNUSED_UNUSED" vbProcedure="false">"c8280"</definedName>
    <definedName function="false" hidden="true" name="IQ_CHANGE_INVENT_REAL_YOY_UNUSED_UNUSED_UNUSED" vbProcedure="false">"c7400"</definedName>
    <definedName function="false" hidden="true" name="IQ_CHANGE_OTHER_NET_OPER_ASSETS_BR" vbProcedure="false">"c3595"</definedName>
    <definedName function="false" hidden="true" name="IQ_CHANGE_OTHER_WORK_CAP" vbProcedure="false">"c152"</definedName>
    <definedName function="false" hidden="true" name="IQ_CHANGE_OTHER_WORK_CAP_BNK" vbProcedure="false">"c153"</definedName>
    <definedName function="false" hidden="true" name="IQ_CHANGE_OTHER_WORK_CAP_BR" vbProcedure="false">"c154"</definedName>
    <definedName function="false" hidden="true" name="IQ_CHANGE_OTHER_WORK_CAP_FIN" vbProcedure="false">"c155"</definedName>
    <definedName function="false" hidden="true" name="IQ_CHANGE_OTHER_WORK_CAP_INS" vbProcedure="false">"c156"</definedName>
    <definedName function="false" hidden="true" name="IQ_CHANGE_OTHER_WORK_CAP_REIT" vbProcedure="false">"c157"</definedName>
    <definedName function="false" hidden="true" name="IQ_CHANGE_OTHER_WORK_CAP_UTI" vbProcedure="false">"c158"</definedName>
    <definedName function="false" hidden="true" name="IQ_CHANGE_TRADING_ASSETS" vbProcedure="false">"c159"</definedName>
    <definedName function="false" hidden="true" name="IQ_CHANGE_UNEARN_REV" vbProcedure="false">"c160"</definedName>
    <definedName function="false" hidden="true" name="IQ_CHANGE_WORK_CAP" vbProcedure="false">"c161"</definedName>
    <definedName function="false" hidden="true" name="IQ_CHARGE_OFFS_1_4_FAMILY_FDIC" vbProcedure="false">"c6756"</definedName>
    <definedName function="false" hidden="true" name="IQ_CHARGE_OFFS_1_4_FAMILY_LOANS_FDIC" vbProcedure="false">"c6714"</definedName>
    <definedName function="false" hidden="true" name="IQ_CHARGE_OFFS_AUTO_LOANS_FDIC" vbProcedure="false">"c6708"</definedName>
    <definedName function="false" hidden="true" name="IQ_CHARGE_OFFS_CL_LOANS_FDIC" vbProcedure="false">"c6709"</definedName>
    <definedName function="false" hidden="true" name="IQ_CHARGE_OFFS_COMMERCIAL_INDUSTRIAL_FDIC" vbProcedure="false">"c6759"</definedName>
    <definedName function="false" hidden="true" name="IQ_CHARGE_OFFS_COMMERCIAL_RE_FDIC" vbProcedure="false">"c6754"</definedName>
    <definedName function="false" hidden="true" name="IQ_CHARGE_OFFS_COMMERCIAL_RE_NOT_SECURED_FDIC" vbProcedure="false">"c6764"</definedName>
    <definedName function="false" hidden="true" name="IQ_CHARGE_OFFS_CONSTRUCTION_DEVELOPMENT_FDIC" vbProcedure="false">"c6753"</definedName>
    <definedName function="false" hidden="true" name="IQ_CHARGE_OFFS_CREDIT_CARDS_FDIC" vbProcedure="false">"c6761"</definedName>
    <definedName function="false" hidden="true" name="IQ_CHARGE_OFFS_CREDIT_CARDS_RECEIVABLES_FDIC" vbProcedure="false">"c6711"</definedName>
    <definedName function="false" hidden="true" name="IQ_CHARGE_OFFS_GROSS" vbProcedure="false">"c162"</definedName>
    <definedName function="false" hidden="true" name="IQ_CHARGE_OFFS_HOME_EQUITY_FDIC" vbProcedure="false">"c6757"</definedName>
    <definedName function="false" hidden="true" name="IQ_CHARGE_OFFS_HOME_EQUITY_LINES_FDIC" vbProcedure="false">"c6712"</definedName>
    <definedName function="false" hidden="true" name="IQ_CHARGE_OFFS_INDIVIDUALS_FDIC" vbProcedure="false">"c6760"</definedName>
    <definedName function="false" hidden="true" name="IQ_CHARGE_OFFS_MULTI_FAMILY_FDIC" vbProcedure="false">"c6755"</definedName>
    <definedName function="false" hidden="true" name="IQ_CHARGE_OFFS_NET" vbProcedure="false">"c163"</definedName>
    <definedName function="false" hidden="true" name="IQ_CHARGE_OFFS_OTHER_1_4_FAMILY_FDIC" vbProcedure="false">"c6758"</definedName>
    <definedName function="false" hidden="true" name="IQ_CHARGE_OFFS_OTHER_CONSUMER_LOANS_FDIC" vbProcedure="false">"c6710"</definedName>
    <definedName function="false" hidden="true" name="IQ_CHARGE_OFFS_OTHER_INDIVIDUAL_FDIC" vbProcedure="false">"c6762"</definedName>
    <definedName function="false" hidden="true" name="IQ_CHARGE_OFFS_OTHER_LOANS_FDIC" vbProcedure="false">"c6763"</definedName>
    <definedName function="false" hidden="true" name="IQ_CHARGE_OFFS_OTHER_LOANS_OTHER_FDIC" vbProcedure="false">"c6713"</definedName>
    <definedName function="false" hidden="true" name="IQ_CHARGE_OFFS_RECOVERED" vbProcedure="false">"c164"</definedName>
    <definedName function="false" hidden="true" name="IQ_CHARGE_OFFS_RE_LOANS_FDIC" vbProcedure="false">"c6752"</definedName>
    <definedName function="false" hidden="true" name="IQ_CHARGE_OFFS_TOTAL_AVG_LOANS" vbProcedure="false">"c165"</definedName>
    <definedName function="false" hidden="true" name="IQ_CITY" vbProcedure="false">"c166"</definedName>
    <definedName function="false" hidden="true" name="IQ_CLASSB_OUTSTANDING_BS_DATE" vbProcedure="false">"c1972"</definedName>
    <definedName function="false" hidden="true" name="IQ_CLASSB_OUTSTANDING_FILING_DATE" vbProcedure="false">"c1974"</definedName>
    <definedName function="false" hidden="true" name="IQ_CLOSED_END_SEC_1_4_RESIDENT_CHARGE_OFFS_FFIEC" vbProcedure="false">"c15397"</definedName>
    <definedName function="false" hidden="true" name="IQ_CLOSED_END_SEC_1_4_RESIDENT_DUE_30_89_FFIEC" vbProcedure="false">"c15413"</definedName>
    <definedName function="false" hidden="true" name="IQ_CLOSED_END_SEC_1_4_RESIDENT_DUE_90_FFIEC" vbProcedure="false">"c15417"</definedName>
    <definedName function="false" hidden="true" name="IQ_CLOSED_END_SEC_1_4_RESIDENT_NON_ACCRUAL_FFIEC" vbProcedure="false">"c15460"</definedName>
    <definedName function="false" hidden="true" name="IQ_CLOSED_END_SEC_1_4_RESIDENT_RECOV_FFIEC" vbProcedure="false">"c15398"</definedName>
    <definedName function="false" hidden="true" name="IQ_CLOSEPRICE" vbProcedure="false">"c174"</definedName>
    <definedName function="false" hidden="true" name="IQ_CL_DUE_AFTER_FIVE" vbProcedure="false">"c167"</definedName>
    <definedName function="false" hidden="true" name="IQ_CL_DUE_CY" vbProcedure="false">"c168"</definedName>
    <definedName function="false" hidden="true" name="IQ_CL_DUE_CY1" vbProcedure="false">"c169"</definedName>
    <definedName function="false" hidden="true" name="IQ_CL_DUE_CY2" vbProcedure="false">"c170"</definedName>
    <definedName function="false" hidden="true" name="IQ_CL_DUE_CY3" vbProcedure="false">"c171"</definedName>
    <definedName function="false" hidden="true" name="IQ_CL_DUE_CY4" vbProcedure="false">"c172"</definedName>
    <definedName function="false" hidden="true" name="IQ_CL_DUE_NEXT_FIVE" vbProcedure="false">"c173"</definedName>
    <definedName function="false" hidden="true" name="IQ_CMO_FDIC" vbProcedure="false">"c6406"</definedName>
    <definedName function="false" hidden="true" name="IQ_COGS" vbProcedure="false">"c175"</definedName>
    <definedName function="false" hidden="true" name="IQ_COLLECTION_DOMESTIC_FDIC" vbProcedure="false">"c6387"</definedName>
    <definedName function="false" hidden="true" name="IQ_COMBINED_RATIO" vbProcedure="false">"c176"</definedName>
    <definedName function="false" hidden="true" name="IQ_COMMERCIAL_BANKS_DEPOSITS_FOREIGN_FDIC" vbProcedure="false">"c6480"</definedName>
    <definedName function="false" hidden="true" name="IQ_COMMERCIAL_BANKS_LOANS_FDIC" vbProcedure="false">"c6434"</definedName>
    <definedName function="false" hidden="true" name="IQ_COMMERCIAL_BANKS_NONTRANSACTION_ACCOUNTS_FDIC" vbProcedure="false">"c6548"</definedName>
    <definedName function="false" hidden="true" name="IQ_COMMERCIAL_BANKS_TOTAL_DEPOSITS_FDIC" vbProcedure="false">"c6474"</definedName>
    <definedName function="false" hidden="true" name="IQ_COMMERCIAL_BANKS_TOTAL_LOANS_FOREIGN_FDIC" vbProcedure="false">"c6444"</definedName>
    <definedName function="false" hidden="true" name="IQ_COMMERCIAL_BANKS_TRANSACTION_ACCOUNTS_FDIC" vbProcedure="false">"c6540"</definedName>
    <definedName function="false" hidden="true" name="IQ_COMMERCIAL_DOM" vbProcedure="false">"c177"</definedName>
    <definedName function="false" hidden="true" name="IQ_COMMERCIAL_FIRE_WRITTEN" vbProcedure="false">"c178"</definedName>
    <definedName function="false" hidden="true" name="IQ_COMMERCIAL_INDUSTRIAL_CHARGE_OFFS_FDIC" vbProcedure="false">"c6598"</definedName>
    <definedName function="false" hidden="true" name="IQ_COMMERCIAL_INDUSTRIAL_DOM_QUARTERLY_AVG_FFIEC" vbProcedure="false">"c15478"</definedName>
    <definedName function="false" hidden="true" name="IQ_COMMERCIAL_INDUSTRIAL_LOANS_NET_FDIC" vbProcedure="false">"c6317"</definedName>
    <definedName function="false" hidden="true" name="IQ_COMMERCIAL_INDUSTRIAL_NET_CHARGE_OFFS_FDIC" vbProcedure="false">"c6636"</definedName>
    <definedName function="false" hidden="true" name="IQ_COMMERCIAL_INDUSTRIAL_NON_US_DUE_30_89_FFIEC" vbProcedure="false">"c15415"</definedName>
    <definedName function="false" hidden="true" name="IQ_COMMERCIAL_INDUSTRIAL_NON_US_DUE_90_FFIEC" vbProcedure="false">"c15419"</definedName>
    <definedName function="false" hidden="true" name="IQ_COMMERCIAL_INDUSTRIAL_NON_US_NON_ACCRUAL_FFIEC" vbProcedure="false">"c15464"</definedName>
    <definedName function="false" hidden="true" name="IQ_COMMERCIAL_INDUSTRIAL_RECOVERIES_FDIC" vbProcedure="false">"c6617"</definedName>
    <definedName function="false" hidden="true" name="IQ_COMMERCIAL_INDUSTRIAL_TOTAL_LOANS_FOREIGN_FDIC" vbProcedure="false">"c6451"</definedName>
    <definedName function="false" hidden="true" name="IQ_COMMERCIAL_INDUSTRIAL_US_DUE_30_89_FFIEC" vbProcedure="false">"c15414"</definedName>
    <definedName function="false" hidden="true" name="IQ_COMMERCIAL_INDUSTRIAL_US_DUE_90_FFIEC" vbProcedure="false">"c15418"</definedName>
    <definedName function="false" hidden="true" name="IQ_COMMERCIAL_INDUSTRIAL_US_NON_ACCRUAL_FFIEC" vbProcedure="false">"c15463"</definedName>
    <definedName function="false" hidden="true" name="IQ_COMMERCIAL_MORT" vbProcedure="false">"c179"</definedName>
    <definedName function="false" hidden="true" name="IQ_COMMERCIAL_RE_CONSTRUCTION_LAND_DEV_FDIC" vbProcedure="false">"c6526"</definedName>
    <definedName function="false" hidden="true" name="IQ_COMMERCIAL_RE_LOANS_FDIC" vbProcedure="false">"c6312"</definedName>
    <definedName function="false" hidden="true" name="IQ_COMMISSION_DEF" vbProcedure="false">"c181"</definedName>
    <definedName function="false" hidden="true" name="IQ_COMMISS_FEES" vbProcedure="false">"c180"</definedName>
    <definedName function="false" hidden="true" name="IQ_COMMITMENTS_MATURITY_EXCEEDING_1YR_FDIC" vbProcedure="false">"c6531"</definedName>
    <definedName function="false" hidden="true" name="IQ_COMMITMENTS_NOT_SECURED_RE_FDIC" vbProcedure="false">"c6528"</definedName>
    <definedName function="false" hidden="true" name="IQ_COMMITMENTS_SECURED_RE_FDIC" vbProcedure="false">"c6527"</definedName>
    <definedName function="false" hidden="true" name="IQ_COMMODITY_EXPOSURES_FDIC" vbProcedure="false">"c6665"</definedName>
    <definedName function="false" hidden="true" name="IQ_COMMON" vbProcedure="false">"c182"</definedName>
    <definedName function="false" hidden="true" name="IQ_COMMON_APIC" vbProcedure="false">"c183"</definedName>
    <definedName function="false" hidden="true" name="IQ_COMMON_APIC_BNK" vbProcedure="false">"c184"</definedName>
    <definedName function="false" hidden="true" name="IQ_COMMON_APIC_BR" vbProcedure="false">"c185"</definedName>
    <definedName function="false" hidden="true" name="IQ_COMMON_APIC_FIN" vbProcedure="false">"c186"</definedName>
    <definedName function="false" hidden="true" name="IQ_COMMON_APIC_INS" vbProcedure="false">"c187"</definedName>
    <definedName function="false" hidden="true" name="IQ_COMMON_APIC_REIT" vbProcedure="false">"c188"</definedName>
    <definedName function="false" hidden="true" name="IQ_COMMON_APIC_UTI" vbProcedure="false">"c189"</definedName>
    <definedName function="false" hidden="true" name="IQ_COMMON_DIV_CF" vbProcedure="false">"c190"</definedName>
    <definedName function="false" hidden="true" name="IQ_COMMON_EQUITY_10YR_ANN_GROWTH" vbProcedure="false">"c191"</definedName>
    <definedName function="false" hidden="true" name="IQ_COMMON_EQUITY_1YR_ANN_GROWTH" vbProcedure="false">"c192"</definedName>
    <definedName function="false" hidden="true" name="IQ_COMMON_EQUITY_2YR_ANN_GROWTH" vbProcedure="false">"c193"</definedName>
    <definedName function="false" hidden="true" name="IQ_COMMON_EQUITY_3YR_ANN_GROWTH" vbProcedure="false">"c194"</definedName>
    <definedName function="false" hidden="true" name="IQ_COMMON_EQUITY_5YR_ANN_GROWTH" vbProcedure="false">"c195"</definedName>
    <definedName function="false" hidden="true" name="IQ_COMMON_EQUITY_7YR_ANN_GROWTH" vbProcedure="false">"c196"</definedName>
    <definedName function="false" hidden="true" name="IQ_COMMON_FDIC" vbProcedure="false">"c6350"</definedName>
    <definedName function="false" hidden="true" name="IQ_COMMON_ISSUED" vbProcedure="false">"c197"</definedName>
    <definedName function="false" hidden="true" name="IQ_COMMON_ISSUED_BNK" vbProcedure="false">"c198"</definedName>
    <definedName function="false" hidden="true" name="IQ_COMMON_ISSUED_BR" vbProcedure="false">"c199"</definedName>
    <definedName function="false" hidden="true" name="IQ_COMMON_ISSUED_FIN" vbProcedure="false">"c200"</definedName>
    <definedName function="false" hidden="true" name="IQ_COMMON_ISSUED_INS" vbProcedure="false">"c201"</definedName>
    <definedName function="false" hidden="true" name="IQ_COMMON_ISSUED_REIT" vbProcedure="false">"c202"</definedName>
    <definedName function="false" hidden="true" name="IQ_COMMON_ISSUED_UTI" vbProcedure="false">"c203"</definedName>
    <definedName function="false" hidden="true" name="IQ_COMMON_PER_ADR" vbProcedure="false">"c204"</definedName>
    <definedName function="false" hidden="true" name="IQ_COMMON_PREF_DIV_CF" vbProcedure="false">"c205"</definedName>
    <definedName function="false" hidden="true" name="IQ_COMMON_REP" vbProcedure="false">"c206"</definedName>
    <definedName function="false" hidden="true" name="IQ_COMMON_REP_BNK" vbProcedure="false">"c207"</definedName>
    <definedName function="false" hidden="true" name="IQ_COMMON_REP_BR" vbProcedure="false">"c208"</definedName>
    <definedName function="false" hidden="true" name="IQ_COMMON_REP_FIN" vbProcedure="false">"c209"</definedName>
    <definedName function="false" hidden="true" name="IQ_COMMON_REP_INS" vbProcedure="false">"c210"</definedName>
    <definedName function="false" hidden="true" name="IQ_COMMON_REP_REIT" vbProcedure="false">"c211"</definedName>
    <definedName function="false" hidden="true" name="IQ_COMMON_REP_UTI" vbProcedure="false">"c212"</definedName>
    <definedName function="false" hidden="true" name="IQ_COMMON_STOCK" vbProcedure="false">"c182"</definedName>
    <definedName function="false" hidden="true" name="IQ_COMM_BANKS_OTHER_DEP_INST_US_TRANS_ACCTS_FFIEC" vbProcedure="false">"c15317"</definedName>
    <definedName function="false" hidden="true" name="IQ_COMM_BANKS_OTHER_INST_US_NON_TRANS_ACCTS_FFIEC" vbProcedure="false">"c15325"</definedName>
    <definedName function="false" hidden="true" name="IQ_COMPANY_ADDRESS" vbProcedure="false">"c214"</definedName>
    <definedName function="false" hidden="true" name="IQ_COMPANY_NAME" vbProcedure="false">"c215"</definedName>
    <definedName function="false" hidden="true" name="IQ_COMPANY_NAME_LONG" vbProcedure="false">"c1585"</definedName>
    <definedName function="false" hidden="true" name="IQ_COMPANY_PHONE" vbProcedure="false">"c216"</definedName>
    <definedName function="false" hidden="true" name="IQ_COMPANY_STREET1" vbProcedure="false">"c217"</definedName>
    <definedName function="false" hidden="true" name="IQ_COMPANY_STREET2" vbProcedure="false">"c218"</definedName>
    <definedName function="false" hidden="true" name="IQ_COMPANY_TICKER" vbProcedure="false">"c219"</definedName>
    <definedName function="false" hidden="true" name="IQ_COMPANY_TICKER_NO_EXCH" vbProcedure="false">"c15490"</definedName>
    <definedName function="false" hidden="true" name="IQ_COMPANY_WEBSITE" vbProcedure="false">"c220"</definedName>
    <definedName function="false" hidden="true" name="IQ_COMPANY_ZIP" vbProcedure="false">"c221"</definedName>
    <definedName function="false" hidden="true" name="IQ_COMP_BENEFITS" vbProcedure="false">"c213"</definedName>
    <definedName function="false" hidden="true" name="IQ_CONSOLIDATED_NI_FOREIGN_FFIEC" vbProcedure="false">"c15396"</definedName>
    <definedName function="false" hidden="true" name="IQ_CONSTRUCTION_DEV_LOANS_FDIC" vbProcedure="false">"c6313"</definedName>
    <definedName function="false" hidden="true" name="IQ_CONSTRUCTION_LAND_DEVELOPMENT_CHARGE_OFFS_FDIC" vbProcedure="false">"c6594"</definedName>
    <definedName function="false" hidden="true" name="IQ_CONSTRUCTION_LAND_DEVELOPMENT_NET_CHARGE_OFFS_FDIC" vbProcedure="false">"c6632"</definedName>
    <definedName function="false" hidden="true" name="IQ_CONSTRUCTION_LAND_DEVELOPMENT_RECOVERIES_FDIC" vbProcedure="false">"c6613"</definedName>
    <definedName function="false" hidden="true" name="IQ_CONSTRUCTION_LAND_DEV_DOM_FFIEC" vbProcedure="false">"c15267"</definedName>
    <definedName function="false" hidden="true" name="IQ_CONSTRUCTION_LOANS" vbProcedure="false">"c222"</definedName>
    <definedName function="false" hidden="true" name="IQ_CONSUMER_LOANS" vbProcedure="false">"c223"</definedName>
    <definedName function="false" hidden="true" name="IQ_CONTRACTS_OTHER_COMMODITIES_EQUITIES._FDIC" vbProcedure="false">"c6522"</definedName>
    <definedName function="false" hidden="true" name="IQ_CONTRACTS_OTHER_COMMODITIES_EQUITIES_FDIC" vbProcedure="false">"c6522"</definedName>
    <definedName function="false" hidden="true" name="IQ_CONTRIB_ID_DET_EST_REUT" vbProcedure="false">"c12137"</definedName>
    <definedName function="false" hidden="true" name="IQ_CONTRIB_ID_NON_PER_DET_EST_REUT" vbProcedure="false">"c13827"</definedName>
    <definedName function="false" hidden="true" name="IQ_CONTRIB_NAME_DET_EST_REUT" vbProcedure="false">"c12138"</definedName>
    <definedName function="false" hidden="true" name="IQ_CONTRIB_NAME_NON_PER_DET_EST_REUT" vbProcedure="false">"c12763"</definedName>
    <definedName function="false" hidden="true" name="IQ_CONTRIB_REC_DET_EST_DATE_REUT" vbProcedure="false">"c12285"</definedName>
    <definedName function="false" hidden="true" name="IQ_CONTRIB_REC_DET_EST_ORIGIN_REUT" vbProcedure="false">"c12653"</definedName>
    <definedName function="false" hidden="true" name="IQ_CONTRIB_REC_DET_EST_REUT" vbProcedure="false">"c12143"</definedName>
    <definedName function="false" hidden="true" name="IQ_CONVERT_DEBT" vbProcedure="false">"c224"</definedName>
    <definedName function="false" hidden="true" name="IQ_CONVEYED_TO_OTHERS_FDIC" vbProcedure="false">"c6534"</definedName>
    <definedName function="false" hidden="true" name="IQ_CONV_RATE" vbProcedure="false">"c2192"</definedName>
    <definedName function="false" hidden="true" name="IQ_COO_ID" vbProcedure="false">"c15222"</definedName>
    <definedName function="false" hidden="true" name="IQ_COO_NAME" vbProcedure="false">"c15221"</definedName>
    <definedName function="false" hidden="true" name="IQ_CORE_CAPITAL_RATIO_FDIC" vbProcedure="false">"c6745"</definedName>
    <definedName function="false" hidden="true" name="IQ_CORE_TIER_ONE_CAPITAL" vbProcedure="false">"c15244"</definedName>
    <definedName function="false" hidden="true" name="IQ_CORE_TIER_ONE_CAPITAL_RATIO" vbProcedure="false">"c15240"</definedName>
    <definedName function="false" hidden="true" name="IQ_CORP_GOODS_PRICE_INDEX_APR_FC_UNUSED_UNUSED_UNUSED" vbProcedure="false">"c8381"</definedName>
    <definedName function="false" hidden="true" name="IQ_CORP_GOODS_PRICE_INDEX_APR_UNUSED_UNUSED_UNUSED" vbProcedure="false">"c7501"</definedName>
    <definedName function="false" hidden="true" name="IQ_CORP_GOODS_PRICE_INDEX_FC_UNUSED_UNUSED_UNUSED" vbProcedure="false">"c7721"</definedName>
    <definedName function="false" hidden="true" name="IQ_CORP_GOODS_PRICE_INDEX_POP_FC_UNUSED_UNUSED_UNUSED" vbProcedure="false">"c7941"</definedName>
    <definedName function="false" hidden="true" name="IQ_CORP_GOODS_PRICE_INDEX_POP_UNUSED_UNUSED_UNUSED" vbProcedure="false">"c7061"</definedName>
    <definedName function="false" hidden="true" name="IQ_CORP_GOODS_PRICE_INDEX_UNUSED_UNUSED_UNUSED" vbProcedure="false">"c6841"</definedName>
    <definedName function="false" hidden="true" name="IQ_CORP_GOODS_PRICE_INDEX_YOY_FC_UNUSED_UNUSED_UNUSED" vbProcedure="false">"c8161"</definedName>
    <definedName function="false" hidden="true" name="IQ_CORP_GOODS_PRICE_INDEX_YOY_UNUSED_UNUSED_UNUSED" vbProcedure="false">"c7281"</definedName>
    <definedName function="false" hidden="true" name="IQ_COST_BORROWINGS" vbProcedure="false">"c225"</definedName>
    <definedName function="false" hidden="true" name="IQ_COST_OF_FUNDING_ASSETS_FDIC" vbProcedure="false">"c6725"</definedName>
    <definedName function="false" hidden="true" name="IQ_COST_REV" vbProcedure="false">"c226"</definedName>
    <definedName function="false" hidden="true" name="IQ_COST_REVENUE" vbProcedure="false">"c226"</definedName>
    <definedName function="false" hidden="true" name="IQ_COST_SAVINGS" vbProcedure="false">"c227"</definedName>
    <definedName function="false" hidden="true" name="IQ_COST_SERVICE" vbProcedure="false">"c228"</definedName>
    <definedName function="false" hidden="true" name="IQ_COST_TOTAL_BORROWINGS" vbProcedure="false">"c229"</definedName>
    <definedName function="false" hidden="true" name="IQ_COUNTRY_NAME" vbProcedure="false">"c230"</definedName>
    <definedName function="false" hidden="true" name="IQ_COVERAGE_RATIO" vbProcedure="false">"c15243"</definedName>
    <definedName function="false" hidden="false" name="IQ_CQ" vbProcedure="false">5000</definedName>
    <definedName function="false" hidden="true" name="IQ_CREDIT_CARD_CHARGE_OFFS_FDIC" vbProcedure="false">"c6652"</definedName>
    <definedName function="false" hidden="true" name="IQ_CREDIT_CARD_FEE" vbProcedure="false">"c231"</definedName>
    <definedName function="false" hidden="true" name="IQ_CREDIT_CARD_FEE_BNK" vbProcedure="false">"c231"</definedName>
    <definedName function="false" hidden="true" name="IQ_CREDIT_CARD_FEE_FIN" vbProcedure="false">"c1583"</definedName>
    <definedName function="false" hidden="true" name="IQ_CREDIT_CARD_LINES_FDIC" vbProcedure="false">"c6525"</definedName>
    <definedName function="false" hidden="true" name="IQ_CREDIT_CARD_LOANS_DOM_QUARTERLY_AVG_FFIEC" vbProcedure="false">"c15480"</definedName>
    <definedName function="false" hidden="true" name="IQ_CREDIT_CARD_LOANS_FDIC" vbProcedure="false">"c6319"</definedName>
    <definedName function="false" hidden="true" name="IQ_CREDIT_CARD_NET_CHARGE_OFFS_FDIC" vbProcedure="false">"c6654"</definedName>
    <definedName function="false" hidden="true" name="IQ_CREDIT_CARD_RECOVERIES_FDIC" vbProcedure="false">"c6653"</definedName>
    <definedName function="false" hidden="true" name="IQ_CREDIT_LOSS_CF" vbProcedure="false">"c232"</definedName>
    <definedName function="false" hidden="true" name="IQ_CREDIT_LOSS_PROVISION_NET_CHARGE_OFFS_FDIC" vbProcedure="false">"c6734"</definedName>
    <definedName function="false" hidden="true" name="IQ_CURRENCY_COIN_DOMESTIC_FDIC" vbProcedure="false">"c6388"</definedName>
    <definedName function="false" hidden="true" name="IQ_CURRENCY_COIN_DOM_FFIEC" vbProcedure="false">"c15287"</definedName>
    <definedName function="false" hidden="true" name="IQ_CURRENCY_FACTOR_BS" vbProcedure="false">"c233"</definedName>
    <definedName function="false" hidden="true" name="IQ_CURRENCY_FACTOR_IS" vbProcedure="false">"c234"</definedName>
    <definedName function="false" hidden="true" name="IQ_CURRENCY_GAIN" vbProcedure="false">"c235"</definedName>
    <definedName function="false" hidden="true" name="IQ_CURRENCY_GAIN_BR" vbProcedure="false">"c236"</definedName>
    <definedName function="false" hidden="true" name="IQ_CURRENCY_GAIN_FIN" vbProcedure="false">"c237"</definedName>
    <definedName function="false" hidden="true" name="IQ_CURRENCY_GAIN_INS" vbProcedure="false">"c238"</definedName>
    <definedName function="false" hidden="true" name="IQ_CURRENCY_GAIN_REIT" vbProcedure="false">"c239"</definedName>
    <definedName function="false" hidden="true" name="IQ_CURRENCY_GAIN_UTI" vbProcedure="false">"c240"</definedName>
    <definedName function="false" hidden="true" name="IQ_CURRENT_PORT" vbProcedure="false">"c241"</definedName>
    <definedName function="false" hidden="true" name="IQ_CURRENT_PORT_BNK" vbProcedure="false">"c242"</definedName>
    <definedName function="false" hidden="true" name="IQ_CURRENT_PORT_DEBT" vbProcedure="false">"c243"</definedName>
    <definedName function="false" hidden="true" name="IQ_CURRENT_PORT_DEBT_BNK" vbProcedure="false">"c244"</definedName>
    <definedName function="false" hidden="true" name="IQ_CURRENT_PORT_DEBT_BR" vbProcedure="false">"c1567"</definedName>
    <definedName function="false" hidden="true" name="IQ_CURRENT_PORT_DEBT_FIN" vbProcedure="false">"c1568"</definedName>
    <definedName function="false" hidden="true" name="IQ_CURRENT_PORT_DEBT_INS" vbProcedure="false">"c1569"</definedName>
    <definedName function="false" hidden="true" name="IQ_CURRENT_PORT_DEBT_REIT" vbProcedure="false">"c1570"</definedName>
    <definedName function="false" hidden="true" name="IQ_CURRENT_PORT_DEBT_UTI" vbProcedure="false">"c1571"</definedName>
    <definedName function="false" hidden="true" name="IQ_CURRENT_PORT_LEASES" vbProcedure="false">"c245"</definedName>
    <definedName function="false" hidden="true" name="IQ_CURRENT_RATIO" vbProcedure="false">"c246"</definedName>
    <definedName function="false" hidden="true" name="IQ_CURR_ACCT_BALANCE_APR_FC_UNUSED_UNUSED_UNUSED" vbProcedure="false">"c8387"</definedName>
    <definedName function="false" hidden="true" name="IQ_CURR_ACCT_BALANCE_APR_UNUSED_UNUSED_UNUSED" vbProcedure="false">"c7507"</definedName>
    <definedName function="false" hidden="true" name="IQ_CURR_ACCT_BALANCE_FC_UNUSED_UNUSED_UNUSED" vbProcedure="false">"c7727"</definedName>
    <definedName function="false" hidden="true" name="IQ_CURR_ACCT_BALANCE_POP_FC_UNUSED_UNUSED_UNUSED" vbProcedure="false">"c7947"</definedName>
    <definedName function="false" hidden="true" name="IQ_CURR_ACCT_BALANCE_POP_UNUSED_UNUSED_UNUSED" vbProcedure="false">"c7067"</definedName>
    <definedName function="false" hidden="true" name="IQ_CURR_ACCT_BALANCE_UNUSED_UNUSED_UNUSED" vbProcedure="false">"c6847"</definedName>
    <definedName function="false" hidden="true" name="IQ_CURR_ACCT_BALANCE_YOY_FC_UNUSED_UNUSED_UNUSED" vbProcedure="false">"c8167"</definedName>
    <definedName function="false" hidden="true" name="IQ_CURR_ACCT_BALANCE_YOY_UNUSED_UNUSED_UNUSED" vbProcedure="false">"c7287"</definedName>
    <definedName function="false" hidden="false" name="IQ_CY" vbProcedure="false">10000</definedName>
    <definedName function="false" hidden="true" name="IQ_DA" vbProcedure="false">"c247"</definedName>
    <definedName function="false" hidden="false" name="IQ_DAILY" vbProcedure="false">500000</definedName>
    <definedName function="false" hidden="true" name="IQ_DAYS_COVER_SHORT" vbProcedure="false">"c1578"</definedName>
    <definedName function="false" hidden="true" name="IQ_DAYS_INVENTORY_OUT" vbProcedure="false">"c273"</definedName>
    <definedName function="false" hidden="true" name="IQ_DAYS_PAYABLE_OUT" vbProcedure="false">"c274"</definedName>
    <definedName function="false" hidden="true" name="IQ_DAYS_PAY_OUTST" vbProcedure="false">"c274"</definedName>
    <definedName function="false" hidden="true" name="IQ_DAYS_SALES_OUT" vbProcedure="false">"c275"</definedName>
    <definedName function="false" hidden="true" name="IQ_DAYS_SALES_OUTST" vbProcedure="false">"c275"</definedName>
    <definedName function="false" hidden="true" name="IQ_DA_BR" vbProcedure="false">"c248"</definedName>
    <definedName function="false" hidden="true" name="IQ_DA_CF" vbProcedure="false">"c249"</definedName>
    <definedName function="false" hidden="true" name="IQ_DA_CF_BNK" vbProcedure="false">"c250"</definedName>
    <definedName function="false" hidden="true" name="IQ_DA_CF_BR" vbProcedure="false">"c251"</definedName>
    <definedName function="false" hidden="true" name="IQ_DA_CF_FIN" vbProcedure="false">"c252"</definedName>
    <definedName function="false" hidden="true" name="IQ_DA_CF_INS" vbProcedure="false">"c253"</definedName>
    <definedName function="false" hidden="true" name="IQ_DA_CF_REIT" vbProcedure="false">"c254"</definedName>
    <definedName function="false" hidden="true" name="IQ_DA_CF_UTI" vbProcedure="false">"c255"</definedName>
    <definedName function="false" hidden="true" name="IQ_DA_FIN" vbProcedure="false">"c256"</definedName>
    <definedName function="false" hidden="true" name="IQ_DA_INS" vbProcedure="false">"c257"</definedName>
    <definedName function="false" hidden="true" name="IQ_DA_REIT" vbProcedure="false">"c258"</definedName>
    <definedName function="false" hidden="true" name="IQ_DA_SUPPL" vbProcedure="false">"c259"</definedName>
    <definedName function="false" hidden="true" name="IQ_DA_SUPPL_BR" vbProcedure="false">"c260"</definedName>
    <definedName function="false" hidden="true" name="IQ_DA_SUPPL_CF" vbProcedure="false">"c261"</definedName>
    <definedName function="false" hidden="true" name="IQ_DA_SUPPL_CF_BNK" vbProcedure="false">"c262"</definedName>
    <definedName function="false" hidden="true" name="IQ_DA_SUPPL_CF_BR" vbProcedure="false">"c263"</definedName>
    <definedName function="false" hidden="true" name="IQ_DA_SUPPL_CF_FIN" vbProcedure="false">"c264"</definedName>
    <definedName function="false" hidden="true" name="IQ_DA_SUPPL_CF_INS" vbProcedure="false">"c265"</definedName>
    <definedName function="false" hidden="true" name="IQ_DA_SUPPL_CF_REIT" vbProcedure="false">"c266"</definedName>
    <definedName function="false" hidden="true" name="IQ_DA_SUPPL_CF_UTI" vbProcedure="false">"c267"</definedName>
    <definedName function="false" hidden="true" name="IQ_DA_SUPPL_FIN" vbProcedure="false">"c268"</definedName>
    <definedName function="false" hidden="true" name="IQ_DA_SUPPL_INS" vbProcedure="false">"c269"</definedName>
    <definedName function="false" hidden="true" name="IQ_DA_SUPPL_REIT" vbProcedure="false">"c270"</definedName>
    <definedName function="false" hidden="true" name="IQ_DA_SUPPL_UTI" vbProcedure="false">"c271"</definedName>
    <definedName function="false" hidden="true" name="IQ_DA_UTI" vbProcedure="false">"c272"</definedName>
    <definedName function="false" hidden="true" name="IQ_DEFERRED_INC_TAX" vbProcedure="false">"c315"</definedName>
    <definedName function="false" hidden="true" name="IQ_DEFERRED_TAXES" vbProcedure="false">"c147"</definedName>
    <definedName function="false" hidden="true" name="IQ_DEF_ACQ_CST" vbProcedure="false">"c301"</definedName>
    <definedName function="false" hidden="true" name="IQ_DEF_AMORT" vbProcedure="false">"c276"</definedName>
    <definedName function="false" hidden="true" name="IQ_DEF_AMORT_BNK" vbProcedure="false">"c277"</definedName>
    <definedName function="false" hidden="true" name="IQ_DEF_AMORT_BR" vbProcedure="false">"c278"</definedName>
    <definedName function="false" hidden="true" name="IQ_DEF_AMORT_FIN" vbProcedure="false">"c279"</definedName>
    <definedName function="false" hidden="true" name="IQ_DEF_AMORT_INS" vbProcedure="false">"c280"</definedName>
    <definedName function="false" hidden="true" name="IQ_DEF_AMORT_REIT" vbProcedure="false">"c281"</definedName>
    <definedName function="false" hidden="true" name="IQ_DEF_AMORT_UTI" vbProcedure="false">"c282"</definedName>
    <definedName function="false" hidden="true" name="IQ_DEF_BENEFIT_INTEREST_COST" vbProcedure="false">"c283"</definedName>
    <definedName function="false" hidden="true" name="IQ_DEF_BENEFIT_OTHER_COST" vbProcedure="false">"c284"</definedName>
    <definedName function="false" hidden="true" name="IQ_DEF_BENEFIT_ROA" vbProcedure="false">"c285"</definedName>
    <definedName function="false" hidden="true" name="IQ_DEF_BENEFIT_SERVICE_COST" vbProcedure="false">"c286"</definedName>
    <definedName function="false" hidden="true" name="IQ_DEF_BENEFIT_TOTAL_COST" vbProcedure="false">"c287"</definedName>
    <definedName function="false" hidden="true" name="IQ_DEF_CHARGES_BR" vbProcedure="false">"c288"</definedName>
    <definedName function="false" hidden="true" name="IQ_DEF_CHARGES_CF" vbProcedure="false">"c289"</definedName>
    <definedName function="false" hidden="true" name="IQ_DEF_CHARGES_FIN" vbProcedure="false">"c290"</definedName>
    <definedName function="false" hidden="true" name="IQ_DEF_CHARGES_INS" vbProcedure="false">"c291"</definedName>
    <definedName function="false" hidden="true" name="IQ_DEF_CHARGES_LT" vbProcedure="false">"c292"</definedName>
    <definedName function="false" hidden="true" name="IQ_DEF_CHARGES_LT_BNK" vbProcedure="false">"c293"</definedName>
    <definedName function="false" hidden="true" name="IQ_DEF_CHARGES_LT_BR" vbProcedure="false">"c294"</definedName>
    <definedName function="false" hidden="true" name="IQ_DEF_CHARGES_LT_FIN" vbProcedure="false">"c295"</definedName>
    <definedName function="false" hidden="true" name="IQ_DEF_CHARGES_LT_INS" vbProcedure="false">"c296"</definedName>
    <definedName function="false" hidden="true" name="IQ_DEF_CHARGES_LT_REIT" vbProcedure="false">"c297"</definedName>
    <definedName function="false" hidden="true" name="IQ_DEF_CHARGES_LT_UTI" vbProcedure="false">"c298"</definedName>
    <definedName function="false" hidden="true" name="IQ_DEF_CHARGES_REIT" vbProcedure="false">"c299"</definedName>
    <definedName function="false" hidden="true" name="IQ_DEF_CONTRIBUTION_TOTAL_COST" vbProcedure="false">"c300"</definedName>
    <definedName function="false" hidden="true" name="IQ_DEF_INC_TAX" vbProcedure="false">"c313"</definedName>
    <definedName function="false" hidden="true" name="IQ_DEF_POLICY_ACQ_COSTS" vbProcedure="false">"c301"</definedName>
    <definedName function="false" hidden="true" name="IQ_DEF_POLICY_ACQ_COSTS_CF" vbProcedure="false">"c302"</definedName>
    <definedName function="false" hidden="true" name="IQ_DEF_POLICY_AMORT" vbProcedure="false">"c303"</definedName>
    <definedName function="false" hidden="true" name="IQ_DEF_TAX_ASSETS_CURRENT" vbProcedure="false">"c309"</definedName>
    <definedName function="false" hidden="true" name="IQ_DEF_TAX_ASSETS_LT" vbProcedure="false">"c310"</definedName>
    <definedName function="false" hidden="true" name="IQ_DEF_TAX_ASSETS_LT_BNK" vbProcedure="false">"c311"</definedName>
    <definedName function="false" hidden="true" name="IQ_DEF_TAX_ASSET_LT_BR" vbProcedure="false">"c304"</definedName>
    <definedName function="false" hidden="true" name="IQ_DEF_TAX_ASSET_LT_FIN" vbProcedure="false">"c305"</definedName>
    <definedName function="false" hidden="true" name="IQ_DEF_TAX_ASSET_LT_INS" vbProcedure="false">"c306"</definedName>
    <definedName function="false" hidden="true" name="IQ_DEF_TAX_ASSET_LT_REIT" vbProcedure="false">"c307"</definedName>
    <definedName function="false" hidden="true" name="IQ_DEF_TAX_ASSET_LT_UTI" vbProcedure="false">"c308"</definedName>
    <definedName function="false" hidden="true" name="IQ_DEF_TAX_LIAB_CURRENT" vbProcedure="false">"c312"</definedName>
    <definedName function="false" hidden="true" name="IQ_DEF_TAX_LIAB_LT" vbProcedure="false">"c313"</definedName>
    <definedName function="false" hidden="true" name="IQ_DEF_TAX_LIAB_LT_BNK" vbProcedure="false">"c314"</definedName>
    <definedName function="false" hidden="true" name="IQ_DEF_TAX_LIAB_LT_BR" vbProcedure="false">"c315"</definedName>
    <definedName function="false" hidden="true" name="IQ_DEF_TAX_LIAB_LT_FIN" vbProcedure="false">"c316"</definedName>
    <definedName function="false" hidden="true" name="IQ_DEF_TAX_LIAB_LT_INS" vbProcedure="false">"c317"</definedName>
    <definedName function="false" hidden="true" name="IQ_DEF_TAX_LIAB_LT_REIT" vbProcedure="false">"c318"</definedName>
    <definedName function="false" hidden="true" name="IQ_DEF_TAX_LIAB_LT_UTI" vbProcedure="false">"c319"</definedName>
    <definedName function="false" hidden="true" name="IQ_DEMAND_DEP" vbProcedure="false">"c320"</definedName>
    <definedName function="false" hidden="true" name="IQ_DEMAND_DEPOSITS_FDIC" vbProcedure="false">"c6489"</definedName>
    <definedName function="false" hidden="true" name="IQ_DEPOSITORY_INSTITUTIONS_CHARGE_OFFS_FDIC" vbProcedure="false">"c6596"</definedName>
    <definedName function="false" hidden="true" name="IQ_DEPOSITORY_INSTITUTIONS_NET_CHARGE_OFFS_FDIC" vbProcedure="false">"c6634"</definedName>
    <definedName function="false" hidden="true" name="IQ_DEPOSITORY_INSTITUTIONS_RECOVERIES_FDIC" vbProcedure="false">"c6615"</definedName>
    <definedName function="false" hidden="true" name="IQ_DEPOSITS_FIN" vbProcedure="false">"c321"</definedName>
    <definedName function="false" hidden="true" name="IQ_DEPOSITS_FOREIGN_BANKS_FOREIGN_AGENCIES_FFIEC" vbProcedure="false">"c15344"</definedName>
    <definedName function="false" hidden="true" name="IQ_DEPOSITS_HELD_DOMESTIC_FDIC" vbProcedure="false">"c6340"</definedName>
    <definedName function="false" hidden="true" name="IQ_DEPOSITS_HELD_FOREIGN_FDIC" vbProcedure="false">"c6341"</definedName>
    <definedName function="false" hidden="true" name="IQ_DEPOSITS_LESS_THAN_100K_AFTER_THREE_YEARS_FDIC" vbProcedure="false">"c6464"</definedName>
    <definedName function="false" hidden="true" name="IQ_DEPOSITS_LESS_THAN_100K_THREE_MONTHS_FDIC" vbProcedure="false">"c6461"</definedName>
    <definedName function="false" hidden="true" name="IQ_DEPOSITS_LESS_THAN_100K_THREE_YEARS_FDIC" vbProcedure="false">"c6463"</definedName>
    <definedName function="false" hidden="true" name="IQ_DEPOSITS_LESS_THAN_100K_TWELVE_MONTHS_FDIC" vbProcedure="false">"c6462"</definedName>
    <definedName function="false" hidden="true" name="IQ_DEPOSITS_MORE_THAN_100K_AFTER_THREE_YEARS_FDIC" vbProcedure="false">"c6469"</definedName>
    <definedName function="false" hidden="true" name="IQ_DEPOSITS_MORE_THAN_100K_THREE_MONTHS_FDIC" vbProcedure="false">"c6466"</definedName>
    <definedName function="false" hidden="true" name="IQ_DEPOSITS_MORE_THAN_100K_THREE_YEARS_FDIC" vbProcedure="false">"c6468"</definedName>
    <definedName function="false" hidden="true" name="IQ_DEPOSITS_MORE_THAN_100K_TWELVE_MONTHS_FDIC" vbProcedure="false">"c6467"</definedName>
    <definedName function="false" hidden="true" name="IQ_DEPOSIT_ACCOUNTS_LESS_THAN_100K_FDIC" vbProcedure="false">"c6494"</definedName>
    <definedName function="false" hidden="true" name="IQ_DEPOSIT_ACCOUNTS_MORE_THAN_100K_FDIC" vbProcedure="false">"c6492"</definedName>
    <definedName function="false" hidden="true" name="IQ_DEPRE_AMORT" vbProcedure="false">"c247"</definedName>
    <definedName function="false" hidden="true" name="IQ_DEPRE_AMORT_SUPPL" vbProcedure="false">"c1593"</definedName>
    <definedName function="false" hidden="true" name="IQ_DEPRE_DEPLE" vbProcedure="false">"c261"</definedName>
    <definedName function="false" hidden="true" name="IQ_DEPRE_SUPP" vbProcedure="false">"c1443"</definedName>
    <definedName function="false" hidden="true" name="IQ_DERIVATIVES_FDIC" vbProcedure="false">"c6523"</definedName>
    <definedName function="false" hidden="true" name="IQ_DERIVATIVE_ASSETS_FAIR_VALUE_TOT_FFIEC" vbProcedure="false">"c15403"</definedName>
    <definedName function="false" hidden="true" name="IQ_DERIVATIVE_ASSETS_LEVEL_1_FFIEC" vbProcedure="false">"c15425"</definedName>
    <definedName function="false" hidden="true" name="IQ_DERIVATIVE_ASSETS_LEVEL_2_FFIEC" vbProcedure="false">"c15438"</definedName>
    <definedName function="false" hidden="true" name="IQ_DERIVATIVE_ASSETS_LEVEL_3_FFIEC" vbProcedure="false">"c15451"</definedName>
    <definedName function="false" hidden="true" name="IQ_DERIVATIVE_LIABILITIES_FAIR_VALUE_TOT_FFIEC" vbProcedure="false">"c15407"</definedName>
    <definedName function="false" hidden="true" name="IQ_DERIVATIVE_LIABILITIES_LEVEL_1_FFIEC" vbProcedure="false">"c15429"</definedName>
    <definedName function="false" hidden="true" name="IQ_DERIVATIVE_LIABILITIES_LEVEL_2_FFIEC" vbProcedure="false">"c15442"</definedName>
    <definedName function="false" hidden="true" name="IQ_DERIVATIVE_LIABILITIES_LEVEL_3_FFIEC" vbProcedure="false">"c15455"</definedName>
    <definedName function="false" hidden="true" name="IQ_DESCRIPTION_LONG" vbProcedure="false">"c322"</definedName>
    <definedName function="false" hidden="true" name="IQ_DEVELOP_LAND" vbProcedure="false">"c323"</definedName>
    <definedName function="false" hidden="true" name="IQ_DIFF_LASTCLOSE_TARGET_PRICE_REUT" vbProcedure="false">"c5436"</definedName>
    <definedName function="false" hidden="true" name="IQ_DILUT_ADJUST" vbProcedure="false">"c1621"</definedName>
    <definedName function="false" hidden="true" name="IQ_DILUT_EPS_EXCL" vbProcedure="false">"c324"</definedName>
    <definedName function="false" hidden="true" name="IQ_DILUT_EPS_INCL" vbProcedure="false">"c325"</definedName>
    <definedName function="false" hidden="true" name="IQ_DILUT_NORMAL_EPS" vbProcedure="false">"c1594"</definedName>
    <definedName function="false" hidden="true" name="IQ_DILUT_WEIGHT" vbProcedure="false">"c326"</definedName>
    <definedName function="false" hidden="true" name="IQ_DIRECT_INDIRECT_RE_VENTURES_FFIEC" vbProcedure="false">"c15266"</definedName>
    <definedName function="false" hidden="true" name="IQ_DIRECT_INDIRECT_RE_VENTURES_UNCONSOL_FFIEC" vbProcedure="false">"c15274"</definedName>
    <definedName function="false" hidden="true" name="IQ_DISCONT_OPER" vbProcedure="false">"c333"</definedName>
    <definedName function="false" hidden="true" name="IQ_DISCOUNT_RATE_PENSION_DOMESTIC" vbProcedure="false">"c327"</definedName>
    <definedName function="false" hidden="true" name="IQ_DISCOUNT_RATE_PENSION_FOREIGN" vbProcedure="false">"c328"</definedName>
    <definedName function="false" hidden="true" name="IQ_DISTRIBUTABLE_CASH_EST_CIQ" vbProcedure="false">"c4802"</definedName>
    <definedName function="false" hidden="true" name="IQ_DISTRIBUTABLE_CASH_HIGH_EST_CIQ" vbProcedure="false">"c4805"</definedName>
    <definedName function="false" hidden="true" name="IQ_DISTRIBUTABLE_CASH_LOW_EST_CIQ" vbProcedure="false">"c4806"</definedName>
    <definedName function="false" hidden="true" name="IQ_DISTRIBUTABLE_CASH_MEDIAN_EST_CIQ" vbProcedure="false">"c4807"</definedName>
    <definedName function="false" hidden="true" name="IQ_DISTRIBUTABLE_CASH_NUM_EST_CIQ" vbProcedure="false">"c4808"</definedName>
    <definedName function="false" hidden="true" name="IQ_DISTRIBUTABLE_CASH_SHARE_EST_CIQ" vbProcedure="false">"c4810"</definedName>
    <definedName function="false" hidden="true" name="IQ_DISTRIBUTABLE_CASH_SHARE_HIGH_EST_CIQ" vbProcedure="false">"c4813"</definedName>
    <definedName function="false" hidden="true" name="IQ_DISTRIBUTABLE_CASH_SHARE_LOW_EST_CIQ" vbProcedure="false">"c4814"</definedName>
    <definedName function="false" hidden="true" name="IQ_DISTRIBUTABLE_CASH_SHARE_MEDIAN_EST_CIQ" vbProcedure="false">"c4815"</definedName>
    <definedName function="false" hidden="true" name="IQ_DISTRIBUTABLE_CASH_SHARE_NUM_EST_CIQ" vbProcedure="false">"c4816"</definedName>
    <definedName function="false" hidden="true" name="IQ_DISTRIBUTABLE_CASH_SHARE_STDDEV_EST_CIQ" vbProcedure="false">"c4817"</definedName>
    <definedName function="false" hidden="true" name="IQ_DISTRIBUTABLE_CASH_STDDEV_EST_CIQ" vbProcedure="false">"c4819"</definedName>
    <definedName function="false" hidden="true" name="IQ_DISTR_EXCESS_EARN" vbProcedure="false">"c329"</definedName>
    <definedName function="false" hidden="true" name="IQ_DIVEST_CF" vbProcedure="false">"c331"</definedName>
    <definedName function="false" hidden="true" name="IQ_DIVIDENDS_DECLARED_COMMON_FDIC" vbProcedure="false">"c6659"</definedName>
    <definedName function="false" hidden="true" name="IQ_DIVIDENDS_DECLARED_PREFERRED_FDIC" vbProcedure="false">"c6658"</definedName>
    <definedName function="false" hidden="true" name="IQ_DIVIDENDS_FDIC" vbProcedure="false">"c6660"</definedName>
    <definedName function="false" hidden="true" name="IQ_DIVIDEND_YIELD" vbProcedure="false">"c332"</definedName>
    <definedName function="false" hidden="true" name="IQ_DIVID_SHARE" vbProcedure="false">"c330"</definedName>
    <definedName function="false" hidden="true" name="IQ_DIV_SHARE" vbProcedure="false">"c330"</definedName>
    <definedName function="false" hidden="true" name="IQ_DNTM" vbProcedure="false">700000</definedName>
    <definedName function="false" hidden="true" name="IQ_DO" vbProcedure="false">"c333"</definedName>
    <definedName function="false" hidden="true" name="IQ_DO_ASSETS_CURRENT" vbProcedure="false">"c334"</definedName>
    <definedName function="false" hidden="true" name="IQ_DO_ASSETS_LT" vbProcedure="false">"c335"</definedName>
    <definedName function="false" hidden="true" name="IQ_DO_CF" vbProcedure="false">"c336"</definedName>
    <definedName function="false" hidden="true" name="IQ_DPAC" vbProcedure="false">"c2801"</definedName>
    <definedName function="false" hidden="true" name="IQ_DPS_10YR_ANN_GROWTH" vbProcedure="false">"c337"</definedName>
    <definedName function="false" hidden="true" name="IQ_DPS_1YR_ANN_GROWTH" vbProcedure="false">"c338"</definedName>
    <definedName function="false" hidden="true" name="IQ_DPS_2YR_ANN_GROWTH" vbProcedure="false">"c339"</definedName>
    <definedName function="false" hidden="true" name="IQ_DPS_3YR_ANN_GROWTH" vbProcedure="false">"c340"</definedName>
    <definedName function="false" hidden="true" name="IQ_DPS_5YR_ANN_GROWTH" vbProcedure="false">"c341"</definedName>
    <definedName function="false" hidden="true" name="IQ_DPS_7YR_ANN_GROWTH" vbProcedure="false">"c342"</definedName>
    <definedName function="false" hidden="true" name="IQ_DPS_ACT_OR_EST_REUT" vbProcedure="false">"c5464"</definedName>
    <definedName function="false" hidden="true" name="IQ_DPS_DET_EST_CURRENCY_REUT" vbProcedure="false">"c12527"</definedName>
    <definedName function="false" hidden="true" name="IQ_DPS_DET_EST_DATE_REUT" vbProcedure="false">"c12286"</definedName>
    <definedName function="false" hidden="true" name="IQ_DPS_DET_EST_INCL_REUT" vbProcedure="false">"c12410"</definedName>
    <definedName function="false" hidden="true" name="IQ_DPS_DET_EST_ORIGIN_REUT" vbProcedure="false">"c12654"</definedName>
    <definedName function="false" hidden="true" name="IQ_DPS_DET_EST_REUT" vbProcedure="false">"c12144"</definedName>
    <definedName function="false" hidden="true" name="IQ_DPS_EST_BOTTOM_UP_REUT" vbProcedure="false">"c5501"</definedName>
    <definedName function="false" hidden="true" name="IQ_DPS_EST_REUT" vbProcedure="false">"c3851"</definedName>
    <definedName function="false" hidden="true" name="IQ_DPS_HIGH_EST_REUT" vbProcedure="false">"c3853"</definedName>
    <definedName function="false" hidden="true" name="IQ_DPS_LOW_EST_REUT" vbProcedure="false">"c3854"</definedName>
    <definedName function="false" hidden="true" name="IQ_DPS_MEDIAN_EST_REUT" vbProcedure="false">"c3852"</definedName>
    <definedName function="false" hidden="true" name="IQ_DPS_NUM_EST_REUT" vbProcedure="false">"c3855"</definedName>
    <definedName function="false" hidden="true" name="IQ_DPS_STDDEV_EST_REUT" vbProcedure="false">"c3856"</definedName>
    <definedName function="false" hidden="true" name="IQ_EARNINGS_ANNOUNCE_DATE_REUT" vbProcedure="false">"c5314"</definedName>
    <definedName function="false" hidden="true" name="IQ_EARNINGS_COVERAGE_NET_CHARGE_OFFS_FDIC" vbProcedure="false">"c6735"</definedName>
    <definedName function="false" hidden="true" name="IQ_EARNING_ASSETS_FDIC" vbProcedure="false">"c6360"</definedName>
    <definedName function="false" hidden="true" name="IQ_EARNING_ASSETS_YIELD_FDIC" vbProcedure="false">"c6724"</definedName>
    <definedName function="false" hidden="true" name="IQ_EARNING_ASSET_YIELD" vbProcedure="false">"c343"</definedName>
    <definedName function="false" hidden="true" name="IQ_EARNING_CO" vbProcedure="false">"c344"</definedName>
    <definedName function="false" hidden="true" name="IQ_EARNING_CO_10YR_ANN_GROWTH" vbProcedure="false">"c345"</definedName>
    <definedName function="false" hidden="true" name="IQ_EARNING_CO_1YR_ANN_GROWTH" vbProcedure="false">"c346"</definedName>
    <definedName function="false" hidden="true" name="IQ_EARNING_CO_2YR_ANN_GROWTH" vbProcedure="false">"c347"</definedName>
    <definedName function="false" hidden="true" name="IQ_EARNING_CO_3YR_ANN_GROWTH" vbProcedure="false">"c348"</definedName>
    <definedName function="false" hidden="true" name="IQ_EARNING_CO_5YR_ANN_GROWTH" vbProcedure="false">"c349"</definedName>
    <definedName function="false" hidden="true" name="IQ_EARNING_CO_7YR_ANN_GROWTH" vbProcedure="false">"c350"</definedName>
    <definedName function="false" hidden="true" name="IQ_EARNING_CO_MARGIN" vbProcedure="false">"c351"</definedName>
    <definedName function="false" hidden="true" name="IQ_EBIT" vbProcedure="false">"c352"</definedName>
    <definedName function="false" hidden="true" name="IQ_EBITDA" vbProcedure="false">"c361"</definedName>
    <definedName function="false" hidden="true" name="IQ_EBITDA_10K" vbProcedure="false">"EBITDA_10K"</definedName>
    <definedName function="false" hidden="true" name="IQ_EBITDA_10Q" vbProcedure="false">"EBITDA_10Q"</definedName>
    <definedName function="false" hidden="true" name="IQ_EBITDA_10Q1" vbProcedure="false">"EBITDA_10Q1"</definedName>
    <definedName function="false" hidden="true" name="IQ_EBITDA_10YR_ANN_GROWTH" vbProcedure="false">"c362"</definedName>
    <definedName function="false" hidden="true" name="IQ_EBITDA_1YR_ANN_GROWTH" vbProcedure="false">"c363"</definedName>
    <definedName function="false" hidden="true" name="IQ_EBITDA_2YR_ANN_GROWTH" vbProcedure="false">"c364"</definedName>
    <definedName function="false" hidden="true" name="IQ_EBITDA_3YR_ANN_GROWTH" vbProcedure="false">"c365"</definedName>
    <definedName function="false" hidden="true" name="IQ_EBITDA_5YR_ANN_GROWTH" vbProcedure="false">"c366"</definedName>
    <definedName function="false" hidden="true" name="IQ_EBITDA_7YR_ANN_GROWTH" vbProcedure="false">"c367"</definedName>
    <definedName function="false" hidden="true" name="IQ_EBITDA_ACT_OR_EST_REUT" vbProcedure="false">"c5462"</definedName>
    <definedName function="false" hidden="true" name="IQ_EBITDA_CAPEX_INT" vbProcedure="false">"c368"</definedName>
    <definedName function="false" hidden="true" name="IQ_EBITDA_CAPEX_OVER_TOTAL_IE" vbProcedure="false">"c368"</definedName>
    <definedName function="false" hidden="true" name="IQ_EBITDA_DET_EST_DATE_REUT" vbProcedure="false">"c12288"</definedName>
    <definedName function="false" hidden="true" name="IQ_EBITDA_DET_EST_INCL_REUT" vbProcedure="false">"c12412"</definedName>
    <definedName function="false" hidden="true" name="IQ_EBITDA_DET_EST_ORIGIN_REUT" vbProcedure="false">"c12656"</definedName>
    <definedName function="false" hidden="true" name="IQ_EBITDA_DET_EST_REUT" vbProcedure="false">"c12146"</definedName>
    <definedName function="false" hidden="true" name="IQ_EBITDA_DET_EST_REUT_CURRENCY_CURRENCY_REUT" vbProcedure="false">"c12529"</definedName>
    <definedName function="false" hidden="true" name="IQ_EBITDA_EST" vbProcedure="false">"c369"</definedName>
    <definedName function="false" hidden="true" name="IQ_EBITDA_EST_REUT" vbProcedure="false">"c3640"</definedName>
    <definedName function="false" hidden="true" name="IQ_EBITDA_GROWTH_1" vbProcedure="false">"IQ_EBITDA_GROWTH_1"</definedName>
    <definedName function="false" hidden="true" name="IQ_EBITDA_GROWTH_2" vbProcedure="false">"IQ_EBITDA_GROWTH_2"</definedName>
    <definedName function="false" hidden="true" name="IQ_EBITDA_HIGH_EST" vbProcedure="false">"c370"</definedName>
    <definedName function="false" hidden="true" name="IQ_EBITDA_HIGH_EST_REUT" vbProcedure="false">"c3642"</definedName>
    <definedName function="false" hidden="true" name="IQ_EBITDA_INT" vbProcedure="false">"c373"</definedName>
    <definedName function="false" hidden="true" name="IQ_EBITDA_LOW_EST" vbProcedure="false">"c371"</definedName>
    <definedName function="false" hidden="true" name="IQ_EBITDA_LOW_EST_REUT" vbProcedure="false">"c3643"</definedName>
    <definedName function="false" hidden="true" name="IQ_EBITDA_MARGIN" vbProcedure="false">"c372"</definedName>
    <definedName function="false" hidden="true" name="IQ_EBITDA_MEDIAN_EST_REUT" vbProcedure="false">"c3641"</definedName>
    <definedName function="false" hidden="true" name="IQ_EBITDA_NO_EST" vbProcedure="false">"c267"</definedName>
    <definedName function="false" hidden="true" name="IQ_EBITDA_NUM_EST" vbProcedure="false">"c374"</definedName>
    <definedName function="false" hidden="true" name="IQ_EBITDA_NUM_EST_REUT" vbProcedure="false">"c3644"</definedName>
    <definedName function="false" hidden="true" name="IQ_EBITDA_OVER_TOTAL_IE" vbProcedure="false">"c373"</definedName>
    <definedName function="false" hidden="true" name="IQ_EBITDA_STDDEV_EST" vbProcedure="false">"c375"</definedName>
    <definedName function="false" hidden="true" name="IQ_EBITDA_STDDEV_EST_REUT" vbProcedure="false">"c3645"</definedName>
    <definedName function="false" hidden="true" name="IQ_EBIT_10K" vbProcedure="false">"EBIT_10K"</definedName>
    <definedName function="false" hidden="true" name="IQ_EBIT_10Q" vbProcedure="false">"EBIT_10Q"</definedName>
    <definedName function="false" hidden="true" name="IQ_EBIT_10Q1" vbProcedure="false">"EBIT_10Q1"</definedName>
    <definedName function="false" hidden="true" name="IQ_EBIT_10YR_ANN_GROWTH" vbProcedure="false">"c353"</definedName>
    <definedName function="false" hidden="true" name="IQ_EBIT_1YR_ANN_GROWTH" vbProcedure="false">"c354"</definedName>
    <definedName function="false" hidden="true" name="IQ_EBIT_2YR_ANN_GROWTH" vbProcedure="false">"c355"</definedName>
    <definedName function="false" hidden="true" name="IQ_EBIT_3YR_ANN_GROWTH" vbProcedure="false">"c356"</definedName>
    <definedName function="false" hidden="true" name="IQ_EBIT_5YR_ANN_GROWTH" vbProcedure="false">"c357"</definedName>
    <definedName function="false" hidden="true" name="IQ_EBIT_7YR_ANN_GROWTH" vbProcedure="false">"c358"</definedName>
    <definedName function="false" hidden="true" name="IQ_EBIT_ACT_OR_EST_REUT" vbProcedure="false">"c5465"</definedName>
    <definedName function="false" hidden="true" name="IQ_EBIT_DET_EST_CURRENCY_REUT" vbProcedure="false">"c12528"</definedName>
    <definedName function="false" hidden="true" name="IQ_EBIT_DET_EST_DATE_REUT" vbProcedure="false">"c12287"</definedName>
    <definedName function="false" hidden="true" name="IQ_EBIT_DET_EST_INCL_REUT" vbProcedure="false">"c12411"</definedName>
    <definedName function="false" hidden="true" name="IQ_EBIT_DET_EST_ORIGIN_REUT" vbProcedure="false">"c12655"</definedName>
    <definedName function="false" hidden="true" name="IQ_EBIT_DET_EST_REUT" vbProcedure="false">"c12145"</definedName>
    <definedName function="false" hidden="true" name="IQ_EBIT_EST_REUT" vbProcedure="false">"c5333"</definedName>
    <definedName function="false" hidden="true" name="IQ_EBIT_GROWTH_1" vbProcedure="false">"IQ_EBIT_GROWTH_1"</definedName>
    <definedName function="false" hidden="true" name="IQ_EBIT_GROWTH_2" vbProcedure="false">"IQ_EBIT_GROWTH_2"</definedName>
    <definedName function="false" hidden="true" name="IQ_EBIT_HIGH_EST_REUT" vbProcedure="false">"c5335"</definedName>
    <definedName function="false" hidden="true" name="IQ_EBIT_INT" vbProcedure="false">"c360"</definedName>
    <definedName function="false" hidden="true" name="IQ_EBIT_LOW_EST_REUT" vbProcedure="false">"c5336"</definedName>
    <definedName function="false" hidden="true" name="IQ_EBIT_MARGIN" vbProcedure="false">"c359"</definedName>
    <definedName function="false" hidden="true" name="IQ_EBIT_MEDIAN_EST_REUT" vbProcedure="false">"c5334"</definedName>
    <definedName function="false" hidden="true" name="IQ_EBIT_NUM_EST_REUT" vbProcedure="false">"c5337"</definedName>
    <definedName function="false" hidden="true" name="IQ_EBIT_OVER_IE" vbProcedure="false">"c360"</definedName>
    <definedName function="false" hidden="true" name="IQ_EBIT_STDDEV_EST_REUT" vbProcedure="false">"c5338"</definedName>
    <definedName function="false" hidden="true" name="IQ_EBT" vbProcedure="false">"c376"</definedName>
    <definedName function="false" hidden="true" name="IQ_EBT_BNK" vbProcedure="false">"c377"</definedName>
    <definedName function="false" hidden="true" name="IQ_EBT_BR" vbProcedure="false">"c378"</definedName>
    <definedName function="false" hidden="true" name="IQ_EBT_EXCL" vbProcedure="false">"c379"</definedName>
    <definedName function="false" hidden="true" name="IQ_EBT_EXCL_BNK" vbProcedure="false">"c380"</definedName>
    <definedName function="false" hidden="true" name="IQ_EBT_EXCL_BR" vbProcedure="false">"c381"</definedName>
    <definedName function="false" hidden="true" name="IQ_EBT_EXCL_FIN" vbProcedure="false">"c382"</definedName>
    <definedName function="false" hidden="true" name="IQ_EBT_EXCL_INS" vbProcedure="false">"c383"</definedName>
    <definedName function="false" hidden="true" name="IQ_EBT_EXCL_MARGIN" vbProcedure="false">"c1462"</definedName>
    <definedName function="false" hidden="true" name="IQ_EBT_EXCL_REIT" vbProcedure="false">"c384"</definedName>
    <definedName function="false" hidden="true" name="IQ_EBT_EXCL_UTI" vbProcedure="false">"c385"</definedName>
    <definedName function="false" hidden="true" name="IQ_EBT_FIN" vbProcedure="false">"c386"</definedName>
    <definedName function="false" hidden="true" name="IQ_EBT_INS" vbProcedure="false">"c388"</definedName>
    <definedName function="false" hidden="true" name="IQ_EBT_REIT" vbProcedure="false">"c389"</definedName>
    <definedName function="false" hidden="true" name="IQ_EBT_UTI" vbProcedure="false">"c390"</definedName>
    <definedName function="false" hidden="true" name="IQ_ECO_METRIC_6810" vbProcedure="false">"c6810"</definedName>
    <definedName function="false" hidden="true" name="IQ_ECO_METRIC_6811" vbProcedure="false">"c6811"</definedName>
    <definedName function="false" hidden="true" name="IQ_ECO_METRIC_6812" vbProcedure="false">"c6812"</definedName>
    <definedName function="false" hidden="true" name="IQ_ECO_METRIC_6813" vbProcedure="false">"c6813"</definedName>
    <definedName function="false" hidden="true" name="IQ_ECO_METRIC_6814" vbProcedure="false">"c6814"</definedName>
    <definedName function="false" hidden="true" name="IQ_ECO_METRIC_6815" vbProcedure="false">"c6815"</definedName>
    <definedName function="false" hidden="true" name="IQ_ECO_METRIC_6816" vbProcedure="false">"c6816"</definedName>
    <definedName function="false" hidden="true" name="IQ_ECO_METRIC_6817" vbProcedure="false">"c6817"</definedName>
    <definedName function="false" hidden="true" name="IQ_ECO_METRIC_6818" vbProcedure="false">"c6818"</definedName>
    <definedName function="false" hidden="true" name="IQ_ECO_METRIC_6819" vbProcedure="false">"c6819"</definedName>
    <definedName function="false" hidden="true" name="IQ_ECO_METRIC_6820" vbProcedure="false">"c6820"</definedName>
    <definedName function="false" hidden="true" name="IQ_ECO_METRIC_6821" vbProcedure="false">"c6821"</definedName>
    <definedName function="false" hidden="true" name="IQ_ECO_METRIC_6822" vbProcedure="false">"c6822"</definedName>
    <definedName function="false" hidden="true" name="IQ_ECO_METRIC_6823" vbProcedure="false">"c6823"</definedName>
    <definedName function="false" hidden="true" name="IQ_ECO_METRIC_6824" vbProcedure="false">"c6824"</definedName>
    <definedName function="false" hidden="true" name="IQ_ECO_METRIC_6825" vbProcedure="false">"c6825"</definedName>
    <definedName function="false" hidden="true" name="IQ_ECO_METRIC_6825_UNUSED_UNUSED_UNUSED" vbProcedure="false">"c6825"</definedName>
    <definedName function="false" hidden="true" name="IQ_ECO_METRIC_6826" vbProcedure="false">"c6826"</definedName>
    <definedName function="false" hidden="true" name="IQ_ECO_METRIC_6827" vbProcedure="false">"c6827"</definedName>
    <definedName function="false" hidden="true" name="IQ_ECO_METRIC_6828" vbProcedure="false">"c6828"</definedName>
    <definedName function="false" hidden="true" name="IQ_ECO_METRIC_6829" vbProcedure="false">"c6829"</definedName>
    <definedName function="false" hidden="true" name="IQ_ECO_METRIC_6830" vbProcedure="false">"c6830"</definedName>
    <definedName function="false" hidden="true" name="IQ_ECO_METRIC_6831" vbProcedure="false">"c6831"</definedName>
    <definedName function="false" hidden="true" name="IQ_ECO_METRIC_6832" vbProcedure="false">"c6832"</definedName>
    <definedName function="false" hidden="true" name="IQ_ECO_METRIC_6833" vbProcedure="false">"c6833"</definedName>
    <definedName function="false" hidden="true" name="IQ_ECO_METRIC_6834" vbProcedure="false">"c6834"</definedName>
    <definedName function="false" hidden="true" name="IQ_ECO_METRIC_6835" vbProcedure="false">"c6835"</definedName>
    <definedName function="false" hidden="true" name="IQ_ECO_METRIC_6836" vbProcedure="false">"c6836"</definedName>
    <definedName function="false" hidden="true" name="IQ_ECO_METRIC_6837" vbProcedure="false">"c6837"</definedName>
    <definedName function="false" hidden="true" name="IQ_ECO_METRIC_6838" vbProcedure="false">"c6838"</definedName>
    <definedName function="false" hidden="true" name="IQ_ECO_METRIC_6839" vbProcedure="false">"c6839"</definedName>
    <definedName function="false" hidden="true" name="IQ_ECO_METRIC_6839_UNUSED_UNUSED_UNUSED" vbProcedure="false">"c6839"</definedName>
    <definedName function="false" hidden="true" name="IQ_ECO_METRIC_6840" vbProcedure="false">"c6840"</definedName>
    <definedName function="false" hidden="true" name="IQ_ECO_METRIC_6841" vbProcedure="false">"c6841"</definedName>
    <definedName function="false" hidden="true" name="IQ_ECO_METRIC_6842" vbProcedure="false">"c6842"</definedName>
    <definedName function="false" hidden="true" name="IQ_ECO_METRIC_6843" vbProcedure="false">"c6843"</definedName>
    <definedName function="false" hidden="true" name="IQ_ECO_METRIC_6844" vbProcedure="false">"c6844"</definedName>
    <definedName function="false" hidden="true" name="IQ_ECO_METRIC_6845" vbProcedure="false">"c6845"</definedName>
    <definedName function="false" hidden="true" name="IQ_ECO_METRIC_6846" vbProcedure="false">"c6846"</definedName>
    <definedName function="false" hidden="true" name="IQ_ECO_METRIC_6847" vbProcedure="false">"c6847"</definedName>
    <definedName function="false" hidden="true" name="IQ_ECO_METRIC_6848" vbProcedure="false">"c6848"</definedName>
    <definedName function="false" hidden="true" name="IQ_ECO_METRIC_6849" vbProcedure="false">"c6849"</definedName>
    <definedName function="false" hidden="true" name="IQ_ECO_METRIC_6850" vbProcedure="false">"c6850"</definedName>
    <definedName function="false" hidden="true" name="IQ_ECO_METRIC_6851" vbProcedure="false">"c6851"</definedName>
    <definedName function="false" hidden="true" name="IQ_ECO_METRIC_6852" vbProcedure="false">"c6852"</definedName>
    <definedName function="false" hidden="true" name="IQ_ECO_METRIC_6853" vbProcedure="false">"c6853"</definedName>
    <definedName function="false" hidden="true" name="IQ_ECO_METRIC_6854" vbProcedure="false">"c6854"</definedName>
    <definedName function="false" hidden="true" name="IQ_ECO_METRIC_6855" vbProcedure="false">"c6855"</definedName>
    <definedName function="false" hidden="true" name="IQ_ECO_METRIC_6856" vbProcedure="false">"c6856"</definedName>
    <definedName function="false" hidden="true" name="IQ_ECO_METRIC_6857" vbProcedure="false">"c6857"</definedName>
    <definedName function="false" hidden="true" name="IQ_ECO_METRIC_6858" vbProcedure="false">"c6858"</definedName>
    <definedName function="false" hidden="true" name="IQ_ECO_METRIC_6859" vbProcedure="false">"c6859"</definedName>
    <definedName function="false" hidden="true" name="IQ_ECO_METRIC_6860" vbProcedure="false">"c6860"</definedName>
    <definedName function="false" hidden="true" name="IQ_ECO_METRIC_6861" vbProcedure="false">"c6861"</definedName>
    <definedName function="false" hidden="true" name="IQ_ECO_METRIC_6862" vbProcedure="false">"c6862"</definedName>
    <definedName function="false" hidden="true" name="IQ_ECO_METRIC_6863" vbProcedure="false">"c6863"</definedName>
    <definedName function="false" hidden="true" name="IQ_ECO_METRIC_6864" vbProcedure="false">"c6864"</definedName>
    <definedName function="false" hidden="true" name="IQ_ECO_METRIC_6865" vbProcedure="false">"c6865"</definedName>
    <definedName function="false" hidden="true" name="IQ_ECO_METRIC_6866" vbProcedure="false">"c6866"</definedName>
    <definedName function="false" hidden="true" name="IQ_ECO_METRIC_6867" vbProcedure="false">"c6867"</definedName>
    <definedName function="false" hidden="true" name="IQ_ECO_METRIC_6868" vbProcedure="false">"c6868"</definedName>
    <definedName function="false" hidden="true" name="IQ_ECO_METRIC_6869" vbProcedure="false">"c6869"</definedName>
    <definedName function="false" hidden="true" name="IQ_ECO_METRIC_6870" vbProcedure="false">"c6870"</definedName>
    <definedName function="false" hidden="true" name="IQ_ECO_METRIC_6871" vbProcedure="false">"c6871"</definedName>
    <definedName function="false" hidden="true" name="IQ_ECO_METRIC_6872" vbProcedure="false">"c6872"</definedName>
    <definedName function="false" hidden="true" name="IQ_ECO_METRIC_6873" vbProcedure="false">"c6873"</definedName>
    <definedName function="false" hidden="true" name="IQ_ECO_METRIC_6874" vbProcedure="false">"c6874"</definedName>
    <definedName function="false" hidden="true" name="IQ_ECO_METRIC_6875" vbProcedure="false">"c6875"</definedName>
    <definedName function="false" hidden="true" name="IQ_ECO_METRIC_6876" vbProcedure="false">"c6876"</definedName>
    <definedName function="false" hidden="true" name="IQ_ECO_METRIC_6877" vbProcedure="false">"c6877"</definedName>
    <definedName function="false" hidden="true" name="IQ_ECO_METRIC_6878" vbProcedure="false">"c6878"</definedName>
    <definedName function="false" hidden="true" name="IQ_ECO_METRIC_6879" vbProcedure="false">"c6879"</definedName>
    <definedName function="false" hidden="true" name="IQ_ECO_METRIC_6880" vbProcedure="false">"c6880"</definedName>
    <definedName function="false" hidden="true" name="IQ_ECO_METRIC_6881" vbProcedure="false">"c6881"</definedName>
    <definedName function="false" hidden="true" name="IQ_ECO_METRIC_6882" vbProcedure="false">"c6882"</definedName>
    <definedName function="false" hidden="true" name="IQ_ECO_METRIC_6883" vbProcedure="false">"c6883"</definedName>
    <definedName function="false" hidden="true" name="IQ_ECO_METRIC_6884" vbProcedure="false">"c6884"</definedName>
    <definedName function="false" hidden="true" name="IQ_ECO_METRIC_6885" vbProcedure="false">"c6885"</definedName>
    <definedName function="false" hidden="true" name="IQ_ECO_METRIC_6886" vbProcedure="false">"c6886"</definedName>
    <definedName function="false" hidden="true" name="IQ_ECO_METRIC_6887" vbProcedure="false">"c6887"</definedName>
    <definedName function="false" hidden="true" name="IQ_ECO_METRIC_6888" vbProcedure="false">"c6888"</definedName>
    <definedName function="false" hidden="true" name="IQ_ECO_METRIC_6889" vbProcedure="false">"c6889"</definedName>
    <definedName function="false" hidden="true" name="IQ_ECO_METRIC_6890" vbProcedure="false">"c6890"</definedName>
    <definedName function="false" hidden="true" name="IQ_ECO_METRIC_6891" vbProcedure="false">"c6891"</definedName>
    <definedName function="false" hidden="true" name="IQ_ECO_METRIC_6892" vbProcedure="false">"c6892"</definedName>
    <definedName function="false" hidden="true" name="IQ_ECO_METRIC_6893" vbProcedure="false">"c6893"</definedName>
    <definedName function="false" hidden="true" name="IQ_ECO_METRIC_6894" vbProcedure="false">"c6894"</definedName>
    <definedName function="false" hidden="true" name="IQ_ECO_METRIC_6895" vbProcedure="false">"c6895"</definedName>
    <definedName function="false" hidden="true" name="IQ_ECO_METRIC_6896" vbProcedure="false">"c6896"</definedName>
    <definedName function="false" hidden="true" name="IQ_ECO_METRIC_6896_UNUSED_UNUSED_UNUSED" vbProcedure="false">"c6896"</definedName>
    <definedName function="false" hidden="true" name="IQ_ECO_METRIC_6897" vbProcedure="false">"c6897"</definedName>
    <definedName function="false" hidden="true" name="IQ_ECO_METRIC_6897_UNUSED_UNUSED_UNUSED" vbProcedure="false">"c6897"</definedName>
    <definedName function="false" hidden="true" name="IQ_ECO_METRIC_6899" vbProcedure="false">"c6899"</definedName>
    <definedName function="false" hidden="true" name="IQ_ECO_METRIC_6900" vbProcedure="false">"c6900"</definedName>
    <definedName function="false" hidden="true" name="IQ_ECO_METRIC_6901" vbProcedure="false">"c6901"</definedName>
    <definedName function="false" hidden="true" name="IQ_ECO_METRIC_6902" vbProcedure="false">"c6902"</definedName>
    <definedName function="false" hidden="true" name="IQ_ECO_METRIC_6903" vbProcedure="false">"c6903"</definedName>
    <definedName function="false" hidden="true" name="IQ_ECO_METRIC_6904" vbProcedure="false">"c6904"</definedName>
    <definedName function="false" hidden="true" name="IQ_ECO_METRIC_6905" vbProcedure="false">"c6905"</definedName>
    <definedName function="false" hidden="true" name="IQ_ECO_METRIC_6906" vbProcedure="false">"c6906"</definedName>
    <definedName function="false" hidden="true" name="IQ_ECO_METRIC_6907" vbProcedure="false">"c6907"</definedName>
    <definedName function="false" hidden="true" name="IQ_ECO_METRIC_6908" vbProcedure="false">"c6908"</definedName>
    <definedName function="false" hidden="true" name="IQ_ECO_METRIC_6909" vbProcedure="false">"c6909"</definedName>
    <definedName function="false" hidden="true" name="IQ_ECO_METRIC_6910" vbProcedure="false">"c6910"</definedName>
    <definedName function="false" hidden="true" name="IQ_ECO_METRIC_6911" vbProcedure="false">"c6911"</definedName>
    <definedName function="false" hidden="true" name="IQ_ECO_METRIC_6912" vbProcedure="false">"c6912"</definedName>
    <definedName function="false" hidden="true" name="IQ_ECO_METRIC_6913" vbProcedure="false">"c6913"</definedName>
    <definedName function="false" hidden="true" name="IQ_ECO_METRIC_6914" vbProcedure="false">"c6914"</definedName>
    <definedName function="false" hidden="true" name="IQ_ECO_METRIC_6915" vbProcedure="false">"c6915"</definedName>
    <definedName function="false" hidden="true" name="IQ_ECO_METRIC_6916" vbProcedure="false">"c6916"</definedName>
    <definedName function="false" hidden="true" name="IQ_ECO_METRIC_6917" vbProcedure="false">"c6917"</definedName>
    <definedName function="false" hidden="true" name="IQ_ECO_METRIC_6918" vbProcedure="false">"c6918"</definedName>
    <definedName function="false" hidden="true" name="IQ_ECO_METRIC_6919" vbProcedure="false">"c6919"</definedName>
    <definedName function="false" hidden="true" name="IQ_ECO_METRIC_6920" vbProcedure="false">"c6920"</definedName>
    <definedName function="false" hidden="true" name="IQ_ECO_METRIC_6921" vbProcedure="false">"c6921"</definedName>
    <definedName function="false" hidden="true" name="IQ_ECO_METRIC_6922" vbProcedure="false">"c6922"</definedName>
    <definedName function="false" hidden="true" name="IQ_ECO_METRIC_6923" vbProcedure="false">"c6923"</definedName>
    <definedName function="false" hidden="true" name="IQ_ECO_METRIC_6924" vbProcedure="false">"c6924"</definedName>
    <definedName function="false" hidden="true" name="IQ_ECO_METRIC_6925" vbProcedure="false">"c6925"</definedName>
    <definedName function="false" hidden="true" name="IQ_ECO_METRIC_6926" vbProcedure="false">"c6926"</definedName>
    <definedName function="false" hidden="true" name="IQ_ECO_METRIC_6928" vbProcedure="false">"c6928"</definedName>
    <definedName function="false" hidden="true" name="IQ_ECO_METRIC_6929" vbProcedure="false">"c6929"</definedName>
    <definedName function="false" hidden="true" name="IQ_ECO_METRIC_6930" vbProcedure="false">"c6930"</definedName>
    <definedName function="false" hidden="true" name="IQ_ECO_METRIC_6931" vbProcedure="false">"c6931"</definedName>
    <definedName function="false" hidden="true" name="IQ_ECO_METRIC_6932" vbProcedure="false">"c6932"</definedName>
    <definedName function="false" hidden="true" name="IQ_ECO_METRIC_6933" vbProcedure="false">"c6933"</definedName>
    <definedName function="false" hidden="true" name="IQ_ECO_METRIC_6934" vbProcedure="false">"c6934"</definedName>
    <definedName function="false" hidden="true" name="IQ_ECO_METRIC_6935" vbProcedure="false">"c6935"</definedName>
    <definedName function="false" hidden="true" name="IQ_ECO_METRIC_6936" vbProcedure="false">"c6936"</definedName>
    <definedName function="false" hidden="true" name="IQ_ECO_METRIC_6937" vbProcedure="false">"c6937"</definedName>
    <definedName function="false" hidden="true" name="IQ_ECO_METRIC_6938" vbProcedure="false">"c6938"</definedName>
    <definedName function="false" hidden="true" name="IQ_ECO_METRIC_6939" vbProcedure="false">"c6939"</definedName>
    <definedName function="false" hidden="true" name="IQ_ECO_METRIC_6940" vbProcedure="false">"c6940"</definedName>
    <definedName function="false" hidden="true" name="IQ_ECO_METRIC_6941" vbProcedure="false">"c6941"</definedName>
    <definedName function="false" hidden="true" name="IQ_ECO_METRIC_6942" vbProcedure="false">"c6942"</definedName>
    <definedName function="false" hidden="true" name="IQ_ECO_METRIC_6943" vbProcedure="false">"c6943"</definedName>
    <definedName function="false" hidden="true" name="IQ_ECO_METRIC_6944" vbProcedure="false">"c6944"</definedName>
    <definedName function="false" hidden="true" name="IQ_ECO_METRIC_6945" vbProcedure="false">"c6945"</definedName>
    <definedName function="false" hidden="true" name="IQ_ECO_METRIC_6946" vbProcedure="false">"c6946"</definedName>
    <definedName function="false" hidden="true" name="IQ_ECO_METRIC_6947" vbProcedure="false">"c6947"</definedName>
    <definedName function="false" hidden="true" name="IQ_ECO_METRIC_6948" vbProcedure="false">"c6948"</definedName>
    <definedName function="false" hidden="true" name="IQ_ECO_METRIC_6949" vbProcedure="false">"c6949"</definedName>
    <definedName function="false" hidden="true" name="IQ_ECO_METRIC_6950" vbProcedure="false">"c6950"</definedName>
    <definedName function="false" hidden="true" name="IQ_ECO_METRIC_6951" vbProcedure="false">"c6951"</definedName>
    <definedName function="false" hidden="true" name="IQ_ECO_METRIC_6952" vbProcedure="false">"c6952"</definedName>
    <definedName function="false" hidden="true" name="IQ_ECO_METRIC_6953" vbProcedure="false">"c6953"</definedName>
    <definedName function="false" hidden="true" name="IQ_ECO_METRIC_6954" vbProcedure="false">"c6954"</definedName>
    <definedName function="false" hidden="true" name="IQ_ECO_METRIC_6955" vbProcedure="false">"c6955"</definedName>
    <definedName function="false" hidden="true" name="IQ_ECO_METRIC_6956" vbProcedure="false">"c6956"</definedName>
    <definedName function="false" hidden="true" name="IQ_ECO_METRIC_6957" vbProcedure="false">"c6957"</definedName>
    <definedName function="false" hidden="true" name="IQ_ECO_METRIC_6958" vbProcedure="false">"c6958"</definedName>
    <definedName function="false" hidden="true" name="IQ_ECO_METRIC_6959" vbProcedure="false">"c6959"</definedName>
    <definedName function="false" hidden="true" name="IQ_ECO_METRIC_6960" vbProcedure="false">"c6960"</definedName>
    <definedName function="false" hidden="true" name="IQ_ECO_METRIC_6962" vbProcedure="false">"c6962"</definedName>
    <definedName function="false" hidden="true" name="IQ_ECO_METRIC_6963" vbProcedure="false">"c6963"</definedName>
    <definedName function="false" hidden="true" name="IQ_ECO_METRIC_6964" vbProcedure="false">"c6964"</definedName>
    <definedName function="false" hidden="true" name="IQ_ECO_METRIC_6965" vbProcedure="false">"c6965"</definedName>
    <definedName function="false" hidden="true" name="IQ_ECO_METRIC_6966" vbProcedure="false">"c6966"</definedName>
    <definedName function="false" hidden="true" name="IQ_ECO_METRIC_6967" vbProcedure="false">"c6967"</definedName>
    <definedName function="false" hidden="true" name="IQ_ECO_METRIC_6968" vbProcedure="false">"c6968"</definedName>
    <definedName function="false" hidden="true" name="IQ_ECO_METRIC_6969" vbProcedure="false">"c6969"</definedName>
    <definedName function="false" hidden="true" name="IQ_ECO_METRIC_6970" vbProcedure="false">"c6970"</definedName>
    <definedName function="false" hidden="true" name="IQ_ECO_METRIC_6971" vbProcedure="false">"c6971"</definedName>
    <definedName function="false" hidden="true" name="IQ_ECO_METRIC_6972" vbProcedure="false">"c6972"</definedName>
    <definedName function="false" hidden="true" name="IQ_ECO_METRIC_6973" vbProcedure="false">"c6973"</definedName>
    <definedName function="false" hidden="true" name="IQ_ECO_METRIC_6974" vbProcedure="false">"c6974"</definedName>
    <definedName function="false" hidden="true" name="IQ_ECO_METRIC_6975" vbProcedure="false">"c6975"</definedName>
    <definedName function="false" hidden="true" name="IQ_ECO_METRIC_6976" vbProcedure="false">"c6976"</definedName>
    <definedName function="false" hidden="true" name="IQ_ECO_METRIC_6977" vbProcedure="false">"c6977"</definedName>
    <definedName function="false" hidden="true" name="IQ_ECO_METRIC_6978" vbProcedure="false">"c6978"</definedName>
    <definedName function="false" hidden="true" name="IQ_ECO_METRIC_6979" vbProcedure="false">"c6979"</definedName>
    <definedName function="false" hidden="true" name="IQ_ECO_METRIC_6980" vbProcedure="false">"c6980"</definedName>
    <definedName function="false" hidden="true" name="IQ_ECO_METRIC_6981" vbProcedure="false">"c6981"</definedName>
    <definedName function="false" hidden="true" name="IQ_ECO_METRIC_6982" vbProcedure="false">"c6982"</definedName>
    <definedName function="false" hidden="true" name="IQ_ECO_METRIC_6983" vbProcedure="false">"c6983"</definedName>
    <definedName function="false" hidden="true" name="IQ_ECO_METRIC_6984" vbProcedure="false">"c6984"</definedName>
    <definedName function="false" hidden="true" name="IQ_ECO_METRIC_6985" vbProcedure="false">"c6985"</definedName>
    <definedName function="false" hidden="true" name="IQ_ECO_METRIC_6986" vbProcedure="false">"c6986"</definedName>
    <definedName function="false" hidden="true" name="IQ_ECO_METRIC_6987" vbProcedure="false">"c6987"</definedName>
    <definedName function="false" hidden="true" name="IQ_ECO_METRIC_6988" vbProcedure="false">"c6988"</definedName>
    <definedName function="false" hidden="true" name="IQ_ECO_METRIC_6988_UNUSED_UNUSED_UNUSED" vbProcedure="false">"c6988"</definedName>
    <definedName function="false" hidden="true" name="IQ_ECO_METRIC_6989" vbProcedure="false">"c6989"</definedName>
    <definedName function="false" hidden="true" name="IQ_ECO_METRIC_6990" vbProcedure="false">"c6990"</definedName>
    <definedName function="false" hidden="true" name="IQ_ECO_METRIC_6991" vbProcedure="false">"c6991"</definedName>
    <definedName function="false" hidden="true" name="IQ_ECO_METRIC_6992" vbProcedure="false">"c6992"</definedName>
    <definedName function="false" hidden="true" name="IQ_ECO_METRIC_6993" vbProcedure="false">"c6993"</definedName>
    <definedName function="false" hidden="true" name="IQ_ECO_METRIC_6994" vbProcedure="false">"c6994"</definedName>
    <definedName function="false" hidden="true" name="IQ_ECO_METRIC_6995" vbProcedure="false">"c6995"</definedName>
    <definedName function="false" hidden="true" name="IQ_ECO_METRIC_6996" vbProcedure="false">"c6996"</definedName>
    <definedName function="false" hidden="true" name="IQ_ECO_METRIC_6997" vbProcedure="false">"c6997"</definedName>
    <definedName function="false" hidden="true" name="IQ_ECO_METRIC_6998" vbProcedure="false">"c6998"</definedName>
    <definedName function="false" hidden="true" name="IQ_ECO_METRIC_7000" vbProcedure="false">"c7000"</definedName>
    <definedName function="false" hidden="true" name="IQ_ECO_METRIC_7001" vbProcedure="false">"c7001"</definedName>
    <definedName function="false" hidden="true" name="IQ_ECO_METRIC_7002" vbProcedure="false">"c7002"</definedName>
    <definedName function="false" hidden="true" name="IQ_ECO_METRIC_7003" vbProcedure="false">"c7003"</definedName>
    <definedName function="false" hidden="true" name="IQ_ECO_METRIC_7004" vbProcedure="false">"c7004"</definedName>
    <definedName function="false" hidden="true" name="IQ_ECO_METRIC_7005" vbProcedure="false">"c7005"</definedName>
    <definedName function="false" hidden="true" name="IQ_ECO_METRIC_7006" vbProcedure="false">"c7006"</definedName>
    <definedName function="false" hidden="true" name="IQ_ECO_METRIC_7007" vbProcedure="false">"c7007"</definedName>
    <definedName function="false" hidden="true" name="IQ_ECO_METRIC_7008" vbProcedure="false">"c7008"</definedName>
    <definedName function="false" hidden="true" name="IQ_ECO_METRIC_7009" vbProcedure="false">"c7009"</definedName>
    <definedName function="false" hidden="true" name="IQ_ECO_METRIC_7010" vbProcedure="false">"c7010"</definedName>
    <definedName function="false" hidden="true" name="IQ_ECO_METRIC_7011" vbProcedure="false">"c7011"</definedName>
    <definedName function="false" hidden="true" name="IQ_ECO_METRIC_7012" vbProcedure="false">"c7012"</definedName>
    <definedName function="false" hidden="true" name="IQ_ECO_METRIC_7013" vbProcedure="false">"c7013"</definedName>
    <definedName function="false" hidden="true" name="IQ_ECO_METRIC_7015" vbProcedure="false">"c7015"</definedName>
    <definedName function="false" hidden="true" name="IQ_ECO_METRIC_7016" vbProcedure="false">"c7016"</definedName>
    <definedName function="false" hidden="true" name="IQ_ECO_METRIC_7017" vbProcedure="false">"c7017"</definedName>
    <definedName function="false" hidden="true" name="IQ_ECO_METRIC_7018" vbProcedure="false">"c7018"</definedName>
    <definedName function="false" hidden="true" name="IQ_ECO_METRIC_7019" vbProcedure="false">"c7019"</definedName>
    <definedName function="false" hidden="true" name="IQ_ECO_METRIC_7020" vbProcedure="false">"c7020"</definedName>
    <definedName function="false" hidden="true" name="IQ_ECO_METRIC_7021" vbProcedure="false">"c7021"</definedName>
    <definedName function="false" hidden="true" name="IQ_ECO_METRIC_7023" vbProcedure="false">"c7023"</definedName>
    <definedName function="false" hidden="true" name="IQ_ECO_METRIC_7024" vbProcedure="false">"c7024"</definedName>
    <definedName function="false" hidden="true" name="IQ_ECO_METRIC_7025" vbProcedure="false">"c7025"</definedName>
    <definedName function="false" hidden="true" name="IQ_ECO_METRIC_7026" vbProcedure="false">"c7026"</definedName>
    <definedName function="false" hidden="true" name="IQ_ECO_METRIC_7027" vbProcedure="false">"c7027"</definedName>
    <definedName function="false" hidden="true" name="IQ_ECO_METRIC_7028" vbProcedure="false">"c7028"</definedName>
    <definedName function="false" hidden="true" name="IQ_ECO_METRIC_7029" vbProcedure="false">"c7029"</definedName>
    <definedName function="false" hidden="true" name="IQ_ECO_METRIC_7030" vbProcedure="false">"c7030"</definedName>
    <definedName function="false" hidden="true" name="IQ_ECO_METRIC_7031" vbProcedure="false">"c7031"</definedName>
    <definedName function="false" hidden="true" name="IQ_ECO_METRIC_7032" vbProcedure="false">"c7032"</definedName>
    <definedName function="false" hidden="true" name="IQ_ECO_METRIC_7033" vbProcedure="false">"c7033"</definedName>
    <definedName function="false" hidden="true" name="IQ_ECO_METRIC_7034" vbProcedure="false">"c7034"</definedName>
    <definedName function="false" hidden="true" name="IQ_ECO_METRIC_7035" vbProcedure="false">"c7035"</definedName>
    <definedName function="false" hidden="true" name="IQ_ECO_METRIC_7036" vbProcedure="false">"c7036"</definedName>
    <definedName function="false" hidden="true" name="IQ_ECO_METRIC_7037" vbProcedure="false">"c7037"</definedName>
    <definedName function="false" hidden="true" name="IQ_ECO_METRIC_7038" vbProcedure="false">"c7038"</definedName>
    <definedName function="false" hidden="true" name="IQ_ECO_METRIC_7039" vbProcedure="false">"c7039"</definedName>
    <definedName function="false" hidden="true" name="IQ_ECO_METRIC_7040" vbProcedure="false">"c7040"</definedName>
    <definedName function="false" hidden="true" name="IQ_ECO_METRIC_7041" vbProcedure="false">"c7041"</definedName>
    <definedName function="false" hidden="true" name="IQ_ECO_METRIC_7042" vbProcedure="false">"c7042"</definedName>
    <definedName function="false" hidden="true" name="IQ_ECO_METRIC_7043" vbProcedure="false">"c7043"</definedName>
    <definedName function="false" hidden="true" name="IQ_ECO_METRIC_7044" vbProcedure="false">"c7044"</definedName>
    <definedName function="false" hidden="true" name="IQ_ECO_METRIC_7045" vbProcedure="false">"c7045"</definedName>
    <definedName function="false" hidden="true" name="IQ_ECO_METRIC_7045_UNUSED_UNUSED_UNUSED" vbProcedure="false">"c7045"</definedName>
    <definedName function="false" hidden="true" name="IQ_ECO_METRIC_7046" vbProcedure="false">"c7046"</definedName>
    <definedName function="false" hidden="true" name="IQ_ECO_METRIC_7047" vbProcedure="false">"c7047"</definedName>
    <definedName function="false" hidden="true" name="IQ_ECO_METRIC_7048" vbProcedure="false">"c7048"</definedName>
    <definedName function="false" hidden="true" name="IQ_ECO_METRIC_7049" vbProcedure="false">"c7049"</definedName>
    <definedName function="false" hidden="true" name="IQ_ECO_METRIC_7050" vbProcedure="false">"c7050"</definedName>
    <definedName function="false" hidden="true" name="IQ_ECO_METRIC_7051" vbProcedure="false">"c7051"</definedName>
    <definedName function="false" hidden="true" name="IQ_ECO_METRIC_7052" vbProcedure="false">"c7052"</definedName>
    <definedName function="false" hidden="true" name="IQ_ECO_METRIC_7053" vbProcedure="false">"c7053"</definedName>
    <definedName function="false" hidden="true" name="IQ_ECO_METRIC_7054" vbProcedure="false">"c7054"</definedName>
    <definedName function="false" hidden="true" name="IQ_ECO_METRIC_7055" vbProcedure="false">"c7055"</definedName>
    <definedName function="false" hidden="true" name="IQ_ECO_METRIC_7056" vbProcedure="false">"c7056"</definedName>
    <definedName function="false" hidden="true" name="IQ_ECO_METRIC_7057" vbProcedure="false">"c7057"</definedName>
    <definedName function="false" hidden="true" name="IQ_ECO_METRIC_7058" vbProcedure="false">"c7058"</definedName>
    <definedName function="false" hidden="true" name="IQ_ECO_METRIC_7059" vbProcedure="false">"c7059"</definedName>
    <definedName function="false" hidden="true" name="IQ_ECO_METRIC_7059_UNUSED_UNUSED_UNUSED" vbProcedure="false">"c7059"</definedName>
    <definedName function="false" hidden="true" name="IQ_ECO_METRIC_7060" vbProcedure="false">"c7060"</definedName>
    <definedName function="false" hidden="true" name="IQ_ECO_METRIC_7061" vbProcedure="false">"c7061"</definedName>
    <definedName function="false" hidden="true" name="IQ_ECO_METRIC_7062" vbProcedure="false">"c7062"</definedName>
    <definedName function="false" hidden="true" name="IQ_ECO_METRIC_7063" vbProcedure="false">"c7063"</definedName>
    <definedName function="false" hidden="true" name="IQ_ECO_METRIC_7064" vbProcedure="false">"c7064"</definedName>
    <definedName function="false" hidden="true" name="IQ_ECO_METRIC_7065" vbProcedure="false">"c7065"</definedName>
    <definedName function="false" hidden="true" name="IQ_ECO_METRIC_7066" vbProcedure="false">"c7066"</definedName>
    <definedName function="false" hidden="true" name="IQ_ECO_METRIC_7067" vbProcedure="false">"c7067"</definedName>
    <definedName function="false" hidden="true" name="IQ_ECO_METRIC_7068" vbProcedure="false">"c7068"</definedName>
    <definedName function="false" hidden="true" name="IQ_ECO_METRIC_7069" vbProcedure="false">"c7069"</definedName>
    <definedName function="false" hidden="true" name="IQ_ECO_METRIC_7070" vbProcedure="false">"c7070"</definedName>
    <definedName function="false" hidden="true" name="IQ_ECO_METRIC_7071" vbProcedure="false">"c7071"</definedName>
    <definedName function="false" hidden="true" name="IQ_ECO_METRIC_7072" vbProcedure="false">"c7072"</definedName>
    <definedName function="false" hidden="true" name="IQ_ECO_METRIC_7073" vbProcedure="false">"c7073"</definedName>
    <definedName function="false" hidden="true" name="IQ_ECO_METRIC_7074" vbProcedure="false">"c7074"</definedName>
    <definedName function="false" hidden="true" name="IQ_ECO_METRIC_7075" vbProcedure="false">"c7075"</definedName>
    <definedName function="false" hidden="true" name="IQ_ECO_METRIC_7076" vbProcedure="false">"c7076"</definedName>
    <definedName function="false" hidden="true" name="IQ_ECO_METRIC_7077" vbProcedure="false">"c7077"</definedName>
    <definedName function="false" hidden="true" name="IQ_ECO_METRIC_7078" vbProcedure="false">"c7078"</definedName>
    <definedName function="false" hidden="true" name="IQ_ECO_METRIC_7079" vbProcedure="false">"c7079"</definedName>
    <definedName function="false" hidden="true" name="IQ_ECO_METRIC_7080" vbProcedure="false">"c7080"</definedName>
    <definedName function="false" hidden="true" name="IQ_ECO_METRIC_7081" vbProcedure="false">"c7081"</definedName>
    <definedName function="false" hidden="true" name="IQ_ECO_METRIC_7082" vbProcedure="false">"c7082"</definedName>
    <definedName function="false" hidden="true" name="IQ_ECO_METRIC_7083" vbProcedure="false">"c7083"</definedName>
    <definedName function="false" hidden="true" name="IQ_ECO_METRIC_7084" vbProcedure="false">"c7084"</definedName>
    <definedName function="false" hidden="true" name="IQ_ECO_METRIC_7085" vbProcedure="false">"c7085"</definedName>
    <definedName function="false" hidden="true" name="IQ_ECO_METRIC_7086" vbProcedure="false">"c7086"</definedName>
    <definedName function="false" hidden="true" name="IQ_ECO_METRIC_7087" vbProcedure="false">"c7087"</definedName>
    <definedName function="false" hidden="true" name="IQ_ECO_METRIC_7088" vbProcedure="false">"c7088"</definedName>
    <definedName function="false" hidden="true" name="IQ_ECO_METRIC_7089" vbProcedure="false">"c7089"</definedName>
    <definedName function="false" hidden="true" name="IQ_ECO_METRIC_7090" vbProcedure="false">"c7090"</definedName>
    <definedName function="false" hidden="true" name="IQ_ECO_METRIC_7091" vbProcedure="false">"c7091"</definedName>
    <definedName function="false" hidden="true" name="IQ_ECO_METRIC_7092" vbProcedure="false">"c7092"</definedName>
    <definedName function="false" hidden="true" name="IQ_ECO_METRIC_7093" vbProcedure="false">"c7093"</definedName>
    <definedName function="false" hidden="true" name="IQ_ECO_METRIC_7094" vbProcedure="false">"c7094"</definedName>
    <definedName function="false" hidden="true" name="IQ_ECO_METRIC_7095" vbProcedure="false">"c7095"</definedName>
    <definedName function="false" hidden="true" name="IQ_ECO_METRIC_7096" vbProcedure="false">"c7096"</definedName>
    <definedName function="false" hidden="true" name="IQ_ECO_METRIC_7097" vbProcedure="false">"c7097"</definedName>
    <definedName function="false" hidden="true" name="IQ_ECO_METRIC_7098" vbProcedure="false">"c7098"</definedName>
    <definedName function="false" hidden="true" name="IQ_ECO_METRIC_7099" vbProcedure="false">"c7099"</definedName>
    <definedName function="false" hidden="true" name="IQ_ECO_METRIC_7100" vbProcedure="false">"c7100"</definedName>
    <definedName function="false" hidden="true" name="IQ_ECO_METRIC_7101" vbProcedure="false">"c7101"</definedName>
    <definedName function="false" hidden="true" name="IQ_ECO_METRIC_7102" vbProcedure="false">"c7102"</definedName>
    <definedName function="false" hidden="true" name="IQ_ECO_METRIC_7103" vbProcedure="false">"c7103"</definedName>
    <definedName function="false" hidden="true" name="IQ_ECO_METRIC_7104" vbProcedure="false">"c7104"</definedName>
    <definedName function="false" hidden="true" name="IQ_ECO_METRIC_7105" vbProcedure="false">"c7105"</definedName>
    <definedName function="false" hidden="true" name="IQ_ECO_METRIC_7106" vbProcedure="false">"c7106"</definedName>
    <definedName function="false" hidden="true" name="IQ_ECO_METRIC_7107" vbProcedure="false">"c7107"</definedName>
    <definedName function="false" hidden="true" name="IQ_ECO_METRIC_7108" vbProcedure="false">"c7108"</definedName>
    <definedName function="false" hidden="true" name="IQ_ECO_METRIC_7109" vbProcedure="false">"c7109"</definedName>
    <definedName function="false" hidden="true" name="IQ_ECO_METRIC_7110" vbProcedure="false">"c7110"</definedName>
    <definedName function="false" hidden="true" name="IQ_ECO_METRIC_7111" vbProcedure="false">"c7111"</definedName>
    <definedName function="false" hidden="true" name="IQ_ECO_METRIC_7112" vbProcedure="false">"c7112"</definedName>
    <definedName function="false" hidden="true" name="IQ_ECO_METRIC_7113" vbProcedure="false">"c7113"</definedName>
    <definedName function="false" hidden="true" name="IQ_ECO_METRIC_7114" vbProcedure="false">"c7114"</definedName>
    <definedName function="false" hidden="true" name="IQ_ECO_METRIC_7115" vbProcedure="false">"c7115"</definedName>
    <definedName function="false" hidden="true" name="IQ_ECO_METRIC_7116" vbProcedure="false">"c7116"</definedName>
    <definedName function="false" hidden="true" name="IQ_ECO_METRIC_7116_UNUSED_UNUSED_UNUSED" vbProcedure="false">"c7116"</definedName>
    <definedName function="false" hidden="true" name="IQ_ECO_METRIC_7117" vbProcedure="false">"c7117"</definedName>
    <definedName function="false" hidden="true" name="IQ_ECO_METRIC_7117_UNUSED_UNUSED_UNUSED" vbProcedure="false">"c7117"</definedName>
    <definedName function="false" hidden="true" name="IQ_ECO_METRIC_7119" vbProcedure="false">"c7119"</definedName>
    <definedName function="false" hidden="true" name="IQ_ECO_METRIC_7120" vbProcedure="false">"c7120"</definedName>
    <definedName function="false" hidden="true" name="IQ_ECO_METRIC_7121" vbProcedure="false">"c7121"</definedName>
    <definedName function="false" hidden="true" name="IQ_ECO_METRIC_7122" vbProcedure="false">"c7122"</definedName>
    <definedName function="false" hidden="true" name="IQ_ECO_METRIC_7123" vbProcedure="false">"c7123"</definedName>
    <definedName function="false" hidden="true" name="IQ_ECO_METRIC_7124" vbProcedure="false">"c7124"</definedName>
    <definedName function="false" hidden="true" name="IQ_ECO_METRIC_7125" vbProcedure="false">"c7125"</definedName>
    <definedName function="false" hidden="true" name="IQ_ECO_METRIC_7126" vbProcedure="false">"c7126"</definedName>
    <definedName function="false" hidden="true" name="IQ_ECO_METRIC_7127" vbProcedure="false">"c7127"</definedName>
    <definedName function="false" hidden="true" name="IQ_ECO_METRIC_7128" vbProcedure="false">"c7128"</definedName>
    <definedName function="false" hidden="true" name="IQ_ECO_METRIC_7129" vbProcedure="false">"c7129"</definedName>
    <definedName function="false" hidden="true" name="IQ_ECO_METRIC_7130" vbProcedure="false">"c7130"</definedName>
    <definedName function="false" hidden="true" name="IQ_ECO_METRIC_7131" vbProcedure="false">"c7131"</definedName>
    <definedName function="false" hidden="true" name="IQ_ECO_METRIC_7132" vbProcedure="false">"c7132"</definedName>
    <definedName function="false" hidden="true" name="IQ_ECO_METRIC_7133" vbProcedure="false">"c7133"</definedName>
    <definedName function="false" hidden="true" name="IQ_ECO_METRIC_7134" vbProcedure="false">"c7134"</definedName>
    <definedName function="false" hidden="true" name="IQ_ECO_METRIC_7135" vbProcedure="false">"c7135"</definedName>
    <definedName function="false" hidden="true" name="IQ_ECO_METRIC_7136" vbProcedure="false">"c7136"</definedName>
    <definedName function="false" hidden="true" name="IQ_ECO_METRIC_7137" vbProcedure="false">"c7137"</definedName>
    <definedName function="false" hidden="true" name="IQ_ECO_METRIC_7138" vbProcedure="false">"c7138"</definedName>
    <definedName function="false" hidden="true" name="IQ_ECO_METRIC_7139" vbProcedure="false">"c7139"</definedName>
    <definedName function="false" hidden="true" name="IQ_ECO_METRIC_7140" vbProcedure="false">"c7140"</definedName>
    <definedName function="false" hidden="true" name="IQ_ECO_METRIC_7141" vbProcedure="false">"c7141"</definedName>
    <definedName function="false" hidden="true" name="IQ_ECO_METRIC_7142" vbProcedure="false">"c7142"</definedName>
    <definedName function="false" hidden="true" name="IQ_ECO_METRIC_7143" vbProcedure="false">"c7143"</definedName>
    <definedName function="false" hidden="true" name="IQ_ECO_METRIC_7144" vbProcedure="false">"c7144"</definedName>
    <definedName function="false" hidden="true" name="IQ_ECO_METRIC_7145" vbProcedure="false">"c7145"</definedName>
    <definedName function="false" hidden="true" name="IQ_ECO_METRIC_7146" vbProcedure="false">"c7146"</definedName>
    <definedName function="false" hidden="true" name="IQ_ECO_METRIC_7148" vbProcedure="false">"c7148"</definedName>
    <definedName function="false" hidden="true" name="IQ_ECO_METRIC_7149" vbProcedure="false">"c7149"</definedName>
    <definedName function="false" hidden="true" name="IQ_ECO_METRIC_7150" vbProcedure="false">"c7150"</definedName>
    <definedName function="false" hidden="true" name="IQ_ECO_METRIC_7151" vbProcedure="false">"c7151"</definedName>
    <definedName function="false" hidden="true" name="IQ_ECO_METRIC_7152" vbProcedure="false">"c7152"</definedName>
    <definedName function="false" hidden="true" name="IQ_ECO_METRIC_7153" vbProcedure="false">"c7153"</definedName>
    <definedName function="false" hidden="true" name="IQ_ECO_METRIC_7154" vbProcedure="false">"c7154"</definedName>
    <definedName function="false" hidden="true" name="IQ_ECO_METRIC_7155" vbProcedure="false">"c7155"</definedName>
    <definedName function="false" hidden="true" name="IQ_ECO_METRIC_7156" vbProcedure="false">"c7156"</definedName>
    <definedName function="false" hidden="true" name="IQ_ECO_METRIC_7157" vbProcedure="false">"c7157"</definedName>
    <definedName function="false" hidden="true" name="IQ_ECO_METRIC_7158" vbProcedure="false">"c7158"</definedName>
    <definedName function="false" hidden="true" name="IQ_ECO_METRIC_7159" vbProcedure="false">"c7159"</definedName>
    <definedName function="false" hidden="true" name="IQ_ECO_METRIC_7160" vbProcedure="false">"c7160"</definedName>
    <definedName function="false" hidden="true" name="IQ_ECO_METRIC_7161" vbProcedure="false">"c7161"</definedName>
    <definedName function="false" hidden="true" name="IQ_ECO_METRIC_7162" vbProcedure="false">"c7162"</definedName>
    <definedName function="false" hidden="true" name="IQ_ECO_METRIC_7163" vbProcedure="false">"c7163"</definedName>
    <definedName function="false" hidden="true" name="IQ_ECO_METRIC_7164" vbProcedure="false">"c7164"</definedName>
    <definedName function="false" hidden="true" name="IQ_ECO_METRIC_7165" vbProcedure="false">"c7165"</definedName>
    <definedName function="false" hidden="true" name="IQ_ECO_METRIC_7166" vbProcedure="false">"c7166"</definedName>
    <definedName function="false" hidden="true" name="IQ_ECO_METRIC_7167" vbProcedure="false">"c7167"</definedName>
    <definedName function="false" hidden="true" name="IQ_ECO_METRIC_7168" vbProcedure="false">"c7168"</definedName>
    <definedName function="false" hidden="true" name="IQ_ECO_METRIC_7169" vbProcedure="false">"c7169"</definedName>
    <definedName function="false" hidden="true" name="IQ_ECO_METRIC_7170" vbProcedure="false">"c7170"</definedName>
    <definedName function="false" hidden="true" name="IQ_ECO_METRIC_7171" vbProcedure="false">"c7171"</definedName>
    <definedName function="false" hidden="true" name="IQ_ECO_METRIC_7172" vbProcedure="false">"c7172"</definedName>
    <definedName function="false" hidden="true" name="IQ_ECO_METRIC_7173" vbProcedure="false">"c7173"</definedName>
    <definedName function="false" hidden="true" name="IQ_ECO_METRIC_7174" vbProcedure="false">"c7174"</definedName>
    <definedName function="false" hidden="true" name="IQ_ECO_METRIC_7175" vbProcedure="false">"c7175"</definedName>
    <definedName function="false" hidden="true" name="IQ_ECO_METRIC_7176" vbProcedure="false">"c7176"</definedName>
    <definedName function="false" hidden="true" name="IQ_ECO_METRIC_7177" vbProcedure="false">"c7177"</definedName>
    <definedName function="false" hidden="true" name="IQ_ECO_METRIC_7178" vbProcedure="false">"c7178"</definedName>
    <definedName function="false" hidden="true" name="IQ_ECO_METRIC_7179" vbProcedure="false">"c7179"</definedName>
    <definedName function="false" hidden="true" name="IQ_ECO_METRIC_7180" vbProcedure="false">"c7180"</definedName>
    <definedName function="false" hidden="true" name="IQ_ECO_METRIC_7182" vbProcedure="false">"c7182"</definedName>
    <definedName function="false" hidden="true" name="IQ_ECO_METRIC_7183" vbProcedure="false">"c7183"</definedName>
    <definedName function="false" hidden="true" name="IQ_ECO_METRIC_7184" vbProcedure="false">"c7184"</definedName>
    <definedName function="false" hidden="true" name="IQ_ECO_METRIC_7185" vbProcedure="false">"c7185"</definedName>
    <definedName function="false" hidden="true" name="IQ_ECO_METRIC_7186" vbProcedure="false">"c7186"</definedName>
    <definedName function="false" hidden="true" name="IQ_ECO_METRIC_7187" vbProcedure="false">"c7187"</definedName>
    <definedName function="false" hidden="true" name="IQ_ECO_METRIC_7188" vbProcedure="false">"c7188"</definedName>
    <definedName function="false" hidden="true" name="IQ_ECO_METRIC_7189" vbProcedure="false">"c7189"</definedName>
    <definedName function="false" hidden="true" name="IQ_ECO_METRIC_7190" vbProcedure="false">"c7190"</definedName>
    <definedName function="false" hidden="true" name="IQ_ECO_METRIC_7191" vbProcedure="false">"c7191"</definedName>
    <definedName function="false" hidden="true" name="IQ_ECO_METRIC_7192" vbProcedure="false">"c7192"</definedName>
    <definedName function="false" hidden="true" name="IQ_ECO_METRIC_7193" vbProcedure="false">"c7193"</definedName>
    <definedName function="false" hidden="true" name="IQ_ECO_METRIC_7194" vbProcedure="false">"c7194"</definedName>
    <definedName function="false" hidden="true" name="IQ_ECO_METRIC_7195" vbProcedure="false">"c7195"</definedName>
    <definedName function="false" hidden="true" name="IQ_ECO_METRIC_7196" vbProcedure="false">"c7196"</definedName>
    <definedName function="false" hidden="true" name="IQ_ECO_METRIC_7197" vbProcedure="false">"c7197"</definedName>
    <definedName function="false" hidden="true" name="IQ_ECO_METRIC_7198" vbProcedure="false">"c7198"</definedName>
    <definedName function="false" hidden="true" name="IQ_ECO_METRIC_7199" vbProcedure="false">"c7199"</definedName>
    <definedName function="false" hidden="true" name="IQ_ECO_METRIC_7200" vbProcedure="false">"c7200"</definedName>
    <definedName function="false" hidden="true" name="IQ_ECO_METRIC_7201" vbProcedure="false">"c7201"</definedName>
    <definedName function="false" hidden="true" name="IQ_ECO_METRIC_7202" vbProcedure="false">"c7202"</definedName>
    <definedName function="false" hidden="true" name="IQ_ECO_METRIC_7203" vbProcedure="false">"c7203"</definedName>
    <definedName function="false" hidden="true" name="IQ_ECO_METRIC_7204" vbProcedure="false">"c7204"</definedName>
    <definedName function="false" hidden="true" name="IQ_ECO_METRIC_7205" vbProcedure="false">"c7205"</definedName>
    <definedName function="false" hidden="true" name="IQ_ECO_METRIC_7206" vbProcedure="false">"c7206"</definedName>
    <definedName function="false" hidden="true" name="IQ_ECO_METRIC_7207" vbProcedure="false">"c7207"</definedName>
    <definedName function="false" hidden="true" name="IQ_ECO_METRIC_7208" vbProcedure="false">"c7208"</definedName>
    <definedName function="false" hidden="true" name="IQ_ECO_METRIC_7208_UNUSED_UNUSED_UNUSED" vbProcedure="false">"c7208"</definedName>
    <definedName function="false" hidden="true" name="IQ_ECO_METRIC_7209" vbProcedure="false">"c7209"</definedName>
    <definedName function="false" hidden="true" name="IQ_ECO_METRIC_7210" vbProcedure="false">"c7210"</definedName>
    <definedName function="false" hidden="true" name="IQ_ECO_METRIC_7211" vbProcedure="false">"c7211"</definedName>
    <definedName function="false" hidden="true" name="IQ_ECO_METRIC_7212" vbProcedure="false">"c7212"</definedName>
    <definedName function="false" hidden="true" name="IQ_ECO_METRIC_7213" vbProcedure="false">"c7213"</definedName>
    <definedName function="false" hidden="true" name="IQ_ECO_METRIC_7214" vbProcedure="false">"c7214"</definedName>
    <definedName function="false" hidden="true" name="IQ_ECO_METRIC_7215" vbProcedure="false">"c7215"</definedName>
    <definedName function="false" hidden="true" name="IQ_ECO_METRIC_7216" vbProcedure="false">"c7216"</definedName>
    <definedName function="false" hidden="true" name="IQ_ECO_METRIC_7217" vbProcedure="false">"c7217"</definedName>
    <definedName function="false" hidden="true" name="IQ_ECO_METRIC_7218" vbProcedure="false">"c7218"</definedName>
    <definedName function="false" hidden="true" name="IQ_ECO_METRIC_7220" vbProcedure="false">"c7220"</definedName>
    <definedName function="false" hidden="true" name="IQ_ECO_METRIC_7221" vbProcedure="false">"c7221"</definedName>
    <definedName function="false" hidden="true" name="IQ_ECO_METRIC_7222" vbProcedure="false">"c7222"</definedName>
    <definedName function="false" hidden="true" name="IQ_ECO_METRIC_7223" vbProcedure="false">"c7223"</definedName>
    <definedName function="false" hidden="true" name="IQ_ECO_METRIC_7224" vbProcedure="false">"c7224"</definedName>
    <definedName function="false" hidden="true" name="IQ_ECO_METRIC_7225" vbProcedure="false">"c7225"</definedName>
    <definedName function="false" hidden="true" name="IQ_ECO_METRIC_7226" vbProcedure="false">"c7226"</definedName>
    <definedName function="false" hidden="true" name="IQ_ECO_METRIC_7227" vbProcedure="false">"c7227"</definedName>
    <definedName function="false" hidden="true" name="IQ_ECO_METRIC_7228" vbProcedure="false">"c7228"</definedName>
    <definedName function="false" hidden="true" name="IQ_ECO_METRIC_7229" vbProcedure="false">"c7229"</definedName>
    <definedName function="false" hidden="true" name="IQ_ECO_METRIC_7230" vbProcedure="false">"c7230"</definedName>
    <definedName function="false" hidden="true" name="IQ_ECO_METRIC_7231" vbProcedure="false">"c7231"</definedName>
    <definedName function="false" hidden="true" name="IQ_ECO_METRIC_7232" vbProcedure="false">"c7232"</definedName>
    <definedName function="false" hidden="true" name="IQ_ECO_METRIC_7233" vbProcedure="false">"c7233"</definedName>
    <definedName function="false" hidden="true" name="IQ_ECO_METRIC_7235" vbProcedure="false">"c7235"</definedName>
    <definedName function="false" hidden="true" name="IQ_ECO_METRIC_7236" vbProcedure="false">"c7236"</definedName>
    <definedName function="false" hidden="true" name="IQ_ECO_METRIC_7237" vbProcedure="false">"c7237"</definedName>
    <definedName function="false" hidden="true" name="IQ_ECO_METRIC_7238" vbProcedure="false">"c7238"</definedName>
    <definedName function="false" hidden="true" name="IQ_ECO_METRIC_7239" vbProcedure="false">"c7239"</definedName>
    <definedName function="false" hidden="true" name="IQ_ECO_METRIC_7240" vbProcedure="false">"c7240"</definedName>
    <definedName function="false" hidden="true" name="IQ_ECO_METRIC_7241" vbProcedure="false">"c7241"</definedName>
    <definedName function="false" hidden="true" name="IQ_ECO_METRIC_7243" vbProcedure="false">"c7243"</definedName>
    <definedName function="false" hidden="true" name="IQ_ECO_METRIC_7244" vbProcedure="false">"c7244"</definedName>
    <definedName function="false" hidden="true" name="IQ_ECO_METRIC_7245" vbProcedure="false">"c7245"</definedName>
    <definedName function="false" hidden="true" name="IQ_ECO_METRIC_7246" vbProcedure="false">"c7246"</definedName>
    <definedName function="false" hidden="true" name="IQ_ECO_METRIC_7247" vbProcedure="false">"c7247"</definedName>
    <definedName function="false" hidden="true" name="IQ_ECO_METRIC_7248" vbProcedure="false">"c7248"</definedName>
    <definedName function="false" hidden="true" name="IQ_ECO_METRIC_7249" vbProcedure="false">"c7249"</definedName>
    <definedName function="false" hidden="true" name="IQ_ECO_METRIC_7250" vbProcedure="false">"c7250"</definedName>
    <definedName function="false" hidden="true" name="IQ_ECO_METRIC_7251" vbProcedure="false">"c7251"</definedName>
    <definedName function="false" hidden="true" name="IQ_ECO_METRIC_7252" vbProcedure="false">"c7252"</definedName>
    <definedName function="false" hidden="true" name="IQ_ECO_METRIC_7253" vbProcedure="false">"c7253"</definedName>
    <definedName function="false" hidden="true" name="IQ_ECO_METRIC_7254" vbProcedure="false">"c7254"</definedName>
    <definedName function="false" hidden="true" name="IQ_ECO_METRIC_7255" vbProcedure="false">"c7255"</definedName>
    <definedName function="false" hidden="true" name="IQ_ECO_METRIC_7256" vbProcedure="false">"c7256"</definedName>
    <definedName function="false" hidden="true" name="IQ_ECO_METRIC_7257" vbProcedure="false">"c7257"</definedName>
    <definedName function="false" hidden="true" name="IQ_ECO_METRIC_7258" vbProcedure="false">"c7258"</definedName>
    <definedName function="false" hidden="true" name="IQ_ECO_METRIC_7259" vbProcedure="false">"c7259"</definedName>
    <definedName function="false" hidden="true" name="IQ_ECO_METRIC_7260" vbProcedure="false">"c7260"</definedName>
    <definedName function="false" hidden="true" name="IQ_ECO_METRIC_7261" vbProcedure="false">"c7261"</definedName>
    <definedName function="false" hidden="true" name="IQ_ECO_METRIC_7262" vbProcedure="false">"c7262"</definedName>
    <definedName function="false" hidden="true" name="IQ_ECO_METRIC_7263" vbProcedure="false">"c7263"</definedName>
    <definedName function="false" hidden="true" name="IQ_ECO_METRIC_7264" vbProcedure="false">"c7264"</definedName>
    <definedName function="false" hidden="true" name="IQ_ECO_METRIC_7265" vbProcedure="false">"c7265"</definedName>
    <definedName function="false" hidden="true" name="IQ_ECO_METRIC_7265_UNUSED_UNUSED_UNUSED" vbProcedure="false">"c7265"</definedName>
    <definedName function="false" hidden="true" name="IQ_ECO_METRIC_7266" vbProcedure="false">"c7266"</definedName>
    <definedName function="false" hidden="true" name="IQ_ECO_METRIC_7267" vbProcedure="false">"c7267"</definedName>
    <definedName function="false" hidden="true" name="IQ_ECO_METRIC_7268" vbProcedure="false">"c7268"</definedName>
    <definedName function="false" hidden="true" name="IQ_ECO_METRIC_7269" vbProcedure="false">"c7269"</definedName>
    <definedName function="false" hidden="true" name="IQ_ECO_METRIC_7270" vbProcedure="false">"c7270"</definedName>
    <definedName function="false" hidden="true" name="IQ_ECO_METRIC_7272" vbProcedure="false">"c7272"</definedName>
    <definedName function="false" hidden="true" name="IQ_ECO_METRIC_7273" vbProcedure="false">"c7273"</definedName>
    <definedName function="false" hidden="true" name="IQ_ECO_METRIC_7274" vbProcedure="false">"c7274"</definedName>
    <definedName function="false" hidden="true" name="IQ_ECO_METRIC_7275" vbProcedure="false">"c7275"</definedName>
    <definedName function="false" hidden="true" name="IQ_ECO_METRIC_7276" vbProcedure="false">"c7276"</definedName>
    <definedName function="false" hidden="true" name="IQ_ECO_METRIC_7277" vbProcedure="false">"c7277"</definedName>
    <definedName function="false" hidden="true" name="IQ_ECO_METRIC_7278" vbProcedure="false">"c7278"</definedName>
    <definedName function="false" hidden="true" name="IQ_ECO_METRIC_7279" vbProcedure="false">"c7279"</definedName>
    <definedName function="false" hidden="true" name="IQ_ECO_METRIC_7279_UNUSED_UNUSED_UNUSED" vbProcedure="false">"c7279"</definedName>
    <definedName function="false" hidden="true" name="IQ_ECO_METRIC_7280" vbProcedure="false">"c7280"</definedName>
    <definedName function="false" hidden="true" name="IQ_ECO_METRIC_7281" vbProcedure="false">"c7281"</definedName>
    <definedName function="false" hidden="true" name="IQ_ECO_METRIC_7282" vbProcedure="false">"c7282"</definedName>
    <definedName function="false" hidden="true" name="IQ_ECO_METRIC_7283" vbProcedure="false">"c7283"</definedName>
    <definedName function="false" hidden="true" name="IQ_ECO_METRIC_7284" vbProcedure="false">"c7284"</definedName>
    <definedName function="false" hidden="true" name="IQ_ECO_METRIC_7285" vbProcedure="false">"c7285"</definedName>
    <definedName function="false" hidden="true" name="IQ_ECO_METRIC_7286" vbProcedure="false">"c7286"</definedName>
    <definedName function="false" hidden="true" name="IQ_ECO_METRIC_7287" vbProcedure="false">"c7287"</definedName>
    <definedName function="false" hidden="true" name="IQ_ECO_METRIC_7288" vbProcedure="false">"c7288"</definedName>
    <definedName function="false" hidden="true" name="IQ_ECO_METRIC_7289" vbProcedure="false">"c7289"</definedName>
    <definedName function="false" hidden="true" name="IQ_ECO_METRIC_7290" vbProcedure="false">"c7290"</definedName>
    <definedName function="false" hidden="true" name="IQ_ECO_METRIC_7291" vbProcedure="false">"c7291"</definedName>
    <definedName function="false" hidden="true" name="IQ_ECO_METRIC_7292" vbProcedure="false">"c7292"</definedName>
    <definedName function="false" hidden="true" name="IQ_ECO_METRIC_7293" vbProcedure="false">"c7293"</definedName>
    <definedName function="false" hidden="true" name="IQ_ECO_METRIC_7294" vbProcedure="false">"c7294"</definedName>
    <definedName function="false" hidden="true" name="IQ_ECO_METRIC_7295" vbProcedure="false">"c7295"</definedName>
    <definedName function="false" hidden="true" name="IQ_ECO_METRIC_7296" vbProcedure="false">"c7296"</definedName>
    <definedName function="false" hidden="true" name="IQ_ECO_METRIC_7297" vbProcedure="false">"c7297"</definedName>
    <definedName function="false" hidden="true" name="IQ_ECO_METRIC_7298" vbProcedure="false">"c7298"</definedName>
    <definedName function="false" hidden="true" name="IQ_ECO_METRIC_7299" vbProcedure="false">"c7299"</definedName>
    <definedName function="false" hidden="true" name="IQ_ECO_METRIC_7300" vbProcedure="false">"c7300"</definedName>
    <definedName function="false" hidden="true" name="IQ_ECO_METRIC_7301" vbProcedure="false">"c7301"</definedName>
    <definedName function="false" hidden="true" name="IQ_ECO_METRIC_7302" vbProcedure="false">"c7302"</definedName>
    <definedName function="false" hidden="true" name="IQ_ECO_METRIC_7303" vbProcedure="false">"c7303"</definedName>
    <definedName function="false" hidden="true" name="IQ_ECO_METRIC_7304" vbProcedure="false">"c7304"</definedName>
    <definedName function="false" hidden="true" name="IQ_ECO_METRIC_7305" vbProcedure="false">"c7305"</definedName>
    <definedName function="false" hidden="true" name="IQ_ECO_METRIC_7306" vbProcedure="false">"c7306"</definedName>
    <definedName function="false" hidden="true" name="IQ_ECO_METRIC_7307" vbProcedure="false">"c7307"</definedName>
    <definedName function="false" hidden="true" name="IQ_ECO_METRIC_7308" vbProcedure="false">"c7308"</definedName>
    <definedName function="false" hidden="true" name="IQ_ECO_METRIC_7309" vbProcedure="false">"c7309"</definedName>
    <definedName function="false" hidden="true" name="IQ_ECO_METRIC_7310" vbProcedure="false">"c7310"</definedName>
    <definedName function="false" hidden="true" name="IQ_ECO_METRIC_7311" vbProcedure="false">"c7311"</definedName>
    <definedName function="false" hidden="true" name="IQ_ECO_METRIC_7312" vbProcedure="false">"c7312"</definedName>
    <definedName function="false" hidden="true" name="IQ_ECO_METRIC_7313" vbProcedure="false">"c7313"</definedName>
    <definedName function="false" hidden="true" name="IQ_ECO_METRIC_7314" vbProcedure="false">"c7314"</definedName>
    <definedName function="false" hidden="true" name="IQ_ECO_METRIC_7315" vbProcedure="false">"c7315"</definedName>
    <definedName function="false" hidden="true" name="IQ_ECO_METRIC_7316" vbProcedure="false">"c7316"</definedName>
    <definedName function="false" hidden="true" name="IQ_ECO_METRIC_7317" vbProcedure="false">"c7317"</definedName>
    <definedName function="false" hidden="true" name="IQ_ECO_METRIC_7318" vbProcedure="false">"c7318"</definedName>
    <definedName function="false" hidden="true" name="IQ_ECO_METRIC_7319" vbProcedure="false">"c7319"</definedName>
    <definedName function="false" hidden="true" name="IQ_ECO_METRIC_7320" vbProcedure="false">"c7320"</definedName>
    <definedName function="false" hidden="true" name="IQ_ECO_METRIC_7321" vbProcedure="false">"c7321"</definedName>
    <definedName function="false" hidden="true" name="IQ_ECO_METRIC_7322" vbProcedure="false">"c7322"</definedName>
    <definedName function="false" hidden="true" name="IQ_ECO_METRIC_7323" vbProcedure="false">"c7323"</definedName>
    <definedName function="false" hidden="true" name="IQ_ECO_METRIC_7324" vbProcedure="false">"c7324"</definedName>
    <definedName function="false" hidden="true" name="IQ_ECO_METRIC_7325" vbProcedure="false">"c7325"</definedName>
    <definedName function="false" hidden="true" name="IQ_ECO_METRIC_7326" vbProcedure="false">"c7326"</definedName>
    <definedName function="false" hidden="true" name="IQ_ECO_METRIC_7327" vbProcedure="false">"c7327"</definedName>
    <definedName function="false" hidden="true" name="IQ_ECO_METRIC_7328" vbProcedure="false">"c7328"</definedName>
    <definedName function="false" hidden="true" name="IQ_ECO_METRIC_7329" vbProcedure="false">"c7329"</definedName>
    <definedName function="false" hidden="true" name="IQ_ECO_METRIC_7330" vbProcedure="false">"c7330"</definedName>
    <definedName function="false" hidden="true" name="IQ_ECO_METRIC_7331" vbProcedure="false">"c7331"</definedName>
    <definedName function="false" hidden="true" name="IQ_ECO_METRIC_7332" vbProcedure="false">"c7332"</definedName>
    <definedName function="false" hidden="true" name="IQ_ECO_METRIC_7333" vbProcedure="false">"c7333"</definedName>
    <definedName function="false" hidden="true" name="IQ_ECO_METRIC_7334" vbProcedure="false">"c7334"</definedName>
    <definedName function="false" hidden="true" name="IQ_ECO_METRIC_7335" vbProcedure="false">"c7335"</definedName>
    <definedName function="false" hidden="true" name="IQ_ECO_METRIC_7336" vbProcedure="false">"c7336"</definedName>
    <definedName function="false" hidden="true" name="IQ_ECO_METRIC_7336_UNUSED_UNUSED_UNUSED" vbProcedure="false">"c7336"</definedName>
    <definedName function="false" hidden="true" name="IQ_ECO_METRIC_7337" vbProcedure="false">"c7337"</definedName>
    <definedName function="false" hidden="true" name="IQ_ECO_METRIC_7337_UNUSED_UNUSED_UNUSED" vbProcedure="false">"c7337"</definedName>
    <definedName function="false" hidden="true" name="IQ_ECO_METRIC_7339" vbProcedure="false">"c7339"</definedName>
    <definedName function="false" hidden="true" name="IQ_ECO_METRIC_7341" vbProcedure="false">"c7341"</definedName>
    <definedName function="false" hidden="true" name="IQ_ECO_METRIC_7342" vbProcedure="false">"c7342"</definedName>
    <definedName function="false" hidden="true" name="IQ_ECO_METRIC_7343" vbProcedure="false">"c7343"</definedName>
    <definedName function="false" hidden="true" name="IQ_ECO_METRIC_7344" vbProcedure="false">"c7344"</definedName>
    <definedName function="false" hidden="true" name="IQ_ECO_METRIC_7345" vbProcedure="false">"c7345"</definedName>
    <definedName function="false" hidden="true" name="IQ_ECO_METRIC_7346" vbProcedure="false">"c7346"</definedName>
    <definedName function="false" hidden="true" name="IQ_ECO_METRIC_7347" vbProcedure="false">"c7347"</definedName>
    <definedName function="false" hidden="true" name="IQ_ECO_METRIC_7348" vbProcedure="false">"c7348"</definedName>
    <definedName function="false" hidden="true" name="IQ_ECO_METRIC_7349" vbProcedure="false">"c7349"</definedName>
    <definedName function="false" hidden="true" name="IQ_ECO_METRIC_7350" vbProcedure="false">"c7350"</definedName>
    <definedName function="false" hidden="true" name="IQ_ECO_METRIC_7351" vbProcedure="false">"c7351"</definedName>
    <definedName function="false" hidden="true" name="IQ_ECO_METRIC_7352" vbProcedure="false">"c7352"</definedName>
    <definedName function="false" hidden="true" name="IQ_ECO_METRIC_7353" vbProcedure="false">"c7353"</definedName>
    <definedName function="false" hidden="true" name="IQ_ECO_METRIC_7354" vbProcedure="false">"c7354"</definedName>
    <definedName function="false" hidden="true" name="IQ_ECO_METRIC_7355" vbProcedure="false">"c7355"</definedName>
    <definedName function="false" hidden="true" name="IQ_ECO_METRIC_7356" vbProcedure="false">"c7356"</definedName>
    <definedName function="false" hidden="true" name="IQ_ECO_METRIC_7357" vbProcedure="false">"c7357"</definedName>
    <definedName function="false" hidden="true" name="IQ_ECO_METRIC_7358" vbProcedure="false">"c7358"</definedName>
    <definedName function="false" hidden="true" name="IQ_ECO_METRIC_7359" vbProcedure="false">"c7359"</definedName>
    <definedName function="false" hidden="true" name="IQ_ECO_METRIC_7360" vbProcedure="false">"c7360"</definedName>
    <definedName function="false" hidden="true" name="IQ_ECO_METRIC_7361" vbProcedure="false">"c7361"</definedName>
    <definedName function="false" hidden="true" name="IQ_ECO_METRIC_7362" vbProcedure="false">"c7362"</definedName>
    <definedName function="false" hidden="true" name="IQ_ECO_METRIC_7363" vbProcedure="false">"c7363"</definedName>
    <definedName function="false" hidden="true" name="IQ_ECO_METRIC_7364" vbProcedure="false">"c7364"</definedName>
    <definedName function="false" hidden="true" name="IQ_ECO_METRIC_7365" vbProcedure="false">"c7365"</definedName>
    <definedName function="false" hidden="true" name="IQ_ECO_METRIC_7366" vbProcedure="false">"c7366"</definedName>
    <definedName function="false" hidden="true" name="IQ_ECO_METRIC_7368" vbProcedure="false">"c7368"</definedName>
    <definedName function="false" hidden="true" name="IQ_ECO_METRIC_7369" vbProcedure="false">"c7369"</definedName>
    <definedName function="false" hidden="true" name="IQ_ECO_METRIC_7370" vbProcedure="false">"c7370"</definedName>
    <definedName function="false" hidden="true" name="IQ_ECO_METRIC_7371" vbProcedure="false">"c7371"</definedName>
    <definedName function="false" hidden="true" name="IQ_ECO_METRIC_7372" vbProcedure="false">"c7372"</definedName>
    <definedName function="false" hidden="true" name="IQ_ECO_METRIC_7373" vbProcedure="false">"c7373"</definedName>
    <definedName function="false" hidden="true" name="IQ_ECO_METRIC_7374" vbProcedure="false">"c7374"</definedName>
    <definedName function="false" hidden="true" name="IQ_ECO_METRIC_7375" vbProcedure="false">"c7375"</definedName>
    <definedName function="false" hidden="true" name="IQ_ECO_METRIC_7376" vbProcedure="false">"c7376"</definedName>
    <definedName function="false" hidden="true" name="IQ_ECO_METRIC_7377" vbProcedure="false">"c7377"</definedName>
    <definedName function="false" hidden="true" name="IQ_ECO_METRIC_7378" vbProcedure="false">"c7378"</definedName>
    <definedName function="false" hidden="true" name="IQ_ECO_METRIC_7379" vbProcedure="false">"c7379"</definedName>
    <definedName function="false" hidden="true" name="IQ_ECO_METRIC_7380" vbProcedure="false">"c7380"</definedName>
    <definedName function="false" hidden="true" name="IQ_ECO_METRIC_7381" vbProcedure="false">"c7381"</definedName>
    <definedName function="false" hidden="true" name="IQ_ECO_METRIC_7382" vbProcedure="false">"c7382"</definedName>
    <definedName function="false" hidden="true" name="IQ_ECO_METRIC_7383" vbProcedure="false">"c7383"</definedName>
    <definedName function="false" hidden="true" name="IQ_ECO_METRIC_7384" vbProcedure="false">"c7384"</definedName>
    <definedName function="false" hidden="true" name="IQ_ECO_METRIC_7385" vbProcedure="false">"c7385"</definedName>
    <definedName function="false" hidden="true" name="IQ_ECO_METRIC_7386" vbProcedure="false">"c7386"</definedName>
    <definedName function="false" hidden="true" name="IQ_ECO_METRIC_7387" vbProcedure="false">"c7387"</definedName>
    <definedName function="false" hidden="true" name="IQ_ECO_METRIC_7388" vbProcedure="false">"c7388"</definedName>
    <definedName function="false" hidden="true" name="IQ_ECO_METRIC_7389" vbProcedure="false">"c7389"</definedName>
    <definedName function="false" hidden="true" name="IQ_ECO_METRIC_7390" vbProcedure="false">"c7390"</definedName>
    <definedName function="false" hidden="true" name="IQ_ECO_METRIC_7391" vbProcedure="false">"c7391"</definedName>
    <definedName function="false" hidden="true" name="IQ_ECO_METRIC_7392" vbProcedure="false">"c7392"</definedName>
    <definedName function="false" hidden="true" name="IQ_ECO_METRIC_7393" vbProcedure="false">"c7393"</definedName>
    <definedName function="false" hidden="true" name="IQ_ECO_METRIC_7394" vbProcedure="false">"c7394"</definedName>
    <definedName function="false" hidden="true" name="IQ_ECO_METRIC_7395" vbProcedure="false">"c7395"</definedName>
    <definedName function="false" hidden="true" name="IQ_ECO_METRIC_7396" vbProcedure="false">"c7396"</definedName>
    <definedName function="false" hidden="true" name="IQ_ECO_METRIC_7397" vbProcedure="false">"c7397"</definedName>
    <definedName function="false" hidden="true" name="IQ_ECO_METRIC_7398" vbProcedure="false">"c7398"</definedName>
    <definedName function="false" hidden="true" name="IQ_ECO_METRIC_7399" vbProcedure="false">"c7399"</definedName>
    <definedName function="false" hidden="true" name="IQ_ECO_METRIC_7400" vbProcedure="false">"c7400"</definedName>
    <definedName function="false" hidden="true" name="IQ_ECO_METRIC_7402" vbProcedure="false">"c7402"</definedName>
    <definedName function="false" hidden="true" name="IQ_ECO_METRIC_7403" vbProcedure="false">"c7403"</definedName>
    <definedName function="false" hidden="true" name="IQ_ECO_METRIC_7404" vbProcedure="false">"c7404"</definedName>
    <definedName function="false" hidden="true" name="IQ_ECO_METRIC_7405" vbProcedure="false">"c7405"</definedName>
    <definedName function="false" hidden="true" name="IQ_ECO_METRIC_7406" vbProcedure="false">"c7406"</definedName>
    <definedName function="false" hidden="true" name="IQ_ECO_METRIC_7407" vbProcedure="false">"c7407"</definedName>
    <definedName function="false" hidden="true" name="IQ_ECO_METRIC_7408" vbProcedure="false">"c7408"</definedName>
    <definedName function="false" hidden="true" name="IQ_ECO_METRIC_7409" vbProcedure="false">"c7409"</definedName>
    <definedName function="false" hidden="true" name="IQ_ECO_METRIC_7410" vbProcedure="false">"c7410"</definedName>
    <definedName function="false" hidden="true" name="IQ_ECO_METRIC_7411" vbProcedure="false">"c7411"</definedName>
    <definedName function="false" hidden="true" name="IQ_ECO_METRIC_7412" vbProcedure="false">"c7412"</definedName>
    <definedName function="false" hidden="true" name="IQ_ECO_METRIC_7413" vbProcedure="false">"c7413"</definedName>
    <definedName function="false" hidden="true" name="IQ_ECO_METRIC_7414" vbProcedure="false">"c7414"</definedName>
    <definedName function="false" hidden="true" name="IQ_ECO_METRIC_7415" vbProcedure="false">"c7415"</definedName>
    <definedName function="false" hidden="true" name="IQ_ECO_METRIC_7416" vbProcedure="false">"c7416"</definedName>
    <definedName function="false" hidden="true" name="IQ_ECO_METRIC_7417" vbProcedure="false">"c7417"</definedName>
    <definedName function="false" hidden="true" name="IQ_ECO_METRIC_7418" vbProcedure="false">"c7418"</definedName>
    <definedName function="false" hidden="true" name="IQ_ECO_METRIC_7419" vbProcedure="false">"c7419"</definedName>
    <definedName function="false" hidden="true" name="IQ_ECO_METRIC_7420" vbProcedure="false">"c7420"</definedName>
    <definedName function="false" hidden="true" name="IQ_ECO_METRIC_7421" vbProcedure="false">"c7421"</definedName>
    <definedName function="false" hidden="true" name="IQ_ECO_METRIC_7422" vbProcedure="false">"c7422"</definedName>
    <definedName function="false" hidden="true" name="IQ_ECO_METRIC_7423" vbProcedure="false">"c7423"</definedName>
    <definedName function="false" hidden="true" name="IQ_ECO_METRIC_7424" vbProcedure="false">"c7424"</definedName>
    <definedName function="false" hidden="true" name="IQ_ECO_METRIC_7425" vbProcedure="false">"c7425"</definedName>
    <definedName function="false" hidden="true" name="IQ_ECO_METRIC_7426" vbProcedure="false">"c7426"</definedName>
    <definedName function="false" hidden="true" name="IQ_ECO_METRIC_7427" vbProcedure="false">"c7427"</definedName>
    <definedName function="false" hidden="true" name="IQ_ECO_METRIC_7428" vbProcedure="false">"c7428"</definedName>
    <definedName function="false" hidden="true" name="IQ_ECO_METRIC_7428_UNUSED_UNUSED_UNUSED" vbProcedure="false">"c7428"</definedName>
    <definedName function="false" hidden="true" name="IQ_ECO_METRIC_7429" vbProcedure="false">"c7429"</definedName>
    <definedName function="false" hidden="true" name="IQ_ECO_METRIC_7430" vbProcedure="false">"c7430"</definedName>
    <definedName function="false" hidden="true" name="IQ_ECO_METRIC_7431" vbProcedure="false">"c7431"</definedName>
    <definedName function="false" hidden="true" name="IQ_ECO_METRIC_7432" vbProcedure="false">"c7432"</definedName>
    <definedName function="false" hidden="true" name="IQ_ECO_METRIC_7433" vbProcedure="false">"c7433"</definedName>
    <definedName function="false" hidden="true" name="IQ_ECO_METRIC_7434" vbProcedure="false">"c7434"</definedName>
    <definedName function="false" hidden="true" name="IQ_ECO_METRIC_7435" vbProcedure="false">"c7435"</definedName>
    <definedName function="false" hidden="true" name="IQ_ECO_METRIC_7436" vbProcedure="false">"c7436"</definedName>
    <definedName function="false" hidden="true" name="IQ_ECO_METRIC_7437" vbProcedure="false">"c7437"</definedName>
    <definedName function="false" hidden="true" name="IQ_ECO_METRIC_7438" vbProcedure="false">"c7438"</definedName>
    <definedName function="false" hidden="true" name="IQ_ECO_METRIC_7440" vbProcedure="false">"c7440"</definedName>
    <definedName function="false" hidden="true" name="IQ_ECO_METRIC_7441" vbProcedure="false">"c7441"</definedName>
    <definedName function="false" hidden="true" name="IQ_ECO_METRIC_7442" vbProcedure="false">"c7442"</definedName>
    <definedName function="false" hidden="true" name="IQ_ECO_METRIC_7443" vbProcedure="false">"c7443"</definedName>
    <definedName function="false" hidden="true" name="IQ_ECO_METRIC_7444" vbProcedure="false">"c7444"</definedName>
    <definedName function="false" hidden="true" name="IQ_ECO_METRIC_7445" vbProcedure="false">"c7445"</definedName>
    <definedName function="false" hidden="true" name="IQ_ECO_METRIC_7446" vbProcedure="false">"c7446"</definedName>
    <definedName function="false" hidden="true" name="IQ_ECO_METRIC_7447" vbProcedure="false">"c7447"</definedName>
    <definedName function="false" hidden="true" name="IQ_ECO_METRIC_7448" vbProcedure="false">"c7448"</definedName>
    <definedName function="false" hidden="true" name="IQ_ECO_METRIC_7449" vbProcedure="false">"c7449"</definedName>
    <definedName function="false" hidden="true" name="IQ_ECO_METRIC_7450" vbProcedure="false">"c7450"</definedName>
    <definedName function="false" hidden="true" name="IQ_ECO_METRIC_7451" vbProcedure="false">"c7451"</definedName>
    <definedName function="false" hidden="true" name="IQ_ECO_METRIC_7452" vbProcedure="false">"c7452"</definedName>
    <definedName function="false" hidden="true" name="IQ_ECO_METRIC_7453" vbProcedure="false">"c7453"</definedName>
    <definedName function="false" hidden="true" name="IQ_ECO_METRIC_7455" vbProcedure="false">"c7455"</definedName>
    <definedName function="false" hidden="true" name="IQ_ECO_METRIC_7456" vbProcedure="false">"c7456"</definedName>
    <definedName function="false" hidden="true" name="IQ_ECO_METRIC_7457" vbProcedure="false">"c7457"</definedName>
    <definedName function="false" hidden="true" name="IQ_ECO_METRIC_7458" vbProcedure="false">"c7458"</definedName>
    <definedName function="false" hidden="true" name="IQ_ECO_METRIC_7459" vbProcedure="false">"c7459"</definedName>
    <definedName function="false" hidden="true" name="IQ_ECO_METRIC_7460" vbProcedure="false">"c7460"</definedName>
    <definedName function="false" hidden="true" name="IQ_ECO_METRIC_7461" vbProcedure="false">"c7461"</definedName>
    <definedName function="false" hidden="true" name="IQ_ECO_METRIC_7463" vbProcedure="false">"c7463"</definedName>
    <definedName function="false" hidden="true" name="IQ_ECO_METRIC_7464" vbProcedure="false">"c7464"</definedName>
    <definedName function="false" hidden="true" name="IQ_ECO_METRIC_7465" vbProcedure="false">"c7465"</definedName>
    <definedName function="false" hidden="true" name="IQ_ECO_METRIC_7466" vbProcedure="false">"c7466"</definedName>
    <definedName function="false" hidden="true" name="IQ_ECO_METRIC_7467" vbProcedure="false">"c7467"</definedName>
    <definedName function="false" hidden="true" name="IQ_ECO_METRIC_7468" vbProcedure="false">"c7468"</definedName>
    <definedName function="false" hidden="true" name="IQ_ECO_METRIC_7469" vbProcedure="false">"c7469"</definedName>
    <definedName function="false" hidden="true" name="IQ_ECO_METRIC_7470" vbProcedure="false">"c7470"</definedName>
    <definedName function="false" hidden="true" name="IQ_ECO_METRIC_7472" vbProcedure="false">"c7472"</definedName>
    <definedName function="false" hidden="true" name="IQ_ECO_METRIC_7473" vbProcedure="false">"c7473"</definedName>
    <definedName function="false" hidden="true" name="IQ_ECO_METRIC_7474" vbProcedure="false">"c7474"</definedName>
    <definedName function="false" hidden="true" name="IQ_ECO_METRIC_7475" vbProcedure="false">"c7475"</definedName>
    <definedName function="false" hidden="true" name="IQ_ECO_METRIC_7476" vbProcedure="false">"c7476"</definedName>
    <definedName function="false" hidden="true" name="IQ_ECO_METRIC_7477" vbProcedure="false">"c7477"</definedName>
    <definedName function="false" hidden="true" name="IQ_ECO_METRIC_7478" vbProcedure="false">"c7478"</definedName>
    <definedName function="false" hidden="true" name="IQ_ECO_METRIC_7479" vbProcedure="false">"c7479"</definedName>
    <definedName function="false" hidden="true" name="IQ_ECO_METRIC_7480" vbProcedure="false">"c7480"</definedName>
    <definedName function="false" hidden="true" name="IQ_ECO_METRIC_7481" vbProcedure="false">"c7481"</definedName>
    <definedName function="false" hidden="true" name="IQ_ECO_METRIC_7482" vbProcedure="false">"c7482"</definedName>
    <definedName function="false" hidden="true" name="IQ_ECO_METRIC_7483" vbProcedure="false">"c7483"</definedName>
    <definedName function="false" hidden="true" name="IQ_ECO_METRIC_7486" vbProcedure="false">"c7486"</definedName>
    <definedName function="false" hidden="true" name="IQ_ECO_METRIC_7487" vbProcedure="false">"c7487"</definedName>
    <definedName function="false" hidden="true" name="IQ_ECO_METRIC_7488" vbProcedure="false">"c7488"</definedName>
    <definedName function="false" hidden="true" name="IQ_ECO_METRIC_7489" vbProcedure="false">"c7489"</definedName>
    <definedName function="false" hidden="true" name="IQ_ECO_METRIC_7490" vbProcedure="false">"c7490"</definedName>
    <definedName function="false" hidden="true" name="IQ_ECO_METRIC_7491" vbProcedure="false">"c7491"</definedName>
    <definedName function="false" hidden="true" name="IQ_ECO_METRIC_7492" vbProcedure="false">"c7492"</definedName>
    <definedName function="false" hidden="true" name="IQ_ECO_METRIC_7493" vbProcedure="false">"c7493"</definedName>
    <definedName function="false" hidden="true" name="IQ_ECO_METRIC_7494" vbProcedure="false">"c7494"</definedName>
    <definedName function="false" hidden="true" name="IQ_ECO_METRIC_7495" vbProcedure="false">"c7495"</definedName>
    <definedName function="false" hidden="true" name="IQ_ECO_METRIC_7496" vbProcedure="false">"c7496"</definedName>
    <definedName function="false" hidden="true" name="IQ_ECO_METRIC_7497" vbProcedure="false">"c7497"</definedName>
    <definedName function="false" hidden="true" name="IQ_ECO_METRIC_7498" vbProcedure="false">"c7498"</definedName>
    <definedName function="false" hidden="true" name="IQ_ECO_METRIC_7500" vbProcedure="false">"c7500"</definedName>
    <definedName function="false" hidden="true" name="IQ_ECO_METRIC_7501" vbProcedure="false">"c7501"</definedName>
    <definedName function="false" hidden="true" name="IQ_ECO_METRIC_7502" vbProcedure="false">"c7502"</definedName>
    <definedName function="false" hidden="true" name="IQ_ECO_METRIC_7503" vbProcedure="false">"c7503"</definedName>
    <definedName function="false" hidden="true" name="IQ_ECO_METRIC_7504" vbProcedure="false">"c7504"</definedName>
    <definedName function="false" hidden="true" name="IQ_ECO_METRIC_7505" vbProcedure="false">"c7505"</definedName>
    <definedName function="false" hidden="true" name="IQ_ECO_METRIC_7507" vbProcedure="false">"c7507"</definedName>
    <definedName function="false" hidden="true" name="IQ_ECO_METRIC_7508" vbProcedure="false">"c7508"</definedName>
    <definedName function="false" hidden="true" name="IQ_ECO_METRIC_7509" vbProcedure="false">"c7509"</definedName>
    <definedName function="false" hidden="true" name="IQ_ECO_METRIC_7510" vbProcedure="false">"c7510"</definedName>
    <definedName function="false" hidden="true" name="IQ_ECO_METRIC_7511" vbProcedure="false">"c7511"</definedName>
    <definedName function="false" hidden="true" name="IQ_ECO_METRIC_7512" vbProcedure="false">"c7512"</definedName>
    <definedName function="false" hidden="true" name="IQ_ECO_METRIC_7513" vbProcedure="false">"c7513"</definedName>
    <definedName function="false" hidden="true" name="IQ_ECO_METRIC_7514" vbProcedure="false">"c7514"</definedName>
    <definedName function="false" hidden="true" name="IQ_ECO_METRIC_7515" vbProcedure="false">"c7515"</definedName>
    <definedName function="false" hidden="true" name="IQ_ECO_METRIC_7516" vbProcedure="false">"c7516"</definedName>
    <definedName function="false" hidden="true" name="IQ_ECO_METRIC_7517" vbProcedure="false">"c7517"</definedName>
    <definedName function="false" hidden="true" name="IQ_ECO_METRIC_7518" vbProcedure="false">"c7518"</definedName>
    <definedName function="false" hidden="true" name="IQ_ECO_METRIC_7519" vbProcedure="false">"c7519"</definedName>
    <definedName function="false" hidden="true" name="IQ_ECO_METRIC_7520" vbProcedure="false">"c7520"</definedName>
    <definedName function="false" hidden="true" name="IQ_ECO_METRIC_7521" vbProcedure="false">"c7521"</definedName>
    <definedName function="false" hidden="true" name="IQ_ECO_METRIC_7522" vbProcedure="false">"c7522"</definedName>
    <definedName function="false" hidden="true" name="IQ_ECO_METRIC_7523" vbProcedure="false">"c7523"</definedName>
    <definedName function="false" hidden="true" name="IQ_ECO_METRIC_7524" vbProcedure="false">"c7524"</definedName>
    <definedName function="false" hidden="true" name="IQ_ECO_METRIC_7525" vbProcedure="false">"c7525"</definedName>
    <definedName function="false" hidden="true" name="IQ_ECO_METRIC_7526" vbProcedure="false">"c7526"</definedName>
    <definedName function="false" hidden="true" name="IQ_ECO_METRIC_7527" vbProcedure="false">"c7527"</definedName>
    <definedName function="false" hidden="true" name="IQ_ECO_METRIC_7528" vbProcedure="false">"c7528"</definedName>
    <definedName function="false" hidden="true" name="IQ_ECO_METRIC_7529" vbProcedure="false">"c7529"</definedName>
    <definedName function="false" hidden="true" name="IQ_ECO_METRIC_7530" vbProcedure="false">"c7530"</definedName>
    <definedName function="false" hidden="true" name="IQ_ECO_METRIC_7531" vbProcedure="false">"c7531"</definedName>
    <definedName function="false" hidden="true" name="IQ_ECO_METRIC_7532" vbProcedure="false">"c7532"</definedName>
    <definedName function="false" hidden="true" name="IQ_ECO_METRIC_7533" vbProcedure="false">"c7533"</definedName>
    <definedName function="false" hidden="true" name="IQ_ECO_METRIC_7534" vbProcedure="false">"c7534"</definedName>
    <definedName function="false" hidden="true" name="IQ_ECO_METRIC_7535" vbProcedure="false">"c7535"</definedName>
    <definedName function="false" hidden="true" name="IQ_ECO_METRIC_7536" vbProcedure="false">"c7536"</definedName>
    <definedName function="false" hidden="true" name="IQ_ECO_METRIC_7537" vbProcedure="false">"c7537"</definedName>
    <definedName function="false" hidden="true" name="IQ_ECO_METRIC_7538" vbProcedure="false">"c7538"</definedName>
    <definedName function="false" hidden="true" name="IQ_ECO_METRIC_7539" vbProcedure="false">"c7539"</definedName>
    <definedName function="false" hidden="true" name="IQ_ECO_METRIC_7540" vbProcedure="false">"c7540"</definedName>
    <definedName function="false" hidden="true" name="IQ_ECO_METRIC_7541" vbProcedure="false">"c7541"</definedName>
    <definedName function="false" hidden="true" name="IQ_ECO_METRIC_7542" vbProcedure="false">"c7542"</definedName>
    <definedName function="false" hidden="true" name="IQ_ECO_METRIC_7543" vbProcedure="false">"c7543"</definedName>
    <definedName function="false" hidden="true" name="IQ_ECO_METRIC_7544" vbProcedure="false">"c7544"</definedName>
    <definedName function="false" hidden="true" name="IQ_ECO_METRIC_7545" vbProcedure="false">"c7545"</definedName>
    <definedName function="false" hidden="true" name="IQ_ECO_METRIC_7546" vbProcedure="false">"c7546"</definedName>
    <definedName function="false" hidden="true" name="IQ_ECO_METRIC_7547" vbProcedure="false">"c7547"</definedName>
    <definedName function="false" hidden="true" name="IQ_ECO_METRIC_7548" vbProcedure="false">"c7548"</definedName>
    <definedName function="false" hidden="true" name="IQ_ECO_METRIC_7549" vbProcedure="false">"c7549"</definedName>
    <definedName function="false" hidden="true" name="IQ_ECO_METRIC_7550" vbProcedure="false">"c7550"</definedName>
    <definedName function="false" hidden="true" name="IQ_ECO_METRIC_7551" vbProcedure="false">"c7551"</definedName>
    <definedName function="false" hidden="true" name="IQ_ECO_METRIC_7552" vbProcedure="false">"c7552"</definedName>
    <definedName function="false" hidden="true" name="IQ_ECO_METRIC_7553" vbProcedure="false">"c7553"</definedName>
    <definedName function="false" hidden="true" name="IQ_ECO_METRIC_7554" vbProcedure="false">"c7554"</definedName>
    <definedName function="false" hidden="true" name="IQ_ECO_METRIC_7555" vbProcedure="false">"c7555"</definedName>
    <definedName function="false" hidden="true" name="IQ_ECO_METRIC_7556" vbProcedure="false">"c7556"</definedName>
    <definedName function="false" hidden="true" name="IQ_ECO_METRIC_7556_UNUSED_UNUSED_UNUSED" vbProcedure="false">"c7556"</definedName>
    <definedName function="false" hidden="true" name="IQ_ECO_METRIC_7557" vbProcedure="false">"c7557"</definedName>
    <definedName function="false" hidden="true" name="IQ_ECO_METRIC_7557_UNUSED_UNUSED_UNUSED" vbProcedure="false">"c7557"</definedName>
    <definedName function="false" hidden="true" name="IQ_ECO_METRIC_7560" vbProcedure="false">"c7560"</definedName>
    <definedName function="false" hidden="true" name="IQ_ECO_METRIC_7561" vbProcedure="false">"c7561"</definedName>
    <definedName function="false" hidden="true" name="IQ_ECO_METRIC_7562" vbProcedure="false">"c7562"</definedName>
    <definedName function="false" hidden="true" name="IQ_ECO_METRIC_7563" vbProcedure="false">"c7563"</definedName>
    <definedName function="false" hidden="true" name="IQ_ECO_METRIC_7564" vbProcedure="false">"c7564"</definedName>
    <definedName function="false" hidden="true" name="IQ_ECO_METRIC_7565" vbProcedure="false">"c7565"</definedName>
    <definedName function="false" hidden="true" name="IQ_ECO_METRIC_7566" vbProcedure="false">"c7566"</definedName>
    <definedName function="false" hidden="true" name="IQ_ECO_METRIC_7567" vbProcedure="false">"c7567"</definedName>
    <definedName function="false" hidden="true" name="IQ_ECO_METRIC_7568" vbProcedure="false">"c7568"</definedName>
    <definedName function="false" hidden="true" name="IQ_ECO_METRIC_7570" vbProcedure="false">"c7570"</definedName>
    <definedName function="false" hidden="true" name="IQ_ECO_METRIC_7571" vbProcedure="false">"c7571"</definedName>
    <definedName function="false" hidden="true" name="IQ_ECO_METRIC_7572" vbProcedure="false">"c7572"</definedName>
    <definedName function="false" hidden="true" name="IQ_ECO_METRIC_7573" vbProcedure="false">"c7573"</definedName>
    <definedName function="false" hidden="true" name="IQ_ECO_METRIC_7574" vbProcedure="false">"c7574"</definedName>
    <definedName function="false" hidden="true" name="IQ_ECO_METRIC_7575" vbProcedure="false">"c7575"</definedName>
    <definedName function="false" hidden="true" name="IQ_ECO_METRIC_7576" vbProcedure="false">"c7576"</definedName>
    <definedName function="false" hidden="true" name="IQ_ECO_METRIC_7577" vbProcedure="false">"c7577"</definedName>
    <definedName function="false" hidden="true" name="IQ_ECO_METRIC_7578" vbProcedure="false">"c7578"</definedName>
    <definedName function="false" hidden="true" name="IQ_ECO_METRIC_7579" vbProcedure="false">"c7579"</definedName>
    <definedName function="false" hidden="true" name="IQ_ECO_METRIC_7580" vbProcedure="false">"c7580"</definedName>
    <definedName function="false" hidden="true" name="IQ_ECO_METRIC_7581" vbProcedure="false">"c7581"</definedName>
    <definedName function="false" hidden="true" name="IQ_ECO_METRIC_7582" vbProcedure="false">"c7582"</definedName>
    <definedName function="false" hidden="true" name="IQ_ECO_METRIC_7583" vbProcedure="false">"c7583"</definedName>
    <definedName function="false" hidden="true" name="IQ_ECO_METRIC_7584" vbProcedure="false">"c7584"</definedName>
    <definedName function="false" hidden="true" name="IQ_ECO_METRIC_7585" vbProcedure="false">"c7585"</definedName>
    <definedName function="false" hidden="true" name="IQ_ECO_METRIC_7586" vbProcedure="false">"c7586"</definedName>
    <definedName function="false" hidden="true" name="IQ_ECO_METRIC_7588" vbProcedure="false">"c7588"</definedName>
    <definedName function="false" hidden="true" name="IQ_ECO_METRIC_7589" vbProcedure="false">"c7589"</definedName>
    <definedName function="false" hidden="true" name="IQ_ECO_METRIC_7590" vbProcedure="false">"c7590"</definedName>
    <definedName function="false" hidden="true" name="IQ_ECO_METRIC_7591" vbProcedure="false">"c7591"</definedName>
    <definedName function="false" hidden="true" name="IQ_ECO_METRIC_7592" vbProcedure="false">"c7592"</definedName>
    <definedName function="false" hidden="true" name="IQ_ECO_METRIC_7593" vbProcedure="false">"c7593"</definedName>
    <definedName function="false" hidden="true" name="IQ_ECO_METRIC_7594" vbProcedure="false">"c7594"</definedName>
    <definedName function="false" hidden="true" name="IQ_ECO_METRIC_7596" vbProcedure="false">"c7596"</definedName>
    <definedName function="false" hidden="true" name="IQ_ECO_METRIC_7597" vbProcedure="false">"c7597"</definedName>
    <definedName function="false" hidden="true" name="IQ_ECO_METRIC_7598" vbProcedure="false">"c7598"</definedName>
    <definedName function="false" hidden="true" name="IQ_ECO_METRIC_7599" vbProcedure="false">"c7599"</definedName>
    <definedName function="false" hidden="true" name="IQ_ECO_METRIC_7600" vbProcedure="false">"c7600"</definedName>
    <definedName function="false" hidden="true" name="IQ_ECO_METRIC_7601" vbProcedure="false">"c7601"</definedName>
    <definedName function="false" hidden="true" name="IQ_ECO_METRIC_7602" vbProcedure="false">"c7602"</definedName>
    <definedName function="false" hidden="true" name="IQ_ECO_METRIC_7603" vbProcedure="false">"c7603"</definedName>
    <definedName function="false" hidden="true" name="IQ_ECO_METRIC_7604" vbProcedure="false">"c7604"</definedName>
    <definedName function="false" hidden="true" name="IQ_ECO_METRIC_7605" vbProcedure="false">"c7605"</definedName>
    <definedName function="false" hidden="true" name="IQ_ECO_METRIC_7606" vbProcedure="false">"c7606"</definedName>
    <definedName function="false" hidden="true" name="IQ_ECO_METRIC_7607" vbProcedure="false">"c7607"</definedName>
    <definedName function="false" hidden="true" name="IQ_ECO_METRIC_7608" vbProcedure="false">"c7608"</definedName>
    <definedName function="false" hidden="true" name="IQ_ECO_METRIC_7609" vbProcedure="false">"c7609"</definedName>
    <definedName function="false" hidden="true" name="IQ_ECO_METRIC_7610" vbProcedure="false">"c7610"</definedName>
    <definedName function="false" hidden="true" name="IQ_ECO_METRIC_7611" vbProcedure="false">"c7611"</definedName>
    <definedName function="false" hidden="true" name="IQ_ECO_METRIC_7612" vbProcedure="false">"c7612"</definedName>
    <definedName function="false" hidden="true" name="IQ_ECO_METRIC_7613" vbProcedure="false">"c7613"</definedName>
    <definedName function="false" hidden="true" name="IQ_ECO_METRIC_7614" vbProcedure="false">"c7614"</definedName>
    <definedName function="false" hidden="true" name="IQ_ECO_METRIC_7615" vbProcedure="false">"c7615"</definedName>
    <definedName function="false" hidden="true" name="IQ_ECO_METRIC_7616" vbProcedure="false">"c7616"</definedName>
    <definedName function="false" hidden="true" name="IQ_ECO_METRIC_7617" vbProcedure="false">"c7617"</definedName>
    <definedName function="false" hidden="true" name="IQ_ECO_METRIC_7618" vbProcedure="false">"c7618"</definedName>
    <definedName function="false" hidden="true" name="IQ_ECO_METRIC_7619" vbProcedure="false">"c7619"</definedName>
    <definedName function="false" hidden="true" name="IQ_ECO_METRIC_7620" vbProcedure="false">"c7620"</definedName>
    <definedName function="false" hidden="true" name="IQ_ECO_METRIC_7622" vbProcedure="false">"c7622"</definedName>
    <definedName function="false" hidden="true" name="IQ_ECO_METRIC_7623" vbProcedure="false">"c7623"</definedName>
    <definedName function="false" hidden="true" name="IQ_ECO_METRIC_7624" vbProcedure="false">"c7624"</definedName>
    <definedName function="false" hidden="true" name="IQ_ECO_METRIC_7625" vbProcedure="false">"c7625"</definedName>
    <definedName function="false" hidden="true" name="IQ_ECO_METRIC_7626" vbProcedure="false">"c7626"</definedName>
    <definedName function="false" hidden="true" name="IQ_ECO_METRIC_7627" vbProcedure="false">"c7627"</definedName>
    <definedName function="false" hidden="true" name="IQ_ECO_METRIC_7628" vbProcedure="false">"c7628"</definedName>
    <definedName function="false" hidden="true" name="IQ_ECO_METRIC_7629" vbProcedure="false">"c7629"</definedName>
    <definedName function="false" hidden="true" name="IQ_ECO_METRIC_7630" vbProcedure="false">"c7630"</definedName>
    <definedName function="false" hidden="true" name="IQ_ECO_METRIC_7631" vbProcedure="false">"c7631"</definedName>
    <definedName function="false" hidden="true" name="IQ_ECO_METRIC_7632" vbProcedure="false">"c7632"</definedName>
    <definedName function="false" hidden="true" name="IQ_ECO_METRIC_7633" vbProcedure="false">"c7633"</definedName>
    <definedName function="false" hidden="true" name="IQ_ECO_METRIC_7634" vbProcedure="false">"c7634"</definedName>
    <definedName function="false" hidden="true" name="IQ_ECO_METRIC_7635" vbProcedure="false">"c7635"</definedName>
    <definedName function="false" hidden="true" name="IQ_ECO_METRIC_7636" vbProcedure="false">"c7636"</definedName>
    <definedName function="false" hidden="true" name="IQ_ECO_METRIC_7637" vbProcedure="false">"c7637"</definedName>
    <definedName function="false" hidden="true" name="IQ_ECO_METRIC_7638" vbProcedure="false">"c7638"</definedName>
    <definedName function="false" hidden="true" name="IQ_ECO_METRIC_7639" vbProcedure="false">"c7639"</definedName>
    <definedName function="false" hidden="true" name="IQ_ECO_METRIC_7640" vbProcedure="false">"c7640"</definedName>
    <definedName function="false" hidden="true" name="IQ_ECO_METRIC_7641" vbProcedure="false">"c7641"</definedName>
    <definedName function="false" hidden="true" name="IQ_ECO_METRIC_7642" vbProcedure="false">"c7642"</definedName>
    <definedName function="false" hidden="true" name="IQ_ECO_METRIC_7643" vbProcedure="false">"c7643"</definedName>
    <definedName function="false" hidden="true" name="IQ_ECO_METRIC_7644" vbProcedure="false">"c7644"</definedName>
    <definedName function="false" hidden="true" name="IQ_ECO_METRIC_7645" vbProcedure="false">"c7645"</definedName>
    <definedName function="false" hidden="true" name="IQ_ECO_METRIC_7646" vbProcedure="false">"c7646"</definedName>
    <definedName function="false" hidden="true" name="IQ_ECO_METRIC_7647" vbProcedure="false">"c7647"</definedName>
    <definedName function="false" hidden="true" name="IQ_ECO_METRIC_7648" vbProcedure="false">"c7648"</definedName>
    <definedName function="false" hidden="true" name="IQ_ECO_METRIC_7648_UNUSED_UNUSED_UNUSED" vbProcedure="false">"c7648"</definedName>
    <definedName function="false" hidden="true" name="IQ_ECO_METRIC_7649" vbProcedure="false">"c7649"</definedName>
    <definedName function="false" hidden="true" name="IQ_ECO_METRIC_7650" vbProcedure="false">"c7650"</definedName>
    <definedName function="false" hidden="true" name="IQ_ECO_METRIC_7651" vbProcedure="false">"c7651"</definedName>
    <definedName function="false" hidden="true" name="IQ_ECO_METRIC_7652" vbProcedure="false">"c7652"</definedName>
    <definedName function="false" hidden="true" name="IQ_ECO_METRIC_7653" vbProcedure="false">"c7653"</definedName>
    <definedName function="false" hidden="true" name="IQ_ECO_METRIC_7654" vbProcedure="false">"c7654"</definedName>
    <definedName function="false" hidden="true" name="IQ_ECO_METRIC_7655" vbProcedure="false">"c7655"</definedName>
    <definedName function="false" hidden="true" name="IQ_ECO_METRIC_7656" vbProcedure="false">"c7656"</definedName>
    <definedName function="false" hidden="true" name="IQ_ECO_METRIC_7657" vbProcedure="false">"c7657"</definedName>
    <definedName function="false" hidden="true" name="IQ_ECO_METRIC_7658" vbProcedure="false">"c7658"</definedName>
    <definedName function="false" hidden="true" name="IQ_ECO_METRIC_7660" vbProcedure="false">"c7660"</definedName>
    <definedName function="false" hidden="true" name="IQ_ECO_METRIC_7661" vbProcedure="false">"c7661"</definedName>
    <definedName function="false" hidden="true" name="IQ_ECO_METRIC_7663" vbProcedure="false">"c7663"</definedName>
    <definedName function="false" hidden="true" name="IQ_ECO_METRIC_7664" vbProcedure="false">"c7664"</definedName>
    <definedName function="false" hidden="true" name="IQ_ECO_METRIC_7665" vbProcedure="false">"c7665"</definedName>
    <definedName function="false" hidden="true" name="IQ_ECO_METRIC_7666" vbProcedure="false">"c7666"</definedName>
    <definedName function="false" hidden="true" name="IQ_ECO_METRIC_7667" vbProcedure="false">"c7667"</definedName>
    <definedName function="false" hidden="true" name="IQ_ECO_METRIC_7668" vbProcedure="false">"c7668"</definedName>
    <definedName function="false" hidden="true" name="IQ_ECO_METRIC_7669" vbProcedure="false">"c7669"</definedName>
    <definedName function="false" hidden="true" name="IQ_ECO_METRIC_7670" vbProcedure="false">"c7670"</definedName>
    <definedName function="false" hidden="true" name="IQ_ECO_METRIC_7675" vbProcedure="false">"c7675"</definedName>
    <definedName function="false" hidden="true" name="IQ_ECO_METRIC_7676" vbProcedure="false">"c7676"</definedName>
    <definedName function="false" hidden="true" name="IQ_ECO_METRIC_7677" vbProcedure="false">"c7677"</definedName>
    <definedName function="false" hidden="true" name="IQ_ECO_METRIC_7678" vbProcedure="false">"c7678"</definedName>
    <definedName function="false" hidden="true" name="IQ_ECO_METRIC_7679" vbProcedure="false">"c7679"</definedName>
    <definedName function="false" hidden="true" name="IQ_ECO_METRIC_7680" vbProcedure="false">"c7680"</definedName>
    <definedName function="false" hidden="true" name="IQ_ECO_METRIC_7681" vbProcedure="false">"c7681"</definedName>
    <definedName function="false" hidden="true" name="IQ_ECO_METRIC_7685" vbProcedure="false">"c7685"</definedName>
    <definedName function="false" hidden="true" name="IQ_ECO_METRIC_7687" vbProcedure="false">"c7687"</definedName>
    <definedName function="false" hidden="true" name="IQ_ECO_METRIC_7688" vbProcedure="false">"c7688"</definedName>
    <definedName function="false" hidden="true" name="IQ_ECO_METRIC_7689" vbProcedure="false">"c7689"</definedName>
    <definedName function="false" hidden="true" name="IQ_ECO_METRIC_7690" vbProcedure="false">"c7690"</definedName>
    <definedName function="false" hidden="true" name="IQ_ECO_METRIC_7691" vbProcedure="false">"c7691"</definedName>
    <definedName function="false" hidden="true" name="IQ_ECO_METRIC_7692" vbProcedure="false">"c7692"</definedName>
    <definedName function="false" hidden="true" name="IQ_ECO_METRIC_7693" vbProcedure="false">"c7693"</definedName>
    <definedName function="false" hidden="true" name="IQ_ECO_METRIC_7694" vbProcedure="false">"c7694"</definedName>
    <definedName function="false" hidden="true" name="IQ_ECO_METRIC_7695" vbProcedure="false">"c7695"</definedName>
    <definedName function="false" hidden="true" name="IQ_ECO_METRIC_7696" vbProcedure="false">"c7696"</definedName>
    <definedName function="false" hidden="true" name="IQ_ECO_METRIC_7697" vbProcedure="false">"c7697"</definedName>
    <definedName function="false" hidden="true" name="IQ_ECO_METRIC_7698" vbProcedure="false">"c7698"</definedName>
    <definedName function="false" hidden="true" name="IQ_ECO_METRIC_7699" vbProcedure="false">"c7699"</definedName>
    <definedName function="false" hidden="true" name="IQ_ECO_METRIC_7700" vbProcedure="false">"c7700"</definedName>
    <definedName function="false" hidden="true" name="IQ_ECO_METRIC_7701" vbProcedure="false">"c7701"</definedName>
    <definedName function="false" hidden="true" name="IQ_ECO_METRIC_7702" vbProcedure="false">"c7702"</definedName>
    <definedName function="false" hidden="true" name="IQ_ECO_METRIC_7703" vbProcedure="false">"c7703"</definedName>
    <definedName function="false" hidden="true" name="IQ_ECO_METRIC_7705" vbProcedure="false">"c7705"</definedName>
    <definedName function="false" hidden="true" name="IQ_ECO_METRIC_7705_UNUSED_UNUSED_UNUSED" vbProcedure="false">"c7705"</definedName>
    <definedName function="false" hidden="true" name="IQ_ECO_METRIC_7707" vbProcedure="false">"c7707"</definedName>
    <definedName function="false" hidden="true" name="IQ_ECO_METRIC_7708" vbProcedure="false">"c7708"</definedName>
    <definedName function="false" hidden="true" name="IQ_ECO_METRIC_7709" vbProcedure="false">"c7709"</definedName>
    <definedName function="false" hidden="true" name="IQ_ECO_METRIC_7710" vbProcedure="false">"c7710"</definedName>
    <definedName function="false" hidden="true" name="IQ_ECO_METRIC_7711" vbProcedure="false">"c7711"</definedName>
    <definedName function="false" hidden="true" name="IQ_ECO_METRIC_7712" vbProcedure="false">"c7712"</definedName>
    <definedName function="false" hidden="true" name="IQ_ECO_METRIC_7713" vbProcedure="false">"c7713"</definedName>
    <definedName function="false" hidden="true" name="IQ_ECO_METRIC_7714" vbProcedure="false">"c7714"</definedName>
    <definedName function="false" hidden="true" name="IQ_ECO_METRIC_7715" vbProcedure="false">"c7715"</definedName>
    <definedName function="false" hidden="true" name="IQ_ECO_METRIC_7716" vbProcedure="false">"c7716"</definedName>
    <definedName function="false" hidden="true" name="IQ_ECO_METRIC_7717" vbProcedure="false">"c7717"</definedName>
    <definedName function="false" hidden="true" name="IQ_ECO_METRIC_7719" vbProcedure="false">"c7719"</definedName>
    <definedName function="false" hidden="true" name="IQ_ECO_METRIC_7719_UNUSED_UNUSED_UNUSED" vbProcedure="false">"c7719"</definedName>
    <definedName function="false" hidden="true" name="IQ_ECO_METRIC_7720" vbProcedure="false">"c7720"</definedName>
    <definedName function="false" hidden="true" name="IQ_ECO_METRIC_7721" vbProcedure="false">"c7721"</definedName>
    <definedName function="false" hidden="true" name="IQ_ECO_METRIC_7722" vbProcedure="false">"c7722"</definedName>
    <definedName function="false" hidden="true" name="IQ_ECO_METRIC_7723" vbProcedure="false">"c7723"</definedName>
    <definedName function="false" hidden="true" name="IQ_ECO_METRIC_7724" vbProcedure="false">"c7724"</definedName>
    <definedName function="false" hidden="true" name="IQ_ECO_METRIC_7725" vbProcedure="false">"c7725"</definedName>
    <definedName function="false" hidden="true" name="IQ_ECO_METRIC_7726" vbProcedure="false">"c7726"</definedName>
    <definedName function="false" hidden="true" name="IQ_ECO_METRIC_7727" vbProcedure="false">"c7727"</definedName>
    <definedName function="false" hidden="true" name="IQ_ECO_METRIC_7728" vbProcedure="false">"c7728"</definedName>
    <definedName function="false" hidden="true" name="IQ_ECO_METRIC_7729" vbProcedure="false">"c7729"</definedName>
    <definedName function="false" hidden="true" name="IQ_ECO_METRIC_7730" vbProcedure="false">"c7730"</definedName>
    <definedName function="false" hidden="true" name="IQ_ECO_METRIC_7731" vbProcedure="false">"c7731"</definedName>
    <definedName function="false" hidden="true" name="IQ_ECO_METRIC_7732" vbProcedure="false">"c7732"</definedName>
    <definedName function="false" hidden="true" name="IQ_ECO_METRIC_7733" vbProcedure="false">"c7733"</definedName>
    <definedName function="false" hidden="true" name="IQ_ECO_METRIC_7734" vbProcedure="false">"c7734"</definedName>
    <definedName function="false" hidden="true" name="IQ_ECO_METRIC_7735" vbProcedure="false">"c7735"</definedName>
    <definedName function="false" hidden="true" name="IQ_ECO_METRIC_7736" vbProcedure="false">"c7736"</definedName>
    <definedName function="false" hidden="true" name="IQ_ECO_METRIC_7737" vbProcedure="false">"c7737"</definedName>
    <definedName function="false" hidden="true" name="IQ_ECO_METRIC_7738" vbProcedure="false">"c7738"</definedName>
    <definedName function="false" hidden="true" name="IQ_ECO_METRIC_7739" vbProcedure="false">"c7739"</definedName>
    <definedName function="false" hidden="true" name="IQ_ECO_METRIC_7740" vbProcedure="false">"c7740"</definedName>
    <definedName function="false" hidden="true" name="IQ_ECO_METRIC_7741" vbProcedure="false">"c7741"</definedName>
    <definedName function="false" hidden="true" name="IQ_ECO_METRIC_7742" vbProcedure="false">"c7742"</definedName>
    <definedName function="false" hidden="true" name="IQ_ECO_METRIC_7743" vbProcedure="false">"c7743"</definedName>
    <definedName function="false" hidden="true" name="IQ_ECO_METRIC_7744" vbProcedure="false">"c7744"</definedName>
    <definedName function="false" hidden="true" name="IQ_ECO_METRIC_7745" vbProcedure="false">"c7745"</definedName>
    <definedName function="false" hidden="true" name="IQ_ECO_METRIC_7746" vbProcedure="false">"c7746"</definedName>
    <definedName function="false" hidden="true" name="IQ_ECO_METRIC_7747" vbProcedure="false">"c7747"</definedName>
    <definedName function="false" hidden="true" name="IQ_ECO_METRIC_7748" vbProcedure="false">"c7748"</definedName>
    <definedName function="false" hidden="true" name="IQ_ECO_METRIC_7749" vbProcedure="false">"c7749"</definedName>
    <definedName function="false" hidden="true" name="IQ_ECO_METRIC_7750" vbProcedure="false">"c7750"</definedName>
    <definedName function="false" hidden="true" name="IQ_ECO_METRIC_7751" vbProcedure="false">"c7751"</definedName>
    <definedName function="false" hidden="true" name="IQ_ECO_METRIC_7752" vbProcedure="false">"c7752"</definedName>
    <definedName function="false" hidden="true" name="IQ_ECO_METRIC_7753" vbProcedure="false">"c7753"</definedName>
    <definedName function="false" hidden="true" name="IQ_ECO_METRIC_7754" vbProcedure="false">"c7754"</definedName>
    <definedName function="false" hidden="true" name="IQ_ECO_METRIC_7755" vbProcedure="false">"c7755"</definedName>
    <definedName function="false" hidden="true" name="IQ_ECO_METRIC_7756" vbProcedure="false">"c7756"</definedName>
    <definedName function="false" hidden="true" name="IQ_ECO_METRIC_7757" vbProcedure="false">"c7757"</definedName>
    <definedName function="false" hidden="true" name="IQ_ECO_METRIC_7758" vbProcedure="false">"c7758"</definedName>
    <definedName function="false" hidden="true" name="IQ_ECO_METRIC_7759" vbProcedure="false">"c7759"</definedName>
    <definedName function="false" hidden="true" name="IQ_ECO_METRIC_7760" vbProcedure="false">"c7760"</definedName>
    <definedName function="false" hidden="true" name="IQ_ECO_METRIC_7761" vbProcedure="false">"c7761"</definedName>
    <definedName function="false" hidden="true" name="IQ_ECO_METRIC_7762" vbProcedure="false">"c7762"</definedName>
    <definedName function="false" hidden="true" name="IQ_ECO_METRIC_7763" vbProcedure="false">"c7763"</definedName>
    <definedName function="false" hidden="true" name="IQ_ECO_METRIC_7764" vbProcedure="false">"c7764"</definedName>
    <definedName function="false" hidden="true" name="IQ_ECO_METRIC_7765" vbProcedure="false">"c7765"</definedName>
    <definedName function="false" hidden="true" name="IQ_ECO_METRIC_7766" vbProcedure="false">"c7766"</definedName>
    <definedName function="false" hidden="true" name="IQ_ECO_METRIC_7767" vbProcedure="false">"c7767"</definedName>
    <definedName function="false" hidden="true" name="IQ_ECO_METRIC_7768" vbProcedure="false">"c7768"</definedName>
    <definedName function="false" hidden="true" name="IQ_ECO_METRIC_7769" vbProcedure="false">"c7769"</definedName>
    <definedName function="false" hidden="true" name="IQ_ECO_METRIC_7770" vbProcedure="false">"c7770"</definedName>
    <definedName function="false" hidden="true" name="IQ_ECO_METRIC_7771" vbProcedure="false">"c7771"</definedName>
    <definedName function="false" hidden="true" name="IQ_ECO_METRIC_7772" vbProcedure="false">"c7772"</definedName>
    <definedName function="false" hidden="true" name="IQ_ECO_METRIC_7773" vbProcedure="false">"c7773"</definedName>
    <definedName function="false" hidden="true" name="IQ_ECO_METRIC_7774" vbProcedure="false">"c7774"</definedName>
    <definedName function="false" hidden="true" name="IQ_ECO_METRIC_7775" vbProcedure="false">"c7775"</definedName>
    <definedName function="false" hidden="true" name="IQ_ECO_METRIC_7776" vbProcedure="false">"c7776"</definedName>
    <definedName function="false" hidden="true" name="IQ_ECO_METRIC_7776_UNUSED_UNUSED_UNUSED" vbProcedure="false">"c7776"</definedName>
    <definedName function="false" hidden="true" name="IQ_ECO_METRIC_7777" vbProcedure="false">"c7777"</definedName>
    <definedName function="false" hidden="true" name="IQ_ECO_METRIC_7777_UNUSED_UNUSED_UNUSED" vbProcedure="false">"c7777"</definedName>
    <definedName function="false" hidden="true" name="IQ_ECO_METRIC_7779" vbProcedure="false">"c7779"</definedName>
    <definedName function="false" hidden="true" name="IQ_ECO_METRIC_7780" vbProcedure="false">"c7780"</definedName>
    <definedName function="false" hidden="true" name="IQ_ECO_METRIC_7781" vbProcedure="false">"c7781"</definedName>
    <definedName function="false" hidden="true" name="IQ_ECO_METRIC_7782" vbProcedure="false">"c7782"</definedName>
    <definedName function="false" hidden="true" name="IQ_ECO_METRIC_7783" vbProcedure="false">"c7783"</definedName>
    <definedName function="false" hidden="true" name="IQ_ECO_METRIC_7784" vbProcedure="false">"c7784"</definedName>
    <definedName function="false" hidden="true" name="IQ_ECO_METRIC_7785" vbProcedure="false">"c7785"</definedName>
    <definedName function="false" hidden="true" name="IQ_ECO_METRIC_7786" vbProcedure="false">"c7786"</definedName>
    <definedName function="false" hidden="true" name="IQ_ECO_METRIC_7787" vbProcedure="false">"c7787"</definedName>
    <definedName function="false" hidden="true" name="IQ_ECO_METRIC_7788" vbProcedure="false">"c7788"</definedName>
    <definedName function="false" hidden="true" name="IQ_ECO_METRIC_7789" vbProcedure="false">"c7789"</definedName>
    <definedName function="false" hidden="true" name="IQ_ECO_METRIC_7790" vbProcedure="false">"c7790"</definedName>
    <definedName function="false" hidden="true" name="IQ_ECO_METRIC_7791" vbProcedure="false">"c7791"</definedName>
    <definedName function="false" hidden="true" name="IQ_ECO_METRIC_7792" vbProcedure="false">"c7792"</definedName>
    <definedName function="false" hidden="true" name="IQ_ECO_METRIC_7793" vbProcedure="false">"c7793"</definedName>
    <definedName function="false" hidden="true" name="IQ_ECO_METRIC_7794" vbProcedure="false">"c7794"</definedName>
    <definedName function="false" hidden="true" name="IQ_ECO_METRIC_7795" vbProcedure="false">"c7795"</definedName>
    <definedName function="false" hidden="true" name="IQ_ECO_METRIC_7796" vbProcedure="false">"c7796"</definedName>
    <definedName function="false" hidden="true" name="IQ_ECO_METRIC_7797" vbProcedure="false">"c7797"</definedName>
    <definedName function="false" hidden="true" name="IQ_ECO_METRIC_7798" vbProcedure="false">"c7798"</definedName>
    <definedName function="false" hidden="true" name="IQ_ECO_METRIC_7799" vbProcedure="false">"c7799"</definedName>
    <definedName function="false" hidden="true" name="IQ_ECO_METRIC_7800" vbProcedure="false">"c7800"</definedName>
    <definedName function="false" hidden="true" name="IQ_ECO_METRIC_7801" vbProcedure="false">"c7801"</definedName>
    <definedName function="false" hidden="true" name="IQ_ECO_METRIC_7802" vbProcedure="false">"c7802"</definedName>
    <definedName function="false" hidden="true" name="IQ_ECO_METRIC_7803" vbProcedure="false">"c7803"</definedName>
    <definedName function="false" hidden="true" name="IQ_ECO_METRIC_7804" vbProcedure="false">"c7804"</definedName>
    <definedName function="false" hidden="true" name="IQ_ECO_METRIC_7805" vbProcedure="false">"c7805"</definedName>
    <definedName function="false" hidden="true" name="IQ_ECO_METRIC_7806" vbProcedure="false">"c7806"</definedName>
    <definedName function="false" hidden="true" name="IQ_ECO_METRIC_7808" vbProcedure="false">"c7808"</definedName>
    <definedName function="false" hidden="true" name="IQ_ECO_METRIC_7809" vbProcedure="false">"c7809"</definedName>
    <definedName function="false" hidden="true" name="IQ_ECO_METRIC_7810" vbProcedure="false">"c7810"</definedName>
    <definedName function="false" hidden="true" name="IQ_ECO_METRIC_7812" vbProcedure="false">"c7812"</definedName>
    <definedName function="false" hidden="true" name="IQ_ECO_METRIC_7813" vbProcedure="false">"c7813"</definedName>
    <definedName function="false" hidden="true" name="IQ_ECO_METRIC_7814" vbProcedure="false">"c7814"</definedName>
    <definedName function="false" hidden="true" name="IQ_ECO_METRIC_7815" vbProcedure="false">"c7815"</definedName>
    <definedName function="false" hidden="true" name="IQ_ECO_METRIC_7816" vbProcedure="false">"c7816"</definedName>
    <definedName function="false" hidden="true" name="IQ_ECO_METRIC_7817" vbProcedure="false">"c7817"</definedName>
    <definedName function="false" hidden="true" name="IQ_ECO_METRIC_7818" vbProcedure="false">"c7818"</definedName>
    <definedName function="false" hidden="true" name="IQ_ECO_METRIC_7819" vbProcedure="false">"c7819"</definedName>
    <definedName function="false" hidden="true" name="IQ_ECO_METRIC_7820" vbProcedure="false">"c7820"</definedName>
    <definedName function="false" hidden="true" name="IQ_ECO_METRIC_7821" vbProcedure="false">"c7821"</definedName>
    <definedName function="false" hidden="true" name="IQ_ECO_METRIC_7822" vbProcedure="false">"c7822"</definedName>
    <definedName function="false" hidden="true" name="IQ_ECO_METRIC_7823" vbProcedure="false">"c7823"</definedName>
    <definedName function="false" hidden="true" name="IQ_ECO_METRIC_7824" vbProcedure="false">"c7824"</definedName>
    <definedName function="false" hidden="true" name="IQ_ECO_METRIC_7825" vbProcedure="false">"c7825"</definedName>
    <definedName function="false" hidden="true" name="IQ_ECO_METRIC_7826" vbProcedure="false">"c7826"</definedName>
    <definedName function="false" hidden="true" name="IQ_ECO_METRIC_7827" vbProcedure="false">"c7827"</definedName>
    <definedName function="false" hidden="true" name="IQ_ECO_METRIC_7828" vbProcedure="false">"c7828"</definedName>
    <definedName function="false" hidden="true" name="IQ_ECO_METRIC_7829" vbProcedure="false">"c7829"</definedName>
    <definedName function="false" hidden="true" name="IQ_ECO_METRIC_7830" vbProcedure="false">"c7830"</definedName>
    <definedName function="false" hidden="true" name="IQ_ECO_METRIC_7831" vbProcedure="false">"c7831"</definedName>
    <definedName function="false" hidden="true" name="IQ_ECO_METRIC_7832" vbProcedure="false">"c7832"</definedName>
    <definedName function="false" hidden="true" name="IQ_ECO_METRIC_7833" vbProcedure="false">"c7833"</definedName>
    <definedName function="false" hidden="true" name="IQ_ECO_METRIC_7834" vbProcedure="false">"c7834"</definedName>
    <definedName function="false" hidden="true" name="IQ_ECO_METRIC_7835" vbProcedure="false">"c7835"</definedName>
    <definedName function="false" hidden="true" name="IQ_ECO_METRIC_7836" vbProcedure="false">"c7836"</definedName>
    <definedName function="false" hidden="true" name="IQ_ECO_METRIC_7837" vbProcedure="false">"c7837"</definedName>
    <definedName function="false" hidden="true" name="IQ_ECO_METRIC_7838" vbProcedure="false">"c7838"</definedName>
    <definedName function="false" hidden="true" name="IQ_ECO_METRIC_7839" vbProcedure="false">"c7839"</definedName>
    <definedName function="false" hidden="true" name="IQ_ECO_METRIC_7840" vbProcedure="false">"c7840"</definedName>
    <definedName function="false" hidden="true" name="IQ_ECO_METRIC_7842" vbProcedure="false">"c7842"</definedName>
    <definedName function="false" hidden="true" name="IQ_ECO_METRIC_7843" vbProcedure="false">"c7843"</definedName>
    <definedName function="false" hidden="true" name="IQ_ECO_METRIC_7844" vbProcedure="false">"c7844"</definedName>
    <definedName function="false" hidden="true" name="IQ_ECO_METRIC_7845" vbProcedure="false">"c7845"</definedName>
    <definedName function="false" hidden="true" name="IQ_ECO_METRIC_7846" vbProcedure="false">"c7846"</definedName>
    <definedName function="false" hidden="true" name="IQ_ECO_METRIC_7847" vbProcedure="false">"c7847"</definedName>
    <definedName function="false" hidden="true" name="IQ_ECO_METRIC_7848" vbProcedure="false">"c7848"</definedName>
    <definedName function="false" hidden="true" name="IQ_ECO_METRIC_7849" vbProcedure="false">"c7849"</definedName>
    <definedName function="false" hidden="true" name="IQ_ECO_METRIC_7850" vbProcedure="false">"c7850"</definedName>
    <definedName function="false" hidden="true" name="IQ_ECO_METRIC_7851" vbProcedure="false">"c7851"</definedName>
    <definedName function="false" hidden="true" name="IQ_ECO_METRIC_7852" vbProcedure="false">"c7852"</definedName>
    <definedName function="false" hidden="true" name="IQ_ECO_METRIC_7853" vbProcedure="false">"c7853"</definedName>
    <definedName function="false" hidden="true" name="IQ_ECO_METRIC_7854" vbProcedure="false">"c7854"</definedName>
    <definedName function="false" hidden="true" name="IQ_ECO_METRIC_7855" vbProcedure="false">"c7855"</definedName>
    <definedName function="false" hidden="true" name="IQ_ECO_METRIC_7856" vbProcedure="false">"c7856"</definedName>
    <definedName function="false" hidden="true" name="IQ_ECO_METRIC_7857" vbProcedure="false">"c7857"</definedName>
    <definedName function="false" hidden="true" name="IQ_ECO_METRIC_7858" vbProcedure="false">"c7858"</definedName>
    <definedName function="false" hidden="true" name="IQ_ECO_METRIC_7859" vbProcedure="false">"c7859"</definedName>
    <definedName function="false" hidden="true" name="IQ_ECO_METRIC_7860" vbProcedure="false">"c7860"</definedName>
    <definedName function="false" hidden="true" name="IQ_ECO_METRIC_7861" vbProcedure="false">"c7861"</definedName>
    <definedName function="false" hidden="true" name="IQ_ECO_METRIC_7862" vbProcedure="false">"c7862"</definedName>
    <definedName function="false" hidden="true" name="IQ_ECO_METRIC_7863" vbProcedure="false">"c7863"</definedName>
    <definedName function="false" hidden="true" name="IQ_ECO_METRIC_7864" vbProcedure="false">"c7864"</definedName>
    <definedName function="false" hidden="true" name="IQ_ECO_METRIC_7865" vbProcedure="false">"c7865"</definedName>
    <definedName function="false" hidden="true" name="IQ_ECO_METRIC_7866" vbProcedure="false">"c7866"</definedName>
    <definedName function="false" hidden="true" name="IQ_ECO_METRIC_7867" vbProcedure="false">"c7867"</definedName>
    <definedName function="false" hidden="true" name="IQ_ECO_METRIC_7868" vbProcedure="false">"c7868"</definedName>
    <definedName function="false" hidden="true" name="IQ_ECO_METRIC_7868_UNUSED_UNUSED_UNUSED" vbProcedure="false">"c7868"</definedName>
    <definedName function="false" hidden="true" name="IQ_ECO_METRIC_7869" vbProcedure="false">"c7869"</definedName>
    <definedName function="false" hidden="true" name="IQ_ECO_METRIC_7870" vbProcedure="false">"c7870"</definedName>
    <definedName function="false" hidden="true" name="IQ_ECO_METRIC_7871" vbProcedure="false">"c7871"</definedName>
    <definedName function="false" hidden="true" name="IQ_ECO_METRIC_7872" vbProcedure="false">"c7872"</definedName>
    <definedName function="false" hidden="true" name="IQ_ECO_METRIC_7874" vbProcedure="false">"c7874"</definedName>
    <definedName function="false" hidden="true" name="IQ_ECO_METRIC_7875" vbProcedure="false">"c7875"</definedName>
    <definedName function="false" hidden="true" name="IQ_ECO_METRIC_7876" vbProcedure="false">"c7876"</definedName>
    <definedName function="false" hidden="true" name="IQ_ECO_METRIC_7877" vbProcedure="false">"c7877"</definedName>
    <definedName function="false" hidden="true" name="IQ_ECO_METRIC_7878" vbProcedure="false">"c7878"</definedName>
    <definedName function="false" hidden="true" name="IQ_ECO_METRIC_7880" vbProcedure="false">"c7880"</definedName>
    <definedName function="false" hidden="true" name="IQ_ECO_METRIC_7881" vbProcedure="false">"c7881"</definedName>
    <definedName function="false" hidden="true" name="IQ_ECO_METRIC_7882" vbProcedure="false">"c7882"</definedName>
    <definedName function="false" hidden="true" name="IQ_ECO_METRIC_7883" vbProcedure="false">"c7883"</definedName>
    <definedName function="false" hidden="true" name="IQ_ECO_METRIC_7884" vbProcedure="false">"c7884"</definedName>
    <definedName function="false" hidden="true" name="IQ_ECO_METRIC_7885" vbProcedure="false">"c7885"</definedName>
    <definedName function="false" hidden="true" name="IQ_ECO_METRIC_7886" vbProcedure="false">"c7886"</definedName>
    <definedName function="false" hidden="true" name="IQ_ECO_METRIC_7887" vbProcedure="false">"c7887"</definedName>
    <definedName function="false" hidden="true" name="IQ_ECO_METRIC_7888" vbProcedure="false">"c7888"</definedName>
    <definedName function="false" hidden="true" name="IQ_ECO_METRIC_7889" vbProcedure="false">"c7889"</definedName>
    <definedName function="false" hidden="true" name="IQ_ECO_METRIC_7890" vbProcedure="false">"c7890"</definedName>
    <definedName function="false" hidden="true" name="IQ_ECO_METRIC_7891" vbProcedure="false">"c7891"</definedName>
    <definedName function="false" hidden="true" name="IQ_ECO_METRIC_7892" vbProcedure="false">"c7892"</definedName>
    <definedName function="false" hidden="true" name="IQ_ECO_METRIC_7893" vbProcedure="false">"c7893"</definedName>
    <definedName function="false" hidden="true" name="IQ_ECO_METRIC_7895" vbProcedure="false">"c7895"</definedName>
    <definedName function="false" hidden="true" name="IQ_ECO_METRIC_7896" vbProcedure="false">"c7896"</definedName>
    <definedName function="false" hidden="true" name="IQ_ECO_METRIC_7897" vbProcedure="false">"c7897"</definedName>
    <definedName function="false" hidden="true" name="IQ_ECO_METRIC_7898" vbProcedure="false">"c7898"</definedName>
    <definedName function="false" hidden="true" name="IQ_ECO_METRIC_7899" vbProcedure="false">"c7899"</definedName>
    <definedName function="false" hidden="true" name="IQ_ECO_METRIC_7900" vbProcedure="false">"c7900"</definedName>
    <definedName function="false" hidden="true" name="IQ_ECO_METRIC_7901" vbProcedure="false">"c7901"</definedName>
    <definedName function="false" hidden="true" name="IQ_ECO_METRIC_7903" vbProcedure="false">"c7903"</definedName>
    <definedName function="false" hidden="true" name="IQ_ECO_METRIC_7904" vbProcedure="false">"c7904"</definedName>
    <definedName function="false" hidden="true" name="IQ_ECO_METRIC_7905" vbProcedure="false">"c7905"</definedName>
    <definedName function="false" hidden="true" name="IQ_ECO_METRIC_7906" vbProcedure="false">"c7906"</definedName>
    <definedName function="false" hidden="true" name="IQ_ECO_METRIC_7907" vbProcedure="false">"c7907"</definedName>
    <definedName function="false" hidden="true" name="IQ_ECO_METRIC_7908" vbProcedure="false">"c7908"</definedName>
    <definedName function="false" hidden="true" name="IQ_ECO_METRIC_7909" vbProcedure="false">"c7909"</definedName>
    <definedName function="false" hidden="true" name="IQ_ECO_METRIC_7910" vbProcedure="false">"c7910"</definedName>
    <definedName function="false" hidden="true" name="IQ_ECO_METRIC_7911" vbProcedure="false">"c7911"</definedName>
    <definedName function="false" hidden="true" name="IQ_ECO_METRIC_7912" vbProcedure="false">"c7912"</definedName>
    <definedName function="false" hidden="true" name="IQ_ECO_METRIC_7913" vbProcedure="false">"c7913"</definedName>
    <definedName function="false" hidden="true" name="IQ_ECO_METRIC_7914" vbProcedure="false">"c7914"</definedName>
    <definedName function="false" hidden="true" name="IQ_ECO_METRIC_7915" vbProcedure="false">"c7915"</definedName>
    <definedName function="false" hidden="true" name="IQ_ECO_METRIC_7916" vbProcedure="false">"c7916"</definedName>
    <definedName function="false" hidden="true" name="IQ_ECO_METRIC_7917" vbProcedure="false">"c7917"</definedName>
    <definedName function="false" hidden="true" name="IQ_ECO_METRIC_7918" vbProcedure="false">"c7918"</definedName>
    <definedName function="false" hidden="true" name="IQ_ECO_METRIC_7919" vbProcedure="false">"c7919"</definedName>
    <definedName function="false" hidden="true" name="IQ_ECO_METRIC_7920" vbProcedure="false">"c7920"</definedName>
    <definedName function="false" hidden="true" name="IQ_ECO_METRIC_7921" vbProcedure="false">"c7921"</definedName>
    <definedName function="false" hidden="true" name="IQ_ECO_METRIC_7922" vbProcedure="false">"c7922"</definedName>
    <definedName function="false" hidden="true" name="IQ_ECO_METRIC_7923" vbProcedure="false">"c7923"</definedName>
    <definedName function="false" hidden="true" name="IQ_ECO_METRIC_7925" vbProcedure="false">"c7925"</definedName>
    <definedName function="false" hidden="true" name="IQ_ECO_METRIC_7925_UNUSED_UNUSED_UNUSED" vbProcedure="false">"c7925"</definedName>
    <definedName function="false" hidden="true" name="IQ_ECO_METRIC_7927" vbProcedure="false">"c7927"</definedName>
    <definedName function="false" hidden="true" name="IQ_ECO_METRIC_7928" vbProcedure="false">"c7928"</definedName>
    <definedName function="false" hidden="true" name="IQ_ECO_METRIC_7929" vbProcedure="false">"c7929"</definedName>
    <definedName function="false" hidden="true" name="IQ_ECO_METRIC_7930" vbProcedure="false">"c7930"</definedName>
    <definedName function="false" hidden="true" name="IQ_ECO_METRIC_7931" vbProcedure="false">"c7931"</definedName>
    <definedName function="false" hidden="true" name="IQ_ECO_METRIC_7932" vbProcedure="false">"c7932"</definedName>
    <definedName function="false" hidden="true" name="IQ_ECO_METRIC_7933" vbProcedure="false">"c7933"</definedName>
    <definedName function="false" hidden="true" name="IQ_ECO_METRIC_7934" vbProcedure="false">"c7934"</definedName>
    <definedName function="false" hidden="true" name="IQ_ECO_METRIC_7935" vbProcedure="false">"c7935"</definedName>
    <definedName function="false" hidden="true" name="IQ_ECO_METRIC_7936" vbProcedure="false">"c7936"</definedName>
    <definedName function="false" hidden="true" name="IQ_ECO_METRIC_7937" vbProcedure="false">"c7937"</definedName>
    <definedName function="false" hidden="true" name="IQ_ECO_METRIC_7939" vbProcedure="false">"c7939"</definedName>
    <definedName function="false" hidden="true" name="IQ_ECO_METRIC_7939_UNUSED_UNUSED_UNUSED" vbProcedure="false">"c7939"</definedName>
    <definedName function="false" hidden="true" name="IQ_ECO_METRIC_7940" vbProcedure="false">"c7940"</definedName>
    <definedName function="false" hidden="true" name="IQ_ECO_METRIC_7941" vbProcedure="false">"c7941"</definedName>
    <definedName function="false" hidden="true" name="IQ_ECO_METRIC_7942" vbProcedure="false">"c7942"</definedName>
    <definedName function="false" hidden="true" name="IQ_ECO_METRIC_7943" vbProcedure="false">"c7943"</definedName>
    <definedName function="false" hidden="true" name="IQ_ECO_METRIC_7944" vbProcedure="false">"c7944"</definedName>
    <definedName function="false" hidden="true" name="IQ_ECO_METRIC_7945" vbProcedure="false">"c7945"</definedName>
    <definedName function="false" hidden="true" name="IQ_ECO_METRIC_7946" vbProcedure="false">"c7946"</definedName>
    <definedName function="false" hidden="true" name="IQ_ECO_METRIC_7947" vbProcedure="false">"c7947"</definedName>
    <definedName function="false" hidden="true" name="IQ_ECO_METRIC_7948" vbProcedure="false">"c7948"</definedName>
    <definedName function="false" hidden="true" name="IQ_ECO_METRIC_7949" vbProcedure="false">"c7949"</definedName>
    <definedName function="false" hidden="true" name="IQ_ECO_METRIC_7950" vbProcedure="false">"c7950"</definedName>
    <definedName function="false" hidden="true" name="IQ_ECO_METRIC_7951" vbProcedure="false">"c7951"</definedName>
    <definedName function="false" hidden="true" name="IQ_ECO_METRIC_7952" vbProcedure="false">"c7952"</definedName>
    <definedName function="false" hidden="true" name="IQ_ECO_METRIC_7953" vbProcedure="false">"c7953"</definedName>
    <definedName function="false" hidden="true" name="IQ_ECO_METRIC_7954" vbProcedure="false">"c7954"</definedName>
    <definedName function="false" hidden="true" name="IQ_ECO_METRIC_7955" vbProcedure="false">"c7955"</definedName>
    <definedName function="false" hidden="true" name="IQ_ECO_METRIC_7956" vbProcedure="false">"c7956"</definedName>
    <definedName function="false" hidden="true" name="IQ_ECO_METRIC_7957" vbProcedure="false">"c7957"</definedName>
    <definedName function="false" hidden="true" name="IQ_ECO_METRIC_7958" vbProcedure="false">"c7958"</definedName>
    <definedName function="false" hidden="true" name="IQ_ECO_METRIC_7959" vbProcedure="false">"c7959"</definedName>
    <definedName function="false" hidden="true" name="IQ_ECO_METRIC_7960" vbProcedure="false">"c7960"</definedName>
    <definedName function="false" hidden="true" name="IQ_ECO_METRIC_7961" vbProcedure="false">"c7961"</definedName>
    <definedName function="false" hidden="true" name="IQ_ECO_METRIC_7962" vbProcedure="false">"c7962"</definedName>
    <definedName function="false" hidden="true" name="IQ_ECO_METRIC_7963" vbProcedure="false">"c7963"</definedName>
    <definedName function="false" hidden="true" name="IQ_ECO_METRIC_7964" vbProcedure="false">"c7964"</definedName>
    <definedName function="false" hidden="true" name="IQ_ECO_METRIC_7965" vbProcedure="false">"c7965"</definedName>
    <definedName function="false" hidden="true" name="IQ_ECO_METRIC_7966" vbProcedure="false">"c7966"</definedName>
    <definedName function="false" hidden="true" name="IQ_ECO_METRIC_7967" vbProcedure="false">"c7967"</definedName>
    <definedName function="false" hidden="true" name="IQ_ECO_METRIC_7968" vbProcedure="false">"c7968"</definedName>
    <definedName function="false" hidden="true" name="IQ_ECO_METRIC_7969" vbProcedure="false">"c7969"</definedName>
    <definedName function="false" hidden="true" name="IQ_ECO_METRIC_7970" vbProcedure="false">"c7970"</definedName>
    <definedName function="false" hidden="true" name="IQ_ECO_METRIC_7971" vbProcedure="false">"c7971"</definedName>
    <definedName function="false" hidden="true" name="IQ_ECO_METRIC_7972" vbProcedure="false">"c7972"</definedName>
    <definedName function="false" hidden="true" name="IQ_ECO_METRIC_7973" vbProcedure="false">"c7973"</definedName>
    <definedName function="false" hidden="true" name="IQ_ECO_METRIC_7974" vbProcedure="false">"c7974"</definedName>
    <definedName function="false" hidden="true" name="IQ_ECO_METRIC_7975" vbProcedure="false">"c7975"</definedName>
    <definedName function="false" hidden="true" name="IQ_ECO_METRIC_7976" vbProcedure="false">"c7976"</definedName>
    <definedName function="false" hidden="true" name="IQ_ECO_METRIC_7977" vbProcedure="false">"c7977"</definedName>
    <definedName function="false" hidden="true" name="IQ_ECO_METRIC_7978" vbProcedure="false">"c7978"</definedName>
    <definedName function="false" hidden="true" name="IQ_ECO_METRIC_7979" vbProcedure="false">"c7979"</definedName>
    <definedName function="false" hidden="true" name="IQ_ECO_METRIC_7980" vbProcedure="false">"c7980"</definedName>
    <definedName function="false" hidden="true" name="IQ_ECO_METRIC_7981" vbProcedure="false">"c7981"</definedName>
    <definedName function="false" hidden="true" name="IQ_ECO_METRIC_7982" vbProcedure="false">"c7982"</definedName>
    <definedName function="false" hidden="true" name="IQ_ECO_METRIC_7983" vbProcedure="false">"c7983"</definedName>
    <definedName function="false" hidden="true" name="IQ_ECO_METRIC_7984" vbProcedure="false">"c7984"</definedName>
    <definedName function="false" hidden="true" name="IQ_ECO_METRIC_7985" vbProcedure="false">"c7985"</definedName>
    <definedName function="false" hidden="true" name="IQ_ECO_METRIC_7986" vbProcedure="false">"c7986"</definedName>
    <definedName function="false" hidden="true" name="IQ_ECO_METRIC_7987" vbProcedure="false">"c7987"</definedName>
    <definedName function="false" hidden="true" name="IQ_ECO_METRIC_7988" vbProcedure="false">"c7988"</definedName>
    <definedName function="false" hidden="true" name="IQ_ECO_METRIC_7989" vbProcedure="false">"c7989"</definedName>
    <definedName function="false" hidden="true" name="IQ_ECO_METRIC_7990" vbProcedure="false">"c7990"</definedName>
    <definedName function="false" hidden="true" name="IQ_ECO_METRIC_7991" vbProcedure="false">"c7991"</definedName>
    <definedName function="false" hidden="true" name="IQ_ECO_METRIC_7992" vbProcedure="false">"c7992"</definedName>
    <definedName function="false" hidden="true" name="IQ_ECO_METRIC_7993" vbProcedure="false">"c7993"</definedName>
    <definedName function="false" hidden="true" name="IQ_ECO_METRIC_7994" vbProcedure="false">"c7994"</definedName>
    <definedName function="false" hidden="true" name="IQ_ECO_METRIC_7995" vbProcedure="false">"c7995"</definedName>
    <definedName function="false" hidden="true" name="IQ_ECO_METRIC_7996" vbProcedure="false">"c7996"</definedName>
    <definedName function="false" hidden="true" name="IQ_ECO_METRIC_7996_UNUSED_UNUSED_UNUSED" vbProcedure="false">"c7996"</definedName>
    <definedName function="false" hidden="true" name="IQ_ECO_METRIC_7997" vbProcedure="false">"c7997"</definedName>
    <definedName function="false" hidden="true" name="IQ_ECO_METRIC_7997_UNUSED_UNUSED_UNUSED" vbProcedure="false">"c7997"</definedName>
    <definedName function="false" hidden="true" name="IQ_ECO_METRIC_7999" vbProcedure="false">"c7999"</definedName>
    <definedName function="false" hidden="true" name="IQ_ECO_METRIC_8000" vbProcedure="false">"c8000"</definedName>
    <definedName function="false" hidden="true" name="IQ_ECO_METRIC_8001" vbProcedure="false">"c8001"</definedName>
    <definedName function="false" hidden="true" name="IQ_ECO_METRIC_8002" vbProcedure="false">"c8002"</definedName>
    <definedName function="false" hidden="true" name="IQ_ECO_METRIC_8003" vbProcedure="false">"c8003"</definedName>
    <definedName function="false" hidden="true" name="IQ_ECO_METRIC_8004" vbProcedure="false">"c8004"</definedName>
    <definedName function="false" hidden="true" name="IQ_ECO_METRIC_8005" vbProcedure="false">"c8005"</definedName>
    <definedName function="false" hidden="true" name="IQ_ECO_METRIC_8006" vbProcedure="false">"c8006"</definedName>
    <definedName function="false" hidden="true" name="IQ_ECO_METRIC_8007" vbProcedure="false">"c8007"</definedName>
    <definedName function="false" hidden="true" name="IQ_ECO_METRIC_8008" vbProcedure="false">"c8008"</definedName>
    <definedName function="false" hidden="true" name="IQ_ECO_METRIC_8009" vbProcedure="false">"c8009"</definedName>
    <definedName function="false" hidden="true" name="IQ_ECO_METRIC_8010" vbProcedure="false">"c8010"</definedName>
    <definedName function="false" hidden="true" name="IQ_ECO_METRIC_8011" vbProcedure="false">"c8011"</definedName>
    <definedName function="false" hidden="true" name="IQ_ECO_METRIC_8012" vbProcedure="false">"c8012"</definedName>
    <definedName function="false" hidden="true" name="IQ_ECO_METRIC_8013" vbProcedure="false">"c8013"</definedName>
    <definedName function="false" hidden="true" name="IQ_ECO_METRIC_8014" vbProcedure="false">"c8014"</definedName>
    <definedName function="false" hidden="true" name="IQ_ECO_METRIC_8015" vbProcedure="false">"c8015"</definedName>
    <definedName function="false" hidden="true" name="IQ_ECO_METRIC_8016" vbProcedure="false">"c8016"</definedName>
    <definedName function="false" hidden="true" name="IQ_ECO_METRIC_8017" vbProcedure="false">"c8017"</definedName>
    <definedName function="false" hidden="true" name="IQ_ECO_METRIC_8018" vbProcedure="false">"c8018"</definedName>
    <definedName function="false" hidden="true" name="IQ_ECO_METRIC_8019" vbProcedure="false">"c8019"</definedName>
    <definedName function="false" hidden="true" name="IQ_ECO_METRIC_8020" vbProcedure="false">"c8020"</definedName>
    <definedName function="false" hidden="true" name="IQ_ECO_METRIC_8021" vbProcedure="false">"c8021"</definedName>
    <definedName function="false" hidden="true" name="IQ_ECO_METRIC_8022" vbProcedure="false">"c8022"</definedName>
    <definedName function="false" hidden="true" name="IQ_ECO_METRIC_8023" vbProcedure="false">"c8023"</definedName>
    <definedName function="false" hidden="true" name="IQ_ECO_METRIC_8024" vbProcedure="false">"c8024"</definedName>
    <definedName function="false" hidden="true" name="IQ_ECO_METRIC_8025" vbProcedure="false">"c8025"</definedName>
    <definedName function="false" hidden="true" name="IQ_ECO_METRIC_8026" vbProcedure="false">"c8026"</definedName>
    <definedName function="false" hidden="true" name="IQ_ECO_METRIC_8028" vbProcedure="false">"c8028"</definedName>
    <definedName function="false" hidden="true" name="IQ_ECO_METRIC_8029" vbProcedure="false">"c8029"</definedName>
    <definedName function="false" hidden="true" name="IQ_ECO_METRIC_8030" vbProcedure="false">"c8030"</definedName>
    <definedName function="false" hidden="true" name="IQ_ECO_METRIC_8032" vbProcedure="false">"c8032"</definedName>
    <definedName function="false" hidden="true" name="IQ_ECO_METRIC_8033" vbProcedure="false">"c8033"</definedName>
    <definedName function="false" hidden="true" name="IQ_ECO_METRIC_8034" vbProcedure="false">"c8034"</definedName>
    <definedName function="false" hidden="true" name="IQ_ECO_METRIC_8035" vbProcedure="false">"c8035"</definedName>
    <definedName function="false" hidden="true" name="IQ_ECO_METRIC_8036" vbProcedure="false">"c8036"</definedName>
    <definedName function="false" hidden="true" name="IQ_ECO_METRIC_8037" vbProcedure="false">"c8037"</definedName>
    <definedName function="false" hidden="true" name="IQ_ECO_METRIC_8038" vbProcedure="false">"c8038"</definedName>
    <definedName function="false" hidden="true" name="IQ_ECO_METRIC_8039" vbProcedure="false">"c8039"</definedName>
    <definedName function="false" hidden="true" name="IQ_ECO_METRIC_8040" vbProcedure="false">"c8040"</definedName>
    <definedName function="false" hidden="true" name="IQ_ECO_METRIC_8041" vbProcedure="false">"c8041"</definedName>
    <definedName function="false" hidden="true" name="IQ_ECO_METRIC_8042" vbProcedure="false">"c8042"</definedName>
    <definedName function="false" hidden="true" name="IQ_ECO_METRIC_8043" vbProcedure="false">"c8043"</definedName>
    <definedName function="false" hidden="true" name="IQ_ECO_METRIC_8044" vbProcedure="false">"c8044"</definedName>
    <definedName function="false" hidden="true" name="IQ_ECO_METRIC_8045" vbProcedure="false">"c8045"</definedName>
    <definedName function="false" hidden="true" name="IQ_ECO_METRIC_8046" vbProcedure="false">"c8046"</definedName>
    <definedName function="false" hidden="true" name="IQ_ECO_METRIC_8047" vbProcedure="false">"c8047"</definedName>
    <definedName function="false" hidden="true" name="IQ_ECO_METRIC_8048" vbProcedure="false">"c8048"</definedName>
    <definedName function="false" hidden="true" name="IQ_ECO_METRIC_8049" vbProcedure="false">"c8049"</definedName>
    <definedName function="false" hidden="true" name="IQ_ECO_METRIC_8050" vbProcedure="false">"c8050"</definedName>
    <definedName function="false" hidden="true" name="IQ_ECO_METRIC_8051" vbProcedure="false">"c8051"</definedName>
    <definedName function="false" hidden="true" name="IQ_ECO_METRIC_8052" vbProcedure="false">"c8052"</definedName>
    <definedName function="false" hidden="true" name="IQ_ECO_METRIC_8053" vbProcedure="false">"c8053"</definedName>
    <definedName function="false" hidden="true" name="IQ_ECO_METRIC_8054" vbProcedure="false">"c8054"</definedName>
    <definedName function="false" hidden="true" name="IQ_ECO_METRIC_8055" vbProcedure="false">"c8055"</definedName>
    <definedName function="false" hidden="true" name="IQ_ECO_METRIC_8056" vbProcedure="false">"c8056"</definedName>
    <definedName function="false" hidden="true" name="IQ_ECO_METRIC_8057" vbProcedure="false">"c8057"</definedName>
    <definedName function="false" hidden="true" name="IQ_ECO_METRIC_8058" vbProcedure="false">"c8058"</definedName>
    <definedName function="false" hidden="true" name="IQ_ECO_METRIC_8059" vbProcedure="false">"c8059"</definedName>
    <definedName function="false" hidden="true" name="IQ_ECO_METRIC_8060" vbProcedure="false">"c8060"</definedName>
    <definedName function="false" hidden="true" name="IQ_ECO_METRIC_8062" vbProcedure="false">"c8062"</definedName>
    <definedName function="false" hidden="true" name="IQ_ECO_METRIC_8063" vbProcedure="false">"c8063"</definedName>
    <definedName function="false" hidden="true" name="IQ_ECO_METRIC_8064" vbProcedure="false">"c8064"</definedName>
    <definedName function="false" hidden="true" name="IQ_ECO_METRIC_8065" vbProcedure="false">"c8065"</definedName>
    <definedName function="false" hidden="true" name="IQ_ECO_METRIC_8066" vbProcedure="false">"c8066"</definedName>
    <definedName function="false" hidden="true" name="IQ_ECO_METRIC_8067" vbProcedure="false">"c8067"</definedName>
    <definedName function="false" hidden="true" name="IQ_ECO_METRIC_8068" vbProcedure="false">"c8068"</definedName>
    <definedName function="false" hidden="true" name="IQ_ECO_METRIC_8069" vbProcedure="false">"c8069"</definedName>
    <definedName function="false" hidden="true" name="IQ_ECO_METRIC_8070" vbProcedure="false">"c8070"</definedName>
    <definedName function="false" hidden="true" name="IQ_ECO_METRIC_8071" vbProcedure="false">"c8071"</definedName>
    <definedName function="false" hidden="true" name="IQ_ECO_METRIC_8072" vbProcedure="false">"c8072"</definedName>
    <definedName function="false" hidden="true" name="IQ_ECO_METRIC_8073" vbProcedure="false">"c8073"</definedName>
    <definedName function="false" hidden="true" name="IQ_ECO_METRIC_8074" vbProcedure="false">"c8074"</definedName>
    <definedName function="false" hidden="true" name="IQ_ECO_METRIC_8075" vbProcedure="false">"c8075"</definedName>
    <definedName function="false" hidden="true" name="IQ_ECO_METRIC_8076" vbProcedure="false">"c8076"</definedName>
    <definedName function="false" hidden="true" name="IQ_ECO_METRIC_8077" vbProcedure="false">"c8077"</definedName>
    <definedName function="false" hidden="true" name="IQ_ECO_METRIC_8078" vbProcedure="false">"c8078"</definedName>
    <definedName function="false" hidden="true" name="IQ_ECO_METRIC_8079" vbProcedure="false">"c8079"</definedName>
    <definedName function="false" hidden="true" name="IQ_ECO_METRIC_8080" vbProcedure="false">"c8080"</definedName>
    <definedName function="false" hidden="true" name="IQ_ECO_METRIC_8081" vbProcedure="false">"c8081"</definedName>
    <definedName function="false" hidden="true" name="IQ_ECO_METRIC_8082" vbProcedure="false">"c8082"</definedName>
    <definedName function="false" hidden="true" name="IQ_ECO_METRIC_8083" vbProcedure="false">"c8083"</definedName>
    <definedName function="false" hidden="true" name="IQ_ECO_METRIC_8084" vbProcedure="false">"c8084"</definedName>
    <definedName function="false" hidden="true" name="IQ_ECO_METRIC_8085" vbProcedure="false">"c8085"</definedName>
    <definedName function="false" hidden="true" name="IQ_ECO_METRIC_8086" vbProcedure="false">"c8086"</definedName>
    <definedName function="false" hidden="true" name="IQ_ECO_METRIC_8087" vbProcedure="false">"c8087"</definedName>
    <definedName function="false" hidden="true" name="IQ_ECO_METRIC_8088" vbProcedure="false">"c8088"</definedName>
    <definedName function="false" hidden="true" name="IQ_ECO_METRIC_8088_UNUSED_UNUSED_UNUSED" vbProcedure="false">"c8088"</definedName>
    <definedName function="false" hidden="true" name="IQ_ECO_METRIC_8089" vbProcedure="false">"c8089"</definedName>
    <definedName function="false" hidden="true" name="IQ_ECO_METRIC_8090" vbProcedure="false">"c8090"</definedName>
    <definedName function="false" hidden="true" name="IQ_ECO_METRIC_8091" vbProcedure="false">"c8091"</definedName>
    <definedName function="false" hidden="true" name="IQ_ECO_METRIC_8092" vbProcedure="false">"c8092"</definedName>
    <definedName function="false" hidden="true" name="IQ_ECO_METRIC_8094" vbProcedure="false">"c8094"</definedName>
    <definedName function="false" hidden="true" name="IQ_ECO_METRIC_8095" vbProcedure="false">"c8095"</definedName>
    <definedName function="false" hidden="true" name="IQ_ECO_METRIC_8096" vbProcedure="false">"c8096"</definedName>
    <definedName function="false" hidden="true" name="IQ_ECO_METRIC_8097" vbProcedure="false">"c8097"</definedName>
    <definedName function="false" hidden="true" name="IQ_ECO_METRIC_8098" vbProcedure="false">"c8098"</definedName>
    <definedName function="false" hidden="true" name="IQ_ECO_METRIC_8100" vbProcedure="false">"c8100"</definedName>
    <definedName function="false" hidden="true" name="IQ_ECO_METRIC_8101" vbProcedure="false">"c8101"</definedName>
    <definedName function="false" hidden="true" name="IQ_ECO_METRIC_8102" vbProcedure="false">"c8102"</definedName>
    <definedName function="false" hidden="true" name="IQ_ECO_METRIC_8103" vbProcedure="false">"c8103"</definedName>
    <definedName function="false" hidden="true" name="IQ_ECO_METRIC_8104" vbProcedure="false">"c8104"</definedName>
    <definedName function="false" hidden="true" name="IQ_ECO_METRIC_8105" vbProcedure="false">"c8105"</definedName>
    <definedName function="false" hidden="true" name="IQ_ECO_METRIC_8106" vbProcedure="false">"c8106"</definedName>
    <definedName function="false" hidden="true" name="IQ_ECO_METRIC_8107" vbProcedure="false">"c8107"</definedName>
    <definedName function="false" hidden="true" name="IQ_ECO_METRIC_8108" vbProcedure="false">"c8108"</definedName>
    <definedName function="false" hidden="true" name="IQ_ECO_METRIC_8109" vbProcedure="false">"c8109"</definedName>
    <definedName function="false" hidden="true" name="IQ_ECO_METRIC_8110" vbProcedure="false">"c8110"</definedName>
    <definedName function="false" hidden="true" name="IQ_ECO_METRIC_8111" vbProcedure="false">"c8111"</definedName>
    <definedName function="false" hidden="true" name="IQ_ECO_METRIC_8112" vbProcedure="false">"c8112"</definedName>
    <definedName function="false" hidden="true" name="IQ_ECO_METRIC_8113" vbProcedure="false">"c8113"</definedName>
    <definedName function="false" hidden="true" name="IQ_ECO_METRIC_8115" vbProcedure="false">"c8115"</definedName>
    <definedName function="false" hidden="true" name="IQ_ECO_METRIC_8116" vbProcedure="false">"c8116"</definedName>
    <definedName function="false" hidden="true" name="IQ_ECO_METRIC_8117" vbProcedure="false">"c8117"</definedName>
    <definedName function="false" hidden="true" name="IQ_ECO_METRIC_8118" vbProcedure="false">"c8118"</definedName>
    <definedName function="false" hidden="true" name="IQ_ECO_METRIC_8119" vbProcedure="false">"c8119"</definedName>
    <definedName function="false" hidden="true" name="IQ_ECO_METRIC_8120" vbProcedure="false">"c8120"</definedName>
    <definedName function="false" hidden="true" name="IQ_ECO_METRIC_8121" vbProcedure="false">"c8121"</definedName>
    <definedName function="false" hidden="true" name="IQ_ECO_METRIC_8123" vbProcedure="false">"c8123"</definedName>
    <definedName function="false" hidden="true" name="IQ_ECO_METRIC_8124" vbProcedure="false">"c8124"</definedName>
    <definedName function="false" hidden="true" name="IQ_ECO_METRIC_8125" vbProcedure="false">"c8125"</definedName>
    <definedName function="false" hidden="true" name="IQ_ECO_METRIC_8126" vbProcedure="false">"c8126"</definedName>
    <definedName function="false" hidden="true" name="IQ_ECO_METRIC_8127" vbProcedure="false">"c8127"</definedName>
    <definedName function="false" hidden="true" name="IQ_ECO_METRIC_8128" vbProcedure="false">"c8128"</definedName>
    <definedName function="false" hidden="true" name="IQ_ECO_METRIC_8129" vbProcedure="false">"c8129"</definedName>
    <definedName function="false" hidden="true" name="IQ_ECO_METRIC_8130" vbProcedure="false">"c8130"</definedName>
    <definedName function="false" hidden="true" name="IQ_ECO_METRIC_8131" vbProcedure="false">"c8131"</definedName>
    <definedName function="false" hidden="true" name="IQ_ECO_METRIC_8132" vbProcedure="false">"c8132"</definedName>
    <definedName function="false" hidden="true" name="IQ_ECO_METRIC_8133" vbProcedure="false">"c8133"</definedName>
    <definedName function="false" hidden="true" name="IQ_ECO_METRIC_8134" vbProcedure="false">"c8134"</definedName>
    <definedName function="false" hidden="true" name="IQ_ECO_METRIC_8135" vbProcedure="false">"c8135"</definedName>
    <definedName function="false" hidden="true" name="IQ_ECO_METRIC_8136" vbProcedure="false">"c8136"</definedName>
    <definedName function="false" hidden="true" name="IQ_ECO_METRIC_8137" vbProcedure="false">"c8137"</definedName>
    <definedName function="false" hidden="true" name="IQ_ECO_METRIC_8138" vbProcedure="false">"c8138"</definedName>
    <definedName function="false" hidden="true" name="IQ_ECO_METRIC_8139" vbProcedure="false">"c8139"</definedName>
    <definedName function="false" hidden="true" name="IQ_ECO_METRIC_8140" vbProcedure="false">"c8140"</definedName>
    <definedName function="false" hidden="true" name="IQ_ECO_METRIC_8141" vbProcedure="false">"c8141"</definedName>
    <definedName function="false" hidden="true" name="IQ_ECO_METRIC_8142" vbProcedure="false">"c8142"</definedName>
    <definedName function="false" hidden="true" name="IQ_ECO_METRIC_8143" vbProcedure="false">"c8143"</definedName>
    <definedName function="false" hidden="true" name="IQ_ECO_METRIC_8145" vbProcedure="false">"c8145"</definedName>
    <definedName function="false" hidden="true" name="IQ_ECO_METRIC_8145_UNUSED_UNUSED_UNUSED" vbProcedure="false">"c8145"</definedName>
    <definedName function="false" hidden="true" name="IQ_ECO_METRIC_8147" vbProcedure="false">"c8147"</definedName>
    <definedName function="false" hidden="true" name="IQ_ECO_METRIC_8148" vbProcedure="false">"c8148"</definedName>
    <definedName function="false" hidden="true" name="IQ_ECO_METRIC_8149" vbProcedure="false">"c8149"</definedName>
    <definedName function="false" hidden="true" name="IQ_ECO_METRIC_8150" vbProcedure="false">"c8150"</definedName>
    <definedName function="false" hidden="true" name="IQ_ECO_METRIC_8152" vbProcedure="false">"c8152"</definedName>
    <definedName function="false" hidden="true" name="IQ_ECO_METRIC_8153" vbProcedure="false">"c8153"</definedName>
    <definedName function="false" hidden="true" name="IQ_ECO_METRIC_8154" vbProcedure="false">"c8154"</definedName>
    <definedName function="false" hidden="true" name="IQ_ECO_METRIC_8155" vbProcedure="false">"c8155"</definedName>
    <definedName function="false" hidden="true" name="IQ_ECO_METRIC_8156" vbProcedure="false">"c8156"</definedName>
    <definedName function="false" hidden="true" name="IQ_ECO_METRIC_8157" vbProcedure="false">"c8157"</definedName>
    <definedName function="false" hidden="true" name="IQ_ECO_METRIC_8159" vbProcedure="false">"c8159"</definedName>
    <definedName function="false" hidden="true" name="IQ_ECO_METRIC_8159_UNUSED_UNUSED_UNUSED" vbProcedure="false">"c8159"</definedName>
    <definedName function="false" hidden="true" name="IQ_ECO_METRIC_8160" vbProcedure="false">"c8160"</definedName>
    <definedName function="false" hidden="true" name="IQ_ECO_METRIC_8161" vbProcedure="false">"c8161"</definedName>
    <definedName function="false" hidden="true" name="IQ_ECO_METRIC_8162" vbProcedure="false">"c8162"</definedName>
    <definedName function="false" hidden="true" name="IQ_ECO_METRIC_8163" vbProcedure="false">"c8163"</definedName>
    <definedName function="false" hidden="true" name="IQ_ECO_METRIC_8164" vbProcedure="false">"c8164"</definedName>
    <definedName function="false" hidden="true" name="IQ_ECO_METRIC_8165" vbProcedure="false">"c8165"</definedName>
    <definedName function="false" hidden="true" name="IQ_ECO_METRIC_8166" vbProcedure="false">"c8166"</definedName>
    <definedName function="false" hidden="true" name="IQ_ECO_METRIC_8167" vbProcedure="false">"c8167"</definedName>
    <definedName function="false" hidden="true" name="IQ_ECO_METRIC_8168" vbProcedure="false">"c8168"</definedName>
    <definedName function="false" hidden="true" name="IQ_ECO_METRIC_8169" vbProcedure="false">"c8169"</definedName>
    <definedName function="false" hidden="true" name="IQ_ECO_METRIC_8170" vbProcedure="false">"c8170"</definedName>
    <definedName function="false" hidden="true" name="IQ_ECO_METRIC_8171" vbProcedure="false">"c8171"</definedName>
    <definedName function="false" hidden="true" name="IQ_ECO_METRIC_8172" vbProcedure="false">"c8172"</definedName>
    <definedName function="false" hidden="true" name="IQ_ECO_METRIC_8173" vbProcedure="false">"c8173"</definedName>
    <definedName function="false" hidden="true" name="IQ_ECO_METRIC_8174" vbProcedure="false">"c8174"</definedName>
    <definedName function="false" hidden="true" name="IQ_ECO_METRIC_8175" vbProcedure="false">"c8175"</definedName>
    <definedName function="false" hidden="true" name="IQ_ECO_METRIC_8176" vbProcedure="false">"c8176"</definedName>
    <definedName function="false" hidden="true" name="IQ_ECO_METRIC_8177" vbProcedure="false">"c8177"</definedName>
    <definedName function="false" hidden="true" name="IQ_ECO_METRIC_8178" vbProcedure="false">"c8178"</definedName>
    <definedName function="false" hidden="true" name="IQ_ECO_METRIC_8179" vbProcedure="false">"c8179"</definedName>
    <definedName function="false" hidden="true" name="IQ_ECO_METRIC_8180" vbProcedure="false">"c8180"</definedName>
    <definedName function="false" hidden="true" name="IQ_ECO_METRIC_8181" vbProcedure="false">"c8181"</definedName>
    <definedName function="false" hidden="true" name="IQ_ECO_METRIC_8182" vbProcedure="false">"c8182"</definedName>
    <definedName function="false" hidden="true" name="IQ_ECO_METRIC_8183" vbProcedure="false">"c8183"</definedName>
    <definedName function="false" hidden="true" name="IQ_ECO_METRIC_8184" vbProcedure="false">"c8184"</definedName>
    <definedName function="false" hidden="true" name="IQ_ECO_METRIC_8185" vbProcedure="false">"c8185"</definedName>
    <definedName function="false" hidden="true" name="IQ_ECO_METRIC_8186" vbProcedure="false">"c8186"</definedName>
    <definedName function="false" hidden="true" name="IQ_ECO_METRIC_8187" vbProcedure="false">"c8187"</definedName>
    <definedName function="false" hidden="true" name="IQ_ECO_METRIC_8188" vbProcedure="false">"c8188"</definedName>
    <definedName function="false" hidden="true" name="IQ_ECO_METRIC_8189" vbProcedure="false">"c8189"</definedName>
    <definedName function="false" hidden="true" name="IQ_ECO_METRIC_8190" vbProcedure="false">"c8190"</definedName>
    <definedName function="false" hidden="true" name="IQ_ECO_METRIC_8191" vbProcedure="false">"c8191"</definedName>
    <definedName function="false" hidden="true" name="IQ_ECO_METRIC_8192" vbProcedure="false">"c8192"</definedName>
    <definedName function="false" hidden="true" name="IQ_ECO_METRIC_8193" vbProcedure="false">"c8193"</definedName>
    <definedName function="false" hidden="true" name="IQ_ECO_METRIC_8194" vbProcedure="false">"c8194"</definedName>
    <definedName function="false" hidden="true" name="IQ_ECO_METRIC_8195" vbProcedure="false">"c8195"</definedName>
    <definedName function="false" hidden="true" name="IQ_ECO_METRIC_8196" vbProcedure="false">"c8196"</definedName>
    <definedName function="false" hidden="true" name="IQ_ECO_METRIC_8197" vbProcedure="false">"c8197"</definedName>
    <definedName function="false" hidden="true" name="IQ_ECO_METRIC_8198" vbProcedure="false">"c8198"</definedName>
    <definedName function="false" hidden="true" name="IQ_ECO_METRIC_8199" vbProcedure="false">"c8199"</definedName>
    <definedName function="false" hidden="true" name="IQ_ECO_METRIC_8200" vbProcedure="false">"c8200"</definedName>
    <definedName function="false" hidden="true" name="IQ_ECO_METRIC_8201" vbProcedure="false">"c8201"</definedName>
    <definedName function="false" hidden="true" name="IQ_ECO_METRIC_8202" vbProcedure="false">"c8202"</definedName>
    <definedName function="false" hidden="true" name="IQ_ECO_METRIC_8203" vbProcedure="false">"c8203"</definedName>
    <definedName function="false" hidden="true" name="IQ_ECO_METRIC_8204" vbProcedure="false">"c8204"</definedName>
    <definedName function="false" hidden="true" name="IQ_ECO_METRIC_8205" vbProcedure="false">"c8205"</definedName>
    <definedName function="false" hidden="true" name="IQ_ECO_METRIC_8206" vbProcedure="false">"c8206"</definedName>
    <definedName function="false" hidden="true" name="IQ_ECO_METRIC_8207" vbProcedure="false">"c8207"</definedName>
    <definedName function="false" hidden="true" name="IQ_ECO_METRIC_8208" vbProcedure="false">"c8208"</definedName>
    <definedName function="false" hidden="true" name="IQ_ECO_METRIC_8209" vbProcedure="false">"c8209"</definedName>
    <definedName function="false" hidden="true" name="IQ_ECO_METRIC_8210" vbProcedure="false">"c8210"</definedName>
    <definedName function="false" hidden="true" name="IQ_ECO_METRIC_8211" vbProcedure="false">"c8211"</definedName>
    <definedName function="false" hidden="true" name="IQ_ECO_METRIC_8212" vbProcedure="false">"c8212"</definedName>
    <definedName function="false" hidden="true" name="IQ_ECO_METRIC_8213" vbProcedure="false">"c8213"</definedName>
    <definedName function="false" hidden="true" name="IQ_ECO_METRIC_8214" vbProcedure="false">"c8214"</definedName>
    <definedName function="false" hidden="true" name="IQ_ECO_METRIC_8215" vbProcedure="false">"c8215"</definedName>
    <definedName function="false" hidden="true" name="IQ_ECO_METRIC_8216" vbProcedure="false">"c8216"</definedName>
    <definedName function="false" hidden="true" name="IQ_ECO_METRIC_8216_UNUSED_UNUSED_UNUSED" vbProcedure="false">"c8216"</definedName>
    <definedName function="false" hidden="true" name="IQ_ECO_METRIC_8217" vbProcedure="false">"c8217"</definedName>
    <definedName function="false" hidden="true" name="IQ_ECO_METRIC_8217_UNUSED_UNUSED_UNUSED" vbProcedure="false">"c8217"</definedName>
    <definedName function="false" hidden="true" name="IQ_ECO_METRIC_8219" vbProcedure="false">"c8219"</definedName>
    <definedName function="false" hidden="true" name="IQ_ECO_METRIC_8221" vbProcedure="false">"c8221"</definedName>
    <definedName function="false" hidden="true" name="IQ_ECO_METRIC_8222" vbProcedure="false">"c8222"</definedName>
    <definedName function="false" hidden="true" name="IQ_ECO_METRIC_8223" vbProcedure="false">"c8223"</definedName>
    <definedName function="false" hidden="true" name="IQ_ECO_METRIC_8224" vbProcedure="false">"c8224"</definedName>
    <definedName function="false" hidden="true" name="IQ_ECO_METRIC_8225" vbProcedure="false">"c8225"</definedName>
    <definedName function="false" hidden="true" name="IQ_ECO_METRIC_8226" vbProcedure="false">"c8226"</definedName>
    <definedName function="false" hidden="true" name="IQ_ECO_METRIC_8227" vbProcedure="false">"c8227"</definedName>
    <definedName function="false" hidden="true" name="IQ_ECO_METRIC_8228" vbProcedure="false">"c8228"</definedName>
    <definedName function="false" hidden="true" name="IQ_ECO_METRIC_8229" vbProcedure="false">"c8229"</definedName>
    <definedName function="false" hidden="true" name="IQ_ECO_METRIC_8230" vbProcedure="false">"c8230"</definedName>
    <definedName function="false" hidden="true" name="IQ_ECO_METRIC_8231" vbProcedure="false">"c8231"</definedName>
    <definedName function="false" hidden="true" name="IQ_ECO_METRIC_8232" vbProcedure="false">"c8232"</definedName>
    <definedName function="false" hidden="true" name="IQ_ECO_METRIC_8233" vbProcedure="false">"c8233"</definedName>
    <definedName function="false" hidden="true" name="IQ_ECO_METRIC_8234" vbProcedure="false">"c8234"</definedName>
    <definedName function="false" hidden="true" name="IQ_ECO_METRIC_8235" vbProcedure="false">"c8235"</definedName>
    <definedName function="false" hidden="true" name="IQ_ECO_METRIC_8236" vbProcedure="false">"c8236"</definedName>
    <definedName function="false" hidden="true" name="IQ_ECO_METRIC_8237" vbProcedure="false">"c8237"</definedName>
    <definedName function="false" hidden="true" name="IQ_ECO_METRIC_8238" vbProcedure="false">"c8238"</definedName>
    <definedName function="false" hidden="true" name="IQ_ECO_METRIC_8239" vbProcedure="false">"c8239"</definedName>
    <definedName function="false" hidden="true" name="IQ_ECO_METRIC_8240" vbProcedure="false">"c8240"</definedName>
    <definedName function="false" hidden="true" name="IQ_ECO_METRIC_8241" vbProcedure="false">"c8241"</definedName>
    <definedName function="false" hidden="true" name="IQ_ECO_METRIC_8242" vbProcedure="false">"c8242"</definedName>
    <definedName function="false" hidden="true" name="IQ_ECO_METRIC_8243" vbProcedure="false">"c8243"</definedName>
    <definedName function="false" hidden="true" name="IQ_ECO_METRIC_8244" vbProcedure="false">"c8244"</definedName>
    <definedName function="false" hidden="true" name="IQ_ECO_METRIC_8245" vbProcedure="false">"c8245"</definedName>
    <definedName function="false" hidden="true" name="IQ_ECO_METRIC_8246" vbProcedure="false">"c8246"</definedName>
    <definedName function="false" hidden="true" name="IQ_ECO_METRIC_8248" vbProcedure="false">"c8248"</definedName>
    <definedName function="false" hidden="true" name="IQ_ECO_METRIC_8249" vbProcedure="false">"c8249"</definedName>
    <definedName function="false" hidden="true" name="IQ_ECO_METRIC_8250" vbProcedure="false">"c8250"</definedName>
    <definedName function="false" hidden="true" name="IQ_ECO_METRIC_8252" vbProcedure="false">"c8252"</definedName>
    <definedName function="false" hidden="true" name="IQ_ECO_METRIC_8253" vbProcedure="false">"c8253"</definedName>
    <definedName function="false" hidden="true" name="IQ_ECO_METRIC_8254" vbProcedure="false">"c8254"</definedName>
    <definedName function="false" hidden="true" name="IQ_ECO_METRIC_8255" vbProcedure="false">"c8255"</definedName>
    <definedName function="false" hidden="true" name="IQ_ECO_METRIC_8256" vbProcedure="false">"c8256"</definedName>
    <definedName function="false" hidden="true" name="IQ_ECO_METRIC_8257" vbProcedure="false">"c8257"</definedName>
    <definedName function="false" hidden="true" name="IQ_ECO_METRIC_8258" vbProcedure="false">"c8258"</definedName>
    <definedName function="false" hidden="true" name="IQ_ECO_METRIC_8259" vbProcedure="false">"c8259"</definedName>
    <definedName function="false" hidden="true" name="IQ_ECO_METRIC_8260" vbProcedure="false">"c8260"</definedName>
    <definedName function="false" hidden="true" name="IQ_ECO_METRIC_8261" vbProcedure="false">"c8261"</definedName>
    <definedName function="false" hidden="true" name="IQ_ECO_METRIC_8262" vbProcedure="false">"c8262"</definedName>
    <definedName function="false" hidden="true" name="IQ_ECO_METRIC_8263" vbProcedure="false">"c8263"</definedName>
    <definedName function="false" hidden="true" name="IQ_ECO_METRIC_8264" vbProcedure="false">"c8264"</definedName>
    <definedName function="false" hidden="true" name="IQ_ECO_METRIC_8265" vbProcedure="false">"c8265"</definedName>
    <definedName function="false" hidden="true" name="IQ_ECO_METRIC_8266" vbProcedure="false">"c8266"</definedName>
    <definedName function="false" hidden="true" name="IQ_ECO_METRIC_8267" vbProcedure="false">"c8267"</definedName>
    <definedName function="false" hidden="true" name="IQ_ECO_METRIC_8268" vbProcedure="false">"c8268"</definedName>
    <definedName function="false" hidden="true" name="IQ_ECO_METRIC_8269" vbProcedure="false">"c8269"</definedName>
    <definedName function="false" hidden="true" name="IQ_ECO_METRIC_8270" vbProcedure="false">"c8270"</definedName>
    <definedName function="false" hidden="true" name="IQ_ECO_METRIC_8271" vbProcedure="false">"c8271"</definedName>
    <definedName function="false" hidden="true" name="IQ_ECO_METRIC_8272" vbProcedure="false">"c8272"</definedName>
    <definedName function="false" hidden="true" name="IQ_ECO_METRIC_8273" vbProcedure="false">"c8273"</definedName>
    <definedName function="false" hidden="true" name="IQ_ECO_METRIC_8274" vbProcedure="false">"c8274"</definedName>
    <definedName function="false" hidden="true" name="IQ_ECO_METRIC_8275" vbProcedure="false">"c8275"</definedName>
    <definedName function="false" hidden="true" name="IQ_ECO_METRIC_8276" vbProcedure="false">"c8276"</definedName>
    <definedName function="false" hidden="true" name="IQ_ECO_METRIC_8277" vbProcedure="false">"c8277"</definedName>
    <definedName function="false" hidden="true" name="IQ_ECO_METRIC_8278" vbProcedure="false">"c8278"</definedName>
    <definedName function="false" hidden="true" name="IQ_ECO_METRIC_8279" vbProcedure="false">"c8279"</definedName>
    <definedName function="false" hidden="true" name="IQ_ECO_METRIC_8280" vbProcedure="false">"c8280"</definedName>
    <definedName function="false" hidden="true" name="IQ_ECO_METRIC_8282" vbProcedure="false">"c8282"</definedName>
    <definedName function="false" hidden="true" name="IQ_ECO_METRIC_8283" vbProcedure="false">"c8283"</definedName>
    <definedName function="false" hidden="true" name="IQ_ECO_METRIC_8284" vbProcedure="false">"c8284"</definedName>
    <definedName function="false" hidden="true" name="IQ_ECO_METRIC_8285" vbProcedure="false">"c8285"</definedName>
    <definedName function="false" hidden="true" name="IQ_ECO_METRIC_8286" vbProcedure="false">"c8286"</definedName>
    <definedName function="false" hidden="true" name="IQ_ECO_METRIC_8287" vbProcedure="false">"c8287"</definedName>
    <definedName function="false" hidden="true" name="IQ_ECO_METRIC_8288" vbProcedure="false">"c8288"</definedName>
    <definedName function="false" hidden="true" name="IQ_ECO_METRIC_8289" vbProcedure="false">"c8289"</definedName>
    <definedName function="false" hidden="true" name="IQ_ECO_METRIC_8290" vbProcedure="false">"c8290"</definedName>
    <definedName function="false" hidden="true" name="IQ_ECO_METRIC_8291" vbProcedure="false">"c8291"</definedName>
    <definedName function="false" hidden="true" name="IQ_ECO_METRIC_8292" vbProcedure="false">"c8292"</definedName>
    <definedName function="false" hidden="true" name="IQ_ECO_METRIC_8293" vbProcedure="false">"c8293"</definedName>
    <definedName function="false" hidden="true" name="IQ_ECO_METRIC_8294" vbProcedure="false">"c8294"</definedName>
    <definedName function="false" hidden="true" name="IQ_ECO_METRIC_8295" vbProcedure="false">"c8295"</definedName>
    <definedName function="false" hidden="true" name="IQ_ECO_METRIC_8296" vbProcedure="false">"c8296"</definedName>
    <definedName function="false" hidden="true" name="IQ_ECO_METRIC_8297" vbProcedure="false">"c8297"</definedName>
    <definedName function="false" hidden="true" name="IQ_ECO_METRIC_8298" vbProcedure="false">"c8298"</definedName>
    <definedName function="false" hidden="true" name="IQ_ECO_METRIC_8299" vbProcedure="false">"c8299"</definedName>
    <definedName function="false" hidden="true" name="IQ_ECO_METRIC_8300" vbProcedure="false">"c8300"</definedName>
    <definedName function="false" hidden="true" name="IQ_ECO_METRIC_8301" vbProcedure="false">"c8301"</definedName>
    <definedName function="false" hidden="true" name="IQ_ECO_METRIC_8302" vbProcedure="false">"c8302"</definedName>
    <definedName function="false" hidden="true" name="IQ_ECO_METRIC_8303" vbProcedure="false">"c8303"</definedName>
    <definedName function="false" hidden="true" name="IQ_ECO_METRIC_8304" vbProcedure="false">"c8304"</definedName>
    <definedName function="false" hidden="true" name="IQ_ECO_METRIC_8305" vbProcedure="false">"c8305"</definedName>
    <definedName function="false" hidden="true" name="IQ_ECO_METRIC_8306" vbProcedure="false">"c8306"</definedName>
    <definedName function="false" hidden="true" name="IQ_ECO_METRIC_8307" vbProcedure="false">"c8307"</definedName>
    <definedName function="false" hidden="true" name="IQ_ECO_METRIC_8308" vbProcedure="false">"c8308"</definedName>
    <definedName function="false" hidden="true" name="IQ_ECO_METRIC_8308_UNUSED_UNUSED_UNUSED" vbProcedure="false">"c8308"</definedName>
    <definedName function="false" hidden="true" name="IQ_ECO_METRIC_8309" vbProcedure="false">"c8309"</definedName>
    <definedName function="false" hidden="true" name="IQ_ECO_METRIC_8310" vbProcedure="false">"c8310"</definedName>
    <definedName function="false" hidden="true" name="IQ_ECO_METRIC_8311" vbProcedure="false">"c8311"</definedName>
    <definedName function="false" hidden="true" name="IQ_ECO_METRIC_8312" vbProcedure="false">"c8312"</definedName>
    <definedName function="false" hidden="true" name="IQ_ECO_METRIC_8314" vbProcedure="false">"c8314"</definedName>
    <definedName function="false" hidden="true" name="IQ_ECO_METRIC_8315" vbProcedure="false">"c8315"</definedName>
    <definedName function="false" hidden="true" name="IQ_ECO_METRIC_8316" vbProcedure="false">"c8316"</definedName>
    <definedName function="false" hidden="true" name="IQ_ECO_METRIC_8317" vbProcedure="false">"c8317"</definedName>
    <definedName function="false" hidden="true" name="IQ_ECO_METRIC_8318" vbProcedure="false">"c8318"</definedName>
    <definedName function="false" hidden="true" name="IQ_ECO_METRIC_8320" vbProcedure="false">"c8320"</definedName>
    <definedName function="false" hidden="true" name="IQ_ECO_METRIC_8321" vbProcedure="false">"c8321"</definedName>
    <definedName function="false" hidden="true" name="IQ_ECO_METRIC_8322" vbProcedure="false">"c8322"</definedName>
    <definedName function="false" hidden="true" name="IQ_ECO_METRIC_8323" vbProcedure="false">"c8323"</definedName>
    <definedName function="false" hidden="true" name="IQ_ECO_METRIC_8324" vbProcedure="false">"c8324"</definedName>
    <definedName function="false" hidden="true" name="IQ_ECO_METRIC_8325" vbProcedure="false">"c8325"</definedName>
    <definedName function="false" hidden="true" name="IQ_ECO_METRIC_8326" vbProcedure="false">"c8326"</definedName>
    <definedName function="false" hidden="true" name="IQ_ECO_METRIC_8327" vbProcedure="false">"c8327"</definedName>
    <definedName function="false" hidden="true" name="IQ_ECO_METRIC_8328" vbProcedure="false">"c8328"</definedName>
    <definedName function="false" hidden="true" name="IQ_ECO_METRIC_8329" vbProcedure="false">"c8329"</definedName>
    <definedName function="false" hidden="true" name="IQ_ECO_METRIC_8330" vbProcedure="false">"c8330"</definedName>
    <definedName function="false" hidden="true" name="IQ_ECO_METRIC_8331" vbProcedure="false">"c8331"</definedName>
    <definedName function="false" hidden="true" name="IQ_ECO_METRIC_8332" vbProcedure="false">"c8332"</definedName>
    <definedName function="false" hidden="true" name="IQ_ECO_METRIC_8333" vbProcedure="false">"c8333"</definedName>
    <definedName function="false" hidden="true" name="IQ_ECO_METRIC_8335" vbProcedure="false">"c8335"</definedName>
    <definedName function="false" hidden="true" name="IQ_ECO_METRIC_8336" vbProcedure="false">"c8336"</definedName>
    <definedName function="false" hidden="true" name="IQ_ECO_METRIC_8337" vbProcedure="false">"c8337"</definedName>
    <definedName function="false" hidden="true" name="IQ_ECO_METRIC_8338" vbProcedure="false">"c8338"</definedName>
    <definedName function="false" hidden="true" name="IQ_ECO_METRIC_8339" vbProcedure="false">"c8339"</definedName>
    <definedName function="false" hidden="true" name="IQ_ECO_METRIC_8340" vbProcedure="false">"c8340"</definedName>
    <definedName function="false" hidden="true" name="IQ_ECO_METRIC_8341" vbProcedure="false">"c8341"</definedName>
    <definedName function="false" hidden="true" name="IQ_ECO_METRIC_8343" vbProcedure="false">"c8343"</definedName>
    <definedName function="false" hidden="true" name="IQ_ECO_METRIC_8344" vbProcedure="false">"c8344"</definedName>
    <definedName function="false" hidden="true" name="IQ_ECO_METRIC_8345" vbProcedure="false">"c8345"</definedName>
    <definedName function="false" hidden="true" name="IQ_ECO_METRIC_8346" vbProcedure="false">"c8346"</definedName>
    <definedName function="false" hidden="true" name="IQ_ECO_METRIC_8347" vbProcedure="false">"c8347"</definedName>
    <definedName function="false" hidden="true" name="IQ_ECO_METRIC_8348" vbProcedure="false">"c8348"</definedName>
    <definedName function="false" hidden="true" name="IQ_ECO_METRIC_8349" vbProcedure="false">"c8349"</definedName>
    <definedName function="false" hidden="true" name="IQ_ECO_METRIC_8350" vbProcedure="false">"c8350"</definedName>
    <definedName function="false" hidden="true" name="IQ_ECO_METRIC_8352" vbProcedure="false">"c8352"</definedName>
    <definedName function="false" hidden="true" name="IQ_ECO_METRIC_8353" vbProcedure="false">"c8353"</definedName>
    <definedName function="false" hidden="true" name="IQ_ECO_METRIC_8354" vbProcedure="false">"c8354"</definedName>
    <definedName function="false" hidden="true" name="IQ_ECO_METRIC_8355" vbProcedure="false">"c8355"</definedName>
    <definedName function="false" hidden="true" name="IQ_ECO_METRIC_8356" vbProcedure="false">"c8356"</definedName>
    <definedName function="false" hidden="true" name="IQ_ECO_METRIC_8357" vbProcedure="false">"c8357"</definedName>
    <definedName function="false" hidden="true" name="IQ_ECO_METRIC_8358" vbProcedure="false">"c8358"</definedName>
    <definedName function="false" hidden="true" name="IQ_ECO_METRIC_8359" vbProcedure="false">"c8359"</definedName>
    <definedName function="false" hidden="true" name="IQ_ECO_METRIC_8360" vbProcedure="false">"c8360"</definedName>
    <definedName function="false" hidden="true" name="IQ_ECO_METRIC_8361" vbProcedure="false">"c8361"</definedName>
    <definedName function="false" hidden="true" name="IQ_ECO_METRIC_8362" vbProcedure="false">"c8362"</definedName>
    <definedName function="false" hidden="true" name="IQ_ECO_METRIC_8363" vbProcedure="false">"c8363"</definedName>
    <definedName function="false" hidden="true" name="IQ_ECO_METRIC_8367" vbProcedure="false">"c8367"</definedName>
    <definedName function="false" hidden="true" name="IQ_ECO_METRIC_8368" vbProcedure="false">"c8368"</definedName>
    <definedName function="false" hidden="true" name="IQ_ECO_METRIC_8369" vbProcedure="false">"c8369"</definedName>
    <definedName function="false" hidden="true" name="IQ_ECO_METRIC_8370" vbProcedure="false">"c8370"</definedName>
    <definedName function="false" hidden="true" name="IQ_ECO_METRIC_8371" vbProcedure="false">"c8371"</definedName>
    <definedName function="false" hidden="true" name="IQ_ECO_METRIC_8372" vbProcedure="false">"c8372"</definedName>
    <definedName function="false" hidden="true" name="IQ_ECO_METRIC_8373" vbProcedure="false">"c8373"</definedName>
    <definedName function="false" hidden="true" name="IQ_ECO_METRIC_8374" vbProcedure="false">"c8374"</definedName>
    <definedName function="false" hidden="true" name="IQ_ECO_METRIC_8375" vbProcedure="false">"c8375"</definedName>
    <definedName function="false" hidden="true" name="IQ_ECO_METRIC_8376" vbProcedure="false">"c8376"</definedName>
    <definedName function="false" hidden="true" name="IQ_ECO_METRIC_8377" vbProcedure="false">"c8377"</definedName>
    <definedName function="false" hidden="true" name="IQ_ECO_METRIC_8380" vbProcedure="false">"c8380"</definedName>
    <definedName function="false" hidden="true" name="IQ_ECO_METRIC_8381" vbProcedure="false">"c8381"</definedName>
    <definedName function="false" hidden="true" name="IQ_ECO_METRIC_8382" vbProcedure="false">"c8382"</definedName>
    <definedName function="false" hidden="true" name="IQ_ECO_METRIC_8383" vbProcedure="false">"c8383"</definedName>
    <definedName function="false" hidden="true" name="IQ_ECO_METRIC_8384" vbProcedure="false">"c8384"</definedName>
    <definedName function="false" hidden="true" name="IQ_ECO_METRIC_8385" vbProcedure="false">"c8385"</definedName>
    <definedName function="false" hidden="true" name="IQ_ECO_METRIC_8387" vbProcedure="false">"c8387"</definedName>
    <definedName function="false" hidden="true" name="IQ_ECO_METRIC_8388" vbProcedure="false">"c8388"</definedName>
    <definedName function="false" hidden="true" name="IQ_ECO_METRIC_8389" vbProcedure="false">"c8389"</definedName>
    <definedName function="false" hidden="true" name="IQ_ECO_METRIC_8390" vbProcedure="false">"c8390"</definedName>
    <definedName function="false" hidden="true" name="IQ_ECO_METRIC_8391" vbProcedure="false">"c8391"</definedName>
    <definedName function="false" hidden="true" name="IQ_ECO_METRIC_8392" vbProcedure="false">"c8392"</definedName>
    <definedName function="false" hidden="true" name="IQ_ECO_METRIC_8393" vbProcedure="false">"c8393"</definedName>
    <definedName function="false" hidden="true" name="IQ_ECO_METRIC_8394" vbProcedure="false">"c8394"</definedName>
    <definedName function="false" hidden="true" name="IQ_ECO_METRIC_8395" vbProcedure="false">"c8395"</definedName>
    <definedName function="false" hidden="true" name="IQ_ECO_METRIC_8396" vbProcedure="false">"c8396"</definedName>
    <definedName function="false" hidden="true" name="IQ_ECO_METRIC_8397" vbProcedure="false">"c8397"</definedName>
    <definedName function="false" hidden="true" name="IQ_ECO_METRIC_8398" vbProcedure="false">"c8398"</definedName>
    <definedName function="false" hidden="true" name="IQ_ECO_METRIC_8399" vbProcedure="false">"c8399"</definedName>
    <definedName function="false" hidden="true" name="IQ_ECO_METRIC_8400" vbProcedure="false">"c8400"</definedName>
    <definedName function="false" hidden="true" name="IQ_ECO_METRIC_8401" vbProcedure="false">"c8401"</definedName>
    <definedName function="false" hidden="true" name="IQ_ECO_METRIC_8402" vbProcedure="false">"c8402"</definedName>
    <definedName function="false" hidden="true" name="IQ_ECO_METRIC_8403" vbProcedure="false">"c8403"</definedName>
    <definedName function="false" hidden="true" name="IQ_ECO_METRIC_8404" vbProcedure="false">"c8404"</definedName>
    <definedName function="false" hidden="true" name="IQ_ECO_METRIC_8405" vbProcedure="false">"c8405"</definedName>
    <definedName function="false" hidden="true" name="IQ_ECO_METRIC_8406" vbProcedure="false">"c8406"</definedName>
    <definedName function="false" hidden="true" name="IQ_ECO_METRIC_8407" vbProcedure="false">"c8407"</definedName>
    <definedName function="false" hidden="true" name="IQ_ECO_METRIC_8408" vbProcedure="false">"c8408"</definedName>
    <definedName function="false" hidden="true" name="IQ_ECO_METRIC_8409" vbProcedure="false">"c8409"</definedName>
    <definedName function="false" hidden="true" name="IQ_ECO_METRIC_8410" vbProcedure="false">"c8410"</definedName>
    <definedName function="false" hidden="true" name="IQ_ECO_METRIC_8411" vbProcedure="false">"c8411"</definedName>
    <definedName function="false" hidden="true" name="IQ_ECO_METRIC_8412" vbProcedure="false">"c8412"</definedName>
    <definedName function="false" hidden="true" name="IQ_ECO_METRIC_8413" vbProcedure="false">"c8413"</definedName>
    <definedName function="false" hidden="true" name="IQ_ECO_METRIC_8414" vbProcedure="false">"c8414"</definedName>
    <definedName function="false" hidden="true" name="IQ_ECO_METRIC_8415" vbProcedure="false">"c8415"</definedName>
    <definedName function="false" hidden="true" name="IQ_ECO_METRIC_8416" vbProcedure="false">"c8416"</definedName>
    <definedName function="false" hidden="true" name="IQ_ECO_METRIC_8417" vbProcedure="false">"c8417"</definedName>
    <definedName function="false" hidden="true" name="IQ_ECO_METRIC_8418" vbProcedure="false">"c8418"</definedName>
    <definedName function="false" hidden="true" name="IQ_ECO_METRIC_8419" vbProcedure="false">"c8419"</definedName>
    <definedName function="false" hidden="true" name="IQ_ECO_METRIC_8420" vbProcedure="false">"c8420"</definedName>
    <definedName function="false" hidden="true" name="IQ_ECO_METRIC_8421" vbProcedure="false">"c8421"</definedName>
    <definedName function="false" hidden="true" name="IQ_ECO_METRIC_8422" vbProcedure="false">"c8422"</definedName>
    <definedName function="false" hidden="true" name="IQ_ECO_METRIC_8423" vbProcedure="false">"c8423"</definedName>
    <definedName function="false" hidden="true" name="IQ_ECO_METRIC_8424" vbProcedure="false">"c8424"</definedName>
    <definedName function="false" hidden="true" name="IQ_ECO_METRIC_8425" vbProcedure="false">"c8425"</definedName>
    <definedName function="false" hidden="true" name="IQ_ECO_METRIC_8426" vbProcedure="false">"c8426"</definedName>
    <definedName function="false" hidden="true" name="IQ_ECO_METRIC_8427" vbProcedure="false">"c8427"</definedName>
    <definedName function="false" hidden="true" name="IQ_ECO_METRIC_8428" vbProcedure="false">"c8428"</definedName>
    <definedName function="false" hidden="true" name="IQ_ECO_METRIC_8429" vbProcedure="false">"c8429"</definedName>
    <definedName function="false" hidden="true" name="IQ_ECO_METRIC_8430" vbProcedure="false">"c8430"</definedName>
    <definedName function="false" hidden="true" name="IQ_ECO_METRIC_8431" vbProcedure="false">"c8431"</definedName>
    <definedName function="false" hidden="true" name="IQ_ECO_METRIC_8432" vbProcedure="false">"c8432"</definedName>
    <definedName function="false" hidden="true" name="IQ_ECO_METRIC_8433" vbProcedure="false">"c8433"</definedName>
    <definedName function="false" hidden="true" name="IQ_ECO_METRIC_8434" vbProcedure="false">"c8434"</definedName>
    <definedName function="false" hidden="true" name="IQ_ECO_METRIC_8435" vbProcedure="false">"c8435"</definedName>
    <definedName function="false" hidden="true" name="IQ_ECO_METRIC_8436" vbProcedure="false">"c8436"</definedName>
    <definedName function="false" hidden="true" name="IQ_ECO_METRIC_8436_UNUSED_UNUSED_UNUSED" vbProcedure="false">"c8436"</definedName>
    <definedName function="false" hidden="true" name="IQ_ECO_METRIC_8437" vbProcedure="false">"c8437"</definedName>
    <definedName function="false" hidden="true" name="IQ_ECO_METRIC_8437_UNUSED_UNUSED_UNUSED" vbProcedure="false">"c8437"</definedName>
    <definedName function="false" hidden="true" name="IQ_ECO_METRIC_8440" vbProcedure="false">"c8440"</definedName>
    <definedName function="false" hidden="true" name="IQ_ECO_METRIC_8441" vbProcedure="false">"c8441"</definedName>
    <definedName function="false" hidden="true" name="IQ_ECO_METRIC_8442" vbProcedure="false">"c8442"</definedName>
    <definedName function="false" hidden="true" name="IQ_ECO_METRIC_8443" vbProcedure="false">"c8443"</definedName>
    <definedName function="false" hidden="true" name="IQ_ECO_METRIC_8444" vbProcedure="false">"c8444"</definedName>
    <definedName function="false" hidden="true" name="IQ_ECO_METRIC_8445" vbProcedure="false">"c8445"</definedName>
    <definedName function="false" hidden="true" name="IQ_ECO_METRIC_8446" vbProcedure="false">"c8446"</definedName>
    <definedName function="false" hidden="true" name="IQ_ECO_METRIC_8447" vbProcedure="false">"c8447"</definedName>
    <definedName function="false" hidden="true" name="IQ_ECO_METRIC_8448" vbProcedure="false">"c8448"</definedName>
    <definedName function="false" hidden="true" name="IQ_ECO_METRIC_8450" vbProcedure="false">"c8450"</definedName>
    <definedName function="false" hidden="true" name="IQ_ECO_METRIC_8451" vbProcedure="false">"c8451"</definedName>
    <definedName function="false" hidden="true" name="IQ_ECO_METRIC_8452" vbProcedure="false">"c8452"</definedName>
    <definedName function="false" hidden="true" name="IQ_ECO_METRIC_8453" vbProcedure="false">"c8453"</definedName>
    <definedName function="false" hidden="true" name="IQ_ECO_METRIC_8454" vbProcedure="false">"c8454"</definedName>
    <definedName function="false" hidden="true" name="IQ_ECO_METRIC_8455" vbProcedure="false">"c8455"</definedName>
    <definedName function="false" hidden="true" name="IQ_ECO_METRIC_8456" vbProcedure="false">"c8456"</definedName>
    <definedName function="false" hidden="true" name="IQ_ECO_METRIC_8457" vbProcedure="false">"c8457"</definedName>
    <definedName function="false" hidden="true" name="IQ_ECO_METRIC_8458" vbProcedure="false">"c8458"</definedName>
    <definedName function="false" hidden="true" name="IQ_ECO_METRIC_8459" vbProcedure="false">"c8459"</definedName>
    <definedName function="false" hidden="true" name="IQ_ECO_METRIC_8460" vbProcedure="false">"c8460"</definedName>
    <definedName function="false" hidden="true" name="IQ_ECO_METRIC_8461" vbProcedure="false">"c8461"</definedName>
    <definedName function="false" hidden="true" name="IQ_ECO_METRIC_8462" vbProcedure="false">"c8462"</definedName>
    <definedName function="false" hidden="true" name="IQ_ECO_METRIC_8463" vbProcedure="false">"c8463"</definedName>
    <definedName function="false" hidden="true" name="IQ_ECO_METRIC_8464" vbProcedure="false">"c8464"</definedName>
    <definedName function="false" hidden="true" name="IQ_ECO_METRIC_8465" vbProcedure="false">"c8465"</definedName>
    <definedName function="false" hidden="true" name="IQ_ECO_METRIC_8466" vbProcedure="false">"c8466"</definedName>
    <definedName function="false" hidden="true" name="IQ_ECO_METRIC_8468" vbProcedure="false">"c8468"</definedName>
    <definedName function="false" hidden="true" name="IQ_ECO_METRIC_8469" vbProcedure="false">"c8469"</definedName>
    <definedName function="false" hidden="true" name="IQ_ECO_METRIC_8470" vbProcedure="false">"c8470"</definedName>
    <definedName function="false" hidden="true" name="IQ_ECO_METRIC_8472" vbProcedure="false">"c8472"</definedName>
    <definedName function="false" hidden="true" name="IQ_ECO_METRIC_8473" vbProcedure="false">"c8473"</definedName>
    <definedName function="false" hidden="true" name="IQ_ECO_METRIC_8474" vbProcedure="false">"c8474"</definedName>
    <definedName function="false" hidden="true" name="IQ_ECO_METRIC_8476" vbProcedure="false">"c8476"</definedName>
    <definedName function="false" hidden="true" name="IQ_ECO_METRIC_8477" vbProcedure="false">"c8477"</definedName>
    <definedName function="false" hidden="true" name="IQ_ECO_METRIC_8478" vbProcedure="false">"c8478"</definedName>
    <definedName function="false" hidden="true" name="IQ_ECO_METRIC_8479" vbProcedure="false">"c8479"</definedName>
    <definedName function="false" hidden="true" name="IQ_ECO_METRIC_8480" vbProcedure="false">"c8480"</definedName>
    <definedName function="false" hidden="true" name="IQ_ECO_METRIC_8481" vbProcedure="false">"c8481"</definedName>
    <definedName function="false" hidden="true" name="IQ_ECO_METRIC_8482" vbProcedure="false">"c8482"</definedName>
    <definedName function="false" hidden="true" name="IQ_ECO_METRIC_8483" vbProcedure="false">"c8483"</definedName>
    <definedName function="false" hidden="true" name="IQ_ECO_METRIC_8484" vbProcedure="false">"c8484"</definedName>
    <definedName function="false" hidden="true" name="IQ_ECO_METRIC_8485" vbProcedure="false">"c8485"</definedName>
    <definedName function="false" hidden="true" name="IQ_ECO_METRIC_8486" vbProcedure="false">"c8486"</definedName>
    <definedName function="false" hidden="true" name="IQ_ECO_METRIC_8487" vbProcedure="false">"c8487"</definedName>
    <definedName function="false" hidden="true" name="IQ_ECO_METRIC_8488" vbProcedure="false">"c8488"</definedName>
    <definedName function="false" hidden="true" name="IQ_ECO_METRIC_8489" vbProcedure="false">"c8489"</definedName>
    <definedName function="false" hidden="true" name="IQ_ECO_METRIC_8490" vbProcedure="false">"c8490"</definedName>
    <definedName function="false" hidden="true" name="IQ_ECO_METRIC_8491" vbProcedure="false">"c8491"</definedName>
    <definedName function="false" hidden="true" name="IQ_ECO_METRIC_8492" vbProcedure="false">"c8492"</definedName>
    <definedName function="false" hidden="true" name="IQ_ECO_METRIC_8493" vbProcedure="false">"c8493"</definedName>
    <definedName function="false" hidden="true" name="IQ_ECO_METRIC_8494" vbProcedure="false">"c8494"</definedName>
    <definedName function="false" hidden="true" name="IQ_ECO_METRIC_8495" vbProcedure="false">"c8495"</definedName>
    <definedName function="false" hidden="true" name="IQ_ECO_METRIC_8496" vbProcedure="false">"c8496"</definedName>
    <definedName function="false" hidden="true" name="IQ_ECO_METRIC_8497" vbProcedure="false">"c8497"</definedName>
    <definedName function="false" hidden="true" name="IQ_ECO_METRIC_8498" vbProcedure="false">"c8498"</definedName>
    <definedName function="false" hidden="true" name="IQ_ECO_METRIC_8499" vbProcedure="false">"c8499"</definedName>
    <definedName function="false" hidden="true" name="IQ_ECO_METRIC_8500" vbProcedure="false">"c8500"</definedName>
    <definedName function="false" hidden="true" name="IQ_ECO_METRIC_8502" vbProcedure="false">"c8502"</definedName>
    <definedName function="false" hidden="true" name="IQ_ECO_METRIC_8503" vbProcedure="false">"c8503"</definedName>
    <definedName function="false" hidden="true" name="IQ_ECO_METRIC_8504" vbProcedure="false">"c8504"</definedName>
    <definedName function="false" hidden="true" name="IQ_ECO_METRIC_8505" vbProcedure="false">"c8505"</definedName>
    <definedName function="false" hidden="true" name="IQ_ECO_METRIC_8506" vbProcedure="false">"c8506"</definedName>
    <definedName function="false" hidden="true" name="IQ_ECO_METRIC_8507" vbProcedure="false">"c8507"</definedName>
    <definedName function="false" hidden="true" name="IQ_ECO_METRIC_8508" vbProcedure="false">"c8508"</definedName>
    <definedName function="false" hidden="true" name="IQ_ECO_METRIC_8509" vbProcedure="false">"c8509"</definedName>
    <definedName function="false" hidden="true" name="IQ_ECO_METRIC_8510" vbProcedure="false">"c8510"</definedName>
    <definedName function="false" hidden="true" name="IQ_ECO_METRIC_8511" vbProcedure="false">"c8511"</definedName>
    <definedName function="false" hidden="true" name="IQ_ECO_METRIC_8512" vbProcedure="false">"c8512"</definedName>
    <definedName function="false" hidden="true" name="IQ_ECO_METRIC_8513" vbProcedure="false">"c8513"</definedName>
    <definedName function="false" hidden="true" name="IQ_ECO_METRIC_8514" vbProcedure="false">"c8514"</definedName>
    <definedName function="false" hidden="true" name="IQ_ECO_METRIC_8515" vbProcedure="false">"c8515"</definedName>
    <definedName function="false" hidden="true" name="IQ_ECO_METRIC_8516" vbProcedure="false">"c8516"</definedName>
    <definedName function="false" hidden="true" name="IQ_ECO_METRIC_8517" vbProcedure="false">"c8517"</definedName>
    <definedName function="false" hidden="true" name="IQ_ECO_METRIC_8518" vbProcedure="false">"c8518"</definedName>
    <definedName function="false" hidden="true" name="IQ_ECO_METRIC_8519" vbProcedure="false">"c8519"</definedName>
    <definedName function="false" hidden="true" name="IQ_ECO_METRIC_8520" vbProcedure="false">"c8520"</definedName>
    <definedName function="false" hidden="true" name="IQ_ECO_METRIC_8521" vbProcedure="false">"c8521"</definedName>
    <definedName function="false" hidden="true" name="IQ_ECO_METRIC_8522" vbProcedure="false">"c8522"</definedName>
    <definedName function="false" hidden="true" name="IQ_ECO_METRIC_8523" vbProcedure="false">"c8523"</definedName>
    <definedName function="false" hidden="true" name="IQ_ECO_METRIC_8524" vbProcedure="false">"c8524"</definedName>
    <definedName function="false" hidden="true" name="IQ_ECO_METRIC_8525" vbProcedure="false">"c8525"</definedName>
    <definedName function="false" hidden="true" name="IQ_ECO_METRIC_8526" vbProcedure="false">"c8526"</definedName>
    <definedName function="false" hidden="true" name="IQ_ECO_METRIC_8527" vbProcedure="false">"c8527"</definedName>
    <definedName function="false" hidden="true" name="IQ_ECO_METRIC_8528" vbProcedure="false">"c8528"</definedName>
    <definedName function="false" hidden="true" name="IQ_ECO_METRIC_8528_UNUSED_UNUSED_UNUSED" vbProcedure="false">"c8528"</definedName>
    <definedName function="false" hidden="true" name="IQ_ECO_METRIC_8529" vbProcedure="false">"c8529"</definedName>
    <definedName function="false" hidden="true" name="IQ_ECO_METRIC_8530" vbProcedure="false">"c8530"</definedName>
    <definedName function="false" hidden="true" name="IQ_ECO_METRIC_8531" vbProcedure="false">"c8531"</definedName>
    <definedName function="false" hidden="true" name="IQ_ECO_METRIC_8532" vbProcedure="false">"c8532"</definedName>
    <definedName function="false" hidden="true" name="IQ_ECO_METRIC_8534" vbProcedure="false">"c8534"</definedName>
    <definedName function="false" hidden="true" name="IQ_ECO_METRIC_8535" vbProcedure="false">"c8535"</definedName>
    <definedName function="false" hidden="true" name="IQ_ECO_METRIC_8536" vbProcedure="false">"c8536"</definedName>
    <definedName function="false" hidden="true" name="IQ_ECO_METRIC_8537" vbProcedure="false">"c8537"</definedName>
    <definedName function="false" hidden="true" name="IQ_ECO_METRIC_8538" vbProcedure="false">"c8538"</definedName>
    <definedName function="false" hidden="true" name="IQ_ECO_METRIC_8540" vbProcedure="false">"c8540"</definedName>
    <definedName function="false" hidden="true" name="IQ_ECO_METRIC_8541" vbProcedure="false">"c8541"</definedName>
    <definedName function="false" hidden="true" name="IQ_ECO_METRIC_8543" vbProcedure="false">"c8543"</definedName>
    <definedName function="false" hidden="true" name="IQ_ECO_METRIC_8544" vbProcedure="false">"c8544"</definedName>
    <definedName function="false" hidden="true" name="IQ_ECO_METRIC_8545" vbProcedure="false">"c8545"</definedName>
    <definedName function="false" hidden="true" name="IQ_ECO_METRIC_8546" vbProcedure="false">"c8546"</definedName>
    <definedName function="false" hidden="true" name="IQ_ECO_METRIC_8547" vbProcedure="false">"c8547"</definedName>
    <definedName function="false" hidden="true" name="IQ_ECO_METRIC_8548" vbProcedure="false">"c8548"</definedName>
    <definedName function="false" hidden="true" name="IQ_ECO_METRIC_8549" vbProcedure="false">"c8549"</definedName>
    <definedName function="false" hidden="true" name="IQ_ECO_METRIC_8550" vbProcedure="false">"c8550"</definedName>
    <definedName function="false" hidden="true" name="IQ_ECO_METRIC_8555" vbProcedure="false">"c8555"</definedName>
    <definedName function="false" hidden="true" name="IQ_ECO_METRIC_8556" vbProcedure="false">"c8556"</definedName>
    <definedName function="false" hidden="true" name="IQ_ECO_METRIC_8557" vbProcedure="false">"c8557"</definedName>
    <definedName function="false" hidden="true" name="IQ_ECO_METRIC_8558" vbProcedure="false">"c8558"</definedName>
    <definedName function="false" hidden="true" name="IQ_ECO_METRIC_8559" vbProcedure="false">"c8559"</definedName>
    <definedName function="false" hidden="true" name="IQ_ECO_METRIC_8560" vbProcedure="false">"c8560"</definedName>
    <definedName function="false" hidden="true" name="IQ_ECO_METRIC_8561" vbProcedure="false">"c8561"</definedName>
    <definedName function="false" hidden="true" name="IQ_ECO_METRIC_8565" vbProcedure="false">"c8565"</definedName>
    <definedName function="false" hidden="true" name="IQ_ECO_METRIC_8567" vbProcedure="false">"c8567"</definedName>
    <definedName function="false" hidden="true" name="IQ_ECO_METRIC_8568" vbProcedure="false">"c8568"</definedName>
    <definedName function="false" hidden="true" name="IQ_ECO_METRIC_8569" vbProcedure="false">"c8569"</definedName>
    <definedName function="false" hidden="true" name="IQ_EFFECT_SPECIAL_CHARGE" vbProcedure="false">"c1595"</definedName>
    <definedName function="false" hidden="true" name="IQ_EFFICIENCY_RATIO" vbProcedure="false">"c391"</definedName>
    <definedName function="false" hidden="true" name="IQ_EFFICIENCY_RATIO_FDIC" vbProcedure="false">"c6736"</definedName>
    <definedName function="false" hidden="true" name="IQ_ELIMINATIONS_CONSOL_OFFICES_FOREIGN_FFIEC" vbProcedure="false">"c15395"</definedName>
    <definedName function="false" hidden="true" name="IQ_EMPLOYEES" vbProcedure="false">"c392"</definedName>
    <definedName function="false" hidden="true" name="IQ_ENTERPRISE_VALUE" vbProcedure="false">"c84"</definedName>
    <definedName function="false" hidden="true" name="IQ_ENTITLEMENT_DET_EST_REUT" vbProcedure="false">"c12136"</definedName>
    <definedName function="false" hidden="true" name="IQ_EPS" vbProcedure="false">"IQ_EPS"</definedName>
    <definedName function="false" hidden="true" name="IQ_EPS_10K" vbProcedure="false">"EPS_10K"</definedName>
    <definedName function="false" hidden="true" name="IQ_EPS_10Q" vbProcedure="false">"EPS_10Q"</definedName>
    <definedName function="false" hidden="true" name="IQ_EPS_10Q1" vbProcedure="false">"EPS_10Q1"</definedName>
    <definedName function="false" hidden="true" name="IQ_EPS_10YR_ANN_GROWTH" vbProcedure="false">"c393"</definedName>
    <definedName function="false" hidden="true" name="IQ_EPS_1YR_ANN_GROWTH" vbProcedure="false">"c394"</definedName>
    <definedName function="false" hidden="true" name="IQ_EPS_2YR_ANN_GROWTH" vbProcedure="false">"c395"</definedName>
    <definedName function="false" hidden="true" name="IQ_EPS_3YR_ANN_GROWTH" vbProcedure="false">"c396"</definedName>
    <definedName function="false" hidden="true" name="IQ_EPS_5YR_ANN_GROWTH" vbProcedure="false">"c397"</definedName>
    <definedName function="false" hidden="true" name="IQ_EPS_7YR_ANN_GROWTH" vbProcedure="false">"c398"</definedName>
    <definedName function="false" hidden="true" name="IQ_EPS_ACT_OR_EST_REUT" vbProcedure="false">"c5460"</definedName>
    <definedName function="false" hidden="true" name="IQ_EPS_DET_EST_CURRENCY_REUT" vbProcedure="false">"c13584"</definedName>
    <definedName function="false" hidden="true" name="IQ_EPS_DET_EST_DATE_REUT" vbProcedure="false">"c13576"</definedName>
    <definedName function="false" hidden="true" name="IQ_EPS_DET_EST_INCL_REUT" vbProcedure="false">"c13588"</definedName>
    <definedName function="false" hidden="true" name="IQ_EPS_DET_EST_ORIGIN_REUT" vbProcedure="false">"c13580"</definedName>
    <definedName function="false" hidden="true" name="IQ_EPS_DET_EST_REUT" vbProcedure="false">"c13572"</definedName>
    <definedName function="false" hidden="true" name="IQ_EPS_EST" vbProcedure="false">"c399"</definedName>
    <definedName function="false" hidden="true" name="IQ_EPS_EST_1" vbProcedure="false">"IQ_EPS_EST_1"</definedName>
    <definedName function="false" hidden="true" name="IQ_EPS_EST_BOTTOM_UP_REUT" vbProcedure="false">"c5497"</definedName>
    <definedName function="false" hidden="true" name="IQ_EPS_EST_REUT" vbProcedure="false">"c5453"</definedName>
    <definedName function="false" hidden="true" name="IQ_EPS_GW_ACT_OR_EST_REUT" vbProcedure="false">"c5469"</definedName>
    <definedName function="false" hidden="true" name="IQ_EPS_GW_DET_EST_DATE_REUT" vbProcedure="false">"c12292"</definedName>
    <definedName function="false" hidden="true" name="IQ_EPS_GW_DET_EST_INCL_REUT" vbProcedure="false">"c12416"</definedName>
    <definedName function="false" hidden="true" name="IQ_EPS_GW_DET_EST_ORIGIN_REUT" vbProcedure="false">"c12660"</definedName>
    <definedName function="false" hidden="true" name="IQ_EPS_GW_DET_EST_REUT" vbProcedure="false">"c12150"</definedName>
    <definedName function="false" hidden="true" name="IQ_EPS_GW_DET_EST_REUT_CURRENCY_CURRENCY_REUT" vbProcedure="false">"c12533"</definedName>
    <definedName function="false" hidden="true" name="IQ_EPS_GW_EST_BOTTOM_UP_REUT" vbProcedure="false">"c5499"</definedName>
    <definedName function="false" hidden="true" name="IQ_EPS_GW_EST_REUT" vbProcedure="false">"c5389"</definedName>
    <definedName function="false" hidden="true" name="IQ_EPS_GW_HIGH_EST_REUT" vbProcedure="false">"c5391"</definedName>
    <definedName function="false" hidden="true" name="IQ_EPS_GW_LOW_EST_REUT" vbProcedure="false">"c5392"</definedName>
    <definedName function="false" hidden="true" name="IQ_EPS_GW_MEDIAN_EST_REUT" vbProcedure="false">"c5390"</definedName>
    <definedName function="false" hidden="true" name="IQ_EPS_GW_NUM_EST_REUT" vbProcedure="false">"c5393"</definedName>
    <definedName function="false" hidden="true" name="IQ_EPS_GW_STDDEV_EST_REUT" vbProcedure="false">"c5394"</definedName>
    <definedName function="false" hidden="true" name="IQ_EPS_HIGH_EST" vbProcedure="false">"c400"</definedName>
    <definedName function="false" hidden="true" name="IQ_EPS_HIGH_EST_REUT" vbProcedure="false">"c5454"</definedName>
    <definedName function="false" hidden="true" name="IQ_EPS_LOW_EST" vbProcedure="false">"c401"</definedName>
    <definedName function="false" hidden="true" name="IQ_EPS_LOW_EST_REUT" vbProcedure="false">"c5455"</definedName>
    <definedName function="false" hidden="true" name="IQ_EPS_MEDIAN_EST_REUT" vbProcedure="false">"c5456"</definedName>
    <definedName function="false" hidden="true" name="IQ_EPS_NORM_DET_EST_CURRENCY_REUT" vbProcedure="false">"c12535"</definedName>
    <definedName function="false" hidden="true" name="IQ_EPS_NORM_DET_EST_DATE_REUT" vbProcedure="false">"c12294"</definedName>
    <definedName function="false" hidden="true" name="IQ_EPS_NORM_DET_EST_INCL_REUT" vbProcedure="false">"c12418"</definedName>
    <definedName function="false" hidden="true" name="IQ_EPS_NORM_DET_EST_ORIGIN_REUT" vbProcedure="false">"c12662"</definedName>
    <definedName function="false" hidden="true" name="IQ_EPS_NORM_DET_EST_REUT" vbProcedure="false">"c12152"</definedName>
    <definedName function="false" hidden="true" name="IQ_EPS_NORM_EST_BOTTOM_UP_REUT" vbProcedure="false">"c5498"</definedName>
    <definedName function="false" hidden="true" name="IQ_EPS_NORM_EST_REUT" vbProcedure="false">"c5326"</definedName>
    <definedName function="false" hidden="true" name="IQ_EPS_NORM_HIGH_EST_REUT" vbProcedure="false">"c5328"</definedName>
    <definedName function="false" hidden="true" name="IQ_EPS_NORM_LOW_EST_REUT" vbProcedure="false">"c5329"</definedName>
    <definedName function="false" hidden="true" name="IQ_EPS_NORM_MEDIAN_EST_REUT" vbProcedure="false">"c5327"</definedName>
    <definedName function="false" hidden="true" name="IQ_EPS_NORM_NUM_EST_REUT" vbProcedure="false">"c5330"</definedName>
    <definedName function="false" hidden="true" name="IQ_EPS_NORM_STDDEV_EST_REUT" vbProcedure="false">"c5331"</definedName>
    <definedName function="false" hidden="true" name="IQ_EPS_NO_EST" vbProcedure="false">"c271"</definedName>
    <definedName function="false" hidden="true" name="IQ_EPS_NUM_EST" vbProcedure="false">"c402"</definedName>
    <definedName function="false" hidden="true" name="IQ_EPS_NUM_EST_REUT" vbProcedure="false">"c5451"</definedName>
    <definedName function="false" hidden="true" name="IQ_EPS_PRIMARY_EST" vbProcedure="false">"c2226"</definedName>
    <definedName function="false" hidden="true" name="IQ_EPS_PRIMARY_HIGH_EST" vbProcedure="false">"c2228"</definedName>
    <definedName function="false" hidden="true" name="IQ_EPS_PRIMARY_LOW_EST" vbProcedure="false">"c2229"</definedName>
    <definedName function="false" hidden="true" name="IQ_EPS_PRIMARY_MEDIAN_EST" vbProcedure="false">"c2227"</definedName>
    <definedName function="false" hidden="true" name="IQ_EPS_PRIMARY_NUM_EST" vbProcedure="false">"c2230"</definedName>
    <definedName function="false" hidden="true" name="IQ_EPS_PRIMARY_STDDEV_EST" vbProcedure="false">"c2231"</definedName>
    <definedName function="false" hidden="true" name="IQ_EPS_REPORTED_DET_EST_CURRENCY_REUT" vbProcedure="false">"c12534"</definedName>
    <definedName function="false" hidden="true" name="IQ_EPS_REPORTED_DET_EST_DATE_REUT" vbProcedure="false">"c12293"</definedName>
    <definedName function="false" hidden="true" name="IQ_EPS_REPORTED_DET_EST_INCL_REUT" vbProcedure="false">"c12417"</definedName>
    <definedName function="false" hidden="true" name="IQ_EPS_REPORTED_DET_EST_ORIGIN_REUT" vbProcedure="false">"c12661"</definedName>
    <definedName function="false" hidden="true" name="IQ_EPS_REPORTED_DET_EST_REUT" vbProcedure="false">"c12151"</definedName>
    <definedName function="false" hidden="true" name="IQ_EPS_REPORTED_EST_BOTTOM_UP_REUT" vbProcedure="false">"c5500"</definedName>
    <definedName function="false" hidden="true" name="IQ_EPS_REPORTED_EST_REUT" vbProcedure="false">"c5396"</definedName>
    <definedName function="false" hidden="true" name="IQ_EPS_REPORTED_HIGH_EST_REUT" vbProcedure="false">"c5398"</definedName>
    <definedName function="false" hidden="true" name="IQ_EPS_REPORTED_LOW_EST_REUT" vbProcedure="false">"c5399"</definedName>
    <definedName function="false" hidden="true" name="IQ_EPS_REPORTED_MEDIAN_EST_REUT" vbProcedure="false">"c5397"</definedName>
    <definedName function="false" hidden="true" name="IQ_EPS_REPORTED_NUM_EST_REUT" vbProcedure="false">"c5400"</definedName>
    <definedName function="false" hidden="true" name="IQ_EPS_REPORTED_STDDEV_EST_REUT" vbProcedure="false">"c5401"</definedName>
    <definedName function="false" hidden="true" name="IQ_EPS_REPORT_ACT_OR_EST_REUT" vbProcedure="false">"c5470"</definedName>
    <definedName function="false" hidden="true" name="IQ_EPS_STDDEV_EST" vbProcedure="false">"c403"</definedName>
    <definedName function="false" hidden="true" name="IQ_EPS_STDDEV_EST_REUT" vbProcedure="false">"c5452"</definedName>
    <definedName function="false" hidden="true" name="IQ_EQUITY_AFFIL" vbProcedure="false">"c552"</definedName>
    <definedName function="false" hidden="true" name="IQ_EQUITY_CAPITAL_ASSETS_FDIC" vbProcedure="false">"c6744"</definedName>
    <definedName function="false" hidden="true" name="IQ_EQUITY_FDIC" vbProcedure="false">"c6353"</definedName>
    <definedName function="false" hidden="true" name="IQ_EQUITY_LIST" vbProcedure="false">"c15158"</definedName>
    <definedName function="false" hidden="true" name="IQ_EQUITY_METHOD" vbProcedure="false">"c404"</definedName>
    <definedName function="false" hidden="true" name="IQ_EQUITY_SECURITIES_FDIC" vbProcedure="false">"c6304"</definedName>
    <definedName function="false" hidden="true" name="IQ_EQUITY_SECURITIES_QUARTERLY_AVG_FFIEC" vbProcedure="false">"c15474"</definedName>
    <definedName function="false" hidden="true" name="IQ_EQUITY_SECURITY_EXPOSURES_FDIC" vbProcedure="false">"c6664"</definedName>
    <definedName function="false" hidden="true" name="IQ_EQUITY_TIER_ONE_CAPITAL" vbProcedure="false">"c15246"</definedName>
    <definedName function="false" hidden="true" name="IQ_EQUITY_TIER_ONE_CAPITAL_RATIO" vbProcedure="false">"c15242"</definedName>
    <definedName function="false" hidden="true" name="IQ_EQV_OVER_BV" vbProcedure="false">"c1596"</definedName>
    <definedName function="false" hidden="true" name="IQ_EQV_OVER_LTM_PRETAX_INC" vbProcedure="false">"c739"</definedName>
    <definedName function="false" hidden="true" name="IQ_ESOP_DEBT" vbProcedure="false">"c1597"</definedName>
    <definedName function="false" hidden="true" name="IQ_ESTIMATED_ASSESSABLE_DEPOSITS_FDIC" vbProcedure="false">"c6490"</definedName>
    <definedName function="false" hidden="true" name="IQ_ESTIMATED_INSURED_DEPOSITS_FDIC" vbProcedure="false">"c6491"</definedName>
    <definedName function="false" hidden="true" name="IQ_EST_ACT_BV_REUT" vbProcedure="false">"c5409"</definedName>
    <definedName function="false" hidden="true" name="IQ_EST_ACT_BV_SHARE_REUT" vbProcedure="false">"c5445"</definedName>
    <definedName function="false" hidden="true" name="IQ_EST_ACT_BV_THOM" vbProcedure="false">"c5153"</definedName>
    <definedName function="false" hidden="true" name="IQ_EST_ACT_CAPEX_REUT" vbProcedure="false">"c3975"</definedName>
    <definedName function="false" hidden="true" name="IQ_EST_ACT_CFPS_REUT" vbProcedure="false">"c3850"</definedName>
    <definedName function="false" hidden="true" name="IQ_EST_ACT_DPS_REUT" vbProcedure="false">"c3857"</definedName>
    <definedName function="false" hidden="true" name="IQ_EST_ACT_EBITDA_REUT" vbProcedure="false">"c3836"</definedName>
    <definedName function="false" hidden="true" name="IQ_EST_ACT_EBIT_REUT" vbProcedure="false">"c5339"</definedName>
    <definedName function="false" hidden="true" name="IQ_EST_ACT_EPS" vbProcedure="false">"c1648"</definedName>
    <definedName function="false" hidden="true" name="IQ_EST_ACT_EPS_GW_REUT" vbProcedure="false">"c5395"</definedName>
    <definedName function="false" hidden="true" name="IQ_EST_ACT_EPS_NORM_REUT" vbProcedure="false">"c5332"</definedName>
    <definedName function="false" hidden="true" name="IQ_EST_ACT_EPS_PRIMARY" vbProcedure="false">"c2232"</definedName>
    <definedName function="false" hidden="true" name="IQ_EST_ACT_EPS_REPORTED_REUT" vbProcedure="false">"c5402"</definedName>
    <definedName function="false" hidden="true" name="IQ_EST_ACT_EPS_REUT" vbProcedure="false">"c5457"</definedName>
    <definedName function="false" hidden="true" name="IQ_EST_ACT_FFO_REUT" vbProcedure="false">"c3843"</definedName>
    <definedName function="false" hidden="true" name="IQ_EST_ACT_FFO_SHARE_REUT" vbProcedure="false">"c3843"</definedName>
    <definedName function="false" hidden="true" name="IQ_EST_ACT_FFO_SHARE_SHARE_REUT" vbProcedure="false">"c3843"</definedName>
    <definedName function="false" hidden="true" name="IQ_EST_ACT_FFO_SHARE_SHARE_THOM" vbProcedure="false">"c4005"</definedName>
    <definedName function="false" hidden="true" name="IQ_EST_ACT_FFO_THOM" vbProcedure="false">"c4005"</definedName>
    <definedName function="false" hidden="true" name="IQ_EST_ACT_NAV_SHARE_REUT" vbProcedure="false">"c5616"</definedName>
    <definedName function="false" hidden="true" name="IQ_EST_ACT_NET_DEBT_REUT" vbProcedure="false">"c5446"</definedName>
    <definedName function="false" hidden="true" name="IQ_EST_ACT_NI_GW_REUT" vbProcedure="false">"c5381"</definedName>
    <definedName function="false" hidden="true" name="IQ_EST_ACT_NI_REPORTED_REUT" vbProcedure="false">"c5388"</definedName>
    <definedName function="false" hidden="true" name="IQ_EST_ACT_NI_REUT" vbProcedure="false">"c5374"</definedName>
    <definedName function="false" hidden="true" name="IQ_EST_ACT_OPER_INC_REUT" vbProcedure="false">"c5346"</definedName>
    <definedName function="false" hidden="true" name="IQ_EST_ACT_PRETAX_GW_INC_REUT" vbProcedure="false">"c5360"</definedName>
    <definedName function="false" hidden="true" name="IQ_EST_ACT_PRETAX_INC_REUT" vbProcedure="false">"c5353"</definedName>
    <definedName function="false" hidden="true" name="IQ_EST_ACT_PRETAX_REPORT_INC_REUT" vbProcedure="false">"c5367"</definedName>
    <definedName function="false" hidden="true" name="IQ_EST_ACT_RETURN_ASSETS_REUT" vbProcedure="false">"c3996"</definedName>
    <definedName function="false" hidden="true" name="IQ_EST_ACT_RETURN_EQUITY_REUT" vbProcedure="false">"c3989"</definedName>
    <definedName function="false" hidden="true" name="IQ_EST_ACT_REV_REUT" vbProcedure="false">"c3835"</definedName>
    <definedName function="false" hidden="true" name="IQ_EST_BV_DIFF_CIQ" vbProcedure="false">"c4765"</definedName>
    <definedName function="false" hidden="true" name="IQ_EST_BV_DIFF_REUT" vbProcedure="false">"c5433"</definedName>
    <definedName function="false" hidden="true" name="IQ_EST_BV_DIFF_THOM" vbProcedure="false">"c5204"</definedName>
    <definedName function="false" hidden="true" name="IQ_EST_BV_SURPRISE_PERCENT_CIQ" vbProcedure="false">"c4766"</definedName>
    <definedName function="false" hidden="true" name="IQ_EST_BV_SURPRISE_PERCENT_REUT" vbProcedure="false">"c5434"</definedName>
    <definedName function="false" hidden="true" name="IQ_EST_BV_SURPRISE_PERCENT_THOM" vbProcedure="false">"c5205"</definedName>
    <definedName function="false" hidden="true" name="IQ_EST_CAPEX_GROWTH_1YR_REUT" vbProcedure="false">"c5447"</definedName>
    <definedName function="false" hidden="true" name="IQ_EST_CAPEX_GROWTH_2YR_REUT" vbProcedure="false">"c5448"</definedName>
    <definedName function="false" hidden="true" name="IQ_EST_CAPEX_GROWTH_Q_1YR_REUT" vbProcedure="false">"c5449"</definedName>
    <definedName function="false" hidden="true" name="IQ_EST_CAPEX_SEQ_GROWTH_Q_REUT" vbProcedure="false">"c5450"</definedName>
    <definedName function="false" hidden="true" name="IQ_EST_CFPS_DIFF_REUT" vbProcedure="false">"c3892"</definedName>
    <definedName function="false" hidden="true" name="IQ_EST_CFPS_GROWTH_1YR_REUT" vbProcedure="false">"c3878"</definedName>
    <definedName function="false" hidden="true" name="IQ_EST_CFPS_GROWTH_2YR_REUT" vbProcedure="false">"c3879"</definedName>
    <definedName function="false" hidden="true" name="IQ_EST_CFPS_GROWTH_Q_1YR_REUT" vbProcedure="false">"c3880"</definedName>
    <definedName function="false" hidden="true" name="IQ_EST_CFPS_SEQ_GROWTH_Q_REUT" vbProcedure="false">"c3881"</definedName>
    <definedName function="false" hidden="true" name="IQ_EST_CFPS_SURPRISE_PERCENT_REUT" vbProcedure="false">"c3893"</definedName>
    <definedName function="false" hidden="true" name="IQ_EST_CURRENCY_REUT" vbProcedure="false">"c5437"</definedName>
    <definedName function="false" hidden="true" name="IQ_EST_DATE" vbProcedure="false">"c1634"</definedName>
    <definedName function="false" hidden="true" name="IQ_EST_DATE_REUT" vbProcedure="false">"c5438"</definedName>
    <definedName function="false" hidden="true" name="IQ_EST_DPS_DIFF_REUT" vbProcedure="false">"c3894"</definedName>
    <definedName function="false" hidden="true" name="IQ_EST_DPS_GROWTH_1YR_REUT" vbProcedure="false">"c3882"</definedName>
    <definedName function="false" hidden="true" name="IQ_EST_DPS_GROWTH_2YR_REUT" vbProcedure="false">"c3883"</definedName>
    <definedName function="false" hidden="true" name="IQ_EST_DPS_GROWTH_Q_1YR_REUT" vbProcedure="false">"c3884"</definedName>
    <definedName function="false" hidden="true" name="IQ_EST_DPS_SEQ_GROWTH_Q_REUT" vbProcedure="false">"c3885"</definedName>
    <definedName function="false" hidden="true" name="IQ_EST_DPS_SURPRISE_PERCENT_REUT" vbProcedure="false">"c3895"</definedName>
    <definedName function="false" hidden="true" name="IQ_EST_EBITDA_DIFF_REUT" vbProcedure="false">"c3888"</definedName>
    <definedName function="false" hidden="true" name="IQ_EST_EBITDA_GROWTH_1YR_REUT" vbProcedure="false">"c3864"</definedName>
    <definedName function="false" hidden="true" name="IQ_EST_EBITDA_GROWTH_2YR_REUT" vbProcedure="false">"c3865"</definedName>
    <definedName function="false" hidden="true" name="IQ_EST_EBITDA_GROWTH_Q_1YR_REUT" vbProcedure="false">"c3866"</definedName>
    <definedName function="false" hidden="true" name="IQ_EST_EBITDA_SEQ_GROWTH_Q_REUT" vbProcedure="false">"c3867"</definedName>
    <definedName function="false" hidden="true" name="IQ_EST_EBITDA_SURPRISE_PERCENT_REUT" vbProcedure="false">"c3889"</definedName>
    <definedName function="false" hidden="true" name="IQ_EST_EBIT_DIFF_REUT" vbProcedure="false">"c5413"</definedName>
    <definedName function="false" hidden="true" name="IQ_EST_EBIT_SURPRISE_PERCENT_REUT" vbProcedure="false">"c5414"</definedName>
    <definedName function="false" hidden="true" name="IQ_EST_EPS_DIFF_REUT" vbProcedure="false">"c5458"</definedName>
    <definedName function="false" hidden="true" name="IQ_EST_EPS_GROWTH_1YR" vbProcedure="false">"c1636"</definedName>
    <definedName function="false" hidden="true" name="IQ_EST_EPS_GROWTH_1YR_REUT" vbProcedure="false">"c3646"</definedName>
    <definedName function="false" hidden="true" name="IQ_EST_EPS_GROWTH_2YR" vbProcedure="false">"c1637"</definedName>
    <definedName function="false" hidden="true" name="IQ_EST_EPS_GROWTH_2YR_REUT" vbProcedure="false">"c3858"</definedName>
    <definedName function="false" hidden="true" name="IQ_EST_EPS_GROWTH_5YR_BOTTOM_UP_REUT" vbProcedure="false">"c5495"</definedName>
    <definedName function="false" hidden="true" name="IQ_EST_EPS_GROWTH_5YR_HIGH_REUT" vbProcedure="false">"c5322"</definedName>
    <definedName function="false" hidden="true" name="IQ_EST_EPS_GROWTH_5YR_LOW_REUT" vbProcedure="false">"c5323"</definedName>
    <definedName function="false" hidden="true" name="IQ_EST_EPS_GROWTH_5YR_MEDIAN_REUT" vbProcedure="false">"c5321"</definedName>
    <definedName function="false" hidden="true" name="IQ_EST_EPS_GROWTH_5YR_NUM_REUT" vbProcedure="false">"c5324"</definedName>
    <definedName function="false" hidden="true" name="IQ_EST_EPS_GROWTH_5YR_REUT" vbProcedure="false">"c3633"</definedName>
    <definedName function="false" hidden="true" name="IQ_EST_EPS_GROWTH_5YR_STDDEV_REUT" vbProcedure="false">"c5325"</definedName>
    <definedName function="false" hidden="true" name="IQ_EST_EPS_GROWTH_Q_1YR" vbProcedure="false">"c1641"</definedName>
    <definedName function="false" hidden="true" name="IQ_EST_EPS_GROWTH_Q_1YR_REUT" vbProcedure="false">"c5410"</definedName>
    <definedName function="false" hidden="true" name="IQ_EST_EPS_GW_DIFF_REUT" vbProcedure="false">"c5429"</definedName>
    <definedName function="false" hidden="true" name="IQ_EST_EPS_GW_SURPRISE_PERCENT_REUT" vbProcedure="false">"c5430"</definedName>
    <definedName function="false" hidden="true" name="IQ_EST_EPS_NORM_DIFF_REUT" vbProcedure="false">"c5411"</definedName>
    <definedName function="false" hidden="true" name="IQ_EST_EPS_NORM_SURPRISE_PERCENT_REUT" vbProcedure="false">"c5412"</definedName>
    <definedName function="false" hidden="true" name="IQ_EST_EPS_REPORT_DIFF_REUT" vbProcedure="false">"c5431"</definedName>
    <definedName function="false" hidden="true" name="IQ_EST_EPS_REPORT_SURPRISE_PERCENT_REUT" vbProcedure="false">"c5432"</definedName>
    <definedName function="false" hidden="true" name="IQ_EST_EPS_SEQ_GROWTH_Q_REUT" vbProcedure="false">"c3859"</definedName>
    <definedName function="false" hidden="true" name="IQ_EST_EPS_SURPRISE" vbProcedure="false">"c1635"</definedName>
    <definedName function="false" hidden="true" name="IQ_EST_EPS_SURPRISE_PERCENT_REUT" vbProcedure="false">"c5459"</definedName>
    <definedName function="false" hidden="true" name="IQ_EST_FFO_DIFF_REUT" vbProcedure="false">"c3890"</definedName>
    <definedName function="false" hidden="true" name="IQ_EST_FFO_DIFF_THOM" vbProcedure="false">"c5186"</definedName>
    <definedName function="false" hidden="true" name="IQ_EST_FFO_GROWTH_1YR_REUT" vbProcedure="false">"c3874"</definedName>
    <definedName function="false" hidden="true" name="IQ_EST_FFO_GROWTH_2YR_REUT" vbProcedure="false">"c3875"</definedName>
    <definedName function="false" hidden="true" name="IQ_EST_FFO_GROWTH_Q_1YR_REUT" vbProcedure="false">"c3876"</definedName>
    <definedName function="false" hidden="true" name="IQ_EST_FFO_SEQ_GROWTH_Q_REUT" vbProcedure="false">"c3877"</definedName>
    <definedName function="false" hidden="true" name="IQ_EST_FFO_SHARE_DIFF_REUT" vbProcedure="false">"c3890"</definedName>
    <definedName function="false" hidden="true" name="IQ_EST_FFO_SHARE_SHARE_DIFF_REUT" vbProcedure="false">"c3890"</definedName>
    <definedName function="false" hidden="true" name="IQ_EST_FFO_SHARE_SHARE_DIFF_THOM" vbProcedure="false">"c5186"</definedName>
    <definedName function="false" hidden="true" name="IQ_EST_FFO_SHARE_SHARE_SURPRISE_PERCENT_REUT" vbProcedure="false">"c3891"</definedName>
    <definedName function="false" hidden="true" name="IQ_EST_FFO_SHARE_SHARE_SURPRISE_PERCENT_THOM" vbProcedure="false">"c5187"</definedName>
    <definedName function="false" hidden="true" name="IQ_EST_FFO_SHARE_SURPRISE_PERCENT_REUT" vbProcedure="false">"c3891"</definedName>
    <definedName function="false" hidden="true" name="IQ_EST_FFO_SURPRISE_PERCENT_REUT" vbProcedure="false">"c3891"</definedName>
    <definedName function="false" hidden="true" name="IQ_EST_FFO_SURPRISE_PERCENT_THOM" vbProcedure="false">"c5187"</definedName>
    <definedName function="false" hidden="true" name="IQ_EST_FOOTNOTE_REUT" vbProcedure="false">"c5478"</definedName>
    <definedName function="false" hidden="true" name="IQ_EST_NI_DIFF_REUT" vbProcedure="false">"c5423"</definedName>
    <definedName function="false" hidden="true" name="IQ_EST_NI_GW_DIFF_REUT" vbProcedure="false">"c5425"</definedName>
    <definedName function="false" hidden="true" name="IQ_EST_NI_GW_SURPRISE_PERCENT_REUT" vbProcedure="false">"c5426"</definedName>
    <definedName function="false" hidden="true" name="IQ_EST_NI_REPORT_DIFF_REUT" vbProcedure="false">"c5427"</definedName>
    <definedName function="false" hidden="true" name="IQ_EST_NI_REPORT_SURPRISE_PERCENT_REUT" vbProcedure="false">"c5428"</definedName>
    <definedName function="false" hidden="true" name="IQ_EST_NI_SURPRISE_PERCENT_REUT" vbProcedure="false">"c5424"</definedName>
    <definedName function="false" hidden="true" name="IQ_EST_NUM_BUY_CIQ" vbProcedure="false">"c3700"</definedName>
    <definedName function="false" hidden="true" name="IQ_EST_NUM_BUY_REUT" vbProcedure="false">"c3869"</definedName>
    <definedName function="false" hidden="true" name="IQ_EST_NUM_BUY_THOM" vbProcedure="false">"c5165"</definedName>
    <definedName function="false" hidden="true" name="IQ_EST_NUM_HIGHEST_REC_REUT" vbProcedure="false">"c3869"</definedName>
    <definedName function="false" hidden="true" name="IQ_EST_NUM_HIGH_REC_REUT" vbProcedure="false">"c3870"</definedName>
    <definedName function="false" hidden="true" name="IQ_EST_NUM_HOLD_CIQ" vbProcedure="false">"c3702"</definedName>
    <definedName function="false" hidden="true" name="IQ_EST_NUM_HOLD_REUT" vbProcedure="false">"c3871"</definedName>
    <definedName function="false" hidden="true" name="IQ_EST_NUM_HOLD_THOM" vbProcedure="false">"c5167"</definedName>
    <definedName function="false" hidden="true" name="IQ_EST_NUM_LOWEST_REC_REUT" vbProcedure="false">"c3873"</definedName>
    <definedName function="false" hidden="true" name="IQ_EST_NUM_LOW_REC_REUT" vbProcedure="false">"c3872"</definedName>
    <definedName function="false" hidden="true" name="IQ_EST_NUM_NEUTRAL_REC_REUT" vbProcedure="false">"c3871"</definedName>
    <definedName function="false" hidden="true" name="IQ_EST_NUM_NO_OPINION_REUT" vbProcedure="false">"c3868"</definedName>
    <definedName function="false" hidden="true" name="IQ_EST_NUM_OUTPERFORM_CIQ" vbProcedure="false">"c3701"</definedName>
    <definedName function="false" hidden="true" name="IQ_EST_NUM_OUTPERFORM_REUT" vbProcedure="false">"c3870"</definedName>
    <definedName function="false" hidden="true" name="IQ_EST_NUM_OUTPERFORM_THOM" vbProcedure="false">"c5166"</definedName>
    <definedName function="false" hidden="true" name="IQ_EST_NUM_SELL_CIQ" vbProcedure="false">"c3704"</definedName>
    <definedName function="false" hidden="true" name="IQ_EST_NUM_SELL_REUT" vbProcedure="false">"c3873"</definedName>
    <definedName function="false" hidden="true" name="IQ_EST_NUM_SELL_THOM" vbProcedure="false">"c5169"</definedName>
    <definedName function="false" hidden="true" name="IQ_EST_NUM_UNDERPERFORM_CIQ" vbProcedure="false">"c3703"</definedName>
    <definedName function="false" hidden="true" name="IQ_EST_NUM_UNDERPERFORM_REUT" vbProcedure="false">"c3872"</definedName>
    <definedName function="false" hidden="true" name="IQ_EST_NUM_UNDERPERFORM_THOM" vbProcedure="false">"c5168"</definedName>
    <definedName function="false" hidden="true" name="IQ_EST_OPER_INC_DIFF_REUT" vbProcedure="false">"c5415"</definedName>
    <definedName function="false" hidden="true" name="IQ_EST_OPER_INC_SURPRISE_PERCENT_REUT" vbProcedure="false">"c5416"</definedName>
    <definedName function="false" hidden="true" name="IQ_EST_PRE_TAX_DIFF_REUT" vbProcedure="false">"c5417"</definedName>
    <definedName function="false" hidden="true" name="IQ_EST_PRE_TAX_GW_DIFF_REUT" vbProcedure="false">"c5419"</definedName>
    <definedName function="false" hidden="true" name="IQ_EST_PRE_TAX_GW_SURPRISE_PERCENT_REUT" vbProcedure="false">"c5420"</definedName>
    <definedName function="false" hidden="true" name="IQ_EST_PRE_TAX_REPORT_DIFF_REUT" vbProcedure="false">"c5421"</definedName>
    <definedName function="false" hidden="true" name="IQ_EST_PRE_TAX_REPORT_SURPRISE_PERCENT_REUT" vbProcedure="false">"c5422"</definedName>
    <definedName function="false" hidden="true" name="IQ_EST_PRE_TAX_SURPRISE_PERCENT_REUT" vbProcedure="false">"c5418"</definedName>
    <definedName function="false" hidden="true" name="IQ_EST_REV_DIFF_REUT" vbProcedure="false">"c3886"</definedName>
    <definedName function="false" hidden="true" name="IQ_EST_REV_GROWTH_1YR" vbProcedure="false">"c1638"</definedName>
    <definedName function="false" hidden="true" name="IQ_EST_REV_GROWTH_1YR_REUT" vbProcedure="false">"c3860"</definedName>
    <definedName function="false" hidden="true" name="IQ_EST_REV_GROWTH_2YR" vbProcedure="false">"c1639"</definedName>
    <definedName function="false" hidden="true" name="IQ_EST_REV_GROWTH_2YR_REUT" vbProcedure="false">"c3861"</definedName>
    <definedName function="false" hidden="true" name="IQ_EST_REV_GROWTH_Q_1YR" vbProcedure="false">"c1640"</definedName>
    <definedName function="false" hidden="true" name="IQ_EST_REV_GROWTH_Q_1YR_REUT" vbProcedure="false">"c3862"</definedName>
    <definedName function="false" hidden="true" name="IQ_EST_REV_SEQ_GROWTH_Q_REUT" vbProcedure="false">"c3863"</definedName>
    <definedName function="false" hidden="true" name="IQ_EST_REV_SURPRISE_PERCENT_REUT" vbProcedure="false">"c3887"</definedName>
    <definedName function="false" hidden="true" name="IQ_EV_OVER_EMPLOYEE" vbProcedure="false">"c1225"</definedName>
    <definedName function="false" hidden="true" name="IQ_EV_OVER_LTM_EBIT" vbProcedure="false">"c1221"</definedName>
    <definedName function="false" hidden="true" name="IQ_EV_OVER_LTM_EBITDA" vbProcedure="false">"c1223"</definedName>
    <definedName function="false" hidden="true" name="IQ_EV_OVER_LTM_REVENUE" vbProcedure="false">"c1227"</definedName>
    <definedName function="false" hidden="true" name="IQ_EV_OVER_REVENUE_EST" vbProcedure="false">"IQ_EV_OVER_REVENUE_EST"</definedName>
    <definedName function="false" hidden="true" name="IQ_EV_OVER_REVENUE_EST_1" vbProcedure="false">"IQ_EV_OVER_REVENUE_EST_1"</definedName>
    <definedName function="false" hidden="true" name="IQ_EXCHANGE" vbProcedure="false">"c405"</definedName>
    <definedName function="false" hidden="true" name="IQ_EXERCISE_PRICE" vbProcedure="false">"c406"</definedName>
    <definedName function="false" hidden="true" name="IQ_EXPENSE_CODE_" vbProcedure="false">"test"</definedName>
    <definedName function="false" hidden="true" name="IQ_EXPLORE_DRILL" vbProcedure="false">"c409"</definedName>
    <definedName function="false" hidden="true" name="IQ_EXPORTS_APR_FC_UNUSED_UNUSED_UNUSED" vbProcedure="false">"c8401"</definedName>
    <definedName function="false" hidden="true" name="IQ_EXPORTS_APR_UNUSED_UNUSED_UNUSED" vbProcedure="false">"c7521"</definedName>
    <definedName function="false" hidden="true" name="IQ_EXPORTS_FC_UNUSED_UNUSED_UNUSED" vbProcedure="false">"c7741"</definedName>
    <definedName function="false" hidden="true" name="IQ_EXPORTS_GOODS_REAL_SAAR_APR_FC_UNUSED_UNUSED_UNUSED" vbProcedure="false">"c8512"</definedName>
    <definedName function="false" hidden="true" name="IQ_EXPORTS_GOODS_REAL_SAAR_APR_UNUSED_UNUSED_UNUSED" vbProcedure="false">"c7632"</definedName>
    <definedName function="false" hidden="true" name="IQ_EXPORTS_GOODS_REAL_SAAR_FC_UNUSED_UNUSED_UNUSED" vbProcedure="false">"c7852"</definedName>
    <definedName function="false" hidden="true" name="IQ_EXPORTS_GOODS_REAL_SAAR_POP_FC_UNUSED_UNUSED_UNUSED" vbProcedure="false">"c8072"</definedName>
    <definedName function="false" hidden="true" name="IQ_EXPORTS_GOODS_REAL_SAAR_POP_UNUSED_UNUSED_UNUSED" vbProcedure="false">"c7192"</definedName>
    <definedName function="false" hidden="true" name="IQ_EXPORTS_GOODS_REAL_SAAR_UNUSED_UNUSED_UNUSED" vbProcedure="false">"c6972"</definedName>
    <definedName function="false" hidden="true" name="IQ_EXPORTS_GOODS_REAL_SAAR_YOY_FC_UNUSED_UNUSED_UNUSED" vbProcedure="false">"c8292"</definedName>
    <definedName function="false" hidden="true" name="IQ_EXPORTS_GOODS_REAL_SAAR_YOY_UNUSED_UNUSED_UNUSED" vbProcedure="false">"c7412"</definedName>
    <definedName function="false" hidden="true" name="IQ_EXPORTS_POP_FC_UNUSED_UNUSED_UNUSED" vbProcedure="false">"c7961"</definedName>
    <definedName function="false" hidden="true" name="IQ_EXPORTS_POP_UNUSED_UNUSED_UNUSED" vbProcedure="false">"c7081"</definedName>
    <definedName function="false" hidden="true" name="IQ_EXPORTS_SERVICES_REAL_SAAR_APR_FC_UNUSED_UNUSED_UNUSED" vbProcedure="false">"c8516"</definedName>
    <definedName function="false" hidden="true" name="IQ_EXPORTS_SERVICES_REAL_SAAR_APR_UNUSED_UNUSED_UNUSED" vbProcedure="false">"c7636"</definedName>
    <definedName function="false" hidden="true" name="IQ_EXPORTS_SERVICES_REAL_SAAR_FC_UNUSED_UNUSED_UNUSED" vbProcedure="false">"c7856"</definedName>
    <definedName function="false" hidden="true" name="IQ_EXPORTS_SERVICES_REAL_SAAR_POP_FC_UNUSED_UNUSED_UNUSED" vbProcedure="false">"c8076"</definedName>
    <definedName function="false" hidden="true" name="IQ_EXPORTS_SERVICES_REAL_SAAR_POP_UNUSED_UNUSED_UNUSED" vbProcedure="false">"c7196"</definedName>
    <definedName function="false" hidden="true" name="IQ_EXPORTS_SERVICES_REAL_SAAR_UNUSED_UNUSED_UNUSED" vbProcedure="false">"c6976"</definedName>
    <definedName function="false" hidden="true" name="IQ_EXPORTS_SERVICES_REAL_SAAR_YOY_FC_UNUSED_UNUSED_UNUSED" vbProcedure="false">"c8296"</definedName>
    <definedName function="false" hidden="true" name="IQ_EXPORTS_SERVICES_REAL_SAAR_YOY_UNUSED_UNUSED_UNUSED" vbProcedure="false">"c7416"</definedName>
    <definedName function="false" hidden="true" name="IQ_EXPORTS_UNUSED_UNUSED_UNUSED" vbProcedure="false">"c6861"</definedName>
    <definedName function="false" hidden="true" name="IQ_EXPORTS_YOY_FC_UNUSED_UNUSED_UNUSED" vbProcedure="false">"c8181"</definedName>
    <definedName function="false" hidden="true" name="IQ_EXPORTS_YOY_UNUSED_UNUSED_UNUSED" vbProcedure="false">"c7301"</definedName>
    <definedName function="false" hidden="true" name="IQ_EXP_RETURN_PENSION_DOMESTIC" vbProcedure="false">"c407"</definedName>
    <definedName function="false" hidden="true" name="IQ_EXP_RETURN_PENSION_FOREIGN" vbProcedure="false">"c408"</definedName>
    <definedName function="false" hidden="true" name="IQ_EXTRAORDINARY_GAINS_FDIC" vbProcedure="false">"c6586"</definedName>
    <definedName function="false" hidden="true" name="IQ_EXTRA_ACC_ITEMS" vbProcedure="false">"c410"</definedName>
    <definedName function="false" hidden="true" name="IQ_EXTRA_ACC_ITEMS_BNK" vbProcedure="false">"c411"</definedName>
    <definedName function="false" hidden="true" name="IQ_EXTRA_ACC_ITEMS_BR" vbProcedure="false">"c412"</definedName>
    <definedName function="false" hidden="true" name="IQ_EXTRA_ACC_ITEMS_FIN" vbProcedure="false">"c413"</definedName>
    <definedName function="false" hidden="true" name="IQ_EXTRA_ACC_ITEMS_INS" vbProcedure="false">"c414"</definedName>
    <definedName function="false" hidden="true" name="IQ_EXTRA_ACC_ITEMS_REIT" vbProcedure="false">"c415"</definedName>
    <definedName function="false" hidden="true" name="IQ_EXTRA_ACC_ITEMS_UTI" vbProcedure="false">"c416"</definedName>
    <definedName function="false" hidden="true" name="IQ_EXTRA_ITEMS" vbProcedure="false">"c413"</definedName>
    <definedName function="false" hidden="true" name="IQ_EXTRA_ITEMS_OTHER_ADJUSTMENTS_FOREIGN_FFIEC" vbProcedure="false">"c15392"</definedName>
    <definedName function="false" hidden="true" name="IQ_FAIR_VALUE_FDIC" vbProcedure="false">"c6427"</definedName>
    <definedName function="false" hidden="true" name="IQ_FARMLAND_DOM_FFIEC" vbProcedure="false">"c15268"</definedName>
    <definedName function="false" hidden="true" name="IQ_FARMLAND_LOANS_FDIC" vbProcedure="false">"c6314"</definedName>
    <definedName function="false" hidden="true" name="IQ_FARM_LOANS_NET_FDIC" vbProcedure="false">"c6316"</definedName>
    <definedName function="false" hidden="true" name="IQ_FARM_LOANS_TOTAL_LOANS_FOREIGN_FDIC" vbProcedure="false">"c6450"</definedName>
    <definedName function="false" hidden="true" name="IQ_FDIC" vbProcedure="false">"c417"</definedName>
    <definedName function="false" hidden="true" name="IQ_FED_FUNDS_PURCHASED_FDIC" vbProcedure="false">"c6343"</definedName>
    <definedName function="false" hidden="true" name="IQ_FED_FUNDS_PURCH_SEC_SOLD_FAIR_VALUE_TOT_FFIEC" vbProcedure="false">"c15406"</definedName>
    <definedName function="false" hidden="true" name="IQ_FED_FUNDS_PURCH_SEC_SOLD_LEVEL_1_FFIEC" vbProcedure="false">"c15428"</definedName>
    <definedName function="false" hidden="true" name="IQ_FED_FUNDS_PURCH_SEC_SOLD_LEVEL_2_FFIEC" vbProcedure="false">"c15441"</definedName>
    <definedName function="false" hidden="true" name="IQ_FED_FUNDS_PURCH_SEC_SOLD_LEVEL_3_FFIEC" vbProcedure="false">"c15454"</definedName>
    <definedName function="false" hidden="true" name="IQ_FED_FUNDS_SOLD_FDIC" vbProcedure="false">"c6307"</definedName>
    <definedName function="false" hidden="true" name="IQ_FED_FUNDS_SOLD_SEC_PURCH_FAIR_VALUE_TOT_FFIEC" vbProcedure="false">"c15402"</definedName>
    <definedName function="false" hidden="true" name="IQ_FED_FUNDS_SOLD_SEC_PURCH_LEVEL_1_FFIEC" vbProcedure="false">"c15424"</definedName>
    <definedName function="false" hidden="true" name="IQ_FED_FUNDS_SOLD_SEC_PURCH_LEVEL_2_FFIEC" vbProcedure="false">"c15437"</definedName>
    <definedName function="false" hidden="true" name="IQ_FED_FUNDS_SOLD_SEC_PURCH_LEVEL_3_FFIEC" vbProcedure="false">"c15450"</definedName>
    <definedName function="false" hidden="true" name="IQ_FED_FUND_PURCHASED_SEC_SOLD_REPURCHASE_FFIEC" vbProcedure="false">"c15489"</definedName>
    <definedName function="false" hidden="true" name="IQ_FED_FUND_SOLD_SEC_PURCHASED_RESELL_FFIEC" vbProcedure="false">"c15488"</definedName>
    <definedName function="false" hidden="true" name="IQ_FEES_OTHER_INCOME" vbProcedure="false">"c15257"</definedName>
    <definedName function="false" hidden="true" name="IQ_FFO" vbProcedure="false">"c1574"</definedName>
    <definedName function="false" hidden="true" name="IQ_FFO_ADJ_EST_CIQ" vbProcedure="false">"c4959"</definedName>
    <definedName function="false" hidden="true" name="IQ_FFO_ADJ_HIGH_EST_CIQ" vbProcedure="false">"c4962"</definedName>
    <definedName function="false" hidden="true" name="IQ_FFO_ADJ_LOW_EST_CIQ" vbProcedure="false">"c4963"</definedName>
    <definedName function="false" hidden="true" name="IQ_FFO_ADJ_MEDIAN_EST_CIQ" vbProcedure="false">"c4964"</definedName>
    <definedName function="false" hidden="true" name="IQ_FFO_ADJ_NUM_EST_CIQ" vbProcedure="false">"c4965"</definedName>
    <definedName function="false" hidden="true" name="IQ_FFO_ADJ_STDDEV_EST_CIQ" vbProcedure="false">"c4966"</definedName>
    <definedName function="false" hidden="true" name="IQ_FFO_EST" vbProcedure="false">"c418"</definedName>
    <definedName function="false" hidden="true" name="IQ_FFO_EST_CIQ" vbProcedure="false">"c4970"</definedName>
    <definedName function="false" hidden="true" name="IQ_FFO_EST_DET_EST" vbProcedure="false">"c12059"</definedName>
    <definedName function="false" hidden="true" name="IQ_FFO_EST_DET_EST_CIQ" vbProcedure="false">"c12121"</definedName>
    <definedName function="false" hidden="true" name="IQ_FFO_EST_DET_EST_CURRENCY" vbProcedure="false">"c12466"</definedName>
    <definedName function="false" hidden="true" name="IQ_FFO_EST_DET_EST_CURRENCY_CIQ" vbProcedure="false">"c12512"</definedName>
    <definedName function="false" hidden="true" name="IQ_FFO_EST_DET_EST_CURRENCY_REUT" vbProcedure="false">"c12536"</definedName>
    <definedName function="false" hidden="true" name="IQ_FFO_EST_DET_EST_CURRENCY_THOM" vbProcedure="false">"c12487"</definedName>
    <definedName function="false" hidden="true" name="IQ_FFO_EST_DET_EST_DATE" vbProcedure="false">"c12212"</definedName>
    <definedName function="false" hidden="true" name="IQ_FFO_EST_DET_EST_DATE_CIQ" vbProcedure="false">"c12267"</definedName>
    <definedName function="false" hidden="true" name="IQ_FFO_EST_DET_EST_DATE_REUT" vbProcedure="false">"c12295"</definedName>
    <definedName function="false" hidden="true" name="IQ_FFO_EST_DET_EST_DATE_THOM" vbProcedure="false">"c12238"</definedName>
    <definedName function="false" hidden="true" name="IQ_FFO_EST_DET_EST_INCL" vbProcedure="false">"c12349"</definedName>
    <definedName function="false" hidden="true" name="IQ_FFO_EST_DET_EST_INCL_CIQ" vbProcedure="false">"c12395"</definedName>
    <definedName function="false" hidden="true" name="IQ_FFO_EST_DET_EST_INCL_REUT" vbProcedure="false">"c12419"</definedName>
    <definedName function="false" hidden="true" name="IQ_FFO_EST_DET_EST_INCL_THOM" vbProcedure="false">"c12370"</definedName>
    <definedName function="false" hidden="true" name="IQ_FFO_EST_DET_EST_ORIGIN" vbProcedure="false">"c12722"</definedName>
    <definedName function="false" hidden="true" name="IQ_FFO_EST_DET_EST_ORIGIN_CIQ" vbProcedure="false">"c12720"</definedName>
    <definedName function="false" hidden="true" name="IQ_FFO_EST_DET_EST_ORIGIN_REUT" vbProcedure="false">"c12724"</definedName>
    <definedName function="false" hidden="true" name="IQ_FFO_EST_DET_EST_ORIGIN_THOM" vbProcedure="false">"c12608"</definedName>
    <definedName function="false" hidden="true" name="IQ_FFO_EST_DET_EST_REUT" vbProcedure="false">"c12153"</definedName>
    <definedName function="false" hidden="true" name="IQ_FFO_EST_DET_EST_THOM" vbProcedure="false">"c12088"</definedName>
    <definedName function="false" hidden="true" name="IQ_FFO_EST_REUT" vbProcedure="false">"c3837"</definedName>
    <definedName function="false" hidden="true" name="IQ_FFO_EST_THOM" vbProcedure="false">"c3999"</definedName>
    <definedName function="false" hidden="true" name="IQ_FFO_HIGH_EST" vbProcedure="false">"c419"</definedName>
    <definedName function="false" hidden="true" name="IQ_FFO_HIGH_EST_CIQ" vbProcedure="false">"c4977"</definedName>
    <definedName function="false" hidden="true" name="IQ_FFO_HIGH_EST_REUT" vbProcedure="false">"c3839"</definedName>
    <definedName function="false" hidden="true" name="IQ_FFO_HIGH_EST_THOM" vbProcedure="false">"c4001"</definedName>
    <definedName function="false" hidden="true" name="IQ_FFO_LOW_EST" vbProcedure="false">"c420"</definedName>
    <definedName function="false" hidden="true" name="IQ_FFO_LOW_EST_CIQ" vbProcedure="false">"c4978"</definedName>
    <definedName function="false" hidden="true" name="IQ_FFO_LOW_EST_REUT" vbProcedure="false">"c3840"</definedName>
    <definedName function="false" hidden="true" name="IQ_FFO_LOW_EST_THOM" vbProcedure="false">"c4002"</definedName>
    <definedName function="false" hidden="true" name="IQ_FFO_MEDIAN_EST_CIQ" vbProcedure="false">"c4979"</definedName>
    <definedName function="false" hidden="true" name="IQ_FFO_MEDIAN_EST_REUT" vbProcedure="false">"c3838"</definedName>
    <definedName function="false" hidden="true" name="IQ_FFO_MEDIAN_EST_THOM" vbProcedure="false">"c4000"</definedName>
    <definedName function="false" hidden="true" name="IQ_FFO_NO_EST" vbProcedure="false">"c276"</definedName>
    <definedName function="false" hidden="true" name="IQ_FFO_NUM_EST" vbProcedure="false">"c421"</definedName>
    <definedName function="false" hidden="true" name="IQ_FFO_NUM_EST_CIQ" vbProcedure="false">"c4980"</definedName>
    <definedName function="false" hidden="true" name="IQ_FFO_NUM_EST_REUT" vbProcedure="false">"c3841"</definedName>
    <definedName function="false" hidden="true" name="IQ_FFO_NUM_EST_THOM" vbProcedure="false">"c4003"</definedName>
    <definedName function="false" hidden="true" name="IQ_FFO_SHARE_EST_DET_EST_CURRENCY_REUT" vbProcedure="false">"c12536"</definedName>
    <definedName function="false" hidden="true" name="IQ_FFO_SHARE_EST_DET_EST_DATE_REUT" vbProcedure="false">"c12295"</definedName>
    <definedName function="false" hidden="true" name="IQ_FFO_SHARE_EST_DET_EST_INCL_REUT" vbProcedure="false">"c12419"</definedName>
    <definedName function="false" hidden="true" name="IQ_FFO_SHARE_EST_DET_EST_ORIGIN_REUT" vbProcedure="false">"c12724"</definedName>
    <definedName function="false" hidden="true" name="IQ_FFO_SHARE_EST_DET_EST_REUT" vbProcedure="false">"c12153"</definedName>
    <definedName function="false" hidden="true" name="IQ_FFO_SHARE_EST_REUT" vbProcedure="false">"c3837"</definedName>
    <definedName function="false" hidden="true" name="IQ_FFO_SHARE_HIGH_EST_REUT" vbProcedure="false">"c3839"</definedName>
    <definedName function="false" hidden="true" name="IQ_FFO_SHARE_LOW_EST_REUT" vbProcedure="false">"c3840"</definedName>
    <definedName function="false" hidden="true" name="IQ_FFO_SHARE_MEDIAN_EST_REUT" vbProcedure="false">"c3838"</definedName>
    <definedName function="false" hidden="true" name="IQ_FFO_SHARE_NUM_EST_REUT" vbProcedure="false">"c3841"</definedName>
    <definedName function="false" hidden="true" name="IQ_FFO_SHARE_SHARE_EST_DET_EST" vbProcedure="false">"c12059"</definedName>
    <definedName function="false" hidden="true" name="IQ_FFO_SHARE_SHARE_EST_DET_EST_CURRENCY" vbProcedure="false">"c12466"</definedName>
    <definedName function="false" hidden="true" name="IQ_FFO_SHARE_SHARE_EST_DET_EST_CURRENCY_REUT" vbProcedure="false">"c12536"</definedName>
    <definedName function="false" hidden="true" name="IQ_FFO_SHARE_SHARE_EST_DET_EST_CURRENCY_THOM" vbProcedure="false">"c12487"</definedName>
    <definedName function="false" hidden="true" name="IQ_FFO_SHARE_SHARE_EST_DET_EST_DATE" vbProcedure="false">"c12212"</definedName>
    <definedName function="false" hidden="true" name="IQ_FFO_SHARE_SHARE_EST_DET_EST_DATE_REUT" vbProcedure="false">"c12295"</definedName>
    <definedName function="false" hidden="true" name="IQ_FFO_SHARE_SHARE_EST_DET_EST_DATE_THOM" vbProcedure="false">"c12238"</definedName>
    <definedName function="false" hidden="true" name="IQ_FFO_SHARE_SHARE_EST_DET_EST_INCL" vbProcedure="false">"c12349"</definedName>
    <definedName function="false" hidden="true" name="IQ_FFO_SHARE_SHARE_EST_DET_EST_INCL_REUT" vbProcedure="false">"c12419"</definedName>
    <definedName function="false" hidden="true" name="IQ_FFO_SHARE_SHARE_EST_DET_EST_INCL_THOM" vbProcedure="false">"c12370"</definedName>
    <definedName function="false" hidden="true" name="IQ_FFO_SHARE_SHARE_EST_DET_EST_ORIGIN" vbProcedure="false">"c12722"</definedName>
    <definedName function="false" hidden="true" name="IQ_FFO_SHARE_SHARE_EST_DET_EST_ORIGIN_REUT" vbProcedure="false">"c12724"</definedName>
    <definedName function="false" hidden="true" name="IQ_FFO_SHARE_SHARE_EST_DET_EST_ORIGIN_THOM" vbProcedure="false">"c12608"</definedName>
    <definedName function="false" hidden="true" name="IQ_FFO_SHARE_SHARE_EST_DET_EST_REUT" vbProcedure="false">"c12153"</definedName>
    <definedName function="false" hidden="true" name="IQ_FFO_SHARE_SHARE_EST_DET_EST_THOM" vbProcedure="false">"c12088"</definedName>
    <definedName function="false" hidden="true" name="IQ_FFO_SHARE_SHARE_EST_REUT" vbProcedure="false">"c3837"</definedName>
    <definedName function="false" hidden="true" name="IQ_FFO_SHARE_SHARE_EST_THOM" vbProcedure="false">"c3999"</definedName>
    <definedName function="false" hidden="true" name="IQ_FFO_SHARE_SHARE_HIGH_EST_REUT" vbProcedure="false">"c3839"</definedName>
    <definedName function="false" hidden="true" name="IQ_FFO_SHARE_SHARE_HIGH_EST_THOM" vbProcedure="false">"c4001"</definedName>
    <definedName function="false" hidden="true" name="IQ_FFO_SHARE_SHARE_LOW_EST_REUT" vbProcedure="false">"c3840"</definedName>
    <definedName function="false" hidden="true" name="IQ_FFO_SHARE_SHARE_LOW_EST_THOM" vbProcedure="false">"c4002"</definedName>
    <definedName function="false" hidden="true" name="IQ_FFO_SHARE_SHARE_MEDIAN_EST_REUT" vbProcedure="false">"c3838"</definedName>
    <definedName function="false" hidden="true" name="IQ_FFO_SHARE_SHARE_MEDIAN_EST_THOM" vbProcedure="false">"c4000"</definedName>
    <definedName function="false" hidden="true" name="IQ_FFO_SHARE_SHARE_NUM_EST_REUT" vbProcedure="false">"c3841"</definedName>
    <definedName function="false" hidden="true" name="IQ_FFO_SHARE_SHARE_NUM_EST_THOM" vbProcedure="false">"c4003"</definedName>
    <definedName function="false" hidden="true" name="IQ_FFO_SHARE_SHARE_STDDEV_EST_REUT" vbProcedure="false">"c3842"</definedName>
    <definedName function="false" hidden="true" name="IQ_FFO_SHARE_SHARE_STDDEV_EST_THOM" vbProcedure="false">"c4004"</definedName>
    <definedName function="false" hidden="true" name="IQ_FFO_SHARE_STDDEV_EST_REUT" vbProcedure="false">"c3842"</definedName>
    <definedName function="false" hidden="true" name="IQ_FFO_STDDEV_EST" vbProcedure="false">"c422"</definedName>
    <definedName function="false" hidden="true" name="IQ_FFO_STDDEV_EST_CIQ" vbProcedure="false">"c4981"</definedName>
    <definedName function="false" hidden="true" name="IQ_FFO_STDDEV_EST_REUT" vbProcedure="false">"c3842"</definedName>
    <definedName function="false" hidden="true" name="IQ_FFO_STDDEV_EST_THOM" vbProcedure="false">"c4004"</definedName>
    <definedName function="false" hidden="false" name="IQ_FH" vbProcedure="false">100000</definedName>
    <definedName function="false" hidden="true" name="IQ_FHLB_ADVANCES_FDIC" vbProcedure="false">"c6366"</definedName>
    <definedName function="false" hidden="true" name="IQ_FHLB_DEBT" vbProcedure="false">"c423"</definedName>
    <definedName function="false" hidden="true" name="IQ_FHLB_DUE_AFTER_FIVE" vbProcedure="false">"c2086"</definedName>
    <definedName function="false" hidden="true" name="IQ_FIDUCIARY_ACTIVITIES_FDIC" vbProcedure="false">"c6571"</definedName>
    <definedName function="false" hidden="true" name="IQ_FIFETEEN_YEAR_FIXED_AND_FLOATING_RATE_FDIC" vbProcedure="false">"c6423"</definedName>
    <definedName function="false" hidden="true" name="IQ_FIFETEEN_YEAR_MORTGAGE_PASS_THROUGHS_FDIC" vbProcedure="false">"c6415"</definedName>
    <definedName function="false" hidden="true" name="IQ_FII_12M_RETURN" vbProcedure="false">"c25807"</definedName>
    <definedName function="false" hidden="true" name="IQ_FII_3M_RETURN" vbProcedure="false">"c25808"</definedName>
    <definedName function="false" hidden="true" name="IQ_FII_6M_RETURN" vbProcedure="false">"c25809"</definedName>
    <definedName function="false" hidden="true" name="IQ_FII_AVGBIDSPREAD" vbProcedure="false">"c25820"</definedName>
    <definedName function="false" hidden="true" name="IQ_FII_CONVEX" vbProcedure="false">"c25799"</definedName>
    <definedName function="false" hidden="true" name="IQ_FII_COUPON" vbProcedure="false">"c25800"</definedName>
    <definedName function="false" hidden="true" name="IQ_FII_DAILY_RETURN" vbProcedure="false">"c25810"</definedName>
    <definedName function="false" hidden="true" name="IQ_FII_DURTW" vbProcedure="false">"c25802"</definedName>
    <definedName function="false" hidden="true" name="IQ_FII_EXCESS_RETURN" vbProcedure="false">"c25819"</definedName>
    <definedName function="false" hidden="true" name="IQ_FII_INDEXPRICE" vbProcedure="false">"c25806"</definedName>
    <definedName function="false" hidden="true" name="IQ_FII_MATURITY" vbProcedure="false">"c25804"</definedName>
    <definedName function="false" hidden="true" name="IQ_FII_MODDUR" vbProcedure="false">"c25801"</definedName>
    <definedName function="false" hidden="true" name="IQ_FII_MTD_RETURN_COUPON" vbProcedure="false">"c25813"</definedName>
    <definedName function="false" hidden="true" name="IQ_FII_MTD_RETURN_CURRENCY" vbProcedure="false">"c25814"</definedName>
    <definedName function="false" hidden="true" name="IQ_FII_MTD_RETURN_PAYDOWN" vbProcedure="false">"c25815"</definedName>
    <definedName function="false" hidden="true" name="IQ_FII_MTD_RETURN_PRICE" vbProcedure="false">"c25816"</definedName>
    <definedName function="false" hidden="true" name="IQ_FII_MTD_RETURN_TOTAL" vbProcedure="false">"c25812"</definedName>
    <definedName function="false" hidden="true" name="IQ_FII_MV" vbProcedure="false">"c25803"</definedName>
    <definedName function="false" hidden="true" name="IQ_FII_NUMISSUE" vbProcedure="false">"c25805"</definedName>
    <definedName function="false" hidden="true" name="IQ_FII_OAS" vbProcedure="false">"c25798"</definedName>
    <definedName function="false" hidden="true" name="IQ_FII_RETURN_INCEPTION" vbProcedure="false">"c25811"</definedName>
    <definedName function="false" hidden="true" name="IQ_FII_YTD_RETURN" vbProcedure="false">"c25817"</definedName>
    <definedName function="false" hidden="true" name="IQ_FII_YTW" vbProcedure="false">"c25818"</definedName>
    <definedName function="false" hidden="true" name="IQ_FILINGDATE_BS" vbProcedure="false">"c424"</definedName>
    <definedName function="false" hidden="true" name="IQ_FILINGDATE_CF" vbProcedure="false">"c425"</definedName>
    <definedName function="false" hidden="true" name="IQ_FILINGDATE_IS" vbProcedure="false">"c426"</definedName>
    <definedName function="false" hidden="true" name="IQ_FINANCING_CASH" vbProcedure="false">"c893"</definedName>
    <definedName function="false" hidden="true" name="IQ_FINANCING_CASH_SUPPL" vbProcedure="false">"c899"</definedName>
    <definedName function="false" hidden="true" name="IQ_FINISHED_INV" vbProcedure="false">"c438"</definedName>
    <definedName function="false" hidden="true" name="IQ_FIN_DIV_ASSETS_CURRENT" vbProcedure="false">"c427"</definedName>
    <definedName function="false" hidden="true" name="IQ_FIN_DIV_ASSETS_LT" vbProcedure="false">"c428"</definedName>
    <definedName function="false" hidden="true" name="IQ_FIN_DIV_CURRENT_PORT_DEBT_TOTAL" vbProcedure="false">"c5524"</definedName>
    <definedName function="false" hidden="true" name="IQ_FIN_DIV_CURRENT_PORT_LEASES_TOTAL" vbProcedure="false">"c5523"</definedName>
    <definedName function="false" hidden="true" name="IQ_FIN_DIV_DEBT_CURRENT" vbProcedure="false">"c429"</definedName>
    <definedName function="false" hidden="true" name="IQ_FIN_DIV_DEBT_LT" vbProcedure="false">"c430"</definedName>
    <definedName function="false" hidden="true" name="IQ_FIN_DIV_DEBT_LT_TOTAL" vbProcedure="false">"c5526"</definedName>
    <definedName function="false" hidden="true" name="IQ_FIN_DIV_EXP" vbProcedure="false">"c431"</definedName>
    <definedName function="false" hidden="true" name="IQ_FIN_DIV_INT_EXP" vbProcedure="false">"c432"</definedName>
    <definedName function="false" hidden="true" name="IQ_FIN_DIV_LEASES_LT_TOTAL" vbProcedure="false">"c5525"</definedName>
    <definedName function="false" hidden="true" name="IQ_FIN_DIV_LIAB_CURRENT" vbProcedure="false">"c433"</definedName>
    <definedName function="false" hidden="true" name="IQ_FIN_DIV_LIAB_LT" vbProcedure="false">"c434"</definedName>
    <definedName function="false" hidden="true" name="IQ_FIN_DIV_LOANS_CURRENT" vbProcedure="false">"c435"</definedName>
    <definedName function="false" hidden="true" name="IQ_FIN_DIV_LOANS_LT" vbProcedure="false">"c436"</definedName>
    <definedName function="false" hidden="true" name="IQ_FIN_DIV_NOTES_PAY_TOTAL" vbProcedure="false">"c5522"</definedName>
    <definedName function="false" hidden="true" name="IQ_FIN_DIV_REV" vbProcedure="false">"c437"</definedName>
    <definedName function="false" hidden="true" name="IQ_FIRST_YEAR_LIFE" vbProcedure="false">"c439"</definedName>
    <definedName function="false" hidden="true" name="IQ_FISCAL_Q" vbProcedure="false">"c440"</definedName>
    <definedName function="false" hidden="true" name="IQ_FISCAL_Q_EST_REUT" vbProcedure="false">"c6798"</definedName>
    <definedName function="false" hidden="true" name="IQ_FISCAL_Y" vbProcedure="false">"c441"</definedName>
    <definedName function="false" hidden="true" name="IQ_FISCAL_Y_EST_REUT" vbProcedure="false">"c6799"</definedName>
    <definedName function="false" hidden="true" name="IQ_FIVEPERCENT_OWNER" vbProcedure="false">"c239"</definedName>
    <definedName function="false" hidden="true" name="IQ_FIVEPERCENT_PERCENT" vbProcedure="false">"c443"</definedName>
    <definedName function="false" hidden="true" name="IQ_FIVEPERCENT_SHARES" vbProcedure="false">"c444"</definedName>
    <definedName function="false" hidden="true" name="IQ_FIVE_PERCENT_AMOUNT" vbProcedure="false">"c240"</definedName>
    <definedName function="false" hidden="true" name="IQ_FIVE_PERCENT_OWNER" vbProcedure="false">"c442"</definedName>
    <definedName function="false" hidden="true" name="IQ_FIVE_YEAR_FIXED_AND_FLOATING_RATE_FDIC" vbProcedure="false">"c6422"</definedName>
    <definedName function="false" hidden="true" name="IQ_FIVE_YEAR_MORTGAGE_PASS_THROUGHS_FDIC" vbProcedure="false">"c6414"</definedName>
    <definedName function="false" hidden="true" name="IQ_FIXED_ASSET_TURNS" vbProcedure="false">"c445"</definedName>
    <definedName function="false" hidden="true" name="IQ_FIXED_INVEST_APR_FC_UNUSED_UNUSED_UNUSED" vbProcedure="false">"c8410"</definedName>
    <definedName function="false" hidden="true" name="IQ_FIXED_INVEST_APR_UNUSED_UNUSED_UNUSED" vbProcedure="false">"c7530"</definedName>
    <definedName function="false" hidden="true" name="IQ_FIXED_INVEST_FC_UNUSED_UNUSED_UNUSED" vbProcedure="false">"c7750"</definedName>
    <definedName function="false" hidden="true" name="IQ_FIXED_INVEST_POP_FC_UNUSED_UNUSED_UNUSED" vbProcedure="false">"c7970"</definedName>
    <definedName function="false" hidden="true" name="IQ_FIXED_INVEST_POP_UNUSED_UNUSED_UNUSED" vbProcedure="false">"c7090"</definedName>
    <definedName function="false" hidden="true" name="IQ_FIXED_INVEST_REAL_APR_FC_UNUSED_UNUSED_UNUSED" vbProcedure="false">"c8518"</definedName>
    <definedName function="false" hidden="true" name="IQ_FIXED_INVEST_REAL_APR_UNUSED_UNUSED_UNUSED" vbProcedure="false">"c7638"</definedName>
    <definedName function="false" hidden="true" name="IQ_FIXED_INVEST_REAL_FC_UNUSED_UNUSED_UNUSED" vbProcedure="false">"c7858"</definedName>
    <definedName function="false" hidden="true" name="IQ_FIXED_INVEST_REAL_POP_FC_UNUSED_UNUSED_UNUSED" vbProcedure="false">"c8078"</definedName>
    <definedName function="false" hidden="true" name="IQ_FIXED_INVEST_REAL_POP_UNUSED_UNUSED_UNUSED" vbProcedure="false">"c7198"</definedName>
    <definedName function="false" hidden="true" name="IQ_FIXED_INVEST_REAL_UNUSED_UNUSED_UNUSED" vbProcedure="false">"c6978"</definedName>
    <definedName function="false" hidden="true" name="IQ_FIXED_INVEST_REAL_YOY_FC_UNUSED_UNUSED_UNUSED" vbProcedure="false">"c8298"</definedName>
    <definedName function="false" hidden="true" name="IQ_FIXED_INVEST_REAL_YOY_UNUSED_UNUSED_UNUSED" vbProcedure="false">"c7418"</definedName>
    <definedName function="false" hidden="true" name="IQ_FIXED_INVEST_UNUSED_UNUSED_UNUSED" vbProcedure="false">"c6870"</definedName>
    <definedName function="false" hidden="true" name="IQ_FIXED_INVEST_YOY_FC_UNUSED_UNUSED_UNUSED" vbProcedure="false">"c8190"</definedName>
    <definedName function="false" hidden="true" name="IQ_FIXED_INVEST_YOY_UNUSED_UNUSED_UNUSED" vbProcedure="false">"c7310"</definedName>
    <definedName function="false" hidden="true" name="IQ_FLOAT_PERCENT" vbProcedure="false">"c1575"</definedName>
    <definedName function="false" hidden="true" name="IQ_FNMA_FHLMC_FDIC" vbProcedure="false">"c6397"</definedName>
    <definedName function="false" hidden="true" name="IQ_FNMA_FHLMC_GNMA_FDIC" vbProcedure="false">"c6399"</definedName>
    <definedName function="false" hidden="true" name="IQ_FORECLOSED_PROPERTIES_FDIC" vbProcedure="false">"c6459"</definedName>
    <definedName function="false" hidden="true" name="IQ_FORECLOSED_PROP_GNMA_LOANS_FFIEC" vbProcedure="false">"c15272"</definedName>
    <definedName function="false" hidden="true" name="IQ_FOREIGN_BANKS_DEPOSITS_FOREIGN_FDIC" vbProcedure="false">"c6481"</definedName>
    <definedName function="false" hidden="true" name="IQ_FOREIGN_BANKS_LOAN_CHARG_OFFS_FDIC" vbProcedure="false">"c6645"</definedName>
    <definedName function="false" hidden="true" name="IQ_FOREIGN_BANKS_NET_CHARGE_OFFS_FDIC" vbProcedure="false">"c6647"</definedName>
    <definedName function="false" hidden="true" name="IQ_FOREIGN_BANKS_NONTRANSACTION_ACCOUNTS_FDIC" vbProcedure="false">"c6550"</definedName>
    <definedName function="false" hidden="true" name="IQ_FOREIGN_BANKS_RECOVERIES_FDIC" vbProcedure="false">"c6646"</definedName>
    <definedName function="false" hidden="true" name="IQ_FOREIGN_BANKS_TRANSACTION_ACCOUNTS_FDIC" vbProcedure="false">"c6542"</definedName>
    <definedName function="false" hidden="true" name="IQ_FOREIGN_BANK_LOANS_FDIC" vbProcedure="false">"c6437"</definedName>
    <definedName function="false" hidden="true" name="IQ_FOREIGN_BRANCHES_U.S._BANKS_LOANS_FDIC" vbProcedure="false">"c6438"</definedName>
    <definedName function="false" hidden="true" name="IQ_FOREIGN_BRANCHES_US_BANKS_FDIC" vbProcedure="false">"c6392"</definedName>
    <definedName function="false" hidden="true" name="IQ_FOREIGN_BRANCHES_US_BANKS_LOANS_FDIC" vbProcedure="false">"c6438"</definedName>
    <definedName function="false" hidden="true" name="IQ_FOREIGN_COUNTRIES_BANKS_TOTAL_LOANS_FOREIGN_FDIC" vbProcedure="false">"c6445"</definedName>
    <definedName function="false" hidden="true" name="IQ_FOREIGN_DEBT_SECURITIES_FDIC" vbProcedure="false">"c6303"</definedName>
    <definedName function="false" hidden="true" name="IQ_FOREIGN_DEPOSITS_NONTRANSACTION_ACCOUNTS_FDIC" vbProcedure="false">"c6549"</definedName>
    <definedName function="false" hidden="true" name="IQ_FOREIGN_DEPOSITS_TRANSACTION_ACCOUNTS_FDIC" vbProcedure="false">"c6541"</definedName>
    <definedName function="false" hidden="true" name="IQ_FOREIGN_DEP_IB" vbProcedure="false">"c446"</definedName>
    <definedName function="false" hidden="true" name="IQ_FOREIGN_DEP_NON_IB" vbProcedure="false">"c447"</definedName>
    <definedName function="false" hidden="true" name="IQ_FOREIGN_EXCHANGE" vbProcedure="false">"c451"</definedName>
    <definedName function="false" hidden="true" name="IQ_FOREIGN_EXCHANGE_EXPOSURES_FDIC" vbProcedure="false">"c6663"</definedName>
    <definedName function="false" hidden="true" name="IQ_FOREIGN_GOVERNMENTS_CHARGE_OFFS_FDIC" vbProcedure="false">"c6600"</definedName>
    <definedName function="false" hidden="true" name="IQ_FOREIGN_GOVERNMENTS_DEPOSITS_FOREIGN_FDIC" vbProcedure="false">"c6482"</definedName>
    <definedName function="false" hidden="true" name="IQ_FOREIGN_GOVERNMENTS_NET_CHARGE_OFFS_FDIC" vbProcedure="false">"c6638"</definedName>
    <definedName function="false" hidden="true" name="IQ_FOREIGN_GOVERNMENTS_NONTRANSACTION_ACCOUNTS_FDIC" vbProcedure="false">"c6551"</definedName>
    <definedName function="false" hidden="true" name="IQ_FOREIGN_GOVERNMENTS_RECOVERIES_FDIC" vbProcedure="false">"c6619"</definedName>
    <definedName function="false" hidden="true" name="IQ_FOREIGN_GOVERNMENTS_TOTAL_DEPOSITS_FDIC" vbProcedure="false">"c6476"</definedName>
    <definedName function="false" hidden="true" name="IQ_FOREIGN_GOVERNMENTS_TRANSACTION_ACCOUNTS_FDIC" vbProcedure="false">"c6543"</definedName>
    <definedName function="false" hidden="true" name="IQ_FOREIGN_GOVERNMENT_LOANS_FDIC" vbProcedure="false">"c6430"</definedName>
    <definedName function="false" hidden="true" name="IQ_FOREIGN_GOVT_OFFICIAL_INST_FOREIGN_DEP_FFIEC" vbProcedure="false">"c15345"</definedName>
    <definedName function="false" hidden="true" name="IQ_FOREIGN_GOVT_OFFICIAL_INST_NON_TRANS_ACCTS_FFIEC" vbProcedure="false">"c15327"</definedName>
    <definedName function="false" hidden="true" name="IQ_FOREIGN_GOVT_OFFICIAL_INST_TRANS_ACCTS_FFIEC" vbProcedure="false">"c15319"</definedName>
    <definedName function="false" hidden="true" name="IQ_FOREIGN_LOANS" vbProcedure="false">"c448"</definedName>
    <definedName function="false" hidden="false" name="IQ_FQ" vbProcedure="false">500</definedName>
    <definedName function="false" hidden="true" name="IQ_FREE_OPERATING_CASH_FLOW_DEBT_CSD" vbProcedure="false">"c27718"</definedName>
    <definedName function="false" hidden="true" name="IQ_FUEL" vbProcedure="false">"c449"</definedName>
    <definedName function="false" hidden="true" name="IQ_FULLY_INSURED_BROKERED_DEPOSITS_FFIEC" vbProcedure="false">"c15305"</definedName>
    <definedName function="false" hidden="true" name="IQ_FULLY_INSURED_DEPOSITS_FDIC" vbProcedure="false">"c6487"</definedName>
    <definedName function="false" hidden="true" name="IQ_FULL_TIME" vbProcedure="false">"c450"</definedName>
    <definedName function="false" hidden="true" name="IQ_FUND_NAV" vbProcedure="false">"c15225"</definedName>
    <definedName function="false" hidden="true" name="IQ_FUTURES_FORWARD_CONTRACTS_NOTIONAL_AMOUNT_FDIC" vbProcedure="false">"c6518"</definedName>
    <definedName function="false" hidden="true" name="IQ_FUTURES_FORWARD_CONTRACTS_RATE_RISK_FDIC" vbProcedure="false">"c6508"</definedName>
    <definedName function="false" hidden="true" name="IQ_FWD" vbProcedure="false">"LTM"</definedName>
    <definedName function="false" hidden="true" name="IQ_FWD1" vbProcedure="false">"LTM"</definedName>
    <definedName function="false" hidden="true" name="IQ_FWD_CY" vbProcedure="false">10001</definedName>
    <definedName function="false" hidden="true" name="IQ_FWD_CY1" vbProcedure="false">10002</definedName>
    <definedName function="false" hidden="true" name="IQ_FWD_CY2" vbProcedure="false">10003</definedName>
    <definedName function="false" hidden="true" name="IQ_FWD_FY" vbProcedure="false">1001</definedName>
    <definedName function="false" hidden="true" name="IQ_FWD_FY1" vbProcedure="false">1002</definedName>
    <definedName function="false" hidden="true" name="IQ_FWD_FY2" vbProcedure="false">1003</definedName>
    <definedName function="false" hidden="true" name="IQ_FWD_Q" vbProcedure="false">501</definedName>
    <definedName function="false" hidden="true" name="IQ_FWD_Q1" vbProcedure="false">502</definedName>
    <definedName function="false" hidden="true" name="IQ_FWD_Q2" vbProcedure="false">503</definedName>
    <definedName function="false" hidden="true" name="IQ_FWD_Q3" vbProcedure="false">"504"</definedName>
    <definedName function="false" hidden="true" name="IQ_FWD_Q4" vbProcedure="false">"505"</definedName>
    <definedName function="false" hidden="true" name="IQ_FWD_Q5" vbProcedure="false">"506"</definedName>
    <definedName function="false" hidden="true" name="IQ_FWD_Q6" vbProcedure="false">"507"</definedName>
    <definedName function="false" hidden="true" name="IQ_FWD_Q7" vbProcedure="false">"508"</definedName>
    <definedName function="false" hidden="true" name="IQ_FX" vbProcedure="false">"c451"</definedName>
    <definedName function="false" hidden="true" name="IQ_FX_CONTRACTS_FDIC" vbProcedure="false">"c6517"</definedName>
    <definedName function="false" hidden="true" name="IQ_FX_CONTRACTS_SPOT_FDIC" vbProcedure="false">"c6356"</definedName>
    <definedName function="false" hidden="false" name="IQ_FY" vbProcedure="false">1000</definedName>
    <definedName function="false" hidden="true" name="IQ_FY_DATE" vbProcedure="false">"IQ_FY_DATE"</definedName>
    <definedName function="false" hidden="true" name="IQ_GA00_INVEST_INS" vbProcedure="false">"c1466"</definedName>
    <definedName function="false" hidden="true" name="IQ_GAAP_EST_CIQ" vbProcedure="false">"c13924"</definedName>
    <definedName function="false" hidden="true" name="IQ_GAINS_SALE_ASSETS_FDIC" vbProcedure="false">"c6675"</definedName>
    <definedName function="false" hidden="true" name="IQ_GAIN_ASSETS" vbProcedure="false">"c452"</definedName>
    <definedName function="false" hidden="true" name="IQ_GAIN_ASSETS_BNK" vbProcedure="false">"c453"</definedName>
    <definedName function="false" hidden="true" name="IQ_GAIN_ASSETS_BR" vbProcedure="false">"c454"</definedName>
    <definedName function="false" hidden="true" name="IQ_GAIN_ASSETS_CF" vbProcedure="false">"c455"</definedName>
    <definedName function="false" hidden="true" name="IQ_GAIN_ASSETS_CF_BNK" vbProcedure="false">"c456"</definedName>
    <definedName function="false" hidden="true" name="IQ_GAIN_ASSETS_CF_BR" vbProcedure="false">"c457"</definedName>
    <definedName function="false" hidden="true" name="IQ_GAIN_ASSETS_CF_FIN" vbProcedure="false">"c458"</definedName>
    <definedName function="false" hidden="true" name="IQ_GAIN_ASSETS_CF_INS" vbProcedure="false">"c459"</definedName>
    <definedName function="false" hidden="true" name="IQ_GAIN_ASSETS_CF_REIT" vbProcedure="false">"c460"</definedName>
    <definedName function="false" hidden="true" name="IQ_GAIN_ASSETS_CF_UTI" vbProcedure="false">"c461"</definedName>
    <definedName function="false" hidden="true" name="IQ_GAIN_ASSETS_FIN" vbProcedure="false">"c462"</definedName>
    <definedName function="false" hidden="true" name="IQ_GAIN_ASSETS_INS" vbProcedure="false">"c463"</definedName>
    <definedName function="false" hidden="true" name="IQ_GAIN_ASSETS_REIT" vbProcedure="false">"c471"</definedName>
    <definedName function="false" hidden="true" name="IQ_GAIN_ASSETS_REV" vbProcedure="false">"c472"</definedName>
    <definedName function="false" hidden="true" name="IQ_GAIN_ASSETS_REV_BNK" vbProcedure="false">"c473"</definedName>
    <definedName function="false" hidden="true" name="IQ_GAIN_ASSETS_REV_BR" vbProcedure="false">"c474"</definedName>
    <definedName function="false" hidden="true" name="IQ_GAIN_ASSETS_REV_FIN" vbProcedure="false">"c475"</definedName>
    <definedName function="false" hidden="true" name="IQ_GAIN_ASSETS_REV_INS" vbProcedure="false">"c476"</definedName>
    <definedName function="false" hidden="true" name="IQ_GAIN_ASSETS_REV_REIT" vbProcedure="false">"c477"</definedName>
    <definedName function="false" hidden="true" name="IQ_GAIN_ASSETS_REV_UTI" vbProcedure="false">"c478"</definedName>
    <definedName function="false" hidden="true" name="IQ_GAIN_ASSETS_UTI" vbProcedure="false">"c479"</definedName>
    <definedName function="false" hidden="true" name="IQ_GAIN_INVEST" vbProcedure="false">"c1463"</definedName>
    <definedName function="false" hidden="true" name="IQ_GAIN_INVEST_BNK" vbProcedure="false">"c1582"</definedName>
    <definedName function="false" hidden="true" name="IQ_GAIN_INVEST_BR" vbProcedure="false">"c1464"</definedName>
    <definedName function="false" hidden="true" name="IQ_GAIN_INVEST_CF" vbProcedure="false">"c480"</definedName>
    <definedName function="false" hidden="true" name="IQ_GAIN_INVEST_CF_BNK" vbProcedure="false">"c481"</definedName>
    <definedName function="false" hidden="true" name="IQ_GAIN_INVEST_CF_BR" vbProcedure="false">"c482"</definedName>
    <definedName function="false" hidden="true" name="IQ_GAIN_INVEST_CF_FIN" vbProcedure="false">"c483"</definedName>
    <definedName function="false" hidden="true" name="IQ_GAIN_INVEST_CF_INS" vbProcedure="false">"c484"</definedName>
    <definedName function="false" hidden="true" name="IQ_GAIN_INVEST_CF_REIT" vbProcedure="false">"c485"</definedName>
    <definedName function="false" hidden="true" name="IQ_GAIN_INVEST_CF_UTI" vbProcedure="false">"c486"</definedName>
    <definedName function="false" hidden="true" name="IQ_GAIN_INVEST_FIN" vbProcedure="false">"c1465"</definedName>
    <definedName function="false" hidden="true" name="IQ_GAIN_INVEST_INS" vbProcedure="false">"c1466"</definedName>
    <definedName function="false" hidden="true" name="IQ_GAIN_INVEST_REC_BNK" vbProcedure="false">"c488"</definedName>
    <definedName function="false" hidden="true" name="IQ_GAIN_INVEST_REIT" vbProcedure="false">"c1467"</definedName>
    <definedName function="false" hidden="true" name="IQ_GAIN_INVEST_REV" vbProcedure="false">"c494"</definedName>
    <definedName function="false" hidden="true" name="IQ_GAIN_INVEST_REV_BNK" vbProcedure="false">"c495"</definedName>
    <definedName function="false" hidden="true" name="IQ_GAIN_INVEST_REV_BR" vbProcedure="false">"c496"</definedName>
    <definedName function="false" hidden="true" name="IQ_GAIN_INVEST_REV_FIN" vbProcedure="false">"c497"</definedName>
    <definedName function="false" hidden="true" name="IQ_GAIN_INVEST_REV_INS" vbProcedure="false">"c498"</definedName>
    <definedName function="false" hidden="true" name="IQ_GAIN_INVEST_REV_REIT" vbProcedure="false">"c499"</definedName>
    <definedName function="false" hidden="true" name="IQ_GAIN_INVEST_REV_UTI" vbProcedure="false">"c500"</definedName>
    <definedName function="false" hidden="true" name="IQ_GAIN_INVEST_UTI" vbProcedure="false">"c1468"</definedName>
    <definedName function="false" hidden="true" name="IQ_GAIN_LOANS_REC" vbProcedure="false">"c501"</definedName>
    <definedName function="false" hidden="true" name="IQ_GAIN_LOANS_RECEIV" vbProcedure="false">"c502"</definedName>
    <definedName function="false" hidden="true" name="IQ_GAIN_LOANS_RECEIV_REV_FIN" vbProcedure="false">"c503"</definedName>
    <definedName function="false" hidden="true" name="IQ_GAIN_LOANS_REV" vbProcedure="false">"c504"</definedName>
    <definedName function="false" hidden="true" name="IQ_GAIN_LOSS_HTM_AFS_SECURITIES_FOREIGN_FFIEC" vbProcedure="false">"c15384"</definedName>
    <definedName function="false" hidden="true" name="IQ_GAIN_SALE_ASSETS" vbProcedure="false">"c452"</definedName>
    <definedName function="false" hidden="true" name="IQ_GAIN_SALE_LOANS_FDIC" vbProcedure="false">"c6673"</definedName>
    <definedName function="false" hidden="true" name="IQ_GAIN_SALE_RE_FDIC" vbProcedure="false">"c6674"</definedName>
    <definedName function="false" hidden="true" name="IQ_GENERAL_ALLOWANCE" vbProcedure="false">"c15248"</definedName>
    <definedName function="false" hidden="true" name="IQ_GNMA_FDIC" vbProcedure="false">"c6398"</definedName>
    <definedName function="false" hidden="true" name="IQ_GOODWILL_FDIC" vbProcedure="false">"c6334"</definedName>
    <definedName function="false" hidden="true" name="IQ_GOODWILL_IMPAIRMENT_FDIC" vbProcedure="false">"c6678"</definedName>
    <definedName function="false" hidden="true" name="IQ_GOODWILL_INTAN_FDIC" vbProcedure="false">"c6333"</definedName>
    <definedName function="false" hidden="true" name="IQ_GOODWILL_NET" vbProcedure="false">"c530"</definedName>
    <definedName function="false" hidden="true" name="IQ_GP" vbProcedure="false">"c511"</definedName>
    <definedName function="false" hidden="true" name="IQ_GPPE" vbProcedure="false">"c518"</definedName>
    <definedName function="false" hidden="true" name="IQ_GP_10YR_ANN_GROWTH" vbProcedure="false">"c512"</definedName>
    <definedName function="false" hidden="true" name="IQ_GP_1YR_ANN_GROWTH" vbProcedure="false">"c513"</definedName>
    <definedName function="false" hidden="true" name="IQ_GP_2YR_ANN_GROWTH" vbProcedure="false">"c514"</definedName>
    <definedName function="false" hidden="true" name="IQ_GP_3YR_ANN_GROWTH" vbProcedure="false">"c515"</definedName>
    <definedName function="false" hidden="true" name="IQ_GP_5YR_ANN_GROWTH" vbProcedure="false">"c516"</definedName>
    <definedName function="false" hidden="true" name="IQ_GP_7YR_ANN_GROWTH" vbProcedure="false">"c517"</definedName>
    <definedName function="false" hidden="true" name="IQ_GROSS_DIVID" vbProcedure="false">"c192"</definedName>
    <definedName function="false" hidden="true" name="IQ_GROSS_GW" vbProcedure="false">"c519"</definedName>
    <definedName function="false" hidden="true" name="IQ_GROSS_INTAN" vbProcedure="false">"c520"</definedName>
    <definedName function="false" hidden="true" name="IQ_GROSS_LOANS" vbProcedure="false">"c521"</definedName>
    <definedName function="false" hidden="true" name="IQ_GROSS_LOANS_10YR_ANN_GROWTH" vbProcedure="false">"c522"</definedName>
    <definedName function="false" hidden="true" name="IQ_GROSS_LOANS_1YR_ANN_GROWTH" vbProcedure="false">"c523"</definedName>
    <definedName function="false" hidden="true" name="IQ_GROSS_LOANS_2YR_ANN_GROWTH" vbProcedure="false">"c524"</definedName>
    <definedName function="false" hidden="true" name="IQ_GROSS_LOANS_3YR_ANN_GROWTH" vbProcedure="false">"c525"</definedName>
    <definedName function="false" hidden="true" name="IQ_GROSS_LOANS_5YR_ANN_GROWTH" vbProcedure="false">"c526"</definedName>
    <definedName function="false" hidden="true" name="IQ_GROSS_LOANS_7YR_ANN_GROWTH" vbProcedure="false">"c527"</definedName>
    <definedName function="false" hidden="true" name="IQ_GROSS_LOANS_TOTAL_DEPOSITS" vbProcedure="false">"c528"</definedName>
    <definedName function="false" hidden="true" name="IQ_GROSS_MARGIN" vbProcedure="false">"c529"</definedName>
    <definedName function="false" hidden="true" name="IQ_GROSS_PROFIT" vbProcedure="false">"c511"</definedName>
    <definedName function="false" hidden="true" name="IQ_GW" vbProcedure="false">"c530"</definedName>
    <definedName function="false" hidden="true" name="IQ_GW_AMORT_BR" vbProcedure="false">"c532"</definedName>
    <definedName function="false" hidden="true" name="IQ_GW_INTAN_AMORT" vbProcedure="false">"c1469"</definedName>
    <definedName function="false" hidden="true" name="IQ_GW_INTAN_AMORT_BNK" vbProcedure="false">"c544"</definedName>
    <definedName function="false" hidden="true" name="IQ_GW_INTAN_AMORT_BR" vbProcedure="false">"c1470"</definedName>
    <definedName function="false" hidden="true" name="IQ_GW_INTAN_AMORT_CF" vbProcedure="false">"c1471"</definedName>
    <definedName function="false" hidden="true" name="IQ_GW_INTAN_AMORT_CF_BNK" vbProcedure="false">"c1472"</definedName>
    <definedName function="false" hidden="true" name="IQ_GW_INTAN_AMORT_CF_BR" vbProcedure="false">"c1473"</definedName>
    <definedName function="false" hidden="true" name="IQ_GW_INTAN_AMORT_CF_FIN" vbProcedure="false">"c1474"</definedName>
    <definedName function="false" hidden="true" name="IQ_GW_INTAN_AMORT_CF_INS" vbProcedure="false">"c1475"</definedName>
    <definedName function="false" hidden="true" name="IQ_GW_INTAN_AMORT_CF_REIT" vbProcedure="false">"c1476"</definedName>
    <definedName function="false" hidden="true" name="IQ_GW_INTAN_AMORT_CF_UTI" vbProcedure="false">"c1477"</definedName>
    <definedName function="false" hidden="true" name="IQ_GW_INTAN_AMORT_FIN" vbProcedure="false">"c1478"</definedName>
    <definedName function="false" hidden="true" name="IQ_GW_INTAN_AMORT_INS" vbProcedure="false">"c1479"</definedName>
    <definedName function="false" hidden="true" name="IQ_GW_INTAN_AMORT_REIT" vbProcedure="false">"c1480"</definedName>
    <definedName function="false" hidden="true" name="IQ_GW_INTAN_AMORT_UTI" vbProcedure="false">"c1481"</definedName>
    <definedName function="false" hidden="true" name="IQ_HELD_MATURITY_FDIC" vbProcedure="false">"c6408"</definedName>
    <definedName function="false" hidden="true" name="IQ_HG_REV_OTHER_HOTEL_MOTEL" vbProcedure="false">"c8731"</definedName>
    <definedName function="false" hidden="true" name="IQ_HG_REV_TOTAL_CASINO_GAMING" vbProcedure="false">"c8723"</definedName>
    <definedName function="false" hidden="true" name="IQ_HG_REV_TOTAL_HOTEL_MOTEL" vbProcedure="false">"c8732"</definedName>
    <definedName function="false" hidden="true" name="IQ_HIGHPRICE" vbProcedure="false">"c545"</definedName>
    <definedName function="false" hidden="true" name="IQ_HIGH_TARGET_PRICE_REUT" vbProcedure="false">"c5317"</definedName>
    <definedName function="false" hidden="true" name="IQ_HOMEOWNERS_WRITTEN" vbProcedure="false">"c546"</definedName>
    <definedName function="false" hidden="true" name="IQ_HOME_EQUITY_LOC_NET_CHARGE_OFFS_FDIC" vbProcedure="false">"c6644"</definedName>
    <definedName function="false" hidden="true" name="IQ_HOME_EQUITY_LOC_TOTAL_CHARGE_OFFS_FDIC" vbProcedure="false">"c6606"</definedName>
    <definedName function="false" hidden="true" name="IQ_HOME_EQUITY_LOC_TOTAL_RECOVERIES_FDIC" vbProcedure="false">"c6625"</definedName>
    <definedName function="false" hidden="true" name="IQ_HOUSING_COMPLETIONS_SINGLE_FAM_APR_FC_UNUSED_UNUSED_UNUSED" vbProcedure="false">"c8422"</definedName>
    <definedName function="false" hidden="true" name="IQ_HOUSING_COMPLETIONS_SINGLE_FAM_APR_UNUSED_UNUSED_UNUSED" vbProcedure="false">"c7542"</definedName>
    <definedName function="false" hidden="true" name="IQ_HOUSING_COMPLETIONS_SINGLE_FAM_FC_UNUSED_UNUSED_UNUSED" vbProcedure="false">"c7762"</definedName>
    <definedName function="false" hidden="true" name="IQ_HOUSING_COMPLETIONS_SINGLE_FAM_POP_FC_UNUSED_UNUSED_UNUSED" vbProcedure="false">"c7982"</definedName>
    <definedName function="false" hidden="true" name="IQ_HOUSING_COMPLETIONS_SINGLE_FAM_POP_UNUSED_UNUSED_UNUSED" vbProcedure="false">"c7102"</definedName>
    <definedName function="false" hidden="true" name="IQ_HOUSING_COMPLETIONS_SINGLE_FAM_UNUSED_UNUSED_UNUSED" vbProcedure="false">"c6882"</definedName>
    <definedName function="false" hidden="true" name="IQ_HOUSING_COMPLETIONS_SINGLE_FAM_YOY_FC_UNUSED_UNUSED_UNUSED" vbProcedure="false">"c8202"</definedName>
    <definedName function="false" hidden="true" name="IQ_HOUSING_COMPLETIONS_SINGLE_FAM_YOY_UNUSED_UNUSED_UNUSED" vbProcedure="false">"c7322"</definedName>
    <definedName function="false" hidden="true" name="IQ_HYBRID_CAPITAL" vbProcedure="false">"c15245"</definedName>
    <definedName function="false" hidden="true" name="IQ_HYBRID_STRUCTURED_PRODUCTS_AVAIL_SALE_FFIEC" vbProcedure="false">"c15265"</definedName>
    <definedName function="false" hidden="true" name="IQ_HYBRID_STRUCTURED_PRODUCTS_FFIEC" vbProcedure="false">"c15262"</definedName>
    <definedName function="false" hidden="true" name="IQ_IBF_COMM_INDUST_LOANS_FFIEC" vbProcedure="false">"c15298"</definedName>
    <definedName function="false" hidden="true" name="IQ_IBF_DEPOSIT_LIABILITIES_DUE_TO_BANKS_FFIEC" vbProcedure="false">"c15300"</definedName>
    <definedName function="false" hidden="true" name="IQ_IB_ADVISORY_UNDERWRITING_FEES_FOREIGN_FFIEC" vbProcedure="false">"c15378"</definedName>
    <definedName function="false" hidden="true" name="IQ_IMPAIRED_LOANS" vbProcedure="false">"c15250"</definedName>
    <definedName function="false" hidden="true" name="IQ_IMPAIRMENT_GW" vbProcedure="false">"c548"</definedName>
    <definedName function="false" hidden="true" name="IQ_IMPAIR_OIL" vbProcedure="false">"c547"</definedName>
    <definedName function="false" hidden="true" name="IQ_IMPORTS_GOODS_REAL_SAAR_APR_FC_UNUSED_UNUSED_UNUSED" vbProcedure="false">"c8523"</definedName>
    <definedName function="false" hidden="true" name="IQ_IMPORTS_GOODS_REAL_SAAR_APR_UNUSED_UNUSED_UNUSED" vbProcedure="false">"c7643"</definedName>
    <definedName function="false" hidden="true" name="IQ_IMPORTS_GOODS_REAL_SAAR_FC_UNUSED_UNUSED_UNUSED" vbProcedure="false">"c7863"</definedName>
    <definedName function="false" hidden="true" name="IQ_IMPORTS_GOODS_REAL_SAAR_POP_FC_UNUSED_UNUSED_UNUSED" vbProcedure="false">"c8083"</definedName>
    <definedName function="false" hidden="true" name="IQ_IMPORTS_GOODS_REAL_SAAR_POP_UNUSED_UNUSED_UNUSED" vbProcedure="false">"c7203"</definedName>
    <definedName function="false" hidden="true" name="IQ_IMPORTS_GOODS_REAL_SAAR_UNUSED_UNUSED_UNUSED" vbProcedure="false">"c6983"</definedName>
    <definedName function="false" hidden="true" name="IQ_IMPORTS_GOODS_REAL_SAAR_YOY_FC_UNUSED_UNUSED_UNUSED" vbProcedure="false">"c8303"</definedName>
    <definedName function="false" hidden="true" name="IQ_IMPORTS_GOODS_REAL_SAAR_YOY_UNUSED_UNUSED_UNUSED" vbProcedure="false">"c7423"</definedName>
    <definedName function="false" hidden="true" name="IQ_IMPORTS_GOODS_SERVICES_APR_FC_UNUSED_UNUSED_UNUSED" vbProcedure="false">"c8429"</definedName>
    <definedName function="false" hidden="true" name="IQ_IMPORTS_GOODS_SERVICES_APR_UNUSED_UNUSED_UNUSED" vbProcedure="false">"c7549"</definedName>
    <definedName function="false" hidden="true" name="IQ_IMPORTS_GOODS_SERVICES_FC_UNUSED_UNUSED_UNUSED" vbProcedure="false">"c7769"</definedName>
    <definedName function="false" hidden="true" name="IQ_IMPORTS_GOODS_SERVICES_POP_FC_UNUSED_UNUSED_UNUSED" vbProcedure="false">"c7989"</definedName>
    <definedName function="false" hidden="true" name="IQ_IMPORTS_GOODS_SERVICES_POP_UNUSED_UNUSED_UNUSED" vbProcedure="false">"c7109"</definedName>
    <definedName function="false" hidden="true" name="IQ_IMPORTS_GOODS_SERVICES_REAL_SAAR_APR_FC_UNUSED_UNUSED_UNUSED" vbProcedure="false">"c8524"</definedName>
    <definedName function="false" hidden="true" name="IQ_IMPORTS_GOODS_SERVICES_REAL_SAAR_APR_UNUSED_UNUSED_UNUSED" vbProcedure="false">"c7644"</definedName>
    <definedName function="false" hidden="true" name="IQ_IMPORTS_GOODS_SERVICES_REAL_SAAR_FC_UNUSED_UNUSED_UNUSED" vbProcedure="false">"c7864"</definedName>
    <definedName function="false" hidden="true" name="IQ_IMPORTS_GOODS_SERVICES_REAL_SAAR_POP_FC_UNUSED_UNUSED_UNUSED" vbProcedure="false">"c8084"</definedName>
    <definedName function="false" hidden="true" name="IQ_IMPORTS_GOODS_SERVICES_REAL_SAAR_POP_UNUSED_UNUSED_UNUSED" vbProcedure="false">"c7204"</definedName>
    <definedName function="false" hidden="true" name="IQ_IMPORTS_GOODS_SERVICES_REAL_SAAR_UNUSED_UNUSED_UNUSED" vbProcedure="false">"c6984"</definedName>
    <definedName function="false" hidden="true" name="IQ_IMPORTS_GOODS_SERVICES_REAL_SAAR_YOY_FC_UNUSED_UNUSED_UNUSED" vbProcedure="false">"c8304"</definedName>
    <definedName function="false" hidden="true" name="IQ_IMPORTS_GOODS_SERVICES_REAL_SAAR_YOY_UNUSED_UNUSED_UNUSED" vbProcedure="false">"c7424"</definedName>
    <definedName function="false" hidden="true" name="IQ_IMPORTS_GOODS_SERVICES_UNUSED_UNUSED_UNUSED" vbProcedure="false">"c6889"</definedName>
    <definedName function="false" hidden="true" name="IQ_IMPORTS_GOODS_SERVICES_YOY_FC_UNUSED_UNUSED_UNUSED" vbProcedure="false">"c8209"</definedName>
    <definedName function="false" hidden="true" name="IQ_IMPORTS_GOODS_SERVICES_YOY_UNUSED_UNUSED_UNUSED" vbProcedure="false">"c7329"</definedName>
    <definedName function="false" hidden="true" name="IQ_INCIDENTAL_CHANGES_BUSINESS_COMBINATIONS_FDIC" vbProcedure="false">"c6502"</definedName>
    <definedName function="false" hidden="true" name="IQ_INCOME_BEFORE_EXTRA_FDIC" vbProcedure="false">"c6585"</definedName>
    <definedName function="false" hidden="true" name="IQ_INCOME_EARNED_FDIC" vbProcedure="false">"c6359"</definedName>
    <definedName function="false" hidden="true" name="IQ_INCOME_TAXES_FDIC" vbProcedure="false">"c6582"</definedName>
    <definedName function="false" hidden="true" name="IQ_INCOME_TAX_FOREIGN_FFIEC" vbProcedure="false">"c15391"</definedName>
    <definedName function="false" hidden="true" name="IQ_INC_AFTER_TAX" vbProcedure="false">"c1598"</definedName>
    <definedName function="false" hidden="true" name="IQ_INC_AVAIL_EXCL" vbProcedure="false">"c789"</definedName>
    <definedName function="false" hidden="true" name="IQ_INC_AVAIL_INCL" vbProcedure="false">"c791"</definedName>
    <definedName function="false" hidden="true" name="IQ_INC_BEFORE_TAX" vbProcedure="false">"c386"</definedName>
    <definedName function="false" hidden="true" name="IQ_INC_EQUITY" vbProcedure="false">"c549"</definedName>
    <definedName function="false" hidden="true" name="IQ_INC_EQUITY_BR" vbProcedure="false">"c550"</definedName>
    <definedName function="false" hidden="true" name="IQ_INC_EQUITY_CF" vbProcedure="false">"c551"</definedName>
    <definedName function="false" hidden="true" name="IQ_INC_EQUITY_FIN" vbProcedure="false">"c552"</definedName>
    <definedName function="false" hidden="true" name="IQ_INC_EQUITY_INS" vbProcedure="false">"c553"</definedName>
    <definedName function="false" hidden="true" name="IQ_INC_EQUITY_REC_BNK" vbProcedure="false">"c554"</definedName>
    <definedName function="false" hidden="true" name="IQ_INC_EQUITY_REIT" vbProcedure="false">"c555"</definedName>
    <definedName function="false" hidden="true" name="IQ_INC_EQUITY_REV_BNK" vbProcedure="false">"c556"</definedName>
    <definedName function="false" hidden="true" name="IQ_INC_EQUITY_UTI" vbProcedure="false">"c557"</definedName>
    <definedName function="false" hidden="true" name="IQ_INC_REAL_ESTATE_REC" vbProcedure="false">"c558"</definedName>
    <definedName function="false" hidden="true" name="IQ_INC_REAL_ESTATE_REV" vbProcedure="false">"c559"</definedName>
    <definedName function="false" hidden="true" name="IQ_INC_TAX" vbProcedure="false">"c560"</definedName>
    <definedName function="false" hidden="true" name="IQ_INC_TAX_EXCL" vbProcedure="false">"c1599"</definedName>
    <definedName function="false" hidden="true" name="IQ_INC_TAX_PAY_CURRENT" vbProcedure="false">"c561"</definedName>
    <definedName function="false" hidden="true" name="IQ_INC_TRADE_ACT" vbProcedure="false">"c562"</definedName>
    <definedName function="false" hidden="true" name="IQ_INDEXCONSTITUENT_CLOSEPRICE" vbProcedure="false">"c19241"</definedName>
    <definedName function="false" hidden="true" name="IQ_INDEX_CURRENCY" vbProcedure="false">"c15224"</definedName>
    <definedName function="false" hidden="true" name="IQ_INDEX_PROVIDED_DIVIDEND" vbProcedure="false">"c19252"</definedName>
    <definedName function="false" hidden="true" name="IQ_INDEX_TYPE" vbProcedure="false">"c15223"</definedName>
    <definedName function="false" hidden="true" name="IQ_INDIVIDUAL" vbProcedure="false">"c15182"</definedName>
    <definedName function="false" hidden="true" name="IQ_INDIVIDUALS_CHARGE_OFFS_FDIC" vbProcedure="false">"c6599"</definedName>
    <definedName function="false" hidden="true" name="IQ_INDIVIDUALS_LOANS_FDIC" vbProcedure="false">"c6318"</definedName>
    <definedName function="false" hidden="true" name="IQ_INDIVIDUALS_NET_CHARGE_OFFS_FDIC" vbProcedure="false">"c6637"</definedName>
    <definedName function="false" hidden="true" name="IQ_INDIVIDUALS_OTHER_LOANS_FDIC" vbProcedure="false">"c6321"</definedName>
    <definedName function="false" hidden="true" name="IQ_INDIVIDUALS_PARTNERSHIPS_CORP_DEPOSITS_FOREIGN_FDIC" vbProcedure="false">"c6479"</definedName>
    <definedName function="false" hidden="true" name="IQ_INDIVIDUALS_PARTNERSHIPS_CORP_NONTRANSACTION_ACCOUNTS_FDIC" vbProcedure="false">"c6545"</definedName>
    <definedName function="false" hidden="true" name="IQ_INDIVIDUALS_PARTNERSHIPS_CORP_TOTAL_DEPOSITS_FDIC" vbProcedure="false">"c6471"</definedName>
    <definedName function="false" hidden="true" name="IQ_INDIVIDUALS_PARTNERSHIPS_CORP_TRANSACTION_ACCOUNTS_FDIC" vbProcedure="false">"c6537"</definedName>
    <definedName function="false" hidden="true" name="IQ_INDIVIDUALS_RECOVERIES_FDIC" vbProcedure="false">"c6618"</definedName>
    <definedName function="false" hidden="true" name="IQ_INDIVIDUAL_ACTIVE_BOARD_MEMBERSHIPS" vbProcedure="false">"c15201"</definedName>
    <definedName function="false" hidden="true" name="IQ_INDIVIDUAL_ACTIVE_PRO_AFFILIATIONS" vbProcedure="false">"c15199"</definedName>
    <definedName function="false" hidden="true" name="IQ_INDIVIDUAL_AGE" vbProcedure="false">"c15191"</definedName>
    <definedName function="false" hidden="true" name="IQ_INDIVIDUAL_ASSISTANT_EMAIL" vbProcedure="false">"c15206"</definedName>
    <definedName function="false" hidden="true" name="IQ_INDIVIDUAL_ASSISTANT_FAX" vbProcedure="false">"c15208"</definedName>
    <definedName function="false" hidden="true" name="IQ_INDIVIDUAL_ASSISTANT_NAME" vbProcedure="false">"c15205"</definedName>
    <definedName function="false" hidden="true" name="IQ_INDIVIDUAL_ASSISTANT_PHONE" vbProcedure="false">"c15207"</definedName>
    <definedName function="false" hidden="true" name="IQ_INDIVIDUAL_BACKGROUND" vbProcedure="false">"c15184"</definedName>
    <definedName function="false" hidden="true" name="IQ_INDIVIDUAL_DIRECT_FAX" vbProcedure="false">"c15189"</definedName>
    <definedName function="false" hidden="true" name="IQ_INDIVIDUAL_DIRECT_PHONE" vbProcedure="false">"c15188"</definedName>
    <definedName function="false" hidden="true" name="IQ_INDIVIDUAL_EDUCATION" vbProcedure="false">"c15203"</definedName>
    <definedName function="false" hidden="true" name="IQ_INDIVIDUAL_EMAIL" vbProcedure="false">"c15193"</definedName>
    <definedName function="false" hidden="true" name="IQ_INDIVIDUAL_FAMILY_LOAN_DOM_QUARTERLY_AVG_FFIEC" vbProcedure="false">"c15479"</definedName>
    <definedName function="false" hidden="true" name="IQ_INDIVIDUAL_HOME_ADDRESS" vbProcedure="false">"c15194"</definedName>
    <definedName function="false" hidden="true" name="IQ_INDIVIDUAL_HOME_FAX" vbProcedure="false">"c15196"</definedName>
    <definedName function="false" hidden="true" name="IQ_INDIVIDUAL_HOME_PHONE" vbProcedure="false">"c15195"</definedName>
    <definedName function="false" hidden="true" name="IQ_INDIVIDUAL_MAIN_FAX" vbProcedure="false">"c15187"</definedName>
    <definedName function="false" hidden="true" name="IQ_INDIVIDUAL_MAIN_PHONE" vbProcedure="false">"c15186"</definedName>
    <definedName function="false" hidden="true" name="IQ_INDIVIDUAL_MOBILE" vbProcedure="false">"c15198"</definedName>
    <definedName function="false" hidden="true" name="IQ_INDIVIDUAL_NICKNAME" vbProcedure="false">"c15192"</definedName>
    <definedName function="false" hidden="true" name="IQ_INDIVIDUAL_NOTES" vbProcedure="false">"c15204"</definedName>
    <definedName function="false" hidden="true" name="IQ_INDIVIDUAL_OFFICE_ADDRESS" vbProcedure="false">"c15185"</definedName>
    <definedName function="false" hidden="true" name="IQ_INDIVIDUAL_OTHER_PHONE" vbProcedure="false">"c15197"</definedName>
    <definedName function="false" hidden="true" name="IQ_INDIVIDUAL_PARTNER_CORPS_FOREIGN_DEP_FFIEC" vbProcedure="false">"c15342"</definedName>
    <definedName function="false" hidden="true" name="IQ_INDIVIDUAL_PARTNER_CORP_NON_TRANS_ACCTS_FFIEC" vbProcedure="false">"c15322"</definedName>
    <definedName function="false" hidden="true" name="IQ_INDIVIDUAL_PARTNER_CORP_TRANS_ACCTS_FFIEC" vbProcedure="false">"c15314"</definedName>
    <definedName function="false" hidden="true" name="IQ_INDIVIDUAL_PRIOR_BOARD_MEMBERSHIPS" vbProcedure="false">"c15202"</definedName>
    <definedName function="false" hidden="true" name="IQ_INDIVIDUAL_PRIOR_PRO_AFFILIATIONS" vbProcedure="false">"c15200"</definedName>
    <definedName function="false" hidden="true" name="IQ_INDIVIDUAL_SPECIALTY" vbProcedure="false">"c15190"</definedName>
    <definedName function="false" hidden="true" name="IQ_INDIVIDUAL_TITLE" vbProcedure="false">"c15183"</definedName>
    <definedName function="false" hidden="true" name="IQ_INSIDER_3MTH_BOUGHT" vbProcedure="false">"c1534"</definedName>
    <definedName function="false" hidden="true" name="IQ_INSIDER_3MTH_BOUGHT_PCT" vbProcedure="false">"c1534"</definedName>
    <definedName function="false" hidden="true" name="IQ_INSIDER_3MTH_NET" vbProcedure="false">"c1535"</definedName>
    <definedName function="false" hidden="true" name="IQ_INSIDER_3MTH_NET_PCT" vbProcedure="false">"c1535"</definedName>
    <definedName function="false" hidden="true" name="IQ_INSIDER_3MTH_SOLD" vbProcedure="false">"c1533"</definedName>
    <definedName function="false" hidden="true" name="IQ_INSIDER_3MTH_SOLD_PCT" vbProcedure="false">"c1533"</definedName>
    <definedName function="false" hidden="true" name="IQ_INSIDER_6MTH_BOUGHT" vbProcedure="false">"c1537"</definedName>
    <definedName function="false" hidden="true" name="IQ_INSIDER_6MTH_BOUGHT_PCT" vbProcedure="false">"c1537"</definedName>
    <definedName function="false" hidden="true" name="IQ_INSIDER_6MTH_NET" vbProcedure="false">"c1538"</definedName>
    <definedName function="false" hidden="true" name="IQ_INSIDER_6MTH_NET_PCT" vbProcedure="false">"c1538"</definedName>
    <definedName function="false" hidden="true" name="IQ_INSIDER_6MTH_SOLD" vbProcedure="false">"c1536"</definedName>
    <definedName function="false" hidden="true" name="IQ_INSIDER_6MTH_SOLD_PCT" vbProcedure="false">"c1536"</definedName>
    <definedName function="false" hidden="true" name="IQ_INSIDER_AMOUNT" vbProcedure="false">"c238"</definedName>
    <definedName function="false" hidden="true" name="IQ_INSIDER_LOANS_FDIC" vbProcedure="false">"c6365"</definedName>
    <definedName function="false" hidden="true" name="IQ_INSIDER_OVER_TOTAL" vbProcedure="false">"c1581"</definedName>
    <definedName function="false" hidden="true" name="IQ_INSIDER_OWNER" vbProcedure="false">"c577"</definedName>
    <definedName function="false" hidden="true" name="IQ_INSIDER_PERCENT" vbProcedure="false">"c578"</definedName>
    <definedName function="false" hidden="true" name="IQ_INSIDER_SHARES" vbProcedure="false">"c579"</definedName>
    <definedName function="false" hidden="true" name="IQ_INSTITUTIONAL_AMOUNT" vbProcedure="false">"c236"</definedName>
    <definedName function="false" hidden="true" name="IQ_INSTITUTIONAL_OVER_TOTAL" vbProcedure="false">"c1580"</definedName>
    <definedName function="false" hidden="true" name="IQ_INSTITUTIONAL_OWNER" vbProcedure="false">"c580"</definedName>
    <definedName function="false" hidden="true" name="IQ_INSTITUTIONAL_PERCENT" vbProcedure="false">"c581"</definedName>
    <definedName function="false" hidden="true" name="IQ_INSTITUTIONAL_SHARES" vbProcedure="false">"c582"</definedName>
    <definedName function="false" hidden="true" name="IQ_INSTITUTIONS_EARNINGS_GAINS_FDIC" vbProcedure="false">"c6723"</definedName>
    <definedName function="false" hidden="true" name="IQ_INSURANCE_COMMISSION_FEES_FDIC" vbProcedure="false">"c6670"</definedName>
    <definedName function="false" hidden="true" name="IQ_INSURANCE_UNDERWRITING_INCOME_FDIC" vbProcedure="false">"c6671"</definedName>
    <definedName function="false" hidden="true" name="IQ_INSUR_RECEIV" vbProcedure="false">"c1600"</definedName>
    <definedName function="false" hidden="true" name="IQ_INS_ANNUITY_LIAB" vbProcedure="false">"c563"</definedName>
    <definedName function="false" hidden="true" name="IQ_INS_DIV_EXP" vbProcedure="false">"c564"</definedName>
    <definedName function="false" hidden="true" name="IQ_INS_DIV_REV" vbProcedure="false">"c565"</definedName>
    <definedName function="false" hidden="true" name="IQ_INS_IN_FORCE" vbProcedure="false">"c566"</definedName>
    <definedName function="false" hidden="true" name="IQ_INS_LIAB" vbProcedure="false">"c567"</definedName>
    <definedName function="false" hidden="true" name="IQ_INS_POLICY_EXP" vbProcedure="false">"c568"</definedName>
    <definedName function="false" hidden="true" name="IQ_INS_REV" vbProcedure="false">"c569"</definedName>
    <definedName function="false" hidden="true" name="IQ_INS_SETTLE" vbProcedure="false">"c570"</definedName>
    <definedName function="false" hidden="true" name="IQ_INS_SETTLE_BNK" vbProcedure="false">"c571"</definedName>
    <definedName function="false" hidden="true" name="IQ_INS_SETTLE_BR" vbProcedure="false">"c572"</definedName>
    <definedName function="false" hidden="true" name="IQ_INS_SETTLE_FIN" vbProcedure="false">"c573"</definedName>
    <definedName function="false" hidden="true" name="IQ_INS_SETTLE_INS" vbProcedure="false">"c574"</definedName>
    <definedName function="false" hidden="true" name="IQ_INS_SETTLE_REIT" vbProcedure="false">"c575"</definedName>
    <definedName function="false" hidden="true" name="IQ_INS_SETTLE_UTI" vbProcedure="false">"c576"</definedName>
    <definedName function="false" hidden="true" name="IQ_INTANGIBLES_NET" vbProcedure="false">"c907"</definedName>
    <definedName function="false" hidden="true" name="IQ_INTEL_EPS_EST" vbProcedure="false">"c24729"</definedName>
    <definedName function="false" hidden="true" name="IQ_INTEREST_ACCRUED_ON_DEPOSITS_DOM_FFIEC" vbProcedure="false">"c15277"</definedName>
    <definedName function="false" hidden="true" name="IQ_INTEREST_BEARING_BALANCES_FDIC" vbProcedure="false">"c6371"</definedName>
    <definedName function="false" hidden="true" name="IQ_INTEREST_BEARING_BALANCES_QUARTERLY_AVG_FFIEC" vbProcedure="false">"c15467"</definedName>
    <definedName function="false" hidden="true" name="IQ_INTEREST_BEARING_CASH_FFIEC" vbProcedure="false">"c15259"</definedName>
    <definedName function="false" hidden="true" name="IQ_INTEREST_BEARING_DEPOSITS_DOMESTIC_FDIC" vbProcedure="false">"c6478"</definedName>
    <definedName function="false" hidden="true" name="IQ_INTEREST_BEARING_DEPOSITS_FDIC" vbProcedure="false">"c6373"</definedName>
    <definedName function="false" hidden="true" name="IQ_INTEREST_BEARING_DEPOSITS_FOREIGN_FDIC" vbProcedure="false">"c6485"</definedName>
    <definedName function="false" hidden="true" name="IQ_INTEREST_BEARING_TRANS_DOM_QUARTERLY_AVG_FFIEC" vbProcedure="false">"c15484"</definedName>
    <definedName function="false" hidden="true" name="IQ_INTEREST_EXP" vbProcedure="false">"c618"</definedName>
    <definedName function="false" hidden="true" name="IQ_INTEREST_EXP_NET" vbProcedure="false">"c1450"</definedName>
    <definedName function="false" hidden="true" name="IQ_INTEREST_EXP_NON" vbProcedure="false">"c618"</definedName>
    <definedName function="false" hidden="true" name="IQ_INTEREST_EXP_SUPPL" vbProcedure="false">"c1460"</definedName>
    <definedName function="false" hidden="true" name="IQ_INTEREST_INC" vbProcedure="false">"c769"</definedName>
    <definedName function="false" hidden="true" name="IQ_INTEREST_INC_10K" vbProcedure="false">"INTEREST_INC_10K"</definedName>
    <definedName function="false" hidden="true" name="IQ_INTEREST_INC_10Q" vbProcedure="false">"INTEREST_INC_10Q"</definedName>
    <definedName function="false" hidden="true" name="IQ_INTEREST_INC_10Q1" vbProcedure="false">"INTEREST_INC_10Q1"</definedName>
    <definedName function="false" hidden="true" name="IQ_INTEREST_INC_NON" vbProcedure="false">"c619"</definedName>
    <definedName function="false" hidden="true" name="IQ_INTEREST_INVEST_INC" vbProcedure="false">"c619"</definedName>
    <definedName function="false" hidden="true" name="IQ_INTEREST_LT_DEBT" vbProcedure="false">"c2086"</definedName>
    <definedName function="false" hidden="true" name="IQ_INTEREST_RATE_CONTRACTS_FDIC" vbProcedure="false">"c6512"</definedName>
    <definedName function="false" hidden="true" name="IQ_INTEREST_RATE_EXPOSURES_FDIC" vbProcedure="false">"c6662"</definedName>
    <definedName function="false" hidden="true" name="IQ_INTERNAL_ALLOCATIONS_INC_EXP_FOREIGN_FFIEC" vbProcedure="false">"c15394"</definedName>
    <definedName function="false" hidden="true" name="IQ_INT_BORROW" vbProcedure="false">"c583"</definedName>
    <definedName function="false" hidden="true" name="IQ_INT_DEMAND_NOTES_FDIC" vbProcedure="false">"c6567"</definedName>
    <definedName function="false" hidden="true" name="IQ_INT_DEPOSITS" vbProcedure="false">"c584"</definedName>
    <definedName function="false" hidden="true" name="IQ_INT_DIV_INC" vbProcedure="false">"c585"</definedName>
    <definedName function="false" hidden="true" name="IQ_INT_DOMESTIC_DEPOSITS_FDIC" vbProcedure="false">"c6564"</definedName>
    <definedName function="false" hidden="true" name="IQ_INT_EXP_BR" vbProcedure="false">"c586"</definedName>
    <definedName function="false" hidden="true" name="IQ_INT_EXP_COVERAGE" vbProcedure="false">"c587"</definedName>
    <definedName function="false" hidden="true" name="IQ_INT_EXP_FIN" vbProcedure="false">"c588"</definedName>
    <definedName function="false" hidden="true" name="IQ_INT_EXP_INS" vbProcedure="false">"c589"</definedName>
    <definedName function="false" hidden="true" name="IQ_INT_EXP_REIT" vbProcedure="false">"c590"</definedName>
    <definedName function="false" hidden="true" name="IQ_INT_EXP_TOTAL" vbProcedure="false">"c591"</definedName>
    <definedName function="false" hidden="true" name="IQ_INT_EXP_TOTAL_FDIC" vbProcedure="false">"c6569"</definedName>
    <definedName function="false" hidden="true" name="IQ_INT_EXP_UTI" vbProcedure="false">"c592"</definedName>
    <definedName function="false" hidden="true" name="IQ_INT_FED_FUNDS_FDIC" vbProcedure="false">"c6566"</definedName>
    <definedName function="false" hidden="true" name="IQ_INT_FEE_INC_ACCEPTANCE_OTHER_BANKS_DOM_FFIEC" vbProcedure="false">"c15357"</definedName>
    <definedName function="false" hidden="true" name="IQ_INT_FEE_INC_AGRICULTURE_LOANS_FARMERS_DOM_FFIEC" vbProcedure="false">"c15355"</definedName>
    <definedName function="false" hidden="true" name="IQ_INT_FEE_INC_COMM_IND_LOANS_DOM_FFIEC" vbProcedure="false">"c15356"</definedName>
    <definedName function="false" hidden="true" name="IQ_INT_FEE_INC_CREDIT_CARDS_DOM_FFIEC" vbProcedure="false">"c15358"</definedName>
    <definedName function="false" hidden="true" name="IQ_INT_FEE_INC_DEPOSITORY_LOANS_DOM_FFIEC" vbProcedure="false">"c15354"</definedName>
    <definedName function="false" hidden="true" name="IQ_INT_FEE_INC_FOREIGN_GOVT_LOANS_DOM_FFIEC" vbProcedure="false">"c15360"</definedName>
    <definedName function="false" hidden="true" name="IQ_INT_FEE_INC_INDIVIDUAL_LOANS_DOM_FFIEC" vbProcedure="false">"c15359"</definedName>
    <definedName function="false" hidden="true" name="IQ_INT_FEE_INC_RE_LOANS_DOM_FFIEC" vbProcedure="false">"c15353"</definedName>
    <definedName function="false" hidden="true" name="IQ_INT_FEE_INC_TAXABLE_OBLIGATIONS_DOM_FFIEC" vbProcedure="false">"c15361"</definedName>
    <definedName function="false" hidden="true" name="IQ_INT_FEE_INC_TAX_EXEMPT_OBLIGATIONS_DOM_FFIEC" vbProcedure="false">"c15362"</definedName>
    <definedName function="false" hidden="true" name="IQ_INT_FOREIGN_DEPOSITS_FDIC" vbProcedure="false">"c6565"</definedName>
    <definedName function="false" hidden="true" name="IQ_INT_INC_BR" vbProcedure="false">"c593"</definedName>
    <definedName function="false" hidden="true" name="IQ_INT_INC_DEPOSITORY_INST_FDIC" vbProcedure="false">"c6558"</definedName>
    <definedName function="false" hidden="true" name="IQ_INT_INC_DOM_LOANS_FDIC" vbProcedure="false">"c6555"</definedName>
    <definedName function="false" hidden="true" name="IQ_INT_INC_FED_FUNDS_FDIC" vbProcedure="false">"c6561"</definedName>
    <definedName function="false" hidden="true" name="IQ_INT_INC_FIN" vbProcedure="false">"c594"</definedName>
    <definedName function="false" hidden="true" name="IQ_INT_INC_FOREIGN_LOANS_FDIC" vbProcedure="false">"c6556"</definedName>
    <definedName function="false" hidden="true" name="IQ_INT_INC_INVEST" vbProcedure="false">"c595"</definedName>
    <definedName function="false" hidden="true" name="IQ_INT_INC_LEASE_RECEIVABLES_FDIC" vbProcedure="false">"c6557"</definedName>
    <definedName function="false" hidden="true" name="IQ_INT_INC_LOANS" vbProcedure="false">"c596"</definedName>
    <definedName function="false" hidden="true" name="IQ_INT_INC_OTHER_FDIC" vbProcedure="false">"c6562"</definedName>
    <definedName function="false" hidden="true" name="IQ_INT_INC_REIT" vbProcedure="false">"c597"</definedName>
    <definedName function="false" hidden="true" name="IQ_INT_INC_SECURITIES_FDIC" vbProcedure="false">"c6559"</definedName>
    <definedName function="false" hidden="true" name="IQ_INT_INC_TOTAL" vbProcedure="false">"c598"</definedName>
    <definedName function="false" hidden="true" name="IQ_INT_INC_TOTAL_FDIC" vbProcedure="false">"c6563"</definedName>
    <definedName function="false" hidden="true" name="IQ_INT_INC_TRADING_ACCOUNTS_FDIC" vbProcedure="false">"c6560"</definedName>
    <definedName function="false" hidden="true" name="IQ_INT_INC_UTI" vbProcedure="false">"c599"</definedName>
    <definedName function="false" hidden="true" name="IQ_INT_INV_INC" vbProcedure="false">"c600"</definedName>
    <definedName function="false" hidden="true" name="IQ_INT_INV_INC_REIT" vbProcedure="false">"c601"</definedName>
    <definedName function="false" hidden="true" name="IQ_INT_INV_INC_UTI" vbProcedure="false">"c602"</definedName>
    <definedName function="false" hidden="true" name="IQ_INT_ON_BORROWING_COVERAGE" vbProcedure="false">"c603"</definedName>
    <definedName function="false" hidden="true" name="IQ_INT_RATE_SPREAD" vbProcedure="false">"c604"</definedName>
    <definedName function="false" hidden="true" name="IQ_INT_SAVINGS_DEPOSITS_MMDA_DOM_FFIEC" vbProcedure="false">"c15364"</definedName>
    <definedName function="false" hidden="true" name="IQ_INT_SUB_NOTES_FDIC" vbProcedure="false">"c6568"</definedName>
    <definedName function="false" hidden="true" name="IQ_INT_TRANSACTION_ACCOUNTS_DOM_FFIEC" vbProcedure="false">"c15363"</definedName>
    <definedName function="false" hidden="true" name="IQ_INVENTORY" vbProcedure="false">"c622"</definedName>
    <definedName function="false" hidden="true" name="IQ_INVENTORY_TURNS" vbProcedure="false">"c623"</definedName>
    <definedName function="false" hidden="true" name="IQ_INVENTORY_UTI" vbProcedure="false">"c624"</definedName>
    <definedName function="false" hidden="true" name="IQ_INVESTMENT_BANKING_OTHER_FEES_FDIC" vbProcedure="false">"c6666"</definedName>
    <definedName function="false" hidden="true" name="IQ_INVEST_DEBT" vbProcedure="false">"c625"</definedName>
    <definedName function="false" hidden="true" name="IQ_INVEST_EQUITY_PREF" vbProcedure="false">"c626"</definedName>
    <definedName function="false" hidden="true" name="IQ_INVEST_FHLB" vbProcedure="false">"c627"</definedName>
    <definedName function="false" hidden="true" name="IQ_INVEST_LOANS_CF" vbProcedure="false">"c628"</definedName>
    <definedName function="false" hidden="true" name="IQ_INVEST_LOANS_CF_BNK" vbProcedure="false">"c629"</definedName>
    <definedName function="false" hidden="true" name="IQ_INVEST_LOANS_CF_BR" vbProcedure="false">"c630"</definedName>
    <definedName function="false" hidden="true" name="IQ_INVEST_LOANS_CF_FIN" vbProcedure="false">"c631"</definedName>
    <definedName function="false" hidden="true" name="IQ_INVEST_LOANS_CF_INS" vbProcedure="false">"c632"</definedName>
    <definedName function="false" hidden="true" name="IQ_INVEST_LOANS_CF_REIT" vbProcedure="false">"c633"</definedName>
    <definedName function="false" hidden="true" name="IQ_INVEST_LOANS_CF_UTI" vbProcedure="false">"c634"</definedName>
    <definedName function="false" hidden="true" name="IQ_INVEST_REAL_ESTATE" vbProcedure="false">"c635"</definedName>
    <definedName function="false" hidden="true" name="IQ_INVEST_SECURITY" vbProcedure="false">"c636"</definedName>
    <definedName function="false" hidden="true" name="IQ_INVEST_SECURITY_CF" vbProcedure="false">"c637"</definedName>
    <definedName function="false" hidden="true" name="IQ_INVEST_SECURITY_CF_BNK" vbProcedure="false">"c638"</definedName>
    <definedName function="false" hidden="true" name="IQ_INVEST_SECURITY_CF_BR" vbProcedure="false">"c639"</definedName>
    <definedName function="false" hidden="true" name="IQ_INVEST_SECURITY_CF_FIN" vbProcedure="false">"c640"</definedName>
    <definedName function="false" hidden="true" name="IQ_INVEST_SECURITY_CF_INS" vbProcedure="false">"c641"</definedName>
    <definedName function="false" hidden="true" name="IQ_INVEST_SECURITY_CF_REIT" vbProcedure="false">"c642"</definedName>
    <definedName function="false" hidden="true" name="IQ_INVEST_SECURITY_CF_UTI" vbProcedure="false">"c643"</definedName>
    <definedName function="false" hidden="true" name="IQ_INV_BANKING_FEE" vbProcedure="false">"c620"</definedName>
    <definedName function="false" hidden="true" name="IQ_INV_METHOD" vbProcedure="false">"c621"</definedName>
    <definedName function="false" hidden="true" name="IQ_INV_REL_ID" vbProcedure="false">"c15220"</definedName>
    <definedName function="false" hidden="true" name="IQ_INV_REL_NAME" vbProcedure="false">"c15219"</definedName>
    <definedName function="false" hidden="true" name="IQ_IPRD" vbProcedure="false">"c644"</definedName>
    <definedName function="false" hidden="true" name="IQ_IRA_KEOGH_ACCOUNTS_FDIC" vbProcedure="false">"c6496"</definedName>
    <definedName function="false" hidden="true" name="IQ_ISM_SERVICES_APR_FC_UNUSED_UNUSED_UNUSED" vbProcedure="false">"c8443"</definedName>
    <definedName function="false" hidden="true" name="IQ_ISM_SERVICES_APR_UNUSED_UNUSED_UNUSED" vbProcedure="false">"c7563"</definedName>
    <definedName function="false" hidden="true" name="IQ_ISM_SERVICES_FC_UNUSED_UNUSED_UNUSED" vbProcedure="false">"c7783"</definedName>
    <definedName function="false" hidden="true" name="IQ_ISM_SERVICES_POP_FC_UNUSED_UNUSED_UNUSED" vbProcedure="false">"c8003"</definedName>
    <definedName function="false" hidden="true" name="IQ_ISM_SERVICES_POP_UNUSED_UNUSED_UNUSED" vbProcedure="false">"c7123"</definedName>
    <definedName function="false" hidden="true" name="IQ_ISM_SERVICES_UNUSED_UNUSED_UNUSED" vbProcedure="false">"c6903"</definedName>
    <definedName function="false" hidden="true" name="IQ_ISM_SERVICES_YOY_FC_UNUSED_UNUSED_UNUSED" vbProcedure="false">"c8223"</definedName>
    <definedName function="false" hidden="true" name="IQ_ISM_SERVICES_YOY_UNUSED_UNUSED_UNUSED" vbProcedure="false">"c7343"</definedName>
    <definedName function="false" hidden="true" name="IQ_ISSUED_GUARANTEED_US_FDIC" vbProcedure="false">"c6404"</definedName>
    <definedName function="false" hidden="true" name="IQ_ISS_DEBT_NET" vbProcedure="false">"c751"</definedName>
    <definedName function="false" hidden="true" name="IQ_ISS_STOCK_NET" vbProcedure="false">"c1601"</definedName>
    <definedName function="false" hidden="true" name="IQ_LAND" vbProcedure="false">"c645"</definedName>
    <definedName function="false" hidden="true" name="IQ_LASTSALEPRICE" vbProcedure="false">"c646"</definedName>
    <definedName function="false" hidden="true" name="IQ_LAST_EBITDA_MARGIN" vbProcedure="false">"IQ_LAST_EBITDA_MARGIN"</definedName>
    <definedName function="false" hidden="true" name="IQ_LAST_EBIT_MARGIN" vbProcedure="false">"IQ_LAST_EBIT_MARGIN"</definedName>
    <definedName function="false" hidden="true" name="IQ_LAST_GROSS_MARGIN" vbProcedure="false">"IQ_LAST_GROSS_MARGIN"</definedName>
    <definedName function="false" hidden="true" name="IQ_LAST_NET_INC_MARGIN" vbProcedure="false">"IQ_LAST_NET_INC_MARGIN"</definedName>
    <definedName function="false" hidden="true" name="IQ_LATEST" vbProcedure="false">"1"</definedName>
    <definedName function="false" hidden="true" name="IQ_LATESTK" vbProcedure="false">1000</definedName>
    <definedName function="false" hidden="true" name="IQ_LATESTKFR" vbProcedure="false">"100"</definedName>
    <definedName function="false" hidden="true" name="IQ_LATESTQ" vbProcedure="false">500</definedName>
    <definedName function="false" hidden="true" name="IQ_LATESTQFR" vbProcedure="false">"50"</definedName>
    <definedName function="false" hidden="true" name="IQ_LEASE_FINANCING_RECEIVABLES_CHARGE_OFFS_FDIC" vbProcedure="false">"c6602"</definedName>
    <definedName function="false" hidden="true" name="IQ_LEASE_FINANCING_RECEIVABLES_FDIC" vbProcedure="false">"c6433"</definedName>
    <definedName function="false" hidden="true" name="IQ_LEASE_FINANCING_RECEIVABLES_NET_CHARGE_OFFS_FDIC" vbProcedure="false">"c6640"</definedName>
    <definedName function="false" hidden="true" name="IQ_LEASE_FINANCING_RECEIVABLES_QUARTERLY_AVG_FFIEC" vbProcedure="false">"c15483"</definedName>
    <definedName function="false" hidden="true" name="IQ_LEASE_FINANCING_RECEIVABLES_RECOVERIES_FDIC" vbProcedure="false">"c6621"</definedName>
    <definedName function="false" hidden="true" name="IQ_LEASE_FINANCING_RECEIVABLES_TOTAL_LOANS_FOREIGN_FDIC" vbProcedure="false">"c6449"</definedName>
    <definedName function="false" hidden="true" name="IQ_LEGAL_SETTLE" vbProcedure="false">"c647"</definedName>
    <definedName function="false" hidden="true" name="IQ_LEGAL_SETTLE_BNK" vbProcedure="false">"c648"</definedName>
    <definedName function="false" hidden="true" name="IQ_LEGAL_SETTLE_BR" vbProcedure="false">"c649"</definedName>
    <definedName function="false" hidden="true" name="IQ_LEGAL_SETTLE_FIN" vbProcedure="false">"c650"</definedName>
    <definedName function="false" hidden="true" name="IQ_LEGAL_SETTLE_INS" vbProcedure="false">"c651"</definedName>
    <definedName function="false" hidden="true" name="IQ_LEGAL_SETTLE_REIT" vbProcedure="false">"c652"</definedName>
    <definedName function="false" hidden="true" name="IQ_LEGAL_SETTLE_UTI" vbProcedure="false">"c653"</definedName>
    <definedName function="false" hidden="true" name="IQ_LEVERAGE_RATIO" vbProcedure="false">"c654"</definedName>
    <definedName function="false" hidden="true" name="IQ_LIFE_INSURANCE_ASSETS_FDIC" vbProcedure="false">"c6372"</definedName>
    <definedName function="false" hidden="true" name="IQ_LIFOR" vbProcedure="false">"c655"</definedName>
    <definedName function="false" hidden="true" name="IQ_LISTING_CURRENCY" vbProcedure="false">"c2127"</definedName>
    <definedName function="false" hidden="true" name="IQ_LL" vbProcedure="false">"c656"</definedName>
    <definedName function="false" hidden="true" name="IQ_LOANS_AND_LEASES_HELD_FDIC" vbProcedure="false">"c6367"</definedName>
    <definedName function="false" hidden="true" name="IQ_LOANS_CF" vbProcedure="false">"c659"</definedName>
    <definedName function="false" hidden="true" name="IQ_LOANS_CF_BNK" vbProcedure="false">"c660"</definedName>
    <definedName function="false" hidden="true" name="IQ_LOANS_CF_BR" vbProcedure="false">"c661"</definedName>
    <definedName function="false" hidden="true" name="IQ_LOANS_CF_FIN" vbProcedure="false">"c662"</definedName>
    <definedName function="false" hidden="true" name="IQ_LOANS_CF_INS" vbProcedure="false">"c663"</definedName>
    <definedName function="false" hidden="true" name="IQ_LOANS_CF_REIT" vbProcedure="false">"c664"</definedName>
    <definedName function="false" hidden="true" name="IQ_LOANS_CF_UTI" vbProcedure="false">"c665"</definedName>
    <definedName function="false" hidden="true" name="IQ_LOANS_DEPOSITORY_INSTITUTIONS_FDIC" vbProcedure="false">"c6382"</definedName>
    <definedName function="false" hidden="true" name="IQ_LOANS_FOR_SALE" vbProcedure="false">"c666"</definedName>
    <definedName function="false" hidden="true" name="IQ_LOANS_HELD_FOREIGN_FDIC" vbProcedure="false">"c6315"</definedName>
    <definedName function="false" hidden="true" name="IQ_LOANS_LEASES_FOREIGN_FDIC" vbProcedure="false">"c6383"</definedName>
    <definedName function="false" hidden="true" name="IQ_LOANS_LEASES_GROSS_FDIC" vbProcedure="false">"c6323"</definedName>
    <definedName function="false" hidden="true" name="IQ_LOANS_LEASES_GROSS_FOREIGN_FDIC" vbProcedure="false">"c6384"</definedName>
    <definedName function="false" hidden="true" name="IQ_LOANS_LEASES_HFI_FAIR_VALUE_TOT_FFIEC" vbProcedure="false">"c15401"</definedName>
    <definedName function="false" hidden="true" name="IQ_LOANS_LEASES_HFI_LEVEL_1_FFIEC" vbProcedure="false">"c15423"</definedName>
    <definedName function="false" hidden="true" name="IQ_LOANS_LEASES_HFI_LEVEL_2_FFIEC" vbProcedure="false">"c15436"</definedName>
    <definedName function="false" hidden="true" name="IQ_LOANS_LEASES_HFI_LEVEL_3_FFIEC" vbProcedure="false">"c15449"</definedName>
    <definedName function="false" hidden="true" name="IQ_LOANS_LEASES_HFS_FAIR_VALUE_TOT_FFIEC" vbProcedure="false">"c15400"</definedName>
    <definedName function="false" hidden="true" name="IQ_LOANS_LEASES_HFS_LEVEL_1_FFIEC" vbProcedure="false">"c15422"</definedName>
    <definedName function="false" hidden="true" name="IQ_LOANS_LEASES_HFS_LEVEL_2_FFIEC" vbProcedure="false">"c15435"</definedName>
    <definedName function="false" hidden="true" name="IQ_LOANS_LEASES_HFS_LEVEL_3_FFIEC" vbProcedure="false">"c15448"</definedName>
    <definedName function="false" hidden="true" name="IQ_LOANS_LEASES_NET_FDIC" vbProcedure="false">"c6327"</definedName>
    <definedName function="false" hidden="true" name="IQ_LOANS_LEASES_NET_UNEARNED_FDIC" vbProcedure="false">"c6325"</definedName>
    <definedName function="false" hidden="true" name="IQ_LOANS_NOT_SECURED_RE_FDIC" vbProcedure="false">"c6381"</definedName>
    <definedName function="false" hidden="true" name="IQ_LOANS_PAST_DUE" vbProcedure="false">"c667"</definedName>
    <definedName function="false" hidden="true" name="IQ_LOANS_RECEIV_CURRENT" vbProcedure="false">"c668"</definedName>
    <definedName function="false" hidden="true" name="IQ_LOANS_RECEIV_LT" vbProcedure="false">"c669"</definedName>
    <definedName function="false" hidden="true" name="IQ_LOANS_RECEIV_LT_UTI" vbProcedure="false">"c670"</definedName>
    <definedName function="false" hidden="true" name="IQ_LOANS_SECURED_BY_RE_CHARGE_OFFS_FDIC" vbProcedure="false">"c6588"</definedName>
    <definedName function="false" hidden="true" name="IQ_LOANS_SECURED_BY_RE_RECOVERIES_FDIC" vbProcedure="false">"c6607"</definedName>
    <definedName function="false" hidden="true" name="IQ_LOANS_SECURED_NON_US_FDIC" vbProcedure="false">"c6380"</definedName>
    <definedName function="false" hidden="true" name="IQ_LOANS_SECURED_RE_NET_CHARGE_OFFS_FDIC" vbProcedure="false">"c6626"</definedName>
    <definedName function="false" hidden="true" name="IQ_LOANS_TO_DEPOSITORY_INSTITUTIONS_FOREIGN_FDIC" vbProcedure="false">"c6453"</definedName>
    <definedName function="false" hidden="true" name="IQ_LOANS_TO_FOREIGN_GOVERNMENTS_FDIC" vbProcedure="false">"c6448"</definedName>
    <definedName function="false" hidden="true" name="IQ_LOANS_TO_INDIVIDUALS_FOREIGN_FDIC" vbProcedure="false">"c6452"</definedName>
    <definedName function="false" hidden="true" name="IQ_LOAN_COMMITMENTS_REVOLVING_FDIC" vbProcedure="false">"c6524"</definedName>
    <definedName function="false" hidden="true" name="IQ_LOAN_LEASE_RECEIV" vbProcedure="false">"c657"</definedName>
    <definedName function="false" hidden="true" name="IQ_LOAN_LOSS" vbProcedure="false">"c656"</definedName>
    <definedName function="false" hidden="true" name="IQ_LOAN_LOSSES_FDIC" vbProcedure="false">"c6580"</definedName>
    <definedName function="false" hidden="true" name="IQ_LOAN_LOSS_ALLOWANCE_NONCURRENT_LOANS_FDIC" vbProcedure="false">"c6740"</definedName>
    <definedName function="false" hidden="true" name="IQ_LOAN_LOSS_ALLOW_FDIC" vbProcedure="false">"c6326"</definedName>
    <definedName function="false" hidden="true" name="IQ_LOAN_LOSS_PROVISION_FOREIGN_FFIEC" vbProcedure="false">"c15382"</definedName>
    <definedName function="false" hidden="true" name="IQ_LOAN_SERVICE_REV" vbProcedure="false">"c658"</definedName>
    <definedName function="false" hidden="true" name="IQ_LONG_TERM_ASSETS_FDIC" vbProcedure="false">"c6361"</definedName>
    <definedName function="false" hidden="true" name="IQ_LONG_TERM_DEBT" vbProcedure="false">"c674"</definedName>
    <definedName function="false" hidden="true" name="IQ_LONG_TERM_DEBT_OVER_TOTAL_CAP" vbProcedure="false">"c677"</definedName>
    <definedName function="false" hidden="true" name="IQ_LONG_TERM_GROWTH" vbProcedure="false">"c671"</definedName>
    <definedName function="false" hidden="true" name="IQ_LONG_TERM_INV" vbProcedure="false">"c697"</definedName>
    <definedName function="false" hidden="true" name="IQ_LOSS_ALLOWANCE_LOANS_FDIC" vbProcedure="false">"c6739"</definedName>
    <definedName function="false" hidden="true" name="IQ_LOSS_LOSS_EXP" vbProcedure="false">"c672"</definedName>
    <definedName function="false" hidden="true" name="IQ_LOWPRICE" vbProcedure="false">"c673"</definedName>
    <definedName function="false" hidden="true" name="IQ_LOW_TARGET_PRICE_REUT" vbProcedure="false">"c5318"</definedName>
    <definedName function="false" hidden="true" name="IQ_LTD_DUE_AFTER_FIVE" vbProcedure="false">"c704"</definedName>
    <definedName function="false" hidden="true" name="IQ_LTD_DUE_CY" vbProcedure="false">"c705"</definedName>
    <definedName function="false" hidden="true" name="IQ_LTD_DUE_CY1" vbProcedure="false">"c706"</definedName>
    <definedName function="false" hidden="true" name="IQ_LTD_DUE_CY2" vbProcedure="false">"c707"</definedName>
    <definedName function="false" hidden="true" name="IQ_LTD_DUE_CY3" vbProcedure="false">"c708"</definedName>
    <definedName function="false" hidden="true" name="IQ_LTD_DUE_CY4" vbProcedure="false">"c709"</definedName>
    <definedName function="false" hidden="true" name="IQ_LTD_DUE_NEXT_FIVE" vbProcedure="false">"c710"</definedName>
    <definedName function="false" hidden="false" name="IQ_LTM" vbProcedure="false">2000</definedName>
    <definedName function="false" hidden="true" name="IQ_LTMMONTH" vbProcedure="false">120000</definedName>
    <definedName function="false" hidden="true" name="IQ_LTM_DATE" vbProcedure="false">"IQ_LTM_DATE"</definedName>
    <definedName function="false" hidden="true" name="IQ_LTM_REVENUE_OVER_EMPLOYEES" vbProcedure="false">"c1304"</definedName>
    <definedName function="false" hidden="true" name="IQ_LT_DEBT" vbProcedure="false">"c674"</definedName>
    <definedName function="false" hidden="true" name="IQ_LT_DEBT_BNK" vbProcedure="false">"c675"</definedName>
    <definedName function="false" hidden="true" name="IQ_LT_DEBT_BR" vbProcedure="false">"c676"</definedName>
    <definedName function="false" hidden="true" name="IQ_LT_DEBT_CAPITAL" vbProcedure="false">"c677"</definedName>
    <definedName function="false" hidden="true" name="IQ_LT_DEBT_EQUITY" vbProcedure="false">"c678"</definedName>
    <definedName function="false" hidden="true" name="IQ_LT_DEBT_FIN" vbProcedure="false">"c679"</definedName>
    <definedName function="false" hidden="true" name="IQ_LT_DEBT_INS" vbProcedure="false">"c680"</definedName>
    <definedName function="false" hidden="true" name="IQ_LT_DEBT_ISSUED" vbProcedure="false">"c681"</definedName>
    <definedName function="false" hidden="true" name="IQ_LT_DEBT_ISSUED_BNK" vbProcedure="false">"c682"</definedName>
    <definedName function="false" hidden="true" name="IQ_LT_DEBT_ISSUED_BR" vbProcedure="false">"c683"</definedName>
    <definedName function="false" hidden="true" name="IQ_LT_DEBT_ISSUED_FIN" vbProcedure="false">"c684"</definedName>
    <definedName function="false" hidden="true" name="IQ_LT_DEBT_ISSUED_INS" vbProcedure="false">"c685"</definedName>
    <definedName function="false" hidden="true" name="IQ_LT_DEBT_ISSUED_REIT" vbProcedure="false">"c686"</definedName>
    <definedName function="false" hidden="true" name="IQ_LT_DEBT_ISSUED_UTI" vbProcedure="false">"c687"</definedName>
    <definedName function="false" hidden="true" name="IQ_LT_DEBT_REIT" vbProcedure="false">"c688"</definedName>
    <definedName function="false" hidden="true" name="IQ_LT_DEBT_REPAID" vbProcedure="false">"c689"</definedName>
    <definedName function="false" hidden="true" name="IQ_LT_DEBT_REPAID_BNK" vbProcedure="false">"c690"</definedName>
    <definedName function="false" hidden="true" name="IQ_LT_DEBT_REPAID_BR" vbProcedure="false">"c691"</definedName>
    <definedName function="false" hidden="true" name="IQ_LT_DEBT_REPAID_FIN" vbProcedure="false">"c692"</definedName>
    <definedName function="false" hidden="true" name="IQ_LT_DEBT_REPAID_INS" vbProcedure="false">"c693"</definedName>
    <definedName function="false" hidden="true" name="IQ_LT_DEBT_REPAID_REIT" vbProcedure="false">"c694"</definedName>
    <definedName function="false" hidden="true" name="IQ_LT_DEBT_REPAID_UTI" vbProcedure="false">"c695"</definedName>
    <definedName function="false" hidden="true" name="IQ_LT_DEBT_UTI" vbProcedure="false">"c696"</definedName>
    <definedName function="false" hidden="true" name="IQ_LT_GROWTH_DET_EST_DATE_REUT" vbProcedure="false">"c12296"</definedName>
    <definedName function="false" hidden="true" name="IQ_LT_GROWTH_DET_EST_INCL_REUT" vbProcedure="false">"c12420"</definedName>
    <definedName function="false" hidden="true" name="IQ_LT_GROWTH_DET_EST_ORIGIN_REUT" vbProcedure="false">"c12728"</definedName>
    <definedName function="false" hidden="true" name="IQ_LT_GROWTH_DET_EST_REUT" vbProcedure="false">"c12154"</definedName>
    <definedName function="false" hidden="true" name="IQ_LT_INVEST" vbProcedure="false">"c697"</definedName>
    <definedName function="false" hidden="true" name="IQ_LT_INVEST_BR" vbProcedure="false">"c698"</definedName>
    <definedName function="false" hidden="true" name="IQ_LT_INVEST_FIN" vbProcedure="false">"c699"</definedName>
    <definedName function="false" hidden="true" name="IQ_LT_INVEST_REIT" vbProcedure="false">"c700"</definedName>
    <definedName function="false" hidden="true" name="IQ_LT_INVEST_UTI" vbProcedure="false">"c701"</definedName>
    <definedName function="false" hidden="true" name="IQ_LT_NOTE_RECEIV" vbProcedure="false">"c1602"</definedName>
    <definedName function="false" hidden="true" name="IQ_LT_SENIOR_DEBT" vbProcedure="false">"c702"</definedName>
    <definedName function="false" hidden="true" name="IQ_LT_SUB_DEBT" vbProcedure="false">"c703"</definedName>
    <definedName function="false" hidden="true" name="IQ_MACHINERY" vbProcedure="false">"c711"</definedName>
    <definedName function="false" hidden="true" name="IQ_MACRO_SURVEY_CONSUMER_SENTIMENT" vbProcedure="false">"c20808"</definedName>
    <definedName function="false" hidden="true" name="IQ_MAINT_CAPEX_ACT_OR_EST" vbProcedure="false">"c4458"</definedName>
    <definedName function="false" hidden="true" name="IQ_MAINT_CAPEX_EST" vbProcedure="false">"c4457"</definedName>
    <definedName function="false" hidden="true" name="IQ_MAINT_CAPEX_HIGH_EST" vbProcedure="false">"c4460"</definedName>
    <definedName function="false" hidden="true" name="IQ_MAINT_CAPEX_LOW_EST" vbProcedure="false">"c4461"</definedName>
    <definedName function="false" hidden="true" name="IQ_MAINT_CAPEX_MEDIAN_EST" vbProcedure="false">"c4462"</definedName>
    <definedName function="false" hidden="true" name="IQ_MAINT_CAPEX_NUM_EST" vbProcedure="false">"c4463"</definedName>
    <definedName function="false" hidden="true" name="IQ_MAINT_CAPEX_STDDEV_EST" vbProcedure="false">"c4464"</definedName>
    <definedName function="false" hidden="true" name="IQ_MARKETCAP" vbProcedure="false">"c712"</definedName>
    <definedName function="false" hidden="true" name="IQ_MARKTCAP" vbProcedure="false">"c258"</definedName>
    <definedName function="false" hidden="true" name="IQ_MATURITY_ONE_YEAR_LESS_FDIC" vbProcedure="false">"c6425"</definedName>
    <definedName function="false" hidden="true" name="IQ_MBS_QUARTERLY_AVG_FFIEC" vbProcedure="false">"c15471"</definedName>
    <definedName function="false" hidden="true" name="IQ_MC_GA_MARGIN" vbProcedure="false">"c9930"</definedName>
    <definedName function="false" hidden="true" name="IQ_MC_GA_OPERATING_REV" vbProcedure="false">"c9929"</definedName>
    <definedName function="false" hidden="true" name="IQ_MC_MEDICAL_EXPENSE_RATIO" vbProcedure="false">"c9927"</definedName>
    <definedName function="false" hidden="true" name="IQ_MC_SGA_MARGIN" vbProcedure="false">"c9932"</definedName>
    <definedName function="false" hidden="true" name="IQ_MC_SGA_OPERATING_REV" vbProcedure="false">"c9931"</definedName>
    <definedName function="false" hidden="true" name="IQ_MEDIAN_NEW_HOME_SALES_APR_FC_UNUSED_UNUSED_UNUSED" vbProcedure="false">"c8460"</definedName>
    <definedName function="false" hidden="true" name="IQ_MEDIAN_NEW_HOME_SALES_APR_UNUSED_UNUSED_UNUSED" vbProcedure="false">"c7580"</definedName>
    <definedName function="false" hidden="true" name="IQ_MEDIAN_NEW_HOME_SALES_FC_UNUSED_UNUSED_UNUSED" vbProcedure="false">"c7800"</definedName>
    <definedName function="false" hidden="true" name="IQ_MEDIAN_NEW_HOME_SALES_POP_FC_UNUSED_UNUSED_UNUSED" vbProcedure="false">"c8020"</definedName>
    <definedName function="false" hidden="true" name="IQ_MEDIAN_NEW_HOME_SALES_POP_UNUSED_UNUSED_UNUSED" vbProcedure="false">"c7140"</definedName>
    <definedName function="false" hidden="true" name="IQ_MEDIAN_NEW_HOME_SALES_UNUSED_UNUSED_UNUSED" vbProcedure="false">"c6920"</definedName>
    <definedName function="false" hidden="true" name="IQ_MEDIAN_NEW_HOME_SALES_YOY_FC_UNUSED_UNUSED_UNUSED" vbProcedure="false">"c8240"</definedName>
    <definedName function="false" hidden="true" name="IQ_MEDIAN_NEW_HOME_SALES_YOY_UNUSED_UNUSED_UNUSED" vbProcedure="false">"c7360"</definedName>
    <definedName function="false" hidden="true" name="IQ_MEDIAN_TARGET_PRICE_REUT" vbProcedure="false">"c5316"</definedName>
    <definedName function="false" hidden="true" name="IQ_MERGER" vbProcedure="false">"c713"</definedName>
    <definedName function="false" hidden="true" name="IQ_MERGER_BNK" vbProcedure="false">"c714"</definedName>
    <definedName function="false" hidden="true" name="IQ_MERGER_BR" vbProcedure="false">"c715"</definedName>
    <definedName function="false" hidden="true" name="IQ_MERGER_FIN" vbProcedure="false">"c716"</definedName>
    <definedName function="false" hidden="true" name="IQ_MERGER_INS" vbProcedure="false">"c717"</definedName>
    <definedName function="false" hidden="true" name="IQ_MERGER_REIT" vbProcedure="false">"c718"</definedName>
    <definedName function="false" hidden="true" name="IQ_MERGER_RESTRUCTURE" vbProcedure="false">"c719"</definedName>
    <definedName function="false" hidden="true" name="IQ_MERGER_RESTRUCTURE_BNK" vbProcedure="false">"c720"</definedName>
    <definedName function="false" hidden="true" name="IQ_MERGER_RESTRUCTURE_BR" vbProcedure="false">"c721"</definedName>
    <definedName function="false" hidden="true" name="IQ_MERGER_RESTRUCTURE_FIN" vbProcedure="false">"c722"</definedName>
    <definedName function="false" hidden="true" name="IQ_MERGER_RESTRUCTURE_INS" vbProcedure="false">"c723"</definedName>
    <definedName function="false" hidden="true" name="IQ_MERGER_RESTRUCTURE_REIT" vbProcedure="false">"c724"</definedName>
    <definedName function="false" hidden="true" name="IQ_MERGER_RESTRUCTURE_UTI" vbProcedure="false">"c725"</definedName>
    <definedName function="false" hidden="true" name="IQ_MERGER_UTI" vbProcedure="false">"c726"</definedName>
    <definedName function="false" hidden="true" name="IQ_MINORITY_INTEREST" vbProcedure="false">"c727"</definedName>
    <definedName function="false" hidden="true" name="IQ_MINORITY_INTEREST_BNK" vbProcedure="false">"c728"</definedName>
    <definedName function="false" hidden="true" name="IQ_MINORITY_INTEREST_BR" vbProcedure="false">"c729"</definedName>
    <definedName function="false" hidden="true" name="IQ_MINORITY_INTEREST_CF" vbProcedure="false">"c730"</definedName>
    <definedName function="false" hidden="true" name="IQ_MINORITY_INTEREST_FIN" vbProcedure="false">"c731"</definedName>
    <definedName function="false" hidden="true" name="IQ_MINORITY_INTEREST_INS" vbProcedure="false">"c732"</definedName>
    <definedName function="false" hidden="true" name="IQ_MINORITY_INTEREST_IS" vbProcedure="false">"c733"</definedName>
    <definedName function="false" hidden="true" name="IQ_MINORITY_INTEREST_REIT" vbProcedure="false">"c734"</definedName>
    <definedName function="false" hidden="true" name="IQ_MINORITY_INTEREST_UTI" vbProcedure="false">"c735"</definedName>
    <definedName function="false" hidden="true" name="IQ_MISC_ADJUST_CF" vbProcedure="false">"c736"</definedName>
    <definedName function="false" hidden="true" name="IQ_MISC_EARN_ADJ" vbProcedure="false">"c1603"</definedName>
    <definedName function="false" hidden="true" name="IQ_MKTCAP_EBT_EXCL" vbProcedure="false">"c737"</definedName>
    <definedName function="false" hidden="true" name="IQ_MKTCAP_EBT_EXCL_AVG" vbProcedure="false">"c738"</definedName>
    <definedName function="false" hidden="true" name="IQ_MKTCAP_EBT_INCL_AVG" vbProcedure="false">"c739"</definedName>
    <definedName function="false" hidden="true" name="IQ_MKTCAP_TOTAL_REV" vbProcedure="false">"c740"</definedName>
    <definedName function="false" hidden="true" name="IQ_MKTCAP_TOTAL_REV_AVG" vbProcedure="false">"c741"</definedName>
    <definedName function="false" hidden="true" name="IQ_MKTCAP_TOTAL_REV_FWD" vbProcedure="false">"c742"</definedName>
    <definedName function="false" hidden="true" name="IQ_MKTCAP_TOTAL_REV_FWD_REUT" vbProcedure="false">"c4048"</definedName>
    <definedName function="false" hidden="true" name="IQ_MMDA_NON_TRANS_ACCTS_FFIEC" vbProcedure="false">"c15330"</definedName>
    <definedName function="false" hidden="true" name="IQ_MM_ACCOUNT" vbProcedure="false">"c743"</definedName>
    <definedName function="false" hidden="true" name="IQ_MONEY_MARKET_DEPOSIT_ACCOUNTS_FDIC" vbProcedure="false">"c6553"</definedName>
    <definedName function="false" hidden="false" name="IQ_MONTH" vbProcedure="false">15000</definedName>
    <definedName function="false" hidden="true" name="IQ_MORTGAGE_BACKED_SECURITIES_FDIC" vbProcedure="false">"c6402"</definedName>
    <definedName function="false" hidden="true" name="IQ_MORTGAGE_DEBT_UNDER_CAPITAL_LEASES_FFIEC" vbProcedure="false">"c15276"</definedName>
    <definedName function="false" hidden="true" name="IQ_MORTGAGE_SERVICING_FDIC" vbProcedure="false">"c6335"</definedName>
    <definedName function="false" hidden="true" name="IQ_MORT_BANKING_FEE" vbProcedure="false">"c745"</definedName>
    <definedName function="false" hidden="true" name="IQ_MORT_BANK_ACT" vbProcedure="false">"c744"</definedName>
    <definedName function="false" hidden="true" name="IQ_MORT_INT_INC" vbProcedure="false">"c746"</definedName>
    <definedName function="false" hidden="true" name="IQ_MORT_LOANS" vbProcedure="false">"c747"</definedName>
    <definedName function="false" hidden="true" name="IQ_MORT_SECURITY" vbProcedure="false">"c748"</definedName>
    <definedName function="false" hidden="true" name="IQ_MTD" vbProcedure="false">800000</definedName>
    <definedName function="false" hidden="true" name="IQ_MULTIFAMILY_RESIDENTIAL_LOANS_FDIC" vbProcedure="false">"c6311"</definedName>
    <definedName function="false" hidden="true" name="IQ_MULTIFAMILY_RES_DOM_FFIEC" vbProcedure="false">"c15270"</definedName>
    <definedName function="false" hidden="true" name="IQ_MUNI_ADVALOREM_TAX" vbProcedure="false">"c15144"</definedName>
    <definedName function="false" hidden="true" name="IQ_MUNI_AMT_TAX" vbProcedure="false">"c15146"</definedName>
    <definedName function="false" hidden="true" name="IQ_MUNI_BANK_QUALIFIED" vbProcedure="false">"c15148"</definedName>
    <definedName function="false" hidden="true" name="IQ_MUNI_DEP_TRUST_ELIGIBLE" vbProcedure="false">"c15149"</definedName>
    <definedName function="false" hidden="true" name="IQ_MUNI_ECONOMIC_DEFEASANCE" vbProcedure="false">"c15151"</definedName>
    <definedName function="false" hidden="true" name="IQ_MUNI_ESCROW" vbProcedure="false">"c15228"</definedName>
    <definedName function="false" hidden="true" name="IQ_MUNI_FED_TAX" vbProcedure="false">"c15147"</definedName>
    <definedName function="false" hidden="true" name="IQ_MUNI_LEGAL_DEFEASANCE" vbProcedure="false">"c15150"</definedName>
    <definedName function="false" hidden="true" name="IQ_MUNI_OFFERING_TYPE" vbProcedure="false">"c15143"</definedName>
    <definedName function="false" hidden="true" name="IQ_MUNI_OPTIONAL_REDEMPTION_DEFEASANCE" vbProcedure="false">"c15152"</definedName>
    <definedName function="false" hidden="true" name="IQ_MUNI_PRE_REFUNDED_DATE" vbProcedure="false">"c15154"</definedName>
    <definedName function="false" hidden="true" name="IQ_MUNI_PRE_REFUNDED_DATED_DATE" vbProcedure="false">"c15156"</definedName>
    <definedName function="false" hidden="true" name="IQ_MUNI_PRE_REFUNDED_PRICE" vbProcedure="false">"c15155"</definedName>
    <definedName function="false" hidden="true" name="IQ_MUNI_PRE_REFUNDED_TYPE" vbProcedure="false">"c15153"</definedName>
    <definedName function="false" hidden="true" name="IQ_MUNI_PURPOSE" vbProcedure="false">"c15226"</definedName>
    <definedName function="false" hidden="true" name="IQ_MUNI_STATE_TAX" vbProcedure="false">"c15145"</definedName>
    <definedName function="false" hidden="true" name="IQ_MUNI_TERRITORY" vbProcedure="false">"c15142"</definedName>
    <definedName function="false" hidden="true" name="IQ_MUNI_TYPE" vbProcedure="false">"c15227"</definedName>
    <definedName function="false" hidden="true" name="IQ_NAMES_REVISION_DATE_" vbProcedure="false">44200.2725694444</definedName>
    <definedName function="false" hidden="true" name="IQ_NAMES_REVISION_DATE__1" vbProcedure="false">41379.6758680556</definedName>
    <definedName function="false" hidden="true" name="IQ_NAMES_REVISION_DATE__1_1" vbProcedure="false">41449.4017592593</definedName>
    <definedName function="false" hidden="true" name="IQ_NAMES_REVISION_DATE__2" vbProcedure="false">41449.4017592593</definedName>
    <definedName function="false" hidden="true" name="IQ_NAV_ACT_OR_EST" vbProcedure="false">"c2225"</definedName>
    <definedName function="false" hidden="true" name="IQ_NAV_SHARE_ACT_OR_EST_REUT" vbProcedure="false">"c5623"</definedName>
    <definedName function="false" hidden="true" name="IQ_NAV_SHARE_DET_EST_CURRENCY_REUT" vbProcedure="false">"c12538"</definedName>
    <definedName function="false" hidden="true" name="IQ_NAV_SHARE_DET_EST_DATE_REUT" vbProcedure="false">"c12297"</definedName>
    <definedName function="false" hidden="true" name="IQ_NAV_SHARE_DET_EST_INCL_REUT" vbProcedure="false">"c12421"</definedName>
    <definedName function="false" hidden="true" name="IQ_NAV_SHARE_DET_EST_ORIGIN_REUT" vbProcedure="false">"c12665"</definedName>
    <definedName function="false" hidden="true" name="IQ_NAV_SHARE_DET_EST_REUT" vbProcedure="false">"c12155"</definedName>
    <definedName function="false" hidden="true" name="IQ_NAV_SHARE_EST_REUT" vbProcedure="false">"c5617"</definedName>
    <definedName function="false" hidden="true" name="IQ_NAV_SHARE_HIGH_EST_REUT" vbProcedure="false">"c5620"</definedName>
    <definedName function="false" hidden="true" name="IQ_NAV_SHARE_LOW_EST_REUT" vbProcedure="false">"c5621"</definedName>
    <definedName function="false" hidden="true" name="IQ_NAV_SHARE_MEDIAN_EST_REUT" vbProcedure="false">"c5618"</definedName>
    <definedName function="false" hidden="true" name="IQ_NAV_SHARE_NUM_EST_REUT" vbProcedure="false">"c5622"</definedName>
    <definedName function="false" hidden="true" name="IQ_NAV_SHARE_STDDEV_EST_REUT" vbProcedure="false">"c5619"</definedName>
    <definedName function="false" hidden="true" name="IQ_NET_BOOKING_LOCATION_ADJUSTMENT_FOREIGN_FFIEC" vbProcedure="false">"c15385"</definedName>
    <definedName function="false" hidden="true" name="IQ_NET_CHANGE" vbProcedure="false">"c749"</definedName>
    <definedName function="false" hidden="true" name="IQ_NET_CHARGE_OFFS_FDIC" vbProcedure="false">"c6641"</definedName>
    <definedName function="false" hidden="true" name="IQ_NET_CHARGE_OFFS_LOANS_FDIC" vbProcedure="false">"c6751"</definedName>
    <definedName function="false" hidden="true" name="IQ_NET_DEBT" vbProcedure="false">"c1584"</definedName>
    <definedName function="false" hidden="true" name="IQ_NET_DEBT_ACT_OR_EST_REUT" vbProcedure="false">"c5473"</definedName>
    <definedName function="false" hidden="true" name="IQ_NET_DEBT_DET_EST_CURRENCY_REUT" vbProcedure="false">"c12539"</definedName>
    <definedName function="false" hidden="true" name="IQ_NET_DEBT_DET_EST_DATE_REUT" vbProcedure="false">"c12298"</definedName>
    <definedName function="false" hidden="true" name="IQ_NET_DEBT_DET_EST_INCL_REUT" vbProcedure="false">"c12422"</definedName>
    <definedName function="false" hidden="true" name="IQ_NET_DEBT_DET_EST_ORIGIN_REUT" vbProcedure="false">"c12666"</definedName>
    <definedName function="false" hidden="true" name="IQ_NET_DEBT_DET_EST_REUT" vbProcedure="false">"c12156"</definedName>
    <definedName function="false" hidden="true" name="IQ_NET_DEBT_EBITDA" vbProcedure="false">"c750"</definedName>
    <definedName function="false" hidden="true" name="IQ_NET_DEBT_EST_REUT" vbProcedure="false">"c3976"</definedName>
    <definedName function="false" hidden="true" name="IQ_NET_DEBT_HIGH_EST_REUT" vbProcedure="false">"c3978"</definedName>
    <definedName function="false" hidden="true" name="IQ_NET_DEBT_ISSUED" vbProcedure="false">"c751"</definedName>
    <definedName function="false" hidden="true" name="IQ_NET_DEBT_ISSUED_BNK" vbProcedure="false">"c752"</definedName>
    <definedName function="false" hidden="true" name="IQ_NET_DEBT_ISSUED_BR" vbProcedure="false">"c753"</definedName>
    <definedName function="false" hidden="true" name="IQ_NET_DEBT_ISSUED_FIN" vbProcedure="false">"c754"</definedName>
    <definedName function="false" hidden="true" name="IQ_NET_DEBT_ISSUED_INS" vbProcedure="false">"c755"</definedName>
    <definedName function="false" hidden="true" name="IQ_NET_DEBT_ISSUED_REIT" vbProcedure="false">"c756"</definedName>
    <definedName function="false" hidden="true" name="IQ_NET_DEBT_ISSUED_UTI" vbProcedure="false">"c757"</definedName>
    <definedName function="false" hidden="true" name="IQ_NET_DEBT_LOW_EST_REUT" vbProcedure="false">"c3979"</definedName>
    <definedName function="false" hidden="true" name="IQ_NET_DEBT_MEDIAN_EST_REUT" vbProcedure="false">"c3977"</definedName>
    <definedName function="false" hidden="true" name="IQ_NET_DEBT_NUM_EST_REUT" vbProcedure="false">"c3980"</definedName>
    <definedName function="false" hidden="true" name="IQ_NET_DEBT_STDDEV_EST_REUT" vbProcedure="false">"c3981"</definedName>
    <definedName function="false" hidden="true" name="IQ_NET_GAIN_LOSS_OREO_EXP_FFIEC" vbProcedure="false">"c15370"</definedName>
    <definedName function="false" hidden="true" name="IQ_NET_GAIN_LOSS_OREO_INC_FFIEC" vbProcedure="false">"c15367"</definedName>
    <definedName function="false" hidden="true" name="IQ_NET_GAIN_LOSS_SALES_LOANS_EXP_FFIEC" vbProcedure="false">"c15371"</definedName>
    <definedName function="false" hidden="true" name="IQ_NET_GAIN_LOSS_SALES_LOANS_INC_FFIEC" vbProcedure="false">"c15368"</definedName>
    <definedName function="false" hidden="true" name="IQ_NET_GAIN_SALE_PREMISES_FIXED_ASSETS_EXP_FFIEC" vbProcedure="false">"c15372"</definedName>
    <definedName function="false" hidden="true" name="IQ_NET_GAIN_SALE_PREMISES_FIXED_ASSETS_INC_FFIEC" vbProcedure="false">"c15369"</definedName>
    <definedName function="false" hidden="true" name="IQ_NET_INC" vbProcedure="false">"c781"</definedName>
    <definedName function="false" hidden="true" name="IQ_NET_INCOME_FDIC" vbProcedure="false">"c6587"</definedName>
    <definedName function="false" hidden="true" name="IQ_NET_INC_10K" vbProcedure="false">"NET_INC_10K"</definedName>
    <definedName function="false" hidden="true" name="IQ_NET_INC_10Q" vbProcedure="false">"NET_INC_10Q"</definedName>
    <definedName function="false" hidden="true" name="IQ_NET_INC_10Q1" vbProcedure="false">"NET_INC_10Q1"</definedName>
    <definedName function="false" hidden="true" name="IQ_NET_INC_BEFORE" vbProcedure="false">"c344"</definedName>
    <definedName function="false" hidden="true" name="IQ_NET_INC_CF" vbProcedure="false">"c793"</definedName>
    <definedName function="false" hidden="true" name="IQ_NET_INC_GROWTH_1" vbProcedure="false">"IQ_NET_INC_GROWTH_1"</definedName>
    <definedName function="false" hidden="true" name="IQ_NET_INC_GROWTH_2" vbProcedure="false">"IQ_NET_INC_GROWTH_2"</definedName>
    <definedName function="false" hidden="true" name="IQ_NET_INC_MARGIN" vbProcedure="false">"c794"</definedName>
    <definedName function="false" hidden="true" name="IQ_NET_INTEREST_EXP" vbProcedure="false">"c769"</definedName>
    <definedName function="false" hidden="true" name="IQ_NET_INTEREST_EXP_REIT" vbProcedure="false">"c770"</definedName>
    <definedName function="false" hidden="true" name="IQ_NET_INTEREST_EXP_UTI" vbProcedure="false">"c771"</definedName>
    <definedName function="false" hidden="true" name="IQ_NET_INTEREST_INC" vbProcedure="false">"c764"</definedName>
    <definedName function="false" hidden="true" name="IQ_NET_INTEREST_INC_AFTER_LL" vbProcedure="false">"c1604"</definedName>
    <definedName function="false" hidden="true" name="IQ_NET_INTEREST_INC_INTERNATIONAL_OPS_FFIEC" vbProcedure="false">"c15375"</definedName>
    <definedName function="false" hidden="true" name="IQ_NET_INTEREST_MARGIN_FDIC" vbProcedure="false">"c6726"</definedName>
    <definedName function="false" hidden="true" name="IQ_NET_INT_INC_10YR_ANN_GROWTH" vbProcedure="false">"c758"</definedName>
    <definedName function="false" hidden="true" name="IQ_NET_INT_INC_1YR_ANN_GROWTH" vbProcedure="false">"c759"</definedName>
    <definedName function="false" hidden="true" name="IQ_NET_INT_INC_2YR_ANN_GROWTH" vbProcedure="false">"c760"</definedName>
    <definedName function="false" hidden="true" name="IQ_NET_INT_INC_3YR_ANN_GROWTH" vbProcedure="false">"c761"</definedName>
    <definedName function="false" hidden="true" name="IQ_NET_INT_INC_5YR_ANN_GROWTH" vbProcedure="false">"c762"</definedName>
    <definedName function="false" hidden="true" name="IQ_NET_INT_INC_7YR_ANN_GROWTH" vbProcedure="false">"c763"</definedName>
    <definedName function="false" hidden="true" name="IQ_NET_INT_INC_BNK" vbProcedure="false">"c764"</definedName>
    <definedName function="false" hidden="true" name="IQ_NET_INT_INC_BNK_FDIC" vbProcedure="false">"c6570"</definedName>
    <definedName function="false" hidden="true" name="IQ_NET_INT_INC_BR" vbProcedure="false">"c765"</definedName>
    <definedName function="false" hidden="true" name="IQ_NET_INT_INC_FIN" vbProcedure="false">"c766"</definedName>
    <definedName function="false" hidden="true" name="IQ_NET_INT_INC_TOTAL_REV" vbProcedure="false">"c767"</definedName>
    <definedName function="false" hidden="true" name="IQ_NET_INT_MARGIN" vbProcedure="false">"c768"</definedName>
    <definedName function="false" hidden="true" name="IQ_NET_LOANS" vbProcedure="false">"c772"</definedName>
    <definedName function="false" hidden="true" name="IQ_NET_LOANS_10YR_ANN_GROWTH" vbProcedure="false">"c773"</definedName>
    <definedName function="false" hidden="true" name="IQ_NET_LOANS_1YR_ANN_GROWTH" vbProcedure="false">"c774"</definedName>
    <definedName function="false" hidden="true" name="IQ_NET_LOANS_2YR_ANN_GROWTH" vbProcedure="false">"c775"</definedName>
    <definedName function="false" hidden="true" name="IQ_NET_LOANS_3YR_ANN_GROWTH" vbProcedure="false">"c776"</definedName>
    <definedName function="false" hidden="true" name="IQ_NET_LOANS_5YR_ANN_GROWTH" vbProcedure="false">"c777"</definedName>
    <definedName function="false" hidden="true" name="IQ_NET_LOANS_7YR_ANN_GROWTH" vbProcedure="false">"c778"</definedName>
    <definedName function="false" hidden="true" name="IQ_NET_LOANS_LEASES_CORE_DEPOSITS_FDIC" vbProcedure="false">"c6743"</definedName>
    <definedName function="false" hidden="true" name="IQ_NET_LOANS_LEASES_DEPOSITS_FDIC" vbProcedure="false">"c6742"</definedName>
    <definedName function="false" hidden="true" name="IQ_NET_LOANS_TOTAL_DEPOSITS" vbProcedure="false">"c779"</definedName>
    <definedName function="false" hidden="true" name="IQ_NET_NONINTEREST_INC_EXP_INTERNATIONAL_OPS_FFIEC" vbProcedure="false">"c15387"</definedName>
    <definedName function="false" hidden="true" name="IQ_NET_OPERATING_INCOME_ASSETS_FDIC" vbProcedure="false">"c6729"</definedName>
    <definedName function="false" hidden="true" name="IQ_NET_RENTAL_EXP_FN" vbProcedure="false">"c780"</definedName>
    <definedName function="false" hidden="true" name="IQ_NET_SECURITIZATION_INCOME_FDIC" vbProcedure="false">"c6669"</definedName>
    <definedName function="false" hidden="true" name="IQ_NET_SECURITIZATION_INC_FOREIGN_FFIEC" vbProcedure="false">"c15379"</definedName>
    <definedName function="false" hidden="true" name="IQ_NET_SERVICING_FEES_FDIC" vbProcedure="false">"c6668"</definedName>
    <definedName function="false" hidden="true" name="IQ_NI" vbProcedure="false">"c781"</definedName>
    <definedName function="false" hidden="true" name="IQ_NI_10YR_ANN_GROWTH" vbProcedure="false">"c782"</definedName>
    <definedName function="false" hidden="true" name="IQ_NI_1YR_ANN_GROWTH" vbProcedure="false">"c783"</definedName>
    <definedName function="false" hidden="true" name="IQ_NI_2YR_ANN_GROWTH" vbProcedure="false">"c784"</definedName>
    <definedName function="false" hidden="true" name="IQ_NI_3YR_ANN_GROWTH" vbProcedure="false">"c785"</definedName>
    <definedName function="false" hidden="true" name="IQ_NI_5YR_ANN_GROWTH" vbProcedure="false">"c786"</definedName>
    <definedName function="false" hidden="true" name="IQ_NI_7YR_ANN_GROWTH" vbProcedure="false">"c787"</definedName>
    <definedName function="false" hidden="true" name="IQ_NI_ACT_OR_EST_REUT" vbProcedure="false">"c5468"</definedName>
    <definedName function="false" hidden="true" name="IQ_NI_AFTER_CAPITALIZED" vbProcedure="false">"c788"</definedName>
    <definedName function="false" hidden="true" name="IQ_NI_AVAIL_EXCL" vbProcedure="false">"c789"</definedName>
    <definedName function="false" hidden="true" name="IQ_NI_AVAIL_EXCL_MARGIN" vbProcedure="false">"c790"</definedName>
    <definedName function="false" hidden="true" name="IQ_NI_AVAIL_INCL" vbProcedure="false">"c791"</definedName>
    <definedName function="false" hidden="true" name="IQ_NI_BANK_AND_NONCONTROLLING_INTEREST_FFIEC" vbProcedure="false">"c15365"</definedName>
    <definedName function="false" hidden="true" name="IQ_NI_BEFORE_CAPITALIZED" vbProcedure="false">"c792"</definedName>
    <definedName function="false" hidden="true" name="IQ_NI_BEFORE_INTERNAL_ALLOCATIONS_FOREIGN_FFIEC" vbProcedure="false">"c15393"</definedName>
    <definedName function="false" hidden="true" name="IQ_NI_CF" vbProcedure="false">"c793"</definedName>
    <definedName function="false" hidden="true" name="IQ_NI_DET_EST_CURRENCY_REUT" vbProcedure="false">"c12540"</definedName>
    <definedName function="false" hidden="true" name="IQ_NI_DET_EST_DATE_REUT" vbProcedure="false">"c12299"</definedName>
    <definedName function="false" hidden="true" name="IQ_NI_DET_EST_INCL_REUT" vbProcedure="false">"c12423"</definedName>
    <definedName function="false" hidden="true" name="IQ_NI_DET_EST_ORIGIN_REUT" vbProcedure="false">"c12667"</definedName>
    <definedName function="false" hidden="true" name="IQ_NI_DET_EST_REUT" vbProcedure="false">"c12157"</definedName>
    <definedName function="false" hidden="true" name="IQ_NI_EST_REUT" vbProcedure="false">"c5368"</definedName>
    <definedName function="false" hidden="true" name="IQ_NI_GW_DET_EST_CURRENCY_REUT" vbProcedure="false">"c12541"</definedName>
    <definedName function="false" hidden="true" name="IQ_NI_GW_DET_EST_DATE_REUT" vbProcedure="false">"c12300"</definedName>
    <definedName function="false" hidden="true" name="IQ_NI_GW_DET_EST_INCL_REUT" vbProcedure="false">"c12424"</definedName>
    <definedName function="false" hidden="true" name="IQ_NI_GW_DET_EST_ORIGIN_REUT" vbProcedure="false">"c12668"</definedName>
    <definedName function="false" hidden="true" name="IQ_NI_GW_DET_EST_REUT" vbProcedure="false">"c12158"</definedName>
    <definedName function="false" hidden="true" name="IQ_NI_GW_EST_REUT" vbProcedure="false">"c5375"</definedName>
    <definedName function="false" hidden="true" name="IQ_NI_GW_HIGH_EST_REUT" vbProcedure="false">"c5377"</definedName>
    <definedName function="false" hidden="true" name="IQ_NI_GW_LOW_EST_REUT" vbProcedure="false">"c5378"</definedName>
    <definedName function="false" hidden="true" name="IQ_NI_GW_MEDIAN_EST_REUT" vbProcedure="false">"c5376"</definedName>
    <definedName function="false" hidden="true" name="IQ_NI_GW_NUM_EST_REUT" vbProcedure="false">"c5379"</definedName>
    <definedName function="false" hidden="true" name="IQ_NI_GW_STDDEV_EST_REUT" vbProcedure="false">"c5380"</definedName>
    <definedName function="false" hidden="true" name="IQ_NI_HIGH_EST_REUT" vbProcedure="false">"c5370"</definedName>
    <definedName function="false" hidden="true" name="IQ_NI_LOW_EST_REUT" vbProcedure="false">"c5371"</definedName>
    <definedName function="false" hidden="true" name="IQ_NI_MARGIN" vbProcedure="false">"c794"</definedName>
    <definedName function="false" hidden="true" name="IQ_NI_MEDIAN_EST_REUT" vbProcedure="false">"c5369"</definedName>
    <definedName function="false" hidden="true" name="IQ_NI_NON_CONTROLLING_INTERESTS_FFIEC" vbProcedure="false">"c15366"</definedName>
    <definedName function="false" hidden="true" name="IQ_NI_NUM_EST_REUT" vbProcedure="false">"c5372"</definedName>
    <definedName function="false" hidden="true" name="IQ_NI_REPORTED_DET_EST_CURRENCY_REUT" vbProcedure="false">"c12542"</definedName>
    <definedName function="false" hidden="true" name="IQ_NI_REPORTED_DET_EST_DATE_REUT" vbProcedure="false">"c12301"</definedName>
    <definedName function="false" hidden="true" name="IQ_NI_REPORTED_DET_EST_INCL_REUT" vbProcedure="false">"c12425"</definedName>
    <definedName function="false" hidden="true" name="IQ_NI_REPORTED_DET_EST_ORIGIN_REUT" vbProcedure="false">"c12669"</definedName>
    <definedName function="false" hidden="true" name="IQ_NI_REPORTED_DET_EST_REUT" vbProcedure="false">"c12159"</definedName>
    <definedName function="false" hidden="true" name="IQ_NI_REPORTED_EST_REUT" vbProcedure="false">"c5382"</definedName>
    <definedName function="false" hidden="true" name="IQ_NI_REPORTED_HIGH_EST_REUT" vbProcedure="false">"c5384"</definedName>
    <definedName function="false" hidden="true" name="IQ_NI_REPORTED_LOW_EST_REUT" vbProcedure="false">"c5385"</definedName>
    <definedName function="false" hidden="true" name="IQ_NI_REPORTED_MEDIAN_EST_REUT" vbProcedure="false">"c5383"</definedName>
    <definedName function="false" hidden="true" name="IQ_NI_REPORTED_NUM_EST_REUT" vbProcedure="false">"c5386"</definedName>
    <definedName function="false" hidden="true" name="IQ_NI_REPORTED_STDDEV_EST_REUT" vbProcedure="false">"c5387"</definedName>
    <definedName function="false" hidden="true" name="IQ_NI_SFAS" vbProcedure="false">"c795"</definedName>
    <definedName function="false" hidden="true" name="IQ_NI_STDDEV_EST_REUT" vbProcedure="false">"c5373"</definedName>
    <definedName function="false" hidden="true" name="IQ_NONCURRENT_LOANS_1_4_FAMILY_FDIC" vbProcedure="false">"c6770"</definedName>
    <definedName function="false" hidden="true" name="IQ_NONCURRENT_LOANS_COMMERCIAL_INDUSTRIAL_FDIC" vbProcedure="false">"c6773"</definedName>
    <definedName function="false" hidden="true" name="IQ_NONCURRENT_LOANS_COMMERCIAL_RE_FDIC" vbProcedure="false">"c6768"</definedName>
    <definedName function="false" hidden="true" name="IQ_NONCURRENT_LOANS_COMMERCIAL_RE_NOT_SECURED_FDIC" vbProcedure="false">"c6778"</definedName>
    <definedName function="false" hidden="true" name="IQ_NONCURRENT_LOANS_CONSTRUCTION_LAND_DEV_FDIC" vbProcedure="false">"c6767"</definedName>
    <definedName function="false" hidden="true" name="IQ_NONCURRENT_LOANS_CREDIT_CARD_FDIC" vbProcedure="false">"c6775"</definedName>
    <definedName function="false" hidden="true" name="IQ_NONCURRENT_LOANS_GUARANTEED_FDIC" vbProcedure="false">"c6358"</definedName>
    <definedName function="false" hidden="true" name="IQ_NONCURRENT_LOANS_HOME_EQUITY_FDIC" vbProcedure="false">"c6771"</definedName>
    <definedName function="false" hidden="true" name="IQ_NONCURRENT_LOANS_INDIVIDUALS_FDIC" vbProcedure="false">"c6774"</definedName>
    <definedName function="false" hidden="true" name="IQ_NONCURRENT_LOANS_LEASES_FDIC" vbProcedure="false">"c6357"</definedName>
    <definedName function="false" hidden="true" name="IQ_NONCURRENT_LOANS_MULTIFAMILY_FDIC" vbProcedure="false">"c6769"</definedName>
    <definedName function="false" hidden="true" name="IQ_NONCURRENT_LOANS_OTHER_FAMILY_FDIC" vbProcedure="false">"c6772"</definedName>
    <definedName function="false" hidden="true" name="IQ_NONCURRENT_LOANS_OTHER_INDIVIDUAL_FDIC" vbProcedure="false">"c6776"</definedName>
    <definedName function="false" hidden="true" name="IQ_NONCURRENT_LOANS_OTHER_LOANS_FDIC" vbProcedure="false">"c6777"</definedName>
    <definedName function="false" hidden="true" name="IQ_NONCURRENT_LOANS_RE_FDIC" vbProcedure="false">"c6766"</definedName>
    <definedName function="false" hidden="true" name="IQ_NONCURRENT_LOANS_TOTAL_LOANS_FDIC" vbProcedure="false">"c6765"</definedName>
    <definedName function="false" hidden="true" name="IQ_NONCURRENT_OREO_ASSETS_FDIC" vbProcedure="false">"c6741"</definedName>
    <definedName function="false" hidden="true" name="IQ_NONFARM_NONRES_DOM_FFIEC" vbProcedure="false">"c15271"</definedName>
    <definedName function="false" hidden="true" name="IQ_NONINTEREST_BEARING_BALANCES_FDIC" vbProcedure="false">"c6394"</definedName>
    <definedName function="false" hidden="true" name="IQ_NONINTEREST_BEARING_DEPOSITS_DOMESTIC_FDIC" vbProcedure="false">"c6477"</definedName>
    <definedName function="false" hidden="true" name="IQ_NONINTEREST_BEARING_DEPOSITS_FOREIGN_FDIC" vbProcedure="false">"c6484"</definedName>
    <definedName function="false" hidden="true" name="IQ_NONINTEREST_EXPENSE_EARNING_ASSETS_FDIC" vbProcedure="false">"c6728"</definedName>
    <definedName function="false" hidden="true" name="IQ_NONINTEREST_INCOME_EARNING_ASSETS_FDIC" vbProcedure="false">"c6727"</definedName>
    <definedName function="false" hidden="true" name="IQ_NONINTEREST_INC_FOREIGN_FFIEC" vbProcedure="false">"c15376"</definedName>
    <definedName function="false" hidden="true" name="IQ_NONMORTGAGE_SERVICING_FDIC" vbProcedure="false">"c6336"</definedName>
    <definedName function="false" hidden="true" name="IQ_NONRES_FIXED_INVEST_PRIV_APR_FC_UNUSED_UNUSED_UNUSED" vbProcedure="false">"c8468"</definedName>
    <definedName function="false" hidden="true" name="IQ_NONRES_FIXED_INVEST_PRIV_APR_UNUSED_UNUSED_UNUSED" vbProcedure="false">"c7588"</definedName>
    <definedName function="false" hidden="true" name="IQ_NONRES_FIXED_INVEST_PRIV_FC_UNUSED_UNUSED_UNUSED" vbProcedure="false">"c7808"</definedName>
    <definedName function="false" hidden="true" name="IQ_NONRES_FIXED_INVEST_PRIV_POP_FC_UNUSED_UNUSED_UNUSED" vbProcedure="false">"c8028"</definedName>
    <definedName function="false" hidden="true" name="IQ_NONRES_FIXED_INVEST_PRIV_POP_UNUSED_UNUSED_UNUSED" vbProcedure="false">"c7148"</definedName>
    <definedName function="false" hidden="true" name="IQ_NONRES_FIXED_INVEST_PRIV_UNUSED_UNUSED_UNUSED" vbProcedure="false">"c6928"</definedName>
    <definedName function="false" hidden="true" name="IQ_NONRES_FIXED_INVEST_PRIV_YOY_FC_UNUSED_UNUSED_UNUSED" vbProcedure="false">"c8248"</definedName>
    <definedName function="false" hidden="true" name="IQ_NONRES_FIXED_INVEST_PRIV_YOY_UNUSED_UNUSED_UNUSED" vbProcedure="false">"c7368"</definedName>
    <definedName function="false" hidden="true" name="IQ_NONTRANSACTION_ACCOUNTS_FDIC" vbProcedure="false">"c6552"</definedName>
    <definedName function="false" hidden="true" name="IQ_NON_ACCRUAL_ASSET_SOLD_DURING_QTR_FFIEC" vbProcedure="false">"c15350"</definedName>
    <definedName function="false" hidden="true" name="IQ_NON_ACCRUAL_LOANS" vbProcedure="false">"c796"</definedName>
    <definedName function="false" hidden="true" name="IQ_NON_CASH" vbProcedure="false">"c797"</definedName>
    <definedName function="false" hidden="true" name="IQ_NON_CASH_ITEMS" vbProcedure="false">"c797"</definedName>
    <definedName function="false" hidden="true" name="IQ_NON_INS_EXP" vbProcedure="false">"c798"</definedName>
    <definedName function="false" hidden="true" name="IQ_NON_INS_REV" vbProcedure="false">"c799"</definedName>
    <definedName function="false" hidden="true" name="IQ_NON_INTEREST_EXP" vbProcedure="false">"c801"</definedName>
    <definedName function="false" hidden="true" name="IQ_NON_INTEREST_INC" vbProcedure="false">"c802"</definedName>
    <definedName function="false" hidden="true" name="IQ_NON_INT_BEAR_CD" vbProcedure="false">"c800"</definedName>
    <definedName function="false" hidden="true" name="IQ_NON_INT_EXP" vbProcedure="false">"c801"</definedName>
    <definedName function="false" hidden="true" name="IQ_NON_INT_EXP_FDIC" vbProcedure="false">"c6579"</definedName>
    <definedName function="false" hidden="true" name="IQ_NON_INT_INC" vbProcedure="false">"c802"</definedName>
    <definedName function="false" hidden="true" name="IQ_NON_INT_INC_10YR_ANN_GROWTH" vbProcedure="false">"c803"</definedName>
    <definedName function="false" hidden="true" name="IQ_NON_INT_INC_1YR_ANN_GROWTH" vbProcedure="false">"c804"</definedName>
    <definedName function="false" hidden="true" name="IQ_NON_INT_INC_2YR_ANN_GROWTH" vbProcedure="false">"c805"</definedName>
    <definedName function="false" hidden="true" name="IQ_NON_INT_INC_3YR_ANN_GROWTH" vbProcedure="false">"c806"</definedName>
    <definedName function="false" hidden="true" name="IQ_NON_INT_INC_5YR_ANN_GROWTH" vbProcedure="false">"c807"</definedName>
    <definedName function="false" hidden="true" name="IQ_NON_INT_INC_7YR_ANN_GROWTH" vbProcedure="false">"c808"</definedName>
    <definedName function="false" hidden="true" name="IQ_NON_INT_INC_FDIC" vbProcedure="false">"c6575"</definedName>
    <definedName function="false" hidden="true" name="IQ_NON_OPER_EXP" vbProcedure="false">"c809"</definedName>
    <definedName function="false" hidden="true" name="IQ_NON_OPER_INC" vbProcedure="false">"c810"</definedName>
    <definedName function="false" hidden="true" name="IQ_NON_PERFORMING_ASSETS" vbProcedure="false">"c826"</definedName>
    <definedName function="false" hidden="true" name="IQ_NON_PERFORMING_LOANS" vbProcedure="false">"c827"</definedName>
    <definedName function="false" hidden="true" name="IQ_NON_PERF_ASSETS_10YR_ANN_GROWTH" vbProcedure="false">"c811"</definedName>
    <definedName function="false" hidden="true" name="IQ_NON_PERF_ASSETS_1YR_ANN_GROWTH" vbProcedure="false">"c812"</definedName>
    <definedName function="false" hidden="true" name="IQ_NON_PERF_ASSETS_2YR_ANN_GROWTH" vbProcedure="false">"c813"</definedName>
    <definedName function="false" hidden="true" name="IQ_NON_PERF_ASSETS_3YR_ANN_GROWTH" vbProcedure="false">"c814"</definedName>
    <definedName function="false" hidden="true" name="IQ_NON_PERF_ASSETS_5YR_ANN_GROWTH" vbProcedure="false">"c815"</definedName>
    <definedName function="false" hidden="true" name="IQ_NON_PERF_ASSETS_7YR_ANN_GROWTH" vbProcedure="false">"c816"</definedName>
    <definedName function="false" hidden="true" name="IQ_NON_PERF_ASSETS_TOTAL_ASSETS" vbProcedure="false">"c817"</definedName>
    <definedName function="false" hidden="true" name="IQ_NON_PERF_LOANS_10YR_ANN_GROWTH" vbProcedure="false">"c818"</definedName>
    <definedName function="false" hidden="true" name="IQ_NON_PERF_LOANS_1YR_ANN_GROWTH" vbProcedure="false">"c819"</definedName>
    <definedName function="false" hidden="true" name="IQ_NON_PERF_LOANS_2YR_ANN_GROWTH" vbProcedure="false">"c820"</definedName>
    <definedName function="false" hidden="true" name="IQ_NON_PERF_LOANS_3YR_ANN_GROWTH" vbProcedure="false">"c821"</definedName>
    <definedName function="false" hidden="true" name="IQ_NON_PERF_LOANS_5YR_ANN_GROWTH" vbProcedure="false">"c822"</definedName>
    <definedName function="false" hidden="true" name="IQ_NON_PERF_LOANS_7YR_ANN_GROWTH" vbProcedure="false">"c823"</definedName>
    <definedName function="false" hidden="true" name="IQ_NON_PERF_LOANS_TOTAL_ASSETS" vbProcedure="false">"c824"</definedName>
    <definedName function="false" hidden="true" name="IQ_NON_PERF_LOANS_TOTAL_LOANS" vbProcedure="false">"c825"</definedName>
    <definedName function="false" hidden="true" name="IQ_NON_US_ADDRESSEES_TOTAL_LOANS_FOREIGN_FDIC" vbProcedure="false">"c6443"</definedName>
    <definedName function="false" hidden="true" name="IQ_NON_US_CHARGE_OFFS_AND_RECOVERIES_FDIC" vbProcedure="false">"c6650"</definedName>
    <definedName function="false" hidden="true" name="IQ_NON_US_CHARGE_OFFS_FDIC" vbProcedure="false">"c6648"</definedName>
    <definedName function="false" hidden="true" name="IQ_NON_US_COMMERCIAL_INDUSTRIAL_CHARGE_OFFS_FDIC" vbProcedure="false">"c6651"</definedName>
    <definedName function="false" hidden="true" name="IQ_NON_US_NET_LOANS_FDIC" vbProcedure="false">"c6376"</definedName>
    <definedName function="false" hidden="true" name="IQ_NON_US_RECOVERIES_FDIC" vbProcedure="false">"c6649"</definedName>
    <definedName function="false" hidden="true" name="IQ_NORMAL_INC_AFTER" vbProcedure="false">"c1605"</definedName>
    <definedName function="false" hidden="true" name="IQ_NORMAL_INC_AVAIL" vbProcedure="false">"c1606"</definedName>
    <definedName function="false" hidden="true" name="IQ_NORMAL_INC_BEFORE" vbProcedure="false">"c1607"</definedName>
    <definedName function="false" hidden="true" name="IQ_NORM_EPS_ACT_OR_EST_REUT" vbProcedure="false">"c5472"</definedName>
    <definedName function="false" hidden="true" name="IQ_NOTES_PAY" vbProcedure="false">"c1176"</definedName>
    <definedName function="false" hidden="true" name="IQ_NOTIONAL_AMOUNT_CREDIT_DERIVATIVES_FDIC" vbProcedure="false">"c6507"</definedName>
    <definedName function="false" hidden="true" name="IQ_NOTIONAL_VALUE_EXCHANGE_SWAPS_FDIC" vbProcedure="false">"c6516"</definedName>
    <definedName function="false" hidden="true" name="IQ_NOTIONAL_VALUE_OTHER_SWAPS_FDIC" vbProcedure="false">"c6521"</definedName>
    <definedName function="false" hidden="true" name="IQ_NOTIONAL_VALUE_RATE_SWAPS_FDIC" vbProcedure="false">"c6511"</definedName>
    <definedName function="false" hidden="true" name="IQ_NOW_ACCOUNT" vbProcedure="false">"c828"</definedName>
    <definedName function="false" hidden="true" name="IQ_NPPE" vbProcedure="false">"c829"</definedName>
    <definedName function="false" hidden="true" name="IQ_NPPE_10YR_ANN_GROWTH" vbProcedure="false">"c830"</definedName>
    <definedName function="false" hidden="true" name="IQ_NPPE_1YR_ANN_GROWTH" vbProcedure="false">"c831"</definedName>
    <definedName function="false" hidden="true" name="IQ_NPPE_2YR_ANN_GROWTH" vbProcedure="false">"c832"</definedName>
    <definedName function="false" hidden="true" name="IQ_NPPE_3YR_ANN_GROWTH" vbProcedure="false">"c833"</definedName>
    <definedName function="false" hidden="true" name="IQ_NPPE_5YR_ANN_GROWTH" vbProcedure="false">"c834"</definedName>
    <definedName function="false" hidden="true" name="IQ_NPPE_7YR_ANN_GROWTH" vbProcedure="false">"c835"</definedName>
    <definedName function="false" hidden="false" name="IQ_NTM" vbProcedure="false">6000</definedName>
    <definedName function="false" hidden="true" name="IQ_NUKE" vbProcedure="false">"c836"</definedName>
    <definedName function="false" hidden="true" name="IQ_NUKE_CF" vbProcedure="false">"c837"</definedName>
    <definedName function="false" hidden="true" name="IQ_NUKE_CONTR" vbProcedure="false">"c838"</definedName>
    <definedName function="false" hidden="true" name="IQ_NUMBER_DEPOSITS_LESS_THAN_100K_FDIC" vbProcedure="false">"c6495"</definedName>
    <definedName function="false" hidden="true" name="IQ_NUMBER_DEPOSITS_MORE_THAN_100K_FDIC" vbProcedure="false">"c6493"</definedName>
    <definedName function="false" hidden="true" name="IQ_NUMBER_SHAREHOLDERS_CLASSB" vbProcedure="false">"c1969"</definedName>
    <definedName function="false" hidden="true" name="IQ_NUM_OFFICES" vbProcedure="false">"c2088"</definedName>
    <definedName function="false" hidden="true" name="IQ_OBLIGATIONS_OF_STATES_TOTAL_LOANS_FOREIGN_FDIC" vbProcedure="false">"c6447"</definedName>
    <definedName function="false" hidden="true" name="IQ_OBLIGATIONS_STATES_FDIC" vbProcedure="false">"c6431"</definedName>
    <definedName function="false" hidden="true" name="IQ_OBLIGATION_STATES_POLI_SUBD_US_LL_REC_DOM_FFIEC" vbProcedure="false">"c15295"</definedName>
    <definedName function="false" hidden="true" name="IQ_OBLIGATION_STATES_POLI_SUBD_US_LL_REC_FFIEC" vbProcedure="false">"c15294"</definedName>
    <definedName function="false" hidden="true" name="IQ_OCCUPY_EXP" vbProcedure="false">"c839"</definedName>
    <definedName function="false" hidden="true" name="IQ_OG_OTHER_ADJ" vbProcedure="false">"c1999"</definedName>
    <definedName function="false" hidden="true" name="IQ_OG_TOTAL_OIL_PRODUCTON" vbProcedure="false">"c2059"</definedName>
    <definedName function="false" hidden="true" name="IQ_OIL_IMPAIR" vbProcedure="false">"c840"</definedName>
    <definedName function="false" hidden="true" name="IQ_OL_COMM_AFTER_FIVE" vbProcedure="false">"c841"</definedName>
    <definedName function="false" hidden="true" name="IQ_OL_COMM_CY" vbProcedure="false">"c842"</definedName>
    <definedName function="false" hidden="true" name="IQ_OL_COMM_CY1" vbProcedure="false">"c843"</definedName>
    <definedName function="false" hidden="true" name="IQ_OL_COMM_CY2" vbProcedure="false">"c844"</definedName>
    <definedName function="false" hidden="true" name="IQ_OL_COMM_CY3" vbProcedure="false">"c845"</definedName>
    <definedName function="false" hidden="true" name="IQ_OL_COMM_CY4" vbProcedure="false">"c846"</definedName>
    <definedName function="false" hidden="true" name="IQ_OL_COMM_NEXT_FIVE" vbProcedure="false">"c847"</definedName>
    <definedName function="false" hidden="true" name="IQ_OPENED55" vbProcedure="false">1</definedName>
    <definedName function="false" hidden="true" name="IQ_OPENPRICE" vbProcedure="false">"c848"</definedName>
    <definedName function="false" hidden="true" name="IQ_OPERATIONS_EXP" vbProcedure="false">"c855"</definedName>
    <definedName function="false" hidden="true" name="IQ_OPER_INC" vbProcedure="false">"c849"</definedName>
    <definedName function="false" hidden="true" name="IQ_OPER_INC_ACT_OR_EST_REUT" vbProcedure="false">"c5466"</definedName>
    <definedName function="false" hidden="true" name="IQ_OPER_INC_BR" vbProcedure="false">"c850"</definedName>
    <definedName function="false" hidden="true" name="IQ_OPER_INC_DET_EST_CURRENCY_REUT" vbProcedure="false">"c12543"</definedName>
    <definedName function="false" hidden="true" name="IQ_OPER_INC_DET_EST_DATE_REUT" vbProcedure="false">"c12302"</definedName>
    <definedName function="false" hidden="true" name="IQ_OPER_INC_DET_EST_INCL_REUT" vbProcedure="false">"c12426"</definedName>
    <definedName function="false" hidden="true" name="IQ_OPER_INC_DET_EST_ORIGIN_REUT" vbProcedure="false">"c12670"</definedName>
    <definedName function="false" hidden="true" name="IQ_OPER_INC_DET_EST_REUT" vbProcedure="false">"c12160"</definedName>
    <definedName function="false" hidden="true" name="IQ_OPER_INC_EST_REUT" vbProcedure="false">"c5340"</definedName>
    <definedName function="false" hidden="true" name="IQ_OPER_INC_FIN" vbProcedure="false">"c851"</definedName>
    <definedName function="false" hidden="true" name="IQ_OPER_INC_HIGH_EST_REUT" vbProcedure="false">"c5342"</definedName>
    <definedName function="false" hidden="true" name="IQ_OPER_INC_INS" vbProcedure="false">"c852"</definedName>
    <definedName function="false" hidden="true" name="IQ_OPER_INC_LOW_EST_REUT" vbProcedure="false">"c5343"</definedName>
    <definedName function="false" hidden="true" name="IQ_OPER_INC_MARGIN" vbProcedure="false">"c362"</definedName>
    <definedName function="false" hidden="true" name="IQ_OPER_INC_MEDIAN_EST_REUT" vbProcedure="false">"c5341"</definedName>
    <definedName function="false" hidden="true" name="IQ_OPER_INC_NUM_EST_REUT" vbProcedure="false">"c5344"</definedName>
    <definedName function="false" hidden="true" name="IQ_OPER_INC_REIT" vbProcedure="false">"c853"</definedName>
    <definedName function="false" hidden="true" name="IQ_OPER_INC_STDDEV_EST_REUT" vbProcedure="false">"c5345"</definedName>
    <definedName function="false" hidden="true" name="IQ_OPER_INC_UTI" vbProcedure="false">"c854"</definedName>
    <definedName function="false" hidden="true" name="IQ_OPTIONS_BEG_OS" vbProcedure="false">"c1572"</definedName>
    <definedName function="false" hidden="true" name="IQ_OPTIONS_CANCELLED" vbProcedure="false">"c856"</definedName>
    <definedName function="false" hidden="true" name="IQ_OPTIONS_END_OS" vbProcedure="false">"c1573"</definedName>
    <definedName function="false" hidden="true" name="IQ_OPTIONS_EXCERCISED" vbProcedure="false">"c2116"</definedName>
    <definedName function="false" hidden="true" name="IQ_OPTIONS_ISSUED" vbProcedure="false">"c857"</definedName>
    <definedName function="false" hidden="true" name="IQ_OPTIONS_OS" vbProcedure="false">"c858"</definedName>
    <definedName function="false" hidden="true" name="IQ_OREO_1_4_RESIDENTIAL_FDIC" vbProcedure="false">"c6454"</definedName>
    <definedName function="false" hidden="true" name="IQ_OREO_COMMERCIAL_RE_FDIC" vbProcedure="false">"c6456"</definedName>
    <definedName function="false" hidden="true" name="IQ_OREO_CONSTRUCTION_DEVELOPMENT_FDIC" vbProcedure="false">"c6457"</definedName>
    <definedName function="false" hidden="true" name="IQ_OREO_FARMLAND_FDIC" vbProcedure="false">"c6458"</definedName>
    <definedName function="false" hidden="true" name="IQ_OREO_FOREIGN_FDIC" vbProcedure="false">"c6460"</definedName>
    <definedName function="false" hidden="true" name="IQ_OREO_FOREIGN_FFIEC" vbProcedure="false">"c15273"</definedName>
    <definedName function="false" hidden="true" name="IQ_OREO_MULTI_FAMILY_RESIDENTIAL_FDIC" vbProcedure="false">"c6455"</definedName>
    <definedName function="false" hidden="true" name="IQ_OTHER_ADJUST_GROSS_LOANS" vbProcedure="false">"c859"</definedName>
    <definedName function="false" hidden="true" name="IQ_OTHER_AMORT_BR" vbProcedure="false">"c5566"</definedName>
    <definedName function="false" hidden="true" name="IQ_OTHER_ASSETS" vbProcedure="false">"c860"</definedName>
    <definedName function="false" hidden="true" name="IQ_OTHER_ASSETS_BNK" vbProcedure="false">"c861"</definedName>
    <definedName function="false" hidden="true" name="IQ_OTHER_ASSETS_BR" vbProcedure="false">"c862"</definedName>
    <definedName function="false" hidden="true" name="IQ_OTHER_ASSETS_FDIC" vbProcedure="false">"c6338"</definedName>
    <definedName function="false" hidden="true" name="IQ_OTHER_ASSETS_FIN" vbProcedure="false">"c863"</definedName>
    <definedName function="false" hidden="true" name="IQ_OTHER_ASSETS_INS" vbProcedure="false">"c864"</definedName>
    <definedName function="false" hidden="true" name="IQ_OTHER_ASSETS_REIT" vbProcedure="false">"c865"</definedName>
    <definedName function="false" hidden="true" name="IQ_OTHER_ASSETS_UTI" vbProcedure="false">"c866"</definedName>
    <definedName function="false" hidden="true" name="IQ_OTHER_BEARING_LIAB" vbProcedure="false">"c1608"</definedName>
    <definedName function="false" hidden="true" name="IQ_OTHER_BENEFITS_OBLIGATION" vbProcedure="false">"c867"</definedName>
    <definedName function="false" hidden="true" name="IQ_OTHER_BORROWED_FUNDS_FDIC" vbProcedure="false">"c6345"</definedName>
    <definedName function="false" hidden="true" name="IQ_OTHER_BORROWED_MONEY_FAIR_VALUE_TOT_FFIEC" vbProcedure="false">"c15409"</definedName>
    <definedName function="false" hidden="true" name="IQ_OTHER_BORROWED_MONEY_LEVEL_1_FFIEC" vbProcedure="false">"c15431"</definedName>
    <definedName function="false" hidden="true" name="IQ_OTHER_BORROWED_MONEY_LEVEL_2_FFIEC" vbProcedure="false">"c15444"</definedName>
    <definedName function="false" hidden="true" name="IQ_OTHER_BORROWED_MONEY_LEVEL_3_FFIEC" vbProcedure="false">"c15457"</definedName>
    <definedName function="false" hidden="true" name="IQ_OTHER_CA" vbProcedure="false">"c868"</definedName>
    <definedName function="false" hidden="true" name="IQ_OTHER_CA_SUPPL" vbProcedure="false">"c869"</definedName>
    <definedName function="false" hidden="true" name="IQ_OTHER_CA_SUPPL_BNK" vbProcedure="false">"c870"</definedName>
    <definedName function="false" hidden="true" name="IQ_OTHER_CA_SUPPL_BR" vbProcedure="false">"c871"</definedName>
    <definedName function="false" hidden="true" name="IQ_OTHER_CA_SUPPL_FIN" vbProcedure="false">"c872"</definedName>
    <definedName function="false" hidden="true" name="IQ_OTHER_CA_SUPPL_INS" vbProcedure="false">"c873"</definedName>
    <definedName function="false" hidden="true" name="IQ_OTHER_CA_SUPPL_REIT" vbProcedure="false">"c874"</definedName>
    <definedName function="false" hidden="true" name="IQ_OTHER_CA_SUPPL_UTI" vbProcedure="false">"c875"</definedName>
    <definedName function="false" hidden="true" name="IQ_OTHER_CA_UTI" vbProcedure="false">"c876"</definedName>
    <definedName function="false" hidden="true" name="IQ_OTHER_CL" vbProcedure="false">"c877"</definedName>
    <definedName function="false" hidden="true" name="IQ_OTHER_CL_SUPPL" vbProcedure="false">"c878"</definedName>
    <definedName function="false" hidden="true" name="IQ_OTHER_CL_SUPPL_BNK" vbProcedure="false">"c879"</definedName>
    <definedName function="false" hidden="true" name="IQ_OTHER_CL_SUPPL_BR" vbProcedure="false">"c880"</definedName>
    <definedName function="false" hidden="true" name="IQ_OTHER_CL_SUPPL_FIN" vbProcedure="false">"c881"</definedName>
    <definedName function="false" hidden="true" name="IQ_OTHER_CL_SUPPL_REIT" vbProcedure="false">"c882"</definedName>
    <definedName function="false" hidden="true" name="IQ_OTHER_CL_SUPPL_UTI" vbProcedure="false">"c883"</definedName>
    <definedName function="false" hidden="true" name="IQ_OTHER_CL_UTI" vbProcedure="false">"c884"</definedName>
    <definedName function="false" hidden="true" name="IQ_OTHER_COMPREHENSIVE_INCOME_FDIC" vbProcedure="false">"c6503"</definedName>
    <definedName function="false" hidden="true" name="IQ_OTHER_CURRENT_ASSETS" vbProcedure="false">"c868"</definedName>
    <definedName function="false" hidden="true" name="IQ_OTHER_CURRENT_LIAB" vbProcedure="false">"c877"</definedName>
    <definedName function="false" hidden="true" name="IQ_OTHER_DEBT_SECURITIES_QUARTERLY_AVG_FFIEC" vbProcedure="false">"c15473"</definedName>
    <definedName function="false" hidden="true" name="IQ_OTHER_DEP" vbProcedure="false">"c885"</definedName>
    <definedName function="false" hidden="true" name="IQ_OTHER_DEPOSITORY_INSTITUTIONS_LOANS_FDIC" vbProcedure="false">"c6436"</definedName>
    <definedName function="false" hidden="true" name="IQ_OTHER_DEPOSITORY_INSTITUTIONS_TOTAL_LOANS_FOREIGN_FDIC" vbProcedure="false">"c6442"</definedName>
    <definedName function="false" hidden="true" name="IQ_OTHER_DOMESTIC_DEBT_SECURITIES_FDIC" vbProcedure="false">"c6302"</definedName>
    <definedName function="false" hidden="true" name="IQ_OTHER_EARNING" vbProcedure="false">"c1609"</definedName>
    <definedName function="false" hidden="true" name="IQ_OTHER_EQUITY" vbProcedure="false">"c886"</definedName>
    <definedName function="false" hidden="true" name="IQ_OTHER_EQUITY_BNK" vbProcedure="false">"c887"</definedName>
    <definedName function="false" hidden="true" name="IQ_OTHER_EQUITY_BR" vbProcedure="false">"c888"</definedName>
    <definedName function="false" hidden="true" name="IQ_OTHER_EQUITY_FIN" vbProcedure="false">"c889"</definedName>
    <definedName function="false" hidden="true" name="IQ_OTHER_EQUITY_INS" vbProcedure="false">"c890"</definedName>
    <definedName function="false" hidden="true" name="IQ_OTHER_EQUITY_REIT" vbProcedure="false">"c891"</definedName>
    <definedName function="false" hidden="true" name="IQ_OTHER_EQUITY_UTI" vbProcedure="false">"c892"</definedName>
    <definedName function="false" hidden="true" name="IQ_OTHER_FINANCE_ACT" vbProcedure="false">"c893"</definedName>
    <definedName function="false" hidden="true" name="IQ_OTHER_FINANCE_ACT_BNK" vbProcedure="false">"c894"</definedName>
    <definedName function="false" hidden="true" name="IQ_OTHER_FINANCE_ACT_BR" vbProcedure="false">"c895"</definedName>
    <definedName function="false" hidden="true" name="IQ_OTHER_FINANCE_ACT_FIN" vbProcedure="false">"c896"</definedName>
    <definedName function="false" hidden="true" name="IQ_OTHER_FINANCE_ACT_INS" vbProcedure="false">"c897"</definedName>
    <definedName function="false" hidden="true" name="IQ_OTHER_FINANCE_ACT_REIT" vbProcedure="false">"c898"</definedName>
    <definedName function="false" hidden="true" name="IQ_OTHER_FINANCE_ACT_SUPPL" vbProcedure="false">"c899"</definedName>
    <definedName function="false" hidden="true" name="IQ_OTHER_FINANCE_ACT_SUPPL_BNK" vbProcedure="false">"c900"</definedName>
    <definedName function="false" hidden="true" name="IQ_OTHER_FINANCE_ACT_SUPPL_BR" vbProcedure="false">"c901"</definedName>
    <definedName function="false" hidden="true" name="IQ_OTHER_FINANCE_ACT_SUPPL_FIN" vbProcedure="false">"c902"</definedName>
    <definedName function="false" hidden="true" name="IQ_OTHER_FINANCE_ACT_SUPPL_INS" vbProcedure="false">"c903"</definedName>
    <definedName function="false" hidden="true" name="IQ_OTHER_FINANCE_ACT_SUPPL_REIT" vbProcedure="false">"c904"</definedName>
    <definedName function="false" hidden="true" name="IQ_OTHER_FINANCE_ACT_SUPPL_UTI" vbProcedure="false">"c905"</definedName>
    <definedName function="false" hidden="true" name="IQ_OTHER_FINANCE_ACT_UTI" vbProcedure="false">"c906"</definedName>
    <definedName function="false" hidden="true" name="IQ_OTHER_IBF_DEPOSIT_LIABILITIES_FFIEC" vbProcedure="false">"c15301"</definedName>
    <definedName function="false" hidden="true" name="IQ_OTHER_INDIVIDUAL_FAMILY_DOM_QUARTERLY_AVG_FFIEC" vbProcedure="false">"c15481"</definedName>
    <definedName function="false" hidden="true" name="IQ_OTHER_INSURANCE_FEES_FDIC" vbProcedure="false">"c6672"</definedName>
    <definedName function="false" hidden="true" name="IQ_OTHER_INTAN" vbProcedure="false">"c907"</definedName>
    <definedName function="false" hidden="true" name="IQ_OTHER_INTANGIBLE_FDIC" vbProcedure="false">"c6337"</definedName>
    <definedName function="false" hidden="true" name="IQ_OTHER_INTAN_BNK" vbProcedure="false">"c908"</definedName>
    <definedName function="false" hidden="true" name="IQ_OTHER_INTAN_BR" vbProcedure="false">"c909"</definedName>
    <definedName function="false" hidden="true" name="IQ_OTHER_INTAN_FIN" vbProcedure="false">"c910"</definedName>
    <definedName function="false" hidden="true" name="IQ_OTHER_INTAN_INS" vbProcedure="false">"c911"</definedName>
    <definedName function="false" hidden="true" name="IQ_OTHER_INTAN_REIT" vbProcedure="false">"c912"</definedName>
    <definedName function="false" hidden="true" name="IQ_OTHER_INTAN_UTI" vbProcedure="false">"c913"</definedName>
    <definedName function="false" hidden="true" name="IQ_OTHER_INV" vbProcedure="false">"c914"</definedName>
    <definedName function="false" hidden="true" name="IQ_OTHER_INVEST" vbProcedure="false">"c915"</definedName>
    <definedName function="false" hidden="true" name="IQ_OTHER_INVESTING" vbProcedure="false">"c916"</definedName>
    <definedName function="false" hidden="true" name="IQ_OTHER_INVEST_ACT" vbProcedure="false">"c916"</definedName>
    <definedName function="false" hidden="true" name="IQ_OTHER_INVEST_ACT_BNK" vbProcedure="false">"c917"</definedName>
    <definedName function="false" hidden="true" name="IQ_OTHER_INVEST_ACT_BR" vbProcedure="false">"c918"</definedName>
    <definedName function="false" hidden="true" name="IQ_OTHER_INVEST_ACT_FIN" vbProcedure="false">"c919"</definedName>
    <definedName function="false" hidden="true" name="IQ_OTHER_INVEST_ACT_INS" vbProcedure="false">"c920"</definedName>
    <definedName function="false" hidden="true" name="IQ_OTHER_INVEST_ACT_REIT" vbProcedure="false">"c921"</definedName>
    <definedName function="false" hidden="true" name="IQ_OTHER_INVEST_ACT_SUPPL" vbProcedure="false">"c922"</definedName>
    <definedName function="false" hidden="true" name="IQ_OTHER_INVEST_ACT_SUPPL_BNK" vbProcedure="false">"c923"</definedName>
    <definedName function="false" hidden="true" name="IQ_OTHER_INVEST_ACT_SUPPL_BR" vbProcedure="false">"c924"</definedName>
    <definedName function="false" hidden="true" name="IQ_OTHER_INVEST_ACT_SUPPL_FIN" vbProcedure="false">"c925"</definedName>
    <definedName function="false" hidden="true" name="IQ_OTHER_INVEST_ACT_SUPPL_INS" vbProcedure="false">"c926"</definedName>
    <definedName function="false" hidden="true" name="IQ_OTHER_INVEST_ACT_SUPPL_REIT" vbProcedure="false">"c927"</definedName>
    <definedName function="false" hidden="true" name="IQ_OTHER_INVEST_ACT_SUPPL_UTI" vbProcedure="false">"c928"</definedName>
    <definedName function="false" hidden="true" name="IQ_OTHER_INVEST_ACT_UTI" vbProcedure="false">"c929"</definedName>
    <definedName function="false" hidden="true" name="IQ_OTHER_LIAB" vbProcedure="false">"c930"</definedName>
    <definedName function="false" hidden="true" name="IQ_OTHER_LIABILITIES_FDIC" vbProcedure="false">"c6347"</definedName>
    <definedName function="false" hidden="true" name="IQ_OTHER_LIAB_BNK" vbProcedure="false">"c931"</definedName>
    <definedName function="false" hidden="true" name="IQ_OTHER_LIAB_BR" vbProcedure="false">"c932"</definedName>
    <definedName function="false" hidden="true" name="IQ_OTHER_LIAB_FIN" vbProcedure="false">"c933"</definedName>
    <definedName function="false" hidden="true" name="IQ_OTHER_LIAB_INS" vbProcedure="false">"c934"</definedName>
    <definedName function="false" hidden="true" name="IQ_OTHER_LIAB_LT" vbProcedure="false">"c935"</definedName>
    <definedName function="false" hidden="true" name="IQ_OTHER_LIAB_LT_BNK" vbProcedure="false">"c936"</definedName>
    <definedName function="false" hidden="true" name="IQ_OTHER_LIAB_LT_BR" vbProcedure="false">"c937"</definedName>
    <definedName function="false" hidden="true" name="IQ_OTHER_LIAB_LT_FIN" vbProcedure="false">"c938"</definedName>
    <definedName function="false" hidden="true" name="IQ_OTHER_LIAB_LT_INS" vbProcedure="false">"c939"</definedName>
    <definedName function="false" hidden="true" name="IQ_OTHER_LIAB_LT_REIT" vbProcedure="false">"c940"</definedName>
    <definedName function="false" hidden="true" name="IQ_OTHER_LIAB_LT_UTI" vbProcedure="false">"c941"</definedName>
    <definedName function="false" hidden="true" name="IQ_OTHER_LIAB_REIT" vbProcedure="false">"c942"</definedName>
    <definedName function="false" hidden="true" name="IQ_OTHER_LIAB_UTI" vbProcedure="false">"c943"</definedName>
    <definedName function="false" hidden="true" name="IQ_OTHER_LIAB_WRITTEN" vbProcedure="false">"c944"</definedName>
    <definedName function="false" hidden="true" name="IQ_OTHER_LOANS" vbProcedure="false">"c945"</definedName>
    <definedName function="false" hidden="true" name="IQ_OTHER_LOANS_CHARGE_OFFS_FDIC" vbProcedure="false">"c6601"</definedName>
    <definedName function="false" hidden="true" name="IQ_OTHER_LOANS_FOREIGN_FDIC" vbProcedure="false">"c6446"</definedName>
    <definedName function="false" hidden="true" name="IQ_OTHER_LOANS_LEASES_FDIC" vbProcedure="false">"c6322"</definedName>
    <definedName function="false" hidden="true" name="IQ_OTHER_LOANS_NET_CHARGE_OFFS_FDIC" vbProcedure="false">"c6639"</definedName>
    <definedName function="false" hidden="true" name="IQ_OTHER_LOANS_RECOVERIES_FDIC" vbProcedure="false">"c6620"</definedName>
    <definedName function="false" hidden="true" name="IQ_OTHER_LOANS_TOTAL_FDIC" vbProcedure="false">"c6432"</definedName>
    <definedName function="false" hidden="true" name="IQ_OTHER_LONG_TERM" vbProcedure="false">"c946"</definedName>
    <definedName function="false" hidden="true" name="IQ_OTHER_LT_ASSETS" vbProcedure="false">"c946"</definedName>
    <definedName function="false" hidden="true" name="IQ_OTHER_LT_ASSETS_BNK" vbProcedure="false">"c947"</definedName>
    <definedName function="false" hidden="true" name="IQ_OTHER_LT_ASSETS_BR" vbProcedure="false">"c948"</definedName>
    <definedName function="false" hidden="true" name="IQ_OTHER_LT_ASSETS_FIN" vbProcedure="false">"c949"</definedName>
    <definedName function="false" hidden="true" name="IQ_OTHER_LT_ASSETS_INS" vbProcedure="false">"c950"</definedName>
    <definedName function="false" hidden="true" name="IQ_OTHER_LT_ASSETS_REIT" vbProcedure="false">"c951"</definedName>
    <definedName function="false" hidden="true" name="IQ_OTHER_LT_ASSETS_UTI" vbProcedure="false">"c952"</definedName>
    <definedName function="false" hidden="true" name="IQ_OTHER_MINING_REVENUE_COAL" vbProcedure="false">"c15931"</definedName>
    <definedName function="false" hidden="true" name="IQ_OTHER_NET" vbProcedure="false">"c959"</definedName>
    <definedName function="false" hidden="true" name="IQ_OTHER_NONINTEREST_INC_FOREIGN_FFIEC" vbProcedure="false">"c15380"</definedName>
    <definedName function="false" hidden="true" name="IQ_OTHER_NON_INT_EXP" vbProcedure="false">"c953"</definedName>
    <definedName function="false" hidden="true" name="IQ_OTHER_NON_INT_EXPENSE_FDIC" vbProcedure="false">"c6679"</definedName>
    <definedName function="false" hidden="true" name="IQ_OTHER_NON_INT_EXP_FDIC" vbProcedure="false">"c6578"</definedName>
    <definedName function="false" hidden="true" name="IQ_OTHER_NON_INT_EXP_TOTAL" vbProcedure="false">"c954"</definedName>
    <definedName function="false" hidden="true" name="IQ_OTHER_NON_INT_INC" vbProcedure="false">"c955"</definedName>
    <definedName function="false" hidden="true" name="IQ_OTHER_NON_INT_INC_FDIC" vbProcedure="false">"c6676"</definedName>
    <definedName function="false" hidden="true" name="IQ_OTHER_NON_OPER_EXP" vbProcedure="false">"c956"</definedName>
    <definedName function="false" hidden="true" name="IQ_OTHER_NON_OPER_EXP_BR" vbProcedure="false">"c957"</definedName>
    <definedName function="false" hidden="true" name="IQ_OTHER_NON_OPER_EXP_FIN" vbProcedure="false">"c958"</definedName>
    <definedName function="false" hidden="true" name="IQ_OTHER_NON_OPER_EXP_INS" vbProcedure="false">"c959"</definedName>
    <definedName function="false" hidden="true" name="IQ_OTHER_NON_OPER_EXP_REIT" vbProcedure="false">"c960"</definedName>
    <definedName function="false" hidden="true" name="IQ_OTHER_NON_OPER_EXP_SUPPL" vbProcedure="false">"c961"</definedName>
    <definedName function="false" hidden="true" name="IQ_OTHER_NON_OPER_EXP_SUPPL_BR" vbProcedure="false">"c962"</definedName>
    <definedName function="false" hidden="true" name="IQ_OTHER_NON_OPER_EXP_SUPPL_FIN" vbProcedure="false">"c963"</definedName>
    <definedName function="false" hidden="true" name="IQ_OTHER_NON_OPER_EXP_SUPPL_INS" vbProcedure="false">"c964"</definedName>
    <definedName function="false" hidden="true" name="IQ_OTHER_NON_OPER_EXP_SUPPL_REIT" vbProcedure="false">"c965"</definedName>
    <definedName function="false" hidden="true" name="IQ_OTHER_NON_OPER_EXP_SUPPL_UTI" vbProcedure="false">"c966"</definedName>
    <definedName function="false" hidden="true" name="IQ_OTHER_NON_OPER_EXP_UTI" vbProcedure="false">"c967"</definedName>
    <definedName function="false" hidden="true" name="IQ_OTHER_OFF_BS_LIAB_FDIC" vbProcedure="false">"c6533"</definedName>
    <definedName function="false" hidden="true" name="IQ_OTHER_OPER" vbProcedure="false">"c982"</definedName>
    <definedName function="false" hidden="true" name="IQ_OTHER_OPER_ACT" vbProcedure="false">"c983"</definedName>
    <definedName function="false" hidden="true" name="IQ_OTHER_OPER_ACT_BNK" vbProcedure="false">"c984"</definedName>
    <definedName function="false" hidden="true" name="IQ_OTHER_OPER_ACT_BR" vbProcedure="false">"c985"</definedName>
    <definedName function="false" hidden="true" name="IQ_OTHER_OPER_ACT_FIN" vbProcedure="false">"c986"</definedName>
    <definedName function="false" hidden="true" name="IQ_OTHER_OPER_ACT_INS" vbProcedure="false">"c987"</definedName>
    <definedName function="false" hidden="true" name="IQ_OTHER_OPER_ACT_REIT" vbProcedure="false">"c988"</definedName>
    <definedName function="false" hidden="true" name="IQ_OTHER_OPER_ACT_UTI" vbProcedure="false">"c989"</definedName>
    <definedName function="false" hidden="true" name="IQ_OTHER_OPER_BR" vbProcedure="false">"c990"</definedName>
    <definedName function="false" hidden="true" name="IQ_OTHER_OPER_FIN" vbProcedure="false">"c991"</definedName>
    <definedName function="false" hidden="true" name="IQ_OTHER_OPER_INS" vbProcedure="false">"c992"</definedName>
    <definedName function="false" hidden="true" name="IQ_OTHER_OPER_REIT" vbProcedure="false">"c993"</definedName>
    <definedName function="false" hidden="true" name="IQ_OTHER_OPER_SUPPL_BR" vbProcedure="false">"c994"</definedName>
    <definedName function="false" hidden="true" name="IQ_OTHER_OPER_SUPPL_FIN" vbProcedure="false">"c995"</definedName>
    <definedName function="false" hidden="true" name="IQ_OTHER_OPER_SUPPL_INS" vbProcedure="false">"c996"</definedName>
    <definedName function="false" hidden="true" name="IQ_OTHER_OPER_SUPPL_REIT" vbProcedure="false">"c997"</definedName>
    <definedName function="false" hidden="true" name="IQ_OTHER_OPER_SUPPL_UTI" vbProcedure="false">"c998"</definedName>
    <definedName function="false" hidden="true" name="IQ_OTHER_OPER_TOT_BNK" vbProcedure="false">"c999"</definedName>
    <definedName function="false" hidden="true" name="IQ_OTHER_OPER_TOT_BR" vbProcedure="false">"c1000"</definedName>
    <definedName function="false" hidden="true" name="IQ_OTHER_OPER_TOT_FIN" vbProcedure="false">"c1001"</definedName>
    <definedName function="false" hidden="true" name="IQ_OTHER_OPER_TOT_INS" vbProcedure="false">"c1002"</definedName>
    <definedName function="false" hidden="true" name="IQ_OTHER_OPER_TOT_REIT" vbProcedure="false">"c1003"</definedName>
    <definedName function="false" hidden="true" name="IQ_OTHER_OPER_TOT_UTI" vbProcedure="false">"c1004"</definedName>
    <definedName function="false" hidden="true" name="IQ_OTHER_OPER_UTI" vbProcedure="false">"c1005"</definedName>
    <definedName function="false" hidden="true" name="IQ_OTHER_PC_WRITTEN" vbProcedure="false">"c1006"</definedName>
    <definedName function="false" hidden="true" name="IQ_OTHER_REAL_ESTATE" vbProcedure="false">"c1007"</definedName>
    <definedName function="false" hidden="true" name="IQ_OTHER_RECEIV" vbProcedure="false">"c1008"</definedName>
    <definedName function="false" hidden="true" name="IQ_OTHER_RECEIV_INS" vbProcedure="false">"c1009"</definedName>
    <definedName function="false" hidden="true" name="IQ_OTHER_REV" vbProcedure="false">"c1010"</definedName>
    <definedName function="false" hidden="true" name="IQ_OTHER_REVENUE" vbProcedure="false">"c1010"</definedName>
    <definedName function="false" hidden="true" name="IQ_OTHER_REV_BR" vbProcedure="false">"c1011"</definedName>
    <definedName function="false" hidden="true" name="IQ_OTHER_REV_FIN" vbProcedure="false">"c1012"</definedName>
    <definedName function="false" hidden="true" name="IQ_OTHER_REV_INS" vbProcedure="false">"c1013"</definedName>
    <definedName function="false" hidden="true" name="IQ_OTHER_REV_REIT" vbProcedure="false">"c1014"</definedName>
    <definedName function="false" hidden="true" name="IQ_OTHER_REV_SUPPL" vbProcedure="false">"c1015"</definedName>
    <definedName function="false" hidden="true" name="IQ_OTHER_REV_SUPPL_BR" vbProcedure="false">"c1016"</definedName>
    <definedName function="false" hidden="true" name="IQ_OTHER_REV_SUPPL_FIN" vbProcedure="false">"c1017"</definedName>
    <definedName function="false" hidden="true" name="IQ_OTHER_REV_SUPPL_INS" vbProcedure="false">"c1018"</definedName>
    <definedName function="false" hidden="true" name="IQ_OTHER_REV_SUPPL_REIT" vbProcedure="false">"c1019"</definedName>
    <definedName function="false" hidden="true" name="IQ_OTHER_REV_SUPPL_UTI" vbProcedure="false">"c1020"</definedName>
    <definedName function="false" hidden="true" name="IQ_OTHER_REV_UTI" vbProcedure="false">"c1021"</definedName>
    <definedName function="false" hidden="true" name="IQ_OTHER_RE_OWNED_FDIC" vbProcedure="false">"c6330"</definedName>
    <definedName function="false" hidden="true" name="IQ_OTHER_SAVINGS_DEPOSITS_FDIC" vbProcedure="false">"c6554"</definedName>
    <definedName function="false" hidden="true" name="IQ_OTHER_SAVINGS_DEPOSITS_NON_TRANS_ACCTS_FFIEC" vbProcedure="false">"c15331"</definedName>
    <definedName function="false" hidden="true" name="IQ_OTHER_SECURITIES_QUARTERLY_AVG_FFIEC" vbProcedure="false">"c15472"</definedName>
    <definedName function="false" hidden="true" name="IQ_OTHER_TRADING_ASSETS_FAIR_VALUE_TOT_FFIEC" vbProcedure="false">"c15404"</definedName>
    <definedName function="false" hidden="true" name="IQ_OTHER_TRADING_ASSETS_LEVEL_1_FFIEC" vbProcedure="false">"c15426"</definedName>
    <definedName function="false" hidden="true" name="IQ_OTHER_TRADING_ASSETS_LEVEL_2_FFIEC" vbProcedure="false">"c15439"</definedName>
    <definedName function="false" hidden="true" name="IQ_OTHER_TRADING_ASSETS_LEVEL_3_FFIEC" vbProcedure="false">"c15452"</definedName>
    <definedName function="false" hidden="true" name="IQ_OTHER_TRADING_LIABILITIES_FAIR_VALUE_TOT_FFIEC" vbProcedure="false">"c15408"</definedName>
    <definedName function="false" hidden="true" name="IQ_OTHER_TRADING_LIABILITIES_LEVEL_1_FFIEC" vbProcedure="false">"c15430"</definedName>
    <definedName function="false" hidden="true" name="IQ_OTHER_TRADING_LIABILITIES_LEVEL_2_FFIEC" vbProcedure="false">"c15443"</definedName>
    <definedName function="false" hidden="true" name="IQ_OTHER_TRADING_LIABILITIES_LEVEL_3_FFIEC" vbProcedure="false">"c15456"</definedName>
    <definedName function="false" hidden="true" name="IQ_OTHER_TRANSACTIONS_FDIC" vbProcedure="false">"c6504"</definedName>
    <definedName function="false" hidden="true" name="IQ_OTHER_UNUSED_COMMITMENTS_FDIC" vbProcedure="false">"c6530"</definedName>
    <definedName function="false" hidden="true" name="IQ_OTHER_UNUSUAL" vbProcedure="false">"c1488"</definedName>
    <definedName function="false" hidden="true" name="IQ_OTHER_UNUSUAL_BNK" vbProcedure="false">"c1560"</definedName>
    <definedName function="false" hidden="true" name="IQ_OTHER_UNUSUAL_BR" vbProcedure="false">"c1561"</definedName>
    <definedName function="false" hidden="true" name="IQ_OTHER_UNUSUAL_FIN" vbProcedure="false">"c1562"</definedName>
    <definedName function="false" hidden="true" name="IQ_OTHER_UNUSUAL_INS" vbProcedure="false">"c1563"</definedName>
    <definedName function="false" hidden="true" name="IQ_OTHER_UNUSUAL_REIT" vbProcedure="false">"c1564"</definedName>
    <definedName function="false" hidden="true" name="IQ_OTHER_UNUSUAL_SUPPL" vbProcedure="false">"c1494"</definedName>
    <definedName function="false" hidden="true" name="IQ_OTHER_UNUSUAL_SUPPL_BNK" vbProcedure="false">"c1495"</definedName>
    <definedName function="false" hidden="true" name="IQ_OTHER_UNUSUAL_SUPPL_BR" vbProcedure="false">"c1496"</definedName>
    <definedName function="false" hidden="true" name="IQ_OTHER_UNUSUAL_SUPPL_FIN" vbProcedure="false">"c1497"</definedName>
    <definedName function="false" hidden="true" name="IQ_OTHER_UNUSUAL_SUPPL_INS" vbProcedure="false">"c1498"</definedName>
    <definedName function="false" hidden="true" name="IQ_OTHER_UNUSUAL_SUPPL_REIT" vbProcedure="false">"c1499"</definedName>
    <definedName function="false" hidden="true" name="IQ_OTHER_UNUSUAL_SUPPL_UTI" vbProcedure="false">"c1500"</definedName>
    <definedName function="false" hidden="true" name="IQ_OTHER_UNUSUAL_UTI" vbProcedure="false">"c1565"</definedName>
    <definedName function="false" hidden="true" name="IQ_OUTSTANDING_BS_DATE" vbProcedure="false">"c1022"</definedName>
    <definedName function="false" hidden="true" name="IQ_OUTSTANDING_FILING_DATE" vbProcedure="false">"c1023"</definedName>
    <definedName function="false" hidden="true" name="IQ_OUTSTANDING_FILING_DATE_TOTAL" vbProcedure="false">"c2107"</definedName>
    <definedName function="false" hidden="true" name="IQ_OVER_FIFETEEN_YEAR_MORTGAGE_PASS_THROUGHS_FDIC" vbProcedure="false">"c6416"</definedName>
    <definedName function="false" hidden="true" name="IQ_OVER_FIFTEEN_YEAR_FIXED_AND_FLOATING_RATE_FDIC" vbProcedure="false">"c6424"</definedName>
    <definedName function="false" hidden="true" name="IQ_OVER_THREE_YEARS_FDIC" vbProcedure="false">"c6418"</definedName>
    <definedName function="false" hidden="true" name="IQ_PARTICIPATION_POOLS_RESIDENTIAL_MORTGAGES_FDIC" vbProcedure="false">"c6403"</definedName>
    <definedName function="false" hidden="true" name="IQ_PART_TIME" vbProcedure="false">"c1024"</definedName>
    <definedName function="false" hidden="true" name="IQ_PAST_DUE_30_1_4_FAMILY_LOANS_FDIC" vbProcedure="false">"c6693"</definedName>
    <definedName function="false" hidden="true" name="IQ_PAST_DUE_30_AUTO_LOANS_FDIC" vbProcedure="false">"c6687"</definedName>
    <definedName function="false" hidden="true" name="IQ_PAST_DUE_30_CL_LOANS_FDIC" vbProcedure="false">"c6688"</definedName>
    <definedName function="false" hidden="true" name="IQ_PAST_DUE_30_CREDIT_CARDS_RECEIVABLES_FDIC" vbProcedure="false">"c6690"</definedName>
    <definedName function="false" hidden="true" name="IQ_PAST_DUE_30_HOME_EQUITY_LINES_FDIC" vbProcedure="false">"c6691"</definedName>
    <definedName function="false" hidden="true" name="IQ_PAST_DUE_30_OTHER_CONSUMER_LOANS_FDIC" vbProcedure="false">"c6689"</definedName>
    <definedName function="false" hidden="true" name="IQ_PAST_DUE_30_OTHER_LOANS_FDIC" vbProcedure="false">"c6692"</definedName>
    <definedName function="false" hidden="true" name="IQ_PAST_DUE_90_1_4_FAMILY_LOANS_FDIC" vbProcedure="false">"c6700"</definedName>
    <definedName function="false" hidden="true" name="IQ_PAST_DUE_90_AUTO_LOANS_FDIC" vbProcedure="false">"c6694"</definedName>
    <definedName function="false" hidden="true" name="IQ_PAST_DUE_90_CL_LOANS_FDIC" vbProcedure="false">"c6695"</definedName>
    <definedName function="false" hidden="true" name="IQ_PAST_DUE_90_CREDIT_CARDS_RECEIVABLES_FDIC" vbProcedure="false">"c6697"</definedName>
    <definedName function="false" hidden="true" name="IQ_PAST_DUE_90_HOME_EQUITY_LINES_FDIC" vbProcedure="false">"c6698"</definedName>
    <definedName function="false" hidden="true" name="IQ_PAST_DUE_90_OTHER_CONSUMER_LOANS_FDIC" vbProcedure="false">"c6696"</definedName>
    <definedName function="false" hidden="true" name="IQ_PAST_DUE_90_OTHER_LOANS_FDIC" vbProcedure="false">"c6699"</definedName>
    <definedName function="false" hidden="true" name="IQ_PAY_ACCRUED" vbProcedure="false">"c8"</definedName>
    <definedName function="false" hidden="true" name="IQ_PBV" vbProcedure="false">"c1025"</definedName>
    <definedName function="false" hidden="true" name="IQ_PBV_AVG" vbProcedure="false">"c1026"</definedName>
    <definedName function="false" hidden="true" name="IQ_PBV_FWD" vbProcedure="false">"c15235"</definedName>
    <definedName function="false" hidden="true" name="IQ_PBV_FWD_CIQ" vbProcedure="false">"c15236"</definedName>
    <definedName function="false" hidden="true" name="IQ_PC_WRITTEN" vbProcedure="false">"c1027"</definedName>
    <definedName function="false" hidden="true" name="IQ_PEG_FWD_REUT" vbProcedure="false">"c4052"</definedName>
    <definedName function="false" hidden="true" name="IQ_PENSION" vbProcedure="false">"c1031"</definedName>
    <definedName function="false" hidden="true" name="IQ_PERCENT_CHANGE_EST_5YR_GROWTH_RATE_12MONTHS_REUT" vbProcedure="false">"c3959"</definedName>
    <definedName function="false" hidden="true" name="IQ_PERCENT_CHANGE_EST_5YR_GROWTH_RATE_18MONTHS_REUT" vbProcedure="false">"c3960"</definedName>
    <definedName function="false" hidden="true" name="IQ_PERCENT_CHANGE_EST_5YR_GROWTH_RATE_3MONTHS_REUT" vbProcedure="false">"c3956"</definedName>
    <definedName function="false" hidden="true" name="IQ_PERCENT_CHANGE_EST_5YR_GROWTH_RATE_6MONTHS_REUT" vbProcedure="false">"c3957"</definedName>
    <definedName function="false" hidden="true" name="IQ_PERCENT_CHANGE_EST_5YR_GROWTH_RATE_9MONTHS_REUT" vbProcedure="false">"c3958"</definedName>
    <definedName function="false" hidden="true" name="IQ_PERCENT_CHANGE_EST_5YR_GROWTH_RATE_DAY_REUT" vbProcedure="false">"c3954"</definedName>
    <definedName function="false" hidden="true" name="IQ_PERCENT_CHANGE_EST_5YR_GROWTH_RATE_MONTH_REUT" vbProcedure="false">"c3955"</definedName>
    <definedName function="false" hidden="true" name="IQ_PERCENT_CHANGE_EST_5YR_GROWTH_RATE_WEEK_REUT" vbProcedure="false">"c5435"</definedName>
    <definedName function="false" hidden="true" name="IQ_PERCENT_CHANGE_EST_CFPS_12MONTHS_REUT" vbProcedure="false">"c3924"</definedName>
    <definedName function="false" hidden="true" name="IQ_PERCENT_CHANGE_EST_CFPS_18MONTHS_REUT" vbProcedure="false">"c3925"</definedName>
    <definedName function="false" hidden="true" name="IQ_PERCENT_CHANGE_EST_CFPS_3MONTHS_REUT" vbProcedure="false">"c3921"</definedName>
    <definedName function="false" hidden="true" name="IQ_PERCENT_CHANGE_EST_CFPS_6MONTHS_REUT" vbProcedure="false">"c3922"</definedName>
    <definedName function="false" hidden="true" name="IQ_PERCENT_CHANGE_EST_CFPS_9MONTHS_REUT" vbProcedure="false">"c3923"</definedName>
    <definedName function="false" hidden="true" name="IQ_PERCENT_CHANGE_EST_CFPS_DAY_REUT" vbProcedure="false">"c3919"</definedName>
    <definedName function="false" hidden="true" name="IQ_PERCENT_CHANGE_EST_CFPS_MONTH_REUT" vbProcedure="false">"c3920"</definedName>
    <definedName function="false" hidden="true" name="IQ_PERCENT_CHANGE_EST_CFPS_WEEK_REUT" vbProcedure="false">"c3962"</definedName>
    <definedName function="false" hidden="true" name="IQ_PERCENT_CHANGE_EST_DPS_12MONTHS_REUT" vbProcedure="false">"c3931"</definedName>
    <definedName function="false" hidden="true" name="IQ_PERCENT_CHANGE_EST_DPS_18MONTHS_REUT" vbProcedure="false">"c3932"</definedName>
    <definedName function="false" hidden="true" name="IQ_PERCENT_CHANGE_EST_DPS_3MONTHS_REUT" vbProcedure="false">"c3928"</definedName>
    <definedName function="false" hidden="true" name="IQ_PERCENT_CHANGE_EST_DPS_6MONTHS_REUT" vbProcedure="false">"c3929"</definedName>
    <definedName function="false" hidden="true" name="IQ_PERCENT_CHANGE_EST_DPS_9MONTHS_REUT" vbProcedure="false">"c3930"</definedName>
    <definedName function="false" hidden="true" name="IQ_PERCENT_CHANGE_EST_DPS_DAY_REUT" vbProcedure="false">"c3926"</definedName>
    <definedName function="false" hidden="true" name="IQ_PERCENT_CHANGE_EST_DPS_MONTH_REUT" vbProcedure="false">"c3927"</definedName>
    <definedName function="false" hidden="true" name="IQ_PERCENT_CHANGE_EST_DPS_WEEK_REUT" vbProcedure="false">"c3963"</definedName>
    <definedName function="false" hidden="true" name="IQ_PERCENT_CHANGE_EST_EBITDA_12MONTHS_REUT" vbProcedure="false">"c3917"</definedName>
    <definedName function="false" hidden="true" name="IQ_PERCENT_CHANGE_EST_EBITDA_18MONTHS_REUT" vbProcedure="false">"c3918"</definedName>
    <definedName function="false" hidden="true" name="IQ_PERCENT_CHANGE_EST_EBITDA_3MONTHS_REUT" vbProcedure="false">"c3914"</definedName>
    <definedName function="false" hidden="true" name="IQ_PERCENT_CHANGE_EST_EBITDA_6MONTHS_REUT" vbProcedure="false">"c3915"</definedName>
    <definedName function="false" hidden="true" name="IQ_PERCENT_CHANGE_EST_EBITDA_9MONTHS_REUT" vbProcedure="false">"c3916"</definedName>
    <definedName function="false" hidden="true" name="IQ_PERCENT_CHANGE_EST_EBITDA_DAY_REUT" vbProcedure="false">"c3912"</definedName>
    <definedName function="false" hidden="true" name="IQ_PERCENT_CHANGE_EST_EBITDA_MONTH_REUT" vbProcedure="false">"c3913"</definedName>
    <definedName function="false" hidden="true" name="IQ_PERCENT_CHANGE_EST_EBITDA_WEEK_REUT" vbProcedure="false">"c3961"</definedName>
    <definedName function="false" hidden="true" name="IQ_PERCENT_CHANGE_EST_EPS_12MONTHS_REUT" vbProcedure="false">"c3902"</definedName>
    <definedName function="false" hidden="true" name="IQ_PERCENT_CHANGE_EST_EPS_18MONTHS_REUT" vbProcedure="false">"c3903"</definedName>
    <definedName function="false" hidden="true" name="IQ_PERCENT_CHANGE_EST_EPS_3MONTHS_REUT" vbProcedure="false">"c3899"</definedName>
    <definedName function="false" hidden="true" name="IQ_PERCENT_CHANGE_EST_EPS_6MONTHS_REUT" vbProcedure="false">"c3900"</definedName>
    <definedName function="false" hidden="true" name="IQ_PERCENT_CHANGE_EST_EPS_9MONTHS_REUT" vbProcedure="false">"c3901"</definedName>
    <definedName function="false" hidden="true" name="IQ_PERCENT_CHANGE_EST_EPS_DAY_REUT" vbProcedure="false">"c3896"</definedName>
    <definedName function="false" hidden="true" name="IQ_PERCENT_CHANGE_EST_EPS_MONTH_REUT" vbProcedure="false">"c3898"</definedName>
    <definedName function="false" hidden="true" name="IQ_PERCENT_CHANGE_EST_EPS_WEEK_REUT" vbProcedure="false">"c3897"</definedName>
    <definedName function="false" hidden="true" name="IQ_PERCENT_CHANGE_EST_FFO_12MONTHS" vbProcedure="false">"c1828"</definedName>
    <definedName function="false" hidden="true" name="IQ_PERCENT_CHANGE_EST_FFO_12MONTHS_CIQ" vbProcedure="false">"c3769"</definedName>
    <definedName function="false" hidden="true" name="IQ_PERCENT_CHANGE_EST_FFO_12MONTHS_REUT" vbProcedure="false">"c3938"</definedName>
    <definedName function="false" hidden="true" name="IQ_PERCENT_CHANGE_EST_FFO_12MONTHS_THOM" vbProcedure="false">"c5248"</definedName>
    <definedName function="false" hidden="true" name="IQ_PERCENT_CHANGE_EST_FFO_18MONTHS" vbProcedure="false">"c1829"</definedName>
    <definedName function="false" hidden="true" name="IQ_PERCENT_CHANGE_EST_FFO_18MONTHS_CIQ" vbProcedure="false">"c3770"</definedName>
    <definedName function="false" hidden="true" name="IQ_PERCENT_CHANGE_EST_FFO_18MONTHS_REUT" vbProcedure="false">"c3939"</definedName>
    <definedName function="false" hidden="true" name="IQ_PERCENT_CHANGE_EST_FFO_18MONTHS_THOM" vbProcedure="false">"c5249"</definedName>
    <definedName function="false" hidden="true" name="IQ_PERCENT_CHANGE_EST_FFO_3MONTHS" vbProcedure="false">"c1825"</definedName>
    <definedName function="false" hidden="true" name="IQ_PERCENT_CHANGE_EST_FFO_3MONTHS_CIQ" vbProcedure="false">"c3766"</definedName>
    <definedName function="false" hidden="true" name="IQ_PERCENT_CHANGE_EST_FFO_3MONTHS_REUT" vbProcedure="false">"c3935"</definedName>
    <definedName function="false" hidden="true" name="IQ_PERCENT_CHANGE_EST_FFO_3MONTHS_THOM" vbProcedure="false">"c5245"</definedName>
    <definedName function="false" hidden="true" name="IQ_PERCENT_CHANGE_EST_FFO_6MONTHS" vbProcedure="false">"c1826"</definedName>
    <definedName function="false" hidden="true" name="IQ_PERCENT_CHANGE_EST_FFO_6MONTHS_CIQ" vbProcedure="false">"c3767"</definedName>
    <definedName function="false" hidden="true" name="IQ_PERCENT_CHANGE_EST_FFO_6MONTHS_REUT" vbProcedure="false">"c3936"</definedName>
    <definedName function="false" hidden="true" name="IQ_PERCENT_CHANGE_EST_FFO_6MONTHS_THOM" vbProcedure="false">"c5246"</definedName>
    <definedName function="false" hidden="true" name="IQ_PERCENT_CHANGE_EST_FFO_9MONTHS" vbProcedure="false">"c1827"</definedName>
    <definedName function="false" hidden="true" name="IQ_PERCENT_CHANGE_EST_FFO_9MONTHS_CIQ" vbProcedure="false">"c3768"</definedName>
    <definedName function="false" hidden="true" name="IQ_PERCENT_CHANGE_EST_FFO_9MONTHS_REUT" vbProcedure="false">"c3937"</definedName>
    <definedName function="false" hidden="true" name="IQ_PERCENT_CHANGE_EST_FFO_9MONTHS_THOM" vbProcedure="false">"c5247"</definedName>
    <definedName function="false" hidden="true" name="IQ_PERCENT_CHANGE_EST_FFO_DAY" vbProcedure="false">"c1822"</definedName>
    <definedName function="false" hidden="true" name="IQ_PERCENT_CHANGE_EST_FFO_DAY_CIQ" vbProcedure="false">"c3764"</definedName>
    <definedName function="false" hidden="true" name="IQ_PERCENT_CHANGE_EST_FFO_DAY_REUT" vbProcedure="false">"c3933"</definedName>
    <definedName function="false" hidden="true" name="IQ_PERCENT_CHANGE_EST_FFO_DAY_THOM" vbProcedure="false">"c5243"</definedName>
    <definedName function="false" hidden="true" name="IQ_PERCENT_CHANGE_EST_FFO_MONTH" vbProcedure="false">"c1824"</definedName>
    <definedName function="false" hidden="true" name="IQ_PERCENT_CHANGE_EST_FFO_MONTH_CIQ" vbProcedure="false">"c3765"</definedName>
    <definedName function="false" hidden="true" name="IQ_PERCENT_CHANGE_EST_FFO_MONTH_REUT" vbProcedure="false">"c3934"</definedName>
    <definedName function="false" hidden="true" name="IQ_PERCENT_CHANGE_EST_FFO_MONTH_THOM" vbProcedure="false">"c5244"</definedName>
    <definedName function="false" hidden="true" name="IQ_PERCENT_CHANGE_EST_FFO_SHARE_12MONTHS_REUT" vbProcedure="false">"c3938"</definedName>
    <definedName function="false" hidden="true" name="IQ_PERCENT_CHANGE_EST_FFO_SHARE_18MONTHS_REUT" vbProcedure="false">"c3939"</definedName>
    <definedName function="false" hidden="true" name="IQ_PERCENT_CHANGE_EST_FFO_SHARE_3MONTHS_REUT" vbProcedure="false">"c3935"</definedName>
    <definedName function="false" hidden="true" name="IQ_PERCENT_CHANGE_EST_FFO_SHARE_6MONTHS_REUT" vbProcedure="false">"c3936"</definedName>
    <definedName function="false" hidden="true" name="IQ_PERCENT_CHANGE_EST_FFO_SHARE_9MONTHS_REUT" vbProcedure="false">"c3937"</definedName>
    <definedName function="false" hidden="true" name="IQ_PERCENT_CHANGE_EST_FFO_SHARE_DAY_REUT" vbProcedure="false">"c3933"</definedName>
    <definedName function="false" hidden="true" name="IQ_PERCENT_CHANGE_EST_FFO_SHARE_MONTH_REUT" vbProcedure="false">"c3934"</definedName>
    <definedName function="false" hidden="true" name="IQ_PERCENT_CHANGE_EST_FFO_SHARE_SHARE_12MONTHS" vbProcedure="false">"c1828"</definedName>
    <definedName function="false" hidden="true" name="IQ_PERCENT_CHANGE_EST_FFO_SHARE_SHARE_12MONTHS_CIQ" vbProcedure="false">"c3769"</definedName>
    <definedName function="false" hidden="true" name="IQ_PERCENT_CHANGE_EST_FFO_SHARE_SHARE_12MONTHS_REUT" vbProcedure="false">"c3938"</definedName>
    <definedName function="false" hidden="true" name="IQ_PERCENT_CHANGE_EST_FFO_SHARE_SHARE_12MONTHS_THOM" vbProcedure="false">"c5248"</definedName>
    <definedName function="false" hidden="true" name="IQ_PERCENT_CHANGE_EST_FFO_SHARE_SHARE_18MONTHS" vbProcedure="false">"c1829"</definedName>
    <definedName function="false" hidden="true" name="IQ_PERCENT_CHANGE_EST_FFO_SHARE_SHARE_18MONTHS_CIQ" vbProcedure="false">"c3770"</definedName>
    <definedName function="false" hidden="true" name="IQ_PERCENT_CHANGE_EST_FFO_SHARE_SHARE_18MONTHS_REUT" vbProcedure="false">"c3939"</definedName>
    <definedName function="false" hidden="true" name="IQ_PERCENT_CHANGE_EST_FFO_SHARE_SHARE_18MONTHS_THOM" vbProcedure="false">"c5249"</definedName>
    <definedName function="false" hidden="true" name="IQ_PERCENT_CHANGE_EST_FFO_SHARE_SHARE_3MONTHS" vbProcedure="false">"c1825"</definedName>
    <definedName function="false" hidden="true" name="IQ_PERCENT_CHANGE_EST_FFO_SHARE_SHARE_3MONTHS_CIQ" vbProcedure="false">"c3766"</definedName>
    <definedName function="false" hidden="true" name="IQ_PERCENT_CHANGE_EST_FFO_SHARE_SHARE_3MONTHS_REUT" vbProcedure="false">"c3935"</definedName>
    <definedName function="false" hidden="true" name="IQ_PERCENT_CHANGE_EST_FFO_SHARE_SHARE_3MONTHS_THOM" vbProcedure="false">"c5245"</definedName>
    <definedName function="false" hidden="true" name="IQ_PERCENT_CHANGE_EST_FFO_SHARE_SHARE_6MONTHS" vbProcedure="false">"c1826"</definedName>
    <definedName function="false" hidden="true" name="IQ_PERCENT_CHANGE_EST_FFO_SHARE_SHARE_6MONTHS_CIQ" vbProcedure="false">"c3767"</definedName>
    <definedName function="false" hidden="true" name="IQ_PERCENT_CHANGE_EST_FFO_SHARE_SHARE_6MONTHS_REUT" vbProcedure="false">"c3936"</definedName>
    <definedName function="false" hidden="true" name="IQ_PERCENT_CHANGE_EST_FFO_SHARE_SHARE_6MONTHS_THOM" vbProcedure="false">"c5246"</definedName>
    <definedName function="false" hidden="true" name="IQ_PERCENT_CHANGE_EST_FFO_SHARE_SHARE_9MONTHS" vbProcedure="false">"c1827"</definedName>
    <definedName function="false" hidden="true" name="IQ_PERCENT_CHANGE_EST_FFO_SHARE_SHARE_9MONTHS_CIQ" vbProcedure="false">"c3768"</definedName>
    <definedName function="false" hidden="true" name="IQ_PERCENT_CHANGE_EST_FFO_SHARE_SHARE_9MONTHS_REUT" vbProcedure="false">"c3937"</definedName>
    <definedName function="false" hidden="true" name="IQ_PERCENT_CHANGE_EST_FFO_SHARE_SHARE_9MONTHS_THOM" vbProcedure="false">"c5247"</definedName>
    <definedName function="false" hidden="true" name="IQ_PERCENT_CHANGE_EST_FFO_SHARE_SHARE_DAY" vbProcedure="false">"c1822"</definedName>
    <definedName function="false" hidden="true" name="IQ_PERCENT_CHANGE_EST_FFO_SHARE_SHARE_DAY_CIQ" vbProcedure="false">"c3764"</definedName>
    <definedName function="false" hidden="true" name="IQ_PERCENT_CHANGE_EST_FFO_SHARE_SHARE_DAY_REUT" vbProcedure="false">"c3933"</definedName>
    <definedName function="false" hidden="true" name="IQ_PERCENT_CHANGE_EST_FFO_SHARE_SHARE_DAY_THOM" vbProcedure="false">"c5243"</definedName>
    <definedName function="false" hidden="true" name="IQ_PERCENT_CHANGE_EST_FFO_SHARE_SHARE_MONTH" vbProcedure="false">"c1824"</definedName>
    <definedName function="false" hidden="true" name="IQ_PERCENT_CHANGE_EST_FFO_SHARE_SHARE_MONTH_CIQ" vbProcedure="false">"c3765"</definedName>
    <definedName function="false" hidden="true" name="IQ_PERCENT_CHANGE_EST_FFO_SHARE_SHARE_MONTH_REUT" vbProcedure="false">"c3934"</definedName>
    <definedName function="false" hidden="true" name="IQ_PERCENT_CHANGE_EST_FFO_SHARE_SHARE_MONTH_THOM" vbProcedure="false">"c5244"</definedName>
    <definedName function="false" hidden="true" name="IQ_PERCENT_CHANGE_EST_FFO_SHARE_SHARE_WEEK" vbProcedure="false">"c1823"</definedName>
    <definedName function="false" hidden="true" name="IQ_PERCENT_CHANGE_EST_FFO_SHARE_SHARE_WEEK_CIQ" vbProcedure="false">"c3795"</definedName>
    <definedName function="false" hidden="true" name="IQ_PERCENT_CHANGE_EST_FFO_SHARE_SHARE_WEEK_REUT" vbProcedure="false">"c3964"</definedName>
    <definedName function="false" hidden="true" name="IQ_PERCENT_CHANGE_EST_FFO_SHARE_SHARE_WEEK_THOM" vbProcedure="false">"c5274"</definedName>
    <definedName function="false" hidden="true" name="IQ_PERCENT_CHANGE_EST_FFO_SHARE_WEEK_REUT" vbProcedure="false">"c3964"</definedName>
    <definedName function="false" hidden="true" name="IQ_PERCENT_CHANGE_EST_FFO_WEEK" vbProcedure="false">"c1823"</definedName>
    <definedName function="false" hidden="true" name="IQ_PERCENT_CHANGE_EST_FFO_WEEK_CIQ" vbProcedure="false">"c3795"</definedName>
    <definedName function="false" hidden="true" name="IQ_PERCENT_CHANGE_EST_FFO_WEEK_REUT" vbProcedure="false">"c3964"</definedName>
    <definedName function="false" hidden="true" name="IQ_PERCENT_CHANGE_EST_FFO_WEEK_THOM" vbProcedure="false">"c5274"</definedName>
    <definedName function="false" hidden="true" name="IQ_PERCENT_CHANGE_EST_PRICE_TARGET_12MONTHS_REUT" vbProcedure="false">"c3952"</definedName>
    <definedName function="false" hidden="true" name="IQ_PERCENT_CHANGE_EST_PRICE_TARGET_18MONTHS_REUT" vbProcedure="false">"c3953"</definedName>
    <definedName function="false" hidden="true" name="IQ_PERCENT_CHANGE_EST_PRICE_TARGET_3MONTHS_REUT" vbProcedure="false">"c3949"</definedName>
    <definedName function="false" hidden="true" name="IQ_PERCENT_CHANGE_EST_PRICE_TARGET_6MONTHS_REUT" vbProcedure="false">"c3950"</definedName>
    <definedName function="false" hidden="true" name="IQ_PERCENT_CHANGE_EST_PRICE_TARGET_9MONTHS_REUT" vbProcedure="false">"c3951"</definedName>
    <definedName function="false" hidden="true" name="IQ_PERCENT_CHANGE_EST_PRICE_TARGET_DAY_REUT" vbProcedure="false">"c3947"</definedName>
    <definedName function="false" hidden="true" name="IQ_PERCENT_CHANGE_EST_PRICE_TARGET_MONTH_REUT" vbProcedure="false">"c3948"</definedName>
    <definedName function="false" hidden="true" name="IQ_PERCENT_CHANGE_EST_PRICE_TARGET_WEEK_REUT" vbProcedure="false">"c3967"</definedName>
    <definedName function="false" hidden="true" name="IQ_PERCENT_CHANGE_EST_RECO_12MONTHS_REUT" vbProcedure="false">"c3945"</definedName>
    <definedName function="false" hidden="true" name="IQ_PERCENT_CHANGE_EST_RECO_18MONTHS_REUT" vbProcedure="false">"c3946"</definedName>
    <definedName function="false" hidden="true" name="IQ_PERCENT_CHANGE_EST_RECO_3MONTHS_REUT" vbProcedure="false">"c3942"</definedName>
    <definedName function="false" hidden="true" name="IQ_PERCENT_CHANGE_EST_RECO_6MONTHS_REUT" vbProcedure="false">"c3943"</definedName>
    <definedName function="false" hidden="true" name="IQ_PERCENT_CHANGE_EST_RECO_9MONTHS_REUT" vbProcedure="false">"c3944"</definedName>
    <definedName function="false" hidden="true" name="IQ_PERCENT_CHANGE_EST_RECO_DAY_REUT" vbProcedure="false">"c3940"</definedName>
    <definedName function="false" hidden="true" name="IQ_PERCENT_CHANGE_EST_RECO_MONTH_REUT" vbProcedure="false">"c3941"</definedName>
    <definedName function="false" hidden="true" name="IQ_PERCENT_CHANGE_EST_RECO_WEEK_REUT" vbProcedure="false">"c3966"</definedName>
    <definedName function="false" hidden="true" name="IQ_PERCENT_CHANGE_EST_REV_12MONTHS_REUT" vbProcedure="false">"c3910"</definedName>
    <definedName function="false" hidden="true" name="IQ_PERCENT_CHANGE_EST_REV_18MONTHS_REUT" vbProcedure="false">"c3911"</definedName>
    <definedName function="false" hidden="true" name="IQ_PERCENT_CHANGE_EST_REV_3MONTHS_REUT" vbProcedure="false">"c3907"</definedName>
    <definedName function="false" hidden="true" name="IQ_PERCENT_CHANGE_EST_REV_6MONTHS_REUT" vbProcedure="false">"c3908"</definedName>
    <definedName function="false" hidden="true" name="IQ_PERCENT_CHANGE_EST_REV_9MONTHS_REUT" vbProcedure="false">"c3909"</definedName>
    <definedName function="false" hidden="true" name="IQ_PERCENT_CHANGE_EST_REV_DAY_REUT" vbProcedure="false">"c3904"</definedName>
    <definedName function="false" hidden="true" name="IQ_PERCENT_CHANGE_EST_REV_MONTH_REUT" vbProcedure="false">"c3906"</definedName>
    <definedName function="false" hidden="true" name="IQ_PERCENT_CHANGE_EST_REV_WEEK_REUT" vbProcedure="false">"c3905"</definedName>
    <definedName function="false" hidden="true" name="IQ_PERCENT_FLOAT" vbProcedure="false">"c227"</definedName>
    <definedName function="false" hidden="true" name="IQ_PERCENT_INSURED_FDIC" vbProcedure="false">"c6374"</definedName>
    <definedName function="false" hidden="true" name="IQ_PERIODDATE" vbProcedure="false">"c1034"</definedName>
    <definedName function="false" hidden="true" name="IQ_PERIODDATE_BS" vbProcedure="false">"c1032"</definedName>
    <definedName function="false" hidden="true" name="IQ_PERIODDATE_CF" vbProcedure="false">"c1033"</definedName>
    <definedName function="false" hidden="true" name="IQ_PERIODDATE_FDIC" vbProcedure="false">"c13646"</definedName>
    <definedName function="false" hidden="true" name="IQ_PERIODDATE_IS" vbProcedure="false">"c1034"</definedName>
    <definedName function="false" hidden="true" name="IQ_PERIODLENGTH_CF" vbProcedure="false">"c1502"</definedName>
    <definedName function="false" hidden="true" name="IQ_PERIODLENGTH_IS" vbProcedure="false">"c1503"</definedName>
    <definedName function="false" hidden="true" name="IQ_PERTYPE" vbProcedure="false">"c1611"</definedName>
    <definedName function="false" hidden="true" name="IQ_PE_EXCL" vbProcedure="false">"c1028"</definedName>
    <definedName function="false" hidden="true" name="IQ_PE_EXCL_AVG" vbProcedure="false">"c1029"</definedName>
    <definedName function="false" hidden="true" name="IQ_PE_EXCL_FWD" vbProcedure="false">"c1030"</definedName>
    <definedName function="false" hidden="true" name="IQ_PE_EXCL_FWD_REUT" vbProcedure="false">"c4049"</definedName>
    <definedName function="false" hidden="true" name="IQ_PE_RATIO" vbProcedure="false">"c1610"</definedName>
    <definedName function="false" hidden="true" name="IQ_PLEDGED_SECURITIES_FDIC" vbProcedure="false">"c6401"</definedName>
    <definedName function="false" hidden="true" name="IQ_POLICY_BENEFITS" vbProcedure="false">"c1036"</definedName>
    <definedName function="false" hidden="true" name="IQ_POLICY_COST" vbProcedure="false">"c1037"</definedName>
    <definedName function="false" hidden="true" name="IQ_POLICY_LIAB" vbProcedure="false">"c1612"</definedName>
    <definedName function="false" hidden="true" name="IQ_POLICY_LOANS" vbProcedure="false">"c1038"</definedName>
    <definedName function="false" hidden="true" name="IQ_POST_RETIRE_EXP" vbProcedure="false">"c1039"</definedName>
    <definedName function="false" hidden="true" name="IQ_POTENTIAL_UPSIDE_REUT" vbProcedure="false">"c3968"</definedName>
    <definedName function="false" hidden="true" name="IQ_PREFERRED_DEPOSITS_FFIEC" vbProcedure="false">"c15312"</definedName>
    <definedName function="false" hidden="true" name="IQ_PREFERRED_FDIC" vbProcedure="false">"c6349"</definedName>
    <definedName function="false" hidden="true" name="IQ_PREF_CONVERT" vbProcedure="false">"c1041"</definedName>
    <definedName function="false" hidden="true" name="IQ_PREF_DIVID" vbProcedure="false">"c1461"</definedName>
    <definedName function="false" hidden="true" name="IQ_PREF_DIV_CF" vbProcedure="false">"c1042"</definedName>
    <definedName function="false" hidden="true" name="IQ_PREF_DIV_OTHER" vbProcedure="false">"c1043"</definedName>
    <definedName function="false" hidden="true" name="IQ_PREF_EQUITY" vbProcedure="false">"c1044"</definedName>
    <definedName function="false" hidden="true" name="IQ_PREF_ISSUED" vbProcedure="false">"c1045"</definedName>
    <definedName function="false" hidden="true" name="IQ_PREF_ISSUED_BNK" vbProcedure="false">"c1046"</definedName>
    <definedName function="false" hidden="true" name="IQ_PREF_ISSUED_BR" vbProcedure="false">"c1047"</definedName>
    <definedName function="false" hidden="true" name="IQ_PREF_ISSUED_FIN" vbProcedure="false">"c1048"</definedName>
    <definedName function="false" hidden="true" name="IQ_PREF_ISSUED_INS" vbProcedure="false">"c1049"</definedName>
    <definedName function="false" hidden="true" name="IQ_PREF_ISSUED_REIT" vbProcedure="false">"c1050"</definedName>
    <definedName function="false" hidden="true" name="IQ_PREF_ISSUED_UTI" vbProcedure="false">"c1051"</definedName>
    <definedName function="false" hidden="true" name="IQ_PREF_NON_REDEEM" vbProcedure="false">"c1052"</definedName>
    <definedName function="false" hidden="true" name="IQ_PREF_OTHER" vbProcedure="false">"c1053"</definedName>
    <definedName function="false" hidden="true" name="IQ_PREF_OTHER_BNK" vbProcedure="false">"c1054"</definedName>
    <definedName function="false" hidden="true" name="IQ_PREF_OTHER_BR" vbProcedure="false">"c1055"</definedName>
    <definedName function="false" hidden="true" name="IQ_PREF_OTHER_FIN" vbProcedure="false">"c1056"</definedName>
    <definedName function="false" hidden="true" name="IQ_PREF_OTHER_INS" vbProcedure="false">"c1057"</definedName>
    <definedName function="false" hidden="true" name="IQ_PREF_OTHER_REIT" vbProcedure="false">"c1058"</definedName>
    <definedName function="false" hidden="true" name="IQ_PREF_REDEEM" vbProcedure="false">"c1059"</definedName>
    <definedName function="false" hidden="true" name="IQ_PREF_REP" vbProcedure="false">"c1060"</definedName>
    <definedName function="false" hidden="true" name="IQ_PREF_REP_BNK" vbProcedure="false">"c1061"</definedName>
    <definedName function="false" hidden="true" name="IQ_PREF_REP_BR" vbProcedure="false">"c1062"</definedName>
    <definedName function="false" hidden="true" name="IQ_PREF_REP_FIN" vbProcedure="false">"c1063"</definedName>
    <definedName function="false" hidden="true" name="IQ_PREF_REP_INS" vbProcedure="false">"c1064"</definedName>
    <definedName function="false" hidden="true" name="IQ_PREF_REP_REIT" vbProcedure="false">"c1065"</definedName>
    <definedName function="false" hidden="true" name="IQ_PREF_REP_UTI" vbProcedure="false">"c1066"</definedName>
    <definedName function="false" hidden="true" name="IQ_PREF_STOCK" vbProcedure="false">"c1052"</definedName>
    <definedName function="false" hidden="true" name="IQ_PREF_TOT" vbProcedure="false">"c1044"</definedName>
    <definedName function="false" hidden="true" name="IQ_PREMISES_EQUIPMENT_FDIC" vbProcedure="false">"c6577"</definedName>
    <definedName function="false" hidden="true" name="IQ_PREMIUMS_ANNUITY_REV" vbProcedure="false">"c1067"</definedName>
    <definedName function="false" hidden="true" name="IQ_PREPAID_EXP" vbProcedure="false">"c1068"</definedName>
    <definedName function="false" hidden="true" name="IQ_PREPAID_EXPEN" vbProcedure="false">"c1068"</definedName>
    <definedName function="false" hidden="true" name="IQ_PRESIDENT_ID" vbProcedure="false">"c15216"</definedName>
    <definedName function="false" hidden="true" name="IQ_PRESIDENT_NAME" vbProcedure="false">"c15215"</definedName>
    <definedName function="false" hidden="true" name="IQ_PRETAX_GW_INC_DET_EST_CURRENCY_REUT" vbProcedure="false">"c12531"</definedName>
    <definedName function="false" hidden="true" name="IQ_PRETAX_GW_INC_DET_EST_DATE_REUT" vbProcedure="false">"c12290"</definedName>
    <definedName function="false" hidden="true" name="IQ_PRETAX_GW_INC_DET_EST_INCL_REUT" vbProcedure="false">"c12414"</definedName>
    <definedName function="false" hidden="true" name="IQ_PRETAX_GW_INC_DET_EST_ORIGIN_REUT" vbProcedure="false">"c12658"</definedName>
    <definedName function="false" hidden="true" name="IQ_PRETAX_GW_INC_DET_EST_REUT" vbProcedure="false">"c12148"</definedName>
    <definedName function="false" hidden="true" name="IQ_PRETAX_GW_INC_EST_REUT" vbProcedure="false">"c5354"</definedName>
    <definedName function="false" hidden="true" name="IQ_PRETAX_GW_INC_HIGH_EST_REUT" vbProcedure="false">"c5356"</definedName>
    <definedName function="false" hidden="true" name="IQ_PRETAX_GW_INC_LOW_EST_REUT" vbProcedure="false">"c5357"</definedName>
    <definedName function="false" hidden="true" name="IQ_PRETAX_GW_INC_MEDIAN_EST_REUT" vbProcedure="false">"c5355"</definedName>
    <definedName function="false" hidden="true" name="IQ_PRETAX_GW_INC_NUM_EST_REUT" vbProcedure="false">"c5358"</definedName>
    <definedName function="false" hidden="true" name="IQ_PRETAX_GW_INC_STDDEV_EST_REUT" vbProcedure="false">"c5359"</definedName>
    <definedName function="false" hidden="true" name="IQ_PRETAX_INC" vbProcedure="false">"IQ_PRETAX_INC"</definedName>
    <definedName function="false" hidden="true" name="IQ_PRETAX_INC_10K" vbProcedure="false">"PRETAX_INC_10K"</definedName>
    <definedName function="false" hidden="true" name="IQ_PRETAX_INC_10Q" vbProcedure="false">"PRETAX_INC_10Q"</definedName>
    <definedName function="false" hidden="true" name="IQ_PRETAX_INC_10Q1" vbProcedure="false">"PRETAX_INC_10Q1"</definedName>
    <definedName function="false" hidden="true" name="IQ_PRETAX_INC_AFTER_CAP_ALLOCATION_FOREIGN_FFIEC" vbProcedure="false">"c15390"</definedName>
    <definedName function="false" hidden="true" name="IQ_PRETAX_INC_BEFORE_CAP_ALLOCATION_FOREIGN_FFIEC" vbProcedure="false">"c15388"</definedName>
    <definedName function="false" hidden="true" name="IQ_PRETAX_INC_DET_EST_CURRENCY_REUT" vbProcedure="false">"c12530"</definedName>
    <definedName function="false" hidden="true" name="IQ_PRETAX_INC_DET_EST_DATE_REUT" vbProcedure="false">"c12289"</definedName>
    <definedName function="false" hidden="true" name="IQ_PRETAX_INC_DET_EST_INCL_REUT" vbProcedure="false">"c12413"</definedName>
    <definedName function="false" hidden="true" name="IQ_PRETAX_INC_DET_EST_ORIGIN_REUT" vbProcedure="false">"c12657"</definedName>
    <definedName function="false" hidden="true" name="IQ_PRETAX_INC_DET_EST_REUT" vbProcedure="false">"c12147"</definedName>
    <definedName function="false" hidden="true" name="IQ_PRETAX_INC_EST_REUT" vbProcedure="false">"c5347"</definedName>
    <definedName function="false" hidden="true" name="IQ_PRETAX_INC_HIGH_EST_REUT" vbProcedure="false">"c5349"</definedName>
    <definedName function="false" hidden="true" name="IQ_PRETAX_INC_LOW_EST_REUT" vbProcedure="false">"c5350"</definedName>
    <definedName function="false" hidden="true" name="IQ_PRETAX_INC_MEDIAN_EST_REUT" vbProcedure="false">"c5348"</definedName>
    <definedName function="false" hidden="true" name="IQ_PRETAX_INC_NUM_EST_REUT" vbProcedure="false">"c5351"</definedName>
    <definedName function="false" hidden="true" name="IQ_PRETAX_INC_STDDEV_EST_REUT" vbProcedure="false">"c5352"</definedName>
    <definedName function="false" hidden="true" name="IQ_PRETAX_REPORT_INC_DET_EST_CURRENCY_REUT" vbProcedure="false">"c12532"</definedName>
    <definedName function="false" hidden="true" name="IQ_PRETAX_REPORT_INC_DET_EST_DATE_REUT" vbProcedure="false">"c12291"</definedName>
    <definedName function="false" hidden="true" name="IQ_PRETAX_REPORT_INC_DET_EST_INCL_REUT" vbProcedure="false">"c12415"</definedName>
    <definedName function="false" hidden="true" name="IQ_PRETAX_REPORT_INC_DET_EST_ORIGIN_REUT" vbProcedure="false">"c12769"</definedName>
    <definedName function="false" hidden="true" name="IQ_PRETAX_REPORT_INC_DET_EST_REUT" vbProcedure="false">"c12149"</definedName>
    <definedName function="false" hidden="true" name="IQ_PRETAX_REPORT_INC_EST_REUT" vbProcedure="false">"c5361"</definedName>
    <definedName function="false" hidden="true" name="IQ_PRETAX_REPORT_INC_HIGH_EST_REUT" vbProcedure="false">"c5363"</definedName>
    <definedName function="false" hidden="true" name="IQ_PRETAX_REPORT_INC_LOW_EST_REUT" vbProcedure="false">"c5364"</definedName>
    <definedName function="false" hidden="true" name="IQ_PRETAX_REPORT_INC_MEDIAN_EST_REUT" vbProcedure="false">"c5362"</definedName>
    <definedName function="false" hidden="true" name="IQ_PRETAX_REPORT_INC_NUM_EST_REUT" vbProcedure="false">"c5365"</definedName>
    <definedName function="false" hidden="true" name="IQ_PRETAX_REPORT_INC_STDDEV_EST_REUT" vbProcedure="false">"c5366"</definedName>
    <definedName function="false" hidden="true" name="IQ_PRETAX_RETURN_ASSETS_FDIC" vbProcedure="false">"c6731"</definedName>
    <definedName function="false" hidden="true" name="IQ_PRE_OPEN_COST" vbProcedure="false">"c1040"</definedName>
    <definedName function="false" hidden="true" name="IQ_PRE_TAX_ACT_OR_EST_REUT" vbProcedure="false">"c5467"</definedName>
    <definedName function="false" hidden="true" name="IQ_PRE_TAX_INCOME_FDIC" vbProcedure="false">"c6581"</definedName>
    <definedName function="false" hidden="true" name="IQ_PRICEDATE" vbProcedure="false">"c1069"</definedName>
    <definedName function="false" hidden="true" name="IQ_PRICEDATETIME" vbProcedure="false">"IQ_PRICEDATETIME"</definedName>
    <definedName function="false" hidden="true" name="IQ_PRICE_CFPS_FWD_REUT" vbProcedure="false">"c4053"</definedName>
    <definedName function="false" hidden="true" name="IQ_PRICE_OVER_BVPS" vbProcedure="false">"c1026"</definedName>
    <definedName function="false" hidden="true" name="IQ_PRICE_OVER_EPS_EST" vbProcedure="false">"IQ_PRICE_OVER_EPS_EST"</definedName>
    <definedName function="false" hidden="true" name="IQ_PRICE_OVER_EPS_EST_1" vbProcedure="false">"IQ_PRICE_OVER_EPS_EST_1"</definedName>
    <definedName function="false" hidden="true" name="IQ_PRICE_OVER_LTM_EPS" vbProcedure="false">"c1029"</definedName>
    <definedName function="false" hidden="true" name="IQ_PRICE_TARGET_BOTTOM_UP_REUT" vbProcedure="false">"c5494"</definedName>
    <definedName function="false" hidden="true" name="IQ_PRICE_TARGET_REUT" vbProcedure="false">"c3631"</definedName>
    <definedName function="false" hidden="true" name="IQ_PRICING_DATE" vbProcedure="false">"c1613"</definedName>
    <definedName function="false" hidden="true" name="IQ_PRIMARY_EPS_TYPE_REUT" vbProcedure="false">"c5481"</definedName>
    <definedName function="false" hidden="true" name="IQ_PRIMARY_EPS_TYPE_THOM" vbProcedure="false">"c5297"</definedName>
    <definedName function="false" hidden="true" name="IQ_PRIMARY_INDUSTRY" vbProcedure="false">"c1070"</definedName>
    <definedName function="false" hidden="true" name="IQ_PRIVATELY_ISSUED_MORTGAGE_BACKED_SECURITIES_FDIC" vbProcedure="false">"c6407"</definedName>
    <definedName function="false" hidden="true" name="IQ_PRIVATELY_ISSUED_MORTGAGE_PASS_THROUGHS_FDIC" vbProcedure="false">"c6405"</definedName>
    <definedName function="false" hidden="true" name="IQ_PRIVATE_CONST_TOTAL_APR_FC_UNUSED_UNUSED_UNUSED" vbProcedure="false">"c8559"</definedName>
    <definedName function="false" hidden="true" name="IQ_PRIVATE_CONST_TOTAL_APR_UNUSED_UNUSED_UNUSED" vbProcedure="false">"c7679"</definedName>
    <definedName function="false" hidden="true" name="IQ_PRIVATE_CONST_TOTAL_FC_UNUSED_UNUSED_UNUSED" vbProcedure="false">"c7899"</definedName>
    <definedName function="false" hidden="true" name="IQ_PRIVATE_CONST_TOTAL_POP_FC_UNUSED_UNUSED_UNUSED" vbProcedure="false">"c8119"</definedName>
    <definedName function="false" hidden="true" name="IQ_PRIVATE_CONST_TOTAL_POP_UNUSED_UNUSED_UNUSED" vbProcedure="false">"c7239"</definedName>
    <definedName function="false" hidden="true" name="IQ_PRIVATE_CONST_TOTAL_UNUSED_UNUSED_UNUSED" vbProcedure="false">"c7019"</definedName>
    <definedName function="false" hidden="true" name="IQ_PRIVATE_CONST_TOTAL_YOY_FC_UNUSED_UNUSED_UNUSED" vbProcedure="false">"c8339"</definedName>
    <definedName function="false" hidden="true" name="IQ_PRIVATE_CONST_TOTAL_YOY_UNUSED_UNUSED_UNUSED" vbProcedure="false">"c7459"</definedName>
    <definedName function="false" hidden="true" name="IQ_PRIVATE_RES_CONST_REAL_APR_FC_UNUSED_UNUSED_UNUSED" vbProcedure="false">"c8535"</definedName>
    <definedName function="false" hidden="true" name="IQ_PRIVATE_RES_CONST_REAL_APR_UNUSED_UNUSED_UNUSED" vbProcedure="false">"c7655"</definedName>
    <definedName function="false" hidden="true" name="IQ_PRIVATE_RES_CONST_REAL_FC_UNUSED_UNUSED_UNUSED" vbProcedure="false">"c7875"</definedName>
    <definedName function="false" hidden="true" name="IQ_PRIVATE_RES_CONST_REAL_POP_FC_UNUSED_UNUSED_UNUSED" vbProcedure="false">"c8095"</definedName>
    <definedName function="false" hidden="true" name="IQ_PRIVATE_RES_CONST_REAL_POP_UNUSED_UNUSED_UNUSED" vbProcedure="false">"c7215"</definedName>
    <definedName function="false" hidden="true" name="IQ_PRIVATE_RES_CONST_REAL_UNUSED_UNUSED_UNUSED" vbProcedure="false">"c6995"</definedName>
    <definedName function="false" hidden="true" name="IQ_PRIVATE_RES_CONST_REAL_YOY_FC_UNUSED_UNUSED_UNUSED" vbProcedure="false">"c8315"</definedName>
    <definedName function="false" hidden="true" name="IQ_PRIVATE_RES_CONST_REAL_YOY_UNUSED_UNUSED_UNUSED" vbProcedure="false">"c7435"</definedName>
    <definedName function="false" hidden="true" name="IQ_PROFESSIONAL" vbProcedure="false">"c1071"</definedName>
    <definedName function="false" hidden="true" name="IQ_PROFESSIONAL_ASSISTANT_EMAIL" vbProcedure="false">"c15169"</definedName>
    <definedName function="false" hidden="true" name="IQ_PROFESSIONAL_ASSISTANT_FAX" vbProcedure="false">"c15171"</definedName>
    <definedName function="false" hidden="true" name="IQ_PROFESSIONAL_ASSISTANT_NAME" vbProcedure="false">"c15168"</definedName>
    <definedName function="false" hidden="true" name="IQ_PROFESSIONAL_ASSISTANT_PHONE" vbProcedure="false">"c15170"</definedName>
    <definedName function="false" hidden="true" name="IQ_PROFESSIONAL_BACKGROUND" vbProcedure="false">"c15161"</definedName>
    <definedName function="false" hidden="true" name="IQ_PROFESSIONAL_DIRECT_FAX" vbProcedure="false">"c15166"</definedName>
    <definedName function="false" hidden="true" name="IQ_PROFESSIONAL_DIRECT_PHONE" vbProcedure="false">"c15165"</definedName>
    <definedName function="false" hidden="true" name="IQ_PROFESSIONAL_EMAIL" vbProcedure="false">"c15167"</definedName>
    <definedName function="false" hidden="true" name="IQ_PROFESSIONAL_MAIN_FAX" vbProcedure="false">"c15164"</definedName>
    <definedName function="false" hidden="true" name="IQ_PROFESSIONAL_MAIN_PHONE" vbProcedure="false">"c15163"</definedName>
    <definedName function="false" hidden="true" name="IQ_PROFESSIONAL_OFFICE_ADDRESS" vbProcedure="false">"c15162"</definedName>
    <definedName function="false" hidden="true" name="IQ_PROFESSIONAL_TITLE" vbProcedure="false">"c1072"</definedName>
    <definedName function="false" hidden="true" name="IQ_PROPERTY_EXP" vbProcedure="false">"c1073"</definedName>
    <definedName function="false" hidden="true" name="IQ_PROPERTY_GROSS" vbProcedure="false">"c518"</definedName>
    <definedName function="false" hidden="true" name="IQ_PROPERTY_MGMT_FEE" vbProcedure="false">"c1074"</definedName>
    <definedName function="false" hidden="true" name="IQ_PROPERTY_NET" vbProcedure="false">"c829"</definedName>
    <definedName function="false" hidden="true" name="IQ_PROVISION_10YR_ANN_GROWTH" vbProcedure="false">"c1077"</definedName>
    <definedName function="false" hidden="true" name="IQ_PROVISION_1YR_ANN_GROWTH" vbProcedure="false">"c1078"</definedName>
    <definedName function="false" hidden="true" name="IQ_PROVISION_2YR_ANN_GROWTH" vbProcedure="false">"c1079"</definedName>
    <definedName function="false" hidden="true" name="IQ_PROVISION_3YR_ANN_GROWTH" vbProcedure="false">"c1080"</definedName>
    <definedName function="false" hidden="true" name="IQ_PROVISION_5YR_ANN_GROWTH" vbProcedure="false">"c1081"</definedName>
    <definedName function="false" hidden="true" name="IQ_PROVISION_7YR_ANN_GROWTH" vbProcedure="false">"c1082"</definedName>
    <definedName function="false" hidden="true" name="IQ_PROVISION_CHARGE_OFFS" vbProcedure="false">"c1083"</definedName>
    <definedName function="false" hidden="true" name="IQ_PROV_BAD_DEBTS" vbProcedure="false">"c1075"</definedName>
    <definedName function="false" hidden="true" name="IQ_PROV_BAD_DEBTS_CF" vbProcedure="false">"c1076"</definedName>
    <definedName function="false" hidden="true" name="IQ_PRO_FORMA_BASIC_EPS" vbProcedure="false">"c1614"</definedName>
    <definedName function="false" hidden="true" name="IQ_PRO_FORMA_DILUT_EPS" vbProcedure="false">"c1615"</definedName>
    <definedName function="false" hidden="true" name="IQ_PRO_FORMA_NET_INC" vbProcedure="false">"c795"</definedName>
    <definedName function="false" hidden="true" name="IQ_PTBV" vbProcedure="false">"c1084"</definedName>
    <definedName function="false" hidden="true" name="IQ_PTBV_AVG" vbProcedure="false">"c1085"</definedName>
    <definedName function="false" hidden="true" name="IQ_PURCHASED_OPTION_CONTRACTS_FDIC" vbProcedure="false">"c6510"</definedName>
    <definedName function="false" hidden="true" name="IQ_PURCHASED_OPTION_CONTRACTS_FX_RISK_FDIC" vbProcedure="false">"c6515"</definedName>
    <definedName function="false" hidden="true" name="IQ_PURCHASED_OPTION_CONTRACTS_NON_FX_IR_FDIC" vbProcedure="false">"c6520"</definedName>
    <definedName function="false" hidden="true" name="IQ_PURCHASES_EQUIP_NONRES_SAAR_APR_FC_UNUSED_UNUSED_UNUSED" vbProcedure="false">"c8491"</definedName>
    <definedName function="false" hidden="true" name="IQ_PURCHASES_EQUIP_NONRES_SAAR_APR_UNUSED_UNUSED_UNUSED" vbProcedure="false">"c7611"</definedName>
    <definedName function="false" hidden="true" name="IQ_PURCHASES_EQUIP_NONRES_SAAR_FC_UNUSED_UNUSED_UNUSED" vbProcedure="false">"c7831"</definedName>
    <definedName function="false" hidden="true" name="IQ_PURCHASES_EQUIP_NONRES_SAAR_POP_FC_UNUSED_UNUSED_UNUSED" vbProcedure="false">"c8051"</definedName>
    <definedName function="false" hidden="true" name="IQ_PURCHASES_EQUIP_NONRES_SAAR_POP_UNUSED_UNUSED_UNUSED" vbProcedure="false">"c7171"</definedName>
    <definedName function="false" hidden="true" name="IQ_PURCHASES_EQUIP_NONRES_SAAR_UNUSED_UNUSED_UNUSED" vbProcedure="false">"c6951"</definedName>
    <definedName function="false" hidden="true" name="IQ_PURCHASES_EQUIP_NONRES_SAAR_YOY_FC_UNUSED_UNUSED_UNUSED" vbProcedure="false">"c8271"</definedName>
    <definedName function="false" hidden="true" name="IQ_PURCHASES_EQUIP_NONRES_SAAR_YOY_UNUSED_UNUSED_UNUSED" vbProcedure="false">"c7391"</definedName>
    <definedName function="false" hidden="true" name="IQ_PURCHASE_FOREIGN_CURRENCIES_FDIC" vbProcedure="false">"c6513"</definedName>
    <definedName function="false" hidden="true" name="IQ_QTD" vbProcedure="false">750000</definedName>
    <definedName function="false" hidden="true" name="IQ_QUICK_RATIO" vbProcedure="false">"c1086"</definedName>
    <definedName function="false" hidden="true" name="IQ_RATE_COMP_GROWTH_DOMESTIC" vbProcedure="false">"c1087"</definedName>
    <definedName function="false" hidden="true" name="IQ_RATE_COMP_GROWTH_FOREIGN" vbProcedure="false">"c1088"</definedName>
    <definedName function="false" hidden="true" name="IQ_RAW_INV" vbProcedure="false">"c1089"</definedName>
    <definedName function="false" hidden="true" name="IQ_RD_EXP" vbProcedure="false">"c1090"</definedName>
    <definedName function="false" hidden="true" name="IQ_RD_EXP_FN" vbProcedure="false">"c1091"</definedName>
    <definedName function="false" hidden="true" name="IQ_RE" vbProcedure="false">"c1092"</definedName>
    <definedName function="false" hidden="true" name="IQ_REAL_ESTATE" vbProcedure="false">"c1093"</definedName>
    <definedName function="false" hidden="true" name="IQ_REAL_ESTATE_ASSETS" vbProcedure="false">"c1094"</definedName>
    <definedName function="false" hidden="true" name="IQ_RECOVERIES_1_4_FAMILY_LOANS_FDIC" vbProcedure="false">"c6707"</definedName>
    <definedName function="false" hidden="true" name="IQ_RECOVERIES_AUTO_LOANS_FDIC" vbProcedure="false">"c6701"</definedName>
    <definedName function="false" hidden="true" name="IQ_RECOVERIES_CL_LOANS_FDIC" vbProcedure="false">"c6702"</definedName>
    <definedName function="false" hidden="true" name="IQ_RECOVERIES_CREDIT_CARDS_RECEIVABLES_FDIC" vbProcedure="false">"c6704"</definedName>
    <definedName function="false" hidden="true" name="IQ_RECOVERIES_HOME_EQUITY_LINES_FDIC" vbProcedure="false">"c6705"</definedName>
    <definedName function="false" hidden="true" name="IQ_RECOVERIES_OTHER_CONSUMER_LOANS_FDIC" vbProcedure="false">"c6703"</definedName>
    <definedName function="false" hidden="true" name="IQ_RECOVERIES_OTHER_LOANS_FDIC" vbProcedure="false">"c6706"</definedName>
    <definedName function="false" hidden="true" name="IQ_REDEEM_PREF_STOCK" vbProcedure="false">"c1059"</definedName>
    <definedName function="false" hidden="true" name="IQ_REG_ASSETS" vbProcedure="false">"c1095"</definedName>
    <definedName function="false" hidden="true" name="IQ_REINSURANCE" vbProcedure="false">"c1100"</definedName>
    <definedName function="false" hidden="true" name="IQ_REINSUR_PAY" vbProcedure="false">"c1096"</definedName>
    <definedName function="false" hidden="true" name="IQ_REINSUR_PAY_CF" vbProcedure="false">"c1097"</definedName>
    <definedName function="false" hidden="true" name="IQ_REINSUR_RECOVER" vbProcedure="false">"c1098"</definedName>
    <definedName function="false" hidden="true" name="IQ_REINSUR_RECOVER_CF" vbProcedure="false">"c1099"</definedName>
    <definedName function="false" hidden="true" name="IQ_RELATED_PLANS_FDIC" vbProcedure="false">"c6320"</definedName>
    <definedName function="false" hidden="true" name="IQ_RENTAL_REV" vbProcedure="false">"c1101"</definedName>
    <definedName function="false" hidden="true" name="IQ_RESEARCH_DEV" vbProcedure="false">"c1090"</definedName>
    <definedName function="false" hidden="true" name="IQ_RESIDENTIAL_LOANS" vbProcedure="false">"c1102"</definedName>
    <definedName function="false" hidden="true" name="IQ_RESTATEMENTS_NET_FDIC" vbProcedure="false">"c6500"</definedName>
    <definedName function="false" hidden="true" name="IQ_RESTATEMENT_BS" vbProcedure="false">"c1643"</definedName>
    <definedName function="false" hidden="true" name="IQ_RESTATEMENT_CF" vbProcedure="false">"c1644"</definedName>
    <definedName function="false" hidden="true" name="IQ_RESTATEMENT_IS" vbProcedure="false">"c1642"</definedName>
    <definedName function="false" hidden="true" name="IQ_RESTRICTED_CASH" vbProcedure="false">"c1103"</definedName>
    <definedName function="false" hidden="true" name="IQ_RESTRUCTURE" vbProcedure="false">"c1104"</definedName>
    <definedName function="false" hidden="true" name="IQ_RESTRUCTURED_LOANS" vbProcedure="false">"c1112"</definedName>
    <definedName function="false" hidden="true" name="IQ_RESTRUCTURED_LOANS_1_4_RESIDENTIAL_FDIC" vbProcedure="false">"c6378"</definedName>
    <definedName function="false" hidden="true" name="IQ_RESTRUCTURED_LOANS_LEASES_FDIC" vbProcedure="false">"c6377"</definedName>
    <definedName function="false" hidden="true" name="IQ_RESTRUCTURED_LOANS_NON_1_4_FDIC" vbProcedure="false">"c6379"</definedName>
    <definedName function="false" hidden="true" name="IQ_RESTRUCTURE_BNK" vbProcedure="false">"c1105"</definedName>
    <definedName function="false" hidden="true" name="IQ_RESTRUCTURE_BR" vbProcedure="false">"c1106"</definedName>
    <definedName function="false" hidden="true" name="IQ_RESTRUCTURE_CF" vbProcedure="false">"c1107"</definedName>
    <definedName function="false" hidden="true" name="IQ_RESTRUCTURE_FIN" vbProcedure="false">"c1108"</definedName>
    <definedName function="false" hidden="true" name="IQ_RESTRUCTURE_INS" vbProcedure="false">"c1109"</definedName>
    <definedName function="false" hidden="true" name="IQ_RESTRUCTURE_REIT" vbProcedure="false">"c1110"</definedName>
    <definedName function="false" hidden="true" name="IQ_RESTRUCTURE_UTI" vbProcedure="false">"c1111"</definedName>
    <definedName function="false" hidden="true" name="IQ_RES_CONST_REAL_APR_FC_UNUSED_UNUSED_UNUSED" vbProcedure="false">"c8536"</definedName>
    <definedName function="false" hidden="true" name="IQ_RES_CONST_REAL_APR_UNUSED_UNUSED_UNUSED" vbProcedure="false">"c7656"</definedName>
    <definedName function="false" hidden="true" name="IQ_RES_CONST_REAL_FC_UNUSED_UNUSED_UNUSED" vbProcedure="false">"c7876"</definedName>
    <definedName function="false" hidden="true" name="IQ_RES_CONST_REAL_POP_FC_UNUSED_UNUSED_UNUSED" vbProcedure="false">"c8096"</definedName>
    <definedName function="false" hidden="true" name="IQ_RES_CONST_REAL_POP_UNUSED_UNUSED_UNUSED" vbProcedure="false">"c7216"</definedName>
    <definedName function="false" hidden="true" name="IQ_RES_CONST_REAL_SAAR_APR_FC_UNUSED_UNUSED_UNUSED" vbProcedure="false">"c8537"</definedName>
    <definedName function="false" hidden="true" name="IQ_RES_CONST_REAL_SAAR_APR_UNUSED_UNUSED_UNUSED" vbProcedure="false">"c7657"</definedName>
    <definedName function="false" hidden="true" name="IQ_RES_CONST_REAL_SAAR_FC_UNUSED_UNUSED_UNUSED" vbProcedure="false">"c7877"</definedName>
    <definedName function="false" hidden="true" name="IQ_RES_CONST_REAL_SAAR_POP_FC_UNUSED_UNUSED_UNUSED" vbProcedure="false">"c8097"</definedName>
    <definedName function="false" hidden="true" name="IQ_RES_CONST_REAL_SAAR_POP_UNUSED_UNUSED_UNUSED" vbProcedure="false">"c7217"</definedName>
    <definedName function="false" hidden="true" name="IQ_RES_CONST_REAL_SAAR_UNUSED_UNUSED_UNUSED" vbProcedure="false">"c6997"</definedName>
    <definedName function="false" hidden="true" name="IQ_RES_CONST_REAL_SAAR_YOY_FC_UNUSED_UNUSED_UNUSED" vbProcedure="false">"c8317"</definedName>
    <definedName function="false" hidden="true" name="IQ_RES_CONST_REAL_SAAR_YOY_UNUSED_UNUSED_UNUSED" vbProcedure="false">"c7437"</definedName>
    <definedName function="false" hidden="true" name="IQ_RES_CONST_REAL_UNUSED_UNUSED_UNUSED" vbProcedure="false">"c6996"</definedName>
    <definedName function="false" hidden="true" name="IQ_RES_CONST_REAL_YOY_FC_UNUSED_UNUSED_UNUSED" vbProcedure="false">"c8316"</definedName>
    <definedName function="false" hidden="true" name="IQ_RES_CONST_REAL_YOY_UNUSED_UNUSED_UNUSED" vbProcedure="false">"c7436"</definedName>
    <definedName function="false" hidden="true" name="IQ_RES_CONST_SAAR_APR_FC_UNUSED_UNUSED_UNUSED" vbProcedure="false">"c8540"</definedName>
    <definedName function="false" hidden="true" name="IQ_RES_CONST_SAAR_APR_UNUSED_UNUSED_UNUSED" vbProcedure="false">"c7660"</definedName>
    <definedName function="false" hidden="true" name="IQ_RES_CONST_SAAR_FC_UNUSED_UNUSED_UNUSED" vbProcedure="false">"c7880"</definedName>
    <definedName function="false" hidden="true" name="IQ_RES_CONST_SAAR_POP_FC_UNUSED_UNUSED_UNUSED" vbProcedure="false">"c8100"</definedName>
    <definedName function="false" hidden="true" name="IQ_RES_CONST_SAAR_POP_UNUSED_UNUSED_UNUSED" vbProcedure="false">"c7220"</definedName>
    <definedName function="false" hidden="true" name="IQ_RES_CONST_SAAR_UNUSED_UNUSED_UNUSED" vbProcedure="false">"c7000"</definedName>
    <definedName function="false" hidden="true" name="IQ_RES_CONST_SAAR_YOY_FC_UNUSED_UNUSED_UNUSED" vbProcedure="false">"c8320"</definedName>
    <definedName function="false" hidden="true" name="IQ_RES_CONST_SAAR_YOY_UNUSED_UNUSED_UNUSED" vbProcedure="false">"c7440"</definedName>
    <definedName function="false" hidden="true" name="IQ_RETAIL_DEPOSITS_FDIC" vbProcedure="false">"c6488"</definedName>
    <definedName function="false" hidden="true" name="IQ_RETAINED_EARN" vbProcedure="false">"c1092"</definedName>
    <definedName function="false" hidden="true" name="IQ_RETAINED_EARNINGS_AVERAGE_EQUITY_FDIC" vbProcedure="false">"c6733"</definedName>
    <definedName function="false" hidden="true" name="IQ_RETURN_ASSETS" vbProcedure="false">"c1113"</definedName>
    <definedName function="false" hidden="true" name="IQ_RETURN_ASSETS_ACT_OR_EST_REUT" vbProcedure="false">"c5475"</definedName>
    <definedName function="false" hidden="true" name="IQ_RETURN_ASSETS_BANK" vbProcedure="false">"c1114"</definedName>
    <definedName function="false" hidden="true" name="IQ_RETURN_ASSETS_BROK" vbProcedure="false">"c1115"</definedName>
    <definedName function="false" hidden="true" name="IQ_RETURN_ASSETS_DET_EST_DATE_REUT" vbProcedure="false">"c12304"</definedName>
    <definedName function="false" hidden="true" name="IQ_RETURN_ASSETS_DET_EST_INCL_REUT" vbProcedure="false">"c12428"</definedName>
    <definedName function="false" hidden="true" name="IQ_RETURN_ASSETS_DET_EST_ORIGIN_REUT" vbProcedure="false">"c12672"</definedName>
    <definedName function="false" hidden="true" name="IQ_RETURN_ASSETS_DET_EST_REUT" vbProcedure="false">"c12162"</definedName>
    <definedName function="false" hidden="true" name="IQ_RETURN_ASSETS_EST_REUT" vbProcedure="false">"c3990"</definedName>
    <definedName function="false" hidden="true" name="IQ_RETURN_ASSETS_FDIC" vbProcedure="false">"c6730"</definedName>
    <definedName function="false" hidden="true" name="IQ_RETURN_ASSETS_FS" vbProcedure="false">"c1116"</definedName>
    <definedName function="false" hidden="true" name="IQ_RETURN_ASSETS_HIGH_EST_REUT" vbProcedure="false">"c3992"</definedName>
    <definedName function="false" hidden="true" name="IQ_RETURN_ASSETS_LOW_EST_REUT" vbProcedure="false">"c3993"</definedName>
    <definedName function="false" hidden="true" name="IQ_RETURN_ASSETS_MEDIAN_EST_REUT" vbProcedure="false">"c3991"</definedName>
    <definedName function="false" hidden="true" name="IQ_RETURN_ASSETS_NUM_EST_REUT" vbProcedure="false">"c3994"</definedName>
    <definedName function="false" hidden="true" name="IQ_RETURN_ASSETS_STDDEV_EST_REUT" vbProcedure="false">"c3995"</definedName>
    <definedName function="false" hidden="true" name="IQ_RETURN_CAPITAL" vbProcedure="false">"c1117"</definedName>
    <definedName function="false" hidden="true" name="IQ_RETURN_EQUITY" vbProcedure="false">"c1118"</definedName>
    <definedName function="false" hidden="true" name="IQ_RETURN_EQUITY_ACT_OR_EST_REUT" vbProcedure="false">"c5476"</definedName>
    <definedName function="false" hidden="true" name="IQ_RETURN_EQUITY_BANK" vbProcedure="false">"c1119"</definedName>
    <definedName function="false" hidden="true" name="IQ_RETURN_EQUITY_BROK" vbProcedure="false">"c1120"</definedName>
    <definedName function="false" hidden="true" name="IQ_RETURN_EQUITY_DET_EST_DATE_REUT" vbProcedure="false">"c12305"</definedName>
    <definedName function="false" hidden="true" name="IQ_RETURN_EQUITY_DET_EST_INCL_REUT" vbProcedure="false">"c12429"</definedName>
    <definedName function="false" hidden="true" name="IQ_RETURN_EQUITY_DET_EST_ORIGIN_REUT" vbProcedure="false">"c12673"</definedName>
    <definedName function="false" hidden="true" name="IQ_RETURN_EQUITY_DET_EST_REUT" vbProcedure="false">"c12163"</definedName>
    <definedName function="false" hidden="true" name="IQ_RETURN_EQUITY_EST_REUT" vbProcedure="false">"c3983"</definedName>
    <definedName function="false" hidden="true" name="IQ_RETURN_EQUITY_FDIC" vbProcedure="false">"c6732"</definedName>
    <definedName function="false" hidden="true" name="IQ_RETURN_EQUITY_FS" vbProcedure="false">"c1121"</definedName>
    <definedName function="false" hidden="true" name="IQ_RETURN_EQUITY_HIGH_EST_REUT" vbProcedure="false">"c3985"</definedName>
    <definedName function="false" hidden="true" name="IQ_RETURN_EQUITY_LOW_EST_REUT" vbProcedure="false">"c3986"</definedName>
    <definedName function="false" hidden="true" name="IQ_RETURN_EQUITY_MEDIAN_EST_REUT" vbProcedure="false">"c3984"</definedName>
    <definedName function="false" hidden="true" name="IQ_RETURN_EQUITY_NUM_EST_REUT" vbProcedure="false">"c3987"</definedName>
    <definedName function="false" hidden="true" name="IQ_RETURN_EQUITY_STDDEV_EST_REUT" vbProcedure="false">"c3988"</definedName>
    <definedName function="false" hidden="true" name="IQ_RETURN_INVESTMENT" vbProcedure="false">"c1117"</definedName>
    <definedName function="false" hidden="true" name="IQ_REV" vbProcedure="false">"c1122"</definedName>
    <definedName function="false" hidden="true" name="IQ_REVALUATION_GAINS_FDIC" vbProcedure="false">"c6428"</definedName>
    <definedName function="false" hidden="true" name="IQ_REVALUATION_LOSSES_FDIC" vbProcedure="false">"c6429"</definedName>
    <definedName function="false" hidden="true" name="IQ_REVENUE" vbProcedure="false">"c1122"</definedName>
    <definedName function="false" hidden="true" name="IQ_REVENUE_10K" vbProcedure="false">"REVENUE_10K"</definedName>
    <definedName function="false" hidden="true" name="IQ_REVENUE_10Q" vbProcedure="false">"REVENUE_10Q"</definedName>
    <definedName function="false" hidden="true" name="IQ_REVENUE_10Q1" vbProcedure="false">"REVENUE_10Q1"</definedName>
    <definedName function="false" hidden="true" name="IQ_REVENUE_ACT_OR_EST_REUT" vbProcedure="false">"c5461"</definedName>
    <definedName function="false" hidden="true" name="IQ_REVENUE_EST" vbProcedure="false">"c1126"</definedName>
    <definedName function="false" hidden="true" name="IQ_REVENUE_EST_1" vbProcedure="false">"IQ_REVENUE_EST_1"</definedName>
    <definedName function="false" hidden="true" name="IQ_REVENUE_EST_BOTTOM_UP_REUT" vbProcedure="false">"c5496"</definedName>
    <definedName function="false" hidden="true" name="IQ_REVENUE_EST_REUT" vbProcedure="false">"c3634"</definedName>
    <definedName function="false" hidden="true" name="IQ_REVENUE_GROWTH_1" vbProcedure="false">"IQ_REVENUE_GROWTH_1"</definedName>
    <definedName function="false" hidden="true" name="IQ_REVENUE_GROWTH_2" vbProcedure="false">"IQ_REVENUE_GROWTH_2"</definedName>
    <definedName function="false" hidden="true" name="IQ_REVENUE_HIGH_EST" vbProcedure="false">"c1127"</definedName>
    <definedName function="false" hidden="true" name="IQ_REVENUE_HIGH_EST_REUT" vbProcedure="false">"c3636"</definedName>
    <definedName function="false" hidden="true" name="IQ_REVENUE_LOW_EST" vbProcedure="false">"c1128"</definedName>
    <definedName function="false" hidden="true" name="IQ_REVENUE_LOW_EST_REUT" vbProcedure="false">"c3637"</definedName>
    <definedName function="false" hidden="true" name="IQ_REVENUE_MEDIAN_EST_REUT" vbProcedure="false">"c3635"</definedName>
    <definedName function="false" hidden="true" name="IQ_REVENUE_NO_EST" vbProcedure="false">"c263"</definedName>
    <definedName function="false" hidden="true" name="IQ_REVENUE_NUM_EST" vbProcedure="false">"c1129"</definedName>
    <definedName function="false" hidden="true" name="IQ_REVENUE_NUM_EST_REUT" vbProcedure="false">"c3638"</definedName>
    <definedName function="false" hidden="true" name="IQ_REVISION_DATE_2" vbProcedure="false">39624.5825925926</definedName>
    <definedName function="false" hidden="true" name="IQ_REVISION_DATE_3" vbProcedure="false">39624.5825925926</definedName>
    <definedName function="false" hidden="true" name="IQ_REVISION_DATE_4" vbProcedure="false">39624.5825925926</definedName>
    <definedName function="false" hidden="true" name="IQ_REVISION_DATE_FM" vbProcedure="false">39492.863587963</definedName>
    <definedName function="false" hidden="true" name="IQ_REVISION_DATE_v2" vbProcedure="false">"17/02/2006 15:13:32"</definedName>
    <definedName function="false" hidden="true" name="IQ_REVISION_DATE__" vbProcedure="false">40139.9083217593</definedName>
    <definedName function="false" hidden="true" name="IQ_REVOLVING_SECURED_1_4_NON_ACCRUAL_FFIEC" vbProcedure="false">"c13314"</definedName>
    <definedName function="false" hidden="true" name="IQ_REVOLVING_SECURED_1_–4_NON_ACCRUAL_FFIEC" vbProcedure="false">"c13314"</definedName>
    <definedName function="false" hidden="true" name="IQ_REV_BEFORE_LL" vbProcedure="false">"c1123"</definedName>
    <definedName function="false" hidden="true" name="IQ_REV_BEFORE_LOAN_LOSS_FOREIGN_FFIEC" vbProcedure="false">"c15381"</definedName>
    <definedName function="false" hidden="true" name="IQ_REV_DATE_" vbProcedure="false">39482.3981597222</definedName>
    <definedName function="false" hidden="true" name="IQ_REV_DET_EST_CURRENCY_REUT" vbProcedure="false">"c12544"</definedName>
    <definedName function="false" hidden="true" name="IQ_REV_DET_EST_DATE_REUT" vbProcedure="false">"c12303"</definedName>
    <definedName function="false" hidden="true" name="IQ_REV_DET_EST_INCL_REUT" vbProcedure="false">"c12427"</definedName>
    <definedName function="false" hidden="true" name="IQ_REV_DET_EST_ORIGIN_REUT" vbProcedure="false">"c12671"</definedName>
    <definedName function="false" hidden="true" name="IQ_REV_DET_EST_REUT" vbProcedure="false">"c12161"</definedName>
    <definedName function="false" hidden="true" name="IQ_REV_STDDEV_EST" vbProcedure="false">"c1124"</definedName>
    <definedName function="false" hidden="true" name="IQ_REV_STDDEV_EST_REUT" vbProcedure="false">"c3639"</definedName>
    <definedName function="false" hidden="true" name="IQ_REV_UTI" vbProcedure="false">"c1125"</definedName>
    <definedName function="false" hidden="true" name="IQ_RE_FORECLOSURE_FDIC" vbProcedure="false">"c6332"</definedName>
    <definedName function="false" hidden="true" name="IQ_RE_INVEST_FDIC" vbProcedure="false">"c6331"</definedName>
    <definedName function="false" hidden="true" name="IQ_RE_LOANS_DOMESTIC_CHARGE_OFFS_FDIC" vbProcedure="false">"c6589"</definedName>
    <definedName function="false" hidden="true" name="IQ_RE_LOANS_DOMESTIC_FDIC" vbProcedure="false">"c6309"</definedName>
    <definedName function="false" hidden="true" name="IQ_RE_LOANS_DOMESTIC_NET_CHARGE_OFFS_FDIC" vbProcedure="false">"c6627"</definedName>
    <definedName function="false" hidden="true" name="IQ_RE_LOANS_DOMESTIC_RECOVERIES_FDIC" vbProcedure="false">"c6608"</definedName>
    <definedName function="false" hidden="true" name="IQ_RE_LOANS_DOM_QUARTERLY_AVG_FFIEC" vbProcedure="false">"c15476"</definedName>
    <definedName function="false" hidden="true" name="IQ_RE_LOANS_FDIC" vbProcedure="false">"c6308"</definedName>
    <definedName function="false" hidden="true" name="IQ_RE_LOANS_FOREIGN_CHARGE_OFFS_FDIC" vbProcedure="false">"c6595"</definedName>
    <definedName function="false" hidden="true" name="IQ_RE_LOANS_FOREIGN_NET_CHARGE_OFFS_FDIC" vbProcedure="false">"c6633"</definedName>
    <definedName function="false" hidden="true" name="IQ_RE_LOANS_FOREIGN_RECOVERIES_FDIC" vbProcedure="false">"c6614"</definedName>
    <definedName function="false" hidden="true" name="IQ_RISK_WEIGHTED_ASSETS_FDIC" vbProcedure="false">"c6370"</definedName>
    <definedName function="false" hidden="true" name="IQ_ROYALTY_REVENUE_COAL" vbProcedure="false">"c15932"</definedName>
    <definedName function="false" hidden="true" name="IQ_SALARY" vbProcedure="false">"c1130"</definedName>
    <definedName function="false" hidden="true" name="IQ_SALARY_FDIC" vbProcedure="false">"c6576"</definedName>
    <definedName function="false" hidden="true" name="IQ_SALE_CONVERSION_ACQUISITION_NET_COMMON_FFIEC" vbProcedure="false">"c15351"</definedName>
    <definedName function="false" hidden="true" name="IQ_SALE_CONVERSION_RETIREMENT_STOCK_FDIC" vbProcedure="false">"c6661"</definedName>
    <definedName function="false" hidden="true" name="IQ_SALE_INTAN_CF" vbProcedure="false">"c1131"</definedName>
    <definedName function="false" hidden="true" name="IQ_SALE_INTAN_CF_BNK" vbProcedure="false">"c1132"</definedName>
    <definedName function="false" hidden="true" name="IQ_SALE_INTAN_CF_BR" vbProcedure="false">"c1133"</definedName>
    <definedName function="false" hidden="true" name="IQ_SALE_INTAN_CF_FIN" vbProcedure="false">"c1134"</definedName>
    <definedName function="false" hidden="true" name="IQ_SALE_INTAN_CF_INS" vbProcedure="false">"c1135"</definedName>
    <definedName function="false" hidden="true" name="IQ_SALE_INTAN_CF_REIT" vbProcedure="false">"c1627"</definedName>
    <definedName function="false" hidden="true" name="IQ_SALE_INTAN_CF_UTI" vbProcedure="false">"c1136"</definedName>
    <definedName function="false" hidden="true" name="IQ_SALE_PPE_CF" vbProcedure="false">"c1137"</definedName>
    <definedName function="false" hidden="true" name="IQ_SALE_PPE_CF_BNK" vbProcedure="false">"c1138"</definedName>
    <definedName function="false" hidden="true" name="IQ_SALE_PPE_CF_BR" vbProcedure="false">"c1139"</definedName>
    <definedName function="false" hidden="true" name="IQ_SALE_PPE_CF_FIN" vbProcedure="false">"c1140"</definedName>
    <definedName function="false" hidden="true" name="IQ_SALE_PPE_CF_INS" vbProcedure="false">"c1141"</definedName>
    <definedName function="false" hidden="true" name="IQ_SALE_PPE_CF_UTI" vbProcedure="false">"c1142"</definedName>
    <definedName function="false" hidden="true" name="IQ_SALE_REAL_ESTATE_CF" vbProcedure="false">"c1143"</definedName>
    <definedName function="false" hidden="true" name="IQ_SALE_REAL_ESTATE_CF_BNK" vbProcedure="false">"c1144"</definedName>
    <definedName function="false" hidden="true" name="IQ_SALE_REAL_ESTATE_CF_BR" vbProcedure="false">"c1145"</definedName>
    <definedName function="false" hidden="true" name="IQ_SALE_REAL_ESTATE_CF_FIN" vbProcedure="false">"c1146"</definedName>
    <definedName function="false" hidden="true" name="IQ_SALE_REAL_ESTATE_CF_INS" vbProcedure="false">"c1147"</definedName>
    <definedName function="false" hidden="true" name="IQ_SALE_REAL_ESTATE_CF_UTI" vbProcedure="false">"c1148"</definedName>
    <definedName function="false" hidden="true" name="IQ_SALE_RE_ASSETS" vbProcedure="false">"c1629"</definedName>
    <definedName function="false" hidden="true" name="IQ_SAME_STORE" vbProcedure="false">"c1149"</definedName>
    <definedName function="false" hidden="true" name="IQ_SAVINGS_DEPOSITS_NON_TRANS_ACCTS_FFIEC" vbProcedure="false">"c15329"</definedName>
    <definedName function="false" hidden="true" name="IQ_SAVINGS_DEPOSITS_QUARTERLY_AVG_FFIEC" vbProcedure="false">"c15485"</definedName>
    <definedName function="false" hidden="true" name="IQ_SAVING_DEP" vbProcedure="false">"c1150"</definedName>
    <definedName function="false" hidden="true" name="IQ_SECURED_1_4_FAMILY_RESIDENTIAL_CHARGE_OFFS_FDIC" vbProcedure="false">"c6590"</definedName>
    <definedName function="false" hidden="true" name="IQ_SECURED_1_4_FAMILY_RESIDENTIAL_NET_CHARGE_OFFS_FDIC" vbProcedure="false">"c6628"</definedName>
    <definedName function="false" hidden="true" name="IQ_SECURED_1_4_FAMILY_RESIDENTIAL_RECOVERIES_FDIC" vbProcedure="false">"c6609"</definedName>
    <definedName function="false" hidden="true" name="IQ_SECURED_FARMLAND_CHARGE_OFFS_FDIC" vbProcedure="false">"c6593"</definedName>
    <definedName function="false" hidden="true" name="IQ_SECURED_FARMLAND_NET_CHARGE_OFFS_FDIC" vbProcedure="false">"c6631"</definedName>
    <definedName function="false" hidden="true" name="IQ_SECURED_FARMLAND_RECOVERIES_FDIC" vbProcedure="false">"c6612"</definedName>
    <definedName function="false" hidden="true" name="IQ_SECURED_MULTIFAMILY_RESIDENTIAL_CHARGE_OFFS_FDIC" vbProcedure="false">"c6591"</definedName>
    <definedName function="false" hidden="true" name="IQ_SECURED_MULTIFAMILY_RESIDENTIAL_NET_CHARGE_OFFS_FDIC" vbProcedure="false">"c6629"</definedName>
    <definedName function="false" hidden="true" name="IQ_SECURED_MULTIFAMILY_RESIDENTIAL_RECOVERIES_FDIC" vbProcedure="false">"c6610"</definedName>
    <definedName function="false" hidden="true" name="IQ_SECURED_NONFARM_NONRESIDENTIAL_CHARGE_OFFS_FDIC" vbProcedure="false">"c6592"</definedName>
    <definedName function="false" hidden="true" name="IQ_SECURED_NONFARM_NONRESIDENTIAL_NET_CHARGE_OFFS_FDIC" vbProcedure="false">"c6630"</definedName>
    <definedName function="false" hidden="true" name="IQ_SECURED_NONFARM_NONRESIDENTIAL_RECOVERIES_FDIC" vbProcedure="false">"c6611"</definedName>
    <definedName function="false" hidden="true" name="IQ_SECURITIES_GAINS_FDIC" vbProcedure="false">"c6584"</definedName>
    <definedName function="false" hidden="true" name="IQ_SECURITIES_ISSUED_STATES_FDIC" vbProcedure="false">"c6300"</definedName>
    <definedName function="false" hidden="true" name="IQ_SECURITIES_LENT_FDIC" vbProcedure="false">"c6532"</definedName>
    <definedName function="false" hidden="true" name="IQ_SECURITIES_STATE_POLI_SUBD_QUARTERLY_AVG_FFIEC" vbProcedure="false">"c15470"</definedName>
    <definedName function="false" hidden="true" name="IQ_SECURITIES_UNDERWRITING_FDIC" vbProcedure="false">"c6529"</definedName>
    <definedName function="false" hidden="true" name="IQ_SECURITY_ACTIVE_STATUS" vbProcedure="false">"c15160"</definedName>
    <definedName function="false" hidden="true" name="IQ_SECURITY_BORROW" vbProcedure="false">"c1152"</definedName>
    <definedName function="false" hidden="true" name="IQ_SECURITY_NAME" vbProcedure="false">"c15159"</definedName>
    <definedName function="false" hidden="true" name="IQ_SECURITY_OWN" vbProcedure="false">"c1153"</definedName>
    <definedName function="false" hidden="true" name="IQ_SECURITY_RESELL" vbProcedure="false">"c1154"</definedName>
    <definedName function="false" hidden="true" name="IQ_SECUR_RECEIV" vbProcedure="false">"c1151"</definedName>
    <definedName function="false" hidden="true" name="IQ_SEC_OTHER_NONFARM_NONRES_NON_ACCRUAL_FFIEC" vbProcedure="false">"c15462"</definedName>
    <definedName function="false" hidden="true" name="IQ_SEC_OWNER_NONFARM_NONRES_NON_ACCRUAL_FFIEC" vbProcedure="false">"c15461"</definedName>
    <definedName function="false" hidden="true" name="IQ_SEMI_BACKLOG_UNITS" vbProcedure="false">"c10005"</definedName>
    <definedName function="false" hidden="true" name="IQ_SEMI_BOOKINGS_AVG_PRICE" vbProcedure="false">"c10002"</definedName>
    <definedName function="false" hidden="true" name="IQ_SEMI_BOOKINGS_UNITS" vbProcedure="false">"c10001"</definedName>
    <definedName function="false" hidden="true" name="IQ_SEMI_BOOKINGS_VALUE" vbProcedure="false">"c10003"</definedName>
    <definedName function="false" hidden="true" name="IQ_SEMI_BOOKINGS_VALUE_CHANGE" vbProcedure="false">"c10004"</definedName>
    <definedName function="false" hidden="true" name="IQ_SEPARATE_ACCT_ASSETS" vbProcedure="false">"c1155"</definedName>
    <definedName function="false" hidden="true" name="IQ_SEPARATE_ACCT_LIAB" vbProcedure="false">"c1156"</definedName>
    <definedName function="false" hidden="true" name="IQ_SERVICE_CHARGES_FDIC" vbProcedure="false">"c6572"</definedName>
    <definedName function="false" hidden="true" name="IQ_SERV_CHARGE_DEPOSITS" vbProcedure="false">"c1157"</definedName>
    <definedName function="false" hidden="true" name="IQ_SGA" vbProcedure="false">"c1158"</definedName>
    <definedName function="false" hidden="true" name="IQ_SGA_BNK" vbProcedure="false">"c1159"</definedName>
    <definedName function="false" hidden="true" name="IQ_SGA_INS" vbProcedure="false">"c1160"</definedName>
    <definedName function="false" hidden="true" name="IQ_SGA_REIT" vbProcedure="false">"c1161"</definedName>
    <definedName function="false" hidden="true" name="IQ_SGA_SUPPL" vbProcedure="false">"c1162"</definedName>
    <definedName function="false" hidden="true" name="IQ_SGA_UTI" vbProcedure="false">"c1163"</definedName>
    <definedName function="false" hidden="true" name="IQ_SHAREOUTSTANDING" vbProcedure="false">"c1347"</definedName>
    <definedName function="false" hidden="true" name="IQ_SHARESOUTSTANDING" vbProcedure="false">"c1164"</definedName>
    <definedName function="false" hidden="true" name="IQ_SHORT_INTEREST" vbProcedure="false">"c1165"</definedName>
    <definedName function="false" hidden="true" name="IQ_SHORT_INTEREST_OVER_FLOAT" vbProcedure="false">"c1577"</definedName>
    <definedName function="false" hidden="true" name="IQ_SHORT_INTEREST_PERCENT" vbProcedure="false">"c1576"</definedName>
    <definedName function="false" hidden="true" name="IQ_SHORT_INTEREST_VOLUME" vbProcedure="false">"c228"</definedName>
    <definedName function="false" hidden="true" name="IQ_SHORT_TERM_INVEST" vbProcedure="false">"c1197"</definedName>
    <definedName function="false" hidden="true" name="IQ_SMALL_INT_BEAR_CD" vbProcedure="false">"c1166"</definedName>
    <definedName function="false" hidden="true" name="IQ_SOFTWARE" vbProcedure="false">"c1167"</definedName>
    <definedName function="false" hidden="true" name="IQ_SOURCE" vbProcedure="false">"c1168"</definedName>
    <definedName function="false" hidden="true" name="IQ_SPECIAL_DIV_CF" vbProcedure="false">"c1169"</definedName>
    <definedName function="false" hidden="true" name="IQ_SPECIAL_DIV_CF_BNK" vbProcedure="false">"c1170"</definedName>
    <definedName function="false" hidden="true" name="IQ_SPECIAL_DIV_CF_BR" vbProcedure="false">"c1171"</definedName>
    <definedName function="false" hidden="true" name="IQ_SPECIAL_DIV_CF_FIN" vbProcedure="false">"c1172"</definedName>
    <definedName function="false" hidden="true" name="IQ_SPECIAL_DIV_CF_INS" vbProcedure="false">"c1173"</definedName>
    <definedName function="false" hidden="true" name="IQ_SPECIAL_DIV_CF_REIT" vbProcedure="false">"c1174"</definedName>
    <definedName function="false" hidden="true" name="IQ_SPECIAL_DIV_CF_UTI" vbProcedure="false">"c1175"</definedName>
    <definedName function="false" hidden="true" name="IQ_SPECIFIC_ALLOWANCE" vbProcedure="false">"c15247"</definedName>
    <definedName function="false" hidden="true" name="IQ_SP_ISSUE_LC_ACTION" vbProcedure="false">"c2644"</definedName>
    <definedName function="false" hidden="true" name="IQ_SP_ISSUE_LC_DATE" vbProcedure="false">"c2643"</definedName>
    <definedName function="false" hidden="true" name="IQ_SP_ISSUE_LC_LT" vbProcedure="false">"c2645"</definedName>
    <definedName function="false" hidden="true" name="IQ_STANDBY_LOC_FHLB_BANK_BEHALF_OFF_BS_FFIEC" vbProcedure="false">"c15412"</definedName>
    <definedName function="false" hidden="true" name="IQ_STAND_REC_DET_EST_DATE_REUT" vbProcedure="false">"c12307"</definedName>
    <definedName function="false" hidden="true" name="IQ_STAND_REC_DET_EST_ORIGIN_REUT" vbProcedure="false">"c12675"</definedName>
    <definedName function="false" hidden="true" name="IQ_STAND_REC_DET_EST_REUT" vbProcedure="false">"c12165"</definedName>
    <definedName function="false" hidden="true" name="IQ_STAND_REC_NUM_DET_EST_DATE_REUT" vbProcedure="false">"c12306"</definedName>
    <definedName function="false" hidden="true" name="IQ_STAND_REC_NUM_DET_EST_ORIGIN_REUT" vbProcedure="false">"c12674"</definedName>
    <definedName function="false" hidden="true" name="IQ_STAND_REC_NUM_DET_EST_REUT" vbProcedure="false">"c12164"</definedName>
    <definedName function="false" hidden="true" name="IQ_STATE" vbProcedure="false">"c1200"</definedName>
    <definedName function="false" hidden="true" name="IQ_STATES_NONTRANSACTION_ACCOUNTS_FDIC" vbProcedure="false">"c6547"</definedName>
    <definedName function="false" hidden="true" name="IQ_STATES_POLI_SUBD_US_NON_TRANS_ACCTS_FFIEC" vbProcedure="false">"c15324"</definedName>
    <definedName function="false" hidden="true" name="IQ_STATES_POLI_SUBD_US_TRANS_ACCTS_FFIEC" vbProcedure="false">"c15316"</definedName>
    <definedName function="false" hidden="true" name="IQ_STATES_TOTAL_DEPOSITS_FDIC" vbProcedure="false">"c6473"</definedName>
    <definedName function="false" hidden="true" name="IQ_STATES_TRANSACTION_ACCOUNTS_FDIC" vbProcedure="false">"c6539"</definedName>
    <definedName function="false" hidden="true" name="IQ_STATUTORY_SURPLUS" vbProcedure="false">"c1201"</definedName>
    <definedName function="false" hidden="true" name="IQ_STOCK_BASED" vbProcedure="false">"c1202"</definedName>
    <definedName function="false" hidden="true" name="IQ_STOCK_BASED_CF" vbProcedure="false">"c1203"</definedName>
    <definedName function="false" hidden="true" name="IQ_STOCK_BASED_COGS_FIN" vbProcedure="false">"c2998"</definedName>
    <definedName function="false" hidden="true" name="IQ_STOCK_BASED_COGS_UTIL" vbProcedure="false">"c2997"</definedName>
    <definedName function="false" hidden="true" name="IQ_STRIKE_PRICE_ISSUED" vbProcedure="false">"c1645"</definedName>
    <definedName function="false" hidden="true" name="IQ_STRIKE_PRICE_OS" vbProcedure="false">"c1646"</definedName>
    <definedName function="false" hidden="true" name="IQ_ST_DEBT" vbProcedure="false">"c1176"</definedName>
    <definedName function="false" hidden="true" name="IQ_ST_DEBT_BNK" vbProcedure="false">"c1177"</definedName>
    <definedName function="false" hidden="true" name="IQ_ST_DEBT_BR" vbProcedure="false">"c1178"</definedName>
    <definedName function="false" hidden="true" name="IQ_ST_DEBT_FIN" vbProcedure="false">"c1179"</definedName>
    <definedName function="false" hidden="true" name="IQ_ST_DEBT_INS" vbProcedure="false">"c1180"</definedName>
    <definedName function="false" hidden="true" name="IQ_ST_DEBT_ISSUED" vbProcedure="false">"c1181"</definedName>
    <definedName function="false" hidden="true" name="IQ_ST_DEBT_ISSUED_BNK" vbProcedure="false">"c1182"</definedName>
    <definedName function="false" hidden="true" name="IQ_ST_DEBT_ISSUED_BR" vbProcedure="false">"c1183"</definedName>
    <definedName function="false" hidden="true" name="IQ_ST_DEBT_ISSUED_FIN" vbProcedure="false">"c1184"</definedName>
    <definedName function="false" hidden="true" name="IQ_ST_DEBT_ISSUED_INS" vbProcedure="false">"c1185"</definedName>
    <definedName function="false" hidden="true" name="IQ_ST_DEBT_ISSUED_REIT" vbProcedure="false">"c1186"</definedName>
    <definedName function="false" hidden="true" name="IQ_ST_DEBT_ISSUED_UTI" vbProcedure="false">"c1187"</definedName>
    <definedName function="false" hidden="true" name="IQ_ST_DEBT_REIT" vbProcedure="false">"c1188"</definedName>
    <definedName function="false" hidden="true" name="IQ_ST_DEBT_REPAID" vbProcedure="false">"c1189"</definedName>
    <definedName function="false" hidden="true" name="IQ_ST_DEBT_REPAID_BNK" vbProcedure="false">"c1190"</definedName>
    <definedName function="false" hidden="true" name="IQ_ST_DEBT_REPAID_BR" vbProcedure="false">"c1191"</definedName>
    <definedName function="false" hidden="true" name="IQ_ST_DEBT_REPAID_FIN" vbProcedure="false">"c1192"</definedName>
    <definedName function="false" hidden="true" name="IQ_ST_DEBT_REPAID_INS" vbProcedure="false">"c1193"</definedName>
    <definedName function="false" hidden="true" name="IQ_ST_DEBT_REPAID_REIT" vbProcedure="false">"c1194"</definedName>
    <definedName function="false" hidden="true" name="IQ_ST_DEBT_REPAID_UTI" vbProcedure="false">"c1195"</definedName>
    <definedName function="false" hidden="true" name="IQ_ST_DEBT_UTI" vbProcedure="false">"c1196"</definedName>
    <definedName function="false" hidden="true" name="IQ_ST_INVEST" vbProcedure="false">"c1197"</definedName>
    <definedName function="false" hidden="true" name="IQ_ST_INVEST_UTI" vbProcedure="false">"c1198"</definedName>
    <definedName function="false" hidden="true" name="IQ_ST_NOTE_RECEIV" vbProcedure="false">"c1199"</definedName>
    <definedName function="false" hidden="true" name="IQ_SUB_DEBT_FDIC" vbProcedure="false">"c6346"</definedName>
    <definedName function="false" hidden="true" name="IQ_SUB_LEASE_AFTER_FIVE" vbProcedure="false">"c1207"</definedName>
    <definedName function="false" hidden="true" name="IQ_SUB_LEASE_INC_CY" vbProcedure="false">"c1208"</definedName>
    <definedName function="false" hidden="true" name="IQ_SUB_LEASE_INC_CY1" vbProcedure="false">"c1209"</definedName>
    <definedName function="false" hidden="true" name="IQ_SUB_LEASE_INC_CY2" vbProcedure="false">"c1210"</definedName>
    <definedName function="false" hidden="true" name="IQ_SUB_LEASE_INC_CY3" vbProcedure="false">"c1211"</definedName>
    <definedName function="false" hidden="true" name="IQ_SUB_LEASE_INC_CY4" vbProcedure="false">"c1212"</definedName>
    <definedName function="false" hidden="true" name="IQ_SUB_LEASE_NEXT_FIVE" vbProcedure="false">"c1213"</definedName>
    <definedName function="false" hidden="true" name="IQ_SUB_NOTES_DEBENTURES_FAIR_VALUE_TOT_FFIEC" vbProcedure="false">"c15410"</definedName>
    <definedName function="false" hidden="true" name="IQ_SUB_NOTES_DEBENTURES_LEVEL_1_FFIEC" vbProcedure="false">"c15432"</definedName>
    <definedName function="false" hidden="true" name="IQ_SUB_NOTES_DEBENTURES_LEVEL_2_FFIEC" vbProcedure="false">"c15445"</definedName>
    <definedName function="false" hidden="true" name="IQ_SUB_NOTES_DEBENTURES_LEVEL_3_FFIEC" vbProcedure="false">"c15458"</definedName>
    <definedName function="false" hidden="true" name="IQ_SURPLUS_FDIC" vbProcedure="false">"c6351"</definedName>
    <definedName function="false" hidden="true" name="IQ_SVA" vbProcedure="false">"c1214"</definedName>
    <definedName function="false" hidden="true" name="IQ_SYNTHETIC_STRUCTURED_PRODUCTS_AVAIL_SALE_FFIEC" vbProcedure="false">"c15264"</definedName>
    <definedName function="false" hidden="true" name="IQ_SYNTHETIC_STRUCTURED_PRODUCTS_FFIEC" vbProcedure="false">"c15261"</definedName>
    <definedName function="false" hidden="true" name="IQ_TARGET_PRICE_DET_EST_CURRENCY_REUT" vbProcedure="false">"c12547"</definedName>
    <definedName function="false" hidden="true" name="IQ_TARGET_PRICE_DET_EST_DATE_REUT" vbProcedure="false">"c12308"</definedName>
    <definedName function="false" hidden="true" name="IQ_TARGET_PRICE_DET_EST_INCL_REUT" vbProcedure="false">"c12430"</definedName>
    <definedName function="false" hidden="true" name="IQ_TARGET_PRICE_DET_EST_ORIGIN_REUT" vbProcedure="false">"c12731"</definedName>
    <definedName function="false" hidden="true" name="IQ_TARGET_PRICE_DET_EST_REUT" vbProcedure="false">"c12166"</definedName>
    <definedName function="false" hidden="true" name="IQ_TARGET_PRICE_LASTCLOSE" vbProcedure="false">"c1855"</definedName>
    <definedName function="false" hidden="true" name="IQ_TARGET_PRICE_NUM_REUT" vbProcedure="false">"c5319"</definedName>
    <definedName function="false" hidden="true" name="IQ_TARGET_PRICE_STDDEV_REUT" vbProcedure="false">"c5320"</definedName>
    <definedName function="false" hidden="true" name="IQ_TAX_BENEFIT_OPTIONS" vbProcedure="false">"c1215"</definedName>
    <definedName function="false" hidden="true" name="IQ_TAX_EQUIV_NET_INT_INC" vbProcedure="false">"c1216"</definedName>
    <definedName function="false" hidden="true" name="IQ_TBV_SHARE" vbProcedure="false">"c1217"</definedName>
    <definedName function="false" hidden="true" name="IQ_TEMPLATE" vbProcedure="false">"c1521"</definedName>
    <definedName function="false" hidden="true" name="IQ_TENANT" vbProcedure="false">"c1218"</definedName>
    <definedName function="false" hidden="true" name="IQ_TEV" vbProcedure="false">"c1219"</definedName>
    <definedName function="false" hidden="true" name="IQ_TEV_EBIT" vbProcedure="false">"c1220"</definedName>
    <definedName function="false" hidden="true" name="IQ_TEV_EBITDA" vbProcedure="false">"c1222"</definedName>
    <definedName function="false" hidden="true" name="IQ_TEV_EBITDA_AVG" vbProcedure="false">"c1223"</definedName>
    <definedName function="false" hidden="true" name="IQ_TEV_EBITDA_FWD" vbProcedure="false">"c1224"</definedName>
    <definedName function="false" hidden="true" name="IQ_TEV_EBITDA_FWD_REUT" vbProcedure="false">"c4050"</definedName>
    <definedName function="false" hidden="true" name="IQ_TEV_EBIT_AVG" vbProcedure="false">"c1221"</definedName>
    <definedName function="false" hidden="true" name="IQ_TEV_EBIT_FWD_REUT" vbProcedure="false">"c4054"</definedName>
    <definedName function="false" hidden="true" name="IQ_TEV_EMPLOYEE_AVG" vbProcedure="false">"c1225"</definedName>
    <definedName function="false" hidden="true" name="IQ_TEV_TOTAL_REV" vbProcedure="false">"c1226"</definedName>
    <definedName function="false" hidden="true" name="IQ_TEV_TOTAL_REV_AVG" vbProcedure="false">"c1227"</definedName>
    <definedName function="false" hidden="true" name="IQ_TEV_TOTAL_REV_FWD" vbProcedure="false">"c1228"</definedName>
    <definedName function="false" hidden="true" name="IQ_TEV_TOTAL_REV_FWD_REUT" vbProcedure="false">"c4051"</definedName>
    <definedName function="false" hidden="true" name="IQ_THREE_MONTHS_FIXED_AND_FLOATING_FDIC" vbProcedure="false">"c6419"</definedName>
    <definedName function="false" hidden="true" name="IQ_THREE_MONTHS_MORTGAGE_PASS_THROUGHS_FDIC" vbProcedure="false">"c6411"</definedName>
    <definedName function="false" hidden="true" name="IQ_THREE_YEARS_LESS_FDIC" vbProcedure="false">"c6417"</definedName>
    <definedName function="false" hidden="true" name="IQ_THREE_YEAR_FIXED_AND_FLOATING_RATE_FDIC" vbProcedure="false">"c6421"</definedName>
    <definedName function="false" hidden="true" name="IQ_THREE_YEAR_MORTGAGE_PASS_THROUGHS_FDIC" vbProcedure="false">"c6413"</definedName>
    <definedName function="false" hidden="true" name="IQ_TIER_1_RISK_BASED_CAPITAL_RATIO_FDIC" vbProcedure="false">"c6746"</definedName>
    <definedName function="false" hidden="true" name="IQ_TIER_ONE_FDIC" vbProcedure="false">"c6369"</definedName>
    <definedName function="false" hidden="true" name="IQ_TIER_ONE_RATIO" vbProcedure="false">"c1229"</definedName>
    <definedName function="false" hidden="true" name="IQ_TIER_TWO_CAPITAL_RATIO" vbProcedure="false">"c15241"</definedName>
    <definedName function="false" hidden="true" name="IQ_TIME_DEP" vbProcedure="false">"c1230"</definedName>
    <definedName function="false" hidden="true" name="IQ_TIME_DEPOSITS_LESS_THAN_100K_FDIC" vbProcedure="false">"c6465"</definedName>
    <definedName function="false" hidden="true" name="IQ_TIME_DEPOSITS_MORE_THAN_100K_FDIC" vbProcedure="false">"c6470"</definedName>
    <definedName function="false" hidden="true" name="IQ_TIME_DEPOSIT_LESS_100000_QUARTERLY_AVG_FFIEC" vbProcedure="false">"c15487"</definedName>
    <definedName function="false" hidden="true" name="IQ_TIME_DEPOSIT_MORE_100000_QUARTERLY_AVG_FFIEC" vbProcedure="false">"c15486"</definedName>
    <definedName function="false" hidden="true" name="IQ_TODAY" vbProcedure="false">0</definedName>
    <definedName function="false" hidden="true" name="IQ_TOTAL_AR_BR" vbProcedure="false">"c1231"</definedName>
    <definedName function="false" hidden="true" name="IQ_TOTAL_AR_REIT" vbProcedure="false">"c1232"</definedName>
    <definedName function="false" hidden="true" name="IQ_TOTAL_AR_UTI" vbProcedure="false">"c1233"</definedName>
    <definedName function="false" hidden="true" name="IQ_TOTAL_ASSETS" vbProcedure="false">"c1234"</definedName>
    <definedName function="false" hidden="true" name="IQ_TOTAL_ASSETS_10YR_ANN_GROWTH" vbProcedure="false">"c1235"</definedName>
    <definedName function="false" hidden="true" name="IQ_TOTAL_ASSETS_1YR_ANN_GROWTH" vbProcedure="false">"c1236"</definedName>
    <definedName function="false" hidden="true" name="IQ_TOTAL_ASSETS_2YR_ANN_GROWTH" vbProcedure="false">"c1237"</definedName>
    <definedName function="false" hidden="true" name="IQ_TOTAL_ASSETS_3YR_ANN_GROWTH" vbProcedure="false">"c1238"</definedName>
    <definedName function="false" hidden="true" name="IQ_TOTAL_ASSETS_5YR_ANN_GROWTH" vbProcedure="false">"c1239"</definedName>
    <definedName function="false" hidden="true" name="IQ_TOTAL_ASSETS_7YR_ANN_GROWTH" vbProcedure="false">"c1240"</definedName>
    <definedName function="false" hidden="true" name="IQ_TOTAL_ASSETS_FAIR_VALUE_TOT_FFIEC" vbProcedure="false">"c15405"</definedName>
    <definedName function="false" hidden="true" name="IQ_TOTAL_ASSETS_FDIC" vbProcedure="false">"c6339"</definedName>
    <definedName function="false" hidden="true" name="IQ_TOTAL_ASSETS_LEVEL_1_FFIEC" vbProcedure="false">"c15427"</definedName>
    <definedName function="false" hidden="true" name="IQ_TOTAL_ASSETS_LEVEL_2_FFIEC" vbProcedure="false">"c15440"</definedName>
    <definedName function="false" hidden="true" name="IQ_TOTAL_ASSETS_LEVEL_3_FFIEC" vbProcedure="false">"c15453"</definedName>
    <definedName function="false" hidden="true" name="IQ_TOTAL_AVG_CE_TOTAL_AVG_ASSETS" vbProcedure="false">"c1241"</definedName>
    <definedName function="false" hidden="true" name="IQ_TOTAL_AVG_EQUITY_TOTAL_AVG_ASSETS" vbProcedure="false">"c1242"</definedName>
    <definedName function="false" hidden="true" name="IQ_TOTAL_BROKERED_DEPOSIT_FFIEC" vbProcedure="false">"c15304"</definedName>
    <definedName function="false" hidden="true" name="IQ_TOTAL_CA" vbProcedure="false">"c1243"</definedName>
    <definedName function="false" hidden="true" name="IQ_TOTAL_CAP" vbProcedure="false">"c1507"</definedName>
    <definedName function="false" hidden="true" name="IQ_TOTAL_CAPITAL_RATIO" vbProcedure="false">"c1244"</definedName>
    <definedName function="false" hidden="true" name="IQ_TOTAL_CASH_DIVID" vbProcedure="false">"c1266"</definedName>
    <definedName function="false" hidden="true" name="IQ_TOTAL_CASH_DUE_DEPOSITORY_INSTIT_DOM_FFIEC" vbProcedure="false">"c15291"</definedName>
    <definedName function="false" hidden="true" name="IQ_TOTAL_CASH_DUE_DEPOSITORY_INSTIT_FFIEC" vbProcedure="false">"c15285"</definedName>
    <definedName function="false" hidden="true" name="IQ_TOTAL_CASH_FINAN" vbProcedure="false">"c119"</definedName>
    <definedName function="false" hidden="true" name="IQ_TOTAL_CASH_INVEST" vbProcedure="false">"c121"</definedName>
    <definedName function="false" hidden="true" name="IQ_TOTAL_CASH_OPER" vbProcedure="false">"c122"</definedName>
    <definedName function="false" hidden="true" name="IQ_TOTAL_CHARGE_OFFS_FDIC" vbProcedure="false">"c6603"</definedName>
    <definedName function="false" hidden="true" name="IQ_TOTAL_CL" vbProcedure="false">"c1245"</definedName>
    <definedName function="false" hidden="true" name="IQ_TOTAL_COMMON" vbProcedure="false">"c1022"</definedName>
    <definedName function="false" hidden="true" name="IQ_TOTAL_COMMON_EQUITY" vbProcedure="false">"c1246"</definedName>
    <definedName function="false" hidden="true" name="IQ_TOTAL_CURRENT_ASSETS" vbProcedure="false">"c1243"</definedName>
    <definedName function="false" hidden="true" name="IQ_TOTAL_CURRENT_LIAB" vbProcedure="false">"c1245"</definedName>
    <definedName function="false" hidden="true" name="IQ_TOTAL_DEBT" vbProcedure="false">"c1247"</definedName>
    <definedName function="false" hidden="true" name="IQ_TOTAL_DEBT_CAPITAL" vbProcedure="false">"c1248"</definedName>
    <definedName function="false" hidden="true" name="IQ_TOTAL_DEBT_DUE" vbProcedure="false">"c2509"</definedName>
    <definedName function="false" hidden="true" name="IQ_TOTAL_DEBT_EBITDA" vbProcedure="false">"c1249"</definedName>
    <definedName function="false" hidden="true" name="IQ_TOTAL_DEBT_EQUITY" vbProcedure="false">"c1250"</definedName>
    <definedName function="false" hidden="true" name="IQ_TOTAL_DEBT_ISSUED" vbProcedure="false">"c1251"</definedName>
    <definedName function="false" hidden="true" name="IQ_TOTAL_DEBT_ISSUED_BNK" vbProcedure="false">"c1252"</definedName>
    <definedName function="false" hidden="true" name="IQ_TOTAL_DEBT_ISSUED_BR" vbProcedure="false">"c1253"</definedName>
    <definedName function="false" hidden="true" name="IQ_TOTAL_DEBT_ISSUED_FIN" vbProcedure="false">"c1254"</definedName>
    <definedName function="false" hidden="true" name="IQ_TOTAL_DEBT_ISSUED_REIT" vbProcedure="false">"c1255"</definedName>
    <definedName function="false" hidden="true" name="IQ_TOTAL_DEBT_ISSUED_UTI" vbProcedure="false">"c1256"</definedName>
    <definedName function="false" hidden="true" name="IQ_TOTAL_DEBT_ISSUES_INS" vbProcedure="false">"c1257"</definedName>
    <definedName function="false" hidden="true" name="IQ_TOTAL_DEBT_OVER_EBITDA" vbProcedure="false">"c1249"</definedName>
    <definedName function="false" hidden="true" name="IQ_TOTAL_DEBT_OVER_TOTAL_BV" vbProcedure="false">"c1250"</definedName>
    <definedName function="false" hidden="true" name="IQ_TOTAL_DEBT_OVER_TOTAL_CAP" vbProcedure="false">"c1248"</definedName>
    <definedName function="false" hidden="true" name="IQ_TOTAL_DEBT_REPAID" vbProcedure="false">"c1258"</definedName>
    <definedName function="false" hidden="true" name="IQ_TOTAL_DEBT_REPAID_BNK" vbProcedure="false">"c1259"</definedName>
    <definedName function="false" hidden="true" name="IQ_TOTAL_DEBT_REPAID_BR" vbProcedure="false">"c1260"</definedName>
    <definedName function="false" hidden="true" name="IQ_TOTAL_DEBT_REPAID_FIN" vbProcedure="false">"c1261"</definedName>
    <definedName function="false" hidden="true" name="IQ_TOTAL_DEBT_REPAID_INS" vbProcedure="false">"c1262"</definedName>
    <definedName function="false" hidden="true" name="IQ_TOTAL_DEBT_REPAID_REIT" vbProcedure="false">"c1263"</definedName>
    <definedName function="false" hidden="true" name="IQ_TOTAL_DEBT_REPAID_UTI" vbProcedure="false">"c1264"</definedName>
    <definedName function="false" hidden="true" name="IQ_TOTAL_DEBT_SECURITIES_FDIC" vbProcedure="false">"c6410"</definedName>
    <definedName function="false" hidden="true" name="IQ_TOTAL_DEPOSITS" vbProcedure="false">"c1265"</definedName>
    <definedName function="false" hidden="true" name="IQ_TOTAL_DEPOSITS_DOM_FFIEC" vbProcedure="false">"c15313"</definedName>
    <definedName function="false" hidden="true" name="IQ_TOTAL_DEPOSITS_FDIC" vbProcedure="false">"c6342"</definedName>
    <definedName function="false" hidden="true" name="IQ_TOTAL_DEPOSITS_SUPPLE" vbProcedure="false">"c15253"</definedName>
    <definedName function="false" hidden="true" name="IQ_TOTAL_DIV_PAID_CF" vbProcedure="false">"c1266"</definedName>
    <definedName function="false" hidden="true" name="IQ_TOTAL_EMPLOYEE" vbProcedure="false">"c1522"</definedName>
    <definedName function="false" hidden="true" name="IQ_TOTAL_EMPLOYEES_FDIC" vbProcedure="false">"c6355"</definedName>
    <definedName function="false" hidden="true" name="IQ_TOTAL_EQUITY" vbProcedure="false">"c1267"</definedName>
    <definedName function="false" hidden="true" name="IQ_TOTAL_EQUITY_10YR_ANN_GROWTH" vbProcedure="false">"c1268"</definedName>
    <definedName function="false" hidden="true" name="IQ_TOTAL_EQUITY_1YR_ANN_GROWTH" vbProcedure="false">"c1269"</definedName>
    <definedName function="false" hidden="true" name="IQ_TOTAL_EQUITY_2YR_ANN_GROWTH" vbProcedure="false">"c1270"</definedName>
    <definedName function="false" hidden="true" name="IQ_TOTAL_EQUITY_3YR_ANN_GROWTH" vbProcedure="false">"c1271"</definedName>
    <definedName function="false" hidden="true" name="IQ_TOTAL_EQUITY_5YR_ANN_GROWTH" vbProcedure="false">"c1272"</definedName>
    <definedName function="false" hidden="true" name="IQ_TOTAL_EQUITY_7YR_ANN_GROWTH" vbProcedure="false">"c1273"</definedName>
    <definedName function="false" hidden="true" name="IQ_TOTAL_EQUITY_ALLOWANCE_TOTAL_LOANS" vbProcedure="false">"c1274"</definedName>
    <definedName function="false" hidden="true" name="IQ_TOTAL_EQUITY_INCL_MINORITY_INTEREST_FFIEC" vbProcedure="false">"c15278"</definedName>
    <definedName function="false" hidden="true" name="IQ_TOTAL_FOREIGN_DEPOSITS_FFIEC" vbProcedure="false">"c15348"</definedName>
    <definedName function="false" hidden="true" name="IQ_TOTAL_FOREIGN_LOANS_QUARTERLY_AVG_FFIEC" vbProcedure="false">"c15482"</definedName>
    <definedName function="false" hidden="true" name="IQ_TOTAL_IBF_ASSETS_CONSOL_BANK_FFIEC" vbProcedure="false">"c15299"</definedName>
    <definedName function="false" hidden="true" name="IQ_TOTAL_IBF_LIABILITIES_FFIEC" vbProcedure="false">"c15302"</definedName>
    <definedName function="false" hidden="true" name="IQ_TOTAL_IBF_LL_REC_FFIEC" vbProcedure="false">"c15297"</definedName>
    <definedName function="false" hidden="true" name="IQ_TOTAL_INTEREST_EXP" vbProcedure="false">"c591"</definedName>
    <definedName function="false" hidden="true" name="IQ_TOTAL_INTEREST_EXP_FOREIGN_FFIEC" vbProcedure="false">"c15374"</definedName>
    <definedName function="false" hidden="true" name="IQ_TOTAL_INTEREST_INC_FOREIGN_FFIEC" vbProcedure="false">"c15373"</definedName>
    <definedName function="false" hidden="true" name="IQ_TOTAL_INVENTORY" vbProcedure="false">"c622"</definedName>
    <definedName function="false" hidden="true" name="IQ_TOTAL_INVEST" vbProcedure="false">"c1275"</definedName>
    <definedName function="false" hidden="true" name="IQ_TOTAL_IRA_KEOGH_PLAN_ACCOUNTS_FFIEC" vbProcedure="false">"c15303"</definedName>
    <definedName function="false" hidden="true" name="IQ_TOTAL_LIAB" vbProcedure="false">"c1276"</definedName>
    <definedName function="false" hidden="true" name="IQ_TOTAL_LIABILITIES_FAIR_VALUE_TOT_FFIEC" vbProcedure="false">"c15411"</definedName>
    <definedName function="false" hidden="true" name="IQ_TOTAL_LIABILITIES_FDIC" vbProcedure="false">"c6348"</definedName>
    <definedName function="false" hidden="true" name="IQ_TOTAL_LIABILITIES_LEVEL_1_FFIEC" vbProcedure="false">"c15433"</definedName>
    <definedName function="false" hidden="true" name="IQ_TOTAL_LIABILITIES_LEVEL_2_FFIEC" vbProcedure="false">"c15446"</definedName>
    <definedName function="false" hidden="true" name="IQ_TOTAL_LIABILITIES_LEVEL_3_FFIEC" vbProcedure="false">"c15459"</definedName>
    <definedName function="false" hidden="true" name="IQ_TOTAL_LIAB_BNK" vbProcedure="false">"c1277"</definedName>
    <definedName function="false" hidden="true" name="IQ_TOTAL_LIAB_BR" vbProcedure="false">"c1278"</definedName>
    <definedName function="false" hidden="true" name="IQ_TOTAL_LIAB_EQUITY" vbProcedure="false">"c1279"</definedName>
    <definedName function="false" hidden="true" name="IQ_TOTAL_LIAB_EQUITY_FDIC" vbProcedure="false">"c6354"</definedName>
    <definedName function="false" hidden="true" name="IQ_TOTAL_LIAB_FIN" vbProcedure="false">"c1280"</definedName>
    <definedName function="false" hidden="true" name="IQ_TOTAL_LIAB_INS" vbProcedure="false">"c1281"</definedName>
    <definedName function="false" hidden="true" name="IQ_TOTAL_LIAB_REIT" vbProcedure="false">"c1282"</definedName>
    <definedName function="false" hidden="true" name="IQ_TOTAL_LIAB_SHAREHOLD" vbProcedure="false">"c1279"</definedName>
    <definedName function="false" hidden="true" name="IQ_TOTAL_LIAB_TOTAL_ASSETS" vbProcedure="false">"c1283"</definedName>
    <definedName function="false" hidden="true" name="IQ_TOTAL_LOANS_DOM_QUARTERLY_AVG_FFIEC" vbProcedure="false">"c15475"</definedName>
    <definedName function="false" hidden="true" name="IQ_TOTAL_LOANS_LEASES_AND_OTHER_DUE_30_89_FFIEC" vbProcedure="false">"c15416"</definedName>
    <definedName function="false" hidden="true" name="IQ_TOTAL_LOANS_LEASES_AND_OTHER_DUE_90_FFIEC" vbProcedure="false">"c15420"</definedName>
    <definedName function="false" hidden="true" name="IQ_TOTAL_LOANS_LEASES_AND_OTHER_NON_ACCRUAL_FFIEC" vbProcedure="false">"c15466"</definedName>
    <definedName function="false" hidden="true" name="IQ_TOTAL_LONG_DEBT" vbProcedure="false">"c1617"</definedName>
    <definedName function="false" hidden="true" name="IQ_TOTAL_NONINTEREST_EXPENSE_FOREIGN_FFIEC" vbProcedure="false">"c15386"</definedName>
    <definedName function="false" hidden="true" name="IQ_TOTAL_NON_TRANS_ACCTS_FFIEC" vbProcedure="false">"c15328"</definedName>
    <definedName function="false" hidden="true" name="IQ_TOTAL_OPER_EXPEN" vbProcedure="false">"c1445"</definedName>
    <definedName function="false" hidden="true" name="IQ_TOTAL_OPER_EXP_BR" vbProcedure="false">"c1284"</definedName>
    <definedName function="false" hidden="true" name="IQ_TOTAL_OPER_EXP_FIN" vbProcedure="false">"c1285"</definedName>
    <definedName function="false" hidden="true" name="IQ_TOTAL_OPER_EXP_INS" vbProcedure="false">"c1286"</definedName>
    <definedName function="false" hidden="true" name="IQ_TOTAL_OPER_EXP_REIT" vbProcedure="false">"c1287"</definedName>
    <definedName function="false" hidden="true" name="IQ_TOTAL_OPER_EXP_UTI" vbProcedure="false">"c1288"</definedName>
    <definedName function="false" hidden="true" name="IQ_TOTAL_OTHER_OPER" vbProcedure="false">"c1289"</definedName>
    <definedName function="false" hidden="true" name="IQ_TOTAL_PENSION_ASSETS" vbProcedure="false">"c1290"</definedName>
    <definedName function="false" hidden="true" name="IQ_TOTAL_PENSION_EXP" vbProcedure="false">"c1291"</definedName>
    <definedName function="false" hidden="true" name="IQ_TOTAL_PENSION_OBLIGATION" vbProcedure="false">"c1292"</definedName>
    <definedName function="false" hidden="true" name="IQ_TOTAL_RECEIV" vbProcedure="false">"c1293"</definedName>
    <definedName function="false" hidden="true" name="IQ_TOTAL_RECOVERIES_FDIC" vbProcedure="false">"c6622"</definedName>
    <definedName function="false" hidden="true" name="IQ_TOTAL_REV" vbProcedure="false">"c1294"</definedName>
    <definedName function="false" hidden="true" name="IQ_TOTAL_REVENUE" vbProcedure="false">"c1294"</definedName>
    <definedName function="false" hidden="true" name="IQ_TOTAL_REVENUE_FOREIGN_FFIEC" vbProcedure="false">"c15383"</definedName>
    <definedName function="false" hidden="true" name="IQ_TOTAL_REV_10YR_ANN_GROWTH" vbProcedure="false">"c1295"</definedName>
    <definedName function="false" hidden="true" name="IQ_TOTAL_REV_1YR_ANN_GROWTH" vbProcedure="false">"c1296"</definedName>
    <definedName function="false" hidden="true" name="IQ_TOTAL_REV_2YR_ANN_GROWTH" vbProcedure="false">"c1297"</definedName>
    <definedName function="false" hidden="true" name="IQ_TOTAL_REV_3YR_ANN_GROWTH" vbProcedure="false">"c1298"</definedName>
    <definedName function="false" hidden="true" name="IQ_TOTAL_REV_5YR_ANN_GROWTH" vbProcedure="false">"c1299"</definedName>
    <definedName function="false" hidden="true" name="IQ_TOTAL_REV_7YR_ANN_GROWTH" vbProcedure="false">"c1300"</definedName>
    <definedName function="false" hidden="true" name="IQ_TOTAL_REV_AS_REPORTED" vbProcedure="false">"c1301"</definedName>
    <definedName function="false" hidden="true" name="IQ_TOTAL_REV_BNK" vbProcedure="false">"c1302"</definedName>
    <definedName function="false" hidden="true" name="IQ_TOTAL_REV_BNK_FDIC" vbProcedure="false">"c6786"</definedName>
    <definedName function="false" hidden="true" name="IQ_TOTAL_REV_BR" vbProcedure="false">"c1303"</definedName>
    <definedName function="false" hidden="true" name="IQ_TOTAL_REV_EMPLOYEE" vbProcedure="false">"c1304"</definedName>
    <definedName function="false" hidden="true" name="IQ_TOTAL_REV_FIN" vbProcedure="false">"c1305"</definedName>
    <definedName function="false" hidden="true" name="IQ_TOTAL_REV_INS" vbProcedure="false">"c1306"</definedName>
    <definedName function="false" hidden="true" name="IQ_TOTAL_REV_REIT" vbProcedure="false">"c1307"</definedName>
    <definedName function="false" hidden="true" name="IQ_TOTAL_REV_UTI" vbProcedure="false">"c1308"</definedName>
    <definedName function="false" hidden="true" name="IQ_TOTAL_RISK_BASED_CAPITAL_RATIO_FDIC" vbProcedure="false">"c6747"</definedName>
    <definedName function="false" hidden="true" name="IQ_TOTAL_SECURITIES_FDIC" vbProcedure="false">"c6306"</definedName>
    <definedName function="false" hidden="true" name="IQ_TOTAL_SPECIAL" vbProcedure="false">"c1618"</definedName>
    <definedName function="false" hidden="true" name="IQ_TOTAL_ST_BORROW" vbProcedure="false">"c1177"</definedName>
    <definedName function="false" hidden="true" name="IQ_TOTAL_TIME_DEPOSITS_FDIC" vbProcedure="false">"c6497"</definedName>
    <definedName function="false" hidden="true" name="IQ_TOTAL_TIME_LESS_100000_1_TO_3_YEARS_FFIEC" vbProcedure="false">"c15335"</definedName>
    <definedName function="false" hidden="true" name="IQ_TOTAL_TIME_LESS_100000_3_MONTHS_LESS_FFIEC" vbProcedure="false">"c15333"</definedName>
    <definedName function="false" hidden="true" name="IQ_TOTAL_TIME_LESS_100000_3_TO_12_MONTHS_FFIEC" vbProcedure="false">"c15334"</definedName>
    <definedName function="false" hidden="true" name="IQ_TOTAL_TIME_LESS_100000_FFIEC" vbProcedure="false">"c15332"</definedName>
    <definedName function="false" hidden="true" name="IQ_TOTAL_TIME_LESS_100000_OVER_3_YEARS_FFIEC" vbProcedure="false">"c15336"</definedName>
    <definedName function="false" hidden="true" name="IQ_TOTAL_TIME_MORE_100000_1_TO_3_YEARS_FFIEC" vbProcedure="false">"c15340"</definedName>
    <definedName function="false" hidden="true" name="IQ_TOTAL_TIME_MORE_100000_3_MONTHS_LESS_FFIEC" vbProcedure="false">"c15338"</definedName>
    <definedName function="false" hidden="true" name="IQ_TOTAL_TIME_MORE_100000_3_TO_12_MONTHS_FFIEC" vbProcedure="false">"c15339"</definedName>
    <definedName function="false" hidden="true" name="IQ_TOTAL_TIME_MORE_100000_FFIEC" vbProcedure="false">"c15337"</definedName>
    <definedName function="false" hidden="true" name="IQ_TOTAL_TIME_MORE_100000_OVER_3_YEARS_FFIEC" vbProcedure="false">"c15341"</definedName>
    <definedName function="false" hidden="true" name="IQ_TOTAL_TIME_SAVINGS_DEPOSITS_FDIC" vbProcedure="false">"c6498"</definedName>
    <definedName function="false" hidden="true" name="IQ_TOTAL_TRADING_LIAB_FOREIGN_FFIEC" vbProcedure="false">"c15296"</definedName>
    <definedName function="false" hidden="true" name="IQ_TOTAL_TRANS_ACCTS_FFIEC" vbProcedure="false">"c15321"</definedName>
    <definedName function="false" hidden="true" name="IQ_TOTAL_UNUSED_COMMITMENTS_FDIC" vbProcedure="false">"c6536"</definedName>
    <definedName function="false" hidden="true" name="IQ_TOTAL_UNUSUAL" vbProcedure="false">"c1508"</definedName>
    <definedName function="false" hidden="true" name="IQ_TOTAL_UNUSUAL_BR" vbProcedure="false">"c5517"</definedName>
    <definedName function="false" hidden="true" name="IQ_TOT_ADJ_INC" vbProcedure="false">"c1616"</definedName>
    <definedName function="false" hidden="true" name="IQ_TRADE_AR" vbProcedure="false">"c40"</definedName>
    <definedName function="false" hidden="true" name="IQ_TRADE_PRINCIPAL" vbProcedure="false">"c1309"</definedName>
    <definedName function="false" hidden="true" name="IQ_TRADING_ACCOUNT_GAINS_FEES_FDIC" vbProcedure="false">"c6573"</definedName>
    <definedName function="false" hidden="true" name="IQ_TRADING_ASSETS" vbProcedure="false">"c1310"</definedName>
    <definedName function="false" hidden="true" name="IQ_TRADING_ASSETS_FDIC" vbProcedure="false">"c6328"</definedName>
    <definedName function="false" hidden="true" name="IQ_TRADING_LIABILITIES_FDIC" vbProcedure="false">"c6344"</definedName>
    <definedName function="false" hidden="true" name="IQ_TRADING_REV_FOREIGN_FFIEC" vbProcedure="false">"c15377"</definedName>
    <definedName function="false" hidden="true" name="IQ_TRANSACTION_ACCOUNTS_FDIC" vbProcedure="false">"c6544"</definedName>
    <definedName function="false" hidden="true" name="IQ_TRANSACTION_LIST" vbProcedure="false">"c15126"</definedName>
    <definedName function="false" hidden="true" name="IQ_TRANSACTION_LIST_BANKRUPTCY" vbProcedure="false">"c15131"</definedName>
    <definedName function="false" hidden="true" name="IQ_TRANSACTION_LIST_BUYBACK" vbProcedure="false">"c15129"</definedName>
    <definedName function="false" hidden="true" name="IQ_TRANSACTION_LIST_INCL_SUBS" vbProcedure="false">"c15132"</definedName>
    <definedName function="false" hidden="true" name="IQ_TRANSACTION_LIST_INCL_SUBS_BANKRUPTCY" vbProcedure="false">"c15137"</definedName>
    <definedName function="false" hidden="true" name="IQ_TRANSACTION_LIST_INCL_SUBS_BUYBACK" vbProcedure="false">"c15135"</definedName>
    <definedName function="false" hidden="true" name="IQ_TRANSACTION_LIST_INCL_SUBS_MA" vbProcedure="false">"c15133"</definedName>
    <definedName function="false" hidden="true" name="IQ_TRANSACTION_LIST_INCL_SUBS_PO" vbProcedure="false">"c15136"</definedName>
    <definedName function="false" hidden="true" name="IQ_TRANSACTION_LIST_INCL_SUBS_PP" vbProcedure="false">"c15134"</definedName>
    <definedName function="false" hidden="true" name="IQ_TRANSACTION_LIST_MA" vbProcedure="false">"c15127"</definedName>
    <definedName function="false" hidden="true" name="IQ_TRANSACTION_LIST_PO" vbProcedure="false">"c15130"</definedName>
    <definedName function="false" hidden="true" name="IQ_TRANSACTION_LIST_PP" vbProcedure="false">"c15128"</definedName>
    <definedName function="false" hidden="true" name="IQ_TREASURER_ID" vbProcedure="false">"c15214"</definedName>
    <definedName function="false" hidden="true" name="IQ_TREASURER_NAME" vbProcedure="false">"c15213"</definedName>
    <definedName function="false" hidden="true" name="IQ_TREASURY" vbProcedure="false">"c1311"</definedName>
    <definedName function="false" hidden="true" name="IQ_TREASURY_OTHER_EQUITY" vbProcedure="false">"c1312"</definedName>
    <definedName function="false" hidden="true" name="IQ_TREASURY_OTHER_EQUITY_BNK" vbProcedure="false">"c1313"</definedName>
    <definedName function="false" hidden="true" name="IQ_TREASURY_OTHER_EQUITY_BR" vbProcedure="false">"c1314"</definedName>
    <definedName function="false" hidden="true" name="IQ_TREASURY_OTHER_EQUITY_FIN" vbProcedure="false">"c1315"</definedName>
    <definedName function="false" hidden="true" name="IQ_TREASURY_OTHER_EQUITY_INS" vbProcedure="false">"c1316"</definedName>
    <definedName function="false" hidden="true" name="IQ_TREASURY_OTHER_EQUITY_REIT" vbProcedure="false">"c1317"</definedName>
    <definedName function="false" hidden="true" name="IQ_TREASURY_OTHER_EQUITY_UTI" vbProcedure="false">"c1318"</definedName>
    <definedName function="false" hidden="true" name="IQ_TREASURY_STOCK" vbProcedure="false">"c1311"</definedName>
    <definedName function="false" hidden="true" name="IQ_TREASURY_STOCK_TRANSACTIONS_FDIC" vbProcedure="false">"c6501"</definedName>
    <definedName function="false" hidden="true" name="IQ_TREASURY_STOCK_TRANSACTIONS_FFIEC" vbProcedure="false">"c15352"</definedName>
    <definedName function="false" hidden="true" name="IQ_TRUST_INC" vbProcedure="false">"c1319"</definedName>
    <definedName function="false" hidden="true" name="IQ_TRUST_PREF" vbProcedure="false">"c1320"</definedName>
    <definedName function="false" hidden="true" name="IQ_TR_BUY_ADVISORS" vbProcedure="false">"c2387"</definedName>
    <definedName function="false" hidden="true" name="IQ_TR_SELL_ADVISORS" vbProcedure="false">"c2388"</definedName>
    <definedName function="false" hidden="true" name="IQ_TR_SUBDEBT" vbProcedure="false">"c2370"</definedName>
    <definedName function="false" hidden="true" name="IQ_TR_TARGET_ADVISORS" vbProcedure="false">"c2386"</definedName>
    <definedName function="false" hidden="true" name="IQ_TWELVE_MONTHS_FIXED_AND_FLOATING_FDIC" vbProcedure="false">"c6420"</definedName>
    <definedName function="false" hidden="true" name="IQ_TWELVE_MONTHS_MORTGAGE_PASS_THROUGHS_FDIC" vbProcedure="false">"c6412"</definedName>
    <definedName function="false" hidden="true" name="IQ_UNDIVIDED_PROFITS_FDIC" vbProcedure="false">"c6352"</definedName>
    <definedName function="false" hidden="true" name="IQ_UNEARNED_INCOME_FDIC" vbProcedure="false">"c6324"</definedName>
    <definedName function="false" hidden="true" name="IQ_UNEARNED_INCOME_FOREIGN_FDIC" vbProcedure="false">"c6385"</definedName>
    <definedName function="false" hidden="true" name="IQ_UNEARN_PREMIUM" vbProcedure="false">"c1321"</definedName>
    <definedName function="false" hidden="true" name="IQ_UNEARN_REV_CURRENT" vbProcedure="false">"c1322"</definedName>
    <definedName function="false" hidden="true" name="IQ_UNEARN_REV_CURRENT_BNK" vbProcedure="false">"c1323"</definedName>
    <definedName function="false" hidden="true" name="IQ_UNEARN_REV_CURRENT_BR" vbProcedure="false">"c1324"</definedName>
    <definedName function="false" hidden="true" name="IQ_UNEARN_REV_CURRENT_FIN" vbProcedure="false">"c1325"</definedName>
    <definedName function="false" hidden="true" name="IQ_UNEARN_REV_CURRENT_INS" vbProcedure="false">"c1326"</definedName>
    <definedName function="false" hidden="true" name="IQ_UNEARN_REV_CURRENT_REIT" vbProcedure="false">"c1327"</definedName>
    <definedName function="false" hidden="true" name="IQ_UNEARN_REV_CURRENT_UTI" vbProcedure="false">"c1328"</definedName>
    <definedName function="false" hidden="true" name="IQ_UNEARN_REV_LT" vbProcedure="false">"c1329"</definedName>
    <definedName function="false" hidden="true" name="IQ_UNPAID_CLAIMS" vbProcedure="false">"c1330"</definedName>
    <definedName function="false" hidden="true" name="IQ_UNPROFITABLE_INSTITUTIONS_FDIC" vbProcedure="false">"c6722"</definedName>
    <definedName function="false" hidden="true" name="IQ_UNREALIZED_GAIN" vbProcedure="false">"c1619"</definedName>
    <definedName function="false" hidden="true" name="IQ_UNUSED_LOAN_COMMITMENTS_FDIC" vbProcedure="false">"c6368"</definedName>
    <definedName function="false" hidden="true" name="IQ_UST_SECURITIES_GOVT_AGENCY_QUARTERLY_AVG_FFIEC" vbProcedure="false">"c15468"</definedName>
    <definedName function="false" hidden="true" name="IQ_UST_SEC_GOVT_AGENCY_CORP_QUARTERLY_AVG_FFIEC" vbProcedure="false">"c15469"</definedName>
    <definedName function="false" hidden="true" name="IQ_US_BANKS_OTHER_INST_FOREIGN_DEP_FFIEC" vbProcedure="false">"c15343"</definedName>
    <definedName function="false" hidden="true" name="IQ_US_BRANCHES_FOREIGN_BANKS_FDIC" vbProcedure="false">"c6390"</definedName>
    <definedName function="false" hidden="true" name="IQ_US_BRANCHES_FOREIGN_BANK_LOANS_FDIC" vbProcedure="false">"c6435"</definedName>
    <definedName function="false" hidden="true" name="IQ_US_GAAP" vbProcedure="false">"c1331"</definedName>
    <definedName function="false" hidden="true" name="IQ_US_GAAP_CA" vbProcedure="false">"c2930"</definedName>
    <definedName function="false" hidden="true" name="IQ_US_GAAP_CL" vbProcedure="false">"c2932"</definedName>
    <definedName function="false" hidden="true" name="IQ_US_GAAP_COST_REV" vbProcedure="false">"c2965"</definedName>
    <definedName function="false" hidden="true" name="IQ_US_GAAP_DO" vbProcedure="false">"c2973"</definedName>
    <definedName function="false" hidden="true" name="IQ_US_GAAP_EXTRA_ACC_ITEMS" vbProcedure="false">"c2972"</definedName>
    <definedName function="false" hidden="true" name="IQ_US_GAAP_INC_TAX" vbProcedure="false">"c2975"</definedName>
    <definedName function="false" hidden="true" name="IQ_US_GAAP_INTEREST_EXP" vbProcedure="false">"c2971"</definedName>
    <definedName function="false" hidden="true" name="IQ_US_GAAP_LIAB_LT" vbProcedure="false">"c2933"</definedName>
    <definedName function="false" hidden="true" name="IQ_US_GAAP_MINORITY_INTEREST_IS" vbProcedure="false">"c2974"</definedName>
    <definedName function="false" hidden="true" name="IQ_US_GAAP_NCA" vbProcedure="false">"c2931"</definedName>
    <definedName function="false" hidden="true" name="IQ_US_GAAP_NI_AVAIL_EXCL" vbProcedure="false">"c2977"</definedName>
    <definedName function="false" hidden="true" name="IQ_US_GAAP_OTHER_NON_OPER" vbProcedure="false">"c2969"</definedName>
    <definedName function="false" hidden="true" name="IQ_US_GAAP_OTHER_OPER" vbProcedure="false">"c2968"</definedName>
    <definedName function="false" hidden="true" name="IQ_US_GAAP_RD" vbProcedure="false">"c2967"</definedName>
    <definedName function="false" hidden="true" name="IQ_US_GAAP_SGA" vbProcedure="false">"c2966"</definedName>
    <definedName function="false" hidden="true" name="IQ_US_GAAP_TOTAL_REV" vbProcedure="false">"c2964"</definedName>
    <definedName function="false" hidden="true" name="IQ_US_GAAP_TOTAL_UNUSUAL" vbProcedure="false">"c2970"</definedName>
    <definedName function="false" hidden="true" name="IQ_US_GOVT_NON_TRANS_ACCTS_FFIEC" vbProcedure="false">"c15323"</definedName>
    <definedName function="false" hidden="true" name="IQ_US_GOVT_STATE_POLI_SUBD_IN_US_FOREIGN_DEP_FFIEC" vbProcedure="false">"c15346"</definedName>
    <definedName function="false" hidden="true" name="IQ_US_GOVT_TRANS_ACCTS_FFIEC" vbProcedure="false">"c15315"</definedName>
    <definedName function="false" hidden="true" name="IQ_US_GOV_AGENCIES_FDIC" vbProcedure="false">"c6395"</definedName>
    <definedName function="false" hidden="true" name="IQ_US_GOV_DEPOSITS_FDIC" vbProcedure="false">"c6483"</definedName>
    <definedName function="false" hidden="true" name="IQ_US_GOV_ENTERPRISES_FDIC" vbProcedure="false">"c6396"</definedName>
    <definedName function="false" hidden="true" name="IQ_US_GOV_NONCURRENT_LOANS_TOTAL_NONCURRENT_FDIC" vbProcedure="false">"c6779"</definedName>
    <definedName function="false" hidden="true" name="IQ_US_GOV_NONTRANSACTION_ACCOUNTS_FDIC" vbProcedure="false">"c6546"</definedName>
    <definedName function="false" hidden="true" name="IQ_US_GOV_OBLIGATIONS_FDIC" vbProcedure="false">"c6299"</definedName>
    <definedName function="false" hidden="true" name="IQ_US_GOV_SECURITIES_FDIC" vbProcedure="false">"c6297"</definedName>
    <definedName function="false" hidden="true" name="IQ_US_GOV_TOTAL_DEPOSITS_FDIC" vbProcedure="false">"c6472"</definedName>
    <definedName function="false" hidden="true" name="IQ_US_GOV_TRANSACTION_ACCOUNTS_FDIC" vbProcedure="false">"c6538"</definedName>
    <definedName function="false" hidden="true" name="IQ_US_TREASURY_SECURITIES_FDIC" vbProcedure="false">"c6298"</definedName>
    <definedName function="false" hidden="true" name="IQ_UTIL_PPE_NET" vbProcedure="false">"c1620"</definedName>
    <definedName function="false" hidden="true" name="IQ_UV_PENSION_LIAB" vbProcedure="false">"c1332"</definedName>
    <definedName function="false" hidden="true" name="IQ_VALUATION_ALLOWANCES_FDIC" vbProcedure="false">"c6400"</definedName>
    <definedName function="false" hidden="true" name="IQ_VALUE_TRADED_LAST_3MTH" vbProcedure="false">"c1530"</definedName>
    <definedName function="false" hidden="true" name="IQ_VALUE_TRADED_LAST_6MTH" vbProcedure="false">"c1531"</definedName>
    <definedName function="false" hidden="true" name="IQ_VALUE_TRADED_LAST_MTH" vbProcedure="false">"c1529"</definedName>
    <definedName function="false" hidden="true" name="IQ_VALUE_TRADED_LAST_WK" vbProcedure="false">"c1528"</definedName>
    <definedName function="false" hidden="true" name="IQ_VALUE_TRADED_LAST_YR" vbProcedure="false">"c1532"</definedName>
    <definedName function="false" hidden="true" name="IQ_VC_REVENUE_FDIC" vbProcedure="false">"c6667"</definedName>
    <definedName function="false" hidden="true" name="IQ_VEHICLE_LOANS" vbProcedure="false">"c15249"</definedName>
    <definedName function="false" hidden="true" name="IQ_VOLATILE_LIABILITIES_FDIC" vbProcedure="false">"c6364"</definedName>
    <definedName function="false" hidden="true" name="IQ_VOLUME" vbProcedure="false">"c1333"</definedName>
    <definedName function="false" hidden="true" name="IQ_VOL_LAST_3MTH" vbProcedure="false">"c1525"</definedName>
    <definedName function="false" hidden="true" name="IQ_VOL_LAST_6MTH" vbProcedure="false">"c1526"</definedName>
    <definedName function="false" hidden="true" name="IQ_VOL_LAST_MTH" vbProcedure="false">"c1524"</definedName>
    <definedName function="false" hidden="true" name="IQ_VOL_LAST_WK" vbProcedure="false">"c1523"</definedName>
    <definedName function="false" hidden="true" name="IQ_VOL_LAST_YR" vbProcedure="false">"c1527"</definedName>
    <definedName function="false" hidden="false" name="IQ_WEEK" vbProcedure="false">50000</definedName>
    <definedName function="false" hidden="true" name="IQ_WEIGHTED_AVG_PRICE" vbProcedure="false">"c1334"</definedName>
    <definedName function="false" hidden="true" name="IQ_WIP_INV" vbProcedure="false">"c1335"</definedName>
    <definedName function="false" hidden="true" name="IQ_WORKMEN_WRITTEN" vbProcedure="false">"c1336"</definedName>
    <definedName function="false" hidden="true" name="IQ_WRITTEN_OPTION_CONTRACTS_FDIC" vbProcedure="false">"c6509"</definedName>
    <definedName function="false" hidden="true" name="IQ_WRITTEN_OPTION_CONTRACTS_FX_RISK_FDIC" vbProcedure="false">"c6514"</definedName>
    <definedName function="false" hidden="true" name="IQ_WRITTEN_OPTION_CONTRACTS_NON_FX_IR_FDIC" vbProcedure="false">"c6519"</definedName>
    <definedName function="false" hidden="true" name="IQ_XDIV_DATE1" vbProcedure="false">"c2104"</definedName>
    <definedName function="false" hidden="true" name="IQ_YEARHIGH" vbProcedure="false">"c1337"</definedName>
    <definedName function="false" hidden="true" name="IQ_YEARLOW" vbProcedure="false">"c1338"</definedName>
    <definedName function="false" hidden="false" name="IQ_YTD" vbProcedure="false">3000</definedName>
    <definedName function="false" hidden="true" name="IQ_YTDMONTH" vbProcedure="false">130000</definedName>
    <definedName function="false" hidden="true" name="IQ_Z_SCORE" vbProcedure="false">"c1339"</definedName>
    <definedName function="false" hidden="true" name="Irbe" vbProcedure="false">{#N/A,#N/A,FALSE,"Pharm";#N/A,#N/A,FALSE,"WWCM"}</definedName>
    <definedName function="false" hidden="true" name="IRE" vbProcedure="false">{#N/A,#N/A,FALSE,"단축1";#N/A,#N/A,FALSE,"단축2";#N/A,#N/A,FALSE,"단축3";#N/A,#N/A,FALSE,"장축";#N/A,#N/A,FALSE,"4WD"}</definedName>
    <definedName function="false" hidden="true" name="Irene" vbProcedure="false">1/eurextopte</definedName>
    <definedName function="false" hidden="true" name="iris" vbProcedure="false">{#N/A,#N/A,FALSE,"Report-Generator";#N/A,#N/A,FALSE,"S.1 Zusammenfassung";#N/A,#N/A,FALSE,"S.2 Modellrendite";#N/A,#N/A,FALSE,"S.3a Absatzvolumen";#N/A,#N/A,FALSE,"S.3b Absatzvolumen";#N/A,#N/A,FALSE,"S.3c Absatzvolumen";#N/A,#N/A,FALSE,"S.4 Volumen, Mix";#N/A,#N/A,FALSE,"S.5 Produktaufwand";#N/A,#N/A,FALSE,"S.6 Prop. Herstellkosten";#N/A,#N/A,FALSE,"S.7 DB-Vergleich";#N/A,#N/A,FALSE,"S.8 DB-Vergleich";#N/A,#N/A,FALSE,"S.9 DB-Vergleich";#N/A,#N/A,FALSE,"S.10 MR-Berechnung"}</definedName>
    <definedName function="false" hidden="true" name="IRI_WorkspaceId" vbProcedure="false">"de30bb9444bc4d639e94ada41672e49b"</definedName>
    <definedName function="false" hidden="true" name="IsColHidden" vbProcedure="false">FALSE()</definedName>
    <definedName function="false" hidden="true" name="ISFOXAutomaticLabelingDisabled" vbProcedure="false">"True"</definedName>
    <definedName function="false" hidden="true" name="ISFOXClassificationHistory_0" vbProcedure="false">"EMEA\muellerpet;d4c75f49-f1ee-485c-aa75-2c54e2ab5223;Intern;2017-07-04T10:40:55;;Lorange|"</definedName>
    <definedName function="false" hidden="true" name="ISFOXClassificationId" vbProcedure="false">"d4c75f49-f1ee-485c-aa75-2c54e2ab5223"</definedName>
    <definedName function="false" hidden="true" name="ISFOXClassificationName" vbProcedure="false">"Intern"</definedName>
    <definedName function="false" hidden="true" name="ISFOXDocumentClassificationVersion" vbProcedure="false">3</definedName>
    <definedName function="false" hidden="true" name="ISFOXOldClassificationId" vbProcedure="false">"d4c75f49-f1ee-485c-aa75-2c54e2ab5223"</definedName>
    <definedName function="false" hidden="true" name="ISFOXPrefix" vbProcedure="false">"Lorange"</definedName>
    <definedName function="false" hidden="true" name="ISFOXPreviousClassificationId" vbProcedure="false">"d4c75f49-f1ee-485c-aa75-2c54e2ab5223"</definedName>
    <definedName function="false" hidden="true" name="ISFOXShowClassificationRequestWindow" vbProcedure="false">"False"</definedName>
    <definedName function="false" hidden="true" name="ISFOXVersionHistoryCount" vbProcedure="false">1</definedName>
    <definedName function="false" hidden="true" name="ISFOXWorkbookInitialized" vbProcedure="false">"False"</definedName>
    <definedName function="false" hidden="true" name="ishideend" vbProcedure="false">#REF!</definedName>
    <definedName function="false" hidden="true" name="ishidestart" vbProcedure="false">#REF!</definedName>
    <definedName function="false" hidden="true" name="IsLTMColHidden" vbProcedure="false">FALSE()</definedName>
    <definedName function="false" hidden="true" name="IsSecureSenior1" vbProcedure="false">#REF!</definedName>
    <definedName function="false" hidden="true" name="IsSecureSenior2" vbProcedure="false">#REF!</definedName>
    <definedName function="false" hidden="true" name="IsSecureSenior3" vbProcedure="false">#REF!</definedName>
    <definedName function="false" hidden="true" name="IsSecureSenior4" vbProcedure="false">#REF!</definedName>
    <definedName function="false" hidden="true" name="IsSecureSenior5" vbProcedure="false">#REF!</definedName>
    <definedName function="false" hidden="true" name="IsSecureSenior6" vbProcedure="false">#REF!</definedName>
    <definedName function="false" hidden="true" name="IsSecureSenior7" vbProcedure="false">#REF!</definedName>
    <definedName function="false" hidden="true" name="Issue" vbProcedure="false">"BL7FKFTY6NDALOTZZF8PFRAS6"</definedName>
    <definedName function="false" hidden="true" name="ISS_DEBT_NET" vbProcedure="false">"ISS_DEBT_NET"</definedName>
    <definedName function="false" hidden="true" name="ISS_STOCK_NET" vbProcedure="false">"ISS_STOCK_NET"</definedName>
    <definedName function="false" hidden="true" name="it" vbProcedure="false">{"";TRUE;TRUE;TRUE;TRUE;TRUE;TRUE;"R1C1:R32C11";FALSE;FALSE;FALSE;FALSE;FALSE;FALSE;FALSE;61;FALSE;FALSE;FALSE;FALSE;FALSE;"";FALSE;FALSE}</definedName>
    <definedName function="false" hidden="true" name="ITE" vbProcedure="false">{#N/A,#N/A,TRUE,"RESULTATRÄKNING";#N/A,#N/A,TRUE,"BALANSRÄKNING";#N/A,#N/A,TRUE,"BALANSRÄKNING2";#N/A,#N/A,TRUE,"Bilaga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function="false" hidden="true" name="ITLeXToEUR" vbProcedure="false">1/eurextoitl</definedName>
    <definedName function="false" hidden="true" name="itre" vbProcedure="false">{"HEADCOUNT",#N/A,FALSE,"labor"}</definedName>
    <definedName function="false" hidden="true" name="ityiu" vbProcedure="false">{#N/A,#N/A,TRUE,"Historicals";#N/A,#N/A,TRUE,"Charts";#N/A,#N/A,TRUE,"Forecasts"}</definedName>
    <definedName function="false" hidden="true" name="iu" vbProcedure="false">{#N/A,#N/A,TRUE,"Staffnos &amp; cost"}</definedName>
    <definedName function="false" hidden="true" name="IUJ" vbProcedure="false">{"'Demand Units'!$X$11:$AD$45"}</definedName>
    <definedName function="false" hidden="true" name="iungds" vbProcedure="false">{"detail",#N/A,FALSE,"mfg";"summary",#N/A,FALSE,"mfg"}</definedName>
    <definedName function="false" hidden="true" name="iuou" vbProcedure="false">{"WACC",#N/A,FALSE,"Bewertung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function="false" hidden="true" name="iuoui" vbProcedure="false">#REF!</definedName>
    <definedName function="false" hidden="true" name="IUYIYH" vbProcedure="false">{"'Demand Units'!$X$11:$AD$45"}</definedName>
    <definedName function="false" hidden="true" name="iuyt" vbProcedure="false">{"AS REP",#N/A,FALSE,"EEFSNAP2";"PROP",#N/A,FALSE,"EEFSNAP2";"RISKS",#N/A,FALSE,"EEFSNAP2";"VIEW ALL",#N/A,FALSE,"EEFSNAP2"}</definedName>
    <definedName function="false" hidden="true" name="iwonder" vbProcedure="false">{"PA1",#N/A,FALSE,"BORDMW";"pa2",#N/A,FALSE,"BORDMW";"PA3",#N/A,FALSE,"BORDMW";"PA4",#N/A,FALSE,"BORDMW"}</definedName>
    <definedName function="false" hidden="true" name="iwonder2" vbProcedure="false">{#N/A,#N/A,TRUE,"Main assumptions";#N/A,#N/A,TRUE,"Subscriber projections";#N/A,#N/A,TRUE,"Revenues";#N/A,#N/A,TRUE,"Opex";#N/A,#N/A,TRUE,"Capex";#N/A,#N/A,TRUE,"Working capital";#N/A,#N/A,TRUE,"P&amp;L";#N/A,#N/A,TRUE,"Cash";#N/A,#N/A,TRUE,"Balance";#N/A,#N/A,TRUE,"Valuation";#N/A,#N/A,TRUE,"Bench"}</definedName>
    <definedName function="false" hidden="true" name="iy" vbProcedure="false">{"AS REP",#N/A,FALSE,"EEFSNAP2";"PROP",#N/A,FALSE,"EEFSNAP2";"RISKS",#N/A,FALSE,"EEFSNAP2";"VIEW ALL",#N/A,FALSE,"EEFSNAP2"}</definedName>
    <definedName function="false" hidden="true" name="iü" vbProcedure="false">{"sbfk2",#N/A,FALSE,"A";"sbkf3",#N/A,FALSE,"A";"sbkf4",#N/A,FALSE,"A";"sbkf1",#N/A,FALSE,"A"}</definedName>
    <definedName function="false" hidden="true" name="iüip" vbProcedure="false">{#N/A,#N/A,FALSE,"DK1VER";#N/A,#N/A,FALSE,"DK1VER"}</definedName>
    <definedName function="false" hidden="true" name="j" vbProcedure="false">{"LEVEL1","UKCONSGAAP",TRUE," Corp PL 2 (LEVEL 1)";"LEVEL2",#N/A,TRUE,"Sum  Div (LEVEL 2)";"LEVEL1","CORE",TRUE," Corp PL 2 (LEVEL 1)";"LEVEL2",#N/A,TRUE,"Sum  Div (LEVEL 2)";"LEVEL1","HSSUNDRIES_GAAP",TRUE," Corp PL 2 (LEVEL 1)";"LEVEL2",#N/A,TRUE,"Sum  Div (LEVEL 2)";"LEVEL1","KENTEXP_GAAP",TRUE," Corp PL 2 (LEVEL 1)";"LEVEL2",#N/A,TRUE,"Sum  Div (LEVEL 2)";"LEVEL1","BUDGET_GAAP",TRUE," Corp PL 2 (LEVEL 1)";"LEVEL2",#N/A,TRUE,"Sum  Div (LEVEL 2)";"LEVEL1","BLACKWELL_GAAP",TRUE," Corp PL 2 (LEVEL 1)";"LEVEL2",#N/A,TRUE,"Sum  Div (LEVEL 2)";"LEVEL1","ZAHNLAB_GAAP",TRUE," Corp PL 2 (LEVEL 1)";"LEVEL2",#N/A,TRUE,"Sum  Div (LEVEL 2)";"LEVEL1","HSUKHOLD_GAAP",TRUE," Corp PL 2 (LEVEL 1)";"LEVEL2",#N/A,TRUE,"Sum  Div (LEVEL 2)";"LEVEL1","HSFINANCE_GAAP",TRUE," Corp PL 2 (LEVEL 1)";"LEVEL2",#N/A,TRUE,"Sum  Div (LEVEL 2)";"LEVEL1","HSSALESELIM",TRUE," Corp PL 2 (LEVEL 1)";"LEVEL2",#N/A,TRUE,"Sum  Div (LEVEL 2)";"LEVEL1","HSEQUIP_GAAP",TRUE," Corp PL 2 (LEVEL 1)";"LEVEL2",#N/A,TRUE,"Sum  Div (LEVEL 2)";"LEVEL1","HSTECHIR_GAAP",TRUE," Corp PL 2 (LEVEL 1)";"LEVEL2",#N/A,TRUE,"Sum  Div (LEVEL 2)";"LEVEL1","HSKM_GAAP",TRUE," Corp PL 2 (LEVEL 1)";"LEVEL2",#N/A,TRUE,"Sum  Div (LEVEL 2)";"LEVEL1","HSIRELAND_GAAP",TRUE," Corp PL 2 (LEVEL 1)";"LEVEL2",#N/A,TRUE,"Sum  Div (LEVEL 2)";"LEVEL1","ZAHNDENTAL_GAAP",TRUE," Corp PL 2 (LEVEL 1)";"LEVEL2",#N/A,TRUE,"Sum  Div (LEVEL 2)";"LEVEL1","BAINTERN_GAAP",TRUE," Corp PL 2 (LEVEL 1)";"LEVEL2",#N/A,TRUE,"Sum  Div (LEVEL 2)";"LEVEL1","PORTNASH_GAAP",TRUE," Corp PL 2 (LEVEL 1)";"LEVEL2",#N/A,TRUE,"Sum  Div (LEVEL 2)"}</definedName>
    <definedName function="false" hidden="true" name="janice" vbProcedure="false">{"'FXRates AUD'!$AH$586"}</definedName>
    <definedName function="false" hidden="true" name="janis" vbProcedure="false">{#N/A,#N/A,TRUE,"0 Deckbl.";#N/A,#N/A,TRUE,"S 1 Komm";#N/A,#N/A,TRUE,"S 1a Komm";#N/A,#N/A,TRUE,"S 1b Komm";#N/A,#N/A,TRUE,"S  2 DBR";#N/A,#N/A,TRUE,"S  3 Sparten";#N/A,#N/A,TRUE,"S 4  Betr. K.";#N/A,#N/A,TRUE,"6 Bilanz";#N/A,#N/A,TRUE,"6a Bilanz ";#N/A,#N/A,TRUE,"6b Bilanz ";#N/A,#N/A,TRUE,"7 GS I";#N/A,#N/A,TRUE,"S 8 EQ-GuV"}</definedName>
    <definedName function="false" hidden="true" name="JAR" vbProcedure="false">{"'Data'!$A$1:$D$17"}</definedName>
    <definedName function="false" hidden="true" name="Jarudo" vbProcedure="false">{"Burden (burden)",#N/A,FALSE,"burden"}</definedName>
    <definedName function="false" hidden="true" name="jason" vbProcedure="false">{#N/A,#N/A,FALSE,"TS";#N/A,#N/A,FALSE,"Combo";#N/A,#N/A,FALSE,"FAIR";#N/A,#N/A,FALSE,"RBC";#N/A,#N/A,FALSE,"xxxx";#N/A,#N/A,FALSE,"A_D";#N/A,#N/A,FALSE,"WACC";#N/A,#N/A,FALSE,"DCF";#N/A,#N/A,FALSE,"LBO";#N/A,#N/A,FALSE,"AcqMults";#N/A,#N/A,FALSE,"CompMults"}</definedName>
    <definedName function="false" hidden="true" name="jazz" vbProcedure="false">{#N/A,#N/A,FALSE,"Spain MKT";#N/A,#N/A,FALSE,"Assumptions";#N/A,#N/A,FALSE,"Adve";#N/A,#N/A,FALSE,"E-Commerce";#N/A,#N/A,FALSE,"Opex";#N/A,#N/A,FALSE,"P&amp;L";#N/A,#N/A,FALSE,"FCF &amp; DCF"}</definedName>
    <definedName function="false" hidden="true" name="jazz2" vbProcedure="false">{#N/A,#N/A,FALSE,"Spain MKT";#N/A,#N/A,FALSE,"Assumptions";#N/A,#N/A,FALSE,"Adve";#N/A,#N/A,FALSE,"E-Commerce";#N/A,#N/A,FALSE,"Opex";#N/A,#N/A,FALSE,"P&amp;L";#N/A,#N/A,FALSE,"FCF &amp; DCF"}</definedName>
    <definedName function="false" hidden="true" name="jb" vbProcedure="false">{"Tages_D",#N/A,FALSE,"Tagesbericht";"Tages_PL",#N/A,FALSE,"Tagesbericht"}</definedName>
    <definedName function="false" hidden="true" name="jbujbj" vbProcedure="false">{"REVISED",#N/A,FALSE,"Sheet1"}</definedName>
    <definedName function="false" hidden="true" name="jdghgfh" vbProcedure="false">{#N/A,#N/A,FALSE,"V3 Stab-Geb Index";#N/A,#N/A,FALSE,"Vertrieb";#N/A,#N/A,FALSE,"V Daten";#N/A,#N/A,FALSE,"V-Z-Index";#N/A,#N/A,FALSE,"V-1 Daten";#N/A,#N/A,FALSE,"V-1 Index";#N/A,#N/A,FALSE,"V-2 Index";#N/A,#N/A,FALSE,"V-3 Daten";#N/A,#N/A,FALSE,"V3 Stab-Geb Index";#N/A,#N/A,FALSE,"V-3 VG's Index";#N/A,#N/A,FALSE,"V-4 Index";#N/A,#N/A,FALSE,"V-5 Index"}</definedName>
    <definedName function="false" hidden="true" name="jdghgfh2" vbProcedure="false">{#N/A,#N/A,FALSE,"V3 Stab-Geb Index";#N/A,#N/A,FALSE,"Vertrieb";#N/A,#N/A,FALSE,"V Daten";#N/A,#N/A,FALSE,"V-Z-Index";#N/A,#N/A,FALSE,"V-1 Daten";#N/A,#N/A,FALSE,"V-1 Index";#N/A,#N/A,FALSE,"V-2 Index";#N/A,#N/A,FALSE,"V-3 Daten";#N/A,#N/A,FALSE,"V3 Stab-Geb Index";#N/A,#N/A,FALSE,"V-3 VG's Index";#N/A,#N/A,FALSE,"V-4 Index";#N/A,#N/A,FALSE,"V-5 Index"}</definedName>
    <definedName function="false" hidden="true" name="JDJBNG5" vbProcedure="false">{"'Title Transfer Units6,7,&amp;8'!$A$1:$B$4","'Title Transfer Units6,7,&amp;8'!$C$6"}</definedName>
    <definedName function="false" hidden="true" name="je" vbProcedure="false">{#N/A,#N/A,FALSE,"Aging Summary";#N/A,#N/A,FALSE,"Ratio Analysis";#N/A,#N/A,FALSE,"Test 120 Day Accts";#N/A,#N/A,FALSE,"Tickmarks"}</definedName>
    <definedName function="false" hidden="true" name="jedf" vbProcedure="false">{#N/A,#N/A,TRUE,"Historicals";#N/A,#N/A,TRUE,"Charts";#N/A,#N/A,TRUE,"Forecasts"}</definedName>
    <definedName function="false" hidden="true" name="jeine" vbProcedure="false">{"Tages_D",#N/A,FALSE,"Tagesbericht";"Tages_PL",#N/A,FALSE,"Tagesbericht"}</definedName>
    <definedName function="false" hidden="true" name="jen" vbProcedure="false">{TRUE,TRUE,-1.25,-15.5,456.75,279.75,FALSE,FALSE,TRUE,TRUE,0,1,8,1,4,6,3,4,TRUE,TRUE,3,TRUE,1,TRUE,100,"Swvu.turnover.","ACwvu.turnover.",1,FALSE,FALSE,0.511811023622047,0.511811023622047,0.511811023622047,0.511811023622047,1,"","",FALSE,FALSE,FALSE,FALSE,1,#N/A,1,1,#DIV/0!,FALSE,"Rwvu.turnover.",#N/A,FALSE,FALSE}</definedName>
    <definedName function="false" hidden="true" name="Jenni" vbProcedure="false">{"A_Vorstand",#N/A,TRUE,"PK Szenario ";"B_Nord",#N/A,TRUE,"PK Szenario ";"C_Nordwest",#N/A,TRUE,"PK Szenario ";"D_West",#N/A,TRUE,"PK Szenario ";"E_Südwest",#N/A,TRUE,"PK Szenario ";"F_Süd",#N/A,TRUE,"PK Szenario ";"G_Ost",#N/A,TRUE,"PK Szenario ";"H_Gesamt",#N/A,TRUE,"PK Szenario "}</definedName>
    <definedName function="false" hidden="true" name="jfdsir" vbProcedure="false">{"YTD",#N/A,FALSE,"SUM"}</definedName>
    <definedName function="false" hidden="true" name="jffhd" vbProcedure="false">{#N/A,#N/A,TRUE,"Staffnos &amp; cost"}</definedName>
    <definedName function="false" hidden="true" name="jfhk" vbProcedure="false">{#N/A,#N/A,TRUE,"Historicals";#N/A,#N/A,TRUE,"Charts";#N/A,#N/A,TRUE,"Forecasts"}</definedName>
    <definedName function="false" hidden="true" name="JFMEWOP" vbProcedure="false">{"'Demand Units'!$X$11:$AD$45"}</definedName>
    <definedName function="false" hidden="true" name="jg" vbProcedure="false">{#N/A,#N/A,TRUE,"RIDE";#N/A,#N/A,TRUE,"STEERING";#N/A,#N/A,TRUE,"HANDLING";#N/A,#N/A,TRUE,"BRAKING"}</definedName>
    <definedName function="false" hidden="true" name="JGFKJG" vbProcedure="false">{"'Demand Units'!$X$11:$AD$45"}</definedName>
    <definedName function="false" hidden="true" name="JGHJ" vbProcedure="false">{#N/A,#N/A,FALSE,"단축1";#N/A,#N/A,FALSE,"단축2";#N/A,#N/A,FALSE,"단축3";#N/A,#N/A,FALSE,"장축";#N/A,#N/A,FALSE,"4WD"}</definedName>
    <definedName function="false" hidden="true" name="jghjg" vbProcedure="false">{#N/A,#N/A,FALSE,"Produkte Erw.";#N/A,#N/A,FALSE,"Produkte Plan";#N/A,#N/A,FALSE,"Leistungen Erw.";#N/A,#N/A,FALSE,"Leistungen Plan";#N/A,#N/A,FALSE,"KA Allg.Kosten (2)";#N/A,#N/A,FALSE,"KA All.Kosten"}</definedName>
    <definedName function="false" hidden="true" name="jghjghjg" vbProcedure="false">{#N/A,#N/A,FALSE,"Layout Aktiva";#N/A,#N/A,FALSE,"Layout Passiva";#N/A,#N/A,FALSE,"Layout GuV";#N/A,#N/A,FALSE,"Layout Cash Flow";#N/A,#N/A,FALSE,"Mittelherkunft";#N/A,#N/A,FALSE,"Mittelverwendung";#N/A,#N/A,FALSE,"Finanzbedarfsrechnung"}</definedName>
    <definedName function="false" hidden="true" name="jghjhlldc" vbProcedure="false">{#N/A,#N/A,FALSE,"Umsatz CH";#N/A,#N/A,FALSE,"ER CH";#N/A,#N/A,FALSE,"EA CH (2) ";#N/A,#N/A,FALSE,"EA CH";#N/A,#N/A,FALSE,"EA CH (3) ";#N/A,#N/A,FALSE,"EA CH (4)";#N/A,#N/A,FALSE,"KA CH";#N/A,#N/A,FALSE,"KA CH  (2)";#N/A,#N/A,FALSE,"KA CH  (3)";#N/A,#N/A,FALSE,"KA CH (4)"}</definedName>
    <definedName function="false" hidden="true" name="jgji" vbProcedure="false">{#N/A,#N/A,TRUE,"Cover";#N/A,#N/A,TRUE,"Input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function="false" hidden="true" name="jhgf" vbProcedure="false">{"Commentary",#N/A,FALSE,"May"}</definedName>
    <definedName function="false" hidden="true" name="jhgjhgjghj" vbProcedure="false">{"mgmt forecast",#N/A,FALSE,"Mgmt Forecast";"dcf table",#N/A,FALSE,"Mgmt Forecast";"sensitivity",#N/A,FALSE,"Mgmt Forecast";"table inputs",#N/A,FALSE,"Mgmt Forecast";"calculations",#N/A,FALSE,"Mgmt Forecast"}</definedName>
    <definedName function="false" hidden="true" name="jhh" vbProcedure="false">{"EVA",#N/A,FALSE,"EVA";"WACC",#N/A,FALSE,"WACC"}</definedName>
    <definedName function="false" hidden="true" name="jhhgjh" vbProcedure="false">{#N/A,#N/A,FALSE,"KA CH  (2)"}</definedName>
    <definedName function="false" hidden="true" name="jhhjgj" vbProcedure="false">{#N/A,#N/A,TRUE,"Historicals";#N/A,#N/A,TRUE,"Charts";#N/A,#N/A,TRUE,"Forecasts"}</definedName>
    <definedName function="false" hidden="true" name="jhj" vbProcedure="false">#REF!</definedName>
    <definedName function="false" hidden="true" name="jhjhgj"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jhk" vbProcedure="false">{"print 1",#N/A,FALSE,"PrimeCo PCS";"print 2",#N/A,FALSE,"PrimeCo PCS";"valuation",#N/A,FALSE,"PrimeCo PCS"}</definedName>
    <definedName function="false" hidden="true" name="jhkgh" vbProcedure="false">{#N/A,#N/A,TRUE,"Historicals";#N/A,#N/A,TRUE,"Charts";#N/A,#N/A,TRUE,"Forecasts"}</definedName>
    <definedName function="false" hidden="true" name="jhkjliij" vbProcedure="false">{"res_travail",#N/A,FALSE,"Résultats"}</definedName>
    <definedName function="false" hidden="true" name="jhkkjk" vbProcedure="false">{"mgmt forecast",#N/A,FALSE,"Mgmt Forecast";"dcf table",#N/A,FALSE,"Mgmt Forecast";"sensitivity",#N/A,FALSE,"Mgmt Forecast";"table inputs",#N/A,FALSE,"Mgmt Forecast";"calculations",#N/A,FALSE,"Mgmt Forecast"}</definedName>
    <definedName function="false" hidden="true" name="jhll" vbProcedure="false">{#N/A,#N/A,FALSE,"PMW Gruppe 99_98";#N/A,#N/A,FALSE,"PMW KG 98_99";#N/A,#N/A,FALSE,"PMW Inc. 99_98";#N/A,#N/A,FALSE,"PMW VTECH 99_98";#N/A,#N/A,FALSE,"PMW Thail. 99_98";#N/A,#N/A,FALSE,"PMW Canada 99_98";#N/A,#N/A,FALSE,"Währungsabw. 99_98"}</definedName>
    <definedName function="false" hidden="true" name="jhmnfhgvnb" vbProcedure="false">{#N/A,#N/A,TRUE,"Historicals";#N/A,#N/A,TRUE,"Charts";#N/A,#N/A,TRUE,"Forecasts"}</definedName>
    <definedName function="false" hidden="true" name="jhu" vbProcedure="false">{#N/A,"PURADD",FALSE,"Business Analysis";#N/A,"PURSPP",FALSE,"Business Analysis";#N/A,"CTGIND",FALSE,"Business Analysis";#N/A,"PURCHM",FALSE,"Business Analysis";#N/A,"SPADD",FALSE,"Business Analysis";#N/A,"EPOXY",FALSE,"Business Analysis";#N/A,"PURPER",FALSE,"Business Analysis"}</definedName>
    <definedName function="false" hidden="true" name="ji" vbProcedure="false">{"'Highlights'!$A$1:$M$123"}</definedName>
    <definedName function="false" hidden="true" name="jih" vbProcedure="false">{"summary",#N/A,FALSE,"$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function="false" hidden="true" name="jim" vbProcedure="false">{#N/A,#N/A,TRUE,"PSG Total Contacts";#N/A,#N/A,TRUE,"PSG Rep Total";#N/A,#N/A,TRUE,"Core Rep Detail";#N/A,#N/A,TRUE,"BC Rep Detail";#N/A,#N/A,TRUE,"Marlboro";#N/A,#N/A,TRUE,"Covington";#N/A,#N/A,TRUE,"Dallas";#N/A,#N/A,TRUE,"VRS Stats";#N/A,#N/A,TRUE,"Internet";#N/A,#N/A,TRUE,"NCO and Call Mix";#N/A,#N/A,TRUE,"VRS &amp; Rep Calls"}</definedName>
    <definedName function="false" hidden="true" name="jimm" vbProcedure="false">{"'Directory'!$A$72:$E$91"}</definedName>
    <definedName function="false" hidden="true" name="jip" vbProcedure="false">{"'Highlights'!$A$1:$M$123"}</definedName>
    <definedName function="false" hidden="true" name="jj" vbProcedure="false">#REF!</definedName>
    <definedName function="false" hidden="true" name="jj.l" vbProcedure="false">{#N/A,#N/A,FALSE,"Umsatz EO BP";#N/A,#N/A,FALSE,"Umsatz EO OP";#N/A,#N/A,FALSE,"ER EO BP";#N/A,#N/A,FALSE,"ER EO OP";#N/A,#N/A,FALSE,"EA EO (2)";#N/A,#N/A,FALSE,"EA EO";#N/A,#N/A,FALSE,"EA EO (3)";#N/A,#N/A,FALSE,"EA EO (4)";#N/A,#N/A,FALSE,"KA EO  (2)";#N/A,#N/A,FALSE,"KA EO";#N/A,#N/A,FALSE,"KA EO  (3)";#N/A,#N/A,FALSE,"KA EO (4)"}</definedName>
    <definedName function="false" hidden="true" name="jjhg.lllll" vbProcedure="false">{#N/A,#N/A,FALSE,"Umsatz HM";#N/A,#N/A,FALSE,"ER HM";#N/A,#N/A,FALSE,"EA HM  (2)";#N/A,#N/A,FALSE,"EA HM ";#N/A,#N/A,FALSE,"EA HM  (4)";#N/A,#N/A,FALSE,"EA HM  (3)";#N/A,#N/A,FALSE,"KA HM  (2)";#N/A,#N/A,FALSE,"KA HM";#N/A,#N/A,FALSE,"KA HM  (3)";#N/A,#N/A,FALSE,"KA HM (4)"}</definedName>
    <definedName function="false" hidden="true" name="jjj" vbProcedure="false">{#N/A,#N/A,FALSE,"REPORT"}</definedName>
    <definedName function="false" hidden="true" name="jjjj" vbProcedure="false">{#N/A,#N/A,FALSE,"Staffnos &amp; cost"}</definedName>
    <definedName function="false" hidden="true" name="jjjjj" vbProcedure="false">{"fleisch",#N/A,FALSE,"WG HK";"food",#N/A,FALSE,"WG HK";"hartwaren",#N/A,FALSE,"WG HK";"weichwaren",#N/A,FALSE,"WG HK"}</definedName>
    <definedName function="false" hidden="true" name="jjjklll" vbProcedure="false">{"fleisch",#N/A,FALSE,"WG HK";"food",#N/A,FALSE,"WG HK";"hartwaren",#N/A,FALSE,"WG HK";"weichwaren",#N/A,FALSE,"WG HK"}</definedName>
    <definedName function="false" hidden="true" name="jk" vbProcedure="false">{#N/A,#N/A,FALSE,"FY97";#N/A,#N/A,FALSE,"FY98";#N/A,#N/A,FALSE,"FY99";#N/A,#N/A,FALSE,"FY00";#N/A,#N/A,FALSE,"FY01"}</definedName>
    <definedName function="false" hidden="true" name="jkhklj" vbProcedure="false">{#N/A,#N/A,FALSE,"Index";#N/A,#N/A,FALSE,"1.1";#N/A,#N/A,FALSE,"Scenario Summary"}</definedName>
    <definedName function="false" hidden="true" name="jkiu" vbProcedure="false">{#N/A,"PURCHM",FALSE,"Business Analysis";#N/A,"SPADD",FALSE,"Business Analysis"}</definedName>
    <definedName function="false" hidden="true" name="jkj" vbProcedure="false">{"rep1",#N/A,FALSE,"ריכוז";"REP7",#N/A,FALSE,"מפורט_אזורים_ער""ז";"REP2",#N/A,FALSE,"מפורט1";"REP3",#N/A,FALSE,"מפורט1";"REP4",#N/A,FALSE,"מפורט2";"REP5",#N/A,FALSE,"מפורט2";"REP6",#N/A,FALSE,"מפורט2"}</definedName>
    <definedName function="false" hidden="true" name="jkjhk" vbProcedure="false">{#N/A,#N/A,FALSE,"Produkte Erw.";#N/A,#N/A,FALSE,"Produkte Plan";#N/A,#N/A,FALSE,"Leistungen Erw.";#N/A,#N/A,FALSE,"Leistungen Plan";#N/A,#N/A,FALSE,"KA Allg.Kosten (2)";#N/A,#N/A,FALSE,"KA All.Kosten"}</definedName>
    <definedName function="false" hidden="true" name="jkjk"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jkjkjk" vbProcedure="false">{"GuVGmbH",#N/A,FALSE,"ratios";"BilanzGmbH",#N/A,FALSE,"ratios";"BilanzKG",#N/A,FALSE,"ratios";"GuVKG",#N/A,FALSE,"ratios"}</definedName>
    <definedName function="false" hidden="true" name="jkkjhkj"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jkl" vbProcedure="false">{#N/A,#N/A,FALSE,"REPORT"}</definedName>
    <definedName function="false" hidden="true" name="jklk" vbProcedure="false">{#N/A,#N/A,FALSE,"Umsatz OK";#N/A,#N/A,FALSE,"ER OK ";#N/A,#N/A,FALSE,"EA OK (2)";#N/A,#N/A,FALSE,"EA OK";#N/A,#N/A,FALSE,"EA OK (3)";#N/A,#N/A,FALSE,"EA OK (4)";#N/A,#N/A,FALSE,"KA OK  (2)";#N/A,#N/A,FALSE,"KA OK";#N/A,#N/A,FALSE,"KA OK  (3)";#N/A,#N/A,FALSE,"KA OK (4)"}</definedName>
    <definedName function="false" hidden="true" name="jklkj" vbProcedure="false">{"Sum1",#N/A,FALSE,"Reserve Report";"Sum2",#N/A,FALSE,"Reserve Report";"Sum3",#N/A,FALSE,"Reserve Report";"Sum4",#N/A,FALSE,"Reserve Report"}</definedName>
    <definedName function="false" hidden="true" name="jklñ"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jklö" vbProcedure="false">{#N/A,#N/A,FALSE,"Mittelherkunft";#N/A,#N/A,FALSE,"Mittelverwendung"}</definedName>
    <definedName function="false" hidden="true" name="jkwsd" vbProcedure="false">{"detail",#N/A,FALSE,"mfg";"summary",#N/A,FALSE,"mfg"}</definedName>
    <definedName function="false" hidden="true" name="jl" vbProcedure="false">{#N/A,#N/A,FALSE,"INPUTS";#N/A,#N/A,FALSE,"PROFORMA BSHEET";#N/A,#N/A,FALSE,"COMBINED";#N/A,#N/A,FALSE,"HIGH YIELD";#N/A,#N/A,FALSE,"COMB_GRAPHS"}</definedName>
    <definedName function="false" hidden="true" name="jn" vbProcedure="false">{"'Demand Units'!$Z$2:$AF$53"}</definedName>
    <definedName function="false" hidden="true" name="jnbid" vbProcedure="false">{"detail",#N/A,FALSE,"mfg";"summary",#N/A,FALSE,"mfg"}</definedName>
    <definedName function="false" hidden="true" name="jo" vbProcedure="false">{"TAG1AGMS",#N/A,FALSE,"TAG 1A"}</definedName>
    <definedName function="false" hidden="true" name="joe" vbProcedure="false">{"PrintView",#N/A,FALSE,"Cash &amp; Equiv";"PrintView",#N/A,FALSE,"Investments";"Other Assets Print View",#N/A,FALSE,"Other Assets"}</definedName>
    <definedName function="false" hidden="true" name="joj" vbProcedure="false">{"fleisch",#N/A,FALSE,"WG HK";"food",#N/A,FALSE,"WG HK";"hartwaren",#N/A,FALSE,"WG HK";"weichwaren",#N/A,FALSE,"WG HK"}</definedName>
    <definedName function="false" hidden="true" name="jok" vbProcedure="false">IF(COUNTA(#REF!)=0,0,INDEX(#REF!,MATCH(ROW(#REF!),#REF!,TRUE())))+1</definedName>
    <definedName function="false" hidden="true" name="jomn" vbProcedure="false">{"pro_view",#N/A,FALSE,"EEFSNAP2";"rep_view",#N/A,FALSE,"EEFSNAP2"}</definedName>
    <definedName function="false" hidden="true" name="joo" vbProcedure="false">{"fleisch",#N/A,FALSE,"WG HK";"food",#N/A,FALSE,"WG HK";"hartwaren",#N/A,FALSE,"WG HK";"weichwaren",#N/A,FALSE,"WG HK"}</definedName>
    <definedName function="false" hidden="true" name="Jose" vbProcedure="false">{"vi1",#N/A,FALSE,"Financial Statements";"vi2",#N/A,FALSE,"Financial Statements";#N/A,#N/A,FALSE,"DCF"}</definedName>
    <definedName function="false" hidden="true" name="JP" vbProcedure="false">{"'SIVA Pricing Model'!$A$1:$F$39"}</definedName>
    <definedName function="false" hidden="true" name="jpb" vbProcedure="false">{"fleisch",#N/A,FALSE,"WG HK";"food",#N/A,FALSE,"WG HK";"hartwaren",#N/A,FALSE,"WG HK";"weichwaren",#N/A,FALSE,"WG HK"}</definedName>
    <definedName function="false" hidden="true" name="jrfghfg" vbProcedure="false">{#N/A,#N/A,TRUE,"Historicals";#N/A,#N/A,TRUE,"Charts";#N/A,#N/A,TRUE,"Forecasts"}</definedName>
    <definedName function="false" hidden="true" name="jrjhgjhjty" vbProcedure="false">{#N/A,#N/A,TRUE,"Historicals";#N/A,#N/A,TRUE,"Charts";#N/A,#N/A,TRUE,"Forecasts"}</definedName>
    <definedName function="false" hidden="true" name="js" vbProcedure="false">{"DCF1",#N/A,FALSE,"SIERRA DCF";"MATRIX1",#N/A,FALSE,"SIERRA DCF"}</definedName>
    <definedName function="false" hidden="true" name="jsgjghk" vbProcedure="false">{"qchm_dcf",#N/A,FALSE,"QCHMDCF2";"qchm_terminal",#N/A,FALSE,"QCHMDCF2"}</definedName>
    <definedName function="false" hidden="true" name="jsx" vbProcedure="false">{"DCF","UPSIDE CASE",FALSE,"Sheet1";"DCF","BASE CASE",FALSE,"Sheet1";"DCF","DOWNSIDE CASE",FALSE,"Sheet1"}</definedName>
    <definedName function="false" hidden="true" name="jtygh" vbProcedure="false">{#N/A,#N/A,TRUE,"Historicals";#N/A,#N/A,TRUE,"Charts";#N/A,#N/A,TRUE,"Forecasts"}</definedName>
    <definedName function="false" hidden="true" name="ju" vbProcedure="false">{"detail",#N/A,FALSE,"mfg";"summary",#N/A,FALSE,"mfg"}</definedName>
    <definedName function="false" hidden="true" name="judy" vbProcedure="false">{#N/A,#N/A,FALSE,"Pharm";#N/A,#N/A,FALSE,"WWCM"}</definedName>
    <definedName function="false" hidden="true" name="judy1" vbProcedure="false">{#N/A,#N/A,FALSE,"Pharm";#N/A,#N/A,FALSE,"WWCM"}</definedName>
    <definedName function="false" hidden="true" name="jughngh" vbProcedure="false">{#N/A,#N/A,TRUE,"Historicals";#N/A,#N/A,TRUE,"Charts";#N/A,#N/A,TRUE,"Forecasts"}</definedName>
    <definedName function="false" hidden="true" name="jui" vbProcedure="false">{"YD OTHER",#N/A,FALSE,"YTD"}</definedName>
    <definedName function="false" hidden="true" name="juio" vbProcedure="false">{"Page 1",#N/A,FALSE,"OpExJanVsPY";"Page 2",#N/A,FALSE,"OpExJanVsPY"}</definedName>
    <definedName function="false" hidden="false" name="July2014" vbProcedure="false">#REF!</definedName>
    <definedName function="false" hidden="false" name="July2014_1" vbProcedure="false">#REF!</definedName>
    <definedName function="false" hidden="true" name="jun"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junk2" vbProcedure="false">{"BS",#N/A,FALSE,"USA"}</definedName>
    <definedName function="false" hidden="true" name="junk3" vbProcedure="false">{"BS",#N/A,FALSE,"USA"}</definedName>
    <definedName function="false" hidden="true" name="junkme" vbProcedure="false">{#N/A,#N/A,TRUE,"Status Report";#N/A,#N/A,TRUE,"Current Forecast";#N/A,#N/A,TRUE,"Last Forecast";#N/A,#N/A,TRUE,"BP";#N/A,#N/A,TRUE,"LY"}</definedName>
    <definedName function="false" hidden="true" name="juoü" vbProcedure="false">{"Tages_D",#N/A,FALSE,"Tagesbericht";"Tages_PL",#N/A,FALSE,"Tagesbericht"}</definedName>
    <definedName function="false" hidden="true" name="jurhfds" vbProcedure="false">{#N/A,#N/A,TRUE,"Historicals";#N/A,#N/A,TRUE,"Charts";#N/A,#N/A,TRUE,"Forecasts"}</definedName>
    <definedName function="false" hidden="true" name="juyjrtds" vbProcedure="false">{#N/A,#N/A,TRUE,"Historicals";#N/A,#N/A,TRUE,"Charts";#N/A,#N/A,TRUE,"Forecasts"}</definedName>
    <definedName function="false" hidden="true" name="juyjtg" vbProcedure="false">{#N/A,#N/A,TRUE,"Historicals";#N/A,#N/A,TRUE,"Charts";#N/A,#N/A,TRUE,"Forecasts"}</definedName>
    <definedName function="false" hidden="true" name="JWG" vbProcedure="false">{#N/A,#N/A,FALSE,"단축1";#N/A,#N/A,FALSE,"단축2";#N/A,#N/A,FALSE,"단축3";#N/A,#N/A,FALSE,"장축";#N/A,#N/A,FALSE,"4WD"}</definedName>
    <definedName function="false" hidden="true" name="jyrjfgh" vbProcedure="false">{#N/A,#N/A,TRUE,"Historicals";#N/A,#N/A,TRUE,"Charts";#N/A,#N/A,TRUE,"Forecasts"}</definedName>
    <definedName function="false" hidden="true" name="jytjkjuyk" vbProcedure="false">{#N/A,#N/A,TRUE,"Historicals";#N/A,#N/A,TRUE,"Charts";#N/A,#N/A,TRUE,"Forecasts"}</definedName>
    <definedName function="false" hidden="true" name="jöuiuiuzi" vbProcedure="false">{#N/A,#N/A,FALSE,"Umsatz 99";#N/A,#N/A,FALSE,"ER 99 "}</definedName>
    <definedName function="false" hidden="true" name="k" vbProcedure="false">{"budget95",#N/A,TRUE,"Tabelle1";"Tab1",#N/A,TRUE,"Tabelle2"}</definedName>
    <definedName function="false" hidden="true" name="K2_WBEVMODE" vbProcedure="false">0</definedName>
    <definedName function="false" hidden="true" name="K2__EVCOMOPTS__" vbProcedure="false">14</definedName>
    <definedName function="false" hidden="true" name="K2__LOCKEDCVW__" vbProcedure="false">"MAIN,OTHERREV,ACTUAL,USD,E.2990,ALL_JOBS,ALL_ORGS,ALL_PROD,2004.JAN,PERIODIC,;"</definedName>
    <definedName function="false" hidden="true" name="K2__LOCKSTATUS__" vbProcedure="false">2</definedName>
    <definedName function="false" hidden="true" name="K2__MAXEXPCOLS__" vbProcedure="false">100</definedName>
    <definedName function="false" hidden="true" name="K2__MAXEXPROWS__" vbProcedure="false">1000</definedName>
    <definedName function="false" hidden="true" name="K2__WBEVMODE__" vbProcedure="false">0</definedName>
    <definedName function="false" hidden="true" name="K2__WBREFOPTIONS__" vbProcedure="false">134217728</definedName>
    <definedName function="false" hidden="true" name="Kalle" vbProcedure="false">{#N/A,#N/A,FALSE,"PrintS"}</definedName>
    <definedName function="false" hidden="true" name="kalle01" vbProcedure="false">{#N/A,#N/A,FALSE,"PrintS"}</definedName>
    <definedName function="false" hidden="true" name="Kalle1" vbProcedure="false">{#N/A,#N/A,FALSE,"PrintS"}</definedName>
    <definedName function="false" hidden="true" name="Kalle2" vbProcedure="false">{#N/A,#N/A,FALSE,"PrintS"}</definedName>
    <definedName function="false" hidden="true" name="Kamimura" vbProcedure="false">{#VALUE!,#N/A,FALSE,0;#N/A,#N/A,FALSE,0;#N/A,#N/A,FALSE,0;#N/A,#N/A,FALSE,0}</definedName>
    <definedName function="false" hidden="true" name="kapex" vbProcedure="false">{"'Process Flow'!$A$1:$F$1","'Process Flow'!$A$2:$F$2"}</definedName>
    <definedName function="false" hidden="true" name="Kappahl" vbProcedure="false">#REF!</definedName>
    <definedName function="false" hidden="true" name="kararaer" vbProcedure="false">{#VALUE!,#N/A,FALSE,0;#N/A,#N/A,FALSE,0;#N/A,#N/A,FALSE,0;#N/A,#N/A,FALSE,0}</definedName>
    <definedName function="false" hidden="true" name="kas" vbProcedure="false">{"TOTAL",#N/A,FALSE,"A";"FISCAL94",#N/A,FALSE,"A";"FISCAL95",#N/A,FALSE,"A";"FISCAL96",#N/A,FALSE,"A";"misc page",#N/A,FALSE,"A"}</definedName>
    <definedName function="false" hidden="true" name="katkg" vbProcedure="false">{#N/A,#N/A,FALSE,"ACQ_GRAPHS";#N/A,#N/A,FALSE,"T_1 GRAPHS";#N/A,#N/A,FALSE,"T_2 GRAPHS";#N/A,#N/A,FALSE,"COMB_GRAPHS"}</definedName>
    <definedName function="false" hidden="true" name="Kaufleasing" vbProcedure="false">#REF!</definedName>
    <definedName function="false" hidden="true" name="KaufleasingK" vbProcedure="false">#REF!</definedName>
    <definedName function="false" hidden="true" name="KaufleasingM" vbProcedure="false">#REF!</definedName>
    <definedName function="false" hidden="true" name="KaufleasingZ" vbProcedure="false">#REF!</definedName>
    <definedName function="false" hidden="true" name="Kaufleasing_" vbProcedure="false">#REF!</definedName>
    <definedName function="false" hidden="true" name="KC" vbProcedure="false">{#N/A,#N/A,FALSE,"을지 (4)";#N/A,#N/A,FALSE,"을지 (5)";#N/A,#N/A,FALSE,"을지 (6)"}</definedName>
    <definedName function="false" hidden="true" name="kcuf" vbProcedure="false">{"SUMMARY",#N/A,TRUE,"SUMMARY";"compare",#N/A,TRUE,"Vs. Bus Plan";"ratios",#N/A,TRUE,"Ratios";"REVENUE",#N/A,TRUE,"Revenue";"expenses",#N/A,TRUE,"1996 budget";"payroll",#N/A,TRUE,"Payroll"}</definedName>
    <definedName function="false" hidden="true" name="keine" vbProcedure="false">{"Tages_D",#N/A,FALSE,"Tagesbericht";"Tages_PL",#N/A,FALSE,"Tagesbericht"}</definedName>
    <definedName function="false" hidden="true" name="Kele" vbProcedure="false">"c1359"</definedName>
    <definedName function="false" hidden="true" name="kenn" vbProcedure="false">{"sbhko",#N/A,FALSE,"A";"sbhko2",#N/A,FALSE,"A";"sbhko3",#N/A,FALSE,"A"}</definedName>
    <definedName function="false" hidden="true" name="kennz" vbProcedure="false">#N/A</definedName>
    <definedName function="false" hidden="true" name="Kennzahl" vbProcedure="false">{#N/A,#N/A,FALSE,"WOB_1.XLS";#N/A,#N/A,FALSE,"WOB_2.XLS";#N/A,#N/A,FALSE,"WOB_3.XLS";#N/A,#N/A,FALSE,"WOB_4.XLS";#N/A,#N/A,FALSE,"WOB_5.XLS"}</definedName>
    <definedName function="false" hidden="true" name="keren" vbProcedure="false">{"REP1",#N/A,FALSE,"ריכוז";"REP2",#N/A,FALSE,"מפורט1";"REP3",#N/A,FALSE,"מפורט1";"REP4",#N/A,FALSE,"מפורט2";"REP5",#N/A,FALSE,"מפורט2";"REP6",#N/A,FALSE,"מפורט2"}</definedName>
    <definedName function="false" hidden="true" name="key" vbProcedure="false">#N/A</definedName>
    <definedName function="false" hidden="true" name="Key1V2" vbProcedure="false">#REF!</definedName>
    <definedName function="false" hidden="true" name="KeyAnaly_Header" vbProcedure="false">#REF!</definedName>
    <definedName function="false" hidden="true" name="keybookltm" vbProcedure="false">#REF!</definedName>
    <definedName function="false" hidden="true" name="keybookty" vbProcedure="false">#REF!</definedName>
    <definedName function="false" hidden="true" name="keycop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keycorp"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keycorp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keyearnltm" vbProcedure="false">#REF!</definedName>
    <definedName function="false" hidden="true" name="keyearnty" vbProcedure="false">#REF!</definedName>
    <definedName function="false" hidden="true" name="keyebitdaty" vbProcedure="false">#REF!</definedName>
    <definedName function="false" hidden="true" name="keyebitltm" vbProcedure="false">#REF!</definedName>
    <definedName function="false" hidden="true" name="keyebitty" vbProcedure="false">#REF!</definedName>
    <definedName function="false" hidden="true" name="keyfin2" vbProcedure="false">{#N/A,#N/A,TRUE,"Cover sheet";#N/A,#N/A,TRUE,"DCF analysis";#N/A,#N/A,TRUE,"WACC calculation"}</definedName>
    <definedName function="false" hidden="true" name="keyformrow" vbProcedure="false">#REF!</definedName>
    <definedName function="false" hidden="true" name="keyformrow2" vbProcedure="false">#REF!</definedName>
    <definedName function="false" hidden="true" name="keypebitdaltm" vbProcedure="false">#REF!</definedName>
    <definedName function="false" hidden="true" name="keypebitdaty" vbProcedure="false">#REF!</definedName>
    <definedName function="false" hidden="true" name="keyprefeqtyty" vbProcedure="false">#REF!</definedName>
    <definedName function="false" hidden="true" name="keyrevty" vbProcedure="false">#REF!</definedName>
    <definedName function="false" hidden="true" name="keyshareoutty" vbProcedure="false">#REF!</definedName>
    <definedName function="false" hidden="true" name="keysharepricety" vbProcedure="false">#REF!</definedName>
    <definedName function="false" hidden="true" name="keytotdebtty" vbProcedure="false">#REF!</definedName>
    <definedName function="false" hidden="true" name="keytyrange" vbProcedure="false">#REF!</definedName>
    <definedName function="false" hidden="true" name="keytyrangeone" vbProcedure="false">#REF!</definedName>
    <definedName function="false" hidden="true" name="KFR" vbProcedure="false">{#N/A,#N/A,FALSE,"Aktiva";#N/A,#N/A,FALSE,"Passiva";#N/A,#N/A,FALSE,"guv";#N/A,#N/A,FALSE,"Anl-1";#N/A,#N/A,FALSE,"Anl-2";#N/A,#N/A,FALSE,"Anl-III";#N/A,#N/A,FALSE,"Ta-1-Anh";#N/A,#N/A,FALSE,"Ta-2-Anh";#N/A,#N/A,FALSE,"Ta-3-Anh";#N/A,#N/A,FALSE,"Kontroll-Blatt"}</definedName>
    <definedName function="false" hidden="true" name="kh" vbProcedure="false">{"fleisch",#N/A,FALSE,"WG HK";"food",#N/A,FALSE,"WG HK";"hartwaren",#N/A,FALSE,"WG HK";"weichwaren",#N/A,FALSE,"WG HK"}</definedName>
    <definedName function="false" hidden="true" name="khjk" vbProcedure="false">{#N/A,#N/A,FALSE,"Layout Aktiva";#N/A,#N/A,FALSE,"Layout Passiva";#N/A,#N/A,FALSE,"Layout GuV";#N/A,#N/A,FALSE,"Layout Cash Flow";#N/A,#N/A,FALSE,"Mittelherkunft";#N/A,#N/A,FALSE,"Mittelverwendung";#N/A,#N/A,FALSE,"Finanzbedarfsrechnung"}</definedName>
    <definedName function="false" hidden="true" name="ki" vbProcedure="false">{#N/A,#N/A,TRUE,"Cover sheet";#N/A,#N/A,TRUE,"Summary";#N/A,#N/A,TRUE,"Key Assumptions";#N/A,#N/A,TRUE,"Profit &amp; Loss";#N/A,#N/A,TRUE,"Balance Sheet";#N/A,#N/A,TRUE,"Cashflow";#N/A,#N/A,TRUE,"IRR";#N/A,#N/A,TRUE,"Ratios";#N/A,#N/A,TRUE,"Debt analysis"}</definedName>
    <definedName function="false" hidden="true" name="KIA" vbProcedure="false">{#N/A,#N/A,FALSE,"단축1";#N/A,#N/A,FALSE,"단축2";#N/A,#N/A,FALSE,"단축3";#N/A,#N/A,FALSE,"장축";#N/A,#N/A,FALSE,"4WD"}</definedName>
    <definedName function="false" hidden="true" name="kid" vbProcedure="false">{#N/A,#N/A,FALSE,"Title Page";#N/A,#N/A,FALSE,"Summary Sheet"}</definedName>
    <definedName function="false" hidden="true" name="kinji" vbProcedure="false">#N/A</definedName>
    <definedName function="false" hidden="true" name="kinjs" vbProcedure="false">{"detail",#N/A,FALSE,"mfg";"summary",#N/A,FALSE,"mfg"}</definedName>
    <definedName function="false" hidden="true" name="kip" vbProcedure="false">{"detail",#N/A,FALSE,"mfg";"summary",#N/A,FALSE,"mfg"}</definedName>
    <definedName function="false" hidden="true" name="KIT" vbProcedure="false">{"equity comps",#N/A,FALSE,"CS Comps";"equity comps",#N/A,FALSE,"PS Comps";"equity comps",#N/A,FALSE,"GIC_Comps";"equity comps",#N/A,FALSE,"GIC2_Comps"}</definedName>
    <definedName function="false" hidden="true" name="kj"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kjas" vbProcedure="false">{#N/A,#N/A,FALSE,"Cover Page";#N/A,#N/A,FALSE,"Facing Page";#N/A,#N/A,FALSE,"Main Page";#N/A,#N/A,FALSE,"Risk-Adjusted";#N/A,#N/A,FALSE,"Profit Improvement"}</definedName>
    <definedName function="false" hidden="true" name="kjbkj" vbProcedure="false">{"LEVEL1","UKCONSGAAP",TRUE," Corp PL 2 (LEVEL 1)";"LEVEL2",#N/A,TRUE,"Sum  Div (LEVEL 2)";"LEVEL1","CORE",TRUE," Corp PL 2 (LEVEL 1)";"LEVEL2",#N/A,TRUE,"Sum  Div (LEVEL 2)";"LEVEL1","HSSUNDRIES_GAAP",TRUE," Corp PL 2 (LEVEL 1)";"LEVEL2",#N/A,TRUE,"Sum  Div (LEVEL 2)";"LEVEL1","KENTEXP_GAAP",TRUE," Corp PL 2 (LEVEL 1)";"LEVEL2",#N/A,TRUE,"Sum  Div (LEVEL 2)";"LEVEL1","BUDGET_GAAP",TRUE," Corp PL 2 (LEVEL 1)";"LEVEL2",#N/A,TRUE,"Sum  Div (LEVEL 2)";"LEVEL1","BLACKWELL_GAAP",TRUE," Corp PL 2 (LEVEL 1)";"LEVEL2",#N/A,TRUE,"Sum  Div (LEVEL 2)";"LEVEL1","ZAHNLAB_GAAP",TRUE," Corp PL 2 (LEVEL 1)";"LEVEL2",#N/A,TRUE,"Sum  Div (LEVEL 2)";"LEVEL1","HSUKHOLD_GAAP",TRUE," Corp PL 2 (LEVEL 1)";"LEVEL2",#N/A,TRUE,"Sum  Div (LEVEL 2)";"LEVEL1","HSFINANCE_GAAP",TRUE," Corp PL 2 (LEVEL 1)";"LEVEL2",#N/A,TRUE,"Sum  Div (LEVEL 2)";"LEVEL1","HSSALESELIM",TRUE," Corp PL 2 (LEVEL 1)";"LEVEL2",#N/A,TRUE,"Sum  Div (LEVEL 2)";"LEVEL1","HSEQUIP_GAAP",TRUE," Corp PL 2 (LEVEL 1)";"LEVEL2",#N/A,TRUE,"Sum  Div (LEVEL 2)";"LEVEL1","HSTECHIR_GAAP",TRUE," Corp PL 2 (LEVEL 1)";"LEVEL2",#N/A,TRUE,"Sum  Div (LEVEL 2)";"LEVEL1","HSKM_GAAP",TRUE," Corp PL 2 (LEVEL 1)";"LEVEL2",#N/A,TRUE,"Sum  Div (LEVEL 2)";"LEVEL1","HSIRELAND_GAAP",TRUE," Corp PL 2 (LEVEL 1)";"LEVEL2",#N/A,TRUE,"Sum  Div (LEVEL 2)";"LEVEL1","ZAHNDENTAL_GAAP",TRUE," Corp PL 2 (LEVEL 1)";"LEVEL2",#N/A,TRUE,"Sum  Div (LEVEL 2)";"LEVEL1","BAINTERN_GAAP",TRUE," Corp PL 2 (LEVEL 1)";"LEVEL2",#N/A,TRUE,"Sum  Div (LEVEL 2)";"LEVEL1","PORTNASH_GAAP",TRUE," Corp PL 2 (LEVEL 1)";"LEVEL2",#N/A,TRUE,"Sum  Div (LEVEL 2)"}</definedName>
    <definedName function="false" hidden="true" name="KJDHLJKGSF" vbProcedure="false">{"'Title Transfer Units6,7,&amp;8'!$A$1:$B$4","'Title Transfer Units6,7,&amp;8'!$C$6"}</definedName>
    <definedName function="false" hidden="true" name="kjdslf" vbProcedure="false">{#N/A,#N/A,FALSE,"Sheet1"}</definedName>
    <definedName function="false" hidden="true" name="kjfukf" vbProcedure="false">{#N/A,#N/A,TRUE,"Historicals";#N/A,#N/A,TRUE,"Charts";#N/A,#N/A,TRUE,"Forecasts"}</definedName>
    <definedName function="false" hidden="true" name="kjg" vbProcedure="false">{"Cover",#N/A,FALSE,"Cover";"Comments",#N/A,FALSE,"Quarterly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function="false" hidden="true" name="kjgkjgk" vbProcedure="false">{#N/A,#N/A,TRUE,"Historicals";#N/A,#N/A,TRUE,"Charts";#N/A,#N/A,TRUE,"Forecasts"}</definedName>
    <definedName function="false" hidden="true" name="kjhg" vbProcedure="false">{"ICD Details",#N/A,FALSE,"Current Yr";"ICD Details",#N/A,FALSE,"Budget";"ICD Details",#N/A,FALSE,"Prior Year"}</definedName>
    <definedName function="false" hidden="true" name="kjhkhkmnb" vbProcedure="false">{#N/A,#N/A,TRUE,"Historicals";#N/A,#N/A,TRUE,"Charts";#N/A,#N/A,TRUE,"Forecasts"}</definedName>
    <definedName function="false" hidden="true" name="kjhkj" vbProcedure="false">{#N/A,#N/A,FALSE,"Z3 1,8i";#N/A,#N/A,FALSE,"Z3 1,9iS";#N/A,#N/A,FALSE,"Z3 2,8i";#N/A,#N/A,FALSE,"Z3 2,8i Coupé"}</definedName>
    <definedName function="false" hidden="true" name="kjhl" vbProcedure="false">{"'Analysis'!$A$1:$B$4,$A$6:$N$129"}</definedName>
    <definedName function="false" hidden="true" name="kjip" vbProcedure="false">{"detail",#N/A,FALSE,"mfg";"summary",#N/A,FALSE,"mfg"}</definedName>
    <definedName function="false" hidden="true" name="kjk.l" vbProcedure="false">{#N/A,#N/A,FALSE,"Produkte Erw.";#N/A,#N/A,FALSE,"Produkte Plan";#N/A,#N/A,FALSE,"Leistungen Erw.";#N/A,#N/A,FALSE,"Leistungen Plan";#N/A,#N/A,FALSE,"KA Allg.Kosten (2)";#N/A,#N/A,FALSE,"KA All.Kosten"}</definedName>
    <definedName function="false" hidden="true" name="kjkj" vbProcedure="false">{#N/A,#N/A,FALSE,"Cover";#N/A,#N/A,FALSE,"Contents-Pg1";#N/A,#N/A,FALSE,"High-Com-pg2";#N/A,#N/A,FALSE,"1 Full";#N/A,#N/A,FALSE,"1chts";#N/A,#N/A,FALSE,"Table 2";#N/A,#N/A,FALSE,"3New Iss";#N/A,#N/A,FALSE,"4Money raised";#N/A,#N/A,FALSE,"5Aim";#N/A,#N/A,FALSE,"AiM charts";#N/A,#N/A,FALSE,"6FT Smll";#N/A,#N/A,FALSE,"11SEATS";#N/A,#N/A,FALSE,"12Notes"}</definedName>
    <definedName function="false" hidden="true" name="KJKJKJ" vbProcedure="false">{"'Demand Units'!$X$11:$AD$45"}</definedName>
    <definedName function="false" hidden="true" name="kjkk" vbProcedure="false">{"Sum1",#N/A,FALSE,"Reserve Report";"Sum2",#N/A,FALSE,"Reserve Report";"Sum3",#N/A,FALSE,"Reserve Report";"Sum4",#N/A,FALSE,"Reserve Report"}</definedName>
    <definedName function="false" hidden="true" name="kjlj" vbProcedure="false">{"EVA",#N/A,FALSE,"EVA";"WACC",#N/A,FALSE,"WACC"}</definedName>
    <definedName function="false" hidden="true" name="kjljkölhklh" vbProcedure="false">{#N/A,#N/A,FALSE,"Produkte Erw.";#N/A,#N/A,FALSE,"Produkte Plan";#N/A,#N/A,FALSE,"Leistungen Erw.";#N/A,#N/A,FALSE,"Leistungen Plan";#N/A,#N/A,FALSE,"KA Allg.Kosten (2)";#N/A,#N/A,FALSE,"KA All.Kosten"}</definedName>
    <definedName function="false" hidden="true" name="kjlui" vbProcedure="false">{#N/A,#N/A,FALSE,"Layout Aktiva";#N/A,#N/A,FALSE,"Layout Passiva"}</definedName>
    <definedName function="false" hidden="true" name="kjlö" vbProcedure="false">{#N/A,#N/A,FALSE,"Mittelherkunft";#N/A,#N/A,FALSE,"Mittelverwendung"}</definedName>
    <definedName function="false" hidden="true" name="kjo" vbProcedure="false">{#N/A,#N/A,FALSE,"SUMMARY";#N/A,#N/A,FALSE,"mcsh";#N/A,#N/A,FALSE,"vol&amp;rev";#N/A,#N/A,FALSE,"wkgcap";#N/A,#N/A,FALSE,"DEPR&amp;DT";#N/A,#N/A,FALSE,"ASSETS";#N/A,#N/A,FALSE,"NI&amp;OTH&amp;DIV";#N/A,#N/A,FALSE,"CASHFLOW";#N/A,#N/A,FALSE,"CAPEMPL";#N/A,#N/A,FALSE,"ROCE"}</definedName>
    <definedName function="false" hidden="true" name="kk" vbProcedure="false">{#N/A,#N/A,TRUE,"Inc. St.";#N/A,#N/A,TRUE,"SalesLabor";#N/A,#N/A,TRUE,"Labor";#N/A,#N/A,TRUE,"TEMP.";#N/A,#N/A,TRUE,"Manuf.";#N/A,#N/A,TRUE,"Repairs";#N/A,#N/A,TRUE,"G&amp;A";#N/A,#N/A,TRUE,"Inv.";#N/A,#N/A,TRUE,"Cap.X";#N/A,#N/A,TRUE,"Leases"}</definedName>
    <definedName function="false" hidden="true" name="kk.l" vbProcedure="false">{#N/A,#N/A,FALSE,"Produkte Erw.";#N/A,#N/A,FALSE,"Produkte Plan";#N/A,#N/A,FALSE,"Leistungen Erw.";#N/A,#N/A,FALSE,"Leistungen Plan";#N/A,#N/A,FALSE,"KA Allg.Kosten (2)";#N/A,#N/A,FALSE,"KA All.Kosten"}</definedName>
    <definedName function="false" hidden="true" name="kkj" vbProcedure="false">{"Inc.",#N/A,FALSE,"ORIGNAL";"Allocations",#N/A,FALSE,"ORIGNAL";#N/A,#N/A,FALSE,"Inv.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function="false" hidden="true" name="kkk" vbProcedure="false">{#N/A,#N/A,FALSE,"Pharm";#N/A,#N/A,FALSE,"WWCM"}</definedName>
    <definedName function="false" hidden="true" name="kkk.llll" vbProcedure="false">{#N/A,#N/A,FALSE,"Umsatz CH";#N/A,#N/A,FALSE,"ER CH";#N/A,#N/A,FALSE,"EA CH (2) ";#N/A,#N/A,FALSE,"EA CH";#N/A,#N/A,FALSE,"EA CH (3) ";#N/A,#N/A,FALSE,"EA CH (4)";#N/A,#N/A,FALSE,"KA CH";#N/A,#N/A,FALSE,"KA CH  (2)";#N/A,#N/A,FALSE,"KA CH  (3)";#N/A,#N/A,FALSE,"KA CH (4)"}</definedName>
    <definedName function="false" hidden="true" name="kkkk" vbProcedure="false">#N/A</definedName>
    <definedName function="false" hidden="true" name="kkkk.llll" vbProcedure="false">{#N/A,#N/A,FALSE,"Umsatz 99";#N/A,#N/A,FALSE,"ER 99 "}</definedName>
    <definedName function="false" hidden="true" name="kkkkk" vbProcedure="false">{#VALUE!,#N/A,FALSE,0;#N/A,#N/A,FALSE,0;#N/A,#N/A,FALSE,0;#N/A,#N/A,FALSE,0}</definedName>
    <definedName function="false" hidden="true" name="kkkkkkkkkkk" vbProcedure="false">#REF!</definedName>
    <definedName function="false" hidden="true" name="kkkkkkkkkkkkk" vbProcedure="false">{"London cttee condensed",#N/A,FALSE,"Dev Panel Cut Report";"South East cttee condensed",#N/A,FALSE,"Dev Panel Cut Report"}</definedName>
    <definedName function="false" hidden="true" name="KKKKKKKKKKKKKKK" vbProcedure="false">{#N/A,#N/A,FALSE,"Cover";#N/A,#N/A,FALSE,"Profits";#N/A,#N/A,FALSE,"ABS";#N/A,#N/A,FALSE,"TFLE Detail";#N/A,#N/A,FALSE,"TFLE Walk";#N/A,#N/A,FALSE,"Variable Cost";#N/A,#N/A,FALSE,"V.C. Walk"}</definedName>
    <definedName function="false" hidden="true" name="KKKKKKKKKKKKKKKKK" vbProcedure="false">{"London cttee condensed",#N/A,FALSE,"Dev Panel Cut Report";"South East cttee condensed",#N/A,FALSE,"Dev Panel Cut Report"}</definedName>
    <definedName function="false" hidden="true" name="kklleinene" vbProcedure="false">{"Tages_D",#N/A,FALSE,"Tagesbericht";"Tages_PL",#N/A,FALSE,"Tagesbericht"}</definedName>
    <definedName function="false" hidden="true" name="kkuykt" vbProcedure="false">{#N/A,#N/A,TRUE,"Historicals";#N/A,#N/A,TRUE,"Charts";#N/A,#N/A,TRUE,"Forecasts"}</definedName>
    <definedName function="false" hidden="true" name="kl" vbProcedure="false">{#N/A,#N/A,FALSE,"FY97";#N/A,#N/A,FALSE,"FY98";#N/A,#N/A,FALSE,"FY99";#N/A,#N/A,FALSE,"FY00";#N/A,#N/A,FALSE,"FY01"}</definedName>
    <definedName function="false" hidden="true" name="Klaus" vbProcedure="false">#N/A</definedName>
    <definedName function="false" hidden="true" name="klei2" vbProcedure="false">{"weichwaren",#N/A,FALSE,"Liste 1";"hartwaren",#N/A,FALSE,"Liste 1";"food",#N/A,FALSE,"Liste 1";"fleisch",#N/A,FALSE,"Liste 1"}</definedName>
    <definedName function="false" hidden="true" name="klein1" vbProcedure="false">{"weichwaren",#N/A,FALSE,"Liste 1";"hartwaren",#N/A,FALSE,"Liste 1";"food",#N/A,FALSE,"Liste 1";"fleisch",#N/A,FALSE,"Liste 1"}</definedName>
    <definedName function="false" hidden="true" name="kleine" vbProcedure="false">{"TAG1AGMS",#N/A,FALSE,"TAG 1A"}</definedName>
    <definedName function="false" hidden="true" name="klene" vbProcedure="false">{"TAG1AGMS",#N/A,FALSE,"TAG 1A"}</definedName>
    <definedName function="false" hidden="true" name="kli" vbProcedure="false">{"Total",#N/A,FALSE,"Total Proved";"PDP",#N/A,FALSE,"Total Proved";"PNP",#N/A,FALSE,"Total Proved";"PUD",#N/A,FALSE,"Total Proved"}</definedName>
    <definedName function="false" hidden="true" name="klinsi" vbProcedure="false">{#N/A,#N/A,FALSE,"Mittelherkunft";#N/A,#N/A,FALSE,"Mittelverwendung"}</definedName>
    <definedName function="false" hidden="true" name="klj" vbProcedure="false">{#N/A,#N/A,TRUE,"Cover sheet";#N/A,#N/A,TRUE,"DCF analysis";#N/A,#N/A,TRUE,"WACC calculation"}</definedName>
    <definedName function="false" hidden="true" name="KLJDHSFLKH" vbProcedure="false">{"'Title Transfer Units6,7,&amp;8'!$A$1:$B$4","'Title Transfer Units6,7,&amp;8'!$C$6"}</definedName>
    <definedName function="false" hidden="true" name="kljk" vbProcedure="false">{#N/A,#N/A,FALSE,"Umsatz CH";#N/A,#N/A,FALSE,"ER CH";#N/A,#N/A,FALSE,"EA CH (2) ";#N/A,#N/A,FALSE,"EA CH";#N/A,#N/A,FALSE,"EA CH (3) ";#N/A,#N/A,FALSE,"EA CH (4)";#N/A,#N/A,FALSE,"KA CH";#N/A,#N/A,FALSE,"KA CH  (2)";#N/A,#N/A,FALSE,"KA CH  (3)";#N/A,#N/A,FALSE,"KA CH (4)"}</definedName>
    <definedName function="false" hidden="true" name="kljkjkjljjjjökl" vbProcedure="false">1/EUReXToDEM</definedName>
    <definedName function="false" hidden="true" name="kljklkj" vbProcedure="false">{#N/A,#N/A,FALSE,"KA CH  (2)"}</definedName>
    <definedName function="false" hidden="true" name="klk" vbProcedure="false">{#N/A,#N/A,FALSE,"Umsatz CH";#N/A,#N/A,FALSE,"ER CH";#N/A,#N/A,FALSE,"EA CH (2) ";#N/A,#N/A,FALSE,"EA CH";#N/A,#N/A,FALSE,"EA CH (3) ";#N/A,#N/A,FALSE,"EA CH (4)";#N/A,#N/A,FALSE,"KA CH";#N/A,#N/A,FALSE,"KA CH  (2)";#N/A,#N/A,FALSE,"KA CH  (3)";#N/A,#N/A,FALSE,"KA CH (4)"}</definedName>
    <definedName function="false" hidden="true" name="klki" vbProcedure="false">{#N/A,#N/A,FALSE,"Layout Cash Flow"}</definedName>
    <definedName function="false" hidden="true" name="klkj"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klkk" vbProcedure="false">{"fleisch",#N/A,FALSE,"WG HK";"food",#N/A,FALSE,"WG HK";"hartwaren",#N/A,FALSE,"WG HK";"weichwaren",#N/A,FALSE,"WG HK"}</definedName>
    <definedName function="false" hidden="true" name="klklkl" vbProcedure="false">{#N/A,#N/A,FALSE,"Umsatz 99";#N/A,#N/A,FALSE,"ER 99 "}</definedName>
    <definedName function="false" hidden="true" name="klko"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klu" vbProcedure="false">{#N/A,#N/A,FALSE,"WOB_1.XLS";#N/A,#N/A,FALSE,"WOB_2.XLS";#N/A,#N/A,FALSE,"WOB_3.XLS";#N/A,#N/A,FALSE,"WOB_4.XLS";#N/A,#N/A,FALSE,"WOB_5.XLS"}</definedName>
    <definedName function="false" hidden="true" name="kläop"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klñ" vbProcedure="false">{"AS REP",#N/A,FALSE,"EEFSNAP2";"PROP",#N/A,FALSE,"EEFSNAP2";"RISKS",#N/A,FALSE,"EEFSNAP2";"VIEW ALL",#N/A,FALSE,"EEFSNAP2"}</definedName>
    <definedName function="false" hidden="true" name="klöiioui" vbProcedure="false">{#N/A,#N/A,FALSE,"Mittelherkunft";#N/A,#N/A,FALSE,"Mittelverwendung"}</definedName>
    <definedName function="false" hidden="true" name="klöö" vbProcedure="false">{#N/A,#N/A,FALSE,"Mittelherkunft";#N/A,#N/A,FALSE,"Mittelverwendung"}</definedName>
    <definedName function="false" hidden="true" name="km" vbProcedure="false">{"fleisch",#N/A,FALSE,"WG HK";"food",#N/A,FALSE,"WG HK";"hartwaren",#N/A,FALSE,"WG HK";"weichwaren",#N/A,FALSE,"WG HK"}</definedName>
    <definedName function="false" hidden="true" name="kmh" vbProcedure="false">{#N/A,#N/A,TRUE,"Cover sheet";#N/A,#N/A,TRUE,"DCF analysis";#N/A,#N/A,TRUE,"WACC calculation"}</definedName>
    <definedName function="false" hidden="true" name="KN" vbProcedure="false">{#N/A,#N/A,FALSE,"Valuation Assumptions";#N/A,#N/A,FALSE,"Summary";#N/A,#N/A,FALSE,"DCF";#N/A,#N/A,FALSE,"Valuation";#N/A,#N/A,FALSE,"WACC";#N/A,#N/A,FALSE,"UBVH";#N/A,#N/A,FALSE,"Free Cash Flow"}</definedName>
    <definedName function="false" hidden="true" name="kobelt" vbProcedure="false">{#N/A,#N/A,TRUE,"Deckblatt PMS";#N/A,#N/A,TRUE,"Ergebnis und Cash-flow PMS";#N/A,#N/A,TRUE,"Kennzahlen PMS"}</definedName>
    <definedName function="false" hidden="true" name="Kol" vbProcedure="false">{#N/A,#N/A,FALSE,"Staffnos &amp; cost"}</definedName>
    <definedName function="false" hidden="true" name="Kontrolle" vbProcedure="false">{#N/A,#N/A,FALSE,"Mittelherkunft";#N/A,#N/A,FALSE,"Mittelverwendung"}</definedName>
    <definedName function="false" hidden="true" name="Konzern" vbProcedure="false">{#N/A,#N/A,FALSE,"Aktiva";#N/A,#N/A,FALSE,"Passiva";#N/A,#N/A,FALSE,"guv";#N/A,#N/A,FALSE,"Anl-1";#N/A,#N/A,FALSE,"Anl-2";#N/A,#N/A,FALSE,"Anl-III";#N/A,#N/A,FALSE,"Ta-1-Anh";#N/A,#N/A,FALSE,"Ta-2-Anh";#N/A,#N/A,FALSE,"Ta-3-Anh";#N/A,#N/A,FALSE,"Kontroll-Blatt"}</definedName>
    <definedName function="false" hidden="true" name="kostas" vbProcedure="false">{#N/A,#N/A,FALSE,"Summary";#N/A,#N/A,FALSE,"CF";#N/A,#N/A,FALSE,"P&amp;L";#N/A,#N/A,FALSE,"BS";#N/A,#N/A,FALSE,"Returns";#N/A,#N/A,FALSE,"Assumptions";#N/A,#N/A,FALSE,"Analysis"}</definedName>
    <definedName function="false" hidden="true" name="kou" vbProcedure="false">{"detail",#N/A,FALSE,"mfg";"summary",#N/A,FALSE,"mfg"}</definedName>
    <definedName function="false" hidden="true" name="KP" vbProcedure="false">{"pep204a",#N/A,FALSE,"tpepsum4a";"pep205a",#N/A,FALSE,"tpepsum4a";"wpep204a",#N/A,FALSE,"tpepsum4a";"wpep205a",#N/A,FALSE,"tpepsum4a"}</definedName>
    <definedName function="false" hidden="true" name="kpmg12" vbProcedure="false">#REF!</definedName>
    <definedName function="false" hidden="true" name="kpmg7" vbProcedure="false">#REF!</definedName>
    <definedName function="false" hidden="true" name="kpmg9" vbProcedure="false">#REF!</definedName>
    <definedName function="false" hidden="true" name="KPOWFPKFPW" vbProcedure="false">{"'Demand Units'!$X$11:$AD$45"}</definedName>
    <definedName function="false" hidden="true" name="kris" vbProcedure="false">{"budget95",#N/A,TRUE,"Tabelle1";"Tab1",#N/A,TRUE,"Tabelle2"}</definedName>
    <definedName function="false" hidden="true" name="Kronach_eng" vbProcedure="false">#REF!</definedName>
    <definedName function="false" hidden="true" name="KRPROZ80K" vbProcedure="false">#REF!</definedName>
    <definedName function="false" hidden="true" name="KRPROZ80K_" vbProcedure="false">#REF!</definedName>
    <definedName function="false" hidden="true" name="KRPROZ80L" vbProcedure="false">#REF!</definedName>
    <definedName function="false" hidden="true" name="KRPROZ80L_" vbProcedure="false">#REF!</definedName>
    <definedName function="false" hidden="true" name="KRTAGE" vbProcedure="false">#REF!</definedName>
    <definedName function="false" hidden="true" name="KRTAGE_" vbProcedure="false">#REF!</definedName>
    <definedName function="false" hidden="true" name="KRTIMEAK" vbProcedure="false">#REF!</definedName>
    <definedName function="false" hidden="true" name="KRTIMEAPK" vbProcedure="false">#REF!</definedName>
    <definedName function="false" hidden="true" name="KRTIMEPK" vbProcedure="false">#REF!</definedName>
    <definedName function="false" hidden="true" name="KRTIMEPKJ" vbProcedure="false">#REF!</definedName>
    <definedName function="false" hidden="true" name="KRTIMEVK" vbProcedure="false">#REF!</definedName>
    <definedName function="false" hidden="true" name="KRTIMEVKJ" vbProcedure="false">#REF!</definedName>
    <definedName function="false" hidden="true" name="KRTOPK0" vbProcedure="false">#REF!</definedName>
    <definedName function="false" hidden="true" name="KRTOPK0N" vbProcedure="false">#REF!</definedName>
    <definedName function="false" hidden="true" name="KRTOPK0_" vbProcedure="false">#REF!</definedName>
    <definedName function="false" hidden="true" name="KRTOPK1" vbProcedure="false">#REF!</definedName>
    <definedName function="false" hidden="true" name="KRTOPK1N" vbProcedure="false">#REF!</definedName>
    <definedName function="false" hidden="true" name="KRTOPK1_" vbProcedure="false">#REF!</definedName>
    <definedName function="false" hidden="true" name="KRTOPK2" vbProcedure="false">#REF!</definedName>
    <definedName function="false" hidden="true" name="KRTOPK2N" vbProcedure="false">#REF!</definedName>
    <definedName function="false" hidden="true" name="KRTOPK2_" vbProcedure="false">[1]DATENHALTUNG!$AK$90</definedName>
    <definedName function="false" hidden="true" name="KRTOPK3" vbProcedure="false">#REF!</definedName>
    <definedName function="false" hidden="true" name="KRTOPK3N" vbProcedure="false">#REF!</definedName>
    <definedName function="false" hidden="true" name="KRTOPK3_" vbProcedure="false">#REF!</definedName>
    <definedName function="false" hidden="true" name="KRTOPK4" vbProcedure="false">#REF!</definedName>
    <definedName function="false" hidden="true" name="KRTOPK4N" vbProcedure="false">#REF!</definedName>
    <definedName function="false" hidden="true" name="KRTOPK4_" vbProcedure="false">#REF!</definedName>
    <definedName function="false" hidden="true" name="KRTOPK5" vbProcedure="false">#REF!</definedName>
    <definedName function="false" hidden="true" name="KRTOPK5N" vbProcedure="false">#REF!</definedName>
    <definedName function="false" hidden="true" name="KRTOPK5_" vbProcedure="false">#REF!</definedName>
    <definedName function="false" hidden="true" name="KRTOPK6" vbProcedure="false">#REF!</definedName>
    <definedName function="false" hidden="true" name="KRTOPK6N" vbProcedure="false">#REF!</definedName>
    <definedName function="false" hidden="true" name="KRTOPK6_" vbProcedure="false">#REF!</definedName>
    <definedName function="false" hidden="true" name="KRTOPK7" vbProcedure="false">#REF!</definedName>
    <definedName function="false" hidden="true" name="KRTOPK7N" vbProcedure="false">#REF!</definedName>
    <definedName function="false" hidden="true" name="KRTOPK7_" vbProcedure="false">#REF!</definedName>
    <definedName function="false" hidden="true" name="KRTOPK8" vbProcedure="false">#REF!</definedName>
    <definedName function="false" hidden="true" name="KRTOPK8N" vbProcedure="false">#REF!</definedName>
    <definedName function="false" hidden="true" name="KRTOPK8_" vbProcedure="false">#REF!</definedName>
    <definedName function="false" hidden="true" name="KRTOPK9" vbProcedure="false">#REF!</definedName>
    <definedName function="false" hidden="true" name="KRTOPK9N" vbProcedure="false">#REF!</definedName>
    <definedName function="false" hidden="true" name="KRTOPK9_" vbProcedure="false">#REF!</definedName>
    <definedName function="false" hidden="true" name="KRTOPL0" vbProcedure="false">#REF!</definedName>
    <definedName function="false" hidden="true" name="KRTOPL0N" vbProcedure="false">#REF!</definedName>
    <definedName function="false" hidden="true" name="KRTOPL0_" vbProcedure="false">#REF!</definedName>
    <definedName function="false" hidden="true" name="KRTOPL1" vbProcedure="false">#REF!</definedName>
    <definedName function="false" hidden="true" name="KRTOPL1N" vbProcedure="false">#REF!</definedName>
    <definedName function="false" hidden="true" name="KRTOPL1_" vbProcedure="false">#REF!</definedName>
    <definedName function="false" hidden="true" name="KRTOPL2" vbProcedure="false">#REF!</definedName>
    <definedName function="false" hidden="true" name="KRTOPL2N" vbProcedure="false">#REF!</definedName>
    <definedName function="false" hidden="true" name="KRTOPL2_" vbProcedure="false">#REF!</definedName>
    <definedName function="false" hidden="true" name="KRTOPL3" vbProcedure="false">#REF!</definedName>
    <definedName function="false" hidden="true" name="KRTOPL3N" vbProcedure="false">#REF!</definedName>
    <definedName function="false" hidden="true" name="KRTOPL3_" vbProcedure="false">#REF!</definedName>
    <definedName function="false" hidden="true" name="KRTOPL4" vbProcedure="false">#REF!</definedName>
    <definedName function="false" hidden="true" name="KRTOPL4N" vbProcedure="false">#REF!</definedName>
    <definedName function="false" hidden="true" name="KRTOPL4_" vbProcedure="false">#REF!</definedName>
    <definedName function="false" hidden="true" name="KRTOPL5" vbProcedure="false">#REF!</definedName>
    <definedName function="false" hidden="true" name="KRTOPL5N" vbProcedure="false">#REF!</definedName>
    <definedName function="false" hidden="true" name="KRTOPL5_" vbProcedure="false">#REF!</definedName>
    <definedName function="false" hidden="true" name="KRTOPL6" vbProcedure="false">#REF!</definedName>
    <definedName function="false" hidden="true" name="KRTOPL6N" vbProcedure="false">#REF!</definedName>
    <definedName function="false" hidden="true" name="KRTOPL6_" vbProcedure="false">#REF!</definedName>
    <definedName function="false" hidden="true" name="KRTOPL7" vbProcedure="false">#REF!</definedName>
    <definedName function="false" hidden="true" name="KRTOPL7N" vbProcedure="false">#REF!</definedName>
    <definedName function="false" hidden="true" name="KRTOPL7_" vbProcedure="false">#REF!</definedName>
    <definedName function="false" hidden="true" name="KRTOPL8" vbProcedure="false">#REF!</definedName>
    <definedName function="false" hidden="true" name="KRTOPL8N" vbProcedure="false">#REF!</definedName>
    <definedName function="false" hidden="true" name="KRTOPL8_" vbProcedure="false">#REF!</definedName>
    <definedName function="false" hidden="true" name="KRTOPL9" vbProcedure="false">#REF!</definedName>
    <definedName function="false" hidden="true" name="KRTOPL9N" vbProcedure="false">#REF!</definedName>
    <definedName function="false" hidden="true" name="KRTOPL9_" vbProcedure="false">#REF!</definedName>
    <definedName function="false" hidden="true" name="KSJJ" vbProcedure="false">{#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function="false" hidden="true" name="kslkjkjlkjd" vbProcedure="false">{#N/A,#N/A,FALSE,"REPORT"}</definedName>
    <definedName function="false" hidden="true" name="KST" vbProcedure="false">{"K Bilanz o. Kommentar",#N/A,FALSE,"Kaufhof"}</definedName>
    <definedName function="false" hidden="true" name="KTY" vbProcedure="false">{#N/A,#N/A,FALSE,"단축1";#N/A,#N/A,FALSE,"단축2";#N/A,#N/A,FALSE,"단축3";#N/A,#N/A,FALSE,"장축";#N/A,#N/A,FALSE,"4WD"}</definedName>
    <definedName function="false" hidden="true" name="ktykjghk" vbProcedure="false">{#N/A,#N/A,TRUE,"Historicals";#N/A,#N/A,TRUE,"Charts";#N/A,#N/A,TRUE,"Forecasts"}</definedName>
    <definedName function="false" hidden="true" name="ktzuk" vbProcedure="false">{#N/A,#N/A,FALSE,"Aging Summary";#N/A,#N/A,FALSE,"Ratio Analysis";#N/A,#N/A,FALSE,"Test 120 Day Accts";#N/A,#N/A,FALSE,"Tickmarks"}</definedName>
    <definedName function="false" hidden="true" name="kui" vbProcedure="false">{#N/A,#N/A,FALSE,"Aging Summary";#N/A,#N/A,FALSE,"Ratio Analysis";#N/A,#N/A,FALSE,"Test 120 Day Accts";#N/A,#N/A,FALSE,"Tickmarks"}</definedName>
    <definedName function="false" hidden="true" name="kuiuk" vbProcedure="false">{#N/A,#N/A,TRUE,"Historicals";#N/A,#N/A,TRUE,"Charts";#N/A,#N/A,TRUE,"Forecasts"}</definedName>
    <definedName function="false" hidden="true" name="kului" vbProcedure="false">{"'Other IPS'!$A$5","'Other IPS'!$A$4:$K$38"}</definedName>
    <definedName function="false" hidden="true" name="kuykgkg" vbProcedure="false">{#N/A,#N/A,TRUE,"Historicals";#N/A,#N/A,TRUE,"Charts";#N/A,#N/A,TRUE,"Forecasts"}</definedName>
    <definedName function="false" hidden="true" name="kuyy" vbProcedure="false">{"'Other IPS'!$A$5","'Other IPS'!$A$4:$K$38"}</definedName>
    <definedName function="false" hidden="true" name="kw" vbProcedure="false">{1;"Konsol_Eingabe";2;"Konsol_Ausgabe";"Yellow";"No value";TRUE}</definedName>
    <definedName function="false" hidden="true" name="kyd.ChngCell.01." vbProcedure="false">#REF!</definedName>
    <definedName function="false" hidden="true" name="kyd.ChngCell.02." vbProcedure="false">#REF!</definedName>
    <definedName function="false" hidden="true" name="kyd.CounterLimitCell.01." vbProcedure="false">"x"</definedName>
    <definedName function="false" hidden="true" name="kyd.CounterLimitCell.02." vbProcedure="false">"x"</definedName>
    <definedName function="false" hidden="true" name="kyd.Dim.01." vbProcedure="false">"chandept"</definedName>
    <definedName function="false" hidden="true" name="kyd.Dim.02." vbProcedure="false">"chandep#"</definedName>
    <definedName function="false" hidden="true" name="kyd.ElementList.01." vbProcedure="false">"x"</definedName>
    <definedName function="false" hidden="true" name="kyd.ElementList.02." vbProcedure="false">#REF!</definedName>
    <definedName function="false" hidden="true" name="kyd.ElementType.01." vbProcedure="false">1</definedName>
    <definedName function="false" hidden="true" name="kyd.ElementType.02." vbProcedure="false">1</definedName>
    <definedName function="false" hidden="true" name="kyd.ItemType.01." vbProcedure="false">1</definedName>
    <definedName function="false" hidden="true" name="kyd.ItemType.02." vbProcedure="false">2</definedName>
    <definedName function="false" hidden="true" name="kyd.MemoSortHide." vbProcedure="false">FALSE()</definedName>
    <definedName function="false" hidden="true" name="kyd.NumLevels.01." vbProcedure="false">999</definedName>
    <definedName function="false" hidden="true" name="kyd.NumLevels.02." vbProcedure="false">999</definedName>
    <definedName function="false" hidden="true" name="kyd.ParentName.01." vbProcedure="false">"TOTAL PRODUCTION"</definedName>
    <definedName function="false" hidden="true" name="kyd.ParentName.02." vbProcedure="false">""</definedName>
    <definedName function="false" hidden="true" name="kyd.PreScreenData." vbProcedure="false">FALSE()</definedName>
    <definedName function="false" hidden="true" name="kyd.PrintMemo." vbProcedure="false">FALSE()</definedName>
    <definedName function="false" hidden="true" name="kyd.PrintParent.01." vbProcedure="false">FALSE()</definedName>
    <definedName function="false" hidden="true" name="kyd.PrintParent.02." vbProcedure="false">TRUE()</definedName>
    <definedName function="false" hidden="true" name="kyd.PrintStdWhen." vbProcedure="false">3</definedName>
    <definedName function="false" hidden="true" name="kyd.SaveAsFile." vbProcedure="false">FALSE()</definedName>
    <definedName function="false" hidden="true" name="kyd.SaveMemo." vbProcedure="false">FALSE()</definedName>
    <definedName function="false" hidden="true" name="kyd.SelectString.01." vbProcedure="false">"*"</definedName>
    <definedName function="false" hidden="true" name="kyd.SelectString.02." vbProcedure="false">"*"</definedName>
    <definedName function="false" hidden="true" name="kyd.StdSortHide." vbProcedure="false">FALSE()</definedName>
    <definedName function="false" hidden="true" name="kyd.StopRow." vbProcedure="false">16384</definedName>
    <definedName function="false" hidden="true" name="kyd.WriteMemWhenOptn." vbProcedure="false">3</definedName>
    <definedName function="false" hidden="true" name="köäklöl"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l" vbProcedure="false">{"budget95",#N/A,TRUE,"Tabelle1";"Tab1",#N/A,TRUE,"Tabelle2"}</definedName>
    <definedName function="false" hidden="true" name="l.l." vbProcedure="false">{#N/A,#N/A,FALSE,"Layout Cash Flow"}</definedName>
    <definedName function="false" hidden="true" name="ladro" vbProcedure="false">{"FY97Q1",#N/A,FALSE,"FY97 - Q1";"FY97Q2",#N/A,FALSE,"FY97 - Q2";"FY97Q3",#N/A,FALSE,"FY97 - Q3";"FY97Q4",#N/A,FALSE,"FY97 - Q4"}</definedName>
    <definedName function="false" hidden="true" name="lala" vbProcedure="false">{#N/A,#N/A,TRUE,"Cover sheet";#N/A,#N/A,TRUE,"DCF analysis";#N/A,#N/A,TRUE,"WACC calculation"}</definedName>
    <definedName function="false" hidden="true" name="LARM문제대책" vbProcedure="false">{#N/A,#N/A,FALSE,"단축1";#N/A,#N/A,FALSE,"단축2";#N/A,#N/A,FALSE,"단축3";#N/A,#N/A,FALSE,"장축";#N/A,#N/A,FALSE,"4WD"}</definedName>
    <definedName function="false" hidden="true" name="LASTSALEPRICE" vbProcedure="false">"LASTSALEPRICE"</definedName>
    <definedName function="false" hidden="true" name="LAST_EBITDA_MARGIN" vbProcedure="false">"LAST_EBITDA_MARGIN"</definedName>
    <definedName function="false" hidden="true" name="LAST_EBIT_MARGIN" vbProcedure="false">"LAST_EBIT_MARGIN"</definedName>
    <definedName function="false" hidden="true" name="LAST_GROSS_MARGIN" vbProcedure="false">"LAST_GROSS_MARGIN"</definedName>
    <definedName function="false" hidden="true" name="LAST_NET_INC_MARGIN" vbProcedure="false">"LAST_NET_INC_MARGIN"</definedName>
    <definedName function="false" hidden="true" name="LATESTK" vbProcedure="false">1000</definedName>
    <definedName function="false" hidden="true" name="LATESTKFR" vbProcedure="false">50</definedName>
    <definedName function="false" hidden="true" name="LATESTKNONPRESS" vbProcedure="false">50</definedName>
    <definedName function="false" hidden="true" name="LATESTQ" vbProcedure="false">500</definedName>
    <definedName function="false" hidden="true" name="LATESTQFR" vbProcedure="false">100</definedName>
    <definedName function="false" hidden="true" name="LATESTQNONPRESS" vbProcedure="false">100</definedName>
    <definedName function="false" hidden="true" name="lbo" vbProcedure="false">{"a",#N/A,FALSE,"LBO - 100%, Sell C,CT 98......";"aa",#N/A,FALSE,"LBO - 100%, Sell C,CT 98......";"aaa",#N/A,FALSE,"LBO - 100%, Sell C,CT 98......";"aaaa",#N/A,FALSE,"LBO - 100%, Sell C,CT 98......";"aaaaa",#N/A,FALSE,"LBO - 100%, Sell C,CT 98......";"aaaaaa",#N/A,FALSE,"LBO - 100%, Sell C,CT 98......"}</definedName>
    <definedName function="false" hidden="true" name="ldkeir" vbProcedure="false">{#N/A,"PURCHM",FALSE,"Business Analysis";#N/A,"SPADD",FALSE,"Business Analysis"}</definedName>
    <definedName function="false" hidden="true" name="ldsjglsgls" vbProcedure="false">{#N/A,#N/A,FALSE,"Performance Flash Report"}</definedName>
    <definedName function="false" hidden="true" name="lease" vbProcedure="false">{#N/A,#N/A,FALSE,"HMF";#N/A,#N/A,FALSE,"FACIL";#N/A,#N/A,FALSE,"HMFINANCE";#N/A,#N/A,FALSE,"HMEUROPE";#N/A,#N/A,FALSE,"HHAB CONSO";#N/A,#N/A,FALSE,"PAB";#N/A,#N/A,FALSE,"MMC";#N/A,#N/A,FALSE,"THAI";#N/A,#N/A,FALSE,"SINPA";#N/A,#N/A,FALSE,"POLAND"}</definedName>
    <definedName function="false" hidden="true" name="lee" vbProcedure="false">{#N/A,#N/A,FALSE,"Pharm";#N/A,#N/A,FALSE,"WWCM"}</definedName>
    <definedName function="false" hidden="true" name="leien" vbProcedure="false">{"fleisch",#N/A,FALSE,"WG HK";"food",#N/A,FALSE,"WG HK";"hartwaren",#N/A,FALSE,"WG HK";"weichwaren",#N/A,FALSE,"WG HK"}</definedName>
    <definedName function="false" hidden="true" name="Leo" vbProcedure="false">{"'Future Reviews'!$A$1:$D$58"}</definedName>
    <definedName function="false" hidden="true" name="lg" vbProcedure="false">{"Avorstand",#N/A,TRUE,"Abf. Szenario ";"Bnord",#N/A,TRUE,"Abf. Szenario ";"Cnordwest",#N/A,TRUE,"Abf. Szenario ";"Dwest",#N/A,TRUE,"Abf. Szenario ";"Esüdwest",#N/A,TRUE,"Abf. Szenario ";"Fsüd",#N/A,TRUE,"Abf. Szenario ";"Host",#N/A,TRUE,"Abf. Szenario ";"Gesamt",#N/A,TRUE,"Abf. Szenario "}</definedName>
    <definedName function="false" hidden="true" name="lgm" vbProcedure="false">{"'Sample Status'!$A$1:$J$21"}</definedName>
    <definedName function="false" hidden="true" name="lgui" vbProcedure="false">{"CLEARING",#N/A,FALSE,"clearing"}</definedName>
    <definedName function="false" hidden="true" name="lh" vbProcedure="false">{#N/A,#N/A,TRUE,"Cover";#N/A,#N/A,TRUE,"Input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function="false" hidden="true" name="lhglkjhglkjlkjg" vbProcedure="false">#REF!</definedName>
    <definedName function="false" hidden="true" name="lhjlkjlhklhljl" vbProcedure="false">{#N/A,#N/A,FALSE,"PMW Gruppe 99_98";#N/A,#N/A,FALSE,"PMW KG 98_99";#N/A,#N/A,FALSE,"PMW Inc. 99_98";#N/A,#N/A,FALSE,"PMW VTECH 99_98";#N/A,#N/A,FALSE,"PMW Thail. 99_98";#N/A,#N/A,FALSE,"PMW Canada 99_98";#N/A,#N/A,FALSE,"Währungsabw. 99_98"}</definedName>
    <definedName function="false" hidden="true" name="li" vbProcedure="false">{"en FRF",#N/A,FALSE,"mars99";"en €uros",#N/A,FALSE,"mars99"}</definedName>
    <definedName function="false" hidden="true" name="lima" vbProcedure="false">{#N/A,#N/A,FALSE,"Indcost";#N/A,#N/A,FALSE,"Plcost";#N/A,#N/A,FALSE,"Mincost";#N/A,#N/A,FALSE,"Produc";#N/A,#N/A,FALSE,"Rev";#N/A,#N/A,FALSE,"Capital";#N/A,#N/A,FALSE,"Wcapital";#N/A,#N/A,FALSE,"Contdep";#N/A,#N/A,FALSE,"Taxdep";#N/A,#N/A,FALSE,"Tax";#N/A,#N/A,FALSE,"S-SDebt";#N/A,#N/A,FALSE,"TotDebt";#N/A,#N/A,FALSE,"Profit";#N/A,#N/A,FALSE,"CFlow";#N/A,#N/A,FALSE,"1996-2012";#N/A,#N/A,FALSE,"Bcesheet"}</definedName>
    <definedName function="false" hidden="true" name="limcount" vbProcedure="false">1</definedName>
    <definedName function="false" hidden="true" name="limey" vbProcedure="false">{#N/A,#N/A,FALSE,"Calc";#N/A,#N/A,FALSE,"Sensitivity";#N/A,#N/A,FALSE,"LT Earn.Dil.";#N/A,#N/A,FALSE,"Dil. AVP"}</definedName>
    <definedName function="false" hidden="true" name="limone" vbProcedure="false">{"FY97Q1 var",#N/A,FALSE,"FY97 - Q1";"FY97Q2 var",#N/A,FALSE,"FY97 - Q2";"FY97Q3 var",#N/A,FALSE,"FY97 - Q3";"FY97Q4 var",#N/A,FALSE,"FY97 - Q4"}</definedName>
    <definedName function="false" hidden="true" name="Linda" vbProcedure="false">{#N/A,#N/A,FALSE,"Sheet2"}</definedName>
    <definedName function="false" hidden="true" name="LINE검토2" vbProcedure="false">{#N/A,#N/A,TRUE,"Y생산";#N/A,#N/A,TRUE,"Y판매";#N/A,#N/A,TRUE,"Y총물량";#N/A,#N/A,TRUE,"Y능력";#N/A,#N/A,TRUE,"YKD"}</definedName>
    <definedName function="false" hidden="true" name="Liste"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ListOffset" vbProcedure="false">1</definedName>
    <definedName function="false" hidden="true" name="liulkjm" vbProcedure="false">{#N/A,#N/A,TRUE,"Historicals";#N/A,#N/A,TRUE,"Charts";#N/A,#N/A,TRUE,"Forecasts"}</definedName>
    <definedName function="false" hidden="true" name="liyh" vbProcedure="false">{#N/A,#N/A,TRUE,"RIDE";#N/A,#N/A,TRUE,"STEERING";#N/A,#N/A,TRUE,"HANDLING";#N/A,#N/A,TRUE,"BRAKING"}</definedName>
    <definedName function="false" hidden="true" name="liyljk" vbProcedure="false">{#N/A,#N/A,TRUE,"Historicals";#N/A,#N/A,TRUE,"Charts";#N/A,#N/A,TRUE,"Forecasts"}</definedName>
    <definedName function="false" hidden="true" name="lj" vbProcedure="false">{#N/A,#N/A,TRUE,"Staffnos &amp; cost"}</definedName>
    <definedName function="false" hidden="true" name="ljiljj" vbProcedure="false">{#N/A,#N/A,TRUE,"Historicals";#N/A,#N/A,TRUE,"Charts";#N/A,#N/A,TRUE,"Forecasts"}</definedName>
    <definedName function="false" hidden="true" name="ljkl" vbProcedure="false">{#N/A,#N/A,FALSE,"Umsatz HM";#N/A,#N/A,FALSE,"ER HM";#N/A,#N/A,FALSE,"EA HM  (2)";#N/A,#N/A,FALSE,"EA HM ";#N/A,#N/A,FALSE,"EA HM  (4)";#N/A,#N/A,FALSE,"EA HM  (3)";#N/A,#N/A,FALSE,"KA HM  (2)";#N/A,#N/A,FALSE,"KA HM";#N/A,#N/A,FALSE,"KA HM  (3)";#N/A,#N/A,FALSE,"KA HM (4)"}</definedName>
    <definedName function="false" hidden="true" name="ljklk"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ljsdff" vbProcedure="false">{"Burden (burden)",#N/A,FALSE,"burden"}</definedName>
    <definedName function="false" hidden="true" name="lk" vbProcedure="false">{#N/A,#N/A,FALSE,"Deals in month";#N/A,#N/A,FALSE,"Order Tracking";#N/A,#N/A,FALSE,"Major Sales Top 20";#N/A,#N/A,FALSE,"OS Rev Track";#N/A,#N/A,FALSE,"HPS Rev Track";#N/A,#N/A,FALSE,"Lost Bids"}</definedName>
    <definedName function="false" hidden="true" name="lkajsdl" vbProcedure="false">{0,0,0,0;0,0,0,0;0,0,0,0}</definedName>
    <definedName function="false" hidden="true" name="lkalsdkhvfjjf" vbProcedure="false">{"'Title Transfer Units6,7,&amp;8'!$A$1:$B$4","'Title Transfer Units6,7,&amp;8'!$C$6"}</definedName>
    <definedName function="false" hidden="true" name="lkhlh" vbProcedure="false">{#N/A,#N/A,TRUE,"Historicals";#N/A,#N/A,TRUE,"Charts";#N/A,#N/A,TRUE,"Forecasts"}</definedName>
    <definedName function="false" hidden="true" name="lkj" vbProcedure="false">{#N/A,#N/A,FALSE,"A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function="false" hidden="true" name="LKJD" vbProcedure="false">{"'Demand Units'!$X$11:$AD$45"}</definedName>
    <definedName function="false" hidden="true" name="lkjlk" vbProcedure="false">{#N/A,#N/A,FALSE,"Bl. 1";#N/A,#N/A,FALSE,"Bl. 2";#N/A,#N/A,FALSE,"Bl. 3";#N/A,#N/A,FALSE,"Bl. 4";#N/A,#N/A,FALSE,"Bl. 6";#N/A,#N/A,FALSE,"Bl. 7";#N/A,#N/A,FALSE,"BL. 8";#N/A,#N/A,FALSE,"Bl. 9";#N/A,#N/A,FALSE,"Bl. 10";#N/A,#N/A,FALSE,"Bl. 12"}</definedName>
    <definedName function="false" hidden="true" name="lkjlkj" vbProcedure="false">{"Final",#N/A,FALSE,"Feb-96"}</definedName>
    <definedName function="false" hidden="true" name="lkjlklkjlkjlkj" vbProcedure="false">{"page1",#N/A,TRUE,"CSC";"page2",#N/A,TRUE,"CSC"}</definedName>
    <definedName function="false" hidden="true" name="lkl" vbProcedure="false">{#N/A,#N/A,FALSE,"Umsatz EO BP";#N/A,#N/A,FALSE,"Umsatz EO OP";#N/A,#N/A,FALSE,"ER EO BP";#N/A,#N/A,FALSE,"ER EO OP";#N/A,#N/A,FALSE,"EA EO (2)";#N/A,#N/A,FALSE,"EA EO";#N/A,#N/A,FALSE,"EA EO (3)";#N/A,#N/A,FALSE,"EA EO (4)";#N/A,#N/A,FALSE,"KA EO  (2)";#N/A,#N/A,FALSE,"KA EO";#N/A,#N/A,FALSE,"KA EO  (3)";#N/A,#N/A,FALSE,"KA EO (4)"}</definedName>
    <definedName function="false" hidden="true" name="lklk" vbProcedure="false">{#N/A,"PURADD",FALSE,"Business Analysis";#N/A,"PURSPP",FALSE,"Business Analysis";#N/A,"CTGIND",FALSE,"Business Analysis";#N/A,"PURCHM",FALSE,"Business Analysis";#N/A,"SPADD",FALSE,"Business Analysis";#N/A,"EPOXY",FALSE,"Business Analysis";#N/A,"PURPER",FALSE,"Business Analysis"}</definedName>
    <definedName function="false" hidden="true" name="lklkl" vbProcedure="false">{"consolidated",#N/A,FALSE,"Sheet1";"cms",#N/A,FALSE,"Sheet1";"fse",#N/A,FALSE,"Sheet1"}</definedName>
    <definedName function="false" hidden="true" name="lklklklk" vbProcedure="false">{"Presentation",#N/A,FALSE,"Feb96 - ALL"}</definedName>
    <definedName function="false" hidden="true" name="lkmn" vbProcedure="false">{"summary",#N/A,FALSE,"summary";"sales growth",#N/A,FALSE,"summary";"oper income",#N/A,FALSE,"summary";"oros rank",#N/A,FALSE,"summary";"net assets",#N/A,FALSE,"summary";"asset turnover",#N/A,FALSE,"summary";"orona",#N/A,FALSE,"summary";"total return",#N/A,FALSE,"summary";"overview",#N/A,FALSE,"summary"}</definedName>
    <definedName function="false" hidden="true" name="lko0" vbProcedure="false">{#N/A,#N/A,FALSE,"PMW Gruppe 99_98";#N/A,#N/A,FALSE,"PMW KG 98_99";#N/A,#N/A,FALSE,"PMW Inc. 99_98";#N/A,#N/A,FALSE,"PMW VTECH 99_98";#N/A,#N/A,FALSE,"PMW Thail. 99_98";#N/A,#N/A,FALSE,"PMW Canada 99_98";#N/A,#N/A,FALSE,"Währungsabw. 99_98"}</definedName>
    <definedName function="false" hidden="true" name="ll" vbProcedure="false">{"Bilanz grob",#N/A,TRUE,"Planbilanz";"Erfolgsrechnung grob",#N/A,TRUE,"Plan-ER";#N/A,#N/A,TRUE,"Geldfluss";"Bilanz fein",#N/A,TRUE,"Planbilanz";"Erfolgsrechnung fein",#N/A,TRUE,"Plan-ER";#N/A,#N/A,TRUE,"Absatzplan";#N/A,#N/A,TRUE,"Einkaufsplan";#N/A,#N/A,TRUE,"Investitionsplan";#N/A,#N/A,TRUE,"KK Aktionäre"}</definedName>
    <definedName function="false" hidden="true" name="ll.l" vbProcedure="false">{#N/A,#N/A,FALSE,"Produkte Erw.";#N/A,#N/A,FALSE,"Produkte Plan";#N/A,#N/A,FALSE,"Leistungen Erw.";#N/A,#N/A,FALSE,"Leistungen Plan";#N/A,#N/A,FALSE,"KA Allg.Kosten (2)";#N/A,#N/A,FALSE,"KA All.Kosten"}</definedName>
    <definedName function="false" hidden="true" name="LL0" vbProcedure="false">{"Bilanz grob",#N/A,FALSE,"Planbilanz";"Erfolgsrechnung grob",#N/A,FALSE,"Plan-ER";#N/A,#N/A,FALSE,"Geldfluss"}</definedName>
    <definedName function="false" hidden="true" name="llb" vbProcedure="false">{"Bilanz grob",#N/A,FALSE,"Planbilanz";"Erfolgsrechnung grob",#N/A,FALSE,"Plan-ER";#N/A,#N/A,FALSE,"Geldfluss"}</definedName>
    <definedName function="false" hidden="true" name="LLG" vbProcedure="false">{"Bilanz grob",#N/A,TRUE,"Planbilanz";"Erfolgsrechnung grob",#N/A,TRUE,"Plan-ER";#N/A,#N/A,TRUE,"Geldfluss";"Bilanz fein",#N/A,TRUE,"Planbilanz";"Erfolgsrechnung fein",#N/A,TRUE,"Plan-ER";#N/A,#N/A,TRUE,"Absatzplan";#N/A,#N/A,TRUE,"Einkaufsplan";#N/A,#N/A,TRUE,"Investitionsplan";#N/A,#N/A,TRUE,"KK Aktionäre"}</definedName>
    <definedName function="false" hidden="true" name="llk" vbProcedure="false">{"pro_view",#N/A,FALSE,"EEFSNAP2";"rep_view",#N/A,FALSE,"EEFSNAP2"}</definedName>
    <definedName function="false" hidden="true" name="lll" vbProcedure="false">{#N/A,#N/A,FALSE,"Bezirk SW";#N/A,#N/A,FALSE,"Dir S (GK)";#N/A,#N/A,FALSE,"Dir FR (PK)"}</definedName>
    <definedName function="false" hidden="true" name="llll" vbProcedure="false">{#N/A,#N/A,FALSE,"invpln"}</definedName>
    <definedName function="false" hidden="true" name="LLLLL" vbProcedure="false">{#N/A,#N/A,FALSE,"단축1";#N/A,#N/A,FALSE,"단축2";#N/A,#N/A,FALSE,"단축3";#N/A,#N/A,FALSE,"장축";#N/A,#N/A,FALSE,"4WD"}</definedName>
    <definedName function="false" hidden="true" name="llllll" vbProcedure="false">{"detail",#N/A,FALSE,"mfg";"summary",#N/A,FALSE,"mfg"}</definedName>
    <definedName function="false" hidden="true" name="lllllllllllllllllllllllllllllllllllllllllllllllllllllllllllllllllllllllllllllllllllllllllllllllllllllllllllllllllll" vbProcedure="false">{"Summary",#N/A,FALSE,"Summary";"A&amp;A's",#N/A,FALSE,"Aids &amp; A's";"MajorWorks",#N/A,FALSE,"Major Works";"EstateImps",#N/A,FALSE,"Estate Imps";"CatC",#N/A,FALSE,"Cat C Voids";"CycProg",#N/A,FALSE,"Cyclical Prog inc MR"}</definedName>
    <definedName function="false" hidden="true" name="llp" vbProcedure="false">{"YD LPH2",#N/A,FALSE,"YTD"}</definedName>
    <definedName function="false" hidden="true" name="llpk" vbProcedure="false">{"MATERIAL",#N/A,FALSE,"material"}</definedName>
    <definedName function="false" hidden="true" name="LOAHC" vbProcedure="false">{#N/A,#N/A,TRUE,"PSG Total Contacts";#N/A,#N/A,TRUE,"PSG Rep Total";#N/A,#N/A,TRUE,"Core Rep Detail";#N/A,#N/A,TRUE,"BC Rep Detail";#N/A,#N/A,TRUE,"Marlboro";#N/A,#N/A,TRUE,"Covington";#N/A,#N/A,TRUE,"Dallas";#N/A,#N/A,TRUE,"VRS Stats";#N/A,#N/A,TRUE,"Internet";#N/A,#N/A,TRUE,"NCO and Call Mix";#N/A,#N/A,TRUE,"VRS &amp; Rep Calls"}</definedName>
    <definedName function="false" hidden="true" name="LOAN_LOSS" vbProcedure="false">"LOAN_LOSS"</definedName>
    <definedName function="false" hidden="true" name="LOCAL_MYSQL_DATE_FORMAT" vbProcedure="false">REPT(local_year_format,4)&amp;local_date_separator&amp;REPT(local_month_format,2)&amp;local_date_separator&amp;REPT(local_day_format,2)&amp;" "&amp;REPT(local_hour_format,2)&amp;local_time_separator&amp;REPT(local_minute_format,2)&amp;local_time_separator&amp;REPT(local_second_format,2)</definedName>
    <definedName function="false" hidden="true" name="log" vbProcedure="false">{"Avorstand",#N/A,TRUE,"Abf. Szenario ";"Bnord",#N/A,TRUE,"Abf. Szenario ";"Cnordwest",#N/A,TRUE,"Abf. Szenario ";"Dwest",#N/A,TRUE,"Abf. Szenario ";"Esüdwest",#N/A,TRUE,"Abf. Szenario ";"Fsüd",#N/A,TRUE,"Abf. Szenario ";"Host",#N/A,TRUE,"Abf. Szenario ";"Gesamt",#N/A,TRUE,"Abf. Szenario "}</definedName>
    <definedName function="false" hidden="true" name="logh" vbProcedure="false">{"Tages_D",#N/A,FALSE,"Tagesbericht";"Tages_PL",#N/A,FALSE,"Tagesbericht"}</definedName>
    <definedName function="false" hidden="true" name="logistik" vbProcedure="false">{#N/A,#N/A,TRUE,"Sensonic";#N/A,#N/A,TRUE,"Combimeter";#N/A,#N/A,TRUE,"HKV";#N/A,#N/A,TRUE,"TV";#N/A,#N/A,TRUE,"WZ";#N/A,#N/A,TRUE,"PrepHeatCon";#N/A,#N/A,TRUE,"Sonstiges";#N/A,#N/A,TRUE,"Abrechnung";#N/A,#N/A,TRUE,"Investitionen";#N/A,#N/A,TRUE,"Personal";#N/A,#N/A,TRUE,"sonstige Kosten u. Erträge";#N/A,#N/A,TRUE,"BER";#N/A,#N/A,TRUE,"Monatsaufteilung Budget 1997"}</definedName>
    <definedName function="false" hidden="true" name="loiuj" vbProcedure="false">{"'Other IPS'!$A$5","'Other IPS'!$A$4:$K$38"}</definedName>
    <definedName function="false" hidden="true" name="loki" vbProcedure="false">{#N/A,#N/A,TRUE,"CF brut";#N/A,#N/A,TRUE,"CashFlow";#N/A,#N/A,TRUE,"RCE";#N/A,#N/A,TRUE,"amort"}</definedName>
    <definedName function="false" hidden="true" name="loklk" vbProcedure="false">{#N/A,#N/A,TRUE,"Historicals";#N/A,#N/A,TRUE,"Charts";#N/A,#N/A,TRUE,"Forecasts"}</definedName>
    <definedName function="false" hidden="true" name="lol" vbProcedure="false">{"fleisch",#N/A,FALSE,"WG HK";"food",#N/A,FALSE,"WG HK";"hartwaren",#N/A,FALSE,"WG HK";"weichwaren",#N/A,FALSE,"WG HK"}</definedName>
    <definedName function="false" hidden="true" name="lolo" vbProcedure="false">{"scrap",#N/A,FALSE,"scrap"}</definedName>
    <definedName function="false" hidden="true" name="longh" vbProcedure="false">{"GTI monthly IS",#N/A,FALSE,"gti";#N/A,#N/A,FALSE,"gti"}</definedName>
    <definedName function="false" hidden="true" name="LONG_TERM_GROWTH" vbProcedure="false">"LONG_TERM_GROWTH"</definedName>
    <definedName function="false" hidden="true" name="LONG_TERM_INV" vbProcedure="false">"LONG_TERM_INV"</definedName>
    <definedName function="false" hidden="true" name="lop" vbProcedure="false">{"fleisch",#N/A,FALSE,"WG HK";"food",#N/A,FALSE,"WG HK";"hartwaren",#N/A,FALSE,"WG HK";"weichwaren",#N/A,FALSE,"WG HK"}</definedName>
    <definedName function="false" hidden="true" name="Lorena" vbProcedure="false">{"'Data'!$A$1:$D$17"}</definedName>
    <definedName function="false" hidden="true" name="lost" vbProcedure="false">{"'comite'!$A$9:$G$44","'comite'!$A$1:$G$6"}</definedName>
    <definedName function="false" hidden="true" name="LostTimeJAR" vbProcedure="false">{"'Data'!$A$1:$D$17"}</definedName>
    <definedName function="false" hidden="true" name="LotusGraphChart1" vbProcedure="false">#REF!</definedName>
    <definedName function="false" hidden="true" name="lotusgraphchart1b" vbProcedure="false">#REF!</definedName>
    <definedName function="false" hidden="true" name="lotusgraphchart1x" vbProcedure="false">#REF!</definedName>
    <definedName function="false" hidden="true" name="LowPrice" vbProcedure="false">#REF!</definedName>
    <definedName function="false" hidden="true" name="lp" vbProcedure="false">#N/A</definedName>
    <definedName function="false" hidden="true" name="lplpl" vbProcedure="false">{#N/A,#N/A,FALSE,"Index";#N/A,#N/A,FALSE,"1.1";#N/A,#N/A,FALSE,"Scenario Summary"}</definedName>
    <definedName function="false" hidden="true" name="lpok" vbProcedure="false">{#N/A,"PURADD",FALSE,"Business Analysis";#N/A,"PURSPP",FALSE,"Business Analysis";#N/A,"CTGIND",FALSE,"Business Analysis";#N/A,"PURCHM",FALSE,"Business Analysis";#N/A,"SPADD",FALSE,"Business Analysis";#N/A,"EPOXY",FALSE,"Business Analysis";#N/A,"PURPER",FALSE,"Business Analysis"}</definedName>
    <definedName function="false" hidden="true" name="lps" vbProcedure="false">{#N/A,#N/A,FALSE,"단축1";#N/A,#N/A,FALSE,"단축2";#N/A,#N/A,FALSE,"단축3";#N/A,#N/A,FALSE,"장축";#N/A,#N/A,FALSE,"4WD"}</definedName>
    <definedName function="false" hidden="true" name="ltmnonasset1" vbProcedure="false">#REF!</definedName>
    <definedName function="false" hidden="true" name="ltmnonasset2" vbProcedure="false">#REF!</definedName>
    <definedName function="false" hidden="true" name="ltmnonasset4" vbProcedure="false">#REF!</definedName>
    <definedName function="false" hidden="true" name="ltmnonliab1" vbProcedure="false">#REF!</definedName>
    <definedName function="false" hidden="true" name="ltmnonliab2" vbProcedure="false">#REF!</definedName>
    <definedName function="false" hidden="true" name="ltmnonliab4" vbProcedure="false">#REF!</definedName>
    <definedName function="false" hidden="true" name="ltm_BalanceSheet" vbProcedure="false">#REF!</definedName>
    <definedName function="false" hidden="true" name="LTM_DATE" vbProcedure="false">"LTM_DATE"</definedName>
    <definedName function="false" hidden="true" name="ltm_IncomeStatement" vbProcedure="false">#REF!</definedName>
    <definedName function="false" hidden="true" name="LTM_REVENUE_OVER_EMPLOYEES" vbProcedure="false">"LTM_REVENUE_OVER_EMPLOYEES"</definedName>
    <definedName function="false" hidden="true" name="LUFeXToEUR" vbProcedure="false">1/eurextoluf</definedName>
    <definedName function="false" hidden="true" name="luiyuy" vbProcedure="false">{"'Other IPS'!$A$5","'Other IPS'!$A$4:$K$38"}</definedName>
    <definedName function="false" hidden="true" name="LUP" vbProcedure="false">#REF!</definedName>
    <definedName function="false" hidden="true" name="lut"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LUXURY" vbProcedure="false">{"EXPORT",#N/A,FALSE,"A8CONTENT"}</definedName>
    <definedName function="false" hidden="true" name="luyit" vbProcedure="false">{#N/A,#N/A,FALSE,"Staffnos &amp; cost"}</definedName>
    <definedName function="false" hidden="true" name="LV仕様" vbProcedure="false">#REF!</definedName>
    <definedName function="false" hidden="true" name="lylyyy" vbProcedure="false">{"'Other IPS'!$A$5","'Other IPS'!$A$4:$K$38"}</definedName>
    <definedName function="false" hidden="true" name="lzu" vbProcedure="false">{#N/A,#N/A,FALSE,"V3 Stab-Geb Index";#N/A,#N/A,FALSE,"Vertrieb";#N/A,#N/A,FALSE,"V Daten";#N/A,#N/A,FALSE,"V-Z-Index";#N/A,#N/A,FALSE,"V-1 Daten";#N/A,#N/A,FALSE,"V-1 Index";#N/A,#N/A,FALSE,"V-2 Index";#N/A,#N/A,FALSE,"V-3 Daten";#N/A,#N/A,FALSE,"V3 Stab-Geb Index";#N/A,#N/A,FALSE,"V-3 VG's Index";#N/A,#N/A,FALSE,"V-4 Index";#N/A,#N/A,FALSE,"V-5 Index"}</definedName>
    <definedName function="false" hidden="true" name="L_COVER" vbProcedure="false">{#N/A,#N/A,FALSE,"단축1";#N/A,#N/A,FALSE,"단축2";#N/A,#N/A,FALSE,"단축3";#N/A,#N/A,FALSE,"장축";#N/A,#N/A,FALSE,"4WD"}</definedName>
    <definedName function="false" hidden="true" name="lñ" vbProcedure="false">{"sales growth",#N/A,FALSE,"summary";"oper income",#N/A,FALSE,"summary";"oros rank",#N/A,FALSE,"summary";"net assets",#N/A,FALSE,"summary";"asset turnover",#N/A,FALSE,"summary";"orona",#N/A,FALSE,"summary"}</definedName>
    <definedName function="false" hidden="true" name="lö" vbProcedure="false">"c5584"</definedName>
    <definedName function="false" hidden="true" name="lökj" vbProcedure="false">{#N/A,#N/A,FALSE,"Bl. 1";#N/A,#N/A,FALSE,"Bl. 2";#N/A,#N/A,FALSE,"Bl. 3";#N/A,#N/A,FALSE,"Bl. 4";#N/A,#N/A,FALSE,"Bl. 6";#N/A,#N/A,FALSE,"Bl. 7";#N/A,#N/A,FALSE,"BL. 8";#N/A,#N/A,FALSE,"Bl. 9";#N/A,#N/A,FALSE,"Bl. 10";#N/A,#N/A,FALSE,"Bl. 12"}</definedName>
    <definedName function="false" hidden="true" name="m" vbProcedure="false">{#N/A,#N/A,TRUE,"Total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function="false" hidden="true" name="MA" vbProcedure="false">{#N/A,#N/A,FALSE,"Consol P&amp;L ";#N/A,#N/A,FALSE,"CP P&amp;L";#N/A,#N/A,FALSE,"ADS P&amp;L";#N/A,#N/A,FALSE,"Corp P&amp;L"}</definedName>
    <definedName function="false" hidden="true" name="MaD" vbProcedure="false">{"BS",#N/A,FALSE,"USA"}</definedName>
    <definedName function="false" hidden="true" name="MAG" vbProcedure="false">{"Avorstand",#N/A,TRUE,"Abf. Szenario ";"Bnord",#N/A,TRUE,"Abf. Szenario ";"Cnordwest",#N/A,TRUE,"Abf. Szenario ";"Dwest",#N/A,TRUE,"Abf. Szenario ";"Esüdwest",#N/A,TRUE,"Abf. Szenario ";"Fsüd",#N/A,TRUE,"Abf. Szenario ";"Host",#N/A,TRUE,"Abf. Szenario ";"Gesamt",#N/A,TRUE,"Abf. Szenario "}</definedName>
    <definedName function="false" hidden="true" name="Main" vbProcedure="false">{"'ID(2)'!$E$1:$N$4"}</definedName>
    <definedName function="false" hidden="true" name="Maintenanc" vbProcedure="false">{"'ID(2)'!$E$1:$N$4"}</definedName>
    <definedName function="false" hidden="true" name="maji" vbProcedure="false">{"detail",#N/A,FALSE,"mfg";"summary",#N/A,FALSE,"mfg"}</definedName>
    <definedName function="false" hidden="true" name="MAL" vbProcedure="false">#REF!</definedName>
    <definedName function="false" hidden="true" name="Mandantenname" vbProcedure="false">#REF!</definedName>
    <definedName function="false" hidden="true" name="MANHRS" vbProcedure="false">{"LCCOST",#N/A,FALSE,"FC-3 "}</definedName>
    <definedName function="false" hidden="true" name="mans" vbProcedure="false">{"quarterly",#N/A,FALSE,"Income Statement";#N/A,#N/A,FALSE,"print segment";#N/A,#N/A,FALSE,"Balance Sheet";#N/A,#N/A,FALSE,"Annl Inc";#N/A,#N/A,FALSE,"Cash Flow"}</definedName>
    <definedName function="false" hidden="true" name="Mar00" vbProcedure="false">{"Statement of Income",#N/A,TRUE,"Mar99";"Balance Sheet",#N/A,TRUE,"Mar99"}</definedName>
    <definedName function="false" hidden="true" name="Mar00TB" vbProcedure="false">{"Statement of Income",#N/A,TRUE,"Mar99";"Balance Sheet",#N/A,TRUE,"Mar99"}</definedName>
    <definedName function="false" hidden="true" name="mar00tb1" vbProcedure="false">{"Statement of Income",#N/A,TRUE,"Mar99";"Balance Sheet",#N/A,TRUE,"Mar99"}</definedName>
    <definedName function="false" hidden="true" name="marc" vbProcedure="false">"MATRA - AUTOMOBILE"</definedName>
    <definedName function="false" hidden="true" name="marcapty" vbProcedure="false">#REF!</definedName>
    <definedName function="false" hidden="true" name="marearntwo" vbProcedure="false">#REF!</definedName>
    <definedName function="false" hidden="true" name="marebitdaty" vbProcedure="false">#REF!</definedName>
    <definedName function="false" hidden="true" name="marebitty" vbProcedure="false">#REF!</definedName>
    <definedName function="false" hidden="true" name="marformrow2" vbProcedure="false">#REF!</definedName>
    <definedName function="false" hidden="true" name="Margen" vbProcedure="false">"4WJPO5PFX073GKVK4BI986WG1"</definedName>
    <definedName function="false" hidden="true" name="margin" vbProcedure="false">{#N/A,#N/A,FALSE,"Aging Summary";#N/A,#N/A,FALSE,"Ratio Analysis";#N/A,#N/A,FALSE,"Test 120 Day Accts";#N/A,#N/A,FALSE,"Tickmarks"}</definedName>
    <definedName function="false" hidden="true" name="margrossty" vbProcedure="false">#REF!</definedName>
    <definedName function="false" hidden="true" name="Markenorientierung"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market" vbProcedure="false">{#N/A,#N/A,TRUE,"0 Deckbl.";#N/A,#N/A,TRUE,"S 1 Komm";#N/A,#N/A,TRUE,"S 1a Komm";#N/A,#N/A,TRUE,"S 1b Komm";#N/A,#N/A,TRUE,"S  2 DBR";#N/A,#N/A,TRUE,"S  3 Sparten";#N/A,#N/A,TRUE,"S 4  Betr. K.";#N/A,#N/A,TRUE,"6 Bilanz";#N/A,#N/A,TRUE,"6a Bilanz ";#N/A,#N/A,TRUE,"6b Bilanz ";#N/A,#N/A,TRUE,"7 GS I";#N/A,#N/A,TRUE,"S 8 EQ-GuV"}</definedName>
    <definedName function="false" hidden="true" name="MARKETCAP" vbProcedure="false">"MARKETCAP"</definedName>
    <definedName function="false" hidden="true" name="marnwcty" vbProcedure="false">#REF!</definedName>
    <definedName function="false" hidden="true" name="marrevtwo" vbProcedure="false">#REF!</definedName>
    <definedName function="false" hidden="true" name="martyrange" vbProcedure="false">#REF!</definedName>
    <definedName function="false" hidden="true" name="martyrangeone" vbProcedure="false">#REF!</definedName>
    <definedName function="false" hidden="true" name="MasterCheck" vbProcedure="false">#REF!</definedName>
    <definedName function="false" hidden="true" name="MasterGM" vbProcedure="false">{"'Future Reviews'!$A$1:$D$58"}</definedName>
    <definedName function="false" hidden="true" name="MasterS" vbProcedure="false">{"'Future Reviews'!$A$1:$D$58"}</definedName>
    <definedName function="false" hidden="true" name="mauro" vbProcedure="false">{#N/A,#N/A,FALSE,"Indcost";#N/A,#N/A,FALSE,"Plcost";#N/A,#N/A,FALSE,"Mincost";#N/A,#N/A,FALSE,"Produc";#N/A,#N/A,FALSE,"Rev";#N/A,#N/A,FALSE,"Capital";#N/A,#N/A,FALSE,"Wcapital";#N/A,#N/A,FALSE,"Contdep";#N/A,#N/A,FALSE,"Taxdep";#N/A,#N/A,FALSE,"Tax";#N/A,#N/A,FALSE,"S-SDebt";#N/A,#N/A,FALSE,"TotDebt";#N/A,#N/A,FALSE,"Profit";#N/A,#N/A,FALSE,"CFlow";#N/A,#N/A,FALSE,"1996-2012";#N/A,#N/A,FALSE,"Bcesheet"}</definedName>
    <definedName function="false" hidden="true" name="Max" vbProcedure="false">1/eurextobef</definedName>
    <definedName function="false" hidden="true" name="May" vbProcedure="false">{#N/A,#N/A,FALSE,"Cover";#N/A,#N/A,FALSE,"Cover (2)";#N/A,#N/A,FALSE,"P&amp;LSUM";#N/A,#N/A,FALSE,"P&amp;L BY SEG.";#N/A,#N/A,FALSE,"ProdLine95LE";#N/A,#N/A,FALSE,"ACT_GROSSMARGIN";#N/A,#N/A,FALSE,"SG&amp;A $";#N/A,#N/A,FALSE,"OID";#N/A,#N/A,FALSE,"ROADMAP (2)";#N/A,#N/A,FALSE,"WCPERFORM";#N/A,#N/A,FALSE,"WCPERFORM (3)";#N/A,#N/A,FALSE,"CORPCASHFLOW";#N/A,#N/A,FALSE,"CASHFLOWFWC";#N/A,#N/A,FALSE,"CAPITAL EXPENDITURES";#N/A,#N/A,FALSE,"96RISKS&amp;OPP";#N/A,#N/A,FALSE,"KeyActions";#N/A,#N/A,FALSE,"Cover (3)";#N/A,#N/A,FALSE,"GROWTH";#N/A,#N/A,FALSE,"HVACMARASSUM";#N/A,#N/A,FALSE,"MARKETANA95";#N/A,#N/A,FALSE,"MARKETANA96F";#N/A,#N/A,FALSE,"MARKETANA97P";#N/A,#N/A,FALSE,"SRVMARKETASSUM";#N/A,#N/A,FALSE,"95COMPETSOM%";#N/A,#N/A,FALSE,"96COMPETSOM% ";#N/A,#N/A,FALSE,"97COMPETSOM%";#N/A,#N/A,FALSE,"SOM%COMPARE";#N/A,#N/A,FALSE,"MARKETEVOL";#N/A,#N/A,FALSE,"COMPMKTACTION";#N/A,#N/A,FALSE,"SECTION 2";#N/A,#N/A,FALSE,"MACROECONOMIC";#N/A,#N/A,FALSE,"ROADMAP";#N/A,#N/A,FALSE,"HVACSALESEXT";#N/A,#N/A,FALSE,"EXTPRICINGASSUM";#N/A,#N/A,FALSE,"HVACSALESINT";#N/A,#N/A,FALSE,"INTPRICINGASSUM";#N/A,#N/A,FALSE,"EXTHVACSTDGROS";#N/A,#N/A,FALSE,"INTHVACSTDGROS";#N/A,#N/A,FALSE,"EXTHVACSTDGROS($)";#N/A,#N/A,FALSE,"INTHVACSTDGROS($)";#N/A,#N/A,FALSE,"MANUFACTURING EXPENSES";#N/A,#N/A,FALSE,"ACTGROSMAGANA(2)";#N/A,#N/A,FALSE,"SG&amp;A $ (2)";#N/A,#N/A,FALSE,"R&amp;DPROJECTS";#N/A,#N/A,FALSE,"OID (2)";#N/A,#N/A,FALSE,"P&amp;LSUM (3)";#N/A,#N/A,FALSE,"P&amp;L BY SEG. (2)";#N/A,#N/A,FALSE,"ProdLine97P ";#N/A,#N/A,FALSE,"HEADCOUNT-YTD";#N/A,#N/A,FALSE,"HEADCOUNT-BOY";#N/A,#N/A,FALSE,"HEADCOUNT-PLAN";#N/A,#N/A,FALSE,"WCPERFORM (2)";#N/A,#N/A,FALSE,"WCPERFORM (4)";#N/A,#N/A,FALSE,"PLANCORPCASHFLOW";#N/A,#N/A,FALSE,"CASHFLOW BY QTR";#N/A,#N/A,FALSE,"CASHFLOWW_C (2)";#N/A,#N/A,FALSE,"CF_W_C BY QTR";#N/A,#N/A,FALSE,"CAPITAL EXPENDITURES (2)";#N/A,#N/A,FALSE,"BALANCE SHEET";#N/A,#N/A,FALSE,"97RISKS&amp;OPP (3)";#N/A,#N/A,FALSE,"KeyActions (2)";#N/A,#N/A,FALSE,"Cover (5)";#N/A,#N/A,FALSE,"RDMAP FCST VOL";#N/A,#N/A,FALSE,"Cover (4)";#N/A,#N/A,FALSE,"RDMAPVOLUME";#N/A,#N/A,FALSE,"RDMAPPRICEMIX";#N/A,#N/A,FALSE,"RDMAPMGNRECON";#N/A,#N/A,FALSE,"RDMAPPRODUC";#N/A,#N/A,FALSE,"RDMAPFXPARITY";#N/A,#N/A,FALSE,"RDMAPINFLM";#N/A,#N/A,FALSE,"RDMAPINFLP";#N/A,#N/A,FALSE,"RDMAPOTHER"}</definedName>
    <definedName function="false" hidden="true" name="MBR" vbProcedure="false">{#N/A,#N/A,FALSE,"단축1";#N/A,#N/A,FALSE,"단축2";#N/A,#N/A,FALSE,"단축3";#N/A,#N/A,FALSE,"장축";#N/A,#N/A,FALSE,"4WD"}</definedName>
    <definedName function="false" hidden="true" name="MBR문제점" vbProcedure="false">{#N/A,#N/A,FALSE,"단축1";#N/A,#N/A,FALSE,"단축2";#N/A,#N/A,FALSE,"단축3";#N/A,#N/A,FALSE,"장축";#N/A,#N/A,FALSE,"4WD"}</definedName>
    <definedName function="false" hidden="true" name="mb_inputLocation" vbProcedure="false">#REF!</definedName>
    <definedName function="false" hidden="true" name="mdfsd" vbProcedure="false">main.sapf4help()</definedName>
    <definedName function="false" hidden="true" name="MDI" vbProcedure="false">{#N/A,#N/A,FALSE,"SUMMARY";#N/A,#N/A,FALSE,"mcsh";#N/A,#N/A,FALSE,"vol&amp;rev";#N/A,#N/A,FALSE,"wkgcap";#N/A,#N/A,FALSE,"DEPR&amp;DT";#N/A,#N/A,FALSE,"ASSETS";#N/A,#N/A,FALSE,"NI&amp;OTH&amp;DIV";#N/A,#N/A,FALSE,"CASHFLOW";#N/A,#N/A,FALSE,"CAPEMPL";#N/A,#N/A,FALSE,"ROCE"}</definedName>
    <definedName function="false" hidden="true" name="medmult" vbProcedure="false">#REF!</definedName>
    <definedName function="false" hidden="true" name="Mehrjahresplanung" vbProcedure="false">#REF!</definedName>
    <definedName function="false" hidden="true" name="mens" vbProcedure="false">{"direct labor",#N/A,FALSE,"labor";"direct labor1",#N/A,FALSE,"labor"}</definedName>
    <definedName function="false" hidden="true" name="mensual" vbProcedure="false">{"indirect labor",#N/A,FALSE,"labor"}</definedName>
    <definedName function="false" hidden="true" name="meoi" vbProcedure="false">{#N/A,#N/A,FALSE,"CAPAS";#N/A,#N/A,FALSE,"BP-BOM";#N/A,#N/A,FALSE,"DRBOM";#N/A,#N/A,FALSE,"DRE-RAT";#N/A,#N/A,FALSE,"CAPAS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function="false" hidden="true" name="MerrillPrintIt" vbProcedure="false">#REF!</definedName>
    <definedName function="false" hidden="true" name="MEWarning" vbProcedure="false">1</definedName>
    <definedName function="false" hidden="true" name="mfoew" vbProcedure="false">{#N/A,"PURCHM",FALSE,"Business Analysis";#N/A,"SPADD",FALSE,"Business Analysis"}</definedName>
    <definedName function="false" hidden="true" name="mi" vbProcedure="false">2</definedName>
    <definedName function="false" hidden="true" name="micio" vbProcedure="false">{"FY98Q1",#N/A,FALSE,"FY98 - Q1";"FY98Q2",#N/A,FALSE,"FY98 - Q2";"FY98Q3",#N/A,FALSE,"FY98 - Q3";"FY98Q4",#N/A,FALSE,"FY98 - Q4"}</definedName>
    <definedName function="false" hidden="true" name="Midmarket" vbProcedure="false">{#N/A,#N/A,TRUE,"Cont_Stell";#N/A,#N/A,TRUE,"BTG";#N/A,#N/A,TRUE,"SH";#N/A,#N/A,TRUE,"GUV";#N/A,#N/A,TRUE,"Bilanz";#N/A,#N/A,TRUE,"WC";#N/A,#N/A,TRUE,"Beweg_bil";#N/A,#N/A,TRUE,"Kap_fluß";#N/A,#N/A,TRUE,"KENNZ";#N/A,#N/A,TRUE,"ANALYSE"}</definedName>
    <definedName function="false" hidden="true" name="MietleasingMitKfz" vbProcedure="false">#REF!</definedName>
    <definedName function="false" hidden="true" name="MietleasingMitKfzK" vbProcedure="false">#REF!</definedName>
    <definedName function="false" hidden="true" name="MietleasingMitKfzM" vbProcedure="false">#REF!</definedName>
    <definedName function="false" hidden="true" name="MietleasingMitKfzN" vbProcedure="false">#REF!</definedName>
    <definedName function="false" hidden="true" name="MietleasingMitKfzZ" vbProcedure="false">#REF!</definedName>
    <definedName function="false" hidden="true" name="MietleasingMitKfz_" vbProcedure="false">#REF!</definedName>
    <definedName function="false" hidden="true" name="mike"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milner" vbProcedure="false">{#N/A,#N/A,FALSE,"Aging Summary";#N/A,#N/A,FALSE,"Ratio Analysis";#N/A,#N/A,FALSE,"Test 120 Day Accts";#N/A,#N/A,FALSE,"Tickmarks"}</definedName>
    <definedName function="false" hidden="true" name="min" vbProcedure="false">{#N/A,#N/A,FALSE,"REPORT"}</definedName>
    <definedName function="false" hidden="true" name="mina" vbProcedure="false">{#N/A,#N/A,FALSE,"REPORT"}</definedName>
    <definedName function="false" hidden="true" name="minadj" vbProcedure="false">#REF!</definedName>
    <definedName function="false" hidden="true" name="minadj2" vbProcedure="false">#REF!</definedName>
    <definedName function="false" hidden="true" name="minorityintyes" vbProcedure="false">#REF!</definedName>
    <definedName function="false" hidden="true" name="MINORITY_INTEREST" vbProcedure="false">"MINORITY_INTEREST"</definedName>
    <definedName function="false" hidden="true" name="mirto" vbProcedure="false">{"FY97Total var",#N/A,FALSE,"FY97 - Total";"FY98Total var",#N/A,FALSE,"FY98 - Total"}</definedName>
    <definedName function="false" hidden="true" name="MISC_EARN_ADJ" vbProcedure="false">"MISC_EARN_ADJ"</definedName>
    <definedName function="false" hidden="true" name="Mittelbeantragung2" vbProcedure="false">{#N/A,#N/A,FALSE,"1. PTI Ziele";#N/A,#N/A,FALSE,"2. Zielkatalog ";#N/A,#N/A,FALSE,"3. Masterterminplan"}</definedName>
    <definedName function="false" hidden="true" name="miwukls" vbProcedure="false">{"detail",#N/A,FALSE,"mfg";"summary",#N/A,FALSE,"mfg"}</definedName>
    <definedName function="false" hidden="true" name="mj" vbProcedure="false">{#N/A,#N/A,FALSE,"FY97";#N/A,#N/A,FALSE,"FY98";#N/A,#N/A,FALSE,"FY99";#N/A,#N/A,FALSE,"FY00";#N/A,#N/A,FALSE,"FY01"}</definedName>
    <definedName function="false" hidden="true" name="mJFJKFJHF25" vbProcedure="false">{"'Title Transfer Units6,7,&amp;8'!$A$1:$B$4","'Title Transfer Units6,7,&amp;8'!$C$6"}</definedName>
    <definedName function="false" hidden="true" name="MJN" vbProcedure="false">{"'Demand Units'!$X$11:$AD$45"}</definedName>
    <definedName function="false" hidden="true" name="MJP" vbProcedure="false">#REF!</definedName>
    <definedName function="false" hidden="true" name="mk" vbProcedure="false">{"fleisch",#N/A,FALSE,"WG HK";"food",#N/A,FALSE,"WG HK";"hartwaren",#N/A,FALSE,"WG HK";"weichwaren",#N/A,FALSE,"WG HK"}</definedName>
    <definedName function="false" hidden="true" name="MKK" vbProcedure="false">{"'下期集計（10.27迄・速報値）'!$Q$16"}</definedName>
    <definedName function="false" hidden="true" name="mkl" vbProcedure="false">{"pro_view",#N/A,FALSE,"EEFSNAP2";"rep_view",#N/A,FALSE,"EEFSNAP2"}</definedName>
    <definedName function="false" hidden="true" name="mktdisc" vbProcedure="false">#REF!</definedName>
    <definedName function="false" hidden="true" name="mktdisc2" vbProcedure="false">#REF!</definedName>
    <definedName function="false" hidden="true" name="mktformat" vbProcedure="false">#REF!</definedName>
    <definedName function="false" hidden="true" name="mktformat2" vbProcedure="false">#REF!</definedName>
    <definedName function="false" hidden="true" name="ml" vbProcedure="false">"4DO9W1IBUQC8WGIYA1DM5Z571"</definedName>
    <definedName function="false" hidden="true" name="MLNK001a80ff05c14549b6968cbe46f7b9fe" vbProcedure="false">#REF!</definedName>
    <definedName function="false" hidden="true" name="MLNK0029a2db3fcc4eecbadadd84ea97e13e" vbProcedure="false">#REF!</definedName>
    <definedName function="false" hidden="true" name="MLNK0080f629ed1b41818e3b4168146b044c" vbProcedure="false">#REF!</definedName>
    <definedName function="false" hidden="true" name="MLNK01c5ceaa10e24507adab41de59f80724" vbProcedure="false">#REF!</definedName>
    <definedName function="false" hidden="true" name="MLNK01e74e1779f34329bdd3cef410ce912c" vbProcedure="false">#REF!</definedName>
    <definedName function="false" hidden="true" name="MLNK022d45756e5e4e6b8964df9c378c7002" vbProcedure="false">#REF!</definedName>
    <definedName function="false" hidden="true" name="MLNK024d4c9e6a1341b1b1119be6ccb6f648" vbProcedure="false">#REF!</definedName>
    <definedName function="false" hidden="true" name="MLNK030ec4e17eb0487881db060d5a162257" vbProcedure="false">#REF!</definedName>
    <definedName function="false" hidden="true" name="MLNK03de70ec765b4556904bb17cc6e17d76" vbProcedure="false">#REF!</definedName>
    <definedName function="false" hidden="true" name="MLNK04229f2b76194fd28d202652a32f7fac" vbProcedure="false">#REF!</definedName>
    <definedName function="false" hidden="true" name="MLNK046370ffb7484ea3942f5d15ebefe1bc" vbProcedure="false">#REF!</definedName>
    <definedName function="false" hidden="true" name="MLNK04e8232b24f444d2a3653f138d1f593c" vbProcedure="false">#REF!</definedName>
    <definedName function="false" hidden="true" name="MLNK05109aa1a4b2467aa894f159e7a35b92" vbProcedure="false">#REF!</definedName>
    <definedName function="false" hidden="true" name="MLNK069e0db62d8f4d178f7b11015e2bb116" vbProcedure="false">#REF!</definedName>
    <definedName function="false" hidden="true" name="MLNK0761816f6d124df585ee85ea9b345fa9" vbProcedure="false">#REF!</definedName>
    <definedName function="false" hidden="true" name="MLNK078041be487045718b5f76501901082a" vbProcedure="false">#REF!</definedName>
    <definedName function="false" hidden="true" name="MLNK0858ea2ce6934f10b4f2dbbc5e98b009" vbProcedure="false">#REF!</definedName>
    <definedName function="false" hidden="true" name="MLNK094ae2cf73854f25be3daae2785ec707" vbProcedure="false">#REF!</definedName>
    <definedName function="false" hidden="true" name="MLNK0954c33bf5ef4bdf9aba19fe5f904926" vbProcedure="false">#REF!</definedName>
    <definedName function="false" hidden="true" name="MLNK09ee301443a24207a7888c268487f4fd" vbProcedure="false">#REF!</definedName>
    <definedName function="false" hidden="true" name="MLNK0a90d0354dee49cfba38eb32d32466a9" vbProcedure="false">#REF!</definedName>
    <definedName function="false" hidden="true" name="MLNK0b363239dd854af3baf9bb633a72f560" vbProcedure="false">#REF!</definedName>
    <definedName function="false" hidden="true" name="MLNK0caa629f9f1f48779101cf8af00425e3" vbProcedure="false">#REF!</definedName>
    <definedName function="false" hidden="true" name="MLNK0d196377627e48fbbb797f385521e7c9" vbProcedure="false">#REF!</definedName>
    <definedName function="false" hidden="true" name="MLNK0da82c4bc2834e139e720997143fb0cb" vbProcedure="false">#REF!</definedName>
    <definedName function="false" hidden="true" name="MLNK0dab32f843164184b6ee674d256a3c9e" vbProcedure="false">#REF!</definedName>
    <definedName function="false" hidden="true" name="MLNK0dd155b2e6b341ccad931e7db3c33951" vbProcedure="false">#REF!</definedName>
    <definedName function="false" hidden="true" name="MLNK0de49bfd9597493fb9147395aab54590" vbProcedure="false">#REF!</definedName>
    <definedName function="false" hidden="true" name="MLNK0e40149d86134610bd9e0ab52d13718c" vbProcedure="false">#REF!</definedName>
    <definedName function="false" hidden="true" name="MLNK0e7a1970c7c344b6a7e0895f9ab2aadd" vbProcedure="false">#REF!</definedName>
    <definedName function="false" hidden="true" name="MLNK0ea8bc194f4241288f82d08c90be0821" vbProcedure="false">#REF!</definedName>
    <definedName function="false" hidden="true" name="MLNK0f3c1287ebad467fb7341ce5261f30c6" vbProcedure="false">#REF!</definedName>
    <definedName function="false" hidden="true" name="MLNK10341875af084525a3ca6890e4d310f3" vbProcedure="false">#REF!</definedName>
    <definedName function="false" hidden="true" name="MLNK104aee804f734992af8beb0715d3b386" vbProcedure="false">#REF!</definedName>
    <definedName function="false" hidden="true" name="MLNK1289e78ed9504efcabdc74a25eddbe70" vbProcedure="false">#REF!</definedName>
    <definedName function="false" hidden="true" name="MLNK12dee047aa3f4beaafd3936e540ac18e" vbProcedure="false">#REF!</definedName>
    <definedName function="false" hidden="true" name="MLNK13d9f7e3738248ce824895de9107feff" vbProcedure="false">#REF!</definedName>
    <definedName function="false" hidden="true" name="MLNK14e36f743f6547fe964b1154c4ea46b6" vbProcedure="false">#REF!</definedName>
    <definedName function="false" hidden="true" name="MLNK16e85f3eb0134fdeb7310375f53ac2b3" vbProcedure="false">#REF!</definedName>
    <definedName function="false" hidden="true" name="MLNK187850a6f3894d11b89b4b356149b532" vbProcedure="false">#REF!</definedName>
    <definedName function="false" hidden="true" name="MLNK1af1fd7f37c94571b7555035f20d920b" vbProcedure="false">#REF!</definedName>
    <definedName function="false" hidden="true" name="MLNK1b86c43398924f9c951516a9c520c2e5" vbProcedure="false">#REF!</definedName>
    <definedName function="false" hidden="true" name="MLNK1c00a9eb395d446e8bf018bc45475189" vbProcedure="false">#REF!</definedName>
    <definedName function="false" hidden="true" name="MLNK1f53fbd0f82445d487d511a1688291b9" vbProcedure="false">#REF!</definedName>
    <definedName function="false" hidden="true" name="MLNK1fd6f9b924584427b2f67c71605bf9d1" vbProcedure="false">#REF!</definedName>
    <definedName function="false" hidden="true" name="MLNK20a14aca840b49c58c617e2257f3e40f" vbProcedure="false">#REF!</definedName>
    <definedName function="false" hidden="true" name="MLNK20fac060f3db4f53bb3582eabeeb0e24" vbProcedure="false">#REF!</definedName>
    <definedName function="false" hidden="true" name="MLNK21d78cce335a47e8ab27ec1350941ca7" vbProcedure="false">#REF!</definedName>
    <definedName function="false" hidden="true" name="MLNK2411e5cb7bff402d889283397d34726d" vbProcedure="false">#REF!</definedName>
    <definedName function="false" hidden="true" name="MLNK24382ac55747434cbe84f45dcfb87558" vbProcedure="false">#REF!</definedName>
    <definedName function="false" hidden="true" name="MLNK244ce5eb9da14a188d20aa5ea094acba" vbProcedure="false">#REF!</definedName>
    <definedName function="false" hidden="true" name="MLNK2789e4b38b7f46b69b9d4766b0bc429b" vbProcedure="false">#REF!</definedName>
    <definedName function="false" hidden="true" name="MLNK27d320fefa4e405c95e425d38b1adc3e" vbProcedure="false">#REF!</definedName>
    <definedName function="false" hidden="true" name="MLNK29b2bb1aa9bf45749e13e66d755fdd6b" vbProcedure="false">#REF!</definedName>
    <definedName function="false" hidden="true" name="MLNK2a7da34465b3497c9cc27baaf7ba74a7" vbProcedure="false">#REF!</definedName>
    <definedName function="false" hidden="true" name="MLNK2b22fd3110794f1c8d4757cfd586e683" vbProcedure="false">#REF!</definedName>
    <definedName function="false" hidden="true" name="MLNK2b9149c4a06640ada2c37fb49eaca1a2" vbProcedure="false">#REF!</definedName>
    <definedName function="false" hidden="true" name="MLNK2bfd0b75c2bf4f0bac45103f2dffc4db" vbProcedure="false">#REF!</definedName>
    <definedName function="false" hidden="true" name="MLNK2de2a48b620b4e4fbac5812f62d83186" vbProcedure="false">#REF!</definedName>
    <definedName function="false" hidden="true" name="MLNK2eaeed4539ad4f4b9cbbf43e4ed28afb" vbProcedure="false">#REF!</definedName>
    <definedName function="false" hidden="true" name="MLNK2f0f016eefbb4db68c9e897c2e3499f8" vbProcedure="false">#REF!</definedName>
    <definedName function="false" hidden="true" name="MLNK308c9e56529b4852a1df350f7283bb84" vbProcedure="false">#REF!</definedName>
    <definedName function="false" hidden="true" name="MLNK30c53cb0e6fd46c39173cd882490e169" vbProcedure="false">#REF!</definedName>
    <definedName function="false" hidden="true" name="MLNK33bab530a5194983bf4b4703f77206e6" vbProcedure="false">#REF!</definedName>
    <definedName function="false" hidden="true" name="MLNK34446c0eda3740efa955cbb26f178486" vbProcedure="false">#REF!</definedName>
    <definedName function="false" hidden="true" name="MLNK34e3e0364e7b455996c004eee5501acd" vbProcedure="false">#REF!</definedName>
    <definedName function="false" hidden="true" name="MLNK35459868630e41c0a7cd4448fbf94924" vbProcedure="false">#REF!</definedName>
    <definedName function="false" hidden="true" name="MLNK36ca01efc7864a408d74ad660c8067ff" vbProcedure="false">#REF!</definedName>
    <definedName function="false" hidden="true" name="MLNK37160acaaf704b628bc0ad174ed738e4" vbProcedure="false">#REF!</definedName>
    <definedName function="false" hidden="true" name="MLNK372abd0aff0e4ac8b0c9521d48bcc39c" vbProcedure="false">#REF!</definedName>
    <definedName function="false" hidden="true" name="MLNK383e435ce9f444f9959820f25cd226a1" vbProcedure="false">#REF!</definedName>
    <definedName function="false" hidden="true" name="MLNK384a12934a284d7a9c70760d85610f5e" vbProcedure="false">#REF!</definedName>
    <definedName function="false" hidden="true" name="MLNK3b5cf33141fc47289bdf490a14302e8e" vbProcedure="false">#REF!</definedName>
    <definedName function="false" hidden="true" name="MLNK3b9240663d244bc0967fefbea414b6a4" vbProcedure="false">#REF!</definedName>
    <definedName function="false" hidden="true" name="MLNK3bbf463efb92434392c6d607f9e86527" vbProcedure="false">#REF!</definedName>
    <definedName function="false" hidden="true" name="MLNK3bd7c0e5924841f2ad9ef2b0653da3d7" vbProcedure="false">#REF!</definedName>
    <definedName function="false" hidden="true" name="MLNK3c594e3686c1417fa251abb6a654f583" vbProcedure="false">#REF!</definedName>
    <definedName function="false" hidden="true" name="MLNK3d82fba1c532431c9f9d70f99e5fcdd4" vbProcedure="false">#REF!</definedName>
    <definedName function="false" hidden="true" name="MLNK3e6f96ef26944aa7af6f072c8c7ed5e5" vbProcedure="false">#REF!</definedName>
    <definedName function="false" hidden="true" name="MLNK40eaf1033aeb4c62b173a9c4fb3aaf25" vbProcedure="false">#REF!</definedName>
    <definedName function="false" hidden="true" name="MLNK453a8aaa7aef4c16a9805aedc7fde307" vbProcedure="false">#REF!</definedName>
    <definedName function="false" hidden="true" name="MLNK4658c580a224432eb80f943a7241bb05" vbProcedure="false">#REF!</definedName>
    <definedName function="false" hidden="true" name="MLNK465ed50b393240f0bc895eb259a95267" vbProcedure="false">#REF!</definedName>
    <definedName function="false" hidden="true" name="MLNK46ac712039c14ebabe61431bb9556b7e" vbProcedure="false">#REF!</definedName>
    <definedName function="false" hidden="true" name="MLNK479bc61a53514e77810a2ac220305049" vbProcedure="false">#REF!</definedName>
    <definedName function="false" hidden="true" name="MLNK47a3bd0c4d2e4bf0b38af6c9bbf898dc" vbProcedure="false">#REF!</definedName>
    <definedName function="false" hidden="true" name="MLNK485607a3bca545f8b55cf9c97b2e9e62" vbProcedure="false">#REF!</definedName>
    <definedName function="false" hidden="true" name="MLNK49d1217ec34a4979bba2efd528376dca" vbProcedure="false">#REF!</definedName>
    <definedName function="false" hidden="true" name="MLNK49f5392899ef40cb85e53f1ea2c500a6" vbProcedure="false">#REF!</definedName>
    <definedName function="false" hidden="true" name="MLNK4c5893de0c6b411dbecc625423767105" vbProcedure="false">#REF!</definedName>
    <definedName function="false" hidden="true" name="MLNK4c92e2693961479ca9178be4bfea1401" vbProcedure="false">#REF!</definedName>
    <definedName function="false" hidden="true" name="MLNK4d30c65824be4a41a633b26131c2b192" vbProcedure="false">#REF!</definedName>
    <definedName function="false" hidden="true" name="MLNK4d4368c2fb29476d84b074219fca3645" vbProcedure="false">#REF!</definedName>
    <definedName function="false" hidden="true" name="MLNK4ee2a1786efd49a0a4dc5e745731b145" vbProcedure="false">#REF!</definedName>
    <definedName function="false" hidden="true" name="MLNK4f37261b9ecc4dbdb97cf6b3af08ff16" vbProcedure="false">#REF!</definedName>
    <definedName function="false" hidden="true" name="MLNK4ff8572370fe4f15bb47aab28d8f8bd2" vbProcedure="false">#REF!</definedName>
    <definedName function="false" hidden="true" name="MLNK5022e304572c46cd940c97fef362cf41" vbProcedure="false">#REF!</definedName>
    <definedName function="false" hidden="true" name="MLNK5144749db37348199928f12213c7c66e" vbProcedure="false">#REF!</definedName>
    <definedName function="false" hidden="true" name="MLNK5174d69f057849e4a042282e9e2296c0" vbProcedure="false">#REF!</definedName>
    <definedName function="false" hidden="true" name="MLNK517e4b51d02947e3ba0594260ba0d45e" vbProcedure="false">#REF!</definedName>
    <definedName function="false" hidden="true" name="MLNK519de93bf78f47a1891887d3e149a825" vbProcedure="false">#REF!</definedName>
    <definedName function="false" hidden="true" name="MLNK52215100950345f7ac4fb1cf09422517" vbProcedure="false">#REF!</definedName>
    <definedName function="false" hidden="true" name="MLNK523938909daa4113b5389f7f3367a70b" vbProcedure="false">#REF!</definedName>
    <definedName function="false" hidden="true" name="MLNK52622e2fd25943f9b38cacc978394d03" vbProcedure="false">#REF!</definedName>
    <definedName function="false" hidden="true" name="MLNK528af4a9e502414ea24e9bb0a0041200" vbProcedure="false">#REF!</definedName>
    <definedName function="false" hidden="true" name="MLNK5396b3f096794ec392a4d747f245981f" vbProcedure="false">#REF!</definedName>
    <definedName function="false" hidden="true" name="MLNK540009530c974479b128fdaaec98b51d" vbProcedure="false">#REF!</definedName>
    <definedName function="false" hidden="true" name="MLNK5427b219985343eb844cf7ee5f64e601" vbProcedure="false">#REF!</definedName>
    <definedName function="false" hidden="true" name="MLNK55ad1f9073064640b409adffd2cb8165" vbProcedure="false">#REF!</definedName>
    <definedName function="false" hidden="true" name="MLNK596365a0066d4aeb967d6d36a6736762" vbProcedure="false">#REF!</definedName>
    <definedName function="false" hidden="true" name="MLNK5a72b3eded524719b5746b0b14f3b6c4" vbProcedure="false">#REF!</definedName>
    <definedName function="false" hidden="true" name="MLNK5b2f68d714724a7b9b02126821c61413" vbProcedure="false">#REF!</definedName>
    <definedName function="false" hidden="true" name="MLNK5b5905e52d9e40b284e9ac9ffbaf90a0" vbProcedure="false">#REF!</definedName>
    <definedName function="false" hidden="true" name="MLNK5c433bc2bff143cf971a50e9def7025b" vbProcedure="false">#REF!</definedName>
    <definedName function="false" hidden="true" name="MLNK5df452a98d774da0b7a4c9ae5c37aa38" vbProcedure="false">#REF!</definedName>
    <definedName function="false" hidden="true" name="MLNK5e3d26b9b9a84ddca7455fd7f7145399" vbProcedure="false">#REF!</definedName>
    <definedName function="false" hidden="true" name="MLNK5e5fc4f1516345b6af18940a03d9cafe" vbProcedure="false">#REF!</definedName>
    <definedName function="false" hidden="true" name="MLNK5e857408172044d287c568a5075ee9a5" vbProcedure="false">#REF!</definedName>
    <definedName function="false" hidden="true" name="MLNK5ea02ac23f6d4fd383f5d5a7eecdd744" vbProcedure="false">#REF!</definedName>
    <definedName function="false" hidden="true" name="MLNK5ea734fd650e44128a317394f222e324" vbProcedure="false">#REF!</definedName>
    <definedName function="false" hidden="true" name="MLNK5f48a83efdae4ed8826196cf51d5bc9a" vbProcedure="false">#REF!</definedName>
    <definedName function="false" hidden="true" name="MLNK5fd76e0369fb431e94268b472ef5af82" vbProcedure="false">#REF!</definedName>
    <definedName function="false" hidden="true" name="MLNK6088f2d54aec4353bcefa5fc3169b2ef" vbProcedure="false">#REF!</definedName>
    <definedName function="false" hidden="true" name="MLNK635bee11a1824ba4bd2db7c63bf33d14" vbProcedure="false">#REF!</definedName>
    <definedName function="false" hidden="true" name="MLNK6429455a706741b99dcc3ad1ccb404c8" vbProcedure="false">#REF!</definedName>
    <definedName function="false" hidden="true" name="MLNK644b676c85b449c6826a8dc93f8070df" vbProcedure="false">#REF!</definedName>
    <definedName function="false" hidden="true" name="MLNK65c71766418d4694bd6032beb15991d8" vbProcedure="false">#REF!</definedName>
    <definedName function="false" hidden="true" name="MLNK65d6fea9489d44759fe86a382828b089" vbProcedure="false">#REF!</definedName>
    <definedName function="false" hidden="true" name="MLNK66d40a0f09914585ae88988f0cd8f2a8" vbProcedure="false">#REF!</definedName>
    <definedName function="false" hidden="true" name="MLNK678b903b7eb04cf38383dc3e26fe2330" vbProcedure="false">#REF!</definedName>
    <definedName function="false" hidden="true" name="MLNK678ca70bb7df4803ab1d660f38b700ae" vbProcedure="false">#REF!</definedName>
    <definedName function="false" hidden="true" name="MLNK679e22ef6b334a10b30277f3c3dfb283" vbProcedure="false">#REF!</definedName>
    <definedName function="false" hidden="true" name="MLNK688d691807224a78a76de9b4b3d81713" vbProcedure="false">#REF!</definedName>
    <definedName function="false" hidden="true" name="MLNK6966108912cc465b865058aa1f369ef8" vbProcedure="false">#REF!</definedName>
    <definedName function="false" hidden="true" name="MLNK69b5bac49e1b459a978447ebd6a321a7" vbProcedure="false">#REF!</definedName>
    <definedName function="false" hidden="true" name="MLNK6a4023ae88d0498ab1e29c6ab049f63f" vbProcedure="false">#REF!</definedName>
    <definedName function="false" hidden="true" name="MLNK6d4d614547a04ccc8d122cdf30f25a19" vbProcedure="false">#REF!</definedName>
    <definedName function="false" hidden="true" name="MLNK6dafe59d938f4663a75ca0727877fad0" vbProcedure="false">#REF!</definedName>
    <definedName function="false" hidden="true" name="MLNK6e3746900cb6466aa94ca76ecdfc0dbd" vbProcedure="false">#REF!</definedName>
    <definedName function="false" hidden="true" name="MLNK6ea964c653f74013a6e9ae07ca782606" vbProcedure="false">#REF!</definedName>
    <definedName function="false" hidden="true" name="MLNK6ff6768252744844943fc133d0bc9a91" vbProcedure="false">#REF!</definedName>
    <definedName function="false" hidden="true" name="MLNK701bd67f9ee644ed820e48e4c6c51fd1" vbProcedure="false">#REF!</definedName>
    <definedName function="false" hidden="true" name="MLNK7034f501682043b29d7d55ed3acf1bbb" vbProcedure="false">#REF!</definedName>
    <definedName function="false" hidden="true" name="MLNK70377839452e4f538165fc304845a919" vbProcedure="false">#REF!</definedName>
    <definedName function="false" hidden="true" name="MLNK7103eb4f64694ac089092067afa57978" vbProcedure="false">#REF!</definedName>
    <definedName function="false" hidden="true" name="MLNK723b396db9da4b4d947b2e397736fbb5" vbProcedure="false">#REF!</definedName>
    <definedName function="false" hidden="true" name="MLNK725819b8362d45c2838b428ce4903aeb" vbProcedure="false">#REF!</definedName>
    <definedName function="false" hidden="true" name="MLNK72b7bc16f1dc494ab0fbd76959a4b7d0" vbProcedure="false">#REF!</definedName>
    <definedName function="false" hidden="true" name="MLNK7355383a90b8412092281bae261d6baf" vbProcedure="false">#REF!</definedName>
    <definedName function="false" hidden="true" name="MLNK736b06d8710a4fbf961591216781fd31" vbProcedure="false">#REF!</definedName>
    <definedName function="false" hidden="true" name="MLNK73b5c7b3edcb4c10ab994a0d2374e79d" vbProcedure="false">#REF!</definedName>
    <definedName function="false" hidden="true" name="MLNK744582e7439149c6a153946907e12d91" vbProcedure="false">#REF!</definedName>
    <definedName function="false" hidden="true" name="MLNK755938f2d24046a6964c1d8e53acbba4" vbProcedure="false">#REF!</definedName>
    <definedName function="false" hidden="true" name="MLNK76096c60638340928ee538819b82a413" vbProcedure="false">#REF!</definedName>
    <definedName function="false" hidden="true" name="MLNK76bd1ee4a2d045ea9b58c42c3510f247" vbProcedure="false">#REF!</definedName>
    <definedName function="false" hidden="true" name="MLNK76fab2f7fe074a458c3c06934b932af0" vbProcedure="false">#REF!</definedName>
    <definedName function="false" hidden="true" name="MLNK7812aa6760374fdd9eca2e6083ce8682" vbProcedure="false">#REF!</definedName>
    <definedName function="false" hidden="true" name="MLNK78beda1a73364725a75937e8205480c1" vbProcedure="false">#REF!</definedName>
    <definedName function="false" hidden="true" name="MLNK794a7ff7f0d34a458ca2ba95fe41531a" vbProcedure="false">#REF!</definedName>
    <definedName function="false" hidden="true" name="MLNK797abaf7d30047c28f549b9f33bd5558" vbProcedure="false">#REF!</definedName>
    <definedName function="false" hidden="true" name="MLNK797fcebf443a497889da61883b87681b" vbProcedure="false">#REF!</definedName>
    <definedName function="false" hidden="true" name="MLNK7af73d6e1a0944daa47edc5ee7861b7f" vbProcedure="false">#REF!</definedName>
    <definedName function="false" hidden="true" name="MLNK7c59d6f17a3a44c281ec6c2c2c38459c" vbProcedure="false">#REF!</definedName>
    <definedName function="false" hidden="true" name="MLNK7dee903e630649f9b1fc1a70a2b5a344" vbProcedure="false">#REF!</definedName>
    <definedName function="false" hidden="true" name="MLNK7f6914a2a6874c84bca30dab787faeac" vbProcedure="false">#REF!</definedName>
    <definedName function="false" hidden="true" name="MLNK7fa2602c78e74b62933d3e1484a131f5" vbProcedure="false">#REF!</definedName>
    <definedName function="false" hidden="true" name="MLNK7faab2ed727b4d7e942bedb991e140ac" vbProcedure="false">#REF!</definedName>
    <definedName function="false" hidden="true" name="MLNK80c4da403d774884b696f664c835d87e" vbProcedure="false">#REF!</definedName>
    <definedName function="false" hidden="true" name="MLNK8119969ea85a4738913c6b5ffc4e5b47" vbProcedure="false">#REF!</definedName>
    <definedName function="false" hidden="true" name="MLNK816e60b1b42d406cb83b5aea47e651e5" vbProcedure="false">#REF!</definedName>
    <definedName function="false" hidden="true" name="MLNK817083a263fd4c02b817bba9652a03fc" vbProcedure="false">#REF!</definedName>
    <definedName function="false" hidden="true" name="MLNK83997c3e11034e0497f855cee8017166" vbProcedure="false">#REF!</definedName>
    <definedName function="false" hidden="true" name="MLNK83a10c488e524411a5d7255cf51329ff" vbProcedure="false">#REF!</definedName>
    <definedName function="false" hidden="true" name="MLNK84490d06fc514eb4a2ba84d5143b01f2" vbProcedure="false">#REF!</definedName>
    <definedName function="false" hidden="true" name="MLNK84aa17c5906c42dc82cfd45947152553" vbProcedure="false">#REF!</definedName>
    <definedName function="false" hidden="true" name="MLNK84ceb3c0cad04fff8302b3f5397f62b1" vbProcedure="false">#REF!</definedName>
    <definedName function="false" hidden="true" name="MLNK84f79b8c28c74229a67b3e38d724aaac" vbProcedure="false">#REF!</definedName>
    <definedName function="false" hidden="true" name="MLNK856cf20f4ba04b0f8e48240f5c8283e2" vbProcedure="false">#REF!</definedName>
    <definedName function="false" hidden="true" name="MLNK85860e6be238427781715dd6b3f99ceb" vbProcedure="false">#REF!</definedName>
    <definedName function="false" hidden="true" name="MLNK863fed94d13e4e1384efe352bd5de863" vbProcedure="false">#REF!</definedName>
    <definedName function="false" hidden="true" name="MLNK8670041e3f504b298273c7fb441cf04b" vbProcedure="false">#REF!</definedName>
    <definedName function="false" hidden="true" name="MLNK86c8fa4eadc8448fbebef0fba5bbfaa2" vbProcedure="false">#REF!</definedName>
    <definedName function="false" hidden="true" name="MLNK87c3859ed7c64f7a9cd37c1e51009512" vbProcedure="false">#REF!</definedName>
    <definedName function="false" hidden="true" name="MLNK8888dbbf11db4aa4ac4f46ee6b3f6905" vbProcedure="false">#REF!</definedName>
    <definedName function="false" hidden="true" name="MLNK89ad4112f55a43eab4125a53ea36c02e" vbProcedure="false">#REF!</definedName>
    <definedName function="false" hidden="true" name="MLNK8a3c33f15cb0460899936a7cfeb71942" vbProcedure="false">#REF!</definedName>
    <definedName function="false" hidden="true" name="MLNK8b1a85b14dad4186b7d4a9edb29e734e" vbProcedure="false">#REF!</definedName>
    <definedName function="false" hidden="true" name="MLNK8bcb2c10f3ab48c5b9c8c0d7c6d76f5f" vbProcedure="false">#REF!</definedName>
    <definedName function="false" hidden="true" name="MLNK8d53dd43989a48b4aa46a95c36e95c4b" vbProcedure="false">#REF!</definedName>
    <definedName function="false" hidden="true" name="MLNK8e1d08524e9645799eca34b2c1a3676d" vbProcedure="false">#REF!</definedName>
    <definedName function="false" hidden="true" name="MLNK8ebe2f2fa5844f40862558eb44269a1b" vbProcedure="false">#REF!</definedName>
    <definedName function="false" hidden="true" name="MLNK8f2833a18d1442d79d9cad7416936b64" vbProcedure="false">#REF!</definedName>
    <definedName function="false" hidden="true" name="MLNK8f6b7a3388644ac4a680a6ed038c530c" vbProcedure="false">#REF!</definedName>
    <definedName function="false" hidden="true" name="MLNK8fa2458f8fc1409c9fc14049453e719f" vbProcedure="false">#REF!</definedName>
    <definedName function="false" hidden="true" name="MLNK905d361164f64aa49bae69da49e71a02" vbProcedure="false">#REF!</definedName>
    <definedName function="false" hidden="true" name="MLNK90a1892e6e314bc790fdce17fff28cd6" vbProcedure="false">#REF!</definedName>
    <definedName function="false" hidden="true" name="MLNK91d6707331574eb9a27337eecfd6a166" vbProcedure="false">#REF!</definedName>
    <definedName function="false" hidden="true" name="MLNK91ff59e1cb504e9cb9603c5801641617" vbProcedure="false">#REF!</definedName>
    <definedName function="false" hidden="true" name="MLNK930992c9ff72469a886a317c78db1148" vbProcedure="false">#REF!</definedName>
    <definedName function="false" hidden="true" name="MLNK941d7b51de6540e3bda2b0deab6122a2" vbProcedure="false">#REF!</definedName>
    <definedName function="false" hidden="true" name="MLNK98115a3f25a94b8089b62605e1a5b9ae" vbProcedure="false">#REF!</definedName>
    <definedName function="false" hidden="true" name="MLNK98b7c86d5f244f72833d95cd83a81686" vbProcedure="false">#REF!</definedName>
    <definedName function="false" hidden="true" name="MLNK98f98db2133b4a40a1ad135fe286d3e6" vbProcedure="false">#REF!</definedName>
    <definedName function="false" hidden="true" name="MLNK997d31598d1647c3820a3135f82fe9db" vbProcedure="false">#REF!</definedName>
    <definedName function="false" hidden="true" name="MLNK998aa4e2cad641329c50826f69f20af3" vbProcedure="false">#REF!</definedName>
    <definedName function="false" hidden="true" name="MLNK99d8485050b744b68dca90391c5b0b8c" vbProcedure="false">#REF!</definedName>
    <definedName function="false" hidden="true" name="MLNK9a5dca0e000c4db184ef6f3e0137ed50" vbProcedure="false">#REF!</definedName>
    <definedName function="false" hidden="true" name="MLNK9ac8c0852c29405ea552ad53346ea653" vbProcedure="false">#REF!</definedName>
    <definedName function="false" hidden="true" name="MLNK9b6842c5461844be83497944c132feb7" vbProcedure="false">#REF!</definedName>
    <definedName function="false" hidden="true" name="MLNK9b991932d17647aaa26719ff85bc3665" vbProcedure="false">#REF!</definedName>
    <definedName function="false" hidden="true" name="MLNK9ceff0982f05451dadf9dbdfced4b4c9" vbProcedure="false">#REF!</definedName>
    <definedName function="false" hidden="true" name="MLNK9dfd39fc179c428cbcac856bc6d93c7e" vbProcedure="false">#REF!</definedName>
    <definedName function="false" hidden="true" name="MLNK9f1f0951ba784de9bc77a01b46bb665f" vbProcedure="false">#REF!</definedName>
    <definedName function="false" hidden="true" name="MLNK9f29236c5f324f1799d3c222f2dd3c48" vbProcedure="false">#REF!</definedName>
    <definedName function="false" hidden="true" name="MLNKa08bd6a42f9d418b928153f025ec4f16" vbProcedure="false">#REF!</definedName>
    <definedName function="false" hidden="true" name="MLNKa2883d99854c4305802463d2970cd9fa" vbProcedure="false">#REF!</definedName>
    <definedName function="false" hidden="true" name="MLNKa28b9dd67d9f41efab39da9ce80fc8ff" vbProcedure="false">#REF!</definedName>
    <definedName function="false" hidden="true" name="MLNKa3a9e19603284ff183799f7033d0807f" vbProcedure="false">#REF!</definedName>
    <definedName function="false" hidden="true" name="MLNKa3f64da458be4bb2bae54f6be6f5aef4" vbProcedure="false">#REF!</definedName>
    <definedName function="false" hidden="true" name="MLNKa698b40a68bb400ead3314f6c5c1e48d" vbProcedure="false">#REF!</definedName>
    <definedName function="false" hidden="true" name="MLNKa6a384ea77b44ca78c68befd575e7f3d" vbProcedure="false">#REF!</definedName>
    <definedName function="false" hidden="true" name="MLNKa6fe67143b9640d795f95616f9e12da3" vbProcedure="false">#REF!</definedName>
    <definedName function="false" hidden="true" name="MLNKa82e69ad7f994a6299e4e208b01e7d41" vbProcedure="false">#REF!</definedName>
    <definedName function="false" hidden="true" name="MLNKa89aba8198604a8282aee6fb6bac6629" vbProcedure="false">#REF!</definedName>
    <definedName function="false" hidden="true" name="MLNKa9d12f14bc064a12beda5eb29307e262" vbProcedure="false">#REF!</definedName>
    <definedName function="false" hidden="true" name="MLNKaa126e3653fa4e4eab53a6f66c9651dc" vbProcedure="false">#REF!</definedName>
    <definedName function="false" hidden="true" name="MLNKaa29980c452e4d358677bb1e580c1193" vbProcedure="false">#REF!</definedName>
    <definedName function="false" hidden="true" name="MLNKab7636916cab4015a2544697742b41fa" vbProcedure="false">#REF!</definedName>
    <definedName function="false" hidden="true" name="MLNKac55b2c50c4e4f0a99736144d3961e2e" vbProcedure="false">#REF!</definedName>
    <definedName function="false" hidden="true" name="MLNKae2627f2f4fc48ccab41e7c8b27010c8" vbProcedure="false">#REF!</definedName>
    <definedName function="false" hidden="true" name="MLNKae491f95828d4cdf8a41545d5829b3d4" vbProcedure="false">#REF!</definedName>
    <definedName function="false" hidden="true" name="MLNKae5999c51bbb4a64b9344d35de61ee41" vbProcedure="false">#REF!</definedName>
    <definedName function="false" hidden="true" name="MLNKae74a2606e5b4399b650dc6a8ca0db68" vbProcedure="false">#REF!</definedName>
    <definedName function="false" hidden="true" name="MLNKaf806fd38a224e63b170505b779852b7" vbProcedure="false">#REF!</definedName>
    <definedName function="false" hidden="true" name="MLNKb0dac471e373470a8123352482295ff0" vbProcedure="false">#REF!</definedName>
    <definedName function="false" hidden="true" name="MLNKb17369c5ccfc40cca3be6bba00d691ca" vbProcedure="false">#REF!</definedName>
    <definedName function="false" hidden="true" name="MLNKb1c7ddff5c4a4510a47e62c7d89fde0d" vbProcedure="false">#REF!</definedName>
    <definedName function="false" hidden="true" name="MLNKb295d139e45442b885c0b2b32e8eb129" vbProcedure="false">#REF!</definedName>
    <definedName function="false" hidden="true" name="MLNKb311cae9209542108710885411eddc83" vbProcedure="false">#REF!</definedName>
    <definedName function="false" hidden="true" name="MLNKb345ff110a1641d683d1c3089278d440" vbProcedure="false">#REF!</definedName>
    <definedName function="false" hidden="true" name="MLNKb346db5dc1134deb8f6d4da3fabf0cf2" vbProcedure="false">#REF!</definedName>
    <definedName function="false" hidden="true" name="MLNKb434e258586142c4915e8489b226efb9" vbProcedure="false">#REF!</definedName>
    <definedName function="false" hidden="true" name="MLNKb46f9cb2e28c4f49abaf45a18e5b218d" vbProcedure="false">#REF!</definedName>
    <definedName function="false" hidden="true" name="MLNKb4a264961fd24bccbcdc50499ff26aad" vbProcedure="false">#REF!</definedName>
    <definedName function="false" hidden="true" name="MLNKb5abeb83c63e48d1aa1cf2962ef3cdc4" vbProcedure="false">#REF!</definedName>
    <definedName function="false" hidden="true" name="MLNKb5bba9e2157e4cab95fe027f047ebfae" vbProcedure="false">#REF!</definedName>
    <definedName function="false" hidden="true" name="MLNKb6d6dd8844574d539b0bf3b983492e85" vbProcedure="false">#REF!</definedName>
    <definedName function="false" hidden="true" name="MLNKb75d9366f3bd42278af280517ed8e049" vbProcedure="false">#REF!</definedName>
    <definedName function="false" hidden="true" name="MLNKb81c88c55ca74dda9fbb12243eed3e20" vbProcedure="false">#REF!</definedName>
    <definedName function="false" hidden="true" name="MLNKb84cf785ba454ce0bf291530d5446681" vbProcedure="false">#REF!</definedName>
    <definedName function="false" hidden="true" name="MLNKb94a51c76e254601a2f178d46ed37eca" vbProcedure="false">#REF!</definedName>
    <definedName function="false" hidden="true" name="MLNKb9ca99d7c9864621892fef5f033f278b" vbProcedure="false">#REF!</definedName>
    <definedName function="false" hidden="true" name="MLNKb9f754aa51234997a4880324f84745bb" vbProcedure="false">#REF!</definedName>
    <definedName function="false" hidden="true" name="MLNKbab8316fe2594d65a55caed63c1cdd4d" vbProcedure="false">#REF!</definedName>
    <definedName function="false" hidden="true" name="MLNKbd3e8feecc1e43889a74c3f788cbf946" vbProcedure="false">#REF!</definedName>
    <definedName function="false" hidden="true" name="MLNKbdb9fb7b1d42448bbf01e8474377d8d5" vbProcedure="false">#REF!</definedName>
    <definedName function="false" hidden="true" name="MLNKbdd3cd11df9c436f96fd476e16ef670c" vbProcedure="false">#REF!</definedName>
    <definedName function="false" hidden="true" name="MLNKbfc1818f65854692a07791d5581b7400" vbProcedure="false">#REF!</definedName>
    <definedName function="false" hidden="true" name="MLNKc20401f235e04b6a82fdbe148afb2c4b" vbProcedure="false">#REF!</definedName>
    <definedName function="false" hidden="true" name="MLNKc2e0434b8f2642e7a9f2b9bd5f8a29a8" vbProcedure="false">#REF!</definedName>
    <definedName function="false" hidden="true" name="MLNKc4ee032cc5e54bf4bc875e689a03776f" vbProcedure="false">#REF!</definedName>
    <definedName function="false" hidden="true" name="MLNKc51629cbed0648bfa17b3b188601aafe" vbProcedure="false">#REF!</definedName>
    <definedName function="false" hidden="true" name="MLNKc52f12777b74490384881256335a7bb6" vbProcedure="false">#REF!</definedName>
    <definedName function="false" hidden="true" name="MLNKc5f31f4d332541259549f5d3ff78b87b" vbProcedure="false">#REF!</definedName>
    <definedName function="false" hidden="true" name="MLNKc6ac033e82464932b889cfcce3608557" vbProcedure="false">#REF!</definedName>
    <definedName function="false" hidden="true" name="MLNKc6b6089dcd3e436882256ca318dd18ba" vbProcedure="false">#REF!</definedName>
    <definedName function="false" hidden="true" name="MLNKc71a4975c7ab434d83b3383ee61e9225" vbProcedure="false">#REF!</definedName>
    <definedName function="false" hidden="true" name="MLNKc82caa7e415c441593891b7b26cb36da" vbProcedure="false">#REF!</definedName>
    <definedName function="false" hidden="true" name="MLNKcc4ace54fe3645dfb7903fc8fdede1c8" vbProcedure="false">#REF!</definedName>
    <definedName function="false" hidden="true" name="MLNKcd9829540eec475e8599257d7af9f92c" vbProcedure="false">#REF!</definedName>
    <definedName function="false" hidden="true" name="MLNKcdc923b50deb44a982c8d315e0c4120b" vbProcedure="false">#REF!</definedName>
    <definedName function="false" hidden="true" name="MLNKcdd7963aeadc413babe72caaf824bb45" vbProcedure="false">#REF!</definedName>
    <definedName function="false" hidden="true" name="MLNKcf0a377a468048658d11166831ab2043" vbProcedure="false">#REF!</definedName>
    <definedName function="false" hidden="true" name="MLNKcf168e30e8ad4373b3219e1913320e27" vbProcedure="false">#REF!</definedName>
    <definedName function="false" hidden="true" name="MLNKcf879a21ce7346cd8ec61d80d13225ac" vbProcedure="false">#REF!</definedName>
    <definedName function="false" hidden="true" name="MLNKd05900f203364beda70dd2b009796af6" vbProcedure="false">#REF!</definedName>
    <definedName function="false" hidden="true" name="MLNKd19114a1ce7c4b5ca5918b7b346f8858" vbProcedure="false">#REF!</definedName>
    <definedName function="false" hidden="true" name="MLNKd1f8353484084f478cade8155bcc2a5b" vbProcedure="false">#REF!</definedName>
    <definedName function="false" hidden="true" name="MLNKd214b0d5a54d48cd8c8d2b376c88a319" vbProcedure="false">#REF!</definedName>
    <definedName function="false" hidden="true" name="MLNKd2274ca122b74f0b93ae2babfd443035" vbProcedure="false">#REF!</definedName>
    <definedName function="false" hidden="true" name="MLNKd236c435973e4436a94a1e558f577cbd" vbProcedure="false">#REF!</definedName>
    <definedName function="false" hidden="true" name="MLNKd2d7c772ab204b719dbd1b0e5df5790b" vbProcedure="false">#REF!</definedName>
    <definedName function="false" hidden="true" name="MLNKd30f54fb61254cc4a643559986a71a22" vbProcedure="false">#REF!</definedName>
    <definedName function="false" hidden="true" name="MLNKd3996deb64cc4b1aacbaf16886c67c74" vbProcedure="false">#REF!</definedName>
    <definedName function="false" hidden="true" name="MLNKd4fddaf4390e48d5905bd6b43e9c175b" vbProcedure="false">#REF!</definedName>
    <definedName function="false" hidden="true" name="MLNKd54ee578130e4ce593a1989537e0fab3" vbProcedure="false">#REF!</definedName>
    <definedName function="false" hidden="true" name="MLNKd6459917d49a49769073cae59c25ac63" vbProcedure="false">#REF!</definedName>
    <definedName function="false" hidden="true" name="MLNKd75a97d5eb9b493c95b15d73182dff50" vbProcedure="false">#REF!</definedName>
    <definedName function="false" hidden="true" name="MLNKd80ec573312f48f3b04af354c7f22023" vbProcedure="false">#REF!</definedName>
    <definedName function="false" hidden="true" name="MLNKd884042ad0894330992e5da81ec2cffd" vbProcedure="false">#REF!</definedName>
    <definedName function="false" hidden="true" name="MLNKd95847544a7e4ccca32fd475760fc475" vbProcedure="false">#REF!</definedName>
    <definedName function="false" hidden="true" name="MLNKd9dc13f2d3a340aa9c43dd0d78a04a4d" vbProcedure="false">#REF!</definedName>
    <definedName function="false" hidden="true" name="MLNKd9e52f045da34df1a002e6da57db1b88" vbProcedure="false">#REF!</definedName>
    <definedName function="false" hidden="true" name="MLNKda21786c186e4d87a69d38c92791c49d" vbProcedure="false">#REF!</definedName>
    <definedName function="false" hidden="true" name="MLNKdaf4fd3f8c604159bbb081e2606ecff2" vbProcedure="false">#REF!</definedName>
    <definedName function="false" hidden="true" name="MLNKdb3f8278ffb247fd94e1a79aac9a635d" vbProcedure="false">#REF!</definedName>
    <definedName function="false" hidden="true" name="MLNKdc85d8c0e3fd4b2b9d1ced6e92c8967e" vbProcedure="false">#REF!</definedName>
    <definedName function="false" hidden="true" name="MLNKdcdd9af4a86d41a5a3cf7c7fa583b5a3" vbProcedure="false">#REF!</definedName>
    <definedName function="false" hidden="true" name="MLNKdcf49e99b17c4ca0a6b35a87994110a4" vbProcedure="false">#REF!</definedName>
    <definedName function="false" hidden="true" name="MLNKde2590066e634cf6940e4229ebae8204" vbProcedure="false">#REF!</definedName>
    <definedName function="false" hidden="true" name="MLNKde8b00841d2c4fd6905392590ae0496c" vbProcedure="false">#REF!</definedName>
    <definedName function="false" hidden="true" name="MLNKdf29e1fc48674938992ca5f99261be73" vbProcedure="false">#REF!</definedName>
    <definedName function="false" hidden="true" name="MLNKdf2c3b1573554ae989f7a974e53b719c" vbProcedure="false">#REF!</definedName>
    <definedName function="false" hidden="true" name="MLNKe097aca64c5d468890b2a9b538c5eae1" vbProcedure="false">#REF!</definedName>
    <definedName function="false" hidden="true" name="MLNKe18ba5d4c0214fb68e1fed427c2b8389" vbProcedure="false">#REF!</definedName>
    <definedName function="false" hidden="true" name="MLNKe1b0f51d07c7441498e246c4b07a075a" vbProcedure="false">#REF!</definedName>
    <definedName function="false" hidden="true" name="MLNKe268d983b74d4a328512940b826532c5" vbProcedure="false">#REF!</definedName>
    <definedName function="false" hidden="true" name="MLNKe2ed17321bf14ac39821675da96cbb64" vbProcedure="false">#REF!</definedName>
    <definedName function="false" hidden="true" name="MLNKe413ae76ac2842fd8c9f5692bba30418" vbProcedure="false">#REF!</definedName>
    <definedName function="false" hidden="true" name="MLNKe4dbd13a8f664e26a623e7f24fd3b4b7" vbProcedure="false">#REF!</definedName>
    <definedName function="false" hidden="true" name="MLNKe5e3b1913fce444b83cb1f567fa0f6ab" vbProcedure="false">#REF!</definedName>
    <definedName function="false" hidden="true" name="MLNKe5ed8b85980d46fc844564088c5c9078" vbProcedure="false">#REF!</definedName>
    <definedName function="false" hidden="true" name="MLNKe6068e0369c7470786d84aa6cc04702a" vbProcedure="false">#REF!</definedName>
    <definedName function="false" hidden="true" name="MLNKe6577c5446e64e13926c4fed4340c717" vbProcedure="false">#REF!</definedName>
    <definedName function="false" hidden="true" name="MLNKe762a070e43148d5b0cbdfc7e2f7643c" vbProcedure="false">#REF!</definedName>
    <definedName function="false" hidden="true" name="MLNKe76d1c30b4eb4a0da8027774517610e8" vbProcedure="false">#REF!</definedName>
    <definedName function="false" hidden="true" name="MLNKe79b3d09bf3c4683af4faf301a21f8af" vbProcedure="false">#REF!</definedName>
    <definedName function="false" hidden="true" name="MLNKe83b3c61549d4f47b59e11acd5f83c34" vbProcedure="false">#REF!</definedName>
    <definedName function="false" hidden="true" name="MLNKe9995d9c321243318f925ccbc206d07b" vbProcedure="false">#REF!</definedName>
    <definedName function="false" hidden="true" name="MLNKea2c55a764514f12a9ebde99b5170901" vbProcedure="false">#REF!</definedName>
    <definedName function="false" hidden="true" name="MLNKeb4b30284ee240a19381ed6b0ec7f275" vbProcedure="false">#REF!</definedName>
    <definedName function="false" hidden="true" name="MLNKec10569efce84a13bda8f67f6d3ee18b" vbProcedure="false">#REF!</definedName>
    <definedName function="false" hidden="true" name="MLNKec332e7fd23d499b8e4655d8952db79c" vbProcedure="false">#REF!</definedName>
    <definedName function="false" hidden="true" name="MLNKeccd459f2e484acca574097f67043bff" vbProcedure="false">#REF!</definedName>
    <definedName function="false" hidden="true" name="MLNKed2517cdc41444469905593e9834ea52" vbProcedure="false">#REF!</definedName>
    <definedName function="false" hidden="true" name="MLNKed572b6599e3465cb118258854e40531" vbProcedure="false">#REF!</definedName>
    <definedName function="false" hidden="true" name="MLNKedb5ce10b058453faa4fc97c53267f47" vbProcedure="false">#REF!</definedName>
    <definedName function="false" hidden="true" name="MLNKee3f92f405114693806989f4e1157675" vbProcedure="false">#REF!</definedName>
    <definedName function="false" hidden="true" name="MLNKee6009809ac8423dbe78d75c47656b17" vbProcedure="false">#REF!</definedName>
    <definedName function="false" hidden="true" name="MLNKefb24792760f4103a52f98ff4de7561c" vbProcedure="false">#REF!</definedName>
    <definedName function="false" hidden="true" name="MLNKf00f9967138b487c87729c51464a6c74" vbProcedure="false">#REF!</definedName>
    <definedName function="false" hidden="true" name="MLNKf09238bdc5394acab42c7479b694e9cd" vbProcedure="false">#REF!</definedName>
    <definedName function="false" hidden="true" name="MLNKf228051e3b254850b0e48e72a4047515" vbProcedure="false">#REF!</definedName>
    <definedName function="false" hidden="true" name="MLNKf4743a4ee4cd411f91d538d32364806c" vbProcedure="false">#REF!</definedName>
    <definedName function="false" hidden="true" name="MLNKf5b0ca48849c4406ae54c772bdaaaed1" vbProcedure="false">#REF!</definedName>
    <definedName function="false" hidden="true" name="MLNKf6ac64467e9e484a8df8d1f2e261ab52" vbProcedure="false">#REF!</definedName>
    <definedName function="false" hidden="true" name="MLNKf6ccc57de6e340aaa0594ee9597ee343" vbProcedure="false">#REF!</definedName>
    <definedName function="false" hidden="true" name="MLNKf77df9d6d88c48518ad3db3cda454da3" vbProcedure="false">#REF!</definedName>
    <definedName function="false" hidden="true" name="MLNKf7ff639c55f44a93a7b52b4923b84015" vbProcedure="false">#REF!</definedName>
    <definedName function="false" hidden="true" name="MLNKf8a979ee68634d5f89a7d4f033ff7165" vbProcedure="false">#REF!</definedName>
    <definedName function="false" hidden="true" name="MLNKf8c92c2e7e1e4736ab002eb619e9649c" vbProcedure="false">#REF!</definedName>
    <definedName function="false" hidden="true" name="MLNKfb40683c10ee45dcb294f7c529134be8" vbProcedure="false">#REF!</definedName>
    <definedName function="false" hidden="true" name="MLNKfbaf3bf9d6cc44fc8658f6aa65c601e1" vbProcedure="false">#REF!</definedName>
    <definedName function="false" hidden="true" name="MLNKfbec82ccefb94f0ea6b772ec8c237d64" vbProcedure="false">#REF!</definedName>
    <definedName function="false" hidden="true" name="MLNKfd0c738365244d4e9fd33906adb251a3" vbProcedure="false">#REF!</definedName>
    <definedName function="false" hidden="true" name="MLNKfe91eb181d674acfb866254c1024b9f1" vbProcedure="false">#REF!</definedName>
    <definedName function="false" hidden="true" name="MLNKfeceea57d9c041e8a1805740c1118e25" vbProcedure="false">#REF!</definedName>
    <definedName function="false" hidden="true" name="mlw" vbProcedure="false">{#N/A,#N/A,FALSE,"Pharm";#N/A,#N/A,FALSE,"WWCM"}</definedName>
    <definedName function="false" hidden="true" name="MM" vbProcedure="false">"3SZIB3AZEUR09DXQ1IOMTIM15"</definedName>
    <definedName function="false" hidden="true" name="mmk" vbProcedure="false">{"Pg1",#N/A,FALSE,"OpExYTDvsBud";"Pg2",#N/A,FALSE,"OpExYTDvsBud"}</definedName>
    <definedName function="false" hidden="true" name="mmm" vbProcedure="false">{"'Form'!$A$2:$J$81"}</definedName>
    <definedName function="false" hidden="true" name="mmmm" vbProcedure="false">{#N/A,#N/A,FALSE,"Hoja10";#N/A,#N/A,FALSE,"Hoja9";#N/A,#N/A,FALSE,"Hoja8";#N/A,#N/A,FALSE,"Hoja7";#N/A,#N/A,FALSE,"Hoja6";#N/A,#N/A,FALSE,"Hoja5";#N/A,#N/A,FALSE,"Hoja4";#N/A,#N/A,FALSE,"Hoja2";#N/A,#N/A,FALSE,"Hoja3";#N/A,#N/A,FALSE,"HOJA1";#N/A,#N/A,FALSE,"CashFlow";#N/A,#N/A,FALSE,"FinStmts"}</definedName>
    <definedName function="false" hidden="true" name="mmmmm" vbProcedure="false">{#N/A,#N/A,FALSE,"Calc";#N/A,#N/A,FALSE,"Sensitivity";#N/A,#N/A,FALSE,"LT Earn.Dil.";#N/A,#N/A,FALSE,"Dil. AVP"}</definedName>
    <definedName function="false" hidden="true" name="mmmmmm" vbProcedure="false">{#N/A,#N/A,FALSE,"Contribution Analysis"}</definedName>
    <definedName function="false" hidden="true" name="MMMMMMM" vbProcedure="false">{#N/A,#N/A,FALSE,"Cover Sheet";#N/A,#N/A,FALSE,"Ave_Trans_Shp_Abs";#N/A,#N/A,FALSE,"Det_Shp_Abs";#N/A,#N/A,FALSE,"Ave_Trans_Inst_Abs";#N/A,#N/A,FALSE,"Det_Ins_Abs";#N/A,#N/A,FALSE,"Ave_Trans_Tot_ABS";#N/A,#N/A,FALSE,"Det_Total_ABS"}</definedName>
    <definedName function="false" hidden="true" name="mmmmmmmhm" vbProcedure="false">{"mgmt forecast",#N/A,FALSE,"Mgmt Forecast";"dcf table",#N/A,FALSE,"Mgmt Forecast";"sensitivity",#N/A,FALSE,"Mgmt Forecast";"table inputs",#N/A,FALSE,"Mgmt Forecast";"calculations",#N/A,FALSE,"Mgmt Forecast"}</definedName>
    <definedName function="false" hidden="true" name="mmmmmmmm" vbProcedure="false">{#N/A,#N/A,FALSE,"ORIX CSC"}</definedName>
    <definedName function="false" hidden="true" name="mmmmmmmmmmmmm" vbProcedure="false">{#N/A,#N/A,TRUE,"CF brut";#N/A,#N/A,TRUE,"CashFlow";#N/A,#N/A,TRUE,"RCE";#N/A,#N/A,TRUE,"amort"}</definedName>
    <definedName function="false" hidden="true" name="mmmmmmmmmmmmmmmmmmmmmmmmmmmmmmm" vbProcedure="false">{#N/A,#N/A,FALSE,"Staffnos &amp; cost"}</definedName>
    <definedName function="false" hidden="true" name="mmp" vbProcedure="false">{"detail",#N/A,FALSE,"mfg";"summary",#N/A,FALSE,"mfg"}</definedName>
    <definedName function="false" hidden="true" name="mnbv" vbProcedure="false">{"Month Summary",#N/A,FALSE,"Summary";"Total Details",#N/A,FALSE,"Current Yr";"Polymers Details",#N/A,FALSE,"Current Yr";"Performance Details",#N/A,FALSE,"Current Yr";"ICD Details",#N/A,FALSE,"Current Yr"}</definedName>
    <definedName function="false" hidden="true" name="mnbzu"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mnh" vbProcedure="false">{#N/A,#N/A,FALSE,"Aging Summary";#N/A,#N/A,FALSE,"Ratio Analysis";#N/A,#N/A,FALSE,"Test 120 Day Accts";#N/A,#N/A,FALSE,"Tickmarks"}</definedName>
    <definedName function="false" hidden="true" name="mnmn" vbProcedure="false">{"detail",#N/A,FALSE,"mfg";"summary",#N/A,FALSE,"mfg"}</definedName>
    <definedName function="false" hidden="true" name="mnnb" vbProcedure="false">{#N/A,#N/A,FALSE,"PMW Gruppe 99_98";#N/A,#N/A,FALSE,"PMW KG 98_99";#N/A,#N/A,FALSE,"PMW Inc. 99_98";#N/A,#N/A,FALSE,"PMW VTECH 99_98";#N/A,#N/A,FALSE,"PMW Thail. 99_98";#N/A,#N/A,FALSE,"PMW Canada 99_98";#N/A,#N/A,FALSE,"Währungsabw. 99_98"}</definedName>
    <definedName function="false" hidden="true" name="model2" vbProcedure="false">{#N/A,#N/A,FALSE,"Rev Grwth";#N/A,#N/A,FALSE,"Op Inc Grwth";#N/A,#N/A,FALSE,"Net Grwth";#N/A,#N/A,FALSE,"EPS Growth"}</definedName>
    <definedName function="false" hidden="true" name="MODER" vbProcedure="false">{"'Data'!$A$1:$D$17"}</definedName>
    <definedName function="false" hidden="true" name="Modification.Time" vbProcedure="false">"12/30/99 14:40:33"</definedName>
    <definedName function="false" hidden="true" name="mokp" vbProcedure="false">{"QTD_LPO2N2",#N/A,FALSE,"QTD"}</definedName>
    <definedName function="false" hidden="true" name="mon" vbProcedure="false">{"page 1",#N/A,FALSE,"A";"page 2",#N/A,FALSE,"A";"page 3",#N/A,FALSE,"A";"page 4",#N/A,FALSE,"A";"page 5",#N/A,FALSE,"A";"page 6",#N/A,FALSE,"A";"page 7",#N/A,FALSE,"A";"page 8",#N/A,FALSE,"A";"page 9",#N/A,FALSE,"A";"page 10",#N/A,FALSE,"A";"page 11",#N/A,FALSE,"A";"page 12",#N/A,FALSE,"A";"page 13",#N/A,FALSE,"A";"page 14",#N/A,FALSE,"A"}</definedName>
    <definedName function="false" hidden="true" name="Monat" vbProcedure="false">#REF!</definedName>
    <definedName function="false" hidden="true" name="MoreThanOne" vbProcedure="false">#REF!</definedName>
    <definedName function="false" hidden="true" name="MoreThanOneMember" vbProcedure="false">#REF!</definedName>
    <definedName function="false" hidden="true" name="morto" vbProcedure="false">{"FY98Q1 var",#N/A,FALSE,"FY98 - Q1";"FY98Q2 var",#N/A,FALSE,"FY98 - Q2";"FY98Q3 var",#N/A,FALSE,"FY98 - Q3";"FY98Q4 var",#N/A,FALSE,"FY98 - Q4"}</definedName>
    <definedName function="false" hidden="true" name="Motor" vbProcedure="false">{#N/A,#N/A,FALSE,"Bl. 1";#N/A,#N/A,FALSE,"Bl. 2";#N/A,#N/A,FALSE,"Bl. 3";#N/A,#N/A,FALSE,"Bl. 4";#N/A,#N/A,FALSE,"Bl. 6";#N/A,#N/A,FALSE,"Bl. 7";#N/A,#N/A,FALSE,"BL. 8";#N/A,#N/A,FALSE,"Bl. 9";#N/A,#N/A,FALSE,"Bl. 10";#N/A,#N/A,FALSE,"Bl. 12"}</definedName>
    <definedName function="false" hidden="true" name="Motortransferpreise" vbProcedure="false">{#N/A,#N/A,FALSE,"Bl. 1";#N/A,#N/A,FALSE,"Bl. 2";#N/A,#N/A,FALSE,"Bl. 3";#N/A,#N/A,FALSE,"Bl. 4";#N/A,#N/A,FALSE,"Bl. 6";#N/A,#N/A,FALSE,"Bl. 7";#N/A,#N/A,FALSE,"BL. 8";#N/A,#N/A,FALSE,"Bl. 9";#N/A,#N/A,FALSE,"Bl. 10";#N/A,#N/A,FALSE,"Bl. 12"}</definedName>
    <definedName function="false" hidden="true" name="MOVED" vbProcedure="false">{"CHART",#N/A,FALSE,"Arch Communications"}</definedName>
    <definedName function="false" hidden="true" name="mr"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MRG" vbProcedure="false">{"INCOME",#N/A,FALSE,"ProNet";"VALUE",#N/A,FALSE,"ProNet"}</definedName>
    <definedName function="false" hidden="true" name="MRL" vbProcedure="false">{"REVISED",#N/A,FALSE,"Sheet1"}</definedName>
    <definedName function="false" hidden="true" name="MRLpresent" vbProcedure="false">{#N/A,#N/A,FALSE,"Assumptions";#N/A,#N/A,FALSE,"Volumes";#N/A,#N/A,FALSE,"Pricing";#N/A,#N/A,FALSE,"Variable Cost";#N/A,#N/A,FALSE,"Investment";#N/A,#N/A,FALSE,"Profitability";#N/A,#N/A,FALSE,"Business Comparison"}</definedName>
    <definedName function="false" hidden="true" name="mrtry" vbProcedure="false">{"'Server Configuration'!$A$1:$DB$281"}</definedName>
    <definedName function="false" hidden="true" name="MS.CreatedAt" vbProcedure="false">"30.06.1998 11:53:43"</definedName>
    <definedName function="false" hidden="true" name="MS.CreatedBy" vbProcedure="false">"JMA"</definedName>
    <definedName function="false" hidden="true" name="MS.ModifiedAt" vbProcedure="false">"20.04.1999 10:43:12"</definedName>
    <definedName function="false" hidden="true" name="MS.ModifiedBy" vbProcedure="false">"RL"</definedName>
    <definedName function="false" hidden="true" name="MS.Version" vbProcedure="false">"1.0.2"</definedName>
    <definedName function="false" hidden="true" name="msgjsj"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msthkshkshk" vbProcedure="false">{#N/A,#N/A,FALSE,"ACQ_GRAPHS";#N/A,#N/A,FALSE,"T_1 GRAPHS";#N/A,#N/A,FALSE,"T_2 GRAPHS";#N/A,#N/A,FALSE,"COMB_GRAPHS"}</definedName>
    <definedName function="false" hidden="true" name="mtr" vbProcedure="false">{"'WS Sales by Rep'!$A$24:$L$46"}</definedName>
    <definedName function="false" hidden="true" name="MTUFN" vbProcedure="false">{"mgmt forecast",#N/A,FALSE,"Mgmt Forecast";"dcf table",#N/A,FALSE,"Mgmt Forecast";"sensitivity",#N/A,FALSE,"Mgmt Forecast";"table inputs",#N/A,FALSE,"Mgmt Forecast";"calculations",#N/A,FALSE,"Mgmt Forecast"}</definedName>
    <definedName function="false" hidden="true" name="multcash1" vbProcedure="false">#REF!</definedName>
    <definedName function="false" hidden="true" name="multcash2" vbProcedure="false">#REF!</definedName>
    <definedName function="false" hidden="true" name="multcash4" vbProcedure="false">#REF!</definedName>
    <definedName function="false" hidden="true" name="multformrow" vbProcedure="false">#REF!</definedName>
    <definedName function="false" hidden="true" name="multformrow2" vbProcedure="false">#REF!</definedName>
    <definedName function="false" hidden="true" name="multformrow4" vbProcedure="false">#REF!</definedName>
    <definedName function="false" hidden="true" name="Multipli" vbProcedure="false">{"'Sheet1'!$A$1:$H$96"}</definedName>
    <definedName function="false" hidden="true" name="multtable" vbProcedure="false">#REF!</definedName>
    <definedName function="false" hidden="true" name="muroi" vbProcedure="false">#N/A</definedName>
    <definedName function="false" hidden="true" name="mvicebitda_col" vbProcedure="false">#REF!</definedName>
    <definedName function="false" hidden="true" name="mvicebit_col" vbProcedure="false">#REF!</definedName>
    <definedName function="false" hidden="true" name="mvicprojebitda_col" vbProcedure="false">#REF!</definedName>
    <definedName function="false" hidden="true" name="mvicrev_col" vbProcedure="false">#REF!</definedName>
    <definedName function="false" hidden="true" name="mw" vbProcedure="false">{#N/A,#N/A,FALSE,"Pharm";#N/A,#N/A,FALSE,"WWCM"}</definedName>
    <definedName function="false" hidden="true" name="mymyy" vbProcedure="false">{"'Other IPS'!$A$5","'Other IPS'!$A$4:$K$38"}</definedName>
    <definedName function="false" hidden="true" name="myurr" vbProcedure="false">{"'Other IPS'!$A$5","'Other IPS'!$A$4:$K$38"}</definedName>
    <definedName function="false" hidden="true" name="M_A" vbProcedure="false">{#N/A,#N/A,FALSE,"Rev Grwth";#N/A,#N/A,FALSE,"Op Inc Grwth";#N/A,#N/A,FALSE,"Net Grwth";#N/A,#N/A,FALSE,"EPS Growth"}</definedName>
    <definedName function="false" hidden="true" name="M_PlaceofPath" vbProcedure="false">"F:\JCLARK\AHC\ahc_vdf.xls"</definedName>
    <definedName function="false" hidden="true" name="N" vbProcedure="false">55</definedName>
    <definedName function="false" hidden="true" name="NA" vbProcedure="false">{#N/A,#N/A,FALSE,"Consol P&amp;L ";#N/A,#N/A,FALSE,"CP P&amp;L";#N/A,#N/A,FALSE,"ADS P&amp;L";#N/A,#N/A,FALSE,"Corp P&amp;L"}</definedName>
    <definedName function="false" hidden="true" name="NAIRB" vbProcedure="false">{#N/A,#N/A,FALSE,"Indcost";#N/A,#N/A,FALSE,"Plcost";#N/A,#N/A,FALSE,"Mincost";#N/A,#N/A,FALSE,"Produc";#N/A,#N/A,FALSE,"Rev";#N/A,#N/A,FALSE,"Capital";#N/A,#N/A,FALSE,"Wcapital";#N/A,#N/A,FALSE,"Contdep";#N/A,#N/A,FALSE,"Taxdep";#N/A,#N/A,FALSE,"Tax";#N/A,#N/A,FALSE,"S-SDebt";#N/A,#N/A,FALSE,"TotDebt";#N/A,#N/A,FALSE,"Profit";#N/A,#N/A,FALSE,"CFlow";#N/A,#N/A,FALSE,"1996-2012";#N/A,#N/A,FALSE,"Bcesheet"}</definedName>
    <definedName function="false" hidden="true" name="nam90ng" vbProcedure="false">{"detail",#N/A,FALSE,"mfg";"summary",#N/A,FALSE,"mfg"}</definedName>
    <definedName function="false" hidden="true" name="nam9njk" vbProcedure="false">{"detail",#N/A,FALSE,"mfg";"summary",#N/A,FALSE,"mfg"}</definedName>
    <definedName function="false" hidden="true" name="name10" vbProcedure="false">{"detail",#N/A,FALSE,"mfg";"summary",#N/A,FALSE,"mfg"}</definedName>
    <definedName function="false" hidden="true" name="name101" vbProcedure="false">{"detail",#N/A,FALSE,"mfg";"summary",#N/A,FALSE,"mfg"}</definedName>
    <definedName function="false" hidden="true" name="name102" vbProcedure="false">{"detail",#N/A,FALSE,"mfg";"summary",#N/A,FALSE,"mfg"}</definedName>
    <definedName function="false" hidden="true" name="name11" vbProcedure="false">{"detail",#N/A,FALSE,"mfg";"summary",#N/A,FALSE,"mfg"}</definedName>
    <definedName function="false" hidden="true" name="name12" vbProcedure="false">{"detail",#N/A,FALSE,"mfg";"summary",#N/A,FALSE,"mfg"}</definedName>
    <definedName function="false" hidden="true" name="name202" vbProcedure="false">{"detail",#N/A,FALSE,"mfg";"summary",#N/A,FALSE,"mfg"}</definedName>
    <definedName function="false" hidden="true" name="name203" vbProcedure="false">{"detail",#N/A,FALSE,"mfg";"summary",#N/A,FALSE,"mfg"}</definedName>
    <definedName function="false" hidden="true" name="name212" vbProcedure="false">{"detail",#N/A,FALSE,"mfg";"summary",#N/A,FALSE,"mfg"}</definedName>
    <definedName function="false" hidden="true" name="name213" vbProcedure="false">{"detail",#N/A,FALSE,"mfg";"summary",#N/A,FALSE,"mfg"}</definedName>
    <definedName function="false" hidden="true" name="name3" vbProcedure="false">{"Summary",#N/A,FALSE,"Covenants";"Detailed summary",#N/A,FALSE,"Covenants"}</definedName>
    <definedName function="false" hidden="true" name="name31" vbProcedure="false">{"detail",#N/A,FALSE,"mfg";"summary",#N/A,FALSE,"mfg"}</definedName>
    <definedName function="false" hidden="true" name="name32" vbProcedure="false">{"detail",#N/A,FALSE,"mfg";"summary",#N/A,FALSE,"mfg"}</definedName>
    <definedName function="false" hidden="true" name="name34" vbProcedure="false">{"detail",#N/A,FALSE,"mfg";"summary",#N/A,FALSE,"mfg"}</definedName>
    <definedName function="false" hidden="true" name="name35" vbProcedure="false">{"detail",#N/A,FALSE,"mfg";"summary",#N/A,FALSE,"mfg"}</definedName>
    <definedName function="false" hidden="true" name="NAME41" vbProcedure="false">{"detail",#N/A,FALSE,"mfg";"summary",#N/A,FALSE,"mfg"}</definedName>
    <definedName function="false" hidden="true" name="name412" vbProcedure="false">{"detail",#N/A,FALSE,"mfg";"summary",#N/A,FALSE,"mfg"}</definedName>
    <definedName function="false" hidden="true" name="name413" vbProcedure="false">{"detail",#N/A,FALSE,"mfg";"summary",#N/A,FALSE,"mfg"}</definedName>
    <definedName function="false" hidden="true" name="name42" vbProcedure="false">{"detail",#N/A,FALSE,"mfg";"summary",#N/A,FALSE,"mfg"}</definedName>
    <definedName function="false" hidden="true" name="name45" vbProcedure="false">{"detail",#N/A,FALSE,"mfg";"summary",#N/A,FALSE,"mfg"}</definedName>
    <definedName function="false" hidden="true" name="name51" vbProcedure="false">{"detail",#N/A,FALSE,"mfg";"summary",#N/A,FALSE,"mfg"}</definedName>
    <definedName function="false" hidden="true" name="name54ghs" vbProcedure="false">{"detail",#N/A,FALSE,"mfg";"summary",#N/A,FALSE,"mfg"}</definedName>
    <definedName function="false" hidden="true" name="name56a" vbProcedure="false">{"detail",#N/A,FALSE,"mfg";"summary",#N/A,FALSE,"mfg"}</definedName>
    <definedName function="false" hidden="true" name="name56a56" vbProcedure="false">{"detail",#N/A,FALSE,"mfg";"summary",#N/A,FALSE,"mfg"}</definedName>
    <definedName function="false" hidden="true" name="name61" vbProcedure="false">{"detail",#N/A,FALSE,"mfg";"summary",#N/A,FALSE,"mfg"}</definedName>
    <definedName function="false" hidden="true" name="name71" vbProcedure="false">{"detail",#N/A,FALSE,"mfg";"summary",#N/A,FALSE,"mfg"}</definedName>
    <definedName function="false" hidden="true" name="name89shj" vbProcedure="false">{"detail",#N/A,FALSE,"mfg";"summary",#N/A,FALSE,"mfg"}</definedName>
    <definedName function="false" hidden="true" name="namea101" vbProcedure="false">{"detail",#N/A,FALSE,"mfg";"summary",#N/A,FALSE,"mfg"}</definedName>
    <definedName function="false" hidden="true" name="nameb45" vbProcedure="false">{"detail",#N/A,FALSE,"mfg";"summary",#N/A,FALSE,"mfg"}</definedName>
    <definedName function="false" hidden="true" name="nameiges" vbProcedure="false">{"detail",#N/A,FALSE,"mfg";"summary",#N/A,FALSE,"mfg"}</definedName>
    <definedName function="false" hidden="true" name="namenskonfl4" vbProcedure="false">{"TeleKomplett",#N/A,TRUE,"Tele";"gfKomplett",#N/A,TRUE,"Gf";"MktKomplett",#N/A,TRUE,"Mkt";"RTLTextKomplett",#N/A,TRUE,"RTLText";"ATXITVKomplett",#N/A,TRUE,"ATXITV";"TechKomplett",#N/A,TRUE,"Tech";"Pufferkomplett",#N/A,TRUE,"Puffer"}</definedName>
    <definedName function="false" hidden="true" name="NameS" vbProcedure="false">"10.1.0.2"</definedName>
    <definedName function="false" hidden="true" name="nanai" vbProcedure="false">{"FY97Tot nvs",#N/A,FALSE,"FY97 - Total";"FY98Tot nvs",#N/A,FALSE,"FY98 - Total"}</definedName>
    <definedName function="false" hidden="true" name="NANAO" vbProcedure="false">{"FY98Q1 var",#N/A,FALSE,"FY98 - Q1";"FY98Q2 var",#N/A,FALSE,"FY98 - Q2";"FY98Q3 var",#N/A,FALSE,"FY98 - Q3";"FY98Q4 var",#N/A,FALSE,"FY98 - Q4"}</definedName>
    <definedName function="false" hidden="true" name="nanda" vbProcedure="false">{#N/A,#N/A,FALSE,"Staffnos &amp; cost"}</definedName>
    <definedName function="false" hidden="true" name="NATALE" vbProcedure="false">{"FY98Q1 nvs",#N/A,FALSE,"FY98 - Q1";"FY98Q2 nvs",#N/A,FALSE,"FY98 - Q2";"FY98Q3 nvs",#N/A,FALSE,"FY98 - Q3";"FY98Q4 nvs",#N/A,FALSE,"FY98 - Q4"}</definedName>
    <definedName function="false" hidden="true" name="NatEssS" vbProcedure="false">{"'WST RETAIL PRICE LIST Apr 9 (2)'!$B$1:$C$177"}</definedName>
    <definedName function="false" hidden="true" name="NatEssS2" vbProcedure="false">{"'WST RETAIL PRICE LIST Apr 9 (2)'!$B$1:$C$177"}</definedName>
    <definedName function="false" hidden="true" name="nb" vbProcedure="false">{"fleisch",#N/A,FALSE,"WG HK";"food",#N/A,FALSE,"WG HK";"hartwaren",#N/A,FALSE,"WG HK";"weichwaren",#N/A,FALSE,"WG HK"}</definedName>
    <definedName function="false" hidden="true" name="nbcngf" vbProcedure="false">{#N/A,#N/A,TRUE,"Historicals";#N/A,#N/A,TRUE,"Charts";#N/A,#N/A,TRUE,"Forecasts"}</definedName>
    <definedName function="false" hidden="true" name="nbh" vbProcedure="false">{#N/A,#N/A,FALSE,"Staffnos &amp; cost"}</definedName>
    <definedName function="false" hidden="true" name="nbhj" vbProcedure="false">{"QTD_LPO2N2",#N/A,FALSE,"QTD";"QTD_HYCO",#N/A,FALSE,"QTD";"QTD_LOUISIANA",#N/A,FALSE,"QTD";"QTD_GENERALH2",#N/A,FALSE,"QTD";"QTD_PACKAGE",#N/A,FALSE,"QTD";"QTD_PRS",#N/A,FALSE,"QTD";"QTD_OTHER",#N/A,FALSE,"QTD"}</definedName>
    <definedName function="false" hidden="true" name="nbv" vbProcedure="false">{"Polymers Details",#N/A,FALSE,"Current Yr";"Polymer Details",#N/A,FALSE,"Budget";"Polymer Details",#N/A,FALSE,"Prior Year"}</definedName>
    <definedName function="false" hidden="true" name="nbvc"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nbvjhgf" vbProcedure="false">{#N/A,#N/A,TRUE,"Historicals";#N/A,#N/A,TRUE,"Charts";#N/A,#N/A,TRUE,"Forecasts"}</definedName>
    <definedName function="false" hidden="true" name="nbvncvj" vbProcedure="false">{#N/A,#N/A,TRUE,"Historicals";#N/A,#N/A,TRUE,"Charts";#N/A,#N/A,TRUE,"Forecasts"}</definedName>
    <definedName function="false" hidden="true" name="nck"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nclientkey1" vbProcedure="false">#REF!</definedName>
    <definedName function="false" hidden="true" name="nclientsort" vbProcedure="false">#REF!</definedName>
    <definedName function="false" hidden="true" name="ncn"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nemo" vbProcedure="false">{"FY98Q1",#N/A,FALSE,"FY98 - Q1";"FY98Q2",#N/A,FALSE,"FY98 - Q2";"FY98Q3",#N/A,FALSE,"FY98 - Q3";"FY98Q4",#N/A,FALSE,"FY98 - Q4"}</definedName>
    <definedName function="false" hidden="true" name="NEON" vbProcedure="false">{"FY98Q1 nvs",#N/A,FALSE,"FY98 - Q1";"FY98Q2 nvs",#N/A,FALSE,"FY98 - Q2";"FY98Q3 nvs",#N/A,FALSE,"FY98 - Q3";"FY98Q4 nvs",#N/A,FALSE,"FY98 - Q4"}</definedName>
    <definedName function="false" hidden="true" name="NERBAT" vbProcedure="false">{"FY98Q1 var",#N/A,FALSE,"FY98 - Q1";"FY98Q2 var",#N/A,FALSE,"FY98 - Q2";"FY98Q3 var",#N/A,FALSE,"FY98 - Q3";"FY98Q4 var",#N/A,FALSE,"FY98 - Q4"}</definedName>
    <definedName function="false" hidden="true" name="nertd" vbProcedure="false">{#N/A,#N/A,TRUE,"Historicals";#N/A,#N/A,TRUE,"Charts";#N/A,#N/A,TRUE,"Forecasts"}</definedName>
    <definedName function="false" hidden="true" name="netto_gh" vbProcedure="false">{"sbfk2",#N/A,FALSE,"A";"sbkf3",#N/A,FALSE,"A";"sbkf4",#N/A,FALSE,"A";"sbkf1",#N/A,FALSE,"A"}</definedName>
    <definedName function="false" hidden="true" name="NET_DEBT" vbProcedure="false">"NET_DEBT"</definedName>
    <definedName function="false" hidden="true" name="NET_INC" vbProcedure="false">"NET_INC"</definedName>
    <definedName function="false" hidden="true" name="NET_INC_10K" vbProcedure="false">"NET_INC_10K"</definedName>
    <definedName function="false" hidden="true" name="NET_INC_10Q" vbProcedure="false">"NET_INC_10Q"</definedName>
    <definedName function="false" hidden="true" name="NET_INC_10Q1" vbProcedure="false">"NET_INC_10Q1"</definedName>
    <definedName function="false" hidden="true" name="NET_INC_BEFORE" vbProcedure="false">"NET_INC_BEFORE"</definedName>
    <definedName function="false" hidden="true" name="NET_INC_GROWTH_1" vbProcedure="false">"NET_INC_GROWTH_1"</definedName>
    <definedName function="false" hidden="true" name="NET_INC_GROWTH_2" vbProcedure="false">"NET_INC_GROWTH_2"</definedName>
    <definedName function="false" hidden="true" name="NET_INC_MARGIN" vbProcedure="false">"NET_INC_MARGIN"</definedName>
    <definedName function="false" hidden="true" name="NET_INTEREST_INC" vbProcedure="false">"NET_INTEREST_INC"</definedName>
    <definedName function="false" hidden="true" name="NET_INTEREST_INC_AFTER_LL" vbProcedure="false">"NET_INTEREST_INC_AFTER_LL"</definedName>
    <definedName function="false" hidden="true" name="NET_LOANS" vbProcedure="false">"NET_LOANS"</definedName>
    <definedName function="false" hidden="true" name="neuername" vbProcedure="false">{#N/A,#N/A,FALSE,"Bl. 1";#N/A,#N/A,FALSE,"Bl. 2";#N/A,#N/A,FALSE,"Bl. 3";#N/A,#N/A,FALSE,"Bl. 4";#N/A,#N/A,FALSE,"Bl. 6";#N/A,#N/A,FALSE,"Bl. 7";#N/A,#N/A,FALSE,"BL. 8";#N/A,#N/A,FALSE,"Bl. 9";#N/A,#N/A,FALSE,"Bl. 10";#N/A,#N/A,FALSE,"Bl. 12"}</definedName>
    <definedName function="false" hidden="true" name="neuername2" vbProcedure="false">{#N/A,#N/A,FALSE,"Z3 1,8i";#N/A,#N/A,FALSE,"Z3 1,9iS";#N/A,#N/A,FALSE,"Z3 2,8i";#N/A,#N/A,FALSE,"Z3 2,8i Coupé"}</definedName>
    <definedName function="false" hidden="true" name="neue_Uebersicht" vbProcedure="false">"4ZSNKZEPB8QVMSZI0R9CSS24H"</definedName>
    <definedName function="false" hidden="true" name="NEU_IQ_div_payment_date" vbProcedure="false">"c2205"</definedName>
    <definedName function="false" hidden="true" name="NEU_IQ_Xdiv_date" vbProcedure="false">"c2203"</definedName>
    <definedName function="false" hidden="true" name="New" vbProcedure="false">#REF!</definedName>
    <definedName function="false" hidden="true" name="new.project" vbProcedure="false">{#N/A,#N/A,FALSE,"P1";#N/A,#N/A,FALSE,"P2";#N/A,#N/A,FALSE,"P4";#N/A,#N/A,FALSE,"P5";#N/A,#N/A,FALSE,"P6";#N/A,#N/A,FALSE,"P7";#N/A,#N/A,FALSE,"P8";#N/A,#N/A,FALSE,"P9";#N/A,#N/A,FALSE,"P10"}</definedName>
    <definedName function="false" hidden="true" name="new.summary" vbProcedure="false">{#N/A,#N/A,TRUE,"Notes";#N/A,#N/A,TRUE,"Cap Struct";#N/A,#N/A,TRUE,"OBS";#N/A,#N/A,TRUE,"bal Sheet";#N/A,#N/A,TRUE,"Inc stmt";#N/A,#N/A,TRUE,"csh flw";#N/A,#N/A,TRUE,"debt";#N/A,#N/A,TRUE,"detail 96,97";#N/A,#N/A,TRUE,"Covenants"}</definedName>
    <definedName function="false" hidden="true" name="new1.summary" vbProcedure="false">{#N/A,#N/A,TRUE,"Notes";#N/A,#N/A,TRUE,"Cap Struct";#N/A,#N/A,TRUE,"OBS";#N/A,#N/A,TRUE,"bal Sheet";#N/A,#N/A,TRUE,"Inc stmt";#N/A,#N/A,TRUE,"csh flw";#N/A,#N/A,TRUE,"debt";#N/A,#N/A,TRUE,"detail 96,97";#N/A,#N/A,TRUE,"Covenants"}</definedName>
    <definedName function="false" hidden="true" name="newbel" vbProcedure="false">{"IS",#N/A,FALSE,"IS";"RPTIS",#N/A,FALSE,"RPTIS";"STATS",#N/A,FALSE,"STATS";"CELL",#N/A,FALSE,"CELL";"BS",#N/A,FALSE,"BS"}</definedName>
    <definedName function="false" hidden="true" name="newbls" vbProcedure="false">{"'Directory'!$A$72:$E$91"}</definedName>
    <definedName function="false" hidden="true" name="newDC" vbProcedure="false">{#N/A,#N/A,TRUE,"Cover sheet";#N/A,#N/A,TRUE,"DCF analysis";#N/A,#N/A,TRUE,"WACC calculation"}</definedName>
    <definedName function="false" hidden="true" name="newer" vbProcedure="false">#REF!</definedName>
    <definedName function="false" hidden="true" name="NEWEST" vbProcedure="false">{#N/A,#N/A,FALSE,"summary";#N/A,#N/A,FALSE,"debt";#N/A,#N/A,FALSE,"FIRST";#N/A,#N/A,FALSE,"B A";#N/A,#N/A,FALSE,"LLOYD";#N/A,#N/A,FALSE,"LTDLLOYD";#N/A,#N/A,FALSE,"PESO";#N/A,#N/A,FALSE,"MEX$";#N/A,#N/A,FALSE,"PRINCE";#N/A,#N/A,FALSE,"TXCOMM";#N/A,#N/A,FALSE,"WATERLOO"}</definedName>
    <definedName function="false" hidden="true" name="newname" vbProcedure="false">{#N/A,#N/A,FALSE,"Info";#N/A,#N/A,FALSE,"Op I";#N/A,#N/A,FALSE,"Op O";#N/A,#N/A,FALSE,"LBO I";#N/A,#N/A,FALSE,"LBO O";#N/A,#N/A,FALSE,"Taxes"}</definedName>
    <definedName function="false" hidden="true" name="newname7000" vbProcedure="false">{#N/A,#N/A,FALSE,"MAY";#N/A,#N/A,FALSE,"Q2";#N/A,#N/A,FALSE,"YTD"}</definedName>
    <definedName function="false" hidden="true" name="newname9" vbProcedure="false">{#N/A,#N/A,FALSE,"MAY";#N/A,#N/A,FALSE,"Q2";#N/A,#N/A,FALSE,"YTD"}</definedName>
    <definedName function="false" hidden="true" name="newnewbel" vbProcedure="false">{"IS",#N/A,FALSE,"IS";"RPTIS",#N/A,FALSE,"RPTIS";"STATS",#N/A,FALSE,"STATS";"CELL",#N/A,FALSE,"CELL";"BS",#N/A,FALSE,"BS"}</definedName>
    <definedName function="false" hidden="true" name="newnewnew" vbProcedure="false">{#N/A,#N/A,FALSE,"Pharm";#N/A,#N/A,FALSE,"WWCM"}</definedName>
    <definedName function="false" hidden="true" name="NewRange" vbProcedure="false">#REF!</definedName>
    <definedName function="false" hidden="true" name="newt" vbProcedure="false">{"'Directory'!$A$72:$E$91"}</definedName>
    <definedName function="false" hidden="true" name="newview" vbProcedure="false">{#N/A,#N/A,FALSE,"Summary";#N/A,#N/A,FALSE,"Signatures";#N/A,#N/A,FALSE,"FL Current";#N/A,#N/A,FALSE,"Assumptions";#N/A,#N/A,FALSE,"Assumptions";#N/A,#N/A,FALSE,"Assumptions";#N/A,#N/A,FALSE,"FL Last";#N/A,#N/A,FALSE,"FL Orig";#N/A,#N/A,FALSE,"C to G Explain"}</definedName>
    <definedName function="false" hidden="true" name="newview2" vbProcedure="false">{#N/A,#N/A,FALSE,"Summary";#N/A,#N/A,FALSE,"Signatures";#N/A,#N/A,FALSE,"FL Current";#N/A,#N/A,FALSE,"Assumptions";#N/A,#N/A,FALSE,"Assumptions";#N/A,#N/A,FALSE,"Assumptions";#N/A,#N/A,FALSE,"FL Last";#N/A,#N/A,FALSE,"FL Orig";#N/A,#N/A,FALSE,"C to G Explain"}</definedName>
    <definedName function="false" hidden="true" name="newview2a"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true" name="newview2b" vbProcedure="false">{"Cover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function="false" hidden="true" name="newview3" vbProcedure="false">{#N/A,#N/A,FALSE,"Summary";#N/A,#N/A,FALSE,"Signatures";#N/A,#N/A,FALSE,"FL Current";#N/A,#N/A,FALSE,"Assumptions";#N/A,#N/A,FALSE,"Assumptions";#N/A,#N/A,FALSE,"Assumptions";#N/A,#N/A,FALSE,"FL Last";#N/A,#N/A,FALSE,"FL Orig";#N/A,#N/A,FALSE,"C to G Explain"}</definedName>
    <definedName function="false" hidden="true" name="newview3a" vbProcedure="false">{#N/A,#N/A,FALSE,"Summary";#N/A,#N/A,FALSE,"Signatures";#N/A,#N/A,FALSE,"FL Current";#N/A,#N/A,FALSE,"Assumptions";#N/A,#N/A,FALSE,"Assumptions";#N/A,#N/A,FALSE,"Assumptions";#N/A,#N/A,FALSE,"FL Last";#N/A,#N/A,FALSE,"FL Orig";#N/A,#N/A,FALSE,"C to G Explain"}</definedName>
    <definedName function="false" hidden="true" name="newview3b" vbProcedure="false">{#N/A,#N/A,FALSE,"Summary";#N/A,#N/A,FALSE,"Signatures";#N/A,#N/A,FALSE,"FL Current";#N/A,#N/A,FALSE,"Assumptions";#N/A,#N/A,FALSE,"Assumptions";#N/A,#N/A,FALSE,"Assumptions";#N/A,#N/A,FALSE,"FL Last";#N/A,#N/A,FALSE,"FL Orig";#N/A,#N/A,FALSE,"C to G Explain"}</definedName>
    <definedName function="false" hidden="true" name="newwcom" vbProcedure="false">{"'Directory'!$A$72:$E$91"}</definedName>
    <definedName function="false" hidden="true" name="newwrn.BEL." vbProcedure="false">{"IS",#N/A,FALSE,"IS";"RPTIS",#N/A,FALSE,"RPTIS";"STATS",#N/A,FALSE,"STATS";"CELL",#N/A,FALSE,"CELL";"BS",#N/A,FALSE,"BS"}</definedName>
    <definedName function="false" hidden="true" name="New_HTML" vbProcedure="false">{"'Data'!$A$1:$D$17"}</definedName>
    <definedName function="false" hidden="true" name="NEW_IQ_div_record_date" vbProcedure="false">"c2204"</definedName>
    <definedName function="false" hidden="true" name="new_name" vbProcedure="false">{#N/A,#N/A,TRUE,"Pro Forma";#N/A,#N/A,TRUE,"PF_Bal";#N/A,#N/A,TRUE,"PF_INC";#N/A,#N/A,TRUE,"CBE";#N/A,#N/A,TRUE,"SWK"}</definedName>
    <definedName function="false" hidden="true" name="new_w" vbProcedure="false">{"comps1_1",#N/A,FALSE,"Comps1";"comps1_2",#N/A,FALSE,"Comps1";"comps1_3",#N/A,FALSE,"Comps1";"comps1_4",#N/A,FALSE,"Comps1";"comps1_5",#N/A,FALSE,"Comps1"}</definedName>
    <definedName function="false" hidden="true" name="NEXT" vbProcedure="false">{#N/A,#N/A,FALSE,"5 Company Total 2 inc buffer"}</definedName>
    <definedName function="false" hidden="true" name="nf" vbProcedure="false">{#N/A,#N/A,FALSE,"Staffnos &amp; cost"}</definedName>
    <definedName function="false" hidden="true" name="nfj" vbProcedure="false">{#N/A,#N/A,FALSE,"Staffnos &amp; cost"}</definedName>
    <definedName function="false" hidden="true" name="ngfndd" vbProcedure="false">{#N/A,#N/A,TRUE,"Historicals";#N/A,#N/A,TRUE,"Charts";#N/A,#N/A,TRUE,"Forecasts"}</definedName>
    <definedName function="false" hidden="true" name="NGVHFJF" vbProcedure="false">{"'Demand Units'!$X$11:$AD$45"}</definedName>
    <definedName function="false" hidden="true" name="nh" vbProcedure="false">{"AS REP",#N/A,FALSE,"EEFSNAP2";"PROP",#N/A,FALSE,"EEFSNAP2";"RISKS",#N/A,FALSE,"EEFSNAP2";"VIEW ALL",#N/A,FALSE,"EEFSNAP2"}</definedName>
    <definedName function="false" hidden="true" name="nhihihih" vbProcedure="false">{#N/A,#N/A,FALSE,"Cover";#N/A,#N/A,FALSE,"Profits";#N/A,#N/A,FALSE,"ABS";#N/A,#N/A,FALSE,"TFLE Detail";#N/A,#N/A,FALSE,"TFLE Walk";#N/A,#N/A,FALSE,"Variable Cost";#N/A,#N/A,FALSE,"V.C. Walk"}</definedName>
    <definedName function="false" hidden="true" name="nhu" vbProcedure="false">{#N/A,"PURADD",FALSE,"Business Analysis";#N/A,"PURSPP",FALSE,"Business Analysis";#N/A,"CTGIND",FALSE,"Business Analysis";#N/A,"PURCHM",FALSE,"Business Analysis";#N/A,"SPADD",FALSE,"Business Analysis";#N/A,"EPOXY",FALSE,"Business Analysis";#N/A,"PURPER",FALSE,"Business Analysis"}</definedName>
    <definedName function="false" hidden="true" name="ni" vbProcedure="false">{"TAG1AGMS",#N/A,FALSE,"TAG 1A"}</definedName>
    <definedName function="false" hidden="true" name="nico" vbProcedure="false">{#N/A,#N/A,FALSE,"Indcost";#N/A,#N/A,FALSE,"Plcost";#N/A,#N/A,FALSE,"Mincost";#N/A,#N/A,FALSE,"Produc";#N/A,#N/A,FALSE,"Rev";#N/A,#N/A,FALSE,"Capital";#N/A,#N/A,FALSE,"Wcapital";#N/A,#N/A,FALSE,"Contdep";#N/A,#N/A,FALSE,"Taxdep";#N/A,#N/A,FALSE,"Tax";#N/A,#N/A,FALSE,"S-SDebt";#N/A,#N/A,FALSE,"TotDebt";#N/A,#N/A,FALSE,"Profit";#N/A,#N/A,FALSE,"CFlow";#N/A,#N/A,FALSE,"1996-2012";#N/A,#N/A,FALSE,"Bcesheet"}</definedName>
    <definedName function="false" hidden="true" name="nico1" vbProcedure="false">{#N/A,#N/A,FALSE,"Indcost";#N/A,#N/A,FALSE,"Plcost";#N/A,#N/A,FALSE,"Mincost";#N/A,#N/A,FALSE,"Produc";#N/A,#N/A,FALSE,"Rev";#N/A,#N/A,FALSE,"Capital";#N/A,#N/A,FALSE,"Wcapital";#N/A,#N/A,FALSE,"Contdep";#N/A,#N/A,FALSE,"Taxdep";#N/A,#N/A,FALSE,"Tax";#N/A,#N/A,FALSE,"S-SDebt";#N/A,#N/A,FALSE,"TotDebt";#N/A,#N/A,FALSE,"Profit";#N/A,#N/A,FALSE,"CFlow";#N/A,#N/A,FALSE,"1996-2012";#N/A,#N/A,FALSE,"Bcesheet"}</definedName>
    <definedName function="false" hidden="true" name="Nicole"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NIENTE" vbProcedure="false">{"FY98Q1",#N/A,FALSE,"FY98 - Q1";"FY98Q2",#N/A,FALSE,"FY98 - Q2";"FY98Q3",#N/A,FALSE,"FY98 - Q3";"FY98Q4",#N/A,FALSE,"FY98 - Q4"}</definedName>
    <definedName function="false" hidden="true" name="NIEVA" vbProcedure="false">{"FY97Tot nvs",#N/A,FALSE,"FY97 - Total";"FY98Tot nvs",#N/A,FALSE,"FY98 - Total"}</definedName>
    <definedName function="false" hidden="true" name="nijnsh" vbProcedure="false">{"detail",#N/A,FALSE,"mfg";"summary",#N/A,FALSE,"mfg"}</definedName>
    <definedName function="false" hidden="true" name="Niki" vbProcedure="false">{#N/A,#N/A,FALSE,"Bezirk SW";#N/A,#N/A,FALSE,"Dir S (GK)";#N/A,#N/A,FALSE,"Dir FR (PK)"}</definedName>
    <definedName function="false" hidden="true" name="niki1" vbProcedure="false">{#N/A,#N/A,FALSE,"Bezirk SW";#N/A,#N/A,FALSE,"Dir S (GK)";#N/A,#N/A,FALSE,"Dir FR (PK)"}</definedName>
    <definedName function="false" hidden="true" name="niki2" vbProcedure="false">{#N/A,#N/A,TRUE,"Cont_Stell";#N/A,#N/A,TRUE,"BTG";#N/A,#N/A,TRUE,"SH";#N/A,#N/A,TRUE,"GUV";#N/A,#N/A,TRUE,"Bilanz";#N/A,#N/A,TRUE,"WC";#N/A,#N/A,TRUE,"Beweg_bil";#N/A,#N/A,TRUE,"Kap_fluß";#N/A,#N/A,TRUE,"KENNZ";#N/A,#N/A,TRUE,"ANALYSE"}</definedName>
    <definedName function="false" hidden="true" name="niki3" vbProcedure="false">{#N/A,#N/A,TRUE,"Cont_Stell";#N/A,#N/A,TRUE,"BTG";#N/A,#N/A,TRUE,"SH";#N/A,#N/A,TRUE,"GUV";#N/A,#N/A,TRUE,"Bilanz";#N/A,#N/A,TRUE,"WC";#N/A,#N/A,TRUE,"Beweg_bil";#N/A,#N/A,TRUE,"Kap_fluß";#N/A,#N/A,TRUE,"KENNZ";#N/A,#N/A,TRUE,"ANALYSE"}</definedName>
    <definedName function="false" hidden="true" name="niki4" vbProcedure="false">{#N/A,#N/A,FALSE,"Bezirk SW";#N/A,#N/A,FALSE,"Dir S (GK)";#N/A,#N/A,FALSE,"Dir FR (PK)"}</definedName>
    <definedName function="false" hidden="true" name="niki5" vbProcedure="false">{#N/A,#N/A,TRUE,"Cont_Stell";#N/A,#N/A,TRUE,"BTG";#N/A,#N/A,TRUE,"SH";#N/A,#N/A,TRUE,"GUV";#N/A,#N/A,TRUE,"Bilanz";#N/A,#N/A,TRUE,"WC";#N/A,#N/A,TRUE,"Beweg_bil";#N/A,#N/A,TRUE,"Kap_fluß";#N/A,#N/A,TRUE,"KENNZ";#N/A,#N/A,TRUE,"ANALYSE"}</definedName>
    <definedName function="false" hidden="true" name="ninja"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nj9km" vbProcedure="false">{"detail",#N/A,FALSE,"mfg";"summary",#N/A,FALSE,"mfg"}</definedName>
    <definedName function="false" hidden="true" name="njhfds" vbProcedure="false">{#N/A,"PURCHM",FALSE,"Business Analysis";#N/A,"SPADD",FALSE,"Business Analysis"}</definedName>
    <definedName function="false" hidden="true" name="njis76" vbProcedure="false">{"detail",#N/A,FALSE,"mfg";"summary",#N/A,FALSE,"mfg"}</definedName>
    <definedName function="false" hidden="true" name="njkjsh" vbProcedure="false">{"detail",#N/A,FALSE,"mfg";"summary",#N/A,FALSE,"mfg"}</definedName>
    <definedName function="false" hidden="true" name="nkmi9c" vbProcedure="false">{#N/A,"PURCHM",FALSE,"Business Analysis";#N/A,"SPADD",FALSE,"Business Analysis"}</definedName>
    <definedName function="false" hidden="true" name="NLGeXToEUR" vbProcedure="false">1/eurextonlg</definedName>
    <definedName function="false" hidden="true" name="nmnkjj" vbProcedure="false">#REF!</definedName>
    <definedName function="false" hidden="true" name="nmnm" vbProcedure="false">{"summary",#N/A,FALSE,"summary";"sales growth",#N/A,FALSE,"summary";"oper income",#N/A,FALSE,"summary";"oros rank",#N/A,FALSE,"summary";"net assets",#N/A,FALSE,"summary";"asset turnover",#N/A,FALSE,"summary";"orona",#N/A,FALSE,"summary";"total return",#N/A,FALSE,"summary";"overview",#N/A,FALSE,"summary"}</definedName>
    <definedName function="false" hidden="true" name="nmvb" vbProcedure="false">{#N/A,#N/A,FALSE,"Layout Cash Flow"}</definedName>
    <definedName function="false" hidden="true" name="nnh" vbProcedure="false">{"Pa1",#N/A,FALSE,"OpExYTDvsPY";"Pa2",#N/A,FALSE,"OpExYTDvsPY"}</definedName>
    <definedName function="false" hidden="true" name="NNN" vbProcedure="false">{"GTI monthly IS",#N/A,FALSE,"gti";#N/A,#N/A,FALSE,"gti"}</definedName>
    <definedName function="false" hidden="true" name="nnnb" vbProcedure="false">{"consolidated",#N/A,FALSE,"Sheet1";"cms",#N/A,FALSE,"Sheet1";"fse",#N/A,FALSE,"Sheet1"}</definedName>
    <definedName function="false" hidden="true" name="nnnnnnnnnnnnnnnnnnnnnnnnnnnnnnnnnnnnnnnnnnnnnnnnnnnnnnnnnnnnnnnnnnnnnnnnnnnnnnnn" vbProcedure="false">{#N/A,#N/A,FALSE,"Staffnos &amp; cost"}</definedName>
    <definedName function="false" hidden="true" name="NOBILE" vbProcedure="false">{"FY97Tot nvs",#N/A,FALSE,"FY97 - Total";"FY98Tot nvs",#N/A,FALSE,"FY98 - Total"}</definedName>
    <definedName function="false" hidden="true" name="nocontrol1" vbProcedure="false">{"'Data'!$A$1:$D$17"}</definedName>
    <definedName function="false" hidden="true" name="noidea" vbProcedure="false">{#N/A,#N/A,FALSE,"Calc";#N/A,#N/A,FALSE,"Sensitivity";#N/A,#N/A,FALSE,"LT Earn.Dil.";#N/A,#N/A,FALSE,"Dil. AVP"}</definedName>
    <definedName function="false" hidden="true" name="noidea1" vbProcedure="false">{#N/A,#N/A,FALSE,"Calc";#N/A,#N/A,FALSE,"Sensitivity";#N/A,#N/A,FALSE,"LT Earn.Dil.";#N/A,#N/A,FALSE,"Dil. AVP"}</definedName>
    <definedName function="false" hidden="true" name="noidea10" vbProcedure="false">{#N/A,#N/A,FALSE,"Calc";#N/A,#N/A,FALSE,"Sensitivity";#N/A,#N/A,FALSE,"LT Earn.Dil.";#N/A,#N/A,FALSE,"Dil. AVP"}</definedName>
    <definedName function="false" hidden="true" name="NOIDEA2" vbProcedure="false">{#N/A,#N/A,FALSE,"Calc";#N/A,#N/A,FALSE,"Sensitivity";#N/A,#N/A,FALSE,"LT Earn.Dil.";#N/A,#N/A,FALSE,"Dil. AVP"}</definedName>
    <definedName function="false" hidden="true" name="noidea20" vbProcedure="false">{#N/A,#N/A,FALSE,"Calc";#N/A,#N/A,FALSE,"Sensitivity";#N/A,#N/A,FALSE,"LT Earn.Dil.";#N/A,#N/A,FALSE,"Dil. AVP"}</definedName>
    <definedName function="false" hidden="true" name="noidea3" vbProcedure="false">{#N/A,#N/A,FALSE,"Calc";#N/A,#N/A,FALSE,"Sensitivity";#N/A,#N/A,FALSE,"LT Earn.Dil.";#N/A,#N/A,FALSE,"Dil. AVP"}</definedName>
    <definedName function="false" hidden="true" name="noidea4" vbProcedure="false">{#N/A,#N/A,FALSE,"Calc";#N/A,#N/A,FALSE,"Sensitivity";#N/A,#N/A,FALSE,"LT Earn.Dil.";#N/A,#N/A,FALSE,"Dil. AVP"}</definedName>
    <definedName function="false" hidden="true" name="noidea5" vbProcedure="false">{#N/A,#N/A,FALSE,"Calc";#N/A,#N/A,FALSE,"Sensitivity";#N/A,#N/A,FALSE,"LT Earn.Dil.";#N/A,#N/A,FALSE,"Dil. AVP"}</definedName>
    <definedName function="false" hidden="true" name="noidea6" vbProcedure="false">{#N/A,#N/A,FALSE,"Calc";#N/A,#N/A,FALSE,"Sensitivity";#N/A,#N/A,FALSE,"LT Earn.Dil.";#N/A,#N/A,FALSE,"Dil. AVP"}</definedName>
    <definedName function="false" hidden="true" name="noidea7" vbProcedure="false">{#N/A,#N/A,FALSE,"Calc";#N/A,#N/A,FALSE,"Sensitivity";#N/A,#N/A,FALSE,"LT Earn.Dil.";#N/A,#N/A,FALSE,"Dil. AVP"}</definedName>
    <definedName function="false" hidden="true" name="NON" vbProcedure="false">{"FY97Total",#N/A,FALSE,"FY97 - Total";"FY98Total",#N/A,FALSE,"FY98 - Total"}</definedName>
    <definedName function="false" hidden="true" name="NONA" vbProcedure="false">{"FY97Total",#N/A,FALSE,"FY97 - Total";"FY98Total",#N/A,FALSE,"FY98 - Total"}</definedName>
    <definedName function="false" hidden="true" name="NONAS" vbProcedure="false">{"FY98Q1 var",#N/A,FALSE,"FY98 - Q1";"FY98Q2 var",#N/A,FALSE,"FY98 - Q2";"FY98Q3 var",#N/A,FALSE,"FY98 - Q3";"FY98Q4 var",#N/A,FALSE,"FY98 - Q4"}</definedName>
    <definedName function="false" hidden="true" name="none" vbProcedure="false">{#N/A,#N/A,TRUE,"Inc. St.";#N/A,#N/A,TRUE,"SalesLabor";#N/A,#N/A,TRUE,"Labor";#N/A,#N/A,TRUE,"TEMP.";#N/A,#N/A,TRUE,"Manuf.";#N/A,#N/A,TRUE,"Repairs";#N/A,#N/A,TRUE,"G&amp;A";#N/A,#N/A,TRUE,"Inv.";#N/A,#N/A,TRUE,"Cap.X";#N/A,#N/A,TRUE,"Leases"}</definedName>
    <definedName function="false" hidden="true" name="NONIO" vbProcedure="false">{"FY97Total",#N/A,FALSE,"FY97 - Total";"FY98Total",#N/A,FALSE,"FY98 - Total"}</definedName>
    <definedName function="false" hidden="true" name="NONNO" vbProcedure="false">{"FY97Tot nvs",#N/A,FALSE,"FY97 - Total";"FY98Tot nvs",#N/A,FALSE,"FY98 - Total"}</definedName>
    <definedName function="false" hidden="true" name="nono" vbProcedure="false">{"FY97Q1",#N/A,FALSE,"FY97 - Q1";"FY97Q2",#N/A,FALSE,"FY97 - Q2";"FY97Q3",#N/A,FALSE,"FY97 - Q3";"FY97Q4",#N/A,FALSE,"FY97 - Q4"}</definedName>
    <definedName function="false" hidden="true" name="NON_CASH" vbProcedure="false">"NON_CASH"</definedName>
    <definedName function="false" hidden="true" name="NON_INTEREST_EXP" vbProcedure="false">"NON_INTEREST_EXP"</definedName>
    <definedName function="false" hidden="true" name="NON_INTEREST_INC" vbProcedure="false">"NON_INTEREST_INC"</definedName>
    <definedName function="false" hidden="true" name="Nope" vbProcedure="false">{"'Bellville Acetylene'!$A$1:$L$99"}</definedName>
    <definedName function="false" hidden="true" name="NORMA" vbProcedure="false">{"FY97Q1 nvs",#N/A,FALSE,"FY97 - Q1";"FY97Q2 nvs",#N/A,FALSE,"FY97 - Q2";"FY97Q3 nvs",#N/A,FALSE,"FY97 - Q3";"FY97Q4 nvs",#N/A,FALSE,"FY97 - Q4"}</definedName>
    <definedName function="false" hidden="true" name="NORMAL_INC_AFTER" vbProcedure="false">"NORMAL_INC_AFTER"</definedName>
    <definedName function="false" hidden="true" name="NORMAL_INC_AVAIL" vbProcedure="false">"NORMAL_INC_AVAIL"</definedName>
    <definedName function="false" hidden="true" name="NORMAL_INC_BEFORE" vbProcedure="false">"NORMAL_INC_BEFORE"</definedName>
    <definedName function="false" hidden="true" name="norna" vbProcedure="false">{"FY97Q1 nvs",#N/A,FALSE,"FY97 - Q1";"FY97Q2 nvs",#N/A,FALSE,"FY97 - Q2";"FY97Q3 nvs",#N/A,FALSE,"FY97 - Q3";"FY97Q4 nvs",#N/A,FALSE,"FY97 - Q4"}</definedName>
    <definedName function="false" hidden="true" name="NORSA" vbProcedure="false">{"FY97Total var",#N/A,FALSE,"FY97 - Total";"FY98Total var",#N/A,FALSE,"FY98 - Total"}</definedName>
    <definedName function="false" hidden="true" name="NORTIZO" vbProcedure="false">{"FY97Tot nvs",#N/A,FALSE,"FY97 - Total";"FY98Tot nvs",#N/A,FALSE,"FY98 - Total"}</definedName>
    <definedName function="false" hidden="true" name="NOTA" vbProcedure="false">{"FY98Q1 nvs",#N/A,FALSE,"FY98 - Q1";"FY98Q2 nvs",#N/A,FALSE,"FY98 - Q2";"FY98Q3 nvs",#N/A,FALSE,"FY98 - Q3";"FY98Q4 nvs",#N/A,FALSE,"FY98 - Q4"}</definedName>
    <definedName function="false" hidden="true" name="NOTAI" vbProcedure="false">{"FY97Q1",#N/A,FALSE,"FY97 - Q1";"FY97Q2",#N/A,FALSE,"FY97 - Q2";"FY97Q3",#N/A,FALSE,"FY97 - Q3";"FY97Q4",#N/A,FALSE,"FY97 - Q4"}</definedName>
    <definedName function="false" hidden="true" name="NOTAIO" vbProcedure="false">{"FY98Q1",#N/A,FALSE,"FY98 - Q1";"FY98Q2",#N/A,FALSE,"FY98 - Q2";"FY98Q3",#N/A,FALSE,"FY98 - Q3";"FY98Q4",#N/A,FALSE,"FY98 - Q4"}</definedName>
    <definedName function="false" hidden="true" name="NOTES_PAY" vbProcedure="false">"NOTES_PAY"</definedName>
    <definedName function="false" hidden="true" name="NOTRBA" vbProcedure="false">{"FY97Q1",#N/A,FALSE,"FY97 - Q1";"FY97Q2",#N/A,FALSE,"FY97 - Q2";"FY97Q3",#N/A,FALSE,"FY97 - Q3";"FY97Q4",#N/A,FALSE,"FY97 - Q4"}</definedName>
    <definedName function="false" hidden="true" name="nouv" vbProcedure="false">{#N/A,#N/A,FALSE,"Pharm";#N/A,#N/A,FALSE,"WWCM"}</definedName>
    <definedName function="false" hidden="true" name="Nov00" vbProcedure="false">{"Statement of Income",#N/A,TRUE,"Mar99";"Balance Sheet",#N/A,TRUE,"Mar99"}</definedName>
    <definedName function="false" hidden="true" name="Nov00TB" vbProcedure="false">{"Statement of Income",#N/A,TRUE,"Mar99";"Balance Sheet",#N/A,TRUE,"Mar99"}</definedName>
    <definedName function="false" hidden="true" name="novo" vbProcedure="false">{"'comite'!$A$9:$G$44","'comite'!$A$1:$G$6"}</definedName>
    <definedName function="false" hidden="true" name="Nov_Plan_Income_Month" vbProcedure="false">{"Oct_Plan_Income_Month",#N/A,FALSE,"OctInc";"Oct_Month_Lastyear_Inc",#N/A,FALSE,"OctInc"}</definedName>
    <definedName function="false" hidden="true" name="noway" vbProcedure="false">#REF!</definedName>
    <definedName function="false" hidden="true" name="nowayjose" vbProcedure="false">#REF!</definedName>
    <definedName function="false" hidden="true" name="nso" vbProcedure="false">{#N/A,#N/A,FALSE,"PROJPACK"}</definedName>
    <definedName function="false" hidden="true" name="NSS_IQ_div_payment_date" vbProcedure="false">"c2205"</definedName>
    <definedName function="false" hidden="true" name="NSS_IQ_div_record_date" vbProcedure="false">"c2204"</definedName>
    <definedName function="false" hidden="true" name="NSS_IQ_XDiv_date" vbProcedure="false">"c2203"</definedName>
    <definedName function="false" hidden="true" name="Nuevo" vbProcedure="false">{"Resumen",#N/A,TRUE,"Proyección 1998-2007";#N/A,#N/A,TRUE,"Proyección 1998-2007 %";"Temáticos",#N/A,TRUE,"Proyección 1998-2007";"Events Media Park",#N/A,TRUE,"Proyección 1998-2007";"Producción Audiovisual",#N/A,TRUE,"Proyección 1998-2007";#N/A,#N/A,TRUE,"Hipótesis";"Servicios a la Producción",#N/A,TRUE,"Proyección 1998-2007"}</definedName>
    <definedName function="false" hidden="true" name="nuijh467" vbProcedure="false">{"detail",#N/A,FALSE,"mfg";"summary",#N/A,FALSE,"mfg"}</definedName>
    <definedName function="false" hidden="true" name="nunu" vbProcedure="false">{#N/A,#N/A,FALSE,"M1";#N/A,#N/A,FALSE,"K7";#N/A,#N/A,FALSE,"K6";#N/A,#N/A,FALSE,"K5";#N/A,#N/A,FALSE,"K4";#N/A,#N/A,FALSE,"K3";#N/A,#N/A,FALSE,"K2";#N/A,#N/A,FALSE,"K1"}</definedName>
    <definedName function="false" hidden="true" name="nuovo" vbProcedure="false">{#N/A,#N/A,TRUE,"Total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function="false" hidden="true" name="NVCBFDG" vbProcedure="false">{"'Demand Units'!$X$11:$AD$45"}</definedName>
    <definedName function="false" hidden="true" name="nwnwn" vbProcedure="false">{"GTI monthly IS",#N/A,FALSE,"gti";#N/A,#N/A,FALSE,"gti"}</definedName>
    <definedName function="false" hidden="true" name="o" vbProcedure="false">{#N/A,#N/A,FALSE,"SUMMARY";#N/A,#N/A,FALSE,"mcsh";#N/A,#N/A,FALSE,"vol&amp;rev";#N/A,#N/A,FALSE,"wkgcap";#N/A,#N/A,FALSE,"DEPR&amp;DT";#N/A,#N/A,FALSE,"ASSETS";#N/A,#N/A,FALSE,"NI&amp;OTH&amp;DIV";#N/A,#N/A,FALSE,"CASHFLOW";#N/A,#N/A,FALSE,"CAPEMPL";#N/A,#N/A,FALSE,"ROCE"}</definedName>
    <definedName function="false" hidden="true" name="o678o"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Oasda" vbProcedure="false">{"Operating Data",#N/A,TRUE,"Sheet1";"Valuation Matrix",#N/A,TRUE,"Sheet1";"Sales Analysis",#N/A,TRUE,"Sheet1";"Closed Remodelled New",#N/A,TRUE,"Sheet1";"Competitive and FSP",#N/A,TRUE,"Sheet1";"Working Capital and Capex",#N/A,TRUE,"Sheet1";"depreciation",#N/A,TRUE,"Sheet1"}</definedName>
    <definedName function="false" hidden="true" name="Obdin" vbProcedure="false">{"'SIVA Pricing Model'!$A$1:$F$39"}</definedName>
    <definedName function="false" hidden="true" name="Obdin1" vbProcedure="false">{"'SIVA Pricing Model'!$A$1:$F$39"}</definedName>
    <definedName function="false" hidden="true" name="Oct00" vbProcedure="false">{"Statement of Income",#N/A,TRUE,"Mar99";"Balance Sheet",#N/A,TRUE,"Mar99"}</definedName>
    <definedName function="false" hidden="true" name="Oct00TB" vbProcedure="false">{"Statement of Income",#N/A,TRUE,"Mar99";"Balance Sheet",#N/A,TRUE,"Mar99"}</definedName>
    <definedName function="false" hidden="true" name="OCTBS" vbProcedure="false">{#N/A,#N/A,FALSE,"Assump2";#N/A,#N/A,FALSE,"Income2";#N/A,#N/A,FALSE,"Balance2";#N/A,#N/A,FALSE,"DCF Filter";#N/A,#N/A,FALSE,"Trans Assump2";#N/A,#N/A,FALSE,"Combined Income2";#N/A,#N/A,FALSE,"Combined Balance2"}</definedName>
    <definedName function="false" hidden="true" name="Octob00" vbProcedure="false">{"Statement of Income",#N/A,TRUE,"Mar99";"Balance Sheet",#N/A,TRUE,"Mar99"}</definedName>
    <definedName function="false" hidden="true" name="Octob00TB" vbProcedure="false">{"Statement of Income",#N/A,TRUE,"Mar99";"Balance Sheet",#N/A,TRUE,"Mar99"}</definedName>
    <definedName function="false" hidden="true" name="ogl" vbProcedure="false">#REF!,#REF!,#REF!,#REF!,#REF!</definedName>
    <definedName function="false" hidden="true" name="ohewa" vbProcedure="false">#REF!</definedName>
    <definedName function="false" hidden="true" name="oi" vbProcedure="false">{"DCF1",#N/A,FALSE,"SIERRA DCF";"MATRIX1",#N/A,FALSE,"SIERRA DCF"}</definedName>
    <definedName function="false" hidden="true" name="oifd" vbProcedure="false">{"detail",#N/A,FALSE,"mfg";"summary",#N/A,FALSE,"mfg"}</definedName>
    <definedName function="false" hidden="true" name="oiirx" vbProcedure="false">{"net assets",#N/A,FALSE,"summary";"asset turnover",#N/A,FALSE,"summary";"orona",#N/A,FALSE,"summary"}</definedName>
    <definedName function="false" hidden="true" name="oimn" vbProcedure="false">{"QTD_PRS",#N/A,FALSE,"QTD"}</definedName>
    <definedName function="false" hidden="true" name="oins" vbProcedure="false">{"detail",#N/A,FALSE,"mfg";"summary",#N/A,FALSE,"mfg"}</definedName>
    <definedName function="false" hidden="true" name="OIOIK" vbProcedure="false">{"'Demand Units'!$X$11:$AD$45"}</definedName>
    <definedName function="false" hidden="true" name="ois." vbProcedure="false">{#N/A,#N/A,FALSE,"A_D";#N/A,#N/A,FALSE,"WACC";#N/A,#N/A,FALSE,"DCF";#N/A,#N/A,FALSE,"A";#N/A,#N/A,FALSE,"LBO";#N/A,#N/A,FALSE,"C";#N/A,#N/A,FALSE,"impd";#N/A,#N/A,FALSE,"comps"}</definedName>
    <definedName function="false" hidden="true" name="oity" vbProcedure="false">{#N/A,"PURADD",FALSE,"Business Analysis";#N/A,"PURSPP",FALSE,"Business Analysis";#N/A,"CTGIND",FALSE,"Business Analysis";#N/A,"PURCHM",FALSE,"Business Analysis";#N/A,"SPADD",FALSE,"Business Analysis";#N/A,"EPOXY",FALSE,"Business Analysis";#N/A,"PURPER",FALSE,"Business Analysis"}</definedName>
    <definedName function="false" hidden="true" name="oiu" vbProcedure="false">{"AS REP",#N/A,FALSE,"EEFSNAP2";"PROP",#N/A,FALSE,"EEFSNAP2";"RISKS",#N/A,FALSE,"EEFSNAP2";"VIEW ALL",#N/A,FALSE,"EEFSNAP2"}</definedName>
    <definedName function="false" hidden="true" name="OIUOIU" vbProcedure="false">{"'Demand Units'!$X$11:$AD$45"}</definedName>
    <definedName function="false" hidden="true" name="oiuoiuoiu" vbProcedure="false">{#N/A,#N/A,FALSE,"Layout GuV"}</definedName>
    <definedName function="false" hidden="true" name="oiup" vbProcedure="false">{#N/A,"PURCHM",FALSE,"Business Analysis";#N/A,"SPADD",FALSE,"Business Analysis"}</definedName>
    <definedName function="false" hidden="true" name="OIUPOI" vbProcedure="false">{"'Demand Units'!$X$11:$AD$45"}</definedName>
    <definedName function="false" hidden="true" name="OIUUOI" vbProcedure="false">{"'Demand Units'!$X$11:$AD$45"}</definedName>
    <definedName function="false" hidden="true" name="oiuy" vbProcedure="false">{"Polymers Details",#N/A,FALSE,"Current Yr";"Polymer Details",#N/A,FALSE,"Budget";"Polymer Details",#N/A,FALSE,"Prior Year"}</definedName>
    <definedName function="false" hidden="true" name="OK" vbProcedure="false">{#N/A,#N/A,FALSE,"Staffnos &amp; cost"}</definedName>
    <definedName function="false" hidden="true" name="okay" vbProcedure="false">{#N/A,#N/A,FALSE,"Admin";#N/A,#N/A,FALSE,"Other"}</definedName>
    <definedName function="false" hidden="true" name="oklyy" vbProcedure="false">{"'Other IPS'!$A$5","'Other IPS'!$A$4:$K$38"}</definedName>
    <definedName function="false" hidden="true" name="oku"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ol" vbProcedure="false">{"vol data",#N/A,FALSE,"Datasheet";"vol graph",#N/A,FALSE,"Volume";"price data",#N/A,FALSE,"Datasheet";"price graph",#N/A,FALSE,"Price";"dp data",#N/A,FALSE,"Datasheet";"dp graph",#N/A,FALSE,"DirectProfit"}</definedName>
    <definedName function="false" hidden="true" name="old" vbProcedure="false">{#N/A,#N/A,TRUE,"PSG Total Contacts";#N/A,#N/A,TRUE,"PSG Rep Total";#N/A,#N/A,TRUE,"Core Rep Detail";#N/A,#N/A,TRUE,"BC Rep Detail";#N/A,#N/A,TRUE,"Marlboro";#N/A,#N/A,TRUE,"Covington";#N/A,#N/A,TRUE,"Dallas";#N/A,#N/A,TRUE,"VRS Stats";#N/A,#N/A,TRUE,"Internet";#N/A,#N/A,TRUE,"NCO and Call Mix";#N/A,#N/A,TRUE,"VRS &amp; Rep Calls"}</definedName>
    <definedName function="false" hidden="true" name="oldname"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name="OLKJ" vbProcedure="false">{"'Demand Units'!$X$11:$AD$45"}</definedName>
    <definedName function="false" hidden="true" name="olo" vbProcedure="false">{"Tages_D",#N/A,FALSE,"Tagesbericht";"Tages_PL",#N/A,FALSE,"Tagesbericht"}</definedName>
    <definedName function="false" hidden="true" name="Omega" vbProcedure="false">{"'Data'!$A$1:$D$17"}</definedName>
    <definedName function="false" hidden="true" name="on" vbProcedure="false">{"overview",#N/A,FALSE,"summary";"net assets",#N/A,FALSE,"summary";"asset turnover",#N/A,FALSE,"summary";"orona",#N/A,FALSE,"summary"}</definedName>
    <definedName function="false" hidden="true" name="onj" vbProcedure="false">{"Pa1",#N/A,FALSE,"OpExYTDvsPY";"Pa2",#N/A,FALSE,"OpExYTDvsPY"}</definedName>
    <definedName function="false" hidden="true" name="ONYX19970501222055" vbProcedure="false">#REF!</definedName>
    <definedName function="false" hidden="true" name="ONYX19970501222155" vbProcedure="false">#REF!</definedName>
    <definedName function="false" hidden="true" name="oo" vbProcedure="false">{#N/A,#N/A,TRUE,"Cover sheet";#N/A,#N/A,TRUE,"Summary";#N/A,#N/A,TRUE,"Key Assumptions";#N/A,#N/A,TRUE,"Profit &amp; Loss";#N/A,#N/A,TRUE,"Balance Sheet";#N/A,#N/A,TRUE,"Cashflow";#N/A,#N/A,TRUE,"IRR";#N/A,#N/A,TRUE,"Ratios";#N/A,#N/A,TRUE,"Debt analysis"}</definedName>
    <definedName function="false" hidden="true" name="oo.ll" vbProcedure="false">{#N/A,#N/A,FALSE,"Umsatz HM";#N/A,#N/A,FALSE,"ER HM";#N/A,#N/A,FALSE,"EA HM  (2)";#N/A,#N/A,FALSE,"EA HM ";#N/A,#N/A,FALSE,"EA HM  (4)";#N/A,#N/A,FALSE,"EA HM  (3)";#N/A,#N/A,FALSE,"KA HM  (2)";#N/A,#N/A,FALSE,"KA HM";#N/A,#N/A,FALSE,"KA HM  (3)";#N/A,#N/A,FALSE,"KA HM (4)"}</definedName>
    <definedName function="false" hidden="true" name="ooi" vbProcedure="false">{#N/A,#N/A,FALSE,"5yr.hist."}</definedName>
    <definedName function="false" hidden="true" name="ool" vbProcedure="false">{"Page1",#N/A,FALSE,"CompCo";"Page2",#N/A,FALSE,"CompCo"}</definedName>
    <definedName function="false" hidden="true" name="oolo.lll" vbProcedure="false">{#N/A,#N/A,FALSE,"Umsatz 99";#N/A,#N/A,FALSE,"ER 99 "}</definedName>
    <definedName function="false" hidden="true" name="ooo" vbProcedure="false">{"Bilanz grob",#N/A,TRUE,"Planbilanz";"Erfolgsrechnung grob",#N/A,TRUE,"Plan-ER";#N/A,#N/A,TRUE,"Geldfluss";"Bilanz fein",#N/A,TRUE,"Planbilanz";"Erfolgsrechnung fein",#N/A,TRUE,"Plan-ER";#N/A,#N/A,TRUE,"Absatzplan";#N/A,#N/A,TRUE,"Einkaufsplan";#N/A,#N/A,TRUE,"Investitionsplan";#N/A,#N/A,TRUE,"KK Aktionäre"}</definedName>
    <definedName function="false" hidden="true" name="oooo" vbProcedure="false">{#N/A,#N/A,TRUE,"Cover sheet";#N/A,#N/A,TRUE,"Summary";#N/A,#N/A,TRUE,"Key Assumptions";#N/A,#N/A,TRUE,"Profit &amp; Loss";#N/A,#N/A,TRUE,"Balance Sheet";#N/A,#N/A,TRUE,"Cashflow";#N/A,#N/A,TRUE,"IRR";#N/A,#N/A,TRUE,"Ratios";#N/A,#N/A,TRUE,"Debt analysis"}</definedName>
    <definedName function="false" hidden="true" name="ooooo" vbProcedure="false">{#N/A,#N/A,FALSE,"Calc";#N/A,#N/A,FALSE,"Sensitivity";#N/A,#N/A,FALSE,"LT Earn.Dil.";#N/A,#N/A,FALSE,"Dil. AVP"}</definedName>
    <definedName function="false" hidden="true" name="OOOOOO" vbProcedure="false">{"'Data'!$A$1:$D$17"}</definedName>
    <definedName function="false" hidden="true" name="oooooooo" vbProcedure="false">{#N/A,#N/A,FALSE,"Umsatz 99";#N/A,#N/A,FALSE,"ER 99 "}</definedName>
    <definedName function="false" hidden="true" name="oooooooooo" vbProcedure="false">#REF!</definedName>
    <definedName function="false" hidden="true" name="oooooooooooo" vbProcedure="false">{#N/A,#N/A,TRUE,"Cover sheet";#N/A,#N/A,TRUE,"Summary";#N/A,#N/A,TRUE,"Key Assumptions";#N/A,#N/A,TRUE,"Profit &amp; Loss";#N/A,#N/A,TRUE,"Balance Sheet";#N/A,#N/A,TRUE,"Cashflow";#N/A,#N/A,TRUE,"IRR";#N/A,#N/A,TRUE,"Ratios";#N/A,#N/A,TRUE,"Debt analysis"}</definedName>
    <definedName function="false" hidden="true" name="ooujg" vbProcedure="false">{"scrap",#N/A,FALSE,"scrap"}</definedName>
    <definedName function="false" hidden="true" name="OO_Book_Settings_AllowResize" vbProcedure="false">"False"</definedName>
    <definedName function="false" hidden="true" name="OO_Book_Settings_BGColor" vbProcedure="false">"FFFFFF"</definedName>
    <definedName function="false" hidden="true" name="OO_Book_Settings_CellBGColor" vbProcedure="false">"33CCCC"</definedName>
    <definedName function="false" hidden="true" name="OO_Book_Settings_Destination" vbProcedure="false">"\\tm1dev\TM1\TM1Web\Applications\SCO\Manufacturing\Websheets\Manufacturing slice Aug 4.xml"</definedName>
    <definedName function="false" hidden="true" name="OO_Book_Settings_Footer" vbProcedure="false">""</definedName>
    <definedName function="false" hidden="true" name="OO_Book_Settings_Header" vbProcedure="false">""</definedName>
    <definedName function="false" hidden="true" name="OO_Book_Settings_HorizontalCenter" vbProcedure="false">"True"</definedName>
    <definedName function="false" hidden="true" name="OO_Book_Settings_IgnoreNoPublishWarning" vbProcedure="false">"False"</definedName>
    <definedName function="false" hidden="true" name="OO_Book_Settings_Menu" vbProcedure="false">""</definedName>
    <definedName function="false" hidden="true" name="OO_Book_Settings_MenuType" vbProcedure="false">"XML"</definedName>
    <definedName function="false" hidden="true" name="OO_Book_Settings_RecalOnDropDownChange" vbProcedure="false">"True"</definedName>
    <definedName function="false" hidden="true" name="OO_Book_Settings_RecalOnInputCellChange" vbProcedure="false">"False"</definedName>
    <definedName function="false" hidden="true" name="OO_Book_Settings_SynchDestination" vbProcedure="false">"1"</definedName>
    <definedName function="false" hidden="true" name="OO_Book_Settings_TBExport" vbProcedure="false">"True"</definedName>
    <definedName function="false" hidden="true" name="OO_Book_Settings_TBPaste" vbProcedure="false">"True"</definedName>
    <definedName function="false" hidden="true" name="OO_Book_Settings_TBUpdate" vbProcedure="false">"True"</definedName>
    <definedName function="false" hidden="true" name="OO_Book_Settings_TBWorksheets" vbProcedure="false">"False"</definedName>
    <definedName function="false" hidden="true" name="OO_Book_Settings_TBZoomIn" vbProcedure="false">"True"</definedName>
    <definedName function="false" hidden="true" name="OO_Book_Settings_TBZoomOut" vbProcedure="false">"True"</definedName>
    <definedName function="false" hidden="true" name="OO_Book_Settings_Toolbar" vbProcedure="false">"False"</definedName>
    <definedName function="false" hidden="true" name="OO_Book_Settings_UpdateButton" vbProcedure="false">""</definedName>
    <definedName function="false" hidden="true" name="OO_Book_Settings_UseNamedRanges" vbProcedure="false">"True"</definedName>
    <definedName function="false" hidden="true" name="OO_Book_Settings_UseWorkbookSettings" vbProcedure="false">"False"</definedName>
    <definedName function="false" hidden="true" name="OO_Book_Settings_WorksheetTabs" vbProcedure="false">"False"</definedName>
    <definedName function="false" hidden="true" name="OO_Book_Settings_XCDestination" vbProcedure="false">"Z:\TM1Web\Applications\SCO\Manufacturing\Worksheets\Manufacturing slice July 19a_xCelsius.xls"</definedName>
    <definedName function="false" hidden="true" name="OPENPRICE" vbProcedure="false">"OPENPRICE"</definedName>
    <definedName function="false" hidden="true" name="OPER_INC" vbProcedure="false">"OPER_INC"</definedName>
    <definedName function="false" hidden="true" name="opi" vbProcedure="false">{"bhv1",#N/A,FALSE,"A";"bhv2",#N/A,FALSE,"A";"bhv4",#N/A,FALSE,"A";"bhv3",#N/A,FALSE,"A"}</definedName>
    <definedName function="false" hidden="true" name="opiu" vbProcedure="false">{"Comp_of_Price_Effect",#N/A,FALSE,"QTRDPVAR"}</definedName>
    <definedName function="false" hidden="true" name="oplk" vbProcedure="false">{"Page1",#N/A,FALSE,"OpExJanvsBud";"Page2",#N/A,FALSE,"OpExJanvsBud"}</definedName>
    <definedName function="false" hidden="true" name="opndixm" vbProcedure="false">{"detail",#N/A,FALSE,"mfg";"summary",#N/A,FALSE,"mfg"}</definedName>
    <definedName function="false" hidden="true" name="opp" vbProcedure="false">{#N/A,#N/A,FALSE,"P1";#N/A,#N/A,FALSE,"P2";#N/A,#N/A,FALSE,"P4";#N/A,#N/A,FALSE,"P5";#N/A,#N/A,FALSE,"P6";#N/A,#N/A,FALSE,"P7";#N/A,#N/A,FALSE,"P8";#N/A,#N/A,FALSE,"P9";#N/A,#N/A,FALSE,"P10"}</definedName>
    <definedName function="false" hidden="true" name="oppp" vbProcedure="false">{"indirect labor",#N/A,FALSE,"labor"}</definedName>
    <definedName function="false" hidden="true" name="opü" vbProcedure="false">{#N/A,#N/A,FALSE,"Layout GuV"}</definedName>
    <definedName function="false" hidden="true" name="Order1" vbProcedure="false">0</definedName>
    <definedName function="false" hidden="true" name="Order2" vbProcedure="false">1</definedName>
    <definedName function="false" hidden="true" name="OrderTable" vbProcedure="false">#REF!</definedName>
    <definedName function="false" hidden="true" name="Order__1" vbProcedure="false">0</definedName>
    <definedName function="false" hidden="true" name="Original" vbProcedure="false">{#N/A,#N/A,FALSE,"Performance Flash Report"}</definedName>
    <definedName function="false" hidden="true" name="os" vbProcedure="false">{#N/A,#N/A,FALSE,"Cover";#N/A,#N/A,FALSE,"Contents-Pg1";#N/A,#N/A,FALSE,"High-Com-pg2";#N/A,#N/A,FALSE,"1 Full";#N/A,#N/A,FALSE,"1chts";#N/A,#N/A,FALSE,"Table 2";#N/A,#N/A,FALSE,"3New Iss";#N/A,#N/A,FALSE,"4Money raised";#N/A,#N/A,FALSE,"5Aim";#N/A,#N/A,FALSE,"AiM charts";#N/A,#N/A,FALSE,"6FT Smll";#N/A,#N/A,FALSE,"11SEATS";#N/A,#N/A,FALSE,"12Notes"}</definedName>
    <definedName function="false" hidden="true" name="os56rt" vbProcedure="false">{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function="false" hidden="true" name="OTCS" vbProcedure="false">{"'Data'!$A$1:$D$17"}</definedName>
    <definedName function="false" hidden="true" name="other33" vbProcedure="false">{#N/A,#N/A,FALSE,"Pharm";#N/A,#N/A,FALSE,"WWCM"}</definedName>
    <definedName function="false" hidden="true" name="othermar" vbProcedure="false">{#N/A,#N/A,FALSE,"Pharm";#N/A,#N/A,FALSE,"WWCM"}</definedName>
    <definedName function="false" hidden="true" name="OTHER_ASSETS" vbProcedure="false">"OTHER_ASSETS"</definedName>
    <definedName function="false" hidden="true" name="OTHER_CURRENT_ASSETS" vbProcedure="false">"OTHER_CURRENT_ASSETS"</definedName>
    <definedName function="false" hidden="true" name="OTHER_CURRENT_LIAB" vbProcedure="false">"OTHER_CURRENT_LIAB"</definedName>
    <definedName function="false" hidden="true" name="OTHER_EARNING" vbProcedure="false">"OTHER_EARNING"</definedName>
    <definedName function="false" hidden="true" name="OTHER_EQUITY" vbProcedure="false">"OTHER_EQUITY"</definedName>
    <definedName function="false" hidden="true" name="OTHER_INVESTING" vbProcedure="false">"OTHER_INVESTING"</definedName>
    <definedName function="false" hidden="true" name="OTHER_LIAB" vbProcedure="false">"OTHER_LIAB"</definedName>
    <definedName function="false" hidden="true" name="OTHER_LONG_TERM" vbProcedure="false">"OTHER_LONG_TERM"</definedName>
    <definedName function="false" hidden="true" name="OTHER_NET" vbProcedure="false">"OTHER_NET"</definedName>
    <definedName function="false" hidden="true" name="OTHER_OPER" vbProcedure="false">"OTHER_OPER"</definedName>
    <definedName function="false" hidden="true" name="OTHER_RECEIV" vbProcedure="false">"OTHER_RECEIV"</definedName>
    <definedName function="false" hidden="true" name="OTHER_REVENUE" vbProcedure="false">"OTHER_REVENUE"</definedName>
    <definedName function="false" hidden="true" name="otto" vbProcedure="false">{"SCM_Detail",#N/A,FALSE,"SCM";"SCM_Top",#N/A,FALSE,"SCM"}</definedName>
    <definedName function="false" hidden="true" name="ou" vbProcedure="false">{#N/A,#N/A,FALSE,"invpln"}</definedName>
    <definedName function="false" hidden="true" name="out" vbProcedure="false">{"direct labor",#N/A,FALSE,"labor";"direct labor1",#N/A,FALSE,"labor"}</definedName>
    <definedName function="false" hidden="true" name="outlookjune" vbProcedure="false">{#N/A,#N/A,TRUE,"Cover";#N/A,#N/A,TRUE,"Input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function="false" hidden="true" name="outro" vbProcedure="false">{"'comite'!$A$9:$G$44","'comite'!$A$1:$G$6"}</definedName>
    <definedName function="false" hidden="true" name="Outstanding" vbProcedure="false">#REF!</definedName>
    <definedName function="false" hidden="true" name="owmkib" vbProcedure="false">{"detail",#N/A,FALSE,"mfg";"summary",#N/A,FALSE,"mfg"}</definedName>
    <definedName function="false" hidden="true" name="Ownership" vbProcedure="false">OFFSET(#REF!,1,0)</definedName>
    <definedName function="false" hidden="true" name="oyi" vbProcedure="false">{#N/A,#N/A,TRUE,"Historicals";#N/A,#N/A,TRUE,"Charts";#N/A,#N/A,TRUE,"Forecasts"}</definedName>
    <definedName function="false" hidden="true" name="oyuo" vbProcedure="false">{#N/A,#N/A,TRUE,"Staffnos &amp; cost"}</definedName>
    <definedName function="false" hidden="true" name="p" vbProcedure="false">{#N/A,#N/A,TRUE,"Model"}</definedName>
    <definedName function="false" hidden="true" name="p.Covenants" vbProcedure="false">#REF!</definedName>
    <definedName function="false" hidden="true" name="p.Covenants_Titles" vbProcedure="false">#REF!</definedName>
    <definedName function="false" hidden="true" name="p.CreditStats" vbProcedure="false">#REF!</definedName>
    <definedName function="false" hidden="true" name="p.LTM_BS" vbProcedure="false">#REF!</definedName>
    <definedName function="false" hidden="true" name="p.LTM_IS" vbProcedure="false">#REF!</definedName>
    <definedName function="false" hidden="true" name="p.Summary" vbProcedure="false">#REF!</definedName>
    <definedName function="false" hidden="true" name="p.Summary_Titles" vbProcedure="false">#REF!</definedName>
    <definedName function="false" hidden="true" name="p09i" vbProcedure="false">{#N/A,"PURADD",FALSE,"Business Analysis";#N/A,"PURSPP",FALSE,"Business Analysis";#N/A,"CTGIND",FALSE,"Business Analysis";#N/A,"PURCHM",FALSE,"Business Analysis";#N/A,"SPADD",FALSE,"Business Analysis";#N/A,"EPOXY",FALSE,"Business Analysis";#N/A,"PURPER",FALSE,"Business Analysis"}</definedName>
    <definedName function="false" hidden="true" name="p0io" vbProcedure="false">{#N/A,"PURCHM",FALSE,"Business Analysis";#N/A,"SPADD",FALSE,"Business Analysis"}</definedName>
    <definedName function="false" hidden="true" name="P6改" vbProcedure="false">{"SUM ALL YR",#N/A,FALSE,"SUM ALL YR";"sum01",#N/A,FALSE,"SUM 01";"sumM2",#N/A,FALSE,"SUM M2";"sum02",#N/A,FALSE,"SUM 02";"sum03",#N/A,FALSE,"SUM 03";"sum04",#N/A,FALSE,"SUM 04";"sum05",#N/A,FALSE,"SUM 05"}</definedName>
    <definedName function="false" hidden="true" name="pablo" vbProcedure="false">{#N/A,#N/A,FALSE,"Indcost";#N/A,#N/A,FALSE,"Plcost";#N/A,#N/A,FALSE,"Mincost";#N/A,#N/A,FALSE,"Produc";#N/A,#N/A,FALSE,"Rev";#N/A,#N/A,FALSE,"Capital";#N/A,#N/A,FALSE,"Wcapital";#N/A,#N/A,FALSE,"Contdep";#N/A,#N/A,FALSE,"Taxdep";#N/A,#N/A,FALSE,"Tax";#N/A,#N/A,FALSE,"S-SDebt";#N/A,#N/A,FALSE,"TotDebt";#N/A,#N/A,FALSE,"Profit";#N/A,#N/A,FALSE,"CFlow";#N/A,#N/A,FALSE,"1996-2012";#N/A,#N/A,FALSE,"Bcesheet"}</definedName>
    <definedName function="false" hidden="true" name="pac" vbProcedure="false">{TRUE,TRUE,-1.25,-15.5,456.75,279.75,FALSE,FALSE,TRUE,TRUE,0,1,18,1,199,6,3,4,TRUE,TRUE,3,TRUE,1,TRUE,100,"Swvu.cash.","ACwvu.cash.",1,FALSE,FALSE,0.511811023622047,0.511811023622047,0.511811023622047,0.511811023622047,1,"","",FALSE,FALSE,FALSE,FALSE,1,#N/A,1,1,#DIV/0!,FALSE,"Rwvu.cash.",#N/A,FALSE,FALSE}</definedName>
    <definedName function="false" hidden="true" name="PACKAGE3" vbProcedure="false">{#N/A,#N/A,FALSE,"단축1";#N/A,#N/A,FALSE,"단축2";#N/A,#N/A,FALSE,"단축3";#N/A,#N/A,FALSE,"장축";#N/A,#N/A,FALSE,"4WD"}</definedName>
    <definedName function="false" hidden="true" name="PADWN" vbProcedure="false">#N/A</definedName>
    <definedName function="false" hidden="true" name="PAGE4" vbProcedure="false">{#N/A,#N/A,FALSE,"단축1";#N/A,#N/A,FALSE,"단축2";#N/A,#N/A,FALSE,"단축3";#N/A,#N/A,FALSE,"장축";#N/A,#N/A,FALSE,"4WD"}</definedName>
    <definedName function="false" hidden="true" name="pal" vbProcedure="false">{#N/A,#N/A,TRUE,"RESULTATRÄKNING";#N/A,#N/A,TRUE,"BALANSRÄKNING";#N/A,#N/A,TRUE,"BALANSRÄKNING2";#N/A,#N/A,TRUE,"Bilaga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function="false" hidden="true" name="Pal_Workbook_GUID" vbProcedure="false">"ZZU87UBNNTHPS8J3VXQSJ2Y9"</definedName>
    <definedName function="false" hidden="true" name="papam" vbProcedure="false">{#N/A,#N/A,FALSE,"Report-Generator";#N/A,#N/A,FALSE,"S.1 Zusammenfassung";#N/A,#N/A,FALSE,"S.2 Modellrendite";#N/A,#N/A,FALSE,"S.3a Absatzvolumen";#N/A,#N/A,FALSE,"S.3b Absatzvolumen";#N/A,#N/A,FALSE,"S.3c Absatzvolumen";#N/A,#N/A,FALSE,"S.4 Volumen, Mix";#N/A,#N/A,FALSE,"S.5 Produktaufwand";#N/A,#N/A,FALSE,"S.6 Prop. Herstellkosten";#N/A,#N/A,FALSE,"S.7 DB-Vergleich";#N/A,#N/A,FALSE,"S.8 DB-Vergleich";#N/A,#N/A,FALSE,"S.9 DB-Vergleich";#N/A,#N/A,FALSE,"S.10 MR-Berechnung"}</definedName>
    <definedName function="false" hidden="true" name="Parcel2" vbProcedure="false">{"First Page",#N/A,FALSE,"Surfactants LBO";"Second Page",#N/A,FALSE,"Surfactants LBO"}</definedName>
    <definedName function="false" hidden="true" name="PARVEEN" vbProcedure="false">{#N/A,#N/A,TRUE,"Staffnos &amp; cost"}</definedName>
    <definedName function="false" hidden="true" name="payable" vbProcedure="false">{#N/A,#N/A,TRUE,"4-Way Financial Comparison";#N/A,#N/A,TRUE,"Operations Statement";#N/A,#N/A,TRUE,"GAAP Statement";#N/A,#N/A,TRUE,"Balance Sheet";#N/A,#N/A,TRUE,"Cash Flow";#N/A,#N/A,TRUE,"Adjustments";#N/A,#N/A,TRUE,"Non-Op Schedule";#N/A,#N/A,TRUE,"Debt Schedule";#N/A,#N/A,TRUE,"Outsiders Share";#N/A,#N/A,TRUE,"Capital Exp.";#N/A,#N/A,TRUE,"Invest Affiliates";#N/A,#N/A,TRUE,"COC";#N/A,#N/A,TRUE,"Def Chrgs, et al";#N/A,#N/A,TRUE,"Taxes";#N/A,#N/A,TRUE,"IC - Interest Income"}</definedName>
    <definedName function="false" hidden="true" name="PAYABLES" vbProcedure="false">{#N/A,#N/A,TRUE,"4-Way Financial Comparison";#N/A,#N/A,TRUE,"Operations Statement";#N/A,#N/A,TRUE,"GAAP Statement";#N/A,#N/A,TRUE,"Balance Sheet";#N/A,#N/A,TRUE,"Cash Flow";#N/A,#N/A,TRUE,"Adjustments";#N/A,#N/A,TRUE,"Non-Op Schedule";#N/A,#N/A,TRUE,"Debt Schedule";#N/A,#N/A,TRUE,"Outsiders Share";#N/A,#N/A,TRUE,"Capital Exp.";#N/A,#N/A,TRUE,"Invest Affiliates";#N/A,#N/A,TRUE,"COC";#N/A,#N/A,TRUE,"Def Chrgs, et al";#N/A,#N/A,TRUE,"Taxes";#N/A,#N/A,TRUE,"IC - Interest Income"}</definedName>
    <definedName function="false" hidden="true" name="PAY_ACCRUED" vbProcedure="false">"PAY_ACCRUED"</definedName>
    <definedName function="false" hidden="true" name="pb" vbProcedure="false">{"net assets",#N/A,FALSE,"summary";"asset turnover",#N/A,FALSE,"summary";"orona",#N/A,FALSE,"summary"}</definedName>
    <definedName function="false" hidden="true" name="PCap" vbProcedure="false">#REF!</definedName>
    <definedName function="false" hidden="true" name="pcs" vbProcedure="false">{#N/A,#N/A,FALSE,"PCS"}</definedName>
    <definedName function="false" hidden="true" name="pd" vbProcedure="false">{"detail",#N/A,FALSE,"mfg";"summary",#N/A,FALSE,"mfg"}</definedName>
    <definedName function="false" hidden="true" name="peace" vbProcedure="false">0</definedName>
    <definedName function="false" hidden="true" name="Pecos" vbProcedure="false">{"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function="false" hidden="true" name="pecosx" vbProcedure="false">{"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function="false" hidden="true" name="PeerTickers" vbProcedure="false">#REF!</definedName>
    <definedName function="false" hidden="true" name="pepe" vbProcedure="false">{#N/A,#N/A,FALSE,"Pharm";#N/A,#N/A,FALSE,"WWCM"}</definedName>
    <definedName function="false" hidden="true" name="PEPE4" vbProcedure="false">{#N/A,#N/A,FALSE,"Pharm";#N/A,#N/A,FALSE,"WWCM"}</definedName>
    <definedName function="false" hidden="true" name="PEPE5" vbProcedure="false">{#N/A,#N/A,FALSE,"Pharm";#N/A,#N/A,FALSE,"WWCM"}</definedName>
    <definedName function="false" hidden="true" name="perbolag" vbProcedure="false">{#N/A,#N/A,FALSE,"intag";#N/A,#N/A,FALSE,"budg";#N/A,#N/A,FALSE,"samtl"}</definedName>
    <definedName function="false" hidden="true" name="Perf" vbProcedure="false">{"GTI monthly IS",#N/A,FALSE,"gti";#N/A,#N/A,FALSE,"gti"}</definedName>
    <definedName function="false" hidden="true" name="perflog__pT__10__PivotTable2" vbProcedure="false">"20.04.2020 13:03:00#20.04.2020 13:03:00#0"</definedName>
    <definedName function="false" hidden="true" name="perflog__pT__11__PivotTable2" vbProcedure="false">"20.04.2020 13:03:00#20.04.2020 13:03:00#0"</definedName>
    <definedName function="false" hidden="true" name="perflog__pT__12__PivotTable2" vbProcedure="false">"20.04.2020 13:03:00#20.04.2020 13:03:00#0"</definedName>
    <definedName function="false" hidden="true" name="perflog__pT__13__PivotTable2" vbProcedure="false">"20.04.2020 13:03:00#20.04.2020 13:03:01#1"</definedName>
    <definedName function="false" hidden="true" name="perflog__pT__4__PivotTable8" vbProcedure="false">"07.09.2020 14:22:07#07.09.2020 14:22:08#1"</definedName>
    <definedName function="false" hidden="true" name="perflog__pT__4__PivotTable9" vbProcedure="false">"07.09.2020 14:22:08#07.09.2020 14:22:10#2"</definedName>
    <definedName function="false" hidden="true" name="perflog__pT__5__PivotTable1" vbProcedure="false">"20.04.2020 13:02:33#20.04.2020 13:02:38#5"</definedName>
    <definedName function="false" hidden="true" name="perflog__pT__5__PivotTable8" vbProcedure="false">"07.09.2020 14:22:11#07.09.2020 14:22:12#1"</definedName>
    <definedName function="false" hidden="true" name="perflog__pT__6__PivotTable1" vbProcedure="false">"20.04.2020 13:02:38#20.04.2020 13:02:42#4"</definedName>
    <definedName function="false" hidden="true" name="perflog__pT__6__PivotTable8" vbProcedure="false">"07.09.2020 14:22:12#07.09.2020 14:22:13#1"</definedName>
    <definedName function="false" hidden="true" name="perflog__pT__7__PivotTable1" vbProcedure="false">"20.04.2020 13:02:42#20.04.2020 13:02:47#5"</definedName>
    <definedName function="false" hidden="true" name="perflog__pT__7__PivotTable8" vbProcedure="false">"07.09.2020 14:22:13#07.09.2020 14:22:13#0"</definedName>
    <definedName function="false" hidden="true" name="perflog__pT__8__PivotTable1" vbProcedure="false">"20.04.2020 13:02:51#20.04.2020 13:02:56#5"</definedName>
    <definedName function="false" hidden="true" name="perflog__pT__8__PivotTable2" vbProcedure="false">"20.04.2020 13:02:47#20.04.2020 13:02:51#4"</definedName>
    <definedName function="false" hidden="true" name="perflog__pT__8__PivotTable8" vbProcedure="false">"07.09.2020 14:22:13#07.09.2020 14:22:14#1"</definedName>
    <definedName function="false" hidden="true" name="perflog__pT__8__PivotTable9" vbProcedure="false">"07.09.2020 14:22:14#07.09.2020 14:22:16#2"</definedName>
    <definedName function="false" hidden="true" name="perflog__pT__9__PivotTable1" vbProcedure="false">"20.04.2020 13:02:56#20.04.2020 13:03:00#4"</definedName>
    <definedName function="false" hidden="true" name="PERIODDATE" vbProcedure="false">"PERIODDATE"</definedName>
    <definedName function="false" hidden="true" name="perra" vbProcedure="false">{#N/A,#N/A,FALSE,"Indcost";#N/A,#N/A,FALSE,"Plcost";#N/A,#N/A,FALSE,"Mincost";#N/A,#N/A,FALSE,"Produc";#N/A,#N/A,FALSE,"Rev";#N/A,#N/A,FALSE,"Capital";#N/A,#N/A,FALSE,"Wcapital";#N/A,#N/A,FALSE,"Contdep";#N/A,#N/A,FALSE,"Taxdep";#N/A,#N/A,FALSE,"Tax";#N/A,#N/A,FALSE,"S-SDebt";#N/A,#N/A,FALSE,"TotDebt";#N/A,#N/A,FALSE,"Profit";#N/A,#N/A,FALSE,"CFlow";#N/A,#N/A,FALSE,"1996-2012";#N/A,#N/A,FALSE,"Bcesheet"}</definedName>
    <definedName function="false" hidden="true" name="Perscd" vbProcedure="false">{"budget95",#N/A,TRUE,"Tabelle1";"Tab1",#N/A,TRUE,"Tabelle2"}</definedName>
    <definedName function="false" hidden="true" name="pershold" vbProcedure="false">{"budget95",#N/A,TRUE,"Tabelle1";"Tab1",#N/A,TRUE,"Tabelle2"}</definedName>
    <definedName function="false" hidden="true" name="Personalkst" vbProcedure="false">{"TAG1AGMS",#N/A,FALSE,"TAG 1A"}</definedName>
    <definedName function="false" hidden="true" name="Personell" vbProcedure="false">{#N/A,#N/A,FALSE,"A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function="false" hidden="true" name="persSP" vbProcedure="false">{"budget95",#N/A,TRUE,"Tabelle1";"Tab1",#N/A,TRUE,"Tabelle2"}</definedName>
    <definedName function="false" hidden="true" name="PETRP" vbProcedure="false">{"'Supply Chain'!$B$1:$AB$13"}</definedName>
    <definedName function="false" hidden="true" name="PETSia04" vbProcedure="false">{"'Supply Chain'!$B$1:$AB$13"}</definedName>
    <definedName function="false" hidden="true" name="Pfan" vbProcedure="false">{"'Munka1'!$B$1:$G$101"}</definedName>
    <definedName function="false" hidden="true" name="pfmea" vbProcedure="false">#REF!</definedName>
    <definedName function="false" hidden="true" name="pg" vbProcedure="false">{"summary",#N/A,FALSE,"summary";"sales growth",#N/A,FALSE,"summary";"oper income",#N/A,FALSE,"summary";"oros rank",#N/A,FALSE,"summary";"net assets",#N/A,FALSE,"summary";"asset turnover",#N/A,FALSE,"summary";"orona",#N/A,FALSE,"summary";"total return",#N/A,FALSE,"summary";"overview",#N/A,FALSE,"summary"}</definedName>
    <definedName function="false" hidden="true" name="pharma" vbProcedure="false">{#N/A,#N/A,FALSE,"Sales Graph";#N/A,#N/A,FALSE,"PSBM";#N/A,#N/A,FALSE,"BUC Graph";#N/A,#N/A,FALSE,"P&amp;L - YTD"}</definedName>
    <definedName function="false" hidden="true" name="pi" vbProcedure="false">{"oct_res_comm",#N/A,FALSE,"VarToBud"}</definedName>
    <definedName function="false" hidden="true" name="PIG" vbProcedure="false">{#N/A,#N/A,FALSE,"Key No's by Month - Disc";#N/A,#N/A,FALSE,"Key No's - YTD";#N/A,#N/A,FALSE,"Key No's by Qua";#N/A,#N/A,FALSE,"BR W.Fall";#N/A,#N/A,FALSE,"CR W.Fall";#N/A,#N/A,FALSE,"PBT W.Fall";#N/A,#N/A,FALSE,"Costs W.Fall";#N/A,#N/A,FALSE,"Master";#N/A,#N/A,FALSE,"cr,br,pbt,costs";#N/A,#N/A,FALSE,"Cost Analysis - DC";#N/A,#N/A,FALSE,"Cost Analysis - DT";#N/A,#N/A,FALSE,"Cost Analysis - POS";#N/A,#N/A,FALSE,"Cost Analysis - Po4";#N/A,#N/A,FALSE,"Cost Analysis - SL";#N/A,#N/A,FALSE,"Cost Analysis - ET";#N/A,#N/A,FALSE,"Cost Analysis - HQ";#N/A,#N/A,FALSE,"Cost Analysis - Elim";#N/A,#N/A,FALSE,"Cost Analysis - Cont";#N/A,#N/A,FALSE,"Cost Analysis - Top";#N/A,#N/A,FALSE,"Manexec Report";#N/A,#N/A,FALSE,"Bal Sheet"}</definedName>
    <definedName function="false" hidden="true" name="pilk" vbProcedure="false">{"YD LPH2",#N/A,FALSE,"YTD"}</definedName>
    <definedName function="false" hidden="true" name="Pitchbook" vbProcedure="false">{#N/A,#N/A,TRUE,"Sheet16"}</definedName>
    <definedName function="false" hidden="true" name="PJ" vbProcedure="false">{#N/A,#N/A,FALSE,"초도품";#N/A,#N/A,FALSE,"초도품 (2)";#N/A,#N/A,FALSE,"초도품 (3)";#N/A,#N/A,FALSE,"초도품 (4)";#N/A,#N/A,FALSE,"초도품 (5)";#N/A,#N/A,FALSE,"초도품 (6)"}</definedName>
    <definedName function="false" hidden="true" name="PJAM3Yr" vbProcedure="false">{"INCOME",#N/A,FALSE,"ProNet";"VALUE",#N/A,FALSE,"ProNet"}</definedName>
    <definedName function="false" hidden="true" name="pk" vbProcedure="false">{"vol data",#N/A,FALSE,"Datasheet";"vol graph",#N/A,FALSE,"Volume";"price data",#N/A,FALSE,"Datasheet";"price graph",#N/A,FALSE,"Price";"dp data",#N/A,FALSE,"Datasheet";"dp graph",#N/A,FALSE,"DirectProfit"}</definedName>
    <definedName function="false" hidden="true" name="pkg.gom" vbProcedure="false">{"2000PPE",#N/A,FALSE,"PPE 2000";"2000DD",#N/A,FALSE,"DrydocksOther"}</definedName>
    <definedName function="false" hidden="true" name="pkist" vbProcedure="false">{"budget95",#N/A,TRUE,"Tabelle1";"Tab1",#N/A,TRUE,"Tabelle2"}</definedName>
    <definedName function="false" hidden="true" name="pl" vbProcedure="false">{#N/A,#N/A,FALSE,"P&amp;L";#N/A,#N/A,FALSE,"Capital";#N/A,#N/A,FALSE,"Summary";#N/A,#N/A,FALSE,"VAR Rec";#N/A,#N/A,FALSE,"EBIT Rec"}</definedName>
    <definedName function="false" hidden="true" name="PL1a" vbProcedure="false">{#N/A,#N/A,FALSE,"Umsatz 99";#N/A,#N/A,FALSE,"ER 99 "}</definedName>
    <definedName function="false" hidden="true" name="PL5YRP" vbProcedure="false">{"ebitda",#N/A,FALSE,"EBITDA";"consolidated",#N/A,FALSE,"CCC PL";"divisions",#N/A,FALSE,"Divisions"}</definedName>
    <definedName function="false" hidden="true" name="pla" vbProcedure="false">{"budget95",#N/A,TRUE,"Tabelle1";"Tab1",#N/A,TRUE,"Tabelle2"}</definedName>
    <definedName function="false" hidden="true" name="placeholder" vbProcedure="false">{#N/A,#N/A,FALSE,"Performance Flash Report"}</definedName>
    <definedName function="false" hidden="true" name="planassumptions" vbProcedure="false">{"budget95",#N/A,TRUE,"Tabelle1";"Tab1",#N/A,TRUE,"Tabelle2"}</definedName>
    <definedName function="false" hidden="true" name="Planning_for_Q4" vbProcedure="false">{"'Expense Details'!$A$1:$AM$222"}</definedName>
    <definedName function="false" hidden="true" name="PlanVLE" vbProcedure="false">{#N/A,#N/A,FALSE,"SUMMARY";#N/A,#N/A,FALSE,"mcsh";#N/A,#N/A,FALSE,"vol&amp;rev";#N/A,#N/A,FALSE,"wkgcap";#N/A,#N/A,FALSE,"DEPR&amp;DT";#N/A,#N/A,FALSE,"ASSETS";#N/A,#N/A,FALSE,"NI&amp;OTH&amp;DIV";#N/A,#N/A,FALSE,"CASHFLOW";#N/A,#N/A,FALSE,"CAPEMPL";#N/A,#N/A,FALSE,"ROCE"}</definedName>
    <definedName function="false" hidden="true" name="Plan_info_FooterType" vbProcedure="false">"INTERNAL"</definedName>
    <definedName function="false" hidden="true" name="PLAssump" vbProcedure="false">{"'SIVA Pricing Model'!$A$1:$F$39"}</definedName>
    <definedName function="false" hidden="true" name="PLAssump2" vbProcedure="false">{"'SIVA Pricing Model'!$A$1:$F$39"}</definedName>
    <definedName function="false" hidden="true" name="PLAssump3" vbProcedure="false">{"'SIVA Pricing Model'!$A$1:$F$39"}</definedName>
    <definedName function="false" hidden="true" name="plassumpw" vbProcedure="false">{"'SIVA Pricing Model'!$A$1:$F$39"}</definedName>
    <definedName function="false" hidden="true" name="Plastics" vbProcedure="false">{"Curr Month",#N/A,FALSE,"Months";"All Months",#N/A,FALSE,"Months";"YTD",#N/A,FALSE,"Months";"01 Months",#N/A,FALSE,"01";"03 Months",#N/A,FALSE,"Months";"05 Months",#N/A,FALSE,"Months";"06 Months",#N/A,FALSE,"Months";"08 Months",#N/A,FALSE,"Months";"09 Months",#N/A,FALSE,"Months";"10 Months",#N/A,FALSE,"Months";"11 Months",#N/A,FALSE,"Months";"12 Months",#N/A,FALSE,"Months";"13 Months",#N/A,FALSE,"Months";"14 Months",#N/A,FALSE,"Months";"15 Months",#N/A,FALSE,"Months";"23 Months",#N/A,FALSE,"Months";"24 Months",#N/A,FALSE,"Months";"25 Months",#N/A,FALSE,"Months";"43 Months",#N/A,FALSE,"Months";"45 Months",#N/A,FALSE,"Months";"50 Months",#N/A,FALSE,"Months"}</definedName>
    <definedName function="false" hidden="true" name="PLCepi" vbProcedure="false">{#N/A,#N/A,FALSE,"REPORT"}</definedName>
    <definedName function="false" hidden="true" name="please" vbProcedure="false">{"SCM_Detail",#N/A,FALSE,"SCM";"SCM_Top",#N/A,FALSE,"SCM"}</definedName>
    <definedName function="false" hidden="true" name="plo" vbProcedure="false">255</definedName>
    <definedName function="false" hidden="true" name="PLProcef" vbProcedure="false">{#N/A,#N/A,FALSE,"REPORT"}</definedName>
    <definedName function="false" hidden="true" name="PLTaxol" vbProcedure="false">{#N/A,#N/A,FALSE,"REPORT"}</definedName>
    <definedName function="false" hidden="true" name="Pnl" vbProcedure="false">{#N/A,#N/A,FALSE,"Pharm";#N/A,#N/A,FALSE,"WWCM"}</definedName>
    <definedName function="false" hidden="true" name="pnsji5" vbProcedure="false">{#N/A,"PURCHM",FALSE,"Business Analysis";#N/A,"SPADD",FALSE,"Business Analysis"}</definedName>
    <definedName function="false" hidden="true" name="po" vbProcedure="false">{#N/A,#N/A,FALSE,"Calc";#N/A,#N/A,FALSE,"Sensitivity";#N/A,#N/A,FALSE,"LT Earn.Dil.";#N/A,#N/A,FALSE,"Dil. AVP"}</definedName>
    <definedName function="false" hidden="true" name="poc" vbProcedure="false">{#N/A,"PURADD",FALSE,"Business Analysis";#N/A,"PURSPP",FALSE,"Business Analysis";#N/A,"CTGIND",FALSE,"Business Analysis";#N/A,"PURCHM",FALSE,"Business Analysis";#N/A,"SPADD",FALSE,"Business Analysis";#N/A,"EPOXY",FALSE,"Business Analysis";#N/A,"PURPER",FALSE,"Business Analysis"}</definedName>
    <definedName function="false" hidden="true" name="poi" vbProcedure="false">{"assumption 50 50",#N/A,TRUE,"Merger";"has gets cash",#N/A,TRUE,"Merger";"accretion dilution",#N/A,TRUE,"Merger";"comparison credit stats",#N/A,TRUE,"Merger";"pf credit stats",#N/A,TRUE,"Merger";"pf sheets",#N/A,TRUE,"Merger"}</definedName>
    <definedName function="false" hidden="true" name="poiu" vbProcedure="false">{"Performance Details",#N/A,FALSE,"Current Yr";"Performance Details",#N/A,FALSE,"Budget";"Performance Details",#N/A,FALSE,"Prior Year"}</definedName>
    <definedName function="false" hidden="true" name="pokj" vbProcedure="false">{"QTD_LOUISIANA",#N/A,FALSE,"QTD"}</definedName>
    <definedName function="false" hidden="true" name="pol" vbProcedure="false">{"sbhko",#N/A,FALSE,"A";"sbhko2",#N/A,FALSE,"A";"sbhko3",#N/A,FALSE,"A"}</definedName>
    <definedName function="false" hidden="true" name="pompelmo" vbProcedure="false">{"FY98Q1 var",#N/A,FALSE,"FY98 - Q1";"FY98Q2 var",#N/A,FALSE,"FY98 - Q2";"FY98Q3 var",#N/A,FALSE,"FY98 - Q3";"FY98Q4 var",#N/A,FALSE,"FY98 - Q4"}</definedName>
    <definedName function="false" hidden="true" name="poo"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pop" vbProcedure="false">{#N/A,#N/A,FALSE,"5yr.hist."}</definedName>
    <definedName function="false" hidden="true" name="port29" vbProcedure="false">{#N/A,#N/A,FALSE,"Pharm";#N/A,#N/A,FALSE,"WWCM"}</definedName>
    <definedName function="false" hidden="true" name="powq" vbProcedure="false">{#N/A,"PURCHM",FALSE,"Business Analysis";#N/A,"SPADD",FALSE,"Business Analysis"}</definedName>
    <definedName function="false" hidden="true" name="PPK" vbProcedure="false">{#N/A,#N/A,FALSE,"96 3월물량표";#N/A,#N/A,FALSE,"96 4월물량표";#N/A,#N/A,FALSE,"96 5월물량표"}</definedName>
    <definedName function="false" hidden="true" name="ppo" vbProcedure="false">{"Capital",#N/A,FALSE,"capital"}</definedName>
    <definedName function="false" hidden="true" name="ppooo" vbProcedure="false">{#N/A,#N/A,FALSE,"Table of Contents";#N/A,#N/A,FALSE,"summary";#N/A,#N/A,FALSE,"5yr.hist.";"bridge",#N/A,FALSE,"labor";"direct labor",#N/A,FALSE,"labor";"headcount",#N/A,FALSE,"labor";"summary",#N/A,FALSE,"labor";"INDIRECT LABOR",#N/A,FALSE,"labor";"Material",#N/A,FALSE,"material";"scrap",#N/A,FALSE,"scrap";"Burden",#N/A,FALSE,"burden";"Capital",#N/A,FALSE,"capital";"Clearing",#N/A,FALSE,"clearing"}</definedName>
    <definedName function="false" hidden="true" name="ppp" vbProcedure="false">{"Bilanz grob",#N/A,FALSE,"Planbilanz";"Erfolgsrechnung grob",#N/A,FALSE,"Plan-ER";#N/A,#N/A,FALSE,"Geldfluss"}</definedName>
    <definedName function="false" hidden="true" name="PPPPP" vbProcedure="false">{"'Data'!$A$1:$D$17"}</definedName>
    <definedName function="false" hidden="true" name="pppppppp" vbProcedure="false">{"'Other IPS'!$A$5","'Other IPS'!$A$4:$K$38"}</definedName>
    <definedName function="false" hidden="true" name="PPPPPPPPPPPPPPPP" vbProcedure="false">{"Summary",#N/A,FALSE,"Summary";"A&amp;A's",#N/A,FALSE,"Aids &amp; A's";"MajorWorks",#N/A,FALSE,"Major Works";"EstateImps",#N/A,FALSE,"Estate Imps";"CatC",#N/A,FALSE,"Cat C Voids";"CycProg",#N/A,FALSE,"Cyclical Prog inc MR"}</definedName>
    <definedName function="false" hidden="true" name="PPPPPPPPPPPPPPPPPPPPPPPPPPPPPPPP" vbProcedure="false">{"London cttee condensed",#N/A,FALSE,"Dev Panel Cut Report";"South East cttee condensed",#N/A,FALSE,"Dev Panel Cut Report"}</definedName>
    <definedName function="false" hidden="true" name="pqmjuz" vbProcedure="false">{"detail",#N/A,FALSE,"mfg";"summary",#N/A,FALSE,"mfg"}</definedName>
    <definedName function="false" hidden="true" name="PRACTICE" vbProcedure="false">{#N/A,#N/A,FALSE,"Summation";#N/A,#N/A,FALSE,"BSA";#N/A,#N/A,FALSE,"Detail1";#N/A,#N/A,FALSE,"Detail2";#N/A,#N/A,FALSE,"Detail3";#N/A,#N/A,FALSE,"WFTE_Summary";#N/A,#N/A,FALSE,"Funded_WFTE";#N/A,#N/A,FALSE,"PYADJ96"}</definedName>
    <definedName function="false" hidden="true" name="PRACTOCE" vbProcedure="false">{#N/A,#N/A,FALSE,"Summation";#N/A,#N/A,FALSE,"BSA";#N/A,#N/A,FALSE,"Detail1";#N/A,#N/A,FALSE,"Detail2";#N/A,#N/A,FALSE,"Detail3";#N/A,#N/A,FALSE,"WFTE_Summary";#N/A,#N/A,FALSE,"Funded_WFTE";#N/A,#N/A,FALSE,"PYADJ96"}</definedName>
    <definedName function="false" hidden="true" name="Prashanth" vbProcedure="false">{#N/A,#N/A,FALSE,"COMP"}</definedName>
    <definedName function="false" hidden="true" name="pRAVEEN" vbProcedure="false">{#N/A,#N/A,FALSE,"Staffnos &amp; cost"}</definedName>
    <definedName function="false" hidden="true" name="PRA_Val_Matrix" vbProcedure="false">{"BankView",#N/A,FALSE,"TransSum";#N/A,#N/A,FALSE,"Lab";#N/A,#N/A,FALSE,"Micro wo HiPur";#N/A,#N/A,FALSE,"Texas";#N/A,#N/A,FALSE,"Temple";#N/A,#N/A,FALSE,"Micro";#N/A,#N/A,FALSE,"BuyResale";#N/A,#N/A,FALSE,"Spec.";#N/A,#N/A,FALSE,"Comb";#N/A,#N/A,FALSE,"StandAlon";#N/A,#N/A,FALSE,"IncStmt";#N/A,#N/A,FALSE,"BalSht";#N/A,#N/A,FALSE,"CapEx";#N/A,#N/A,FALSE,"CashFlow";#N/A,#N/A,FALSE,"TBS"}</definedName>
    <definedName function="false" hidden="true" name="PRA_Val_Matrix2" vbProcedure="false">{"BankView",#N/A,FALSE,"TransSum";#N/A,#N/A,FALSE,"Lab";#N/A,#N/A,FALSE,"Micro wo HiPur";#N/A,#N/A,FALSE,"Texas";#N/A,#N/A,FALSE,"Temple";#N/A,#N/A,FALSE,"Micro";#N/A,#N/A,FALSE,"BuyResale";#N/A,#N/A,FALSE,"Spec.";#N/A,#N/A,FALSE,"Comb";#N/A,#N/A,FALSE,"StandAlon";#N/A,#N/A,FALSE,"IncStmt";#N/A,#N/A,FALSE,"BalSht";#N/A,#N/A,FALSE,"CapEx";#N/A,#N/A,FALSE,"CashFlow";#N/A,#N/A,FALSE,"TBS"}</definedName>
    <definedName function="false" hidden="true" name="pre" vbProcedure="false">{#N/A,#N/A,FALSE,"Indcost";#N/A,#N/A,FALSE,"Plcost";#N/A,#N/A,FALSE,"Mincost";#N/A,#N/A,FALSE,"Produc";#N/A,#N/A,FALSE,"Rev";#N/A,#N/A,FALSE,"Capital";#N/A,#N/A,FALSE,"Wcapital";#N/A,#N/A,FALSE,"Contdep";#N/A,#N/A,FALSE,"Taxdep";#N/A,#N/A,FALSE,"Tax";#N/A,#N/A,FALSE,"S-SDebt";#N/A,#N/A,FALSE,"TotDebt";#N/A,#N/A,FALSE,"Profit";#N/A,#N/A,FALSE,"CFlow";#N/A,#N/A,FALSE,"1996-2012";#N/A,#N/A,FALSE,"Bcesheet"}</definedName>
    <definedName function="false" hidden="true" name="prefyes" vbProcedure="false">#REF!</definedName>
    <definedName function="false" hidden="true" name="PREF_DIVID" vbProcedure="false">"PREF_DIVID"</definedName>
    <definedName function="false" hidden="true" name="PREF_STOCK" vbProcedure="false">"PREF_STOCK"</definedName>
    <definedName function="false" hidden="true" name="PREPAID_EXPEN" vbProcedure="false">"PREPAID_EXPEN"</definedName>
    <definedName function="false" hidden="true" name="Prepayments" vbProcedure="false">{"ratios",#N/A,FALSE,"Analyse";"multiples",#N/A,FALSE,"Analyse";"places",#N/A,FALSE,"Analyse"}</definedName>
    <definedName function="false" hidden="true" name="Pres" vbProcedure="false">{#N/A,#N/A,TRUE,"Cover sheet";#N/A,#N/A,TRUE,"Summary";#N/A,#N/A,TRUE,"Key Assumptions";#N/A,#N/A,TRUE,"Profit &amp; Loss";#N/A,#N/A,TRUE,"Balance Sheet";#N/A,#N/A,TRUE,"Cashflow";#N/A,#N/A,TRUE,"IRR";#N/A,#N/A,TRUE,"Ratios";#N/A,#N/A,TRUE,"Debt analysis"}</definedName>
    <definedName function="false" hidden="true" name="Pres2" vbProcedure="false">{#N/A,#N/A,TRUE,"Cover sheet";#N/A,#N/A,TRUE,"Summary";#N/A,#N/A,TRUE,"Key Assumptions";#N/A,#N/A,TRUE,"Profit &amp; Loss";#N/A,#N/A,TRUE,"Balance Sheet";#N/A,#N/A,TRUE,"Cashflow";#N/A,#N/A,TRUE,"IRR";#N/A,#N/A,TRUE,"Ratios";#N/A,#N/A,TRUE,"Debt analysis"}</definedName>
    <definedName function="false" hidden="true" name="PRESA" vbProcedure="false">{#N/A,#N/A,TRUE,"Cover sheet";#N/A,#N/A,TRUE,"Summary";#N/A,#N/A,TRUE,"Key Assumptions";#N/A,#N/A,TRUE,"Profit &amp; Loss";#N/A,#N/A,TRUE,"Balance Sheet";#N/A,#N/A,TRUE,"Cashflow";#N/A,#N/A,TRUE,"IRR";#N/A,#N/A,TRUE,"Ratios";#N/A,#N/A,TRUE,"Debt analysis"}</definedName>
    <definedName function="false" hidden="true" name="Prese" vbProcedure="false">{#N/A,#N/A,TRUE,"Cover sheet";#N/A,#N/A,TRUE,"Summary";#N/A,#N/A,TRUE,"Key Assumptions";#N/A,#N/A,TRUE,"Profit &amp; Loss";#N/A,#N/A,TRUE,"Balance Sheet";#N/A,#N/A,TRUE,"Cashflow";#N/A,#N/A,TRUE,"IRR";#N/A,#N/A,TRUE,"Ratios";#N/A,#N/A,TRUE,"Debt analysis"}</definedName>
    <definedName function="false" hidden="true" name="presentación" vbProcedure="false">{#N/A,#N/A,FALSE,"Indcost";#N/A,#N/A,FALSE,"Plcost";#N/A,#N/A,FALSE,"Mincost";#N/A,#N/A,FALSE,"Produc";#N/A,#N/A,FALSE,"Rev";#N/A,#N/A,FALSE,"Capital";#N/A,#N/A,FALSE,"Wcapital";#N/A,#N/A,FALSE,"Contdep";#N/A,#N/A,FALSE,"Taxdep";#N/A,#N/A,FALSE,"Tax";#N/A,#N/A,FALSE,"S-SDebt";#N/A,#N/A,FALSE,"TotDebt";#N/A,#N/A,FALSE,"Profit";#N/A,#N/A,FALSE,"CFlow";#N/A,#N/A,FALSE,"1996-2012";#N/A,#N/A,FALSE,"Bcesheet"}</definedName>
    <definedName function="false" hidden="true" name="Presentation"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name="PRETAX_INC" vbProcedure="false">"PRETAX_INC"</definedName>
    <definedName function="false" hidden="true" name="PRETAX_INC_10K" vbProcedure="false">"PRETAX_INC_10K"</definedName>
    <definedName function="false" hidden="true" name="PRETAX_INC_10Q" vbProcedure="false">"PRETAX_INC_10Q"</definedName>
    <definedName function="false" hidden="true" name="PRETAX_INC_10Q1" vbProcedure="false">"PRETAX_INC_10Q1"</definedName>
    <definedName function="false" hidden="true" name="pricebook_col" vbProcedure="false">#REF!</definedName>
    <definedName function="false" hidden="true" name="priceearnings_col" vbProcedure="false">#REF!</definedName>
    <definedName function="false" hidden="true" name="PriceRange" vbProcedure="false">OFFSET(#REF!,5,0,COUNTA(#REF!)-COUNTA(#REF!),1)</definedName>
    <definedName function="false" hidden="true" name="PriceRangeMain" vbProcedure="false">#REF!</definedName>
    <definedName function="false" hidden="true" name="PRICE_OVER_EPS_EST" vbProcedure="false">"PRICE_OVER_EPS_EST"</definedName>
    <definedName function="false" hidden="true" name="PRICE_OVER_EPS_EST_1" vbProcedure="false">"PRICE_OVER_EPS_EST_1"</definedName>
    <definedName function="false" hidden="true" name="PRICE_OVER_LTM_EPS" vbProcedure="false">"PRICE_OVER_LTM_EPS"</definedName>
    <definedName function="false" hidden="true" name="prinallnew" vbProcedure="false">{"sterling",#N/A,FALSE,"£";"USdollar",#N/A,FALSE,"USA$";"mark",#N/A,FALSE,"DM";"peseta",#N/A,FALSE,"Pta";"lira",#N/A,FALSE,"LIRA";"euro",#N/A,FALSE,"Euro";"Ausdollar",#N/A,FALSE,"Aus$";"other",#N/A,FALSE,"Other"}</definedName>
    <definedName function="false" hidden="true" name="PRINT10" vbProcedure="false">#REF!</definedName>
    <definedName function="false" hidden="true" name="print4" vbProcedure="false">{#N/A,#N/A,FALSE,"Operations";#N/A,#N/A,FALSE,"Financials"}</definedName>
    <definedName function="false" hidden="true" name="PrintBuyer" vbProcedure="false">{#N/A,"DR",FALSE,"increm pf";#N/A,"MAMSI",FALSE,"increm pf";#N/A,"MAXI",FALSE,"increm pf";#N/A,"PCAM",FALSE,"increm pf";#N/A,"PHSV",FALSE,"increm pf";#N/A,"SIE",FALSE,"increm pf"}</definedName>
    <definedName function="false" hidden="true" name="Print_CSC_Report_2" vbProcedure="false">{"CSC_1",#N/A,FALSE,"CSC Outputs";"CSC_2",#N/A,FALSE,"CSC Outputs"}</definedName>
    <definedName function="false" hidden="true" name="Print_CSC_Report_3" vbProcedure="false">{"CSC_1",#N/A,FALSE,"CSC Outputs";"CSC_2",#N/A,FALSE,"CSC Outputs"}</definedName>
    <definedName function="false" hidden="true" name="Procef" vbProcedure="false">{#N/A,#N/A,FALSE,"Pharm";#N/A,#N/A,FALSE,"WWCM"}</definedName>
    <definedName function="false" hidden="true" name="prod" vbProcedure="false">{#N/A,#N/A,FALSE,"Pharm";#N/A,#N/A,FALSE,"WWCM"}</definedName>
    <definedName function="false" hidden="true" name="prod1" vbProcedure="false">{"'Data'!$A$1:$D$17"}</definedName>
    <definedName function="false" hidden="true" name="ProdForm" vbProcedure="false">#REF!</definedName>
    <definedName function="false" hidden="true" name="prodprocessarditw" vbProcedure="false">{"'Data'!$A$1:$D$17"}</definedName>
    <definedName function="false" hidden="true" name="prodprocessaudit" vbProcedure="false">{"'Data'!$A$1:$D$17"}</definedName>
    <definedName function="false" hidden="true" name="Product" vbProcedure="false">#REF!</definedName>
    <definedName function="false" hidden="true" name="produkt1" vbProcedure="false">{#N/A,#N/A,FALSE,"Print produktmix"}</definedName>
    <definedName function="false" hidden="true" name="proformrow" vbProcedure="false">#REF!</definedName>
    <definedName function="false" hidden="true" name="prohr" vbProcedure="false">{#N/A,#N/A,FALSE,"Staffnos &amp; cost"}</definedName>
    <definedName function="false" hidden="true" name="projdepamort" vbProcedure="false">#REF!</definedName>
    <definedName function="false" hidden="true" name="projepsstart" vbProcedure="false">#REF!</definedName>
    <definedName function="false" hidden="true" name="projint" vbProcedure="false">#REF!</definedName>
    <definedName function="false" hidden="true" name="projrev" vbProcedure="false">#REF!</definedName>
    <definedName function="false" hidden="true" name="projtax" vbProcedure="false">#REF!</definedName>
    <definedName function="false" hidden="true" name="promo" vbProcedure="false">{"'1998 FTC Promo Pk'!$A$6:$AB$28"}</definedName>
    <definedName function="false" hidden="true" name="PROPERTY_GROSS" vbProcedure="false">"PROPERTY_GROSS"</definedName>
    <definedName function="false" hidden="true" name="PROPERTY_NET" vbProcedure="false">"PROPERTY_NET"</definedName>
    <definedName function="false" hidden="true" name="PROTO2" vbProcedure="false">{#N/A,#N/A,FALSE,"단축1";#N/A,#N/A,FALSE,"단축2";#N/A,#N/A,FALSE,"단축3";#N/A,#N/A,FALSE,"장축";#N/A,#N/A,FALSE,"4WD"}</definedName>
    <definedName function="false" hidden="true" name="PROTO3" vbProcedure="false">{#N/A,#N/A,FALSE,"단축1";#N/A,#N/A,FALSE,"단축2";#N/A,#N/A,FALSE,"단축3";#N/A,#N/A,FALSE,"장축";#N/A,#N/A,FALSE,"4WD"}</definedName>
    <definedName function="false" hidden="true" name="prout" vbProcedure="false">{"comp1",#N/A,FALSE,"COMPS";"footnotes",#N/A,FALSE,"COMPS"}</definedName>
    <definedName function="false" hidden="true" name="prout1" vbProcedure="false">{"comp1",#N/A,FALSE,"COMPS";"footnotes",#N/A,FALSE,"COMPS"}</definedName>
    <definedName function="false" hidden="true" name="prova" vbProcedure="false">{#N/A,#N/A,TRUE,"Total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function="false" hidden="true" name="PRO_FORMA_BASIC_EPS" vbProcedure="false">"PRO_FORMA_BASIC_EPS"</definedName>
    <definedName function="false" hidden="true" name="PRO_FORMA_DILUT_EPS" vbProcedure="false">"PRO_FORMA_DILUT_EPS"</definedName>
    <definedName function="false" hidden="true" name="PRO_FORMA_NET_INC" vbProcedure="false">"PRO_FORMA_NET_INC"</definedName>
    <definedName function="false" hidden="true" name="PTEeXToEUR" vbProcedure="false">1/eurextopte</definedName>
    <definedName function="false" hidden="true" name="PU" vbProcedure="false">{"'Demand Units'!$X$11:$AD$45"}</definedName>
    <definedName function="false" hidden="true" name="PUB_FileID" vbProcedure="false">"L10003649.xls"</definedName>
    <definedName function="false" hidden="true" name="PUB_UserID" vbProcedure="false">"MAYERX"</definedName>
    <definedName function="false" hidden="true" name="pucspadd42" vbProcedure="false">{#N/A,"PURCHM",FALSE,"Business Analysis";#N/A,"SPADD",FALSE,"Business Analysis"}</definedName>
    <definedName function="false" hidden="true" name="Pull_MFE" vbProcedure="false">#REF!</definedName>
    <definedName function="false" hidden="true" name="pupi" vbProcedure="false">{"YD OTHER",#N/A,FALSE,"YTD"}</definedName>
    <definedName function="false" hidden="true" name="pvdsk" vbProcedure="false">{#N/A,#N/A,FALSE,"COVER";#N/A,#N/A,FALSE,"SUMMARY";#N/A,#N/A,FALSE,"INCOME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function="false" hidden="true" name="PVH"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pyiu" vbProcedure="false">{#N/A,#N/A,TRUE,"Cover";#N/A,#N/A,TRUE,"Input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function="false" hidden="true" name="pyop" vbProcedure="false">{"vi1",#N/A,FALSE,"Financial Statements";"vi2",#N/A,FALSE,"Financial Statements";#N/A,#N/A,FALSE,"DCF"}</definedName>
    <definedName function="false" hidden="true" name="pz" vbProcedure="false">{"Month Summary",#N/A,FALSE,"Summary";"Total Details",#N/A,FALSE,"Current Yr";"Polymers Details",#N/A,FALSE,"Current Yr";"Performance Details",#N/A,FALSE,"Current Yr";"ICD Details",#N/A,FALSE,"Current Yr"}</definedName>
    <definedName function="false" hidden="true" name="pü" vbProcedure="false">{#N/A,#N/A,FALSE,"Layout Cash Flow"}</definedName>
    <definedName function="false" hidden="true" name="püpoüpoüpo" vbProcedure="false">{#N/A,#N/A,FALSE,"PMW Gruppe 99_98";#N/A,#N/A,FALSE,"PMW KG 98_99";#N/A,#N/A,FALSE,"PMW Inc. 99_98";#N/A,#N/A,FALSE,"PMW VTECH 99_98";#N/A,#N/A,FALSE,"PMW Thail. 99_98";#N/A,#N/A,FALSE,"PMW Canada 99_98";#N/A,#N/A,FALSE,"Währungsabw. 99_98"}</definedName>
    <definedName function="false" hidden="true" name="püpü" vbProcedure="false">{#N/A,#N/A,FALSE,"Umsatz 99";#N/A,#N/A,FALSE,"ER 99 "}</definedName>
    <definedName function="false" hidden="true" name="püüü" vbProcedure="false">{#N/A,#N/A,TRUE,"Time";#N/A,#N/A,TRUE,"VER";#N/A,#N/A,TRUE,"K1_R";#N/A,#N/A,TRUE,"K2_R";#N/A,#N/A,TRUE,"K3_R";#N/A,#N/A,TRUE,"K4_R";#N/A,#N/A,TRUE,"K5_R";#N/A,#N/A,TRUE,"K6_R";#N/A,#N/A,TRUE,"K7_R"}</definedName>
    <definedName function="false" hidden="true" name="q" vbProcedure="false">{#N/A,#N/A,FALSE,"Fluktuation TSI"}</definedName>
    <definedName function="false" hidden="true" name="q0" vbProcedure="false">{"'Demand Units'!$Z$2:$AF$53"}</definedName>
    <definedName function="false" hidden="true" name="q34her5ga"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q34taqgrea"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q34tqa3gta"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q4taqg35gqa"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qa" vbProcedure="false">{#N/A,#N/A,FALSE,"Staffnos &amp; cost"}</definedName>
    <definedName function="false" hidden="true" name="qaaaa" vbProcedure="false">{"detail",#N/A,FALSE,"mfg";"summary",#N/A,FALSE,"mfg"}</definedName>
    <definedName function="false" hidden="true" name="qads" vbProcedure="false">#REF!</definedName>
    <definedName function="false" hidden="true" name="qas" vbProcedure="false">#REF!</definedName>
    <definedName function="false" hidden="true" name="QAW" vbProcedure="false">{#N/A,#N/A,FALSE,"을지 (4)";#N/A,#N/A,FALSE,"을지 (5)";#N/A,#N/A,FALSE,"을지 (6)"}</definedName>
    <definedName function="false" hidden="true" name="QAWX" vbProcedure="false">{#N/A,#N/A,FALSE,"을지 (4)";#N/A,#N/A,FALSE,"을지 (5)";#N/A,#N/A,FALSE,"을지 (6)"}</definedName>
    <definedName function="false" hidden="true" name="qaz" vbProcedure="false">{#N/A,#N/A,FALSE,"Pharm";#N/A,#N/A,FALSE,"WWCM"}</definedName>
    <definedName function="false" hidden="true" name="Qdfdv" vbProcedure="false">{"quarterly",#N/A,FALSE,"Income Statement";#N/A,#N/A,FALSE,"print segment";#N/A,#N/A,FALSE,"Balance Sheet";#N/A,#N/A,FALSE,"Annl Inc";#N/A,#N/A,FALSE,"Cash Flow"}</definedName>
    <definedName function="false" hidden="true" name="qds" vbProcedure="false">{#N/A,#N/A,FALSE,"Aging Summary";#N/A,#N/A,FALSE,"Ratio Analysis";#N/A,#N/A,FALSE,"Test 120 Day Accts";#N/A,#N/A,FALSE,"Tickmarks"}</definedName>
    <definedName function="false" hidden="true" name="Qdwrn.Earnings_.Mode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Qdwrn.handout." vbProcedure="false">{"quarterly",#N/A,FALSE,"Income Statement New CPB";"annual",#N/A,FALSE,"Income Statement New CPB";"cash flow",#N/A,FALSE,"Cash Flow";"balance",#N/A,FALSE,"Balance Sheet";"seg",#N/A,FALSE,"New Segment Breakout"}</definedName>
    <definedName function="false" hidden="true" name="Qdwrn.market._.share." vbProcedure="false">{#N/A,#N/A,FALSE,"Bestfoods";#N/A,#N/A,FALSE,"Campbell";#N/A,#N/A,FALSE,"ConAgra";#N/A,#N/A,FALSE,"Healthy Choice";#N/A,#N/A,FALSE,"Int'l Home Foods";#N/A,#N/A,FALSE,"General Mills";#N/A,#N/A,FALSE,"Heinz";#N/A,#N/A,FALSE,"Kellogg";#N/A,#N/A,FALSE,"Kraft";#N/A,#N/A,FALSE,"Nabisco";#N/A,#N/A,FALSE,"Quaker Oats";#N/A,#N/A,FALSE,"Sara Lee";#N/A,#N/A,FALSE,"print summary"}</definedName>
    <definedName function="false" hidden="true" name="QE" vbProcedure="false">{#N/A,#N/A,FALSE,"초도품";#N/A,#N/A,FALSE,"초도품 (2)";#N/A,#N/A,FALSE,"초도품 (3)";#N/A,#N/A,FALSE,"초도품 (4)";#N/A,#N/A,FALSE,"초도품 (5)";#N/A,#N/A,FALSE,"초도품 (6)"}</definedName>
    <definedName function="false" hidden="true" name="qeqee" vbProcedure="false">{#N/A,#N/A,FALSE,"Produkte Erw.";#N/A,#N/A,FALSE,"Produkte Plan";#N/A,#N/A,FALSE,"Leistungen Erw.";#N/A,#N/A,FALSE,"Leistungen Plan";#N/A,#N/A,FALSE,"KA Allg.Kosten (2)";#N/A,#N/A,FALSE,"KA All.Kosten"}</definedName>
    <definedName function="false" hidden="true" name="qer" vbProcedure="false">{"mgmt forecast",#N/A,FALSE,"Mgmt Forecast";"dcf table",#N/A,FALSE,"Mgmt Forecast";"sensitivity",#N/A,FALSE,"Mgmt Forecast";"table inputs",#N/A,FALSE,"Mgmt Forecast";"calculations",#N/A,FALSE,"Mgmt Forecast"}</definedName>
    <definedName function="false" hidden="true" name="qertweyu" vbProcedure="false">{#N/A,#N/A,FALSE,"REPORT"}</definedName>
    <definedName function="false" hidden="true" name="qesd" vbProcedure="false">{"Page 1",#N/A,FALSE,"OpExJanVsPY";"Page 2",#N/A,FALSE,"OpExJanVsPY"}</definedName>
    <definedName function="false" hidden="true" name="qetryywt" vbProcedure="false">{#N/A,#N/A,FALSE,"REPORT"}</definedName>
    <definedName function="false" hidden="true" name="qewreqrqwer" vbProcedure="false">{"comp1",#N/A,FALSE,"COMPS";"footnotes",#N/A,FALSE,"COMPS"}</definedName>
    <definedName function="false" hidden="true" name="qi" vbProcedure="false">{#N/A,"PURADD",FALSE,"Business Analysis";#N/A,"PURSPP",FALSE,"Business Analysis";#N/A,"CTGIND",FALSE,"Business Analysis";#N/A,"PURCHM",FALSE,"Business Analysis";#N/A,"SPADD",FALSE,"Business Analysis";#N/A,"EPOXY",FALSE,"Business Analysis";#N/A,"PURPER",FALSE,"Business Analysis"}</definedName>
    <definedName function="false" hidden="true" name="qink" vbProcedure="false">{#N/A,"PURCHM",FALSE,"Business Analysis";#N/A,"SPADD",FALSE,"Business Analysis"}</definedName>
    <definedName function="false" hidden="true" name="QLGC" vbProcedure="false">{"CHART",#N/A,FALSE,"Arch Communications"}</definedName>
    <definedName function="false" hidden="true" name="QofE2" vbProcedure="false">{#N/A,#N/A,FALSE,"COVER";#N/A,#N/A,FALSE,"SUMMARY";#N/A,#N/A,FALSE,"INCOME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function="false" hidden="true" name="qq" vbProcedure="false">{"RETRO",#N/A,FALSE,"Ret";"retro",#N/A,FALSE,"Ret_RO";"retp",#N/A,FALSE,"Ret_P";"livro",#N/A,FALSE,"Livr_RO";"livp",#N/A,FALSE,"Livr_P";"puro",#N/A,FALSE,"Pu_RO";"pup",#N/A,FALSE,"Pu_P";"stocro",#N/A,FALSE,"Stock_RO";"stocp",#N/A,FALSE,"Stock_P";"vitro",#N/A,FALSE,"Vitr-RO";"vitp",#N/A,FALSE,"Vitr-P";"destro",#N/A,FALSE,"Dest_RO";"destp",#N/A,FALSE,"Dest_P"}</definedName>
    <definedName function="false" hidden="true" name="qqkkkkk" vbProcedure="false">{#N/A,"PURCHM",FALSE,"Business Analysis";#N/A,"SPADD",FALSE,"Business Analysis"}</definedName>
    <definedName function="false" hidden="true" name="qqq" vbProcedure="false">{#N/A,#N/A,FALSE,"Pharm";#N/A,#N/A,FALSE,"WWCM"}</definedName>
    <definedName function="false" hidden="true" name="qqqaa" vbProcedure="false">{"detail",#N/A,FALSE,"mfg";"summary",#N/A,FALSE,"mfg"}</definedName>
    <definedName function="false" hidden="true" name="QQQAAASSS" vbProcedure="false">{#N/A,#N/A,TRUE,"Y생산";#N/A,#N/A,TRUE,"Y판매";#N/A,#N/A,TRUE,"Y총물량";#N/A,#N/A,TRUE,"Y능력";#N/A,#N/A,TRUE,"YKD"}</definedName>
    <definedName function="false" hidden="true" name="qqqq" vbProcedure="false">main.sapf4help()</definedName>
    <definedName function="false" hidden="true" name="QQQQQ" vbProcedure="false">{#N/A,#N/A,FALSE,"단축1";#N/A,#N/A,FALSE,"단축2";#N/A,#N/A,FALSE,"단축3";#N/A,#N/A,FALSE,"장축";#N/A,#N/A,FALSE,"4WD"}</definedName>
    <definedName function="false" hidden="true" name="qqqqqq" vbProcedure="false">{"QTD_PRS",#N/A,FALSE,"QTD"}</definedName>
    <definedName function="false" hidden="true" name="QQQQQQQ" vbProcedure="false">{#N/A,#N/A,TRUE,"Y생산";#N/A,#N/A,TRUE,"Y판매";#N/A,#N/A,TRUE,"Y총물량";#N/A,#N/A,TRUE,"Y능력";#N/A,#N/A,TRUE,"YKD"}</definedName>
    <definedName function="false" hidden="true" name="qqqqqqqqqq" vbProcedure="false">{"pro_view",#N/A,FALSE,"EEFSNAP2";"rep_view",#N/A,FALSE,"EEFSNAP2"}</definedName>
    <definedName function="false" hidden="true" name="qqqqqqqqqqqqqq" vbProcedure="false">{#N/A,#N/A,FALSE,"IS INPUT";#N/A,#N/A,FALSE,"BS INPUT";#N/A,#N/A,FALSE,"IS MTH";#N/A,#N/A,FALSE,"IS LOCAL";#N/A,#N/A,FALSE,"WON ADJ";#N/A,#N/A,FALSE,"USD ADJ";#N/A,#N/A,FALSE,"EQUITY";#N/A,#N/A,FALSE,"IS US ";#N/A,#N/A,FALSE,"BS US"}</definedName>
    <definedName function="false" hidden="true" name="qqqqqqqqqqqqqqqq" vbProcedure="false">{#N/A,"PURADD",FALSE,"Business Analysis";#N/A,"PURSPP",FALSE,"Business Analysis";#N/A,"CTGIND",FALSE,"Business Analysis";#N/A,"PURCHM",FALSE,"Business Analysis";#N/A,"SPADD",FALSE,"Business Analysis";#N/A,"EPOXY",FALSE,"Business Analysis";#N/A,"PURPER",FALSE,"Business Analysis"}</definedName>
    <definedName function="false" hidden="true" name="qqqqqqqqqqqqqqqqqq" vbProcedure="false">{"Area1",#N/A,FALSE,"OREWACC";"Area2",#N/A,FALSE,"OREWACC"}</definedName>
    <definedName function="false" hidden="true" name="qqqqqqqqqqqqqqqqqqq" vbProcedure="false">{"detail",#N/A,FALSE,"mfg";"summary",#N/A,FALSE,"mfg"}</definedName>
    <definedName function="false" hidden="true" name="qqqqqqqqqqqqqqqqqqqqqqqqqqqqqqqqqqqqqqqqqqqqqqqqqqqqqq" vbProcedure="false">{"TXO2N2_SLS",#N/A,FALSE,"MTHLYSLES";"TXH2_SLS",#N/A,FALSE,"MTHLYSLES";"LOUIS_SLS",#N/A,FALSE,"MTHLYSLES";"H2_SLS",#N/A,FALSE,"MTHLYSLES";"O2N2_SLS",#N/A,FALSE,"MTHLYSLES";"PACKAGE_SLS",#N/A,FALSE,"MTHLYSLES"}</definedName>
    <definedName function="false" hidden="true" name="qqwtweryey" vbProcedure="false">{#N/A,#N/A,FALSE,"REPORT"}</definedName>
    <definedName function="false" hidden="true" name="qr" vbProcedure="false">{"detail",#N/A,FALSE,"mfg";"summary",#N/A,FALSE,"mfg"}</definedName>
    <definedName function="false" hidden="true" name="qrewqfewq" vbProcedure="false">{#N/A,#N/A,TRUE,"Historicals";#N/A,#N/A,TRUE,"Charts";#N/A,#N/A,TRUE,"Forecasts"}</definedName>
    <definedName function="false" hidden="true" name="qrewr"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QRYCOUNT" vbProcedure="false">0</definedName>
    <definedName function="false" hidden="true" name="QRYNAME1" vbProcedure="false">"Qlimberg"</definedName>
    <definedName function="false" hidden="true" name="QRYNAME10" vbProcedure="false">"US OUS Monthly High Level Cash Flow"</definedName>
    <definedName function="false" hidden="true" name="QRYNAME11" vbProcedure="false">"BOLO QRY: 1:  SHEET:BOLO Reported"</definedName>
    <definedName function="false" hidden="true" name="QRYNAME12" vbProcedure="false">"Option Expense"</definedName>
    <definedName function="false" hidden="true" name="QRYNAME13" vbProcedure="false">"Pens OPEB Expense"</definedName>
    <definedName function="false" hidden="true" name="QRYNAME14" vbProcedure="false">"Inventory Cash Flow Query"</definedName>
    <definedName function="false" hidden="true" name="QRYNAME15" vbProcedure="false">"AR Cash Flow Query"</definedName>
    <definedName function="false" hidden="true" name="QRYNAME16" vbProcedure="false">"AP Cash Flow Query"</definedName>
    <definedName function="false" hidden="true" name="QRYNAME18" vbProcedure="false">"Depr Expense"</definedName>
    <definedName function="false" hidden="true" name="QRYNAME19" vbProcedure="false">"Inventory Cash Flow Query"</definedName>
    <definedName function="false" hidden="true" name="QRYNAME2" vbProcedure="false">"Qlimbergdivision"</definedName>
    <definedName function="false" hidden="true" name="QRYNAME20" vbProcedure="false">"BQ w-o Quante &amp; Gore"</definedName>
    <definedName function="false" hidden="true" name="QRYNAME21" vbProcedure="false">"Div P&amp;L by Qtr-without Q &amp; Gore"</definedName>
    <definedName function="false" hidden="true" name="QRYNAME22" vbProcedure="false">"bqSlsOIWW"</definedName>
    <definedName function="false" hidden="true" name="QRYNAME23" vbProcedure="false">"bqSlsOIWW MPP"</definedName>
    <definedName function="false" hidden="true" name="QRYNAME24" vbProcedure="false">"bqSlsOIWW MSD"</definedName>
    <definedName function="false" hidden="true" name="QRYNAME25" vbProcedure="false">"bqEP OP Plan"</definedName>
    <definedName function="false" hidden="true" name="QRYNAME26" vbProcedure="false">"bqIndirectOpPlan"</definedName>
    <definedName function="false" hidden="true" name="QRYNAME27" vbProcedure="false">"bqIndirectOpPlanHK"</definedName>
    <definedName function="false" hidden="true" name="QRYNAME28" vbProcedure="false">"bqP&amp;LUSFcstHK"</definedName>
    <definedName function="false" hidden="true" name="QRYNAME29" vbProcedure="false">"bqP&amp;LOUSFcstHK"</definedName>
    <definedName function="false" hidden="true" name="QRYNAME3" vbProcedure="false">"BQ EP Dtl for OI Var OUS"</definedName>
    <definedName function="false" hidden="true" name="QRYNAME30" vbProcedure="false">"bqEPOPPlanHK"</definedName>
    <definedName function="false" hidden="true" name="QRYNAME4" vbProcedure="false">"BQ WWAcctspayable"</definedName>
    <definedName function="false" hidden="true" name="QRYNAME5" vbProcedure="false">"BQ OI Var BU99998"</definedName>
    <definedName function="false" hidden="true" name="QRYNAME6" vbProcedure="false">"BQ Hdct"</definedName>
    <definedName function="false" hidden="true" name="QRYNAME7" vbProcedure="false">"BOLO QRY: 1:  SHEET:LO Data"</definedName>
    <definedName function="false" hidden="true" name="QRYNAME8" vbProcedure="false">"US Int'l Corp Misc as rptd"</definedName>
    <definedName function="false" hidden="true" name="QRYNEXT" vbProcedure="false">1</definedName>
    <definedName function="false" hidden="true" name="QRYSOURCE1" vbProcedure="false">"EXCELRANGE-EXPAND-BQ"</definedName>
    <definedName function="false" hidden="true" name="QRYSOURCE10" vbProcedure="false">"EXCELRANGE-EXPAND-BQ"</definedName>
    <definedName function="false" hidden="true" name="QRYSOURCE11" vbProcedure="false">"EXCELRANGE-EXPAND-BOLO"</definedName>
    <definedName function="false" hidden="true" name="QRYSOURCE12" vbProcedure="false">"EXCELRANGE-EXPAND-BQ"</definedName>
    <definedName function="false" hidden="true" name="QRYSOURCE13" vbProcedure="false">"EXCELRANGE-EXPAND-BQ"</definedName>
    <definedName function="false" hidden="true" name="QRYSOURCE15" vbProcedure="false">"EXCELRANGE-EXPAND-BQ"</definedName>
    <definedName function="false" hidden="true" name="QRYSOURCE16" vbProcedure="false">"IW P&amp;L Data"</definedName>
    <definedName function="false" hidden="true" name="QRYSOURCE17" vbProcedure="false">"cysys3"</definedName>
    <definedName function="false" hidden="true" name="QRYSOURCE18" vbProcedure="false">"EXCELRANGE-EXPAND-BQ"</definedName>
    <definedName function="false" hidden="true" name="QRYSOURCE19" vbProcedure="false">"EXCELRANGE-EXPAND-BQ"</definedName>
    <definedName function="false" hidden="true" name="QRYSOURCE2" vbProcedure="false">"EXCELRANGE-EXPAND-BQ"</definedName>
    <definedName function="false" hidden="true" name="QRYSOURCE20" vbProcedure="false">"EXCELRANGE-EXPAND"</definedName>
    <definedName function="false" hidden="true" name="QRYSOURCE21" vbProcedure="false">"crsys3"</definedName>
    <definedName function="false" hidden="true" name="QRYSOURCE22" vbProcedure="false">"EXCELRANGE-EXPAND-BQ"</definedName>
    <definedName function="false" hidden="true" name="QRYSOURCE23" vbProcedure="false">"EXCELRANGE-EXPAND-BQ"</definedName>
    <definedName function="false" hidden="true" name="QRYSOURCE24" vbProcedure="false">"EXCELRANGE-EXPAND-BQ"</definedName>
    <definedName function="false" hidden="true" name="QRYSOURCE25" vbProcedure="false">"EXCELRANGE-EXPAND-BQ"</definedName>
    <definedName function="false" hidden="true" name="QRYSOURCE26" vbProcedure="false">"EXCELRANGE-EXPAND-BQ"</definedName>
    <definedName function="false" hidden="true" name="QRYSOURCE27" vbProcedure="false">"EXCELRANGE-EXPAND-BQ"</definedName>
    <definedName function="false" hidden="true" name="QRYSOURCE28" vbProcedure="false">"EXCELRANGE-EXPAND-BQ"</definedName>
    <definedName function="false" hidden="true" name="QRYSOURCE29" vbProcedure="false">"EXCELRANGE-EXPAND-BQ"</definedName>
    <definedName function="false" hidden="true" name="QRYSOURCE3" vbProcedure="false">"EXCELRANGE-EXPAND-BQ"</definedName>
    <definedName function="false" hidden="true" name="QRYSOURCE30" vbProcedure="false">"EXCELRANGE-EXPAND-BQ"</definedName>
    <definedName function="false" hidden="true" name="QRYSOURCE4" vbProcedure="false">"EXCELRANGE-EXPAND-BQ"</definedName>
    <definedName function="false" hidden="true" name="QRYSOURCE5" vbProcedure="false">"EXCELRANGE-EXPAND-BQ"</definedName>
    <definedName function="false" hidden="true" name="QRYSOURCE6" vbProcedure="false">"EXCELRANGE-EXPAND-BQ"</definedName>
    <definedName function="false" hidden="true" name="QRYSOURCE7" vbProcedure="false">"EXCELRANGE-EXPAND-BOLO"</definedName>
    <definedName function="false" hidden="true" name="QRYSOURCE8" vbProcedure="false">"EXCELRANGE-EXPAND-BQ"</definedName>
    <definedName function="false" hidden="true" name="QRYWKS1" vbProcedure="false">0</definedName>
    <definedName function="false" hidden="true" name="qrzt" vbProcedure="false">{#N/A,#N/A,FALSE,"Finanzbedarfsrechnung"}</definedName>
    <definedName function="false" hidden="true" name="qs" vbProcedure="false">{#N/A,"PURADD",FALSE,"Business Analysis";#N/A,"PURSPP",FALSE,"Business Analysis";#N/A,"CTGIND",FALSE,"Business Analysis";#N/A,"PURCHM",FALSE,"Business Analysis";#N/A,"SPADD",FALSE,"Business Analysis";#N/A,"EPOXY",FALSE,"Business Analysis";#N/A,"PURPER",FALSE,"Business Analysis"}</definedName>
    <definedName function="false" hidden="true" name="qsdjlgzerg" vbProcedure="false">{#N/A,#N/A,TRUE,"Cover sheet";#N/A,#N/A,TRUE,"DCF analysis";#N/A,#N/A,TRUE,"WACC calculation"}</definedName>
    <definedName function="false" hidden="true" name="qsfd" vbProcedure="false">{#N/A,#N/A,TRUE,"Cover sheet";#N/A,#N/A,TRUE,"INPUTS";#N/A,#N/A,TRUE,"OUTPUTS";#N/A,#N/A,TRUE,"VALUATION"}</definedName>
    <definedName function="false" hidden="true" name="QSS" vbProcedure="false">{#N/A,#N/A,FALSE,"을지 (4)";#N/A,#N/A,FALSE,"을지 (5)";#N/A,#N/A,FALSE,"을지 (6)"}</definedName>
    <definedName function="false" hidden="true" name="qssss" vbProcedure="false">{#N/A,"PURCHM",FALSE,"Business Analysis";#N/A,"SPADD",FALSE,"Business Analysis"}</definedName>
    <definedName function="false" hidden="true" name="qt" vbProcedure="false">{"oct_res_comm",#N/A,FALSE,"VarToBud"}</definedName>
    <definedName function="false" hidden="true" name="QUERY1.user_name" vbProcedure="false">"admin"</definedName>
    <definedName function="false" hidden="true" name="QUICK_RATIO" vbProcedure="false">"QUICK_RATIO"</definedName>
    <definedName function="false" hidden="true" name="quotation" vbProcedure="false">{#N/A,#N/A,FALSE,"단축1";#N/A,#N/A,FALSE,"단축2";#N/A,#N/A,FALSE,"단축3";#N/A,#N/A,FALSE,"장축";#N/A,#N/A,FALSE,"4WD"}</definedName>
    <definedName function="false" hidden="true" name="qw" vbProcedure="false">{#N/A,#N/A,FALSE,"REPORT"}</definedName>
    <definedName function="false" hidden="true" name="QWA" vbProcedure="false">{#N/A,#N/A,FALSE,"을지 (4)";#N/A,#N/A,FALSE,"을지 (5)";#N/A,#N/A,FALSE,"을지 (6)"}</definedName>
    <definedName function="false" hidden="true" name="qwdqwdqad" vbProcedure="false">{#N/A,#N/A,TRUE,"Staffnos &amp; cost"}</definedName>
    <definedName function="false" hidden="true" name="qwe"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qwedqqdq" vbProcedure="false">{#N/A,#N/A,TRUE,"Staffnos &amp; cost"}</definedName>
    <definedName function="false" hidden="true" name="qweqw" vbProcedure="false">{"FY97Q1 var",#N/A,FALSE,"FY97 - Q1";"FY97Q2 var",#N/A,FALSE,"FY97 - Q2";"FY97Q3 var",#N/A,FALSE,"FY97 - Q3";"FY97Q4 var",#N/A,FALSE,"FY97 - Q4"}</definedName>
    <definedName function="false" hidden="true" name="qweqweqwe" vbProcedure="false">{#N/A,#N/A,TRUE,"0 Deckbl.";#N/A,#N/A,TRUE,"S 1 Komm";#N/A,#N/A,TRUE,"S 1a Komm";#N/A,#N/A,TRUE,"S 1b Komm";#N/A,#N/A,TRUE,"S  2 DBR";#N/A,#N/A,TRUE,"S  3 Sparten";#N/A,#N/A,TRUE,"S 4  Betr. K.";#N/A,#N/A,TRUE,"6 Bilanz";#N/A,#N/A,TRUE,"6a Bilanz ";#N/A,#N/A,TRUE,"6b Bilanz ";#N/A,#N/A,TRUE,"7 GS I";#N/A,#N/A,TRUE,"S 8 EQ-GuV"}</definedName>
    <definedName function="false" hidden="true" name="qweqwesg" vbProcedure="false">{#N/A,#N/A,FALSE,"Umsatz CH";#N/A,#N/A,FALSE,"ER CH";#N/A,#N/A,FALSE,"EA CH (2) ";#N/A,#N/A,FALSE,"EA CH";#N/A,#N/A,FALSE,"EA CH (3) ";#N/A,#N/A,FALSE,"EA CH (4)";#N/A,#N/A,FALSE,"KA CH";#N/A,#N/A,FALSE,"KA CH  (2)";#N/A,#N/A,FALSE,"KA CH  (3)";#N/A,#N/A,FALSE,"KA CH (4)"}</definedName>
    <definedName function="false" hidden="true" name="qwer" vbProcedure="false">{"hiden",#N/A,FALSE,"14";"hidden",#N/A,FALSE,"16";"hidden",#N/A,FALSE,"18";"hidden",#N/A,FALSE,"20"}</definedName>
    <definedName function="false" hidden="true" name="qwer23r3r23r" vbProcedure="false">{"GuVGmbH",#N/A,FALSE,"ratios";"BilanzGmbH",#N/A,FALSE,"ratios";"BilanzKG",#N/A,FALSE,"ratios";"GuVKG",#N/A,FALSE,"ratios"}</definedName>
    <definedName function="false" hidden="true" name="qwerq" vbProcedure="false">{#N/A,#N/A,FALSE,"10yr Plan Inputs";#N/A,#N/A,FALSE,"10yr Plan Results";#N/A,#N/A,FALSE,"JV Cost Splits";#N/A,#N/A,FALSE,"JV Variable Costs";#N/A,#N/A,FALSE,"JV Fixed Costs";#N/A,#N/A,FALSE,"Dow Alt Cost 98";#N/A,#N/A,FALSE,"Case Summary"}</definedName>
    <definedName function="false" hidden="true" name="qwerqew" vbProcedure="false">{"mgmt forecast",#N/A,FALSE,"Mgmt Forecast";"dcf table",#N/A,FALSE,"Mgmt Forecast";"sensitivity",#N/A,FALSE,"Mgmt Forecast";"table inputs",#N/A,FALSE,"Mgmt Forecast";"calculations",#N/A,FALSE,"Mgmt Forecast"}</definedName>
    <definedName function="false" hidden="true" name="qwerqewr" vbProcedure="false">{#N/A,#N/A,FALSE,"Calc";#N/A,#N/A,FALSE,"Sensitivity";#N/A,#N/A,FALSE,"LT Earn.Dil.";#N/A,#N/A,FALSE,"Dil. AVP"}</definedName>
    <definedName function="false" hidden="true" name="qwerqwerq" vbProcedure="false">{"assumption 50 50",#N/A,TRUE,"Merger";"has gets cash",#N/A,TRUE,"Merger";"accretion dilution",#N/A,TRUE,"Merger";"comparison credit stats",#N/A,TRUE,"Merger";"pf credit stats",#N/A,TRUE,"Merger";"pf sheets",#N/A,TRUE,"Merger"}</definedName>
    <definedName function="false" hidden="true" name="qwerqwerqwe" vbProcedure="false">{"orixcsc",#N/A,FALSE,"ORIX CSC";"orixcsc2",#N/A,FALSE,"ORIX CSC"}</definedName>
    <definedName function="false" hidden="true" name="qwertqry" vbProcedure="false">{#N/A,#N/A,FALSE,"REPORT"}</definedName>
    <definedName function="false" hidden="true" name="qwetqryetytu" vbProcedure="false">{#N/A,#N/A,FALSE,"Pharm";#N/A,#N/A,FALSE,"WWCM"}</definedName>
    <definedName function="false" hidden="true" name="qwewq" vbProcedure="false">{"FY97Q1",#N/A,FALSE,"FY97 - Q1";"FY97Q2",#N/A,FALSE,"FY97 - Q2";"FY97Q3",#N/A,FALSE,"FY97 - Q3";"FY97Q4",#N/A,FALSE,"FY97 - Q4"}</definedName>
    <definedName function="false" hidden="true" name="qwghngfs"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qwq" vbProcedure="false">{"'Other IPS'!$A$5","'Other IPS'!$A$4:$K$38"}</definedName>
    <definedName function="false" hidden="true" name="qwqw" vbProcedure="false">#REF!</definedName>
    <definedName function="false" hidden="true" name="qwqwqewd"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qwrd" vbProcedure="false">{"ACT",#N/A,FALSE,"Q3Elec P&amp;L fy 99  ";"BUD",#N/A,FALSE,"Q3Elec P&amp;L fy 99  ";"PRIOR",#N/A,FALSE,"Q3Elec P&amp;L fy 99  "}</definedName>
    <definedName function="false" hidden="true" name="qwrq23r3r"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qws" vbProcedure="false">{"QTD_OTHER",#N/A,FALSE,"QTD"}</definedName>
    <definedName function="false" hidden="true" name="qwsa"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qwsd"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qwwe" vbProcedure="false">{#N/A,#N/A,FALSE,"mfg - consol";#N/A,#N/A,FALSE,"mfg - flo";#N/A,#N/A,FALSE,"mfg - lindsay"}</definedName>
    <definedName function="false" hidden="true" name="qwwq" vbProcedure="false">main.sapf4help()</definedName>
    <definedName function="false" hidden="true" name="qwz" vbProcedure="false">{"QTD_HYCO",#N/A,FALSE,"QTD"}</definedName>
    <definedName function="false" hidden="true" name="r.CashFlow" vbProcedure="false">#REF!</definedName>
    <definedName function="false" hidden="true" name="r.Leverage" vbProcedure="false">#REF!</definedName>
    <definedName function="false" hidden="true" name="r.Liquidity" vbProcedure="false">#REF!</definedName>
    <definedName function="false" hidden="true" name="r.LTM" vbProcedure="false">#REF!</definedName>
    <definedName function="false" hidden="true" name="r.LTMInterim" vbProcedure="false">#REF!</definedName>
    <definedName function="false" hidden="true" name="r.Market" vbProcedure="false">#REF!</definedName>
    <definedName function="false" hidden="true" name="r.Profitability" vbProcedure="false">#REF!</definedName>
    <definedName function="false" hidden="true" name="r.Summary" vbProcedure="false">#REF!</definedName>
    <definedName function="false" hidden="true" name="raag" vbProcedure="false">{"reagan is",#N/A,FALSE,"CONS IS";"reagan na",#N/A,FALSE,"NOTE PAYMENTS";"reagan bs",#N/A,FALSE,"CONS BS";"reagan cf",#N/A,FALSE,"CONS BS";"reagan ds",#N/A,FALSE,"CONS BS"}</definedName>
    <definedName function="false" hidden="true" name="rabota" vbProcedure="false">{#N/A,#N/A,TRUE,"0 Deckbl.";#N/A,#N/A,TRUE,"S 1 Komm";#N/A,#N/A,TRUE,"S 1a Komm";#N/A,#N/A,TRUE,"S 1b Komm";#N/A,#N/A,TRUE,"S  2 DBR";#N/A,#N/A,TRUE,"S  3 Sparten";#N/A,#N/A,TRUE,"S 4  Betr. K.";#N/A,#N/A,TRUE,"6 Bilanz";#N/A,#N/A,TRUE,"6a Bilanz ";#N/A,#N/A,TRUE,"6b Bilanz ";#N/A,#N/A,TRUE,"7 GS I";#N/A,#N/A,TRUE,"S 8 EQ-GuV"}</definedName>
    <definedName function="false" hidden="true" name="rachel" vbProcedure="false">#REF!</definedName>
    <definedName function="false" hidden="true" name="rad" vbProcedure="false">{"PACKAGE",#N/A,FALSE,"CM"}</definedName>
    <definedName function="false" hidden="true" name="ramon" vbProcedure="false">{#N/A,#N/A,FALSE,"Indcost";#N/A,#N/A,FALSE,"Plcost";#N/A,#N/A,FALSE,"Mincost";#N/A,#N/A,FALSE,"Produc";#N/A,#N/A,FALSE,"Rev";#N/A,#N/A,FALSE,"Capital";#N/A,#N/A,FALSE,"Wcapital";#N/A,#N/A,FALSE,"Contdep";#N/A,#N/A,FALSE,"Taxdep";#N/A,#N/A,FALSE,"Tax";#N/A,#N/A,FALSE,"S-SDebt";#N/A,#N/A,FALSE,"TotDebt";#N/A,#N/A,FALSE,"Profit";#N/A,#N/A,FALSE,"CFlow";#N/A,#N/A,FALSE,"1996-2012";#N/A,#N/A,FALSE,"Bcesheet"}</definedName>
    <definedName function="false" hidden="true" name="rangename" vbProcedure="false">{#N/A,#N/A,FALSE,"ACQ_GRAPHS";#N/A,#N/A,FALSE,"T_1 GRAPHS";#N/A,#N/A,FALSE,"T_2 GRAPHS";#N/A,#N/A,FALSE,"COMB_GRAPHS"}</definedName>
    <definedName function="false" hidden="true" name="rangename99" vbProcedure="false">{#N/A,#N/A,FALSE,"INPUTS";#N/A,#N/A,FALSE,"PROFORMA BSHEET";#N/A,#N/A,FALSE,"COMBINED";#N/A,#N/A,FALSE,"ACQUIROR";#N/A,#N/A,FALSE,"TARGET 1";#N/A,#N/A,FALSE,"TARGET 2";#N/A,#N/A,FALSE,"HIGH YIELD";#N/A,#N/A,FALSE,"OVERFUND"}</definedName>
    <definedName function="false" hidden="true" name="RawsFIT" vbProcedure="false">{#N/A,#N/A,TRUE,"Summary";#N/A,#N/A,TRUE,"Assumptions";#N/A,#N/A,TRUE,"Comparison";#N/A,#N/A,TRUE,"Financials";#N/A,#N/A,TRUE,"Plan v. Act"}</definedName>
    <definedName function="false" hidden="true" name="ra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true" name="rb"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RCArea" vbProcedure="false">#REF!</definedName>
    <definedName function="false" hidden="true" name="rd"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rderere" vbProcedure="false">{"'comite'!$A$9:$G$44","'comite'!$A$1:$G$6"}</definedName>
    <definedName function="false" hidden="true" name="rdx" vbProcedure="false">{"oct_res_comm",#N/A,FALSE,"VarToBud"}</definedName>
    <definedName function="false" hidden="true" name="rdzkkkkkrk"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RE" vbProcedure="false">{#N/A,#N/A,FALSE,"초도품";#N/A,#N/A,FALSE,"초도품 (2)";#N/A,#N/A,FALSE,"초도품 (3)";#N/A,#N/A,FALSE,"초도품 (4)";#N/A,#N/A,FALSE,"초도품 (5)";#N/A,#N/A,FALSE,"초도품 (6)"}</definedName>
    <definedName function="false" hidden="true" name="rea"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reag10" vbProcedure="false">{"reagan is",#N/A,FALSE,"CONS IS";"reagan na",#N/A,FALSE,"NOTE PAYMENTS";"reagan bs",#N/A,FALSE,"CONS BS";"reagan cf",#N/A,FALSE,"CONS BS";"reagan ds",#N/A,FALSE,"CONS BS"}</definedName>
    <definedName function="false" hidden="true" name="reag5" vbProcedure="false">{"reagan is",#N/A,FALSE,"CONS IS";"reagan na",#N/A,FALSE,"NOTE PAYMENTS";"reagan bs",#N/A,FALSE,"CONS BS";"reagan cf",#N/A,FALSE,"CONS BS";"reagan ds",#N/A,FALSE,"CONS BS"}</definedName>
    <definedName function="false" hidden="true" name="reag55" vbProcedure="false">{"reagan is",#N/A,FALSE,"CONS IS";"reagan na",#N/A,FALSE,"NOTE PAYMENTS";"reagan bs",#N/A,FALSE,"CONS BS";"reagan cf",#N/A,FALSE,"CONS BS";"reagan ds",#N/A,FALSE,"CONS BS"}</definedName>
    <definedName function="false" hidden="true" name="reaga" vbProcedure="false">{"reagan is",#N/A,FALSE,"CONS IS";"reagan na",#N/A,FALSE,"NOTE PAYMENTS";"reagan bs",#N/A,FALSE,"CONS BS";"reagan cf",#N/A,FALSE,"CONS BS";"reagan ds",#N/A,FALSE,"CONS BS"}</definedName>
    <definedName function="false" hidden="true" name="reagan00" vbProcedure="false">{"reagan is",#N/A,FALSE,"CONS IS";"reagan na",#N/A,FALSE,"NOTE PAYMENTS";"reagan bs",#N/A,FALSE,"CONS BS";"reagan cf",#N/A,FALSE,"CONS BS";"reagan ds",#N/A,FALSE,"CONS BS"}</definedName>
    <definedName function="false" hidden="true" name="reagan15" vbProcedure="false">{"reagan is",#N/A,FALSE,"CONS IS";"reagan na",#N/A,FALSE,"NOTE PAYMENTS";"reagan bs",#N/A,FALSE,"CONS BS";"reagan cf",#N/A,FALSE,"CONS BS";"reagan ds",#N/A,FALSE,"CONS BS"}</definedName>
    <definedName function="false" hidden="true" name="reagan2" vbProcedure="false">{"reagan is",#N/A,FALSE,"CONS IS";"reagan na",#N/A,FALSE,"NOTE PAYMENTS";"reagan bs",#N/A,FALSE,"CONS BS";"reagan cf",#N/A,FALSE,"CONS BS";"reagan ds",#N/A,FALSE,"CONS BS"}</definedName>
    <definedName function="false" hidden="true" name="reagan20" vbProcedure="false">{"reagan is",#N/A,FALSE,"CONS IS";"reagan na",#N/A,FALSE,"NOTE PAYMENTS";"reagan bs",#N/A,FALSE,"CONS BS";"reagan cf",#N/A,FALSE,"CONS BS";"reagan ds",#N/A,FALSE,"CONS BS"}</definedName>
    <definedName function="false" hidden="true" name="reagan22" vbProcedure="false">{"reagan is",#N/A,FALSE,"CONS IS";"reagan na",#N/A,FALSE,"NOTE PAYMENTS";"reagan bs",#N/A,FALSE,"CONS BS";"reagan cf",#N/A,FALSE,"CONS BS";"reagan ds",#N/A,FALSE,"CONS BS"}</definedName>
    <definedName function="false" hidden="true" name="reagan26" vbProcedure="false">{"reagan is",#N/A,FALSE,"CONS IS";"reagan na",#N/A,FALSE,"NOTE PAYMENTS";"reagan bs",#N/A,FALSE,"CONS BS";"reagan cf",#N/A,FALSE,"CONS BS";"reagan ds",#N/A,FALSE,"CONS BS"}</definedName>
    <definedName function="false" hidden="true" name="reagan3" vbProcedure="false">{"reagan is",#N/A,FALSE,"CONS IS";"reagan na",#N/A,FALSE,"NOTE PAYMENTS";"reagan bs",#N/A,FALSE,"CONS BS";"reagan cf",#N/A,FALSE,"CONS BS";"reagan ds",#N/A,FALSE,"CONS BS"}</definedName>
    <definedName function="false" hidden="true" name="reagan30" vbProcedure="false">{"reagan is",#N/A,FALSE,"CONS IS";"reagan na",#N/A,FALSE,"NOTE PAYMENTS";"reagan bs",#N/A,FALSE,"CONS BS";"reagan cf",#N/A,FALSE,"CONS BS";"reagan ds",#N/A,FALSE,"CONS BS"}</definedName>
    <definedName function="false" hidden="true" name="reagan33" vbProcedure="false">{"reagan is",#N/A,FALSE,"CONS IS";"reagan na",#N/A,FALSE,"NOTE PAYMENTS";"reagan bs",#N/A,FALSE,"CONS BS";"reagan cf",#N/A,FALSE,"CONS BS";"reagan ds",#N/A,FALSE,"CONS BS"}</definedName>
    <definedName function="false" hidden="true" name="reagan4" vbProcedure="false">{"reagan is",#N/A,FALSE,"CONS IS";"reagan na",#N/A,FALSE,"NOTE PAYMENTS";"reagan bs",#N/A,FALSE,"CONS BS";"reagan cf",#N/A,FALSE,"CONS BS";"reagan ds",#N/A,FALSE,"CONS BS"}</definedName>
    <definedName function="false" hidden="true" name="reagan44" vbProcedure="false">{"reagan is",#N/A,FALSE,"CONS IS";"reagan na",#N/A,FALSE,"NOTE PAYMENTS";"reagan bs",#N/A,FALSE,"CONS BS";"reagan cf",#N/A,FALSE,"CONS BS";"reagan ds",#N/A,FALSE,"CONS BS"}</definedName>
    <definedName function="false" hidden="true" name="reagan5" vbProcedure="false">{"reagan is",#N/A,FALSE,"CONS IS";"reagan na",#N/A,FALSE,"NOTE PAYMENTS";"reagan bs",#N/A,FALSE,"CONS BS";"reagan cf",#N/A,FALSE,"CONS BS";"reagan ds",#N/A,FALSE,"CONS BS"}</definedName>
    <definedName function="false" hidden="true" name="reagan55" vbProcedure="false">{"reagan is",#N/A,FALSE,"CONS IS";"reagan na",#N/A,FALSE,"NOTE PAYMENTS";"reagan bs",#N/A,FALSE,"CONS BS";"reagan cf",#N/A,FALSE,"CONS BS";"reagan ds",#N/A,FALSE,"CONS BS"}</definedName>
    <definedName function="false" hidden="true" name="reagan7" vbProcedure="false">{"reagan is",#N/A,FALSE,"CONS IS";"reagan na",#N/A,FALSE,"NOTE PAYMENTS";"reagan bs",#N/A,FALSE,"CONS BS";"reagan cf",#N/A,FALSE,"CONS BS";"reagan ds",#N/A,FALSE,"CONS BS"}</definedName>
    <definedName function="false" hidden="true" name="reagan9" vbProcedure="false">{"reagan is",#N/A,FALSE,"CONS IS";"reagan na",#N/A,FALSE,"NOTE PAYMENTS";"reagan bs",#N/A,FALSE,"CONS BS";"reagan cf",#N/A,FALSE,"CONS BS";"reagan ds",#N/A,FALSE,"CONS BS"}</definedName>
    <definedName function="false" hidden="true" name="reagan99" vbProcedure="false">{"reagan is",#N/A,FALSE,"CONS IS";"reagan na",#N/A,FALSE,"NOTE PAYMENTS";"reagan bs",#N/A,FALSE,"CONS BS";"reagan cf",#N/A,FALSE,"CONS BS";"reagan ds",#N/A,FALSE,"CONS BS"}</definedName>
    <definedName function="false" hidden="true" name="reagsrth65"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Recap_scenario" vbProcedure="false">{"cap_structure",#N/A,FALSE,"Graph-Mkt Cap";"price",#N/A,FALSE,"Graph-Price";"ebit",#N/A,FALSE,"Graph-EBITDA";"ebitda",#N/A,FALSE,"Graph-EBITDA"}</definedName>
    <definedName function="false" hidden="true" name="reconcil1" vbProcedure="false">{"Reconciliation",#N/A,FALSE,"Page 2"}</definedName>
    <definedName function="false" hidden="true" name="REDEEM_PREF_STOCK" vbProcedure="false">"REDEEM_PREF_STOCK"</definedName>
    <definedName function="false" hidden="true" name="RedefinePrintTableRange" vbProcedure="false">#REF!</definedName>
    <definedName function="false" hidden="true" name="redo" vbProcedure="false">{#N/A,#N/A,FALSE,"ACQ_GRAPHS";#N/A,#N/A,FALSE,"T_1 GRAPHS";#N/A,#N/A,FALSE,"T_2 GRAPHS";#N/A,#N/A,FALSE,"COMB_GRAPHS"}</definedName>
    <definedName function="false" hidden="true" name="redo4" vbProcedure="false">{#N/A,#N/A,FALSE,"ACQ_GRAPHS";#N/A,#N/A,FALSE,"T_1 GRAPHS";#N/A,#N/A,FALSE,"T_2 GRAPHS";#N/A,#N/A,FALSE,"COMB_GRAPHS"}</definedName>
    <definedName function="false" hidden="true" name="redsox" vbProcedure="false">{#N/A,#N/A,FALSE,"ADNAMES.XLS";#N/A,#N/A,FALSE,"EQNAMES.XLS";#N/A,#N/A,FALSE,"INNAMES.XLS";#N/A,#N/A,FALSE,"HYNAMES.XLS";#N/A,#N/A,FALSE,"FIXNAMES.XLS";#N/A,#N/A,FALSE,"MONNAMES.XLS";#N/A,#N/A,FALSE,"TECNAMES.XLS"}</definedName>
    <definedName function="false" hidden="true" name="reeag" vbProcedure="false">{"reagan is",#N/A,FALSE,"CONS IS";"reagan na",#N/A,FALSE,"NOTE PAYMENTS";"reagan bs",#N/A,FALSE,"CONS BS";"reagan cf",#N/A,FALSE,"CONS BS";"reagan ds",#N/A,FALSE,"CONS BS"}</definedName>
    <definedName function="false" hidden="true" name="rege" vbProcedure="false">{#N/A,#N/A,TRUE,"Historicals";#N/A,#N/A,TRUE,"Charts";#N/A,#N/A,TRUE,"Forecasts"}</definedName>
    <definedName function="false" hidden="true" name="reggie" vbProcedure="false">{#N/A,#N/A,FALSE,"Pharm";#N/A,#N/A,FALSE,"WWCM"}</definedName>
    <definedName function="false" hidden="true" name="Regional" vbProcedure="false">{#N/A,#N/A,TRUE,"coll"}</definedName>
    <definedName function="false" hidden="true" name="regmult" vbProcedure="false">#REF!</definedName>
    <definedName function="false" hidden="true" name="regre" vbProcedure="false">{#N/A,#N/A,FALSE,"단축1";#N/A,#N/A,FALSE,"단축2";#N/A,#N/A,FALSE,"단축3";#N/A,#N/A,FALSE,"장축";#N/A,#N/A,FALSE,"4WD"}</definedName>
    <definedName function="false" hidden="true" name="Regression" vbProcedure="false">#REF!</definedName>
    <definedName function="false" hidden="true" name="RegY" vbProcedure="false">#REF!</definedName>
    <definedName function="false" hidden="true" name="rename_of_wrn.CSC" vbProcedure="false">{"page1",#N/A,TRUE,"CSC";"page2",#N/A,TRUE,"CSC"}</definedName>
    <definedName function="false" hidden="true" name="renata" vbProcedure="false">{"'comite'!$A$9:$G$44","'comite'!$A$1:$G$6"}</definedName>
    <definedName function="false" hidden="true" name="renatar" vbProcedure="false">{"'comite'!$A$9:$G$44","'comite'!$A$1:$G$6"}</definedName>
    <definedName function="false" hidden="true" name="Replacement" vbProcedure="false">{#N/A,#N/A,FALSE,"Cover";#N/A,#N/A,FALSE,"Assumptions";#N/A,#N/A,FALSE,"Riseborough";#N/A,#N/A,FALSE,"Henleigh";#N/A,#N/A,FALSE,"Summerdale";#N/A,#N/A,FALSE,"Emberbrook";#N/A,#N/A,FALSE,"Murrayfield";#N/A,#N/A,FALSE,"Lansdowne";#N/A,#N/A,FALSE,"Uplands";#N/A,#N/A,FALSE,"Charlton";#N/A,#N/A,FALSE,"Kingston";#N/A,#N/A,FALSE,"Norwood";#N/A,#N/A,FALSE,"Morecambe";#N/A,#N/A,FALSE,"Tennent";#N/A,#N/A,FALSE,"Glencairn";#N/A,#N/A,FALSE,"Maple";#N/A,#N/A,FALSE,"Hilltop";#N/A,#N/A,FALSE,"Meadowbrook";#N/A,#N/A,FALSE,"Pine";#N/A,#N/A,FALSE,"Rosedale";#N/A,#N/A,FALSE,"Randolph";#N/A,#N/A,FALSE,"Springfields";#N/A,#N/A,FALSE,"Bickleigh";#N/A,#N/A,FALSE,"Elms";#N/A,#N/A,FALSE,"Cherry";#N/A,#N/A,FALSE,"Berwick";#N/A,#N/A,FALSE,"Beechcare";#N/A,#N/A,FALSE,"Ashurst";#N/A,#N/A,FALSE,"P&amp;L";#N/A,#N/A,FALSE,"CFS"}</definedName>
    <definedName function="false" hidden="true" name="ReportGroup" vbProcedure="false">0</definedName>
    <definedName function="false" hidden="true" name="ReportPage1" vbProcedure="false">{"Annual_Income",#N/A,FALSE,"Report Page";"Balance_Cash_Flow",#N/A,FALSE,"Report Page";"Quarterly_Income",#N/A,FALSE,"Report Page"}</definedName>
    <definedName function="false" hidden="true" name="rer" vbProcedure="false">{#N/A,#N/A,FALSE,"Operations";#N/A,#N/A,FALSE,"Financials"}</definedName>
    <definedName function="false" hidden="true" name="rere" vbProcedure="false">{#N/A,#N/A,FALSE,"ORIX CSC"}</definedName>
    <definedName function="false" hidden="true" name="rerere" vbProcedure="false">{"mgmt forecast",#N/A,FALSE,"Mgmt Forecast";"dcf table",#N/A,FALSE,"Mgmt Forecast";"sensitivity",#N/A,FALSE,"Mgmt Forecast";"table inputs",#N/A,FALSE,"Mgmt Forecast";"calculations",#N/A,FALSE,"Mgmt Forecast"}</definedName>
    <definedName function="false" hidden="true" name="RESEARCH_DEV" vbProcedure="false">"RESEARCH_DEV"</definedName>
    <definedName function="false" hidden="true" name="RESISTOR" vbProcedure="false">{#N/A,#N/A,FALSE,"단축1";#N/A,#N/A,FALSE,"단축2";#N/A,#N/A,FALSE,"단축3";#N/A,#N/A,FALSE,"장축";#N/A,#N/A,FALSE,"4WD"}</definedName>
    <definedName function="false" hidden="true" name="resources" vbProcedure="false">{#N/A,#N/A,FALSE,"Assessment";#N/A,#N/A,FALSE,"Staffing";#N/A,#N/A,FALSE,"Hires";#N/A,#N/A,FALSE,"Assumptions"}</definedName>
    <definedName function="false" hidden="true" name="resp." vbProcedure="false">{#N/A,#N/A,FALSE,"Pharm";#N/A,#N/A,FALSE,"WWCM"}</definedName>
    <definedName function="false" hidden="true" name="RestatedActuals" vbProcedure="false">{#N/A,#N/A,FALSE,"Aging Summary";#N/A,#N/A,FALSE,"Ratio Analysis";#N/A,#N/A,FALSE,"Test 120 Day Accts";#N/A,#N/A,FALSE,"Tickmarks"}</definedName>
    <definedName function="false" hidden="true" name="results" vbProcedure="false">{"FCB_ALL",#N/A,FALSE,"FCB"}</definedName>
    <definedName function="false" hidden="true" name="Results1_FooterType" vbProcedure="false">"INTERNAL"</definedName>
    <definedName function="false" hidden="true" name="Results2_FooterType" vbProcedure="false">"INTERNAL"</definedName>
    <definedName function="false" hidden="true" name="Results3_FooterType" vbProcedure="false">"INTERNAL"</definedName>
    <definedName function="false" hidden="true" name="RETAINED_EARN" vbProcedure="false">"RETAINED_EARN"</definedName>
    <definedName function="false" hidden="true" name="rettw"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RETURN_ASSETS" vbProcedure="false">"RETURN_ASSETS"</definedName>
    <definedName function="false" hidden="true" name="RETURN_EQUITY" vbProcedure="false">"RETURN_EQUITY"</definedName>
    <definedName function="false" hidden="true" name="RETURN_INVESTMENT" vbProcedure="false">"RETURN_INVESTMENT"</definedName>
    <definedName function="false" hidden="true" name="retwrt" vbProcedure="false">{"WACC",#N/A,FALSE,"Bewertung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function="false" hidden="true" name="reveff" vbProcedure="false">{#N/A,#N/A,FALSE,"Key No's by Month - Disc";#N/A,#N/A,FALSE,"Key No's - YTD";#N/A,#N/A,FALSE,"Key No's by Qua";#N/A,#N/A,FALSE,"BR W.Fall";#N/A,#N/A,FALSE,"CR W.Fall";#N/A,#N/A,FALSE,"PBT W.Fall";#N/A,#N/A,FALSE,"Costs W.Fall";#N/A,#N/A,FALSE,"Master";#N/A,#N/A,FALSE,"cr,br,pbt,costs";#N/A,#N/A,FALSE,"Cost Analysis - DC";#N/A,#N/A,FALSE,"Cost Analysis - DT";#N/A,#N/A,FALSE,"Cost Analysis - POS";#N/A,#N/A,FALSE,"Cost Analysis - Po4";#N/A,#N/A,FALSE,"Cost Analysis - SL";#N/A,#N/A,FALSE,"Cost Analysis - ET";#N/A,#N/A,FALSE,"Cost Analysis - HQ";#N/A,#N/A,FALSE,"Cost Analysis - Elim";#N/A,#N/A,FALSE,"Cost Analysis - Cont";#N/A,#N/A,FALSE,"Cost Analysis - Top";#N/A,#N/A,FALSE,"Manexec Report";#N/A,#N/A,FALSE,"Bal Sheet"}</definedName>
    <definedName function="false" hidden="true" name="REVENUE_10K" vbProcedure="false">"REVENUE_10K"</definedName>
    <definedName function="false" hidden="true" name="REVENUE_10Q" vbProcedure="false">"REVENUE_10Q"</definedName>
    <definedName function="false" hidden="true" name="REVENUE_10Q1" vbProcedure="false">"REVENUE_10Q1"</definedName>
    <definedName function="false" hidden="true" name="REVENUE_EST" vbProcedure="false">"REVENUE_EST"</definedName>
    <definedName function="false" hidden="true" name="REVENUE_EST_1" vbProcedure="false">"REVENUE_EST_1"</definedName>
    <definedName function="false" hidden="true" name="REVENUE_GROWTH_1" vbProcedure="false">"REVENUE_GROWTH_1"</definedName>
    <definedName function="false" hidden="true" name="REVENUE_GROWTH_2" vbProcedure="false">"REVENUE_GROWTH_2"</definedName>
    <definedName function="false" hidden="true" name="revise" vbProcedure="false">40349.759212963</definedName>
    <definedName function="false" hidden="true" name="rewq" vbProcedure="false">{"sales growth",#N/A,FALSE,"summary";"oper income",#N/A,FALSE,"summary";"oros rank",#N/A,FALSE,"summary";"net assets",#N/A,FALSE,"summary";"asset turnover",#N/A,FALSE,"summary";"orona",#N/A,FALSE,"summary"}</definedName>
    <definedName function="false" hidden="true" name="rewtet" vbProcedure="false">{#N/A,#N/A,FALSE,"Umsatz 99";#N/A,#N/A,FALSE,"ER 99 "}</definedName>
    <definedName function="false" hidden="true" name="reztetrert" vbProcedure="false">{"comps",#N/A,FALSE,"HANDPACK";"footnotes",#N/A,FALSE,"HANDPACK"}</definedName>
    <definedName function="false" hidden="true" name="rf"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rf2e" vbProcedure="false">{#N/A,#N/A,FALSE,"Pharm";#N/A,#N/A,FALSE,"WWCM"}</definedName>
    <definedName function="false" hidden="true" name="rffgghgh"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rftt" vbProcedure="false">{"HUBAN","COMPANIES",TRUE}</definedName>
    <definedName function="false" hidden="true" name="rfvbgft" vbProcedure="false">{#N/A,#N/A,FALSE,"Performance Flash Report"}</definedName>
    <definedName function="false" hidden="true" name="rgargs" vbProcedure="false">{#N/A,#N/A,TRUE,"Historicals";#N/A,#N/A,TRUE,"Charts";#N/A,#N/A,TRUE,"Forecasts"}</definedName>
    <definedName function="false" hidden="true" name="rgheh" vbProcedure="false">{#N/A,#N/A,FALSE,"단축1";#N/A,#N/A,FALSE,"단축2";#N/A,#N/A,FALSE,"단축3";#N/A,#N/A,FALSE,"장축";#N/A,#N/A,FALSE,"4WD"}</definedName>
    <definedName function="false" hidden="true" name="RGLSheetVisible" vbProcedure="false">#REF!</definedName>
    <definedName function="false" hidden="true" name="rgr" vbProcedure="false">{"ReportTop",#N/A,FALSE,"report top"}</definedName>
    <definedName function="false" hidden="true" name="rgwgsdfg" vbProcedure="false">{#N/A,#N/A,TRUE,"Historicals";#N/A,#N/A,TRUE,"Charts";#N/A,#N/A,TRUE,"Forecasts"}</definedName>
    <definedName function="false" hidden="true" name="rhrsery" vbProcedure="false">{"'Other IPS'!$A$5","'Other IPS'!$A$4:$K$38"}</definedName>
    <definedName function="false" hidden="true" name="rhtn" vbProcedure="false">word</definedName>
    <definedName function="false" hidden="true" name="ribs" vbProcedure="false">{#N/A,#N/A,TRUE,"PSG Total Contacts";#N/A,#N/A,TRUE,"PSG Rep Total";#N/A,#N/A,TRUE,"Core Rep Detail";#N/A,#N/A,TRUE,"BC Rep Detail";#N/A,#N/A,TRUE,"Marlboro";#N/A,#N/A,TRUE,"Covington";#N/A,#N/A,TRUE,"Dallas";#N/A,#N/A,TRUE,"VRS Stats";#N/A,#N/A,TRUE,"Internet";#N/A,#N/A,TRUE,"NCO and Call Mix";#N/A,#N/A,TRUE,"VRS &amp; Rep Calls"}</definedName>
    <definedName function="false" hidden="true" name="riiu" vbProcedure="false">{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function="false" hidden="true" name="RiskAfterRecalcMacro" vbProcedure="false">""</definedName>
    <definedName function="false" hidden="true" name="RiskAfterSimMacro" vbProcedure="false">""</definedName>
    <definedName function="false" hidden="true" name="RiskBeforeRecalcMacro" vbProcedure="false">""</definedName>
    <definedName function="false" hidden="true" name="RiskBeforeSimMacro" vbProcedure="false">""</definedName>
    <definedName function="false" hidden="true" name="RiskCollectDistributionSamples" vbProcedure="false">2</definedName>
    <definedName function="false" hidden="true" name="RiskFixedSeed" vbProcedure="false">1</definedName>
    <definedName function="false" hidden="true" name="RiskHasSettings" vbProcedure="false">5</definedName>
    <definedName function="false" hidden="true" name="RiskMinimizeOnStart" vbProcedure="false">FALSE()</definedName>
    <definedName function="false" hidden="true" name="RiskMonitorConvergence" vbProcedure="false">FALSE()</definedName>
    <definedName function="false" hidden="true" name="RiskMultipleCPUSupportEnabled" vbProcedure="false">TRUE()</definedName>
    <definedName function="false" hidden="true" name="RiskNumIterations" vbProcedure="false">1000</definedName>
    <definedName function="false" hidden="true" name="RiskNumSimulations" vbProcedure="false">1</definedName>
    <definedName function="false" hidden="true" name="RiskPauseOnError" vbProcedure="false">FALSE()</definedName>
    <definedName function="false" hidden="true" name="RiskRunAfterRecalcMacro" vbProcedure="false">FALSE()</definedName>
    <definedName function="false" hidden="true" name="RiskRunAfterSimMacro" vbProcedure="false">FALSE()</definedName>
    <definedName function="false" hidden="true" name="RiskRunBeforeRecalcMacro" vbProcedure="false">FALSE()</definedName>
    <definedName function="false" hidden="true" name="RiskRunBeforeSimMacro" vbProcedure="false">FALSE()</definedName>
    <definedName function="false" hidden="true" name="RiskSamplingType" vbProcedure="false">3</definedName>
    <definedName function="false" hidden="true" name="RiskStandardRecalc" vbProcedure="false">1</definedName>
    <definedName function="false" hidden="true" name="RiskUpdateDisplay" vbProcedure="false">FALSE()</definedName>
    <definedName function="false" hidden="true" name="RiskUseDifferentSeedForEachSim" vbProcedure="false">FALSE()</definedName>
    <definedName function="false" hidden="true" name="RiskUseFixedSeed" vbProcedure="false">FALSE()</definedName>
    <definedName function="false" hidden="true" name="RiskUseMultipleCPUs" vbProcedure="false">TRUE()</definedName>
    <definedName function="false" hidden="true" name="rixi" vbProcedure="false">{"oct_res_comm",#N/A,FALSE,"VarToBud"}</definedName>
    <definedName function="false" hidden="true" name="rjod" vbProcedure="false">{"detail",#N/A,FALSE,"mfg";"summary",#N/A,FALSE,"mfg"}</definedName>
    <definedName function="false" hidden="true" name="rjrjk"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rjz" vbProcedure="false">{#N/A,#N/A,FALSE,"bel";#N/A,#N/A,FALSE,"neth"}</definedName>
    <definedName function="false" hidden="true" name="RKIII" vbProcedure="false">{#N/A,#N/A,FALSE,"단축1";#N/A,#N/A,FALSE,"단축2";#N/A,#N/A,FALSE,"단축3";#N/A,#N/A,FALSE,"장축";#N/A,#N/A,FALSE,"4WD"}</definedName>
    <definedName function="false" hidden="true" name="rkods" vbProcedure="false">{"detail",#N/A,FALSE,"mfg";"summary",#N/A,FALSE,"mfg"}</definedName>
    <definedName function="false" hidden="true" name="RKRKR" vbProcedure="false">{#N/A,#N/A,FALSE,"초도품";#N/A,#N/A,FALSE,"초도품 (2)";#N/A,#N/A,FALSE,"초도품 (3)";#N/A,#N/A,FALSE,"초도품 (4)";#N/A,#N/A,FALSE,"초도품 (5)";#N/A,#N/A,FALSE,"초도품 (6)"}</definedName>
    <definedName function="false" hidden="true" name="RKRKRKRKKR" vbProcedure="false">{#N/A,#N/A,FALSE,"단축1";#N/A,#N/A,FALSE,"단축2";#N/A,#N/A,FALSE,"단축3";#N/A,#N/A,FALSE,"장축";#N/A,#N/A,FALSE,"4WD"}</definedName>
    <definedName function="false" hidden="true" name="rngComments" vbProcedure="false">#REF!</definedName>
    <definedName function="false" hidden="true" name="rngDialogType" vbProcedure="false">#REF!</definedName>
    <definedName function="false" hidden="true" name="rngEndDate" vbProcedure="false">#REF!</definedName>
    <definedName function="false" hidden="true" name="rngLastQuery" vbProcedure="false">#REF!</definedName>
    <definedName function="false" hidden="true" name="rngLastRefreshOffline" vbProcedure="false">#REF!</definedName>
    <definedName function="false" hidden="true" name="rngPassword" vbProcedure="false">#REF!</definedName>
    <definedName function="false" hidden="true" name="rngPivotLocation" vbProcedure="false">#REF!</definedName>
    <definedName function="false" hidden="true" name="rngProtected" vbProcedure="false">#REF!</definedName>
    <definedName function="false" hidden="true" name="rngPWD" vbProcedure="false">#REF!</definedName>
    <definedName function="false" hidden="true" name="rngQuery" vbProcedure="false">#REF!</definedName>
    <definedName function="false" hidden="true" name="rngQueryType" vbProcedure="false">#REF!</definedName>
    <definedName function="false" hidden="true" name="rngRangeName" vbProcedure="false">#REF!</definedName>
    <definedName function="false" hidden="true" name="rngRefreshedDate" vbProcedure="false">#REF!</definedName>
    <definedName function="false" hidden="true" name="rngScenarios" vbProcedure="false">#REF!</definedName>
    <definedName function="false" hidden="true" name="rngShow" vbProcedure="false">#REF!</definedName>
    <definedName function="false" hidden="true" name="rngStartDate" vbProcedure="false">#REF!</definedName>
    <definedName function="false" hidden="true" name="rngStoredProcedure" vbProcedure="false">#REF!</definedName>
    <definedName function="false" hidden="true" name="rngUID" vbProcedure="false">#REF!</definedName>
    <definedName function="false" hidden="true" name="rngUnplugged" vbProcedure="false">#REF!</definedName>
    <definedName function="false" hidden="true" name="rngVersion" vbProcedure="false">#REF!</definedName>
    <definedName function="false" hidden="true" name="Robert2" vbProcedure="false">{"DCF",#N/A,FALSE,"CF"}</definedName>
    <definedName function="false" hidden="true" name="Rohertrag" vbProcedure="false">#REF!</definedName>
    <definedName function="false" hidden="true" name="RohertragK" vbProcedure="false">#REF!</definedName>
    <definedName function="false" hidden="true" name="RohertragM" vbProcedure="false">#REF!</definedName>
    <definedName function="false" hidden="true" name="RohertragN" vbProcedure="false">#REF!</definedName>
    <definedName function="false" hidden="true" name="Rohertrag_" vbProcedure="false">#REF!</definedName>
    <definedName function="false" hidden="true" name="rohig" vbProcedure="false">{#N/A,#N/A,TRUE,"Staffnos &amp; cost"}</definedName>
    <definedName function="false" hidden="true" name="romi" vbProcedure="false">{#N/A,#N/A,FALSE,"Indcost";#N/A,#N/A,FALSE,"Plcost";#N/A,#N/A,FALSE,"Mincost";#N/A,#N/A,FALSE,"Produc";#N/A,#N/A,FALSE,"Rev";#N/A,#N/A,FALSE,"Capital";#N/A,#N/A,FALSE,"Wcapital";#N/A,#N/A,FALSE,"Contdep";#N/A,#N/A,FALSE,"Taxdep";#N/A,#N/A,FALSE,"Tax";#N/A,#N/A,FALSE,"S-SDebt";#N/A,#N/A,FALSE,"TotDebt";#N/A,#N/A,FALSE,"Profit";#N/A,#N/A,FALSE,"CFlow";#N/A,#N/A,FALSE,"1996-2012";#N/A,#N/A,FALSE,"Bcesheet"}</definedName>
    <definedName function="false" hidden="true" name="Rplacement" vbProcedure="false">{#N/A,#N/A,FALSE,"Cover";#N/A,#N/A,FALSE,"Assumptions";#N/A,#N/A,FALSE,"Riseborough";#N/A,#N/A,FALSE,"Henleigh";#N/A,#N/A,FALSE,"Summerdale";#N/A,#N/A,FALSE,"Emberbrook";#N/A,#N/A,FALSE,"Murrayfield";#N/A,#N/A,FALSE,"Lansdowne";#N/A,#N/A,FALSE,"Uplands";#N/A,#N/A,FALSE,"Charlton";#N/A,#N/A,FALSE,"Kingston";#N/A,#N/A,FALSE,"Norwood";#N/A,#N/A,FALSE,"Morecambe";#N/A,#N/A,FALSE,"Tennent";#N/A,#N/A,FALSE,"Glencairn";#N/A,#N/A,FALSE,"Maple";#N/A,#N/A,FALSE,"Hilltop";#N/A,#N/A,FALSE,"Meadowbrook";#N/A,#N/A,FALSE,"Pine";#N/A,#N/A,FALSE,"Rosedale";#N/A,#N/A,FALSE,"Randolph";#N/A,#N/A,FALSE,"Springfields";#N/A,#N/A,FALSE,"Bickleigh";#N/A,#N/A,FALSE,"Elms";#N/A,#N/A,FALSE,"Cherry";#N/A,#N/A,FALSE,"Berwick";#N/A,#N/A,FALSE,"Beechcare";#N/A,#N/A,FALSE,"Ashurst";#N/A,#N/A,FALSE,"P&amp;L";#N/A,#N/A,FALSE,"CFS"}</definedName>
    <definedName function="false" hidden="true" name="RPSIA" vbProcedure="false">{"'Supply Chain'!$B$1:$AB$13"}</definedName>
    <definedName function="false" hidden="true" name="RPTCOUNT" vbProcedure="false">1</definedName>
    <definedName function="false" hidden="true" name="RPTID" vbProcedure="false">0</definedName>
    <definedName function="false" hidden="true" name="RPTNEXT" vbProcedure="false">2</definedName>
    <definedName function="false" hidden="true" name="RPTQRY1" vbProcedure="false">1</definedName>
    <definedName function="false" hidden="true" name="RPTQRY10" vbProcedure="false">"sRptNo"</definedName>
    <definedName function="false" hidden="true" name="RPTQRY11" vbProcedure="false">5</definedName>
    <definedName function="false" hidden="true" name="RPTQRY12" vbProcedure="false">6</definedName>
    <definedName function="false" hidden="true" name="RPTQRY13" vbProcedure="false">16</definedName>
    <definedName function="false" hidden="true" name="RPTQRY14" vbProcedure="false">22</definedName>
    <definedName function="false" hidden="true" name="RPTQRY15" vbProcedure="false">18</definedName>
    <definedName function="false" hidden="true" name="RPTQRY16" vbProcedure="false">18</definedName>
    <definedName function="false" hidden="true" name="RPTQRY17" vbProcedure="false">19</definedName>
    <definedName function="false" hidden="true" name="RPTQRY18" vbProcedure="false">17</definedName>
    <definedName function="false" hidden="true" name="RPTQRY19" vbProcedure="false">17</definedName>
    <definedName function="false" hidden="true" name="RPTQRY2" vbProcedure="false">2</definedName>
    <definedName function="false" hidden="true" name="RPTQRY20" vbProcedure="false">17</definedName>
    <definedName function="false" hidden="true" name="RPTQRY21" vbProcedure="false">17</definedName>
    <definedName function="false" hidden="true" name="RPTQRY22" vbProcedure="false">17</definedName>
    <definedName function="false" hidden="true" name="RPTQRY23" vbProcedure="false">17</definedName>
    <definedName function="false" hidden="true" name="RPTQRY24" vbProcedure="false">17</definedName>
    <definedName function="false" hidden="true" name="RPTQRY25" vbProcedure="false">17</definedName>
    <definedName function="false" hidden="true" name="RPTQRY26" vbProcedure="false">17</definedName>
    <definedName function="false" hidden="true" name="RPTQRY27" vbProcedure="false">" "</definedName>
    <definedName function="false" hidden="true" name="RPTQRY28" vbProcedure="false">17</definedName>
    <definedName function="false" hidden="true" name="RPTQRY29" vbProcedure="false">17</definedName>
    <definedName function="false" hidden="true" name="RPTQRY3" vbProcedure="false">2</definedName>
    <definedName function="false" hidden="true" name="RPTQRY30" vbProcedure="false">17</definedName>
    <definedName function="false" hidden="true" name="RPTQRY31" vbProcedure="false">17</definedName>
    <definedName function="false" hidden="true" name="RPTQRY32" vbProcedure="false">17</definedName>
    <definedName function="false" hidden="true" name="RPTQRY33" vbProcedure="false">20</definedName>
    <definedName function="false" hidden="true" name="RPTQRY34" vbProcedure="false">17</definedName>
    <definedName function="false" hidden="true" name="RPTQRY35" vbProcedure="false">20</definedName>
    <definedName function="false" hidden="true" name="RPTQRY36" vbProcedure="false">20</definedName>
    <definedName function="false" hidden="true" name="RPTQRY37" vbProcedure="false">22</definedName>
    <definedName function="false" hidden="true" name="RPTQRY38" vbProcedure="false">22</definedName>
    <definedName function="false" hidden="true" name="RPTQRY39" vbProcedure="false">22</definedName>
    <definedName function="false" hidden="true" name="RPTQRY4" vbProcedure="false">2</definedName>
    <definedName function="false" hidden="true" name="RPTQRY40" vbProcedure="false">22</definedName>
    <definedName function="false" hidden="true" name="RPTQRY41" vbProcedure="false">22</definedName>
    <definedName function="false" hidden="true" name="RPTQRY42" vbProcedure="false">23</definedName>
    <definedName function="false" hidden="true" name="RPTQRY43" vbProcedure="false">23</definedName>
    <definedName function="false" hidden="true" name="RPTQRY44" vbProcedure="false">23</definedName>
    <definedName function="false" hidden="true" name="RPTQRY45" vbProcedure="false">22</definedName>
    <definedName function="false" hidden="true" name="RPTQRY46" vbProcedure="false">24</definedName>
    <definedName function="false" hidden="true" name="RPTQRY47" vbProcedure="false">22</definedName>
    <definedName function="false" hidden="true" name="RPTQRY48" vbProcedure="false">22</definedName>
    <definedName function="false" hidden="true" name="RPTQRY49" vbProcedure="false">22</definedName>
    <definedName function="false" hidden="true" name="RPTQRY5" vbProcedure="false">3</definedName>
    <definedName function="false" hidden="true" name="RPTQRY50" vbProcedure="false">20</definedName>
    <definedName function="false" hidden="true" name="RPTQRY51" vbProcedure="false">20</definedName>
    <definedName function="false" hidden="true" name="RPTQRY52" vbProcedure="false">20</definedName>
    <definedName function="false" hidden="true" name="RPTQRY53" vbProcedure="false">20</definedName>
    <definedName function="false" hidden="true" name="RPTQRY54" vbProcedure="false">20</definedName>
    <definedName function="false" hidden="true" name="RPTQRY55" vbProcedure="false">20</definedName>
    <definedName function="false" hidden="true" name="RPTQRY56" vbProcedure="false">21</definedName>
    <definedName function="false" hidden="true" name="RPTQRY57" vbProcedure="false">20</definedName>
    <definedName function="false" hidden="true" name="RPTQRY58" vbProcedure="false">20</definedName>
    <definedName function="false" hidden="true" name="RPTQRY59" vbProcedure="false">21</definedName>
    <definedName function="false" hidden="true" name="RPTQRY6" vbProcedure="false">3</definedName>
    <definedName function="false" hidden="true" name="RPTQRY60" vbProcedure="false">20</definedName>
    <definedName function="false" hidden="true" name="RPTQRY61" vbProcedure="false">20</definedName>
    <definedName function="false" hidden="true" name="RPTQRY62" vbProcedure="false">21</definedName>
    <definedName function="false" hidden="true" name="RPTQRY63" vbProcedure="false">20</definedName>
    <definedName function="false" hidden="true" name="RPTQRY64" vbProcedure="false">24</definedName>
    <definedName function="false" hidden="true" name="RPTQRY65" vbProcedure="false">23</definedName>
    <definedName function="false" hidden="true" name="RPTQRY66" vbProcedure="false">25</definedName>
    <definedName function="false" hidden="true" name="RPTQRY67" vbProcedure="false">25</definedName>
    <definedName function="false" hidden="true" name="RPTQRY68" vbProcedure="false">25</definedName>
    <definedName function="false" hidden="true" name="RPTQRY69" vbProcedure="false">26</definedName>
    <definedName function="false" hidden="true" name="RPTQRY7" vbProcedure="false">2</definedName>
    <definedName function="false" hidden="true" name="RPTQRY70" vbProcedure="false">25</definedName>
    <definedName function="false" hidden="true" name="RPTQRY71" vbProcedure="false">24</definedName>
    <definedName function="false" hidden="true" name="RPTQRY72" vbProcedure="false">29</definedName>
    <definedName function="false" hidden="true" name="RPTQRY8" vbProcedure="false">1</definedName>
    <definedName function="false" hidden="true" name="RPTQRY9" vbProcedure="false">4</definedName>
    <definedName function="false" hidden="true" name="rr" vbProcedure="false">{#N/A,#N/A,TRUE,"Cover sheet";#N/A,#N/A,TRUE,"Summary";#N/A,#N/A,TRUE,"Key Assumptions";#N/A,#N/A,TRUE,"Profit &amp; Loss";#N/A,#N/A,TRUE,"Balance Sheet";#N/A,#N/A,TRUE,"Cashflow";#N/A,#N/A,TRUE,"IRR";#N/A,#N/A,TRUE,"Ratios";#N/A,#N/A,TRUE,"Debt analysis"}</definedName>
    <definedName function="false" hidden="true" name="RR.BACK" vbProcedure="false">{#N/A,#N/A,FALSE,"단축1";#N/A,#N/A,FALSE,"단축2";#N/A,#N/A,FALSE,"단축3";#N/A,#N/A,FALSE,"장축";#N/A,#N/A,FALSE,"4WD"}</definedName>
    <definedName function="false" hidden="true" name="RR.BRAKE" vbProcedure="false">{#N/A,#N/A,FALSE,"단축1";#N/A,#N/A,FALSE,"단축2";#N/A,#N/A,FALSE,"단축3";#N/A,#N/A,FALSE,"장축";#N/A,#N/A,FALSE,"4WD"}</definedName>
    <definedName function="false" hidden="true" name="RR.BRK" vbProcedure="false">{#N/A,#N/A,FALSE,"단축1";#N/A,#N/A,FALSE,"단축2";#N/A,#N/A,FALSE,"단축3";#N/A,#N/A,FALSE,"장축";#N/A,#N/A,FALSE,"4WD"}</definedName>
    <definedName function="false" hidden="true" name="rr.kk" vbProcedure="false">{#N/A,#N/A,FALSE,"Umsatz CH";#N/A,#N/A,FALSE,"ER CH";#N/A,#N/A,FALSE,"EA CH (2) ";#N/A,#N/A,FALSE,"EA CH";#N/A,#N/A,FALSE,"EA CH (3) ";#N/A,#N/A,FALSE,"EA CH (4)";#N/A,#N/A,FALSE,"KA CH";#N/A,#N/A,FALSE,"KA CH  (2)";#N/A,#N/A,FALSE,"KA CH  (3)";#N/A,#N/A,FALSE,"KA CH (4)"}</definedName>
    <definedName function="false" hidden="true" name="rrehe" vbProcedure="false">{"Tages_D",#N/A,FALSE,"Tagesbericht";"Tages_PL",#N/A,FALSE,"Tagesbericht"}</definedName>
    <definedName function="false" hidden="true" name="rrew" vbProcedure="false">{"CLEARING",#N/A,FALSE,"clearing"}</definedName>
    <definedName function="false" hidden="true" name="rrr" vbProcedure="false">main.sapf4help()</definedName>
    <definedName function="false" hidden="true" name="rrrr" vbProcedure="false">{"comp1",#N/A,FALSE,"COMPS";"footnotes",#N/A,FALSE,"COMPS"}</definedName>
    <definedName function="false" hidden="true" name="rrrrr" vbProcedure="false">{#N/A,#N/A,FALSE,"BANNERS";#N/A,#N/A,FALSE,"Market";#N/A,#N/A,FALSE,"Tel Rev";#N/A,#N/A,FALSE,"Revenues IOL";#N/A,#N/A,FALSE,"Invest";#N/A,#N/A,FALSE,"Op Cost1";#N/A,#N/A,FALSE,"Op Cost2";#N/A,#N/A,FALSE,"Oth_&amp;_Tot_Revenues";#N/A,#N/A,FALSE,"Fin Mod";#N/A,#N/A,FALSE,"FinMod_RoW";#N/A,#N/A,FALSE,"P&amp;E Burocrat";#N/A,#N/A,FALSE,"cash flow"}</definedName>
    <definedName function="false" hidden="true" name="rrrrrr" vbProcedure="false">{"cash plan",#N/A,FALSE,"fccashflow"}</definedName>
    <definedName function="false" hidden="true" name="rrrrrrrrrrrrrrrrrrrrrrrrrrrrrrrr" vbProcedure="false">{#N/A,#N/A,FALSE,"Cover";#N/A,#N/A,FALSE,"Profits";#N/A,#N/A,FALSE,"ABS";#N/A,#N/A,FALSE,"TFLE Detail";#N/A,#N/A,FALSE,"TFLE Walk";#N/A,#N/A,FALSE,"Variable Cost";#N/A,#N/A,FALSE,"V.C. Walk"}</definedName>
    <definedName function="false" hidden="true" name="RRS" vbProcedure="false">{#N/A,#N/A,TRUE,"Title Pg";#N/A,#N/A,TRUE,"Assumptions";#N/A,#N/A,TRUE,"Market Share Data";#N/A,#N/A,TRUE,"Net Flows by Seg";#N/A,#N/A,TRUE,"P&amp;L - PI Total";#N/A,#N/A,TRUE,"Headcount"}</definedName>
    <definedName function="false" hidden="true" name="rrwefsd" vbProcedure="false">{#N/A,#N/A,FALSE,"Layout Aktiva";#N/A,#N/A,FALSE,"Layout Passiva";#N/A,#N/A,FALSE,"Layout GuV";#N/A,#N/A,FALSE,"Layout Cash Flow";#N/A,#N/A,FALSE,"Mittelherkunft";#N/A,#N/A,FALSE,"Mittelverwendung";#N/A,#N/A,FALSE,"Finanzbedarfsrechnung"}</definedName>
    <definedName function="false" hidden="true" name="RR_SEAT" vbProcedure="false">{#N/A,#N/A,FALSE,"단축1";#N/A,#N/A,FALSE,"단축2";#N/A,#N/A,FALSE,"단축3";#N/A,#N/A,FALSE,"장축";#N/A,#N/A,FALSE,"4WD"}</definedName>
    <definedName function="false" hidden="true" name="RS" vbProcedure="false">{"direct labor",#N/A,FALSE,"labor";"direct labor1",#N/A,FALSE,"labor"}</definedName>
    <definedName function="false" hidden="true" name="RS2_IQ_div_payment_date" vbProcedure="false">"c2205"</definedName>
    <definedName function="false" hidden="true" name="RS2_IQ_div_record_date" vbProcedure="false">"c2204"</definedName>
    <definedName function="false" hidden="true" name="RS2_IQ_Xdiv_date" vbProcedure="false">"c2203"</definedName>
    <definedName function="false" hidden="true" name="rsac" vbProcedure="false">{"PAGE 1",#N/A,FALSE,"COS Excluding Geismar";"PAGE 2",#N/A,FALSE,"COS Excluding Geismar";"PAGE 3",#N/A,FALSE,"COS Excluding Geismar"}</definedName>
    <definedName function="false" hidden="true" name="rsem" vbProcedure="false">{#N/A,#N/A,FALSE,"1996";#N/A,#N/A,FALSE,"1995";#N/A,#N/A,FALSE,"1994"}</definedName>
    <definedName function="false" hidden="true" name="RST" vbProcedure="false">{"ONE",#N/A,FALSE,"96DDCOD";"TWO",#N/A,FALSE,"96DDCOD"}</definedName>
    <definedName function="false" hidden="true" name="RS_IQ_DIV_Payment_Date" vbProcedure="false">"c2205"</definedName>
    <definedName function="false" hidden="true" name="RS_IQ_Div_Record_Date" vbProcedure="false">"c2204"</definedName>
    <definedName function="false" hidden="true" name="RS_IQ_XDiv_Date" vbProcedure="false">"c2203"</definedName>
    <definedName function="false" hidden="true" name="rt" vbProcedure="false">{#N/A,#N/A,TRUE,"Cover sheet";#N/A,#N/A,TRUE,"Summary";#N/A,#N/A,TRUE,"Key Assumptions";#N/A,#N/A,TRUE,"Profit &amp; Loss";#N/A,#N/A,TRUE,"Balance Sheet";#N/A,#N/A,TRUE,"Cashflow";#N/A,#N/A,TRUE,"IRR";#N/A,#N/A,TRUE,"Ratios";#N/A,#N/A,TRUE,"Debt analysis"}</definedName>
    <definedName function="false" hidden="true" name="rtds" vbProcedure="false">{"ICD Details",#N/A,FALSE,"Current Yr";"ICD Details",#N/A,FALSE,"Budget";"ICD Details",#N/A,FALSE,"Prior Year"}</definedName>
    <definedName function="false" hidden="true" name="rtert" vbProcedure="false">{#N/A,#N/A,FALSE,"Layout Aktiva";#N/A,#N/A,FALSE,"Layout Passiva"}</definedName>
    <definedName function="false" hidden="true" name="rtfg" vbProcedure="false">{"LAPO2N2",#N/A,FALSE,"CM";"TOTTEXAS",#N/A,FALSE,"CM";"LOUISIANA",#N/A,FALSE,"CM";"GENERALH2",#N/A,FALSE,"CM";"PRS",#N/A,FALSE,"CM";"PACKAGE",#N/A,FALSE,"CM";"OTHER",#N/A,FALSE,"CM"}</definedName>
    <definedName function="false" hidden="true" name="RTFGF" vbProcedure="false">{"'Demand Units'!$X$11:$AD$45"}</definedName>
    <definedName function="false" hidden="true" name="rtgds" vbProcedure="false">{#N/A,#N/A,TRUE,"Historicals";#N/A,#N/A,TRUE,"Charts";#N/A,#N/A,TRUE,"Forecasts"}</definedName>
    <definedName function="false" hidden="true" name="rtgh" vbProcedure="false">{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function="false" hidden="true" name="RTHDaily" vbProcedure="false">2</definedName>
    <definedName function="false" hidden="true" name="RTHDefault" vbProcedure="false">1</definedName>
    <definedName function="false" hidden="true" name="RTHIncludeActive" vbProcedure="false">1</definedName>
    <definedName function="false" hidden="true" name="RTHIncludeActiveNonActive" vbProcedure="false">2</definedName>
    <definedName function="false" hidden="true" name="RTHIncludeAll" vbProcedure="false">3</definedName>
    <definedName function="false" hidden="true" name="RTHIncludeWeekdays" vbProcedure="false">2</definedName>
    <definedName function="false" hidden="true" name="RTHMonthly" vbProcedure="false">4</definedName>
    <definedName function="false" hidden="true" name="RTHOrientCol" vbProcedure="false">2</definedName>
    <definedName function="false" hidden="true" name="RTHOrientRow" vbProcedure="false">1</definedName>
    <definedName function="false" hidden="true" name="RTHQuarterly" vbProcedure="false">5</definedName>
    <definedName function="false" hidden="true" name="rthrth"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RTHSortAscend" vbProcedure="false">1</definedName>
    <definedName function="false" hidden="true" name="RTHSortDescend" vbProcedure="false">2</definedName>
    <definedName function="false" hidden="true" name="RTHWeekly" vbProcedure="false">3</definedName>
    <definedName function="false" hidden="true" name="RTHYearly" vbProcedure="false">6</definedName>
    <definedName function="false" hidden="true" name="rtjjs" vbProcedure="false">{#N/A,#N/A,FALSE,"V3 Stab-Geb Index";#N/A,#N/A,FALSE,"Vertrieb";#N/A,#N/A,FALSE,"V Daten";#N/A,#N/A,FALSE,"V-Z-Index";#N/A,#N/A,FALSE,"V-1 Daten";#N/A,#N/A,FALSE,"V-1 Index";#N/A,#N/A,FALSE,"V-2 Index";#N/A,#N/A,FALSE,"V-3 Daten";#N/A,#N/A,FALSE,"V3 Stab-Geb Index";#N/A,#N/A,FALSE,"V-3 VG's Index";#N/A,#N/A,FALSE,"V-4 Index";#N/A,#N/A,FALSE,"V-5 Index"}</definedName>
    <definedName function="false" hidden="true" name="rtnb" vbProcedure="false">{"vol data",#N/A,FALSE,"Datasheet";"vol graph",#N/A,FALSE,"Volume";"price data",#N/A,FALSE,"Datasheet";"price graph",#N/A,FALSE,"Price";"dp data",#N/A,FALSE,"Datasheet";"dp graph",#N/A,FALSE,"DirectProfit"}</definedName>
    <definedName function="false" hidden="true" name="rtre" vbProcedure="false">{#N/A,#N/A,FALSE,"Umsatz CH";#N/A,#N/A,FALSE,"ER CH";#N/A,#N/A,FALSE,"EA CH (2) ";#N/A,#N/A,FALSE,"EA CH";#N/A,#N/A,FALSE,"EA CH (3) ";#N/A,#N/A,FALSE,"EA CH (4)";#N/A,#N/A,FALSE,"KA CH";#N/A,#N/A,FALSE,"KA CH  (2)";#N/A,#N/A,FALSE,"KA CH  (3)";#N/A,#N/A,FALSE,"KA CH (4)"}</definedName>
    <definedName function="false" hidden="true" name="rtrr" vbProcedure="false">{"Tages_D",#N/A,FALSE,"Tagesbericht";"Tages_PL",#N/A,FALSE,"Tagesbericht"}</definedName>
    <definedName function="false" hidden="true" name="rtrrrrrrrrr" vbProcedure="false">{"'Data'!$A$1:$D$17"}</definedName>
    <definedName function="false" hidden="true" name="rtsslk" vbProcedure="false">{"'Planning Data'!$A$2:$X$120"}</definedName>
    <definedName function="false" hidden="true" name="rttr" vbProcedure="false">"(GMT-05:00)11/6/2012 2:05:52 PM"</definedName>
    <definedName function="false" hidden="true" name="rtuer" vbProcedure="false">{#N/A,#N/A,FALSE,"Layout Aktiva";#N/A,#N/A,FALSE,"Layout Passiva";#N/A,#N/A,FALSE,"Layout GuV";#N/A,#N/A,FALSE,"Layout Cash Flow";#N/A,#N/A,FALSE,"Mittelherkunft";#N/A,#N/A,FALSE,"Mittelverwendung";#N/A,#N/A,FALSE,"Finanzbedarfsrechnung"}</definedName>
    <definedName function="false" hidden="true" name="rtwregfds" vbProcedure="false">{#N/A,#N/A,TRUE,"Historicals";#N/A,#N/A,TRUE,"Charts";#N/A,#N/A,TRUE,"Forecasts"}</definedName>
    <definedName function="false" hidden="true" name="rtwrt" vbProcedure="false">{#N/A,#N/A,TRUE,"Historicals";#N/A,#N/A,TRUE,"Charts";#N/A,#N/A,TRUE,"Forecasts"}</definedName>
    <definedName function="false" hidden="true" name="rty" vbProcedure="false">{#N/A,#N/A,TRUE,"Pro Forma";#N/A,#N/A,TRUE,"PF_Bal";#N/A,#N/A,TRUE,"PF_INC";#N/A,#N/A,TRUE,"CBE";#N/A,#N/A,TRUE,"SWK"}</definedName>
    <definedName function="false" hidden="true" name="rtyu" vbProcedure="false">{"BA detail",#N/A,FALSE,"Q3YTD "}</definedName>
    <definedName function="false" hidden="true" name="rtz" vbProcedure="false">{#N/A,#N/A,FALSE,"Layout Aktiva";#N/A,#N/A,FALSE,"Layout Passiva"}</definedName>
    <definedName function="false" hidden="true" name="rtzrt" vbProcedure="false">{#N/A,#N/A,FALSE,"Layout Cash Flow"}</definedName>
    <definedName function="false" hidden="true" name="rtzueuetzutz" vbProcedure="false">word</definedName>
    <definedName function="false" hidden="true" name="rtzutrz" vbProcedure="false">{#N/A,#N/A,FALSE,"Layout Aktiva";#N/A,#N/A,FALSE,"Layout Passiva";#N/A,#N/A,FALSE,"Layout GuV";#N/A,#N/A,FALSE,"Layout Cash Flow";#N/A,#N/A,FALSE,"Mittelherkunft";#N/A,#N/A,FALSE,"Mittelverwendung";#N/A,#N/A,FALSE,"Finanzbedarfsrechnung"}</definedName>
    <definedName function="false" hidden="true" name="rtzztuzj"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RUHSFHUY" vbProcedure="false">{"'Demand Units'!$X$11:$AD$45"}</definedName>
    <definedName function="false" hidden="true" name="RUHYRUJTYJ" vbProcedure="false">{"'Demand Units'!$X$11:$AD$45"}</definedName>
    <definedName function="false" hidden="true" name="russ" vbProcedure="false">{"'Inventory &amp; Anal-Cur Wkbk'!$A$7:$AP$71"}</definedName>
    <definedName function="false" hidden="true" name="rustey" vbProcedure="false">{#N/A,#N/A,FALSE,"COVER";#N/A,#N/A,FALSE,"SUMMARY";#N/A,#N/A,FALSE,"INCOME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function="false" hidden="true" name="ruufo" vbProcedure="false">{"detail",#N/A,FALSE,"mfg";"summary",#N/A,FALSE,"mfg"}</definedName>
    <definedName function="false" hidden="true" name="rv" vbProcedure="false">{"apci",#N/A,FALSE,"Chem_CY";"eastman",#N/A,FALSE,"Eastman";"betz",#N/A,FALSE,"Betz";"great lakes",#N/A,FALSE,"Great_Lakes";"hercules",#N/A,FALSE,"Hercules Chem Seg Data";"rohm",#N/A,FALSE,"Rohm";"union carbide",#N/A,FALSE,"Union";"witco",#N/A,FALSE,"Witco"}</definedName>
    <definedName function="false" hidden="true" name="rw" vbProcedure="false">{#N/A,"PURADD",FALSE,"Business Analysis";#N/A,"PURSPP",FALSE,"Business Analysis";#N/A,"CTGIND",FALSE,"Business Analysis";#N/A,"PURCHM",FALSE,"Business Analysis";#N/A,"SPADD",FALSE,"Business Analysis";#N/A,"EPOXY",FALSE,"Business Analysis";#N/A,"PURPER",FALSE,"Business Analysis"}</definedName>
    <definedName function="false" hidden="true" name="rweq" vbProcedure="false">{"TEXO2N2_VOL",#N/A,FALSE,"MTHLYVOL";"TEXH2_VOL",#N/A,FALSE,"MTHLYVOL";"LOUIS_VOL",#N/A,FALSE,"MTHLYVOL";"H2_VOL",#N/A,FALSE,"MTHLYVOL";"O2N2_VOL",#N/A,FALSE,"MTHLYVOL";"PACKAGE_VOL",#N/A,FALSE,"MTHLYVOL"}</definedName>
    <definedName function="false" hidden="true" name="rwert" vbProcedure="false">{#N/A,#N/A,FALSE,"Pharm";#N/A,#N/A,FALSE,"WWCM"}</definedName>
    <definedName function="false" hidden="true" name="rwew" vbProcedure="false">{"summary",#N/A,FALSE,"summary";"sales growth",#N/A,FALSE,"summary";"oper income",#N/A,FALSE,"summary";"oros rank",#N/A,FALSE,"summary";"net assets",#N/A,FALSE,"summary";"asset turnover",#N/A,FALSE,"summary";"orona",#N/A,FALSE,"summary";"total return",#N/A,FALSE,"summary";"overview",#N/A,FALSE,"summary"}</definedName>
    <definedName function="false" hidden="true" name="rwrwr" vbProcedure="false">{"'Standalone List Price Trends'!$A$1:$X$56"}</definedName>
    <definedName function="false" hidden="true" name="rwrwrwrwr" vbProcedure="false">{"'Standalone List Price Trends'!$A$1:$X$56"}</definedName>
    <definedName function="false" hidden="true" name="rwsz" vbProcedure="false">{"Commentary",#N/A,FALSE,"May"}</definedName>
    <definedName function="false" hidden="true" name="Rwvu.PRT." vbProcedure="false">#REF!,#REF!</definedName>
    <definedName function="false" hidden="true" name="Rwvu.Prt.2" vbProcedure="false">#REF!,#REF!</definedName>
    <definedName function="false" hidden="true" name="rwwr" vbProcedure="false">{"'Standalone List Price Trends'!$A$1:$X$56"}</definedName>
    <definedName function="false" hidden="true" name="rwxz" vbProcedure="false">{"TXO2N2_SLS",#N/A,FALSE,"MTHLYSLES";"TXH2_SLS",#N/A,FALSE,"MTHLYSLES";"LOUIS_SLS",#N/A,FALSE,"MTHLYSLES";"H2_SLS",#N/A,FALSE,"MTHLYSLES";"O2N2_SLS",#N/A,FALSE,"MTHLYSLES";"PACKAGE_SLS",#N/A,FALSE,"MTHLYSLES"}</definedName>
    <definedName function="false" hidden="true" name="rwyetrewt" vbProcedure="false">{#N/A,#N/A,TRUE,"Historicals";#N/A,#N/A,TRUE,"Charts";#N/A,#N/A,TRUE,"Forecasts"}</definedName>
    <definedName function="false" hidden="true" name="rx"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RxMax" vbProcedure="false">#REF!</definedName>
    <definedName function="false" hidden="true" name="RxMin" vbProcedure="false">#REF!</definedName>
    <definedName function="false" hidden="true" name="rxs" vbProcedure="false">{"Month Summary",#N/A,FALSE,"Summary";"Total Details",#N/A,FALSE,"Current Yr";"Polymers Details",#N/A,FALSE,"Current Yr";"Performance Details",#N/A,FALSE,"Current Yr";"ICD Details",#N/A,FALSE,"Current Yr"}</definedName>
    <definedName function="false" hidden="true" name="ry"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true" name="rzkjr"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rzkkkkkkk"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R_COVER" vbProcedure="false">{#N/A,#N/A,FALSE,"단축1";#N/A,#N/A,FALSE,"단축2";#N/A,#N/A,FALSE,"단축3";#N/A,#N/A,FALSE,"장축";#N/A,#N/A,FALSE,"4WD"}</definedName>
    <definedName function="false" hidden="true" name="sa" vbProcedure="false">{#N/A,#N/A,TRUE,"Cover sheet";#N/A,#N/A,TRUE,"INPUTS";#N/A,#N/A,TRUE,"OUTPUTS";#N/A,#N/A,TRUE,"VALUATION"}</definedName>
    <definedName function="false" hidden="true" name="saa" vbProcedure="false">41083.7121412037</definedName>
    <definedName function="false" hidden="true" name="saaaaaaaaaaaaaaa" vbProcedure="false">{"up stand alones",#N/A,FALSE,"Acquiror"}</definedName>
    <definedName function="false" hidden="true" name="SABBEXrevision" vbProcedure="false">14</definedName>
    <definedName function="false" hidden="true" name="sad" vbProcedure="false">{"Summary",#N/A,FALSE,"Summary";"A&amp;A's",#N/A,FALSE,"Aids &amp; A's";"MajorWorks",#N/A,FALSE,"Major Works";"EstateImps",#N/A,FALSE,"Estate Imps";"CatC",#N/A,FALSE,"Cat C Voids";"CycProg",#N/A,FALSE,"Cyclical Prog inc MR"}</definedName>
    <definedName function="false" hidden="true" name="sadd"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sadd2"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sadf" vbProcedure="false">{"mgmt forecast",#N/A,FALSE,"Mgmt Forecast";"dcf table",#N/A,FALSE,"Mgmt Forecast";"sensitivity",#N/A,FALSE,"Mgmt Forecast";"table inputs",#N/A,FALSE,"Mgmt Forecast";"calculations",#N/A,FALSE,"Mgmt Forecast"}</definedName>
    <definedName function="false" hidden="true" name="sadfsadfadsfsadfsadf" vbProcedure="false">{#N/A,#N/A,FALSE,"Index";#N/A,#N/A,FALSE,"1.1";#N/A,#N/A,FALSE,"Scenario Summary"}</definedName>
    <definedName function="false" hidden="true" name="sadfsafsa" vbProcedure="false">{#N/A,#N/A,FALSE,"Profit Status";#N/A,#N/A,FALSE,"Invest";#N/A,#N/A,FALSE,"Revenue";#N/A,#N/A,FALSE,"Variable Cost";#N/A,#N/A,FALSE,"Options &amp; Series"}</definedName>
    <definedName function="false" hidden="true" name="sadfsdfsdafsadfsadfsfd" vbProcedure="false">{#N/A,#N/A,FALSE,"Index";#N/A,#N/A,FALSE,"1.1";#N/A,#N/A,FALSE,"Scenario Summary"}</definedName>
    <definedName function="false" hidden="true" name="SAEA"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saet" vbProcedure="false">{#N/A,#N/A,FALSE,"Finanzbedarfsrechnung"}</definedName>
    <definedName function="false" hidden="true" name="saf" vbProcedure="false">{"cover",#N/A,TRUE,"Cover";"toc10",#N/A,TRUE,"TOC";"over",#N/A,TRUE,"Overview";"over",#N/A,TRUE,"Det_Trans_Sum";"ei1c",#N/A,TRUE,"Earnings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function="false" hidden="true" name="safd" vbProcedure="false">{#N/A,"PURADD",FALSE,"Business Analysis";#N/A,"PURSPP",FALSE,"Business Analysis";#N/A,"CTGIND",FALSE,"Business Analysis";#N/A,"PURCHM",FALSE,"Business Analysis";#N/A,"SPADD",FALSE,"Business Analysis";#N/A,"EPOXY",FALSE,"Business Analysis";#N/A,"PURPER",FALSE,"Business Analysis"}</definedName>
    <definedName function="false" hidden="true" name="SAG" vbProcedure="false">#REF!</definedName>
    <definedName function="false" hidden="true" name="sahne"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sAHU" vbProcedure="false">{#N/A,#N/A,TRUE,"Staffnos &amp; cost"}</definedName>
    <definedName function="false" hidden="true" name="Salesmargin" vbProcedure="false">{#N/A,#N/A,FALSE,"Aging Summary";#N/A,#N/A,FALSE,"Ratio Analysis";#N/A,#N/A,FALSE,"Test 120 Day Accts";#N/A,#N/A,FALSE,"Tickmarks"}</definedName>
    <definedName function="false" hidden="true" name="Salespp" vbProcedure="false">{"detail",#N/A,FALSE,"mfg";"summary",#N/A,FALSE,"mfg"}</definedName>
    <definedName function="false" hidden="true" name="sally" vbProcedure="false">{#N/A,#N/A,FALSE,"Pharm";#N/A,#N/A,FALSE,"WWCM"}</definedName>
    <definedName function="false" hidden="true" name="sam" vbProcedure="false">{"multiple",#N/A,FALSE,"client (2)";"margins",#N/A,FALSE,"client (2)";"data",#N/A,FALSE,"client (2)";"multiple",#N/A,FALSE,"client";"margins",#N/A,FALSE,"client";"data",#N/A,FALSE,"client"}</definedName>
    <definedName function="false" hidden="true" name="SAPBEX" vbProcedure="false">0</definedName>
    <definedName function="false" hidden="true" name="SAPBEX1" vbProcedure="false">"P92"</definedName>
    <definedName function="false" hidden="true" name="SAPBEXdnIdView2" vbProcedure="false">"4Z5BKMHC0RT1LERQDQXWDABI9"</definedName>
    <definedName function="false" hidden="true" name="SAPBEXdnldView" vbProcedure="false">"3P4173EDQZKHOYA6W9X8I8T0V"</definedName>
    <definedName function="false" hidden="true" name="SAPBEXdnldView_1" vbProcedure="false">"BIWMHKBRG6KBR3DK11DCTDZHP"</definedName>
    <definedName function="false" hidden="true" name="SAPBEXhrIndnt" vbProcedure="false">1</definedName>
    <definedName function="false" hidden="true" name="SAPBEXrevision" vbProcedure="false">1</definedName>
    <definedName function="false" hidden="true" name="SAPBEXrevision1" vbProcedure="false">33</definedName>
    <definedName function="false" hidden="true" name="SAPBEXrevision_1" vbProcedure="false">7</definedName>
    <definedName function="false" hidden="true" name="SAPBEXsysID" vbProcedure="false">"PR3"</definedName>
    <definedName function="false" hidden="true" name="SAPBEXsysID_1" vbProcedure="false">"PB1"</definedName>
    <definedName function="false" hidden="true" name="SAPBEXwbID" vbProcedure="false">"A6GTSQRFUHD7LPGJ6R1T1FJD1"</definedName>
    <definedName function="false" hidden="true" name="SAPBEXwbID1" vbProcedure="false">"3OVSFQEZIYRLR2ZD72DUDEJV6"</definedName>
    <definedName function="false" hidden="true" name="SAPBEXwbID_1" vbProcedure="false">"B9XTDZB70HFA0WIZZ314CXBY1"</definedName>
    <definedName function="false" hidden="true" name="SAPBW" vbProcedure="false">"0F7GQ2DYLD7G32V6COLPWB9JS"</definedName>
    <definedName function="false" hidden="true" name="SAPBW_DOWNLOAD_Q1" vbProcedure="false">"4EKWXY5FHF4A1CVVTMJKIZE4F"</definedName>
    <definedName function="false" hidden="true" name="SAPFuncF4Help" vbProcedure="false">main.sapf4help()</definedName>
    <definedName function="false" hidden="true" name="SAPFuncF4Help1" vbProcedure="false">main.sapf4help()</definedName>
    <definedName function="false" hidden="true" name="SAPsysID" vbProcedure="false">"708C5W7SBKP804JT78WJ0JNKI"</definedName>
    <definedName function="false" hidden="true" name="SAPwbID" vbProcedure="false">"ARS"</definedName>
    <definedName function="false" hidden="false" name="SAP_BYD_CodeList_AccountingClosingStepTypeCode_Name" vbProcedure="false">#REF!</definedName>
    <definedName function="false" hidden="false" name="SAP_BYD_CodeList_AccountingDocumentTypeCode_Name" vbProcedure="false">#REF!</definedName>
    <definedName function="false" hidden="false" name="SAP_BYD_CodeList_CurrencyCode_Name" vbProcedure="false">#REF!</definedName>
    <definedName function="false" hidden="false" name="SAP_BYD_CodeList_DebitCreditCode_Name" vbProcedure="false">#REF!</definedName>
    <definedName function="false" hidden="true" name="saregs" vbProcedure="false">{#N/A,#N/A,TRUE,"Historicals";#N/A,#N/A,TRUE,"Charts";#N/A,#N/A,TRUE,"Forecasts"}</definedName>
    <definedName function="false" hidden="true" name="sas" vbProcedure="false">{"detail",#N/A,FALSE,"mfg";"summary",#N/A,FALSE,"mfg"}</definedName>
    <definedName function="false" hidden="true" name="sasasdas" vbProcedure="false">{#N/A,#N/A,FALSE,"Performance Flash Report"}</definedName>
    <definedName function="false" hidden="true" name="SAÜBEXsysID2" vbProcedure="false">"BW1"</definedName>
    <definedName function="false" hidden="true" name="sb" vbProcedure="false">{#N/A,#N/A,FALSE,"Renewals In Process";#N/A,#N/A,FALSE,"New Clients In Process";#N/A,#N/A,FALSE,"Completed New Clients";#N/A,#N/A,FALSE,"Completed Renewals"}</definedName>
    <definedName function="false" hidden="true" name="Scale" vbProcedure="false">#REF!</definedName>
    <definedName function="false" hidden="true" name="scat" vbProcedure="false">{#N/A,#N/A,TRUE,"PSG Total Contacts";#N/A,#N/A,TRUE,"PSG Rep Total";#N/A,#N/A,TRUE,"Core Rep Detail";#N/A,#N/A,TRUE,"BC Rep Detail";#N/A,#N/A,TRUE,"Marlboro";#N/A,#N/A,TRUE,"Covington";#N/A,#N/A,TRUE,"Dallas";#N/A,#N/A,TRUE,"VRS Stats";#N/A,#N/A,TRUE,"Internet";#N/A,#N/A,TRUE,"NCO and Call Mix";#N/A,#N/A,TRUE,"VRS &amp; Rep Calls"}</definedName>
    <definedName function="false" hidden="true" name="scd" vbProcedure="false">{#N/A,#N/A,TRUE,"Staffnos &amp; cost"}</definedName>
    <definedName function="false" hidden="true" name="scen_name1" vbProcedure="false">"high1 normal"</definedName>
    <definedName function="false" hidden="true" name="scen_name2" vbProcedure="false">"high1 high"</definedName>
    <definedName function="false" hidden="true" name="scen_name3" vbProcedure="false">"low1 normal"</definedName>
    <definedName function="false" hidden="true" name="scen_name4" vbProcedure="false">"low 2 normal"</definedName>
    <definedName function="false" hidden="true" name="scen_name5" vbProcedure="false">"low2 high"</definedName>
    <definedName function="false" hidden="true" name="scen_name6" vbProcedure="false">"low1 high"</definedName>
    <definedName function="false" hidden="true" name="scen_user1" vbProcedure="false">"Dorit Timman"</definedName>
    <definedName function="false" hidden="true" name="scen_user2" vbProcedure="false">"Dorit Timman"</definedName>
    <definedName function="false" hidden="true" name="scen_user3" vbProcedure="false">"Dorit Timman"</definedName>
    <definedName function="false" hidden="true" name="scen_user4" vbProcedure="false">"Dorit Timman"</definedName>
    <definedName function="false" hidden="true" name="scen_user5" vbProcedure="false">"Dorit Timman"</definedName>
    <definedName function="false" hidden="true" name="scen_user6" vbProcedure="false">"Dorit Timman"</definedName>
    <definedName function="false" hidden="true" name="SchematiqVersion" vbProcedure="false">"1.4.6336"</definedName>
    <definedName function="false" hidden="true" name="Schraffur.LA" vbProcedure="false">#REF!,#REF!,#REF!,#REF!,#REF!,#REF!</definedName>
    <definedName function="false" hidden="true" name="Schraffur.LM" vbProcedure="false">#REF!,#REF!,#REF!,#REF!,#REF!,#REF!</definedName>
    <definedName function="false" hidden="true" name="Schraffur.MA" vbProcedure="false">#REF!,#REF!,#REF!,#REF!,#REF!,#REF!</definedName>
    <definedName function="false" hidden="true" name="Schraffur.MM" vbProcedure="false">#REF!,#REF!,#REF!,#REF!,#REF!,#REF!</definedName>
    <definedName function="false" hidden="true" name="Schraffur.PA" vbProcedure="false">#REF!,#REF!,#REF!,#REF!,#REF!,#REF!</definedName>
    <definedName function="false" hidden="true" name="Schraffur.PM" vbProcedure="false">#REF!,#REF!,#REF!,#REF!,#REF!,#REF!</definedName>
    <definedName function="false" hidden="true" name="Schraffur.TX" vbProcedure="false">#REF!,#REF!,#REF!,#REF!,#REF!,#REF!,#REF!</definedName>
    <definedName function="false" hidden="true" name="Schraffur.VA" vbProcedure="false">#REF!,#REF!,#REF!,#REF!,#REF!,#REF!</definedName>
    <definedName function="false" hidden="true" name="Schraffur.VM" vbProcedure="false">#REF!,#REF!,#REF!,#REF!,#REF!,#REF!</definedName>
    <definedName function="false" hidden="true" name="score" vbProcedure="false">{"detail",#N/A,FALSE,"mfg";"summary",#N/A,FALSE,"mfg"}</definedName>
    <definedName function="false" hidden="true" name="scorecardfy00" vbProcedure="false">{"Comp_of_Price_Effect",#N/A,FALSE,"QTRDPVAR"}</definedName>
    <definedName function="false" hidden="true" name="scott" vbProcedure="false">{#N/A,#N/A,TRUE,"Val - sum";#N/A,#N/A,TRUE,"Val - Sum1";#N/A,#N/A,TRUE,"Val - sum2";#N/A,#N/A,TRUE,"Val - Sum3";#N/A,#N/A,TRUE,"Tar-DCF";#N/A,#N/A,TRUE,"Tar-Val LBO";#N/A,#N/A,TRUE,"Tar-Mult Val"}</definedName>
    <definedName function="false" hidden="true" name="SCRAP" vbProcedure="false">{"'subnets'!$A$1:$F$20"}</definedName>
    <definedName function="false" hidden="true" name="scsxsx" vbProcedure="false">{#N/A,#N/A,FALSE,"Calc";#N/A,#N/A,FALSE,"Sensitivity";#N/A,#N/A,FALSE,"LT Earn.Dil.";#N/A,#N/A,FALSE,"Dil. AVP"}</definedName>
    <definedName function="false" hidden="true" name="sd" vbProcedure="false">{#N/A,#N/A,FALSE,"WOB_1.XLS";#N/A,#N/A,FALSE,"WOB_2.XLS";#N/A,#N/A,FALSE,"WOB_3.XLS";#N/A,#N/A,FALSE,"WOB_4.XLS";#N/A,#N/A,FALSE,"WOB_5.XLS"}</definedName>
    <definedName function="false" hidden="true" name="sdaf"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sdafgs" vbProcedure="false">{#N/A,#N/A,FALSE,"Pharm";#N/A,#N/A,FALSE,"WWCM"}</definedName>
    <definedName function="false" hidden="true" name="sdafregfx" vbProcedure="false">{#N/A,#N/A,TRUE,"Historicals";#N/A,#N/A,TRUE,"Charts";#N/A,#N/A,TRUE,"Forecasts"}</definedName>
    <definedName function="false" hidden="true" name="sdas" vbProcedure="false">{"Total",#N/A,FALSE,"Six Fields";"PDP",#N/A,FALSE,"Six Fields";"PNP",#N/A,FALSE,"Six Fields";"PUD",#N/A,FALSE,"Six Fields";"Prob",#N/A,FALSE,"Six Fields"}</definedName>
    <definedName function="false" hidden="true" name="SDCS" vbProcedure="false">{#N/A,#N/A,TRUE,"Staffnos &amp; cost"}</definedName>
    <definedName function="false" hidden="true" name="sde" vbProcedure="false">{#N/A,#N/A,FALSE,"Cover";#N/A,#N/A,FALSE,"Assumptions";#N/A,#N/A,FALSE,"Volumes";#N/A,#N/A,FALSE,"Pricing";#N/A,#N/A,FALSE,"TFLE Walk";#N/A,#N/A,FALSE,"Variable Cost";#N/A,#N/A,FALSE,"Sensitivity";#N/A,#N/A,FALSE,"Investment";#N/A,#N/A,FALSE,"Profitability"}</definedName>
    <definedName function="false" hidden="true" name="sdes" vbProcedure="false">{"PACKAGE",#N/A,FALSE,"CM"}</definedName>
    <definedName function="false" hidden="true" name="SDEUR" vbProcedure="false">#REF!</definedName>
    <definedName function="false" hidden="true" name="sdf"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sdf23rq34t"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sdfa" vbProcedure="false">#REF!</definedName>
    <definedName function="false" hidden="true" name="sdfadfd" vbProcedure="false">9</definedName>
    <definedName function="false" hidden="true" name="sdfasdafd" vbProcedure="false">#REF!</definedName>
    <definedName function="false" hidden="true" name="sdfasdafd1a" vbProcedure="false">#REF!</definedName>
    <definedName function="false" hidden="true" name="sdfasdfasdf" vbProcedure="false">{"'Raumplanung April'!$A$1:$H$30"}</definedName>
    <definedName function="false" hidden="true"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name="sdfasf" vbProcedure="false">{"'Sheet1'!$A$1:$O$22"}</definedName>
    <definedName function="false" hidden="true" name="sdfd" vbProcedure="false">39776.6940625</definedName>
    <definedName function="false" hidden="true" name="sdfdsf" vbProcedure="false">{#N/A,#N/A,FALSE,"KA CH  (2)"}</definedName>
    <definedName function="false" hidden="true" name="sdff" vbProcedure="false">#REF!</definedName>
    <definedName function="false" hidden="true" name="sdffdfgf" vbProcedure="false">{#N/A,#N/A,TRUE,"Cont_Stell";#N/A,#N/A,TRUE,"BTG";#N/A,#N/A,TRUE,"SH";#N/A,#N/A,TRUE,"GUV";#N/A,#N/A,TRUE,"Bilanz";#N/A,#N/A,TRUE,"WC";#N/A,#N/A,TRUE,"Beweg_bil";#N/A,#N/A,TRUE,"Kap_fluß";#N/A,#N/A,TRUE,"KENNZ";#N/A,#N/A,TRUE,"ANALYSE"}</definedName>
    <definedName function="false" hidden="true" name="sdfg"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sdfg5w4e"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sdfgdfg"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SDFGH" vbProcedure="false">{#N/A,#N/A,FALSE,"단축1";#N/A,#N/A,FALSE,"단축2";#N/A,#N/A,FALSE,"단축3";#N/A,#N/A,FALSE,"장축";#N/A,#N/A,FALSE,"4WD"}</definedName>
    <definedName function="false" hidden="true" name="sdfghfdg"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sdfgrsta" vbProcedure="false">{"var_page",#N/A,FALSE,"template"}</definedName>
    <definedName function="false" hidden="true" name="sdfgw45qt"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sdfh" vbProcedure="false">{#N/A,#N/A,FALSE,"Pharm";#N/A,#N/A,FALSE,"WWCM"}</definedName>
    <definedName function="false" hidden="true" name="SDFHG" vbProcedure="false">{"Agg Output",#N/A,FALSE,"Operational Drivers Output";"NW Output",#N/A,FALSE,"Operational Drivers Output";"South Output",#N/A,FALSE,"Operational Drivers Output";"Central Output",#N/A,FALSE,"Operational Drivers Output"}</definedName>
    <definedName function="false" hidden="true" name="SDFS" vbProcedure="false">{#N/A,#N/A,FALSE,"단축1";#N/A,#N/A,FALSE,"단축2";#N/A,#N/A,FALSE,"단축3";#N/A,#N/A,FALSE,"장축";#N/A,#N/A,FALSE,"4WD"}</definedName>
    <definedName function="false" hidden="true" name="sdfsadf" vbProcedure="false">{#N/A,#N/A,FALSE,"Index";#N/A,#N/A,FALSE,"1.1";#N/A,#N/A,FALSE,"Scenario Summary"}</definedName>
    <definedName function="false" hidden="true" name="sdfsadfsdafsadf" vbProcedure="false">{#N/A,#N/A,FALSE,"Index";#N/A,#N/A,FALSE,"1.1";#N/A,#N/A,FALSE,"Scenario Summary"}</definedName>
    <definedName function="false" hidden="true" name="sdfsafd" vbProcedure="false">{#N/A,#N/A,FALSE,"Index";#N/A,#N/A,FALSE,"1.1";#N/A,#N/A,FALSE,"Scenario Summary"}</definedName>
    <definedName function="false" hidden="true" name="sdfsdaf" vbProcedure="false">{#N/A,#N/A,FALSE,"Index";#N/A,#N/A,FALSE,"1.1";#N/A,#N/A,FALSE,"Scenario Summary"}</definedName>
    <definedName function="false" hidden="true" name="sdfsdf" vbProcedure="false">{#N/A,#N/A,TRUE,"Cover sheet";#N/A,#N/A,TRUE,"INPUTS";#N/A,#N/A,TRUE,"OUTPUTS";#N/A,#N/A,TRUE,"VALUATION"}</definedName>
    <definedName function="false" hidden="true" name="sdfsdfsdfsdfs" vbProcedure="false">6</definedName>
    <definedName function="false" hidden="true" name="sdfsdgf"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sdfsfsfd" vbProcedure="false">{#N/A,#N/A,FALSE,"Operations";#N/A,#N/A,FALSE,"Financials"}</definedName>
    <definedName function="false" hidden="true" name="sdfsfsfsdf" vbProcedure="false">{#N/A,#N/A,FALSE,"Calc";#N/A,#N/A,FALSE,"Sensitivity";#N/A,#N/A,FALSE,"LT Earn.Dil.";#N/A,#N/A,FALSE,"Dil. AVP"}</definedName>
    <definedName function="false" hidden="true" name="sdft" vbProcedure="false">{#N/A,#N/A,FALSE,"SUMMARY";#N/A,#N/A,FALSE,"mcsh";#N/A,#N/A,FALSE,"vol&amp;rev";#N/A,#N/A,FALSE,"wkgcap";#N/A,#N/A,FALSE,"DEPR&amp;DT";#N/A,#N/A,FALSE,"ASSETS";#N/A,#N/A,FALSE,"NI&amp;OTH&amp;DIV";#N/A,#N/A,FALSE,"CASHFLOW";#N/A,#N/A,FALSE,"CAPEMPL";#N/A,#N/A,FALSE,"ROCE"}</definedName>
    <definedName function="false" hidden="true" name="sdfw"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sdfwer" vbProcedure="false">{#N/A,#N/A,FALSE,"Layout GuV"}</definedName>
    <definedName function="false" hidden="true" name="sdgagf" vbProcedure="false">{#N/A,#N/A,FALSE,"Pharm";#N/A,#N/A,FALSE,"WWCM"}</definedName>
    <definedName function="false" hidden="true" name="sdgdf" vbProcedure="false">{"Acq_matrix",#N/A,FALSE,"Acquisition Matrix"}</definedName>
    <definedName function="false" hidden="true" name="sdgdfghfhgfjhgfjhjjjg" vbProcedure="false">{"general",#N/A,FALSE,"Assumptions"}</definedName>
    <definedName function="false" hidden="true" name="sdgdgdf" vbProcedure="false">{"comp",#N/A,FALSE,"SPEC";"footnotes",#N/A,FALSE,"SPEC"}</definedName>
    <definedName function="false" hidden="true" name="SDGFE" vbProcedure="false">{#N/A,#N/A,FALSE,"A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function="false" hidden="true" name="sdgh" vbProcedure="false">{"qty and inventory value",#N/A,FALSE,"MPartners";"general ledger entries",#N/A,FALSE,"MPartners"}</definedName>
    <definedName function="false" hidden="true" name="sdhdhfdfhh" vbProcedure="false">{#N/A,#N/A,FALSE,"Balance Sheet";#N/A,#N/A,FALSE,"Income Statement";#N/A,#N/A,FALSE,"Changes in Financial Position"}</definedName>
    <definedName function="false" hidden="true" name="sdkfjösadkjfölskdajfiweaiofrw" vbProcedure="false">{#N/A,#N/A,FALSE,"Index";#N/A,#N/A,FALSE,"1.1";#N/A,#N/A,FALSE,"Scenario Summary"}</definedName>
    <definedName function="false" hidden="true" name="sdry" vbProcedure="false">#REF!</definedName>
    <definedName function="false" hidden="true" name="sds"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sdsadasd" vbProcedure="false">{#N/A,#N/A,FALSE,"Pharm";#N/A,#N/A,FALSE,"WWCM"}</definedName>
    <definedName function="false" hidden="true" name="SDSD" vbProcedure="false">{#N/A,#N/A,FALSE,"Staffnos &amp; cost"}</definedName>
    <definedName function="false" hidden="true" name="sdsdfsdf" vbProcedure="false">{"GuVGmbH",#N/A,FALSE,"ratios";"BilanzGmbH",#N/A,FALSE,"ratios";"BilanzKG",#N/A,FALSE,"ratios";"GuVKG",#N/A,FALSE,"ratios"}</definedName>
    <definedName function="false" hidden="true" name="sdsf" vbProcedure="false">{"vi1",#N/A,FALSE,"Financial Statements";"vi2",#N/A,FALSE,"Financial Statements";#N/A,#N/A,FALSE,"DCF"}</definedName>
    <definedName function="false" hidden="true" name="sdtrshjsrtj"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sdvsdfv" vbProcedure="false">{"Alex2",#N/A,FALSE," SAV A8"}</definedName>
    <definedName function="false" hidden="true" name="sdvsdvsDVVd" vbProcedure="false">{"'Planning Data'!$A$2:$X$120"}</definedName>
    <definedName function="false" hidden="true" name="sdw" vbProcedure="false">{#N/A,#N/A,FALSE,"Admin";#N/A,#N/A,FALSE,"Other"}</definedName>
    <definedName function="false" hidden="true" name="sdy" vbProcedure="false">{#N/A,#N/A,FALSE,"PrintM"}</definedName>
    <definedName function="false" hidden="true" name="se" vbProcedure="false">{"consolidated",#N/A,FALSE,"Sheet1";"cms",#N/A,FALSE,"Sheet1";"fse",#N/A,FALSE,"Sheet1"}</definedName>
    <definedName function="false" hidden="true" name="sea" vbProcedure="false">{"oct_res_comm",#N/A,FALSE,"VarToBud"}</definedName>
    <definedName function="false" hidden="true" name="sean" vbProcedure="false">{"'Sample Status'!$A$1:$J$21"}</definedName>
    <definedName function="false" hidden="true" name="secondaries" vbProcedure="false">{#N/A,#N/A,FALSE,"Summary";#N/A,#N/A,FALSE,"Pending";#N/A,#N/A,FALSE,"Oct'97";#N/A,#N/A,FALSE,"Sept'97";#N/A,#N/A,FALSE,"Aug'97";#N/A,#N/A,FALSE,"Jul'97";#N/A,#N/A,FALSE,"Jun'97";#N/A,#N/A,FALSE,"May'97";#N/A,#N/A,FALSE,"Apr'97";#N/A,#N/A,FALSE,"Mar'97";#N/A,#N/A,FALSE,"Feb'97";#N/A,#N/A,FALSE,"Jan'97"}</definedName>
    <definedName function="false" hidden="true" name="Sec_Eff_X" vbProcedure="false">#REF!</definedName>
    <definedName function="false" hidden="true" name="SegmentBudget" vbProcedure="false">{"oct_res_comm",#N/A,FALSE,"VarToBud"}</definedName>
    <definedName function="false" hidden="true" name="SEJINBS" vbProcedure="false">{#N/A,#N/A,FALSE,"정공"}</definedName>
    <definedName function="false" hidden="true" name="Selim" vbProcedure="false">{"budget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function="false" hidden="true" name="selrange" vbProcedure="false">#REF!</definedName>
    <definedName function="false" hidden="true" name="semanal" vbProcedure="false">{"MATERIAL",#N/A,FALSE,"material"}</definedName>
    <definedName function="false" hidden="true" name="sencount" vbProcedure="false">1</definedName>
    <definedName function="false" hidden="true" name="ser" vbProcedure="false">{"FY98Q1",#N/A,FALSE,"FY98 - Q1";"FY98Q2",#N/A,FALSE,"FY98 - Q2";"FY98Q3",#N/A,FALSE,"FY98 - Q3";"FY98Q4",#N/A,FALSE,"FY98 - Q4"}</definedName>
    <definedName function="false" hidden="true" name="serers" vbProcedure="false">{#N/A,#N/A,FALSE,"Staffnos &amp; cost"}</definedName>
    <definedName function="false" hidden="true" name="serhsthj" vbProcedure="false">{#N/A,#N/A,FALSE,"INPUTS";#N/A,#N/A,FALSE,"PROFORMA BSHEET";#N/A,#N/A,FALSE,"COMBINED";#N/A,#N/A,FALSE,"ACQUIROR";#N/A,#N/A,FALSE,"TARGET 1";#N/A,#N/A,FALSE,"TARGET 2";#N/A,#N/A,FALSE,"HIGH YIELD";#N/A,#N/A,FALSE,"OVERFUND"}</definedName>
    <definedName function="false" hidden="true" name="serqw" vbProcedure="false">{#N/A,#N/A,FALSE,"Staffnos &amp; cost"}</definedName>
    <definedName function="false" hidden="true" name="sertawe" vbProcedure="false">{#N/A,#N/A,FALSE,"Layout Aktiva";#N/A,#N/A,FALSE,"Layout Passiva"}</definedName>
    <definedName function="false" hidden="true" name="setwet" vbProcedure="false">{"summary",#N/A,FALSE,"labor"}</definedName>
    <definedName function="false" hidden="true" name="sety" vbProcedure="false">{"LAPO2N2",#N/A,FALSE,"CM"}</definedName>
    <definedName function="false" hidden="true" name="sev" vbProcedure="false">#REF!</definedName>
    <definedName function="false" hidden="true" name="SF"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sfasfwsdf"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true" name="sfd" vbProcedure="false">#REF!</definedName>
    <definedName function="false" hidden="true" name="sfdg" vbProcedure="false">{"LEVEL1","UKCONSGAAP",TRUE," Corp PL 2 (LEVEL 1)";"LEVEL2",#N/A,TRUE,"Sum  Div (LEVEL 2)";"LEVEL1","CORE",TRUE," Corp PL 2 (LEVEL 1)";"LEVEL2",#N/A,TRUE,"Sum  Div (LEVEL 2)";"LEVEL1","HSSUNDRIES_GAAP",TRUE," Corp PL 2 (LEVEL 1)";"LEVEL2",#N/A,TRUE,"Sum  Div (LEVEL 2)";"LEVEL1","KENTEXP_GAAP",TRUE," Corp PL 2 (LEVEL 1)";"LEVEL2",#N/A,TRUE,"Sum  Div (LEVEL 2)";"LEVEL1","BUDGET_GAAP",TRUE," Corp PL 2 (LEVEL 1)";"LEVEL2",#N/A,TRUE,"Sum  Div (LEVEL 2)";"LEVEL1","BLACKWELL_GAAP",TRUE," Corp PL 2 (LEVEL 1)";"LEVEL2",#N/A,TRUE,"Sum  Div (LEVEL 2)";"LEVEL1","ZAHNLAB_GAAP",TRUE," Corp PL 2 (LEVEL 1)";"LEVEL2",#N/A,TRUE,"Sum  Div (LEVEL 2)";"LEVEL1","HSUKHOLD_GAAP",TRUE," Corp PL 2 (LEVEL 1)";"LEVEL2",#N/A,TRUE,"Sum  Div (LEVEL 2)";"LEVEL1","HSFINANCE_GAAP",TRUE," Corp PL 2 (LEVEL 1)";"LEVEL2",#N/A,TRUE,"Sum  Div (LEVEL 2)";"LEVEL1","HSSALESELIM",TRUE," Corp PL 2 (LEVEL 1)";"LEVEL2",#N/A,TRUE,"Sum  Div (LEVEL 2)";"LEVEL1","HSEQUIP_GAAP",TRUE," Corp PL 2 (LEVEL 1)";"LEVEL2",#N/A,TRUE,"Sum  Div (LEVEL 2)";"LEVEL1","HSTECHIR_GAAP",TRUE," Corp PL 2 (LEVEL 1)";"LEVEL2",#N/A,TRUE,"Sum  Div (LEVEL 2)";"LEVEL1","HSKM_GAAP",TRUE," Corp PL 2 (LEVEL 1)";"LEVEL2",#N/A,TRUE,"Sum  Div (LEVEL 2)";"LEVEL1","HSIRELAND_GAAP",TRUE," Corp PL 2 (LEVEL 1)";"LEVEL2",#N/A,TRUE,"Sum  Div (LEVEL 2)";"LEVEL1","ZAHNDENTAL_GAAP",TRUE," Corp PL 2 (LEVEL 1)";"LEVEL2",#N/A,TRUE,"Sum  Div (LEVEL 2)";"LEVEL1","BAINTERN_GAAP",TRUE," Corp PL 2 (LEVEL 1)";"LEVEL2",#N/A,TRUE,"Sum  Div (LEVEL 2)";"LEVEL1","PORTNASH_GAAP",TRUE," Corp PL 2 (LEVEL 1)";"LEVEL2",#N/A,TRUE,"Sum  Div (LEVEL 2)"}</definedName>
    <definedName function="false" hidden="true" name="sfdgfgg" vbProcedure="false">{#N/A,#N/A,FALSE,"Umsatz OK";#N/A,#N/A,FALSE,"ER OK ";#N/A,#N/A,FALSE,"EA OK (2)";#N/A,#N/A,FALSE,"EA OK";#N/A,#N/A,FALSE,"EA OK (3)";#N/A,#N/A,FALSE,"EA OK (4)";#N/A,#N/A,FALSE,"KA OK  (2)";#N/A,#N/A,FALSE,"KA OK";#N/A,#N/A,FALSE,"KA OK  (3)";#N/A,#N/A,FALSE,"KA OK (4)"}</definedName>
    <definedName function="false" hidden="true" name="SFDGHG" vbProcedure="false">{#N/A,#N/A,FALSE,"단축1";#N/A,#N/A,FALSE,"단축2";#N/A,#N/A,FALSE,"단축3";#N/A,#N/A,FALSE,"장축";#N/A,#N/A,FALSE,"4WD"}</definedName>
    <definedName function="false" hidden="true" name="sfdgsdfh565"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sfdharghesrh" vbProcedure="false">{#N/A,#N/A,FALSE,"Valuation Assumptions";#N/A,#N/A,FALSE,"Summary";#N/A,#N/A,FALSE,"DCF";#N/A,#N/A,FALSE,"Valuation";#N/A,#N/A,FALSE,"WACC";#N/A,#N/A,FALSE,"UBVH";#N/A,#N/A,FALSE,"Free Cash Flow"}</definedName>
    <definedName function="false" hidden="true" name="sfdirect" vbProcedure="false">{#N/A,#N/A,FALSE,"REPORT"}</definedName>
    <definedName function="false" hidden="true" name="sfdsfsdf" vbProcedure="false">"5XE3DWNI2A1IX1M55GJ5LUGO9"</definedName>
    <definedName function="false" hidden="true" name="sff" vbProcedure="false">{"targetdcf",#N/A,FALSE,"Merger consequences";"TARGETASSU",#N/A,FALSE,"Merger consequences";"TERMINAL VALUE",#N/A,FALSE,"Merger consequences"}</definedName>
    <definedName function="false" hidden="true" name="SFG" vbProcedure="false">{TRUE,TRUE,-1.25,-15.5,456.75,279.75,FALSE,FALSE,TRUE,TRUE,0,1,21,1,127,6,3,4,TRUE,TRUE,3,TRUE,1,TRUE,100,"Swvu.profits.","ACwvu.profits.",1,FALSE,FALSE,0.511811023622047,0.511811023622047,0.511811023622047,0.511811023622047,1,"","",FALSE,FALSE,FALSE,FALSE,1,#N/A,1,1,#DIV/0!,FALSE,"Rwvu.profits.",#N/A,FALSE,FALSE}</definedName>
    <definedName function="false" hidden="true" name="sfgasd" vbProcedure="false">{0,0,0,0;0,0,0,0;0,0,0,0;0,0,0,0;0,0,0,0;0,0,0,0;0,0,2,0;2,3,3,0;FALSE,FALSE,FALSE,FALSE;TRUE,FALSE,TRUE,TRUE;FALSE,FALSE,TRUE,TRUE;FALSE,0,2.78134444564786E-308,4.45015196281921E-308;7.78776275135711E-308,1.33504516457612E-307,2.22507555776164E-307,3.56012157274209E-307}</definedName>
    <definedName function="false" hidden="true" name="sfgf" vbProcedure="false">{"DCF","UPSIDE CASE",FALSE,"Sheet1";"DCF","BASE CASE",FALSE,"Sheet1";"DCF","DOWNSIDE CASE",FALSE,"Sheet1"}</definedName>
    <definedName function="false" hidden="true" name="sfgfg"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sfghdsgjms" vbProcedure="false">{#N/A,#N/A,FALSE,"ACQ_GRAPHS";#N/A,#N/A,FALSE,"T_1 GRAPHS";#N/A,#N/A,FALSE,"T_2 GRAPHS";#N/A,#N/A,FALSE,"COMB_GRAPHS"}</definedName>
    <definedName function="false" hidden="true" name="SFGHJK" vbProcedure="false">{#N/A,#N/A,FALSE,"단축1";#N/A,#N/A,FALSE,"단축2";#N/A,#N/A,FALSE,"단축3";#N/A,#N/A,FALSE,"장축";#N/A,#N/A,FALSE,"4WD"}</definedName>
    <definedName function="false" hidden="true" name="sfghsgjshk"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sfghsmsmsg" vbProcedure="false">{#N/A,#N/A,FALSE,"ACQ_GRAPHS";#N/A,#N/A,FALSE,"T_1 GRAPHS";#N/A,#N/A,FALSE,"T_2 GRAPHS";#N/A,#N/A,FALSE,"COMB_GRAPHS"}</definedName>
    <definedName function="false" hidden="true" name="sfgnserg"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sfgv" vbProcedure="false">{"consolidated",#N/A,FALSE,"Sheet1";"cms",#N/A,FALSE,"Sheet1";"fse",#N/A,FALSE,"Sheet1"}</definedName>
    <definedName function="false" hidden="true" name="sfhdghghdsgh5"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SFJGH" vbProcedure="false">{#N/A,#N/A,FALSE,"단축1";#N/A,#N/A,FALSE,"단축2";#N/A,#N/A,FALSE,"단축3";#N/A,#N/A,FALSE,"장축";#N/A,#N/A,FALSE,"4WD"}</definedName>
    <definedName function="false" hidden="true" name="sfq" vbProcedure="false">{#N/A,#N/A,FALSE,"Calc";#N/A,#N/A,FALSE,"Sensitivity";#N/A,#N/A,FALSE,"LT Earn.Dil.";#N/A,#N/A,FALSE,"Dil. AVP"}</definedName>
    <definedName function="false" hidden="true" name="sfs" vbProcedure="false">{"comps",#N/A,FALSE,"HANDPACK";"footnotes",#N/A,FALSE,"HANDPACK"}</definedName>
    <definedName function="false" hidden="true" name="sfsdfsf" vbProcedure="false">{"First Page",#N/A,FALSE,"Surfactants LBO";"Second Page",#N/A,FALSE,"Surfactants LBO"}</definedName>
    <definedName function="false" hidden="true" name="sfsf" vbProcedure="false">{"general",#N/A,FALSE,"Assumptions"}</definedName>
    <definedName function="false" hidden="true" name="sfsfsdf" vbProcedure="false">{#N/A,#N/A,FALSE,"Calc";#N/A,#N/A,FALSE,"Sensitivity";#N/A,#N/A,FALSE,"LT Earn.Dil.";#N/A,#N/A,FALSE,"Dil. AVP"}</definedName>
    <definedName function="false" hidden="true" name="SFSFSFS" vbProcedure="false">{#N/A,#N/A,FALSE,"단축1";#N/A,#N/A,FALSE,"단축2";#N/A,#N/A,FALSE,"단축3";#N/A,#N/A,FALSE,"장축";#N/A,#N/A,FALSE,"4WD"}</definedName>
    <definedName function="false" hidden="true" name="sfsfsfsfsfd" vbProcedure="false">{"away stand alones",#N/A,FALSE,"Target"}</definedName>
    <definedName function="false" hidden="true" name="sfthsthstrhsth" vbProcedure="false">{#N/A,#N/A,FALSE,"ACQ_GRAPHS";#N/A,#N/A,FALSE,"T_1 GRAPHS";#N/A,#N/A,FALSE,"T_2 GRAPHS";#N/A,#N/A,FALSE,"COMB_GRAPHS"}</definedName>
    <definedName function="false" hidden="true" name="sfwefwef"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sg" vbProcedure="false">{#N/A,#N/A,FALSE,"Umsatz CH";#N/A,#N/A,FALSE,"ER CH";#N/A,#N/A,FALSE,"EA CH (2) ";#N/A,#N/A,FALSE,"EA CH";#N/A,#N/A,FALSE,"EA CH (3) ";#N/A,#N/A,FALSE,"EA CH (4)";#N/A,#N/A,FALSE,"KA CH";#N/A,#N/A,FALSE,"KA CH  (2)";#N/A,#N/A,FALSE,"KA CH  (3)";#N/A,#N/A,FALSE,"KA CH (4)"}</definedName>
    <definedName function="false" hidden="true" name="SGA" vbProcedure="false">"SGA"</definedName>
    <definedName function="false" hidden="true" name="sgdfg"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sgdg" vbProcedure="false">{#N/A,#N/A,FALSE,"Calc";#N/A,#N/A,FALSE,"Sensitivity";#N/A,#N/A,FALSE,"LT Earn.Dil.";#N/A,#N/A,FALSE,"Dil. AVP"}</definedName>
    <definedName function="false" hidden="true" name="sgdzhet" vbProcedure="false">{"subs",#N/A,FALSE,"database ";"proportional",#N/A,FALSE,"database "}</definedName>
    <definedName function="false" hidden="true" name="sger"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SGFA" vbProcedure="false">{#N/A,#N/A,FALSE,"인원";#N/A,#N/A,FALSE,"비용2";#N/A,#N/A,FALSE,"비용1";#N/A,#N/A,FALSE,"비용";#N/A,#N/A,FALSE,"보증2";#N/A,#N/A,FALSE,"보증1";#N/A,#N/A,FALSE,"보증";#N/A,#N/A,FALSE,"손익1";#N/A,#N/A,FALSE,"손익";#N/A,#N/A,FALSE,"부서별매출";#N/A,#N/A,FALSE,"매출"}</definedName>
    <definedName function="false" hidden="true" name="sghh"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sghsrthsrthsrt"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sghsrthsrtj" vbProcedure="false">{#N/A,#N/A,FALSE,"ACQ_GRAPHS";#N/A,#N/A,FALSE,"T_1 GRAPHS";#N/A,#N/A,FALSE,"T_2 GRAPHS";#N/A,#N/A,FALSE,"COMB_GRAPHS"}</definedName>
    <definedName function="false" hidden="true" name="sgjsgjsgj" vbProcedure="false">{#N/A,#N/A,FALSE,"Valuation Assumptions";#N/A,#N/A,FALSE,"Summary";#N/A,#N/A,FALSE,"DCF";#N/A,#N/A,FALSE,"Valuation";#N/A,#N/A,FALSE,"WACC";#N/A,#N/A,FALSE,"UBVH";#N/A,#N/A,FALSE,"Free Cash Flow"}</definedName>
    <definedName function="false" hidden="true" name="sgjshksts" vbProcedure="false">{#N/A,#N/A,FALSE,"INPUTS";#N/A,#N/A,FALSE,"PROFORMA BSHEET";#N/A,#N/A,FALSE,"COMBINED";#N/A,#N/A,FALSE,"HIGH YIELD";#N/A,#N/A,FALSE,"COMB_GRAPHS"}</definedName>
    <definedName function="false" hidden="true" name="sgjsrtj" vbProcedure="false">{#N/A,#N/A,FALSE,"ACQ_GRAPHS";#N/A,#N/A,FALSE,"T_1 GRAPHS";#N/A,#N/A,FALSE,"T_2 GRAPHS";#N/A,#N/A,FALSE,"COMB_GRAPHS"}</definedName>
    <definedName function="false" hidden="true" name="sgjsrtjn" vbProcedure="false">{#N/A,#N/A,FALSE,"Valuation Assumptions";#N/A,#N/A,FALSE,"Summary";#N/A,#N/A,FALSE,"DCF";#N/A,#N/A,FALSE,"Valuation";#N/A,#N/A,FALSE,"WACC";#N/A,#N/A,FALSE,"UBVH";#N/A,#N/A,FALSE,"Free Cash Flow"}</definedName>
    <definedName function="false" hidden="true" name="sgjsyjk" vbProcedure="false">{#N/A,#N/A,FALSE,"INPUTS";#N/A,#N/A,FALSE,"PROFORMA BSHEET";#N/A,#N/A,FALSE,"COMBINED";#N/A,#N/A,FALSE,"HIGH YIELD";#N/A,#N/A,FALSE,"COMB_GRAPHS"}</definedName>
    <definedName function="false" hidden="true" name="sgrz"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sgsdfg"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sgsG" vbProcedure="false">{#N/A,#N/A,FALSE,"Performance Flash Report"}</definedName>
    <definedName function="false" hidden="true" name="sGSGkj" vbProcedure="false">{"'Planning Data'!$A$2:$X$120"}</definedName>
    <definedName function="false" hidden="true" name="sgsx" vbProcedure="false">{"consolidated",#N/A,FALSE,"Sheet1";"cms",#N/A,FALSE,"Sheet1";"fse",#N/A,FALSE,"Sheet1"}</definedName>
    <definedName function="false" hidden="true" name="SH" vbProcedure="false">{"'Jan-02'!$F$46:$F$47","'Jan-02'!$F$46:$F$47"}</definedName>
    <definedName function="false" hidden="true" name="shaci" vbProcedure="false">{#N/A,#N/A,FALSE,"Combo-Ass ";#N/A,#N/A,FALSE,"Combo-AD sum";#N/A,#N/A,FALSE,"Combo-Syn Sens";#N/A,#N/A,FALSE,"Combo-Contr";#N/A,#N/A,FALSE,"Combo-Credit Sum";#N/A,#N/A,FALSE,"Combo-Credit";#N/A,#N/A,FALSE,"Combo-AD";#N/A,#N/A,FALSE,"Combo-AD CF"}</definedName>
    <definedName function="false" hidden="true" name="shamrock" vbProcedure="false">{#N/A,#N/A,TRUE,"Val - sum";#N/A,#N/A,TRUE,"Val - Sum1";#N/A,#N/A,TRUE,"Val - sum2";#N/A,#N/A,TRUE,"Val - Sum3";#N/A,#N/A,TRUE,"Tar-DCF";#N/A,#N/A,TRUE,"Tar-Val LBO";#N/A,#N/A,TRUE,"Tar-Mult Val"}</definedName>
    <definedName function="false" hidden="true" name="shareoutltm" vbProcedure="false">#REF!</definedName>
    <definedName function="false" hidden="true" name="sharepriceltm" vbProcedure="false">#REF!</definedName>
    <definedName function="false" hidden="true" name="SHARESOUTSTANDING" vbProcedure="false">"SHARESOUTSTANDING"</definedName>
    <definedName function="false" hidden="true" name="shdhd"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true" name="sheet" vbProcedure="false">{"Assumptions1",#N/A,FALSE,"Assumptions";"MergerPlans1","20yearamort",FALSE,"MergerPlans";"MergerPlans1","40yearamort",FALSE,"MergerPlans";"MergerPlans2",#N/A,FALSE,"MergerPlans";"inputs",#N/A,FALSE,"MergerPlans"}</definedName>
    <definedName function="false" hidden="true" name="SHEET10" vbProcedure="false">{#N/A,#N/A,FALSE,"단축1";#N/A,#N/A,FALSE,"단축2";#N/A,#N/A,FALSE,"단축3";#N/A,#N/A,FALSE,"장축";#N/A,#N/A,FALSE,"4WD"}</definedName>
    <definedName function="false" hidden="true" name="sheet100" vbProcedure="false">{#N/A,#N/A,TRUE,"RIDE";#N/A,#N/A,TRUE,"STEERING";#N/A,#N/A,TRUE,"HANDLING";#N/A,#N/A,TRUE,"BRAKING"}</definedName>
    <definedName function="false" hidden="true" name="sheet3" vbProcedure="false">{#N/A,#N/A,FALSE,"Staffnos &amp; cost"}</definedName>
    <definedName function="false" hidden="true" name="Sheet5" vbProcedure="false">#REF!</definedName>
    <definedName function="false" hidden="true" name="Sheeta" vbProcedure="false">{"FY97Tot nvs",#N/A,FALSE,"FY97 - Total";"FY98Tot nvs",#N/A,FALSE,"FY98 - Total"}</definedName>
    <definedName function="false" hidden="true" name="SheetState" vbProcedure="false">"'-1:2:-1:-1:-1:-1:-1:-1:-1:-1:-1:-1:-1:-1:-1:-1:-1:-1:-1:-1:-1:-1:-1:-1:-1:-1:-1:-1:-1:-1:-1:-1:-1:-1:-1:-1:-1:-1:-1:-1:-1:-1:-1:-1:-1:-1:-1:-1:-1:-1:-1:-1:-1:-1:-1:-1:-1:-1:-1:-1:-1:-1:-1:-1:-1:-1:-1:-1:-1:-1:-1:-1:-1:-1:-1:-1:-1:-1:-1:-1:-1:-1:-1:-1"</definedName>
    <definedName function="false" hidden="true" name="sheettwo" vbProcedure="false">{"'MVS'!$A$5:$O$716"}</definedName>
    <definedName function="false" hidden="true" name="shggf"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shkshkshks" vbProcedure="false">{#N/A,#N/A,FALSE,"ACQ_GRAPHS";#N/A,#N/A,FALSE,"T_1 GRAPHS";#N/A,#N/A,FALSE,"T_2 GRAPHS";#N/A,#N/A,FALSE,"COMB_GRAPHS"}</definedName>
    <definedName function="false" hidden="true" name="short" vbProcedure="false">#REF!</definedName>
    <definedName function="false" hidden="true" name="SHORT_TERM_INVEST" vbProcedure="false">"SHORT_TERM_INVEST"</definedName>
    <definedName function="false" hidden="true" name="Show.Acct.Update.Warning" vbProcedure="false">#REF!</definedName>
    <definedName function="false" hidden="true" name="Show.MDB.Update.Warning" vbProcedure="false">#REF!</definedName>
    <definedName function="false" hidden="true" name="shrt" vbProcedure="false">{#VALUE!,#N/A,FALSE,0;#N/A,#N/A,FALSE,0;#N/A,#N/A,FALSE,0;#N/A,#N/A,FALSE,0;#N/A,#N/A,FALSE,0}</definedName>
    <definedName function="false" hidden="true" name="shsdfhsdfhkjs" vbProcedure="false">{#N/A,#N/A,TRUE,"Staffnos &amp; cost"}</definedName>
    <definedName function="false" hidden="true" name="shsdrtjhsdrt" vbProcedure="false">{#N/A,#N/A,FALSE,"Valuation Assumptions";#N/A,#N/A,FALSE,"Summary";#N/A,#N/A,FALSE,"DCF";#N/A,#N/A,FALSE,"Valuation";#N/A,#N/A,FALSE,"WACC";#N/A,#N/A,FALSE,"UBVH";#N/A,#N/A,FALSE,"Free Cash Flow"}</definedName>
    <definedName function="false" hidden="true" name="shsthsrthsrth" vbProcedure="false">{"vi1",#N/A,FALSE,"Financial Statements";"vi2",#N/A,FALSE,"Financial Statements";#N/A,#N/A,FALSE,"DCF"}</definedName>
    <definedName function="false" hidden="true" name="shtg" vbProcedure="false">#REF!</definedName>
    <definedName function="false" hidden="true" name="shukusinnu" vbProcedure="false">{#N/A,#N/A,FALSE,"Profit Status";#N/A,#N/A,FALSE,"Invest";#N/A,#N/A,FALSE,"Revenue";#N/A,#N/A,FALSE,"Variable Cost";#N/A,#N/A,FALSE,"Options &amp; Series"}</definedName>
    <definedName function="false" hidden="true" name="SID" vbProcedure="false">"Cpavan"</definedName>
    <definedName function="false" hidden="true" name="Siemens" vbProcedure="false">{"'comite'!$A$9:$G$44","'comite'!$A$1:$G$6"}</definedName>
    <definedName function="false" hidden="true" name="SIG_ABILA_firstLine" vbProcedure="false">#REF!</definedName>
    <definedName function="false" hidden="true" name="SIG_ABILA_IsControlOK" vbProcedure="false">#REF!</definedName>
    <definedName function="false" hidden="true" name="SIG_ABILA_lastLine" vbProcedure="false">#REF!</definedName>
    <definedName function="false" hidden="true" name="SIG_ABILA_TITLECOL" vbProcedure="false">#REF!</definedName>
    <definedName function="false" hidden="true" name="SIG_ABILA_TITLELINE" vbProcedure="false">#REF!</definedName>
    <definedName function="false" hidden="true" name="SIG_AC_firstLine" vbProcedure="false">#N/A</definedName>
    <definedName function="false" hidden="true" name="SIG_AC_IsControlOK" vbProcedure="false">#N/A</definedName>
    <definedName function="false" hidden="true" name="SIG_AC_lastLine" vbProcedure="false">#N/A</definedName>
    <definedName function="false" hidden="true" name="SIG_AC_TITLECOL" vbProcedure="false">#N/A</definedName>
    <definedName function="false" hidden="true" name="SIG_AC_TITLELINE" vbProcedure="false">#N/A</definedName>
    <definedName function="false" hidden="true" name="SIG_ASEGMGES_firstLine" vbProcedure="false">#REF!</definedName>
    <definedName function="false" hidden="true" name="SIG_ASEGMGES_IsControlOK" vbProcedure="false">#REF!</definedName>
    <definedName function="false" hidden="true" name="SIG_ASEGMGES_lastLine" vbProcedure="false">#REF!</definedName>
    <definedName function="false" hidden="true" name="SIG_CONTROLE" vbProcedure="false">#N/A</definedName>
    <definedName function="false" hidden="true" name="SIG_DERNIERECOLONNE" vbProcedure="false">#N/A</definedName>
    <definedName function="false" hidden="true" name="SIG_EANLV_C1" vbProcedure="false">#REF!</definedName>
    <definedName function="false" hidden="true" name="SIG_EANLV_C10" vbProcedure="false">#REF!</definedName>
    <definedName function="false" hidden="true" name="SIG_EANLV_C11" vbProcedure="false">#REF!</definedName>
    <definedName function="false" hidden="true" name="SIG_EANLV_C12" vbProcedure="false">#REF!</definedName>
    <definedName function="false" hidden="true" name="SIG_EANLV_C13" vbProcedure="false">#REF!</definedName>
    <definedName function="false" hidden="true" name="SIG_EANLV_C14" vbProcedure="false">#REF!</definedName>
    <definedName function="false" hidden="true" name="SIG_EANLV_C15" vbProcedure="false">#REF!</definedName>
    <definedName function="false" hidden="true" name="SIG_EANLV_C16" vbProcedure="false">#REF!</definedName>
    <definedName function="false" hidden="true" name="SIG_EANLV_C2" vbProcedure="false">#REF!</definedName>
    <definedName function="false" hidden="true" name="SIG_EANLV_C3" vbProcedure="false">#REF!</definedName>
    <definedName function="false" hidden="true" name="SIG_EANLV_C4" vbProcedure="false">#REF!</definedName>
    <definedName function="false" hidden="true" name="SIG_EANLV_C5" vbProcedure="false">#REF!</definedName>
    <definedName function="false" hidden="true" name="SIG_EANLV_C6" vbProcedure="false">#REF!</definedName>
    <definedName function="false" hidden="true" name="SIG_EANLV_C7" vbProcedure="false">#REF!</definedName>
    <definedName function="false" hidden="true" name="SIG_EANLV_C8" vbProcedure="false">#REF!</definedName>
    <definedName function="false" hidden="true" name="SIG_EANLV_C9" vbProcedure="false">#REF!</definedName>
    <definedName function="false" hidden="true" name="SIG_EANLV_R1" vbProcedure="false">#REF!</definedName>
    <definedName function="false" hidden="true" name="SIG_EANLV_R10" vbProcedure="false">#REF!</definedName>
    <definedName function="false" hidden="true" name="SIG_EANLV_R11" vbProcedure="false">#REF!</definedName>
    <definedName function="false" hidden="true" name="SIG_EANLV_R12" vbProcedure="false">#REF!</definedName>
    <definedName function="false" hidden="true" name="SIG_EANLV_R13" vbProcedure="false">#REF!</definedName>
    <definedName function="false" hidden="true" name="SIG_EANLV_R14" vbProcedure="false">#REF!</definedName>
    <definedName function="false" hidden="true" name="SIG_EANLV_R15" vbProcedure="false">#REF!</definedName>
    <definedName function="false" hidden="true" name="SIG_EANLV_R16" vbProcedure="false">#REF!</definedName>
    <definedName function="false" hidden="true" name="SIG_EANLV_R17" vbProcedure="false">#REF!</definedName>
    <definedName function="false" hidden="true" name="SIG_EANLV_R18" vbProcedure="false">#REF!</definedName>
    <definedName function="false" hidden="true" name="SIG_EANLV_R19" vbProcedure="false">#REF!</definedName>
    <definedName function="false" hidden="true" name="SIG_EANLV_R2" vbProcedure="false">#REF!</definedName>
    <definedName function="false" hidden="true" name="SIG_EANLV_R20" vbProcedure="false">#REF!</definedName>
    <definedName function="false" hidden="true" name="SIG_EANLV_R21" vbProcedure="false">#REF!</definedName>
    <definedName function="false" hidden="true" name="SIG_EANLV_R22" vbProcedure="false">#REF!</definedName>
    <definedName function="false" hidden="true" name="SIG_EANLV_R3" vbProcedure="false">#REF!</definedName>
    <definedName function="false" hidden="true" name="SIG_EANLV_R4" vbProcedure="false">#REF!</definedName>
    <definedName function="false" hidden="true" name="SIG_EANLV_R5" vbProcedure="false">#REF!</definedName>
    <definedName function="false" hidden="true" name="SIG_EANLV_R6" vbProcedure="false">#REF!</definedName>
    <definedName function="false" hidden="true" name="SIG_EANLV_R7" vbProcedure="false">#REF!</definedName>
    <definedName function="false" hidden="true" name="SIG_EANLV_R8" vbProcedure="false">#REF!</definedName>
    <definedName function="false" hidden="true" name="SIG_EANLV_R9" vbProcedure="false">#REF!</definedName>
    <definedName function="false" hidden="true" name="SIG_EANLV_TITLECOL" vbProcedure="false">#REF!</definedName>
    <definedName function="false" hidden="true" name="SIG_EANLV_TITLELINE" vbProcedure="false">#REF!</definedName>
    <definedName function="false" hidden="true" name="SIG_EANLV_X1" vbProcedure="false">#REF!</definedName>
    <definedName function="false" hidden="true" name="SIG_EANLV_X10" vbProcedure="false">#REF!</definedName>
    <definedName function="false" hidden="true" name="SIG_EANLV_X11" vbProcedure="false">#REF!</definedName>
    <definedName function="false" hidden="true" name="SIG_EANLV_X12" vbProcedure="false">#REF!</definedName>
    <definedName function="false" hidden="true" name="SIG_EANLV_X13" vbProcedure="false">#REF!</definedName>
    <definedName function="false" hidden="true" name="SIG_EANLV_X14" vbProcedure="false">#REF!</definedName>
    <definedName function="false" hidden="true" name="SIG_EANLV_X15" vbProcedure="false">#REF!</definedName>
    <definedName function="false" hidden="true" name="SIG_EANLV_X16" vbProcedure="false">#REF!</definedName>
    <definedName function="false" hidden="true" name="SIG_EANLV_X17" vbProcedure="false">#REF!</definedName>
    <definedName function="false" hidden="true" name="SIG_EANLV_X18" vbProcedure="false">#REF!</definedName>
    <definedName function="false" hidden="true" name="SIG_EANLV_X19" vbProcedure="false">#REF!</definedName>
    <definedName function="false" hidden="true" name="SIG_EANLV_X2" vbProcedure="false">#REF!</definedName>
    <definedName function="false" hidden="true" name="SIG_EANLV_X20" vbProcedure="false">#REF!</definedName>
    <definedName function="false" hidden="true" name="SIG_EANLV_X21" vbProcedure="false">#REF!</definedName>
    <definedName function="false" hidden="true" name="SIG_EANLV_X22" vbProcedure="false">#REF!</definedName>
    <definedName function="false" hidden="true" name="SIG_EANLV_X23" vbProcedure="false">#REF!</definedName>
    <definedName function="false" hidden="true" name="SIG_EANLV_X24" vbProcedure="false">#REF!</definedName>
    <definedName function="false" hidden="true" name="SIG_EANLV_X25" vbProcedure="false">#REF!</definedName>
    <definedName function="false" hidden="true" name="SIG_EANLV_X26" vbProcedure="false">#REF!</definedName>
    <definedName function="false" hidden="true" name="SIG_EANLV_X27" vbProcedure="false">#REF!</definedName>
    <definedName function="false" hidden="true" name="SIG_EANLV_X28" vbProcedure="false">#REF!</definedName>
    <definedName function="false" hidden="true" name="SIG_EANLV_X29" vbProcedure="false">#REF!</definedName>
    <definedName function="false" hidden="true" name="SIG_EANLV_X3" vbProcedure="false">#REF!</definedName>
    <definedName function="false" hidden="true" name="SIG_EANLV_X30" vbProcedure="false">#REF!</definedName>
    <definedName function="false" hidden="true" name="SIG_EANLV_X31" vbProcedure="false">#REF!</definedName>
    <definedName function="false" hidden="true" name="SIG_EANLV_X32" vbProcedure="false">#REF!</definedName>
    <definedName function="false" hidden="true" name="SIG_EANLV_X33" vbProcedure="false">#REF!</definedName>
    <definedName function="false" hidden="true" name="SIG_EANLV_X34" vbProcedure="false">#REF!</definedName>
    <definedName function="false" hidden="true" name="SIG_EANLV_X35" vbProcedure="false">#REF!</definedName>
    <definedName function="false" hidden="true" name="SIG_EANLV_X36" vbProcedure="false">#REF!</definedName>
    <definedName function="false" hidden="true" name="SIG_EANLV_X37" vbProcedure="false">#REF!</definedName>
    <definedName function="false" hidden="true" name="SIG_EANLV_X38" vbProcedure="false">#REF!</definedName>
    <definedName function="false" hidden="true" name="SIG_EANLV_X39" vbProcedure="false">#REF!</definedName>
    <definedName function="false" hidden="true" name="SIG_EANLV_X4" vbProcedure="false">#REF!</definedName>
    <definedName function="false" hidden="true" name="SIG_EANLV_X40" vbProcedure="false">#REF!</definedName>
    <definedName function="false" hidden="true" name="SIG_EANLV_X41" vbProcedure="false">#REF!</definedName>
    <definedName function="false" hidden="true" name="SIG_EANLV_X42" vbProcedure="false">#REF!</definedName>
    <definedName function="false" hidden="true" name="SIG_EANLV_X43" vbProcedure="false">#REF!</definedName>
    <definedName function="false" hidden="true" name="SIG_EANLV_X44" vbProcedure="false">#REF!</definedName>
    <definedName function="false" hidden="true" name="SIG_EANLV_X45" vbProcedure="false">#REF!</definedName>
    <definedName function="false" hidden="true" name="SIG_EANLV_X46" vbProcedure="false">#REF!</definedName>
    <definedName function="false" hidden="true" name="SIG_EANLV_X47" vbProcedure="false">#REF!</definedName>
    <definedName function="false" hidden="true" name="SIG_EANLV_X48" vbProcedure="false">#REF!</definedName>
    <definedName function="false" hidden="true" name="SIG_EANLV_X49" vbProcedure="false">#REF!</definedName>
    <definedName function="false" hidden="true" name="SIG_EANLV_X5" vbProcedure="false">#REF!</definedName>
    <definedName function="false" hidden="true" name="SIG_EANLV_X50" vbProcedure="false">#REF!</definedName>
    <definedName function="false" hidden="true" name="SIG_EANLV_X51" vbProcedure="false">#REF!</definedName>
    <definedName function="false" hidden="true" name="SIG_EANLV_X52" vbProcedure="false">#REF!</definedName>
    <definedName function="false" hidden="true" name="SIG_EANLV_X53" vbProcedure="false">#REF!</definedName>
    <definedName function="false" hidden="true" name="SIG_EANLV_X54" vbProcedure="false">#REF!</definedName>
    <definedName function="false" hidden="true" name="SIG_EANLV_X55" vbProcedure="false">#REF!</definedName>
    <definedName function="false" hidden="true" name="SIG_EANLV_X56" vbProcedure="false">#REF!</definedName>
    <definedName function="false" hidden="true" name="SIG_EANLV_X57" vbProcedure="false">#REF!</definedName>
    <definedName function="false" hidden="true" name="SIG_EANLV_X58" vbProcedure="false">#REF!</definedName>
    <definedName function="false" hidden="true" name="SIG_EANLV_X59" vbProcedure="false">#REF!</definedName>
    <definedName function="false" hidden="true" name="SIG_EANLV_X6" vbProcedure="false">#REF!</definedName>
    <definedName function="false" hidden="true" name="SIG_EANLV_X60" vbProcedure="false">#REF!</definedName>
    <definedName function="false" hidden="true" name="SIG_EANLV_X61" vbProcedure="false">#REF!</definedName>
    <definedName function="false" hidden="true" name="SIG_EANLV_X62" vbProcedure="false">#REF!</definedName>
    <definedName function="false" hidden="true" name="SIG_EANLV_X63" vbProcedure="false">#REF!</definedName>
    <definedName function="false" hidden="true" name="SIG_EANLV_X64" vbProcedure="false">#REF!</definedName>
    <definedName function="false" hidden="true" name="SIG_EANLV_X7" vbProcedure="false">#REF!</definedName>
    <definedName function="false" hidden="true" name="SIG_EANLV_X8" vbProcedure="false">#REF!</definedName>
    <definedName function="false" hidden="true" name="SIG_EANLV_X9" vbProcedure="false">#REF!</definedName>
    <definedName function="false" hidden="true" name="SIG_EBIL_C5" vbProcedure="false">#REF!</definedName>
    <definedName function="false" hidden="true" name="SIG_EBIL_R1" vbProcedure="false">#REF!</definedName>
    <definedName function="false" hidden="true" name="SIG_EBIL_R26" vbProcedure="false">#REF!</definedName>
    <definedName function="false" hidden="true" name="SIG_EBIL_R32" vbProcedure="false">#REF!</definedName>
    <definedName function="false" hidden="true" name="SIG_EBIL_R33" vbProcedure="false">#REF!</definedName>
    <definedName function="false" hidden="true" name="SIG_EBIL_R35" vbProcedure="false">#REF!</definedName>
    <definedName function="false" hidden="true" name="SIG_EBIL_R38" vbProcedure="false">#REF!</definedName>
    <definedName function="false" hidden="true" name="SIG_EBIL_R4" vbProcedure="false">#REF!</definedName>
    <definedName function="false" hidden="true" name="SIG_EBIL_R49" vbProcedure="false">#REF!</definedName>
    <definedName function="false" hidden="true" name="SIG_EBIL_R5" vbProcedure="false">#REF!</definedName>
    <definedName function="false" hidden="true" name="SIG_EBIL_R50" vbProcedure="false">#REF!</definedName>
    <definedName function="false" hidden="true" name="SIG_EBIL_R51" vbProcedure="false">#REF!</definedName>
    <definedName function="false" hidden="true" name="SIG_EBIL_R54" vbProcedure="false">#REF!</definedName>
    <definedName function="false" hidden="true" name="SIG_EBIL_R56" vbProcedure="false">#REF!</definedName>
    <definedName function="false" hidden="true" name="SIG_EBIL_R6" vbProcedure="false">#REF!</definedName>
    <definedName function="false" hidden="true" name="SIG_EBIL_R78" vbProcedure="false">#REF!</definedName>
    <definedName function="false" hidden="true" name="SIG_EBIL_R82" vbProcedure="false">#REF!</definedName>
    <definedName function="false" hidden="true" name="SIG_EBIL_X1" vbProcedure="false">#REF!</definedName>
    <definedName function="false" hidden="true" name="SIG_EBIL_X10" vbProcedure="false">#REF!</definedName>
    <definedName function="false" hidden="true" name="SIG_EBIL_X11" vbProcedure="false">#REF!</definedName>
    <definedName function="false" hidden="true" name="SIG_EBIL_X12" vbProcedure="false">#REF!</definedName>
    <definedName function="false" hidden="true" name="SIG_EBIL_X13" vbProcedure="false">#REF!</definedName>
    <definedName function="false" hidden="true" name="SIG_EBIL_X14" vbProcedure="false">#REF!</definedName>
    <definedName function="false" hidden="true" name="SIG_EBIL_X15" vbProcedure="false">#REF!</definedName>
    <definedName function="false" hidden="true" name="SIG_EBIL_X16" vbProcedure="false">#REF!</definedName>
    <definedName function="false" hidden="true" name="SIG_EBIL_X17" vbProcedure="false">#REF!</definedName>
    <definedName function="false" hidden="true" name="SIG_EBIL_X18" vbProcedure="false">#REF!</definedName>
    <definedName function="false" hidden="true" name="SIG_EBIL_X19" vbProcedure="false">#REF!</definedName>
    <definedName function="false" hidden="true" name="SIG_EBIL_X2" vbProcedure="false">#REF!</definedName>
    <definedName function="false" hidden="true" name="SIG_EBIL_X20" vbProcedure="false">#REF!</definedName>
    <definedName function="false" hidden="true" name="SIG_EBIL_X21" vbProcedure="false">#REF!</definedName>
    <definedName function="false" hidden="true" name="SIG_EBIL_X22" vbProcedure="false">#REF!</definedName>
    <definedName function="false" hidden="true" name="SIG_EBIL_X23" vbProcedure="false">#REF!</definedName>
    <definedName function="false" hidden="true" name="SIG_EBIL_X24" vbProcedure="false">#REF!</definedName>
    <definedName function="false" hidden="true" name="SIG_EBIL_X3" vbProcedure="false">#REF!</definedName>
    <definedName function="false" hidden="true" name="SIG_EBIL_X4" vbProcedure="false">#REF!</definedName>
    <definedName function="false" hidden="true" name="SIG_EBIL_X46" vbProcedure="false">#REF!</definedName>
    <definedName function="false" hidden="true" name="SIG_EBIL_X47" vbProcedure="false">#REF!</definedName>
    <definedName function="false" hidden="true" name="SIG_EBIL_X5" vbProcedure="false">#REF!</definedName>
    <definedName function="false" hidden="true" name="SIG_EBIL_X50" vbProcedure="false">#REF!</definedName>
    <definedName function="false" hidden="true" name="SIG_EBIL_X54" vbProcedure="false">#REF!</definedName>
    <definedName function="false" hidden="true" name="SIG_EBIL_X6" vbProcedure="false">#REF!</definedName>
    <definedName function="false" hidden="true" name="SIG_EBIL_X7" vbProcedure="false">#REF!</definedName>
    <definedName function="false" hidden="true" name="SIG_EBIL_X8" vbProcedure="false">#REF!</definedName>
    <definedName function="false" hidden="true" name="SIG_EBIL_X9" vbProcedure="false">#REF!</definedName>
    <definedName function="false" hidden="true" name="SIG_EFFECTV_firstLine" vbProcedure="false">#REF!</definedName>
    <definedName function="false" hidden="true" name="SIG_EFFECTV_H001" vbProcedure="false">#REF!</definedName>
    <definedName function="false" hidden="true" name="SIG_EFFECTV_H002" vbProcedure="false">#REF!</definedName>
    <definedName function="false" hidden="true" name="SIG_EFFECTV_H003" vbProcedure="false">#REF!</definedName>
    <definedName function="false" hidden="true" name="SIG_EFFECTV_H004" vbProcedure="false">#REF!</definedName>
    <definedName function="false" hidden="true" name="SIG_EFFECTV_H005" vbProcedure="false">#REF!</definedName>
    <definedName function="false" hidden="true" name="SIG_EFFECTV_H006" vbProcedure="false">#REF!</definedName>
    <definedName function="false" hidden="true" name="SIG_EFFECTV_H007" vbProcedure="false">#REF!</definedName>
    <definedName function="false" hidden="true" name="SIG_EFFECTV_H008" vbProcedure="false">#REF!</definedName>
    <definedName function="false" hidden="true" name="SIG_EFFECTV_H009" vbProcedure="false">#REF!</definedName>
    <definedName function="false" hidden="true" name="SIG_EFFECTV_H010" vbProcedure="false">#REF!</definedName>
    <definedName function="false" hidden="true" name="SIG_EFFECTV_H011" vbProcedure="false">#REF!</definedName>
    <definedName function="false" hidden="true" name="SIG_EFFECTV_H012" vbProcedure="false">#REF!</definedName>
    <definedName function="false" hidden="true" name="SIG_EFFECTV_IsControlOK" vbProcedure="false">#REF!</definedName>
    <definedName function="false" hidden="true" name="SIG_EFFECTV_lastLine" vbProcedure="false">#REF!</definedName>
    <definedName function="false" hidden="true" name="SIG_EFFECTV_TITLELINE" vbProcedure="false">#REF!</definedName>
    <definedName function="false" hidden="true" name="SIG_EGLVB_C2" vbProcedure="false">#REF!</definedName>
    <definedName function="false" hidden="true" name="SIG_EGLVB_C3" vbProcedure="false">#REF!</definedName>
    <definedName function="false" hidden="true" name="SIG_EGLVB_C4" vbProcedure="false">#REF!</definedName>
    <definedName function="false" hidden="true" name="SIG_EGLVB_C5" vbProcedure="false">#REF!</definedName>
    <definedName function="false" hidden="true" name="SIG_EGLVB_C6" vbProcedure="false">#REF!</definedName>
    <definedName function="false" hidden="true" name="SIG_EGLVB_C7" vbProcedure="false">#REF!</definedName>
    <definedName function="false" hidden="true" name="SIG_EGLVB_R1" vbProcedure="false">#REF!</definedName>
    <definedName function="false" hidden="true" name="SIG_EGLVB_R10" vbProcedure="false">#REF!</definedName>
    <definedName function="false" hidden="true" name="SIG_EGLVB_R11" vbProcedure="false">#REF!</definedName>
    <definedName function="false" hidden="true" name="SIG_EGLVB_R12" vbProcedure="false">#REF!</definedName>
    <definedName function="false" hidden="true" name="SIG_EGLVB_R2" vbProcedure="false">#REF!</definedName>
    <definedName function="false" hidden="true" name="SIG_EGLVB_R3" vbProcedure="false">#REF!</definedName>
    <definedName function="false" hidden="true" name="SIG_EGLVB_R4" vbProcedure="false">#REF!</definedName>
    <definedName function="false" hidden="true" name="SIG_EGLVB_R5" vbProcedure="false">#REF!</definedName>
    <definedName function="false" hidden="true" name="SIG_EGLVB_R6" vbProcedure="false">#REF!</definedName>
    <definedName function="false" hidden="true" name="SIG_EGLVB_R7" vbProcedure="false">#REF!</definedName>
    <definedName function="false" hidden="true" name="SIG_EGLVB_R8" vbProcedure="false">#REF!</definedName>
    <definedName function="false" hidden="true" name="SIG_EGLVB_R9" vbProcedure="false">#REF!</definedName>
    <definedName function="false" hidden="true" name="SIG_EGLVB_TITLECOL" vbProcedure="false">#REF!</definedName>
    <definedName function="false" hidden="true" name="SIG_EGLVB_TITLELINE" vbProcedure="false">#REF!</definedName>
    <definedName function="false" hidden="true" name="SIG_EGUV_C1" vbProcedure="false">#REF!</definedName>
    <definedName function="false" hidden="true" name="SIG_EGUV_C2" vbProcedure="false">#REF!</definedName>
    <definedName function="false" hidden="true" name="SIG_EGUV_C3" vbProcedure="false">#REF!</definedName>
    <definedName function="false" hidden="true" name="SIG_EGUV_R1" vbProcedure="false">#REF!</definedName>
    <definedName function="false" hidden="true" name="SIG_EGUV_R10" vbProcedure="false">#REF!</definedName>
    <definedName function="false" hidden="true" name="SIG_EGUV_R11" vbProcedure="false">#REF!</definedName>
    <definedName function="false" hidden="true" name="SIG_EGUV_R12" vbProcedure="false">#REF!</definedName>
    <definedName function="false" hidden="true" name="SIG_EGUV_R13" vbProcedure="false">#REF!</definedName>
    <definedName function="false" hidden="true" name="SIG_EGUV_R14" vbProcedure="false">#REF!</definedName>
    <definedName function="false" hidden="true" name="SIG_EGUV_R15" vbProcedure="false">#REF!</definedName>
    <definedName function="false" hidden="true" name="SIG_EGUV_R16" vbProcedure="false">#REF!</definedName>
    <definedName function="false" hidden="true" name="SIG_EGUV_R17" vbProcedure="false">#REF!</definedName>
    <definedName function="false" hidden="true" name="SIG_EGUV_R18" vbProcedure="false">#REF!</definedName>
    <definedName function="false" hidden="true" name="SIG_EGUV_R19" vbProcedure="false">#REF!</definedName>
    <definedName function="false" hidden="true" name="SIG_EGUV_R2" vbProcedure="false">#REF!</definedName>
    <definedName function="false" hidden="true" name="SIG_EGUV_R20" vbProcedure="false">#REF!</definedName>
    <definedName function="false" hidden="true" name="SIG_EGUV_R21" vbProcedure="false">#REF!</definedName>
    <definedName function="false" hidden="true" name="SIG_EGUV_R22" vbProcedure="false">#REF!</definedName>
    <definedName function="false" hidden="true" name="SIG_EGUV_R23" vbProcedure="false">#REF!</definedName>
    <definedName function="false" hidden="true" name="SIG_EGUV_R24" vbProcedure="false">#REF!</definedName>
    <definedName function="false" hidden="true" name="SIG_EGUV_R25" vbProcedure="false">#REF!</definedName>
    <definedName function="false" hidden="true" name="SIG_EGUV_R26" vbProcedure="false">#REF!</definedName>
    <definedName function="false" hidden="true" name="SIG_EGUV_R27" vbProcedure="false">#REF!</definedName>
    <definedName function="false" hidden="true" name="SIG_EGUV_R28" vbProcedure="false">#REF!</definedName>
    <definedName function="false" hidden="true" name="SIG_EGUV_R29" vbProcedure="false">#REF!</definedName>
    <definedName function="false" hidden="true" name="SIG_EGUV_R3" vbProcedure="false">#REF!</definedName>
    <definedName function="false" hidden="true" name="SIG_EGUV_R30" vbProcedure="false">#REF!</definedName>
    <definedName function="false" hidden="true" name="SIG_EGUV_R31" vbProcedure="false">#REF!</definedName>
    <definedName function="false" hidden="true" name="SIG_EGUV_R32" vbProcedure="false">#REF!</definedName>
    <definedName function="false" hidden="true" name="SIG_EGUV_R33" vbProcedure="false">#REF!</definedName>
    <definedName function="false" hidden="true" name="SIG_EGUV_R34" vbProcedure="false">#REF!</definedName>
    <definedName function="false" hidden="true" name="SIG_EGUV_R35" vbProcedure="false">#REF!</definedName>
    <definedName function="false" hidden="true" name="SIG_EGUV_R36" vbProcedure="false">#REF!</definedName>
    <definedName function="false" hidden="true" name="SIG_EGUV_R37" vbProcedure="false">#REF!</definedName>
    <definedName function="false" hidden="true" name="SIG_EGUV_R38" vbProcedure="false">#REF!</definedName>
    <definedName function="false" hidden="true" name="SIG_EGUV_R39" vbProcedure="false">#REF!</definedName>
    <definedName function="false" hidden="true" name="SIG_EGUV_R4" vbProcedure="false">#REF!</definedName>
    <definedName function="false" hidden="true" name="SIG_EGUV_R40" vbProcedure="false">#REF!</definedName>
    <definedName function="false" hidden="true" name="SIG_EGUV_R41" vbProcedure="false">#REF!</definedName>
    <definedName function="false" hidden="true" name="SIG_EGUV_R42" vbProcedure="false">#REF!</definedName>
    <definedName function="false" hidden="true" name="SIG_EGUV_R43" vbProcedure="false">#REF!</definedName>
    <definedName function="false" hidden="true" name="SIG_EGUV_R44" vbProcedure="false">#REF!</definedName>
    <definedName function="false" hidden="true" name="SIG_EGUV_R45" vbProcedure="false">#REF!</definedName>
    <definedName function="false" hidden="true" name="SIG_EGUV_R46" vbProcedure="false">#REF!</definedName>
    <definedName function="false" hidden="true" name="SIG_EGUV_R47" vbProcedure="false">#REF!</definedName>
    <definedName function="false" hidden="true" name="SIG_EGUV_R48" vbProcedure="false">#REF!</definedName>
    <definedName function="false" hidden="true" name="SIG_EGUV_R49" vbProcedure="false">#REF!</definedName>
    <definedName function="false" hidden="true" name="SIG_EGUV_R5" vbProcedure="false">#REF!</definedName>
    <definedName function="false" hidden="true" name="SIG_EGUV_R50" vbProcedure="false">#REF!</definedName>
    <definedName function="false" hidden="true" name="SIG_EGUV_R51" vbProcedure="false">#REF!</definedName>
    <definedName function="false" hidden="true" name="SIG_EGUV_R52" vbProcedure="false">#REF!</definedName>
    <definedName function="false" hidden="true" name="SIG_EGUV_R53" vbProcedure="false">#REF!</definedName>
    <definedName function="false" hidden="true" name="SIG_EGUV_R54" vbProcedure="false">#REF!</definedName>
    <definedName function="false" hidden="true" name="SIG_EGUV_R55" vbProcedure="false">#REF!</definedName>
    <definedName function="false" hidden="true" name="SIG_EGUV_R56" vbProcedure="false">#REF!</definedName>
    <definedName function="false" hidden="true" name="SIG_EGUV_R57" vbProcedure="false">#REF!</definedName>
    <definedName function="false" hidden="true" name="SIG_EGUV_R58" vbProcedure="false">#REF!</definedName>
    <definedName function="false" hidden="true" name="SIG_EGUV_R59" vbProcedure="false">#REF!</definedName>
    <definedName function="false" hidden="true" name="SIG_EGUV_R6" vbProcedure="false">#REF!</definedName>
    <definedName function="false" hidden="true" name="SIG_EGUV_R60" vbProcedure="false">#REF!</definedName>
    <definedName function="false" hidden="true" name="SIG_EGUV_R61" vbProcedure="false">#REF!</definedName>
    <definedName function="false" hidden="true" name="SIG_EGUV_R62" vbProcedure="false">#REF!</definedName>
    <definedName function="false" hidden="true" name="SIG_EGUV_R63" vbProcedure="false">#REF!</definedName>
    <definedName function="false" hidden="true" name="SIG_EGUV_R64" vbProcedure="false">#REF!</definedName>
    <definedName function="false" hidden="true" name="SIG_EGUV_R65" vbProcedure="false">#REF!</definedName>
    <definedName function="false" hidden="true" name="SIG_EGUV_R66" vbProcedure="false">#REF!</definedName>
    <definedName function="false" hidden="true" name="SIG_EGUV_R67" vbProcedure="false">#REF!</definedName>
    <definedName function="false" hidden="true" name="SIG_EGUV_R68" vbProcedure="false">#REF!</definedName>
    <definedName function="false" hidden="true" name="SIG_EGUV_R69" vbProcedure="false">#REF!</definedName>
    <definedName function="false" hidden="true" name="SIG_EGUV_R7" vbProcedure="false">#REF!</definedName>
    <definedName function="false" hidden="true" name="SIG_EGUV_R70" vbProcedure="false">#REF!</definedName>
    <definedName function="false" hidden="true" name="SIG_EGUV_R71" vbProcedure="false">#REF!</definedName>
    <definedName function="false" hidden="true" name="SIG_EGUV_R72" vbProcedure="false">#REF!</definedName>
    <definedName function="false" hidden="true" name="SIG_EGUV_R73" vbProcedure="false">#REF!</definedName>
    <definedName function="false" hidden="true" name="SIG_EGUV_R74" vbProcedure="false">#REF!</definedName>
    <definedName function="false" hidden="true" name="SIG_EGUV_R75" vbProcedure="false">#REF!</definedName>
    <definedName function="false" hidden="true" name="SIG_EGUV_R76" vbProcedure="false">#REF!</definedName>
    <definedName function="false" hidden="true" name="SIG_EGUV_R8" vbProcedure="false">#REF!</definedName>
    <definedName function="false" hidden="true" name="SIG_EGUV_R9" vbProcedure="false">#REF!</definedName>
    <definedName function="false" hidden="true" name="SIG_EGUV_TITLECOL" vbProcedure="false">#REF!</definedName>
    <definedName function="false" hidden="true" name="SIG_EGUV_TITLELINE" vbProcedure="false">#REF!</definedName>
    <definedName function="false" hidden="true" name="SIG_EGUV_X1" vbProcedure="false">#REF!</definedName>
    <definedName function="false" hidden="true" name="SIG_EGUV_X10" vbProcedure="false">#REF!</definedName>
    <definedName function="false" hidden="true" name="SIG_EGUV_X11" vbProcedure="false">#REF!</definedName>
    <definedName function="false" hidden="true" name="SIG_EGUV_X12" vbProcedure="false">#REF!</definedName>
    <definedName function="false" hidden="true" name="SIG_EGUV_X13" vbProcedure="false">#REF!</definedName>
    <definedName function="false" hidden="true" name="SIG_EGUV_X14" vbProcedure="false">#REF!</definedName>
    <definedName function="false" hidden="true" name="SIG_EGUV_X15" vbProcedure="false">#REF!</definedName>
    <definedName function="false" hidden="true" name="SIG_EGUV_X16" vbProcedure="false">#REF!</definedName>
    <definedName function="false" hidden="true" name="SIG_EGUV_X17" vbProcedure="false">#REF!</definedName>
    <definedName function="false" hidden="true" name="SIG_EGUV_X18" vbProcedure="false">#REF!</definedName>
    <definedName function="false" hidden="true" name="SIG_EGUV_X19" vbProcedure="false">#REF!</definedName>
    <definedName function="false" hidden="true" name="SIG_EGUV_X2" vbProcedure="false">#REF!</definedName>
    <definedName function="false" hidden="true" name="SIG_EGUV_X20" vbProcedure="false">#REF!</definedName>
    <definedName function="false" hidden="true" name="SIG_EGUV_X21" vbProcedure="false">#REF!</definedName>
    <definedName function="false" hidden="true" name="SIG_EGUV_X22" vbProcedure="false">#REF!</definedName>
    <definedName function="false" hidden="true" name="SIG_EGUV_X23" vbProcedure="false">#REF!</definedName>
    <definedName function="false" hidden="true" name="SIG_EGUV_X24" vbProcedure="false">#REF!</definedName>
    <definedName function="false" hidden="true" name="SIG_EGUV_X25" vbProcedure="false">#REF!</definedName>
    <definedName function="false" hidden="true" name="SIG_EGUV_X26" vbProcedure="false">#REF!</definedName>
    <definedName function="false" hidden="true" name="SIG_EGUV_X27" vbProcedure="false">#REF!</definedName>
    <definedName function="false" hidden="true" name="SIG_EGUV_X28" vbProcedure="false">#REF!</definedName>
    <definedName function="false" hidden="true" name="SIG_EGUV_X29" vbProcedure="false">#REF!</definedName>
    <definedName function="false" hidden="true" name="SIG_EGUV_X3" vbProcedure="false">#REF!</definedName>
    <definedName function="false" hidden="true" name="SIG_EGUV_X30" vbProcedure="false">#REF!</definedName>
    <definedName function="false" hidden="true" name="SIG_EGUV_X31" vbProcedure="false">#REF!</definedName>
    <definedName function="false" hidden="true" name="SIG_EGUV_X32" vbProcedure="false">#REF!</definedName>
    <definedName function="false" hidden="true" name="SIG_EGUV_X33" vbProcedure="false">#REF!</definedName>
    <definedName function="false" hidden="true" name="SIG_EGUV_X34" vbProcedure="false">#REF!</definedName>
    <definedName function="false" hidden="true" name="SIG_EGUV_X35" vbProcedure="false">#REF!</definedName>
    <definedName function="false" hidden="true" name="SIG_EGUV_X36" vbProcedure="false">#REF!</definedName>
    <definedName function="false" hidden="true" name="SIG_EGUV_X37" vbProcedure="false">#REF!</definedName>
    <definedName function="false" hidden="true" name="SIG_EGUV_X38" vbProcedure="false">#REF!</definedName>
    <definedName function="false" hidden="true" name="SIG_EGUV_X39" vbProcedure="false">#REF!</definedName>
    <definedName function="false" hidden="true" name="SIG_EGUV_X4" vbProcedure="false">#REF!</definedName>
    <definedName function="false" hidden="true" name="SIG_EGUV_X40" vbProcedure="false">#REF!</definedName>
    <definedName function="false" hidden="true" name="SIG_EGUV_X41" vbProcedure="false">#REF!</definedName>
    <definedName function="false" hidden="true" name="SIG_EGUV_X42" vbProcedure="false">#REF!</definedName>
    <definedName function="false" hidden="true" name="SIG_EGUV_X43" vbProcedure="false">#REF!</definedName>
    <definedName function="false" hidden="true" name="SIG_EGUV_X44" vbProcedure="false">#REF!</definedName>
    <definedName function="false" hidden="true" name="SIG_EGUV_X45" vbProcedure="false">#REF!</definedName>
    <definedName function="false" hidden="true" name="SIG_EGUV_X46" vbProcedure="false">#REF!</definedName>
    <definedName function="false" hidden="true" name="SIG_EGUV_X47" vbProcedure="false">#REF!</definedName>
    <definedName function="false" hidden="true" name="SIG_EGUV_X48" vbProcedure="false">#REF!</definedName>
    <definedName function="false" hidden="true" name="SIG_EGUV_X49" vbProcedure="false">#REF!</definedName>
    <definedName function="false" hidden="true" name="SIG_EGUV_X5" vbProcedure="false">#REF!</definedName>
    <definedName function="false" hidden="true" name="SIG_EGUV_X50" vbProcedure="false">#REF!</definedName>
    <definedName function="false" hidden="true" name="SIG_EGUV_X51" vbProcedure="false">#REF!</definedName>
    <definedName function="false" hidden="true" name="SIG_EGUV_X52" vbProcedure="false">#REF!</definedName>
    <definedName function="false" hidden="true" name="SIG_EGUV_X53" vbProcedure="false">#REF!</definedName>
    <definedName function="false" hidden="true" name="SIG_EGUV_X54" vbProcedure="false">#REF!</definedName>
    <definedName function="false" hidden="true" name="SIG_EGUV_X6" vbProcedure="false">#REF!</definedName>
    <definedName function="false" hidden="true" name="SIG_EGUV_X7" vbProcedure="false">#REF!</definedName>
    <definedName function="false" hidden="true" name="SIG_EGUV_X8" vbProcedure="false">#REF!</definedName>
    <definedName function="false" hidden="true" name="SIG_EGUV_X9" vbProcedure="false">#REF!</definedName>
    <definedName function="false" hidden="true" name="SIG_EICASP_C1" vbProcedure="false">#REF!</definedName>
    <definedName function="false" hidden="true" name="SIG_EICASP_C10" vbProcedure="false">#REF!</definedName>
    <definedName function="false" hidden="true" name="SIG_EICASP_C11" vbProcedure="false">#REF!</definedName>
    <definedName function="false" hidden="true" name="SIG_EICASP_C12" vbProcedure="false">#REF!</definedName>
    <definedName function="false" hidden="true" name="SIG_EICASP_C13" vbProcedure="false">#REF!</definedName>
    <definedName function="false" hidden="true" name="SIG_EICASP_C14" vbProcedure="false">#REF!</definedName>
    <definedName function="false" hidden="true" name="SIG_EICASP_C2" vbProcedure="false">#REF!</definedName>
    <definedName function="false" hidden="true" name="SIG_EICASP_C3" vbProcedure="false">#REF!</definedName>
    <definedName function="false" hidden="true" name="SIG_EICASP_C4" vbProcedure="false">#REF!</definedName>
    <definedName function="false" hidden="true" name="SIG_EICASP_C5" vbProcedure="false">#REF!</definedName>
    <definedName function="false" hidden="true" name="SIG_EICASP_C6" vbProcedure="false">#REF!</definedName>
    <definedName function="false" hidden="true" name="SIG_EICASP_C7" vbProcedure="false">#REF!</definedName>
    <definedName function="false" hidden="true" name="SIG_EICASP_C8" vbProcedure="false">#REF!</definedName>
    <definedName function="false" hidden="true" name="SIG_EICASP_C9" vbProcedure="false">#REF!</definedName>
    <definedName function="false" hidden="true" name="SIG_EICASP_ROWVENT" vbProcedure="false">#REF!</definedName>
    <definedName function="false" hidden="true" name="SIG_EICASP_TITLELINE" vbProcedure="false">#REF!</definedName>
    <definedName function="false" hidden="true" name="SIG_EICBIL_C1" vbProcedure="false">#REF!</definedName>
    <definedName function="false" hidden="true" name="SIG_EICBIL_C2" vbProcedure="false">#REF!</definedName>
    <definedName function="false" hidden="true" name="SIG_EICBIL_C3" vbProcedure="false">#REF!</definedName>
    <definedName function="false" hidden="true" name="SIG_EICBIL_C4" vbProcedure="false">#REF!</definedName>
    <definedName function="false" hidden="true" name="SIG_EICBIL_C5" vbProcedure="false">#REF!</definedName>
    <definedName function="false" hidden="true" name="SIG_EICBIL_C6" vbProcedure="false">#REF!</definedName>
    <definedName function="false" hidden="true" name="SIG_EICBIL_C7" vbProcedure="false">#REF!</definedName>
    <definedName function="false" hidden="true" name="SIG_EICBIL_ROWVENT" vbProcedure="false">#REF!</definedName>
    <definedName function="false" hidden="true" name="SIG_EICBIL_TITLELINE" vbProcedure="false">#REF!</definedName>
    <definedName function="false" hidden="true" name="SIG_EICGVAUF_C1" vbProcedure="false">#REF!</definedName>
    <definedName function="false" hidden="true" name="SIG_EICGVAUF_C10" vbProcedure="false">#REF!</definedName>
    <definedName function="false" hidden="true" name="SIG_EICGVAUF_C11" vbProcedure="false">#REF!</definedName>
    <definedName function="false" hidden="true" name="SIG_EICGVAUF_C12" vbProcedure="false">#REF!</definedName>
    <definedName function="false" hidden="true" name="SIG_EICGVAUF_C13" vbProcedure="false">#REF!</definedName>
    <definedName function="false" hidden="true" name="SIG_EICGVAUF_C14" vbProcedure="false">#REF!</definedName>
    <definedName function="false" hidden="true" name="SIG_EICGVAUF_C15" vbProcedure="false">#REF!</definedName>
    <definedName function="false" hidden="true" name="SIG_EICGVAUF_C16" vbProcedure="false">#REF!</definedName>
    <definedName function="false" hidden="true" name="SIG_EICGVAUF_C17" vbProcedure="false">#REF!</definedName>
    <definedName function="false" hidden="true" name="SIG_EICGVAUF_C18" vbProcedure="false">#REF!</definedName>
    <definedName function="false" hidden="true" name="SIG_EICGVAUF_C19" vbProcedure="false">#REF!</definedName>
    <definedName function="false" hidden="true" name="SIG_EICGVAUF_C2" vbProcedure="false">#REF!</definedName>
    <definedName function="false" hidden="true" name="SIG_EICGVAUF_C20" vbProcedure="false">#REF!</definedName>
    <definedName function="false" hidden="true" name="SIG_EICGVAUF_C21" vbProcedure="false">#REF!</definedName>
    <definedName function="false" hidden="true" name="SIG_EICGVAUF_C3" vbProcedure="false">#REF!</definedName>
    <definedName function="false" hidden="true" name="SIG_EICGVAUF_C4" vbProcedure="false">#REF!</definedName>
    <definedName function="false" hidden="true" name="SIG_EICGVAUF_C5" vbProcedure="false">#REF!</definedName>
    <definedName function="false" hidden="true" name="SIG_EICGVAUF_C6" vbProcedure="false">#REF!</definedName>
    <definedName function="false" hidden="true" name="SIG_EICGVAUF_C7" vbProcedure="false">#REF!</definedName>
    <definedName function="false" hidden="true" name="SIG_EICGVAUF_C8" vbProcedure="false">#REF!</definedName>
    <definedName function="false" hidden="true" name="SIG_EICGVAUF_C9" vbProcedure="false">#REF!</definedName>
    <definedName function="false" hidden="true" name="SIG_EICGVAUF_ROWVENT" vbProcedure="false">#REF!</definedName>
    <definedName function="false" hidden="true" name="SIG_EICGVAUF_TITLELINE" vbProcedure="false">#REF!</definedName>
    <definedName function="false" hidden="true" name="SIG_EICGVBET_C1" vbProcedure="false">#REF!</definedName>
    <definedName function="false" hidden="true" name="SIG_EICGVBET_C2" vbProcedure="false">#REF!</definedName>
    <definedName function="false" hidden="true" name="SIG_EICGVBET_C3" vbProcedure="false">#REF!</definedName>
    <definedName function="false" hidden="true" name="SIG_EICGVBET_C4" vbProcedure="false">#REF!</definedName>
    <definedName function="false" hidden="true" name="SIG_EICGVBET_C5" vbProcedure="false">#REF!</definedName>
    <definedName function="false" hidden="true" name="SIG_EICGVBET_C6" vbProcedure="false">#REF!</definedName>
    <definedName function="false" hidden="true" name="SIG_EICGVBET_C7" vbProcedure="false">#REF!</definedName>
    <definedName function="false" hidden="true" name="SIG_EICGVBET_C8" vbProcedure="false">#REF!</definedName>
    <definedName function="false" hidden="true" name="SIG_EICGVBET_ROWVENT" vbProcedure="false">#REF!</definedName>
    <definedName function="false" hidden="true" name="SIG_EICGVBET_TITLELINE" vbProcedure="false">#REF!</definedName>
    <definedName function="false" hidden="true" name="SIG_EICGVERT_C1" vbProcedure="false">#REF!</definedName>
    <definedName function="false" hidden="true" name="SIG_EICGVERT_C2" vbProcedure="false">#REF!</definedName>
    <definedName function="false" hidden="true" name="SIG_EICGVERT_C3" vbProcedure="false">#REF!</definedName>
    <definedName function="false" hidden="true" name="SIG_EICGVERT_C4" vbProcedure="false">#REF!</definedName>
    <definedName function="false" hidden="true" name="SIG_EICGVERT_C5" vbProcedure="false">#REF!</definedName>
    <definedName function="false" hidden="true" name="SIG_EICGVERT_C6" vbProcedure="false">#REF!</definedName>
    <definedName function="false" hidden="true" name="SIG_EICGVERT_C7" vbProcedure="false">#REF!</definedName>
    <definedName function="false" hidden="true" name="SIG_EICGVERT_C8" vbProcedure="false">#REF!</definedName>
    <definedName function="false" hidden="true" name="SIG_EICGVERT_C9" vbProcedure="false">#REF!</definedName>
    <definedName function="false" hidden="true" name="SIG_EICGVERT_ROWVENT" vbProcedure="false">#REF!</definedName>
    <definedName function="false" hidden="true" name="SIG_EICGVERT_TITLELINE" vbProcedure="false">#REF!</definedName>
    <definedName function="false" hidden="true" name="SIG_EICGVZIN_C1" vbProcedure="false">#REF!</definedName>
    <definedName function="false" hidden="true" name="SIG_EICGVZIN_C2" vbProcedure="false">#REF!</definedName>
    <definedName function="false" hidden="true" name="SIG_EICGVZIN_C3" vbProcedure="false">#REF!</definedName>
    <definedName function="false" hidden="true" name="SIG_EICGVZIN_C4" vbProcedure="false">#REF!</definedName>
    <definedName function="false" hidden="true" name="SIG_EICGVZIN_C5" vbProcedure="false">#REF!</definedName>
    <definedName function="false" hidden="true" name="SIG_EICGVZIN_C6" vbProcedure="false">#REF!</definedName>
    <definedName function="false" hidden="true" name="SIG_EICGVZIN_C7" vbProcedure="false">#REF!</definedName>
    <definedName function="false" hidden="true" name="SIG_EICGVZIN_C8" vbProcedure="false">#REF!</definedName>
    <definedName function="false" hidden="true" name="SIG_EICGVZIN_ROWVENT" vbProcedure="false">#REF!</definedName>
    <definedName function="false" hidden="true" name="SIG_EICGVZIN_TITLELINE" vbProcedure="false">#REF!</definedName>
    <definedName function="false" hidden="true" name="SIG_LngApp" vbProcedure="false">#REF!</definedName>
    <definedName function="false" hidden="true" name="SIG_PA_firstLine" vbProcedure="false">#N/A</definedName>
    <definedName function="false" hidden="true" name="SIG_PA_IsControlOK" vbProcedure="false">#N/A</definedName>
    <definedName function="false" hidden="true" name="SIG_PA_lastLine" vbProcedure="false">#N/A</definedName>
    <definedName function="false" hidden="true" name="SIG_PA_TITLECOL" vbProcedure="false">#N/A</definedName>
    <definedName function="false" hidden="true" name="SIG_PA_TITLELINE" vbProcedure="false">#N/A</definedName>
    <definedName function="false" hidden="true" name="SIG_PTBD_AC" vbProcedure="false">#N/A</definedName>
    <definedName function="false" hidden="true" name="SIG_PTBD_EFFECTV" vbProcedure="false">#REF!</definedName>
    <definedName function="false" hidden="true" name="SIG_PTBD_PA" vbProcedure="false">#N/A</definedName>
    <definedName function="false" hidden="true" name="SIG_PTHG_AC" vbProcedure="false">#N/A</definedName>
    <definedName function="false" hidden="true" name="SIG_PTHG_EFFECTV" vbProcedure="false">#REF!</definedName>
    <definedName function="false" hidden="true" name="SIG_PTHG_PA" vbProcedure="false">#N/A</definedName>
    <definedName function="false" hidden="true" name="SIIII" vbProcedure="false">{"FY97Q1 var",#N/A,FALSE,"FY97 - Q1";"FY97Q2 var",#N/A,FALSE,"FY97 - Q2";"FY97Q3 var",#N/A,FALSE,"FY97 - Q3";"FY97Q4 var",#N/A,FALSE,"FY97 - Q4"}</definedName>
    <definedName function="false" hidden="true" name="sim" vbProcedure="false">{"'Data'!$A$1:$D$17"}</definedName>
    <definedName function="false" hidden="true" name="Site" vbProcedure="false">{#N/A,#N/A,FALSE,"단축1";#N/A,#N/A,FALSE,"단축2";#N/A,#N/A,FALSE,"단축3";#N/A,#N/A,FALSE,"장축";#N/A,#N/A,FALSE,"4WD"}</definedName>
    <definedName function="false" hidden="true" name="SJ" vbProcedure="false">TEXT(SJE,"TT.MM.JJJJ")</definedName>
    <definedName function="false" hidden="true" name="SJE" vbProcedure="false">40451</definedName>
    <definedName function="false" hidden="true" name="sjdjsrtjas" vbProcedure="false">{#N/A,#N/A,FALSE,"INPUTS";#N/A,#N/A,FALSE,"PROFORMA BSHEET";#N/A,#N/A,FALSE,"COMBINED";#N/A,#N/A,FALSE,"ACQUIROR";#N/A,#N/A,FALSE,"TARGET 1";#N/A,#N/A,FALSE,"TARGET 2";#N/A,#N/A,FALSE,"HIGH YIELD";#N/A,#N/A,FALSE,"OVERFUND"}</definedName>
    <definedName function="false" hidden="true" name="SJK" vbProcedure="false">TEXT(SJE,"T.M.JJJJ")</definedName>
    <definedName function="false" hidden="true" name="sjksgjj"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sjsjr" vbProcedure="false">{#N/A,#N/A,FALSE,"INPUTS";#N/A,#N/A,FALSE,"PROFORMA BSHEET";#N/A,#N/A,FALSE,"COMBINED";#N/A,#N/A,FALSE,"HIGH YIELD";#N/A,#N/A,FALSE,"COMB_GRAPHS"}</definedName>
    <definedName function="false" hidden="true" name="sjsjsrtjs" vbProcedure="false">{#N/A,#N/A,FALSE,"INPUTS";#N/A,#N/A,FALSE,"PROFORMA BSHEET";#N/A,#N/A,FALSE,"COMBINED";#N/A,#N/A,FALSE,"HIGH YIELD";#N/A,#N/A,FALSE,"COMB_GRAPHS"}</definedName>
    <definedName function="false" hidden="true" name="sjsrthsrtnds" vbProcedure="false">{#N/A,#N/A,FALSE,"INPUTS";#N/A,#N/A,FALSE,"PROFORMA BSHEET";#N/A,#N/A,FALSE,"COMBINED";#N/A,#N/A,FALSE,"ACQUIROR";#N/A,#N/A,FALSE,"TARGET 1";#N/A,#N/A,FALSE,"TARGET 2";#N/A,#N/A,FALSE,"HIGH YIELD";#N/A,#N/A,FALSE,"OVERFUND"}</definedName>
    <definedName function="false" hidden="true" name="sk" vbProcedure="false">"1, 3, 1, False, 2, False, False, , 0, False, True, 3, 2"</definedName>
    <definedName function="false" hidden="true" name="skdjfh" vbProcedure="false">{#N/A,#N/A,FALSE,"Assumptions";#N/A,#N/A,FALSE,"Volumes";#N/A,#N/A,FALSE,"Pricing";#N/A,#N/A,FALSE,"Variable Cost";#N/A,#N/A,FALSE,"Investment";#N/A,#N/A,FALSE,"Profitability";#N/A,#N/A,FALSE,"Business Comparison"}</definedName>
    <definedName function="false" hidden="true" name="sksdidike" vbProcedure="false">{"printfs",#N/A,TRUE,"FS";"printdues",#N/A,TRUE,"DUES";"printlab",#N/A,TRUE,"LAB";"printsls",#N/A,TRUE,"SLS";"prints1",#N/A,TRUE,"S1";"printceo",#N/A,TRUE,"CEO";"printdepr",#N/A,TRUE,"DEPR";"Printsw",#N/A,TRUE,"SW";"printrtl",#N/A,TRUE,"RTL";"printgst",#N/A,TRUE,"GST";"printinst",#N/A,TRUE,"INST";"printstg",#N/A,TRUE,"STG";"printevts",#N/A,TRUE,"EVTS"}</definedName>
    <definedName function="false" hidden="true" name="skstysjs" vbProcedure="false">{#N/A,#N/A,FALSE,"INPUTS";#N/A,#N/A,FALSE,"PROFORMA BSHEET";#N/A,#N/A,FALSE,"COMBINED";#N/A,#N/A,FALSE,"ACQUIROR";#N/A,#N/A,FALSE,"TARGET 1";#N/A,#N/A,FALSE,"TARGET 2";#N/A,#N/A,FALSE,"HIGH YIELD";#N/A,#N/A,FALSE,"OVERFUND"}</definedName>
    <definedName function="false" hidden="true" name="skyline" vbProcedure="false">{#N/A,#N/A,FALSE,"Total";#N/A,#N/A,FALSE,"Engg";#N/A,#N/A,FALSE,"Manf";#N/A,#N/A,FALSE,"Proc";#N/A,#N/A,FALSE,"CAEL";#N/A,#N/A,FALSE,"MAEL";#N/A,#N/A,FALSE,"AESL";#N/A,#N/A,FALSE,"AeHQ";#N/A,#N/A,FALSE,"AeHQFin";#N/A,#N/A,FALSE,"AeHQPer";#N/A,#N/A,FALSE,"AeHQCHQ";#N/A,#N/A,FALSE,"PlcHQ";#N/A,#N/A,FALSE,"PlcHQFin";#N/A,#N/A,FALSE,"PlcHQPer";#N/A,#N/A,FALSE,"PlcHQCHQ";#N/A,#N/A,FALSE,"Initiatives"}</definedName>
    <definedName function="false" hidden="true" name="SLEVIN" vbProcedure="false">{"SUMMARY",#N/A,TRUE,"RIGGIN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function="false" hidden="true" name="slj" vbProcedure="false">{#N/A,#N/A,FALSE,"mfg - consol";#N/A,#N/A,FALSE,"mfg - flo";#N/A,#N/A,FALSE,"mfg - lindsay"}</definedName>
    <definedName function="false" hidden="true" name="slkdfj"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slkjfow"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Smart_Chart_Data_Table_6010fe52dc6949eda305510d7a73b160" vbProcedure="false">#REF!</definedName>
    <definedName function="false" hidden="true" name="Smart_Chart_Data_Table_61324844fa284ecd9cab6aafc138a125" vbProcedure="false">#REF!</definedName>
    <definedName function="false" hidden="true" name="smk" vbProcedure="false">{"QTD_GENERALH2",#N/A,FALSE,"QTD"}</definedName>
    <definedName function="false" hidden="true" name="smnamn" vbProcedure="false">{#N/A,#N/A,FALSE,"ACQ_GRAPHS";#N/A,#N/A,FALSE,"T_1 GRAPHS";#N/A,#N/A,FALSE,"T_2 GRAPHS";#N/A,#N/A,FALSE,"COMB_GRAPHS"}</definedName>
    <definedName function="false" hidden="true" name="snsfgsgha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so"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SoBetrErloese" vbProcedure="false">#REF!</definedName>
    <definedName function="false" hidden="true" name="SoBetrErloeseK" vbProcedure="false">#REF!</definedName>
    <definedName function="false" hidden="true" name="SoBetrErloeseM" vbProcedure="false">#REF!</definedName>
    <definedName function="false" hidden="true" name="SoBetrErloeseN" vbProcedure="false">#REF!</definedName>
    <definedName function="false" hidden="true" name="SoBetrErloese_" vbProcedure="false">#REF!</definedName>
    <definedName function="false" hidden="true" name="Sofo_Auto_GEZ"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Sofo_Auto_GEZL"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SoleIsFemale" vbProcedure="false">#REF!</definedName>
    <definedName function="false" hidden="true" name="solo" vbProcedure="false">{#N/A,#N/A,FALSE,"Cover";"Bal 1",#N/A,FALSE,"Balance Sheet";"Inc 1",#N/A,FALSE,"Income Statement";"CF 1",#N/A,FALSE,"Cashflow";"Bal 2",#N/A,FALSE,"Balance Sheet";"Inc 2",#N/A,FALSE,"Income Statement";"CF 2",#N/A,FALSE,"Cashflow";"Other 1",#N/A,FALSE,"Additional Info"}</definedName>
    <definedName function="false" hidden="true" name="solver_adj" vbProcedure="false">#REF!</definedName>
    <definedName function="false" hidden="true" name="solver_cvg" vbProcedure="false">0.001</definedName>
    <definedName function="false" hidden="true" name="solver_drv" vbProcedure="false">1</definedName>
    <definedName function="false" hidden="true" name="solver_eng" vbProcedure="false">1</definedName>
    <definedName function="false" hidden="true" name="solver_est" vbProcedure="false">1</definedName>
    <definedName function="false" hidden="true" name="solver_itr" vbProcedure="false">100</definedName>
    <definedName function="false" hidden="true" name="solver_lhs1" vbProcedure="false">#REF!</definedName>
    <definedName function="false" hidden="true" name="solver_lin" vbProcedure="false">0</definedName>
    <definedName function="false" hidden="true" name="solver_neg" vbProcedure="false">2</definedName>
    <definedName function="false" hidden="true" name="solver_num" vbProcedure="false">0</definedName>
    <definedName function="false" hidden="true" name="solver_nwt" vbProcedure="false">1</definedName>
    <definedName function="false" hidden="true" name="solver_oldobj" vbProcedure="false">1543721.6579517</definedName>
    <definedName function="false" hidden="true" name="solver_opt" vbProcedure="false">#REF!</definedName>
    <definedName function="false" hidden="true" name="solver_pre" vbProcedure="false">0.000001</definedName>
    <definedName function="false" hidden="true" name="solver_rel1" vbProcedure="false">1</definedName>
    <definedName function="false" hidden="true" name="solver_rel10" vbProcedure="false">3</definedName>
    <definedName function="false" hidden="true" name="solver_rel11" vbProcedure="false">3</definedName>
    <definedName function="false" hidden="true" name="solver_rel12" vbProcedure="false">3</definedName>
    <definedName function="false" hidden="true" name="solver_rel13" vbProcedure="false">3</definedName>
    <definedName function="false" hidden="true" name="solver_rel14" vbProcedure="false">3</definedName>
    <definedName function="false" hidden="true" name="solver_rel15" vbProcedure="false">1</definedName>
    <definedName function="false" hidden="true" name="solver_rel16" vbProcedure="false">3</definedName>
    <definedName function="false" hidden="true" name="solver_rel17" vbProcedure="false">3</definedName>
    <definedName function="false" hidden="true" name="solver_rel18" vbProcedure="false">3</definedName>
    <definedName function="false" hidden="true" name="solver_rel19" vbProcedure="false">1</definedName>
    <definedName function="false" hidden="true" name="solver_rel2" vbProcedure="false">1</definedName>
    <definedName function="false" hidden="true" name="solver_rel20" vbProcedure="false">3</definedName>
    <definedName function="false" hidden="true" name="solver_rel21" vbProcedure="false">3</definedName>
    <definedName function="false" hidden="true" name="solver_rel22" vbProcedure="false">3</definedName>
    <definedName function="false" hidden="true" name="solver_rel23" vbProcedure="false">1</definedName>
    <definedName function="false" hidden="true" name="solver_rel24" vbProcedure="false">3</definedName>
    <definedName function="false" hidden="true" name="solver_rel25" vbProcedure="false">1</definedName>
    <definedName function="false" hidden="true" name="solver_rel26" vbProcedure="false">3</definedName>
    <definedName function="false" hidden="true" name="solver_rel27" vbProcedure="false">1</definedName>
    <definedName function="false" hidden="true" name="solver_rel28" vbProcedure="false">3</definedName>
    <definedName function="false" hidden="true" name="solver_rel29" vbProcedure="false">1</definedName>
    <definedName function="false" hidden="true" name="solver_rel3" vbProcedure="false">1</definedName>
    <definedName function="false" hidden="true" name="solver_rel30" vbProcedure="false">3</definedName>
    <definedName function="false" hidden="true" name="solver_rel31" vbProcedure="false">1</definedName>
    <definedName function="false" hidden="true" name="solver_rel32" vbProcedure="false">3</definedName>
    <definedName function="false" hidden="true" name="solver_rel33" vbProcedure="false">1</definedName>
    <definedName function="false" hidden="true" name="solver_rel34" vbProcedure="false">3</definedName>
    <definedName function="false" hidden="true" name="solver_rel35" vbProcedure="false">3</definedName>
    <definedName function="false" hidden="true" name="solver_rel36" vbProcedure="false">3</definedName>
    <definedName function="false" hidden="true" name="solver_rel37" vbProcedure="false">3</definedName>
    <definedName function="false" hidden="true" name="solver_rel38" vbProcedure="false">3</definedName>
    <definedName function="false" hidden="true" name="solver_rel39" vbProcedure="false">3</definedName>
    <definedName function="false" hidden="true" name="solver_rel4" vbProcedure="false">4</definedName>
    <definedName function="false" hidden="true" name="solver_rel40" vbProcedure="false">3</definedName>
    <definedName function="false" hidden="true" name="solver_rel41" vbProcedure="false">2</definedName>
    <definedName function="false" hidden="true" name="solver_rel42" vbProcedure="false">2</definedName>
    <definedName function="false" hidden="true" name="solver_rel43" vbProcedure="false">2</definedName>
    <definedName function="false" hidden="true" name="solver_rel44" vbProcedure="false">2</definedName>
    <definedName function="false" hidden="true" name="solver_rel45" vbProcedure="false">2</definedName>
    <definedName function="false" hidden="true" name="solver_rel5" vbProcedure="false">4</definedName>
    <definedName function="false" hidden="true" name="solver_rel6" vbProcedure="false">4</definedName>
    <definedName function="false" hidden="true" name="solver_rel7" vbProcedure="false">3</definedName>
    <definedName function="false" hidden="true" name="solver_rel8" vbProcedure="false">3</definedName>
    <definedName function="false" hidden="true" name="solver_rel9" vbProcedure="false">1</definedName>
    <definedName function="false" hidden="true" name="solver_rhs1" vbProcedure="false">0.15</definedName>
    <definedName function="false" hidden="true" name="solver_rhs10" vbProcedure="false">0.15</definedName>
    <definedName function="false" hidden="true" name="solver_rhs11" vbProcedure="false">0.15</definedName>
    <definedName function="false" hidden="true" name="solver_rhs12" vbProcedure="false">0.15</definedName>
    <definedName function="false" hidden="true" name="solver_rhs13" vbProcedure="false">0.15</definedName>
    <definedName function="false" hidden="true" name="solver_rhs14" vbProcedure="false">0.15</definedName>
    <definedName function="false" hidden="true" name="solver_rhs15" vbProcedure="false">0.25</definedName>
    <definedName function="false" hidden="true" name="solver_rhs16" vbProcedure="false">0.15</definedName>
    <definedName function="false" hidden="true" name="solver_rhs17" vbProcedure="false">0.15</definedName>
    <definedName function="false" hidden="true" name="solver_rhs18" vbProcedure="false">0.15</definedName>
    <definedName function="false" hidden="true" name="solver_rhs19" vbProcedure="false">0.25</definedName>
    <definedName function="false" hidden="true" name="solver_rhs2" vbProcedure="false">15</definedName>
    <definedName function="false" hidden="true" name="solver_rhs20" vbProcedure="false">0.15</definedName>
    <definedName function="false" hidden="true" name="solver_rhs21" vbProcedure="false">0.15</definedName>
    <definedName function="false" hidden="true" name="solver_rhs22" vbProcedure="false">0.15</definedName>
    <definedName function="false" hidden="true" name="solver_rhs23" vbProcedure="false">0.25</definedName>
    <definedName function="false" hidden="true" name="solver_rhs24" vbProcedure="false">0.15</definedName>
    <definedName function="false" hidden="true" name="solver_rhs25" vbProcedure="false">950</definedName>
    <definedName function="false" hidden="true" name="solver_rhs26" vbProcedure="false">-950</definedName>
    <definedName function="false" hidden="true" name="solver_rhs27" vbProcedure="false">950</definedName>
    <definedName function="false" hidden="true" name="solver_rhs28" vbProcedure="false">-950</definedName>
    <definedName function="false" hidden="true" name="solver_rhs29" vbProcedure="false">950</definedName>
    <definedName function="false" hidden="true" name="solver_rhs3" vbProcedure="false">15</definedName>
    <definedName function="false" hidden="true" name="solver_rhs30" vbProcedure="false">-950</definedName>
    <definedName function="false" hidden="true" name="solver_rhs31" vbProcedure="false">950</definedName>
    <definedName function="false" hidden="true" name="solver_rhs32" vbProcedure="false">-950</definedName>
    <definedName function="false" hidden="true" name="solver_rhs33" vbProcedure="false">950</definedName>
    <definedName function="false" hidden="true" name="solver_rhs34" vbProcedure="false">0</definedName>
    <definedName function="false" hidden="true" name="solver_rhs35" vbProcedure="false">0</definedName>
    <definedName function="false" hidden="true" name="solver_rhs36" vbProcedure="false">0</definedName>
    <definedName function="false" hidden="true" name="solver_rhs37" vbProcedure="false">0</definedName>
    <definedName function="false" hidden="true" name="solver_rhs38" vbProcedure="false">0</definedName>
    <definedName function="false" hidden="true" name="solver_rhs39" vbProcedure="false">0</definedName>
    <definedName function="false" hidden="true" name="solver_rhs40" vbProcedure="false">0</definedName>
    <definedName function="false" hidden="true" name="solver_rhs41" vbProcedure="false">TRUE()</definedName>
    <definedName function="false" hidden="true" name="solver_rhs42" vbProcedure="false">TRUE()</definedName>
    <definedName function="false" hidden="true" name="solver_rhs43" vbProcedure="false">TRUE()</definedName>
    <definedName function="false" hidden="true" name="solver_rhs44" vbProcedure="false">TRUE()</definedName>
    <definedName function="false" hidden="true" name="solver_rhs45" vbProcedure="false">TRUE()</definedName>
    <definedName function="false" hidden="true" name="solver_rhs5" vbProcedure="false">0.1</definedName>
    <definedName function="false" hidden="true" name="solver_rhs7" vbProcedure="false">0.15</definedName>
    <definedName function="false" hidden="true" name="solver_rhs8" vbProcedure="false">0.2</definedName>
    <definedName function="false" hidden="true" name="solver_rhs9" vbProcedure="false">0.25</definedName>
    <definedName function="false" hidden="true" name="solver_scl" vbProcedure="false">2</definedName>
    <definedName function="false" hidden="true" name="solver_sho" vbProcedure="false">2</definedName>
    <definedName function="false" hidden="true" name="solver_tim" vbProcedure="false">100</definedName>
    <definedName function="false" hidden="true" name="solver_tmp" vbProcedure="false">0.15</definedName>
    <definedName function="false" hidden="true" name="solver_tol" vbProcedure="false">0.05</definedName>
    <definedName function="false" hidden="true" name="solver_typ" vbProcedure="false">3</definedName>
    <definedName function="false" hidden="true" name="solver_val" vbProcedure="false">0.6</definedName>
    <definedName function="false" hidden="true" name="Sommer"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SonstAuszahlungen" vbProcedure="false">#REF!</definedName>
    <definedName function="false" hidden="true" name="SonstAuszahlungenN" vbProcedure="false">#REF!</definedName>
    <definedName function="false" hidden="true" name="SonstAuszahlungen_" vbProcedure="false">#REF!</definedName>
    <definedName function="false" hidden="true" name="SonstEinzahlungen" vbProcedure="false">#REF!</definedName>
    <definedName function="false" hidden="true" name="SonstEinzahlungenN" vbProcedure="false">#REF!</definedName>
    <definedName function="false" hidden="true" name="SonstEinzahlungen_" vbProcedure="false">#REF!</definedName>
    <definedName function="false" hidden="true" name="SonstKo" vbProcedure="false">{"budget95",#N/A,TRUE,"Tabelle1";"Tab1",#N/A,TRUE,"Tabelle2"}</definedName>
    <definedName function="false" hidden="true" name="SonstNeutrAufw" vbProcedure="false">#REF!</definedName>
    <definedName function="false" hidden="true" name="SonstNeutrAufwK" vbProcedure="false">#REF!</definedName>
    <definedName function="false" hidden="true" name="SonstNeutrAufwM" vbProcedure="false">#REF!</definedName>
    <definedName function="false" hidden="true" name="SonstNeutrAufwN" vbProcedure="false">#REF!</definedName>
    <definedName function="false" hidden="true" name="SonstNeutrAufw_" vbProcedure="false">#REF!</definedName>
    <definedName function="false" hidden="true" name="SonstNeutrErtr" vbProcedure="false">#REF!</definedName>
    <definedName function="false" hidden="true" name="SonstNeutrErtrK" vbProcedure="false">#REF!</definedName>
    <definedName function="false" hidden="true" name="SonstNeutrErtrM" vbProcedure="false">#REF!</definedName>
    <definedName function="false" hidden="true" name="SonstNeutrErtrN" vbProcedure="false">#REF!</definedName>
    <definedName function="false" hidden="true" name="SonstNeutrErtr_" vbProcedure="false">#REF!</definedName>
    <definedName function="false" hidden="true" name="sort1" vbProcedure="false">#REF!</definedName>
    <definedName function="false" hidden="true" name="SortV2" vbProcedure="false">#REF!</definedName>
    <definedName function="false" hidden="true" name="sp"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SPE" vbProcedure="false">{#N/A,#N/A,TRUE,"PSG Total Contacts";#N/A,#N/A,TRUE,"PSG Rep Total";#N/A,#N/A,TRUE,"Core Rep Detail";#N/A,#N/A,TRUE,"BC Rep Detail";#N/A,#N/A,TRUE,"Marlboro";#N/A,#N/A,TRUE,"Covington";#N/A,#N/A,TRUE,"Dallas";#N/A,#N/A,TRUE,"VRS Stats";#N/A,#N/A,TRUE,"Internet";#N/A,#N/A,TRUE,"NCO and Call Mix";#N/A,#N/A,TRUE,"VRS &amp; Rep Calls"}</definedName>
    <definedName function="false" hidden="true" name="SPEC2" vbProcedure="false">{#N/A,#N/A,FALSE,"단축1";#N/A,#N/A,FALSE,"단축2";#N/A,#N/A,FALSE,"단축3";#N/A,#N/A,FALSE,"장축";#N/A,#N/A,FALSE,"4WD"}</definedName>
    <definedName function="false" hidden="true" name="SPEC22" vbProcedure="false">{#N/A,#N/A,FALSE,"단축1";#N/A,#N/A,FALSE,"단축2";#N/A,#N/A,FALSE,"단축3";#N/A,#N/A,FALSE,"장축";#N/A,#N/A,FALSE,"4WD"}</definedName>
    <definedName function="false" hidden="true" name="SpecialPrice" vbProcedure="false">#REF!</definedName>
    <definedName function="false" hidden="true" name="Spenden" vbProcedure="false">#REF!</definedName>
    <definedName function="false" hidden="true" name="SpendenN" vbProcedure="false">#REF!</definedName>
    <definedName function="false" hidden="true" name="Spenden_" vbProcedure="false">#REF!</definedName>
    <definedName function="false" hidden="true" name="spk" vbProcedure="false">{#N/A,#N/A,FALSE,"Assumptions";#N/A,#N/A,FALSE,"Volumes";#N/A,#N/A,FALSE,"Pricing";#N/A,#N/A,FALSE,"Variable Cost";#N/A,#N/A,FALSE,"Investment";#N/A,#N/A,FALSE,"Profitability";#N/A,#N/A,FALSE,"Business Comparison"}</definedName>
    <definedName function="false" hidden="true" name="SPLIT" vbProcedure="false">{#N/A,#N/A,FALSE,"단축1";#N/A,#N/A,FALSE,"단축2";#N/A,#N/A,FALSE,"단축3";#N/A,#N/A,FALSE,"장축";#N/A,#N/A,FALSE,"4WD"}</definedName>
    <definedName function="false" hidden="true" name="sppers" vbProcedure="false">{"budget95",#N/A,TRUE,"Tabelle1";"Tab1",#N/A,TRUE,"Tabelle2"}</definedName>
    <definedName function="false" hidden="true" name="SpreadsheetBuilder_2" vbProcedure="false">#REF!</definedName>
    <definedName function="false" hidden="true" name="SPWD" vbProcedure="false">"pepsico"</definedName>
    <definedName function="false" hidden="true" name="SP_EXCEL_LINK_b3e8cbbaa3e4490e9b5212f139b8b19b" vbProcedure="false">#REF!</definedName>
    <definedName function="false" hidden="true" name="sr" vbProcedure="false">{#N/A,#N/A,FALSE,"Bl. 1";#N/A,#N/A,FALSE,"Bl. 2";#N/A,#N/A,FALSE,"Bl. 3";#N/A,#N/A,FALSE,"Bl. 4";#N/A,#N/A,FALSE,"Bl. 6";#N/A,#N/A,FALSE,"Bl. 7";#N/A,#N/A,FALSE,"BL. 8";#N/A,#N/A,FALSE,"Bl. 9";#N/A,#N/A,FALSE,"Bl. 10";#N/A,#N/A,FALSE,"Bl. 12"}</definedName>
    <definedName function="false" hidden="true" name="sre" vbProcedure="false">{"vol data",#N/A,FALSE,"Datasheet";"vol graph",#N/A,FALSE,"Volume";"price data",#N/A,FALSE,"Datasheet";"price graph",#N/A,FALSE,"Price";"dp data",#N/A,FALSE,"Datasheet";"dp graph",#N/A,FALSE,"DirectProfit"}</definedName>
    <definedName function="false" hidden="true" name="sreserhst" vbProcedure="false">{#N/A,#N/A,FALSE,"INPUTS";#N/A,#N/A,FALSE,"PROFORMA BSHEET";#N/A,#N/A,FALSE,"COMBINED";#N/A,#N/A,FALSE,"HIGH YIELD";#N/A,#N/A,FALSE,"COMB_GRAPHS"}</definedName>
    <definedName function="false" hidden="true" name="SREUYSRHY" vbProcedure="false">{"'Demand Units'!$X$11:$AD$45"}</definedName>
    <definedName function="false" hidden="true" name="srfs" vbProcedure="false">{"FY97Q1",#N/A,FALSE,"FY97 - Q1";"FY97Q2",#N/A,FALSE,"FY97 - Q2";"FY97Q3",#N/A,FALSE,"FY97 - Q3";"FY97Q4",#N/A,FALSE,"FY97 - Q4"}</definedName>
    <definedName function="false" hidden="true" name="srgjsgjsjs" vbProcedure="false">{#N/A,#N/A,FALSE,"ACQ_GRAPHS";#N/A,#N/A,FALSE,"T_1 GRAPHS";#N/A,#N/A,FALSE,"T_2 GRAPHS";#N/A,#N/A,FALSE,"COMB_GRAPHS"}</definedName>
    <definedName function="false" hidden="true" name="srgjsrg" vbProcedure="false">{"vi1",#N/A,FALSE,"Financial Statements";"vi2",#N/A,FALSE,"Financial Statements";#N/A,#N/A,FALSE,"DCF"}</definedName>
    <definedName function="false" hidden="true" name="srhser" vbProcedure="false">{#N/A,#N/A,FALSE,"ACQ_GRAPHS";#N/A,#N/A,FALSE,"T_1 GRAPHS";#N/A,#N/A,FALSE,"T_2 GRAPHS";#N/A,#N/A,FALSE,"COMB_GRAPHS"}</definedName>
    <definedName function="false" hidden="true" name="srhsjsrtjs" vbProcedure="false">{#N/A,#N/A,FALSE,"ACQ_GRAPHS";#N/A,#N/A,FALSE,"T_1 GRAPHS";#N/A,#N/A,FALSE,"T_2 GRAPHS";#N/A,#N/A,FALSE,"COMB_GRAPHS"}</definedName>
    <definedName function="false" hidden="true" name="SRHYTWH" vbProcedure="false">{"'Demand Units'!$X$11:$AD$45"}</definedName>
    <definedName function="false" hidden="true" name="srjgjsrjg" vbProcedure="false">{"vi1",#N/A,FALSE,"Financial Statements";"vi2",#N/A,FALSE,"Financial Statements";#N/A,#N/A,FALSE,"DCF"}</definedName>
    <definedName function="false" hidden="true" name="srnsgjsj" vbProcedure="false">{"vi1",#N/A,FALSE,"Financial Statements";"vi2",#N/A,FALSE,"Financial Statements";#N/A,#N/A,FALSE,"DCF"}</definedName>
    <definedName function="false" hidden="true" name="SRTHRWHY" vbProcedure="false">{"'Demand Units'!$X$11:$AD$45"}</definedName>
    <definedName function="false" hidden="true" name="srtjsrtjsrt" vbProcedure="false">{#N/A,#N/A,FALSE,"INPUTS";#N/A,#N/A,FALSE,"PROFORMA BSHEET";#N/A,#N/A,FALSE,"COMBINED";#N/A,#N/A,FALSE,"ACQUIROR";#N/A,#N/A,FALSE,"TARGET 1";#N/A,#N/A,FALSE,"TARGET 2";#N/A,#N/A,FALSE,"HIGH YIELD";#N/A,#N/A,FALSE,"OVERFUND"}</definedName>
    <definedName function="false" hidden="true" name="srtjsrtjsrtjs" vbProcedure="false">{#N/A,#N/A,FALSE,"ACQ_GRAPHS";#N/A,#N/A,FALSE,"T_1 GRAPHS";#N/A,#N/A,FALSE,"T_2 GRAPHS";#N/A,#N/A,FALSE,"COMB_GRAPHS"}</definedName>
    <definedName function="false" hidden="true" name="SRTUWHSBWR" vbProcedure="false">{"'Demand Units'!$X$11:$AD$45"}</definedName>
    <definedName function="false" hidden="true" name="SRTUYRHT" vbProcedure="false">{"'Demand Units'!$X$11:$AD$45"}</definedName>
    <definedName function="false" hidden="true" name="srtzstrz" vbProcedure="false">{#N/A,#N/A,FALSE,"Finanzbedarsrechnung"}</definedName>
    <definedName function="false" hidden="true" name="ssadfas" vbProcedure="false">{"cap_structure",#N/A,FALSE,"Graph-Mkt Cap";"price",#N/A,FALSE,"Graph-Price";"ebit",#N/A,FALSE,"Graph-EBITDA";"ebitda",#N/A,FALSE,"Graph-EBITDA"}</definedName>
    <definedName function="false" hidden="true" name="ssadsad" vbProcedure="false">{#N/A,"PURADD",FALSE,"Business Analysis";#N/A,"PURSPP",FALSE,"Business Analysis";#N/A,"CTGIND",FALSE,"Business Analysis";#N/A,"PURCHM",FALSE,"Business Analysis";#N/A,"SPADD",FALSE,"Business Analysis";#N/A,"EPOXY",FALSE,"Business Analysis";#N/A,"PURPER",FALSE,"Business Analysis"}</definedName>
    <definedName function="false" hidden="true" name="ssasa" vbProcedure="false">{#N/A,#N/A,FALSE,"Performance Flash Report"}</definedName>
    <definedName function="false" hidden="true" name="SSD" vbProcedure="false">{#N/A,#N/A,FALSE,"REPORT"}</definedName>
    <definedName function="false" hidden="true" name="ssdsd" vbProcedure="false">{"'Demand Units'!$Z$2:$AF$53"}</definedName>
    <definedName function="false" hidden="true" name="sse" vbProcedure="false">{"YD GENERALH2",#N/A,FALSE,"YTD"}</definedName>
    <definedName function="false" hidden="true" name="sss" vbProcedure="false">{#N/A,#N/A,FALSE,"Fluktuation TSI"}</definedName>
    <definedName function="false" hidden="true" name="ssss" vbProcedure="false">{#N/A,#N/A,FALSE,"mfg - consol";#N/A,#N/A,FALSE,"mfg - flo";#N/A,#N/A,FALSE,"mfg - lindsay"}</definedName>
    <definedName function="false" hidden="true" name="SSSSS" vbProcedure="false">{#N/A,#N/A,TRUE,"Cover sheet";#N/A,#N/A,TRUE,"Summary";#N/A,#N/A,TRUE,"Key Assumptions";#N/A,#N/A,TRUE,"Profit &amp; Loss";#N/A,#N/A,TRUE,"Balance Sheet";#N/A,#N/A,TRUE,"Cashflow";#N/A,#N/A,TRUE,"IRR";#N/A,#N/A,TRUE,"Ratios";#N/A,#N/A,TRUE,"Debt analysis"}</definedName>
    <definedName function="false" hidden="true" name="ssssss" vbProcedure="false">main.sapf4help()</definedName>
    <definedName function="false" hidden="true" name="sssssss" vbProcedure="false">{"fleisch",#N/A,FALSE,"WG HK";"food",#N/A,FALSE,"WG HK";"hartwaren",#N/A,FALSE,"WG HK";"weichwaren",#N/A,FALSE,"WG HK"}</definedName>
    <definedName function="false" hidden="true" name="ssssssss" vbProcedure="false">{#N/A,#N/A,FALSE,"IPO";#N/A,#N/A,FALSE,"DCF";#N/A,#N/A,FALSE,"LBO";#N/A,#N/A,FALSE,"MULT_VAL";#N/A,#N/A,FALSE,"Status Quo";#N/A,#N/A,FALSE,"Recap"}</definedName>
    <definedName function="false" hidden="true" name="sssssssssssss" vbProcedure="false">{"general",#N/A,FALSE,"Assumptions"}</definedName>
    <definedName function="false" hidden="true" name="sssssssssssssssss" vbProcedure="false">{"detail",#N/A,FALSE,"mfg";"summary",#N/A,FALSE,"mfg"}</definedName>
    <definedName function="false" hidden="true" name="sssswwww" vbProcedure="false">{#N/A,"PURCHM",FALSE,"Business Analysis";#N/A,"SPADD",FALSE,"Business Analysis"}</definedName>
    <definedName function="false" hidden="true" name="sss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1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1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1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1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1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2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2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2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2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2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3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3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3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3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3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4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4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4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4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4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5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5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5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5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s_5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ssws" vbProcedure="false">{"Aktiva_Gittelde",#N/A,TRUE,"Bilanz-Gittelde";"Liabilities_gittelde",#N/A,TRUE,"Bilanz-Gittelde";"GuV_Gittelde",#N/A,TRUE,"GuV-Gittelde";"Aktiva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function="false" hidden="true" name="ssww"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staffing2" vbProcedure="false">{#N/A,#N/A,FALSE,"Assessment";#N/A,#N/A,FALSE,"Staffing";#N/A,#N/A,FALSE,"Hires";#N/A,#N/A,FALSE,"Assumptions"}</definedName>
    <definedName function="false" hidden="true" name="Staffing3" vbProcedure="false">{#N/A,#N/A,FALSE,"Assessment";#N/A,#N/A,FALSE,"Staffing";#N/A,#N/A,FALSE,"Hires";#N/A,#N/A,FALSE,"Assumptions"}</definedName>
    <definedName function="false" hidden="true" name="stages" vbProcedure="false">{#N/A,#N/A,TRUE,"PSG Total Contacts";#N/A,#N/A,TRUE,"PSG Rep Total";#N/A,#N/A,TRUE,"Core Rep Detail";#N/A,#N/A,TRUE,"BC Rep Detail";#N/A,#N/A,TRUE,"Marlboro";#N/A,#N/A,TRUE,"Covington";#N/A,#N/A,TRUE,"Dallas";#N/A,#N/A,TRUE,"VRS Stats";#N/A,#N/A,TRUE,"Internet";#N/A,#N/A,TRUE,"NCO and Call Mix";#N/A,#N/A,TRUE,"VRS &amp; Rep Calls"}</definedName>
    <definedName function="false" hidden="true" name="Staril" vbProcedure="false">{#N/A,#N/A,FALSE,"REPORT"}</definedName>
    <definedName function="false" hidden="true" name="StartSearchForDataRange" vbProcedure="false">INDIRECT("s1")</definedName>
    <definedName function="false" hidden="true" name="STATE" vbProcedure="false">"STATE"</definedName>
    <definedName function="false" hidden="true" name="stef" vbProcedure="false">{#N/A,#N/A,TRUE,"Cover sheet";#N/A,#N/A,TRUE,"Summary";#N/A,#N/A,TRUE,"Key Assumptions";#N/A,#N/A,TRUE,"Profit &amp; Loss";#N/A,#N/A,TRUE,"Balance Sheet";#N/A,#N/A,TRUE,"Cashflow";#N/A,#N/A,TRUE,"IRR";#N/A,#N/A,TRUE,"Ratios";#N/A,#N/A,TRUE,"Debt analysis"}</definedName>
    <definedName function="false" hidden="true" name="stehe" vbProcedure="false">{"Tages_D",#N/A,FALSE,"Tagesbericht";"Tages_PL",#N/A,FALSE,"Tagesbericht"}</definedName>
    <definedName function="false" hidden="true" name="Steuererstattungen" vbProcedure="false">#REF!</definedName>
    <definedName function="false" hidden="true" name="SteuererstattungenN" vbProcedure="false">#REF!</definedName>
    <definedName function="false" hidden="true" name="Steuererstattungen_" vbProcedure="false">#REF!</definedName>
    <definedName function="false" hidden="true" name="Steuerl_AuflIAB" vbProcedure="false">#REF!</definedName>
    <definedName function="false" hidden="true" name="Steuerl_AuflIAB_" vbProcedure="false">#REF!</definedName>
    <definedName function="false" hidden="true" name="Steuerl_BildIAB" vbProcedure="false">#REF!</definedName>
    <definedName function="false" hidden="true" name="Steuerl_BildIAB_" vbProcedure="false">#REF!</definedName>
    <definedName function="false" hidden="true" name="Steuerl_Gewerbest" vbProcedure="false">#REF!</definedName>
    <definedName function="false" hidden="true" name="Steuerl_Gewerbest_" vbProcedure="false">#REF!</definedName>
    <definedName function="false" hidden="true" name="Steuerl_Gewinnkorr" vbProcedure="false">#REF!</definedName>
    <definedName function="false" hidden="true" name="Steuerl_Gewinnkorr_" vbProcedure="false">#REF!</definedName>
    <definedName function="false" hidden="true" name="Steuerl_MUV" vbProcedure="false">#REF!</definedName>
    <definedName function="false" hidden="true" name="Steuerl_MUV_" vbProcedure="false">#REF!</definedName>
    <definedName function="false" hidden="true" name="Steuern" vbProcedure="false">#REF!</definedName>
    <definedName function="false" hidden="true" name="SteuernEinkUndErtr" vbProcedure="false">#REF!</definedName>
    <definedName function="false" hidden="true" name="SteuernEinkUndErtrK" vbProcedure="false">#REF!</definedName>
    <definedName function="false" hidden="true" name="SteuernEinkUndErtrM" vbProcedure="false">#REF!</definedName>
    <definedName function="false" hidden="true" name="SteuernEinkUndErtrN" vbProcedure="false">#REF!</definedName>
    <definedName function="false" hidden="true" name="SteuernEinkUndErtr_" vbProcedure="false">#REF!</definedName>
    <definedName function="false" hidden="true" name="SteuernN" vbProcedure="false">#REF!</definedName>
    <definedName function="false" hidden="true" name="Steuern_" vbProcedure="false">#REF!</definedName>
    <definedName function="false" hidden="true" name="sthkshkshk" vbProcedure="false">{#N/A,#N/A,FALSE,"INPUTS";#N/A,#N/A,FALSE,"PROFORMA BSHEET";#N/A,#N/A,FALSE,"COMBINED";#N/A,#N/A,FALSE,"ACQUIROR";#N/A,#N/A,FALSE,"TARGET 1";#N/A,#N/A,FALSE,"TARGET 2";#N/A,#N/A,FALSE,"HIGH YIELD";#N/A,#N/A,FALSE,"OVERFUND"}</definedName>
    <definedName function="false" hidden="true" name="stksthkstyk" vbProcedure="false">{#N/A,#N/A,FALSE,"Valuation Assumptions";#N/A,#N/A,FALSE,"Summary";#N/A,#N/A,FALSE,"DCF";#N/A,#N/A,FALSE,"Valuation";#N/A,#N/A,FALSE,"WACC";#N/A,#N/A,FALSE,"UBVH";#N/A,#N/A,FALSE,"Free Cash Flow"}</definedName>
    <definedName function="false" hidden="true" name="STOCK_BASED" vbProcedure="false">"STOCK_BASED"</definedName>
    <definedName function="false" hidden="true" name="strategi1" vbProcedure="false">{#N/A,#N/A,FALSE,"PrintS"}</definedName>
    <definedName function="false" hidden="true" name="Strategy" vbProcedure="false">{"ROI",#N/A,TRUE,"Summary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function="false" hidden="true" name="StratPlanAP" vbProcedure="false">{#N/A,#N/A,FALSE,"Pharm";#N/A,#N/A,FALSE,"WWCM"}</definedName>
    <definedName function="false" hidden="true" name="Strawman3" vbProcedure="false">{#N/A,#N/A,FALSE,"Cover";#N/A,#N/A,FALSE,"Profits";#N/A,#N/A,FALSE,"ABS";#N/A,#N/A,FALSE,"TFLE Detail";#N/A,#N/A,FALSE,"TFLE Walk";#N/A,#N/A,FALSE,"Variable Cost";#N/A,#N/A,FALSE,"V.C. Walk"}</definedName>
    <definedName function="false" hidden="true" name="Stub_Header1" vbProcedure="false">#REF!</definedName>
    <definedName function="false" hidden="true" name="Stub_Header2" vbProcedure="false">#REF!</definedName>
    <definedName function="false" hidden="true" name="Stub_Header3" vbProcedure="false">#REF!</definedName>
    <definedName function="false" hidden="true" name="stuff" vbProcedure="false">{"TOTAL",#N/A,FALSE,"A";"FISCAL94",#N/A,FALSE,"A";"FISCAL95",#N/A,FALSE,"A";"FISCAL96",#N/A,FALSE,"A";"misc page",#N/A,FALSE,"A"}</definedName>
    <definedName function="false" hidden="true" name="stuffs" vbProcedure="false">{"TOTAL",#N/A,FALSE,"A";"FISCAL94",#N/A,FALSE,"A";"FISCAL95",#N/A,FALSE,"A";"FISCAL96",#N/A,FALSE,"A";"misc page",#N/A,FALSE,"A"}</definedName>
    <definedName function="false" hidden="true" name="subj_EBITDA" vbProcedure="false">#REF!</definedName>
    <definedName function="false" hidden="true" name="SubsGrowth" vbProcedure="false">#REF!</definedName>
    <definedName function="false" hidden="true" name="SUMMARY_BOOK" vbProcedure="false">{"page1",#N/A,FALSE,"GIRLBO";"page2",#N/A,FALSE,"GIRLBO";"page3",#N/A,FALSE,"GIRLBO";"page4",#N/A,FALSE,"GIRLBO";"page5",#N/A,FALSE,"GIRLBO"}</definedName>
    <definedName function="false" hidden="true" name="summtarget" vbProcedure="false">{"'Future Reviews'!$A$1:$D$58"}</definedName>
    <definedName function="false" hidden="true" name="Sumtarget" vbProcedure="false">{"'Future Reviews'!$A$1:$D$58"}</definedName>
    <definedName function="false" hidden="true" name="super"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supp" vbProcedure="false">{#N/A,#N/A,FALSE,"Comp Balance";#N/A,#N/A,FALSE,"Sum Balance ";#N/A,#N/A,FALSE,"Balance Trend";#N/A,#N/A,FALSE,"Comp PL";#N/A,#N/A,FALSE,"PL";#N/A,#N/A,FALSE,"Sum PL";#N/A,#N/A,FALSE,"PL Trend";#N/A,#N/A,FALSE,"Change"}</definedName>
    <definedName function="false" hidden="true" name="Suppliers" vbProcedure="false">{#N/A,#N/A,FALSE,"HMF";#N/A,#N/A,FALSE,"FACIL";#N/A,#N/A,FALSE,"HMFINANCE";#N/A,#N/A,FALSE,"HMEUROPE";#N/A,#N/A,FALSE,"HHAB CONSO";#N/A,#N/A,FALSE,"PAB";#N/A,#N/A,FALSE,"MMC";#N/A,#N/A,FALSE,"THAI";#N/A,#N/A,FALSE,"SINPA";#N/A,#N/A,FALSE,"POLAND"}</definedName>
    <definedName function="false" hidden="true" name="Susan" vbProcedure="false">{#N/A,#N/A,FALSE,"Revised cover";#N/A,#N/A,FALSE,"Trends";"main view",#N/A,FALSE,"As Reported";#N/A,#N/A,FALSE,"delegations";#N/A,#N/A,FALSE,"(un) Commited"}</definedName>
    <definedName function="false" hidden="true" name="svc" vbProcedure="false">{#N/A,#N/A,FALSE,"Cover";#N/A,#N/A,FALSE,"Assumptions";#N/A,#N/A,FALSE,"Volumes";#N/A,#N/A,FALSE,"Pricing";#N/A,#N/A,FALSE,"TFLE Walk";#N/A,#N/A,FALSE,"Variable Cost";#N/A,#N/A,FALSE,"Sensitivity";#N/A,#N/A,FALSE,"Investment";#N/A,#N/A,FALSE,"Profitability"}</definedName>
    <definedName function="false" hidden="true" name="SVD" vbProcedure="false">{"GuVGmbH",#N/A,FALSE,"ratios";"BilanzGmbH",#N/A,FALSE,"ratios";"BilanzKG",#N/A,FALSE,"ratios";"GuVKG",#N/A,FALSE,"ratios"}</definedName>
    <definedName function="false" hidden="true" name="svddvsdv" vbProcedure="false">{#N/A,#N/A,TRUE,"coll"}</definedName>
    <definedName function="false" hidden="true" name="svfs" vbProcedure="false">{"comps2",#N/A,FALSE,"AERO";"footnotes",#N/A,FALSE,"AERO"}</definedName>
    <definedName function="false" hidden="true" name="svid" vbProcedure="false">#REF!</definedName>
    <definedName function="false" hidden="true" name="SVK" vbProcedure="false">TEXT(sve,"T.M.JJJJ")</definedName>
    <definedName function="false" hidden="true" name="SVor2" vbProcedure="false">TEXT(DATE(YEAR(sve)-1,MONTH(sve),DAY(sve)),"TT.MM.JJJJ")</definedName>
    <definedName function="false" hidden="true" name="SVor3" vbProcedure="false">TEXT(DATE(YEAR(sve)-2,MONTH(sve),DAY(sve)),"TT.MM.JJJJ")</definedName>
    <definedName function="false" hidden="true" name="SVor4" vbProcedure="false">TEXT(DATE(YEAR(sve)-3,MONTH(sve),DAY(sve)),"TT.MM.JJJJ")</definedName>
    <definedName function="false" hidden="true" name="SV_AUTO_CONN_CATALOG" vbProcedure="false">"Attix5 Africa Limited"</definedName>
    <definedName function="false" hidden="true" name="SV_AUTO_CONN_SERVER" vbProcedure="false">"196.36.89.170"</definedName>
    <definedName function="false" hidden="true" name="SV_ENCPT_AUTO_CONN_PASSWORD" vbProcedure="false">"083096084083070090115102121083115110"</definedName>
    <definedName function="false" hidden="true" name="SV_ENCPT_AUTO_CONN_USER" vbProcedure="false">"095094088070084121098"</definedName>
    <definedName function="false" hidden="true" name="SV_ENCPT_EVOCOMMON_PASSWORD" vbProcedure="false">"083096084083070090115102121083115110"</definedName>
    <definedName function="false" hidden="true" name="SV_ENCPT_EVOCOMMON_USER" vbProcedure="false">"095094088070084121098"</definedName>
    <definedName function="false" hidden="true" name="SV_ENCPT_LOGON_PWD" vbProcedure="false">"078104085088070"</definedName>
    <definedName function="false" hidden="true" name="SV_ENCPT_LOGON_USER" vbProcedure="false">"095094088070084"</definedName>
    <definedName function="false" hidden="true" name="SV_EVOCOMMON_CATALOG" vbProcedure="false">"EvolutionCommon"</definedName>
    <definedName function="false" hidden="true" name="SV_EVOCOMMON_SERVER" vbProcedure="false">"196.36.89.170"</definedName>
    <definedName function="false" hidden="true" name="sw" vbProcedure="false">{"kekto1",#N/A,FALSE,"C";"kekto2",#N/A,FALSE,"C";"kekto3",#N/A,FALSE,"C";"kekto4",#N/A,FALSE,"C";"kekto5",#N/A,FALSE,"C";"kekto6",#N/A,FALSE,"C";"kekto7",#N/A,FALSE,"C";"kekto8",#N/A,FALSE,"C";"kekto9",#N/A,FALSE,"C";"kekto10",#N/A,FALSE,"C";"kekto11",#N/A,FALSE,"C";"kekto 12",#N/A,FALSE,"C"}</definedName>
    <definedName function="false" hidden="true" name="SWAT2" vbProcedure="false">{#N/A,"VA",FALSE,"output";#N/A,"VB",FALSE,"output";#N/A,"VS",FALSE,"output";#N/A,"VC",FALSE,"output";#N/A,"VG",FALSE,"output";#N/A,"J1",FALSE,"output";#N/A,"J2",FALSE,"output";#N/A,"PT",FALSE,"output"}</definedName>
    <definedName function="false" hidden="true" name="swaw" vbProcedure="false">{"TEXO2N2_VOL",#N/A,FALSE,"MTHLYVOL";"TEXH2_VOL",#N/A,FALSE,"MTHLYVOL";"LOUIS_VOL",#N/A,FALSE,"MTHLYVOL";"H2_VOL",#N/A,FALSE,"MTHLYVOL";"O2N2_VOL",#N/A,FALSE,"MTHLYVOL";"PACKAGE_VOL",#N/A,FALSE,"MTHLYVOL"}</definedName>
    <definedName function="false" hidden="true" name="swet"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swetareawg" vbProcedure="false">{"vi1",#N/A,FALSE,"Financial Statements";"vi2",#N/A,FALSE,"Financial Statements";#N/A,#N/A,FALSE,"DCF"}</definedName>
    <definedName function="false" hidden="true" name="swfwert" vbProcedure="false">{#N/A,#N/A,FALSE,"Mittelherkunft";#N/A,#N/A,FALSE,"Mittelverwendung"}</definedName>
    <definedName function="false" hidden="true" name="swq" vbProcedure="false">{#N/A,"PURCHM",FALSE,"Business Analysis";#N/A,"SPADD",FALSE,"Business Analysis"}</definedName>
    <definedName function="false" hidden="true" name="swr" vbProcedure="false">{"Polymers Details",#N/A,FALSE,"Current Yr";"Polymer Details",#N/A,FALSE,"Budget";"Polymer Details",#N/A,FALSE,"Prior Year"}</definedName>
    <definedName function="false" hidden="true" name="swsrehsrtusrt" vbProcedure="false">{"vi1",#N/A,FALSE,"Financial Statements";"vi2",#N/A,FALSE,"Financial Statements";#N/A,#N/A,FALSE,"DCF"}</definedName>
    <definedName function="false" hidden="true" name="Swvu.BS." vbProcedure="false">#REF!</definedName>
    <definedName function="false" hidden="true" name="Swvu.summary1." vbProcedure="false">#REF!</definedName>
    <definedName function="false" hidden="true" name="Swvu.summary2." vbProcedure="false">#REF!</definedName>
    <definedName function="false" hidden="true" name="Swvu.summary3." vbProcedure="false">#REF!</definedName>
    <definedName function="false" hidden="true" name="SX" vbProcedure="false">{#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function="false" hidden="true" name="SXD" vbProcedure="false">{"'Demand Units'!$X$11:$AD$45"}</definedName>
    <definedName function="false" hidden="true" name="sxdfg" vbProcedure="false">{0,#N/A,TRUE,0;0,#N/A,TRUE,0;0,#N/A,TRUE,0;0,#N/A,TRUE,0;0,#N/A,TRUE,0;0,#N/A,TRUE,0}</definedName>
    <definedName function="false" hidden="true" name="SYSTEM_VER" vbProcedure="false">"Windows (32-bit) NT 4.00"</definedName>
    <definedName function="false" hidden="true" name="sz"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szdb" vbProcedure="false">#REF!</definedName>
    <definedName function="false" hidden="true" name="szx" vbProcedure="false">{"LAPO2N2",#N/A,FALSE,"CM"}</definedName>
    <definedName function="false" hidden="true" name="södalfkjösdaklfj" vbProcedure="false">{#N/A,#N/A,FALSE,"Index";#N/A,#N/A,FALSE,"1.1";#N/A,#N/A,FALSE,"Scenario Summary"}</definedName>
    <definedName function="false" hidden="true" name="t"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t.2" vbProcedure="false">{#N/A,#N/A,FALSE,"Umsatz EO BP";#N/A,#N/A,FALSE,"Umsatz EO OP";#N/A,#N/A,FALSE,"ER EO BP";#N/A,#N/A,FALSE,"ER EO OP";#N/A,#N/A,FALSE,"EA EO (2)";#N/A,#N/A,FALSE,"EA EO";#N/A,#N/A,FALSE,"EA EO (3)";#N/A,#N/A,FALSE,"EA EO (4)";#N/A,#N/A,FALSE,"KA EO  (2)";#N/A,#N/A,FALSE,"KA EO";#N/A,#N/A,FALSE,"KA EO  (3)";#N/A,#N/A,FALSE,"KA EO (4)"}</definedName>
    <definedName function="false" hidden="true" name="t.5"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T2000대책서" vbProcedure="false">{#N/A,#N/A,FALSE,"단축1";#N/A,#N/A,FALSE,"단축2";#N/A,#N/A,FALSE,"단축3";#N/A,#N/A,FALSE,"장축";#N/A,#N/A,FALSE,"4WD"}</definedName>
    <definedName function="false" hidden="true" name="ta" vbProcedure="false">{"BA detail",#N/A,FALSE,"Q3YTD "}</definedName>
    <definedName function="false" hidden="true" name="table2" vbProcedure="false">#REF!</definedName>
    <definedName function="false" hidden="true" name="Table2Out" vbProcedure="false">#REF!</definedName>
    <definedName function="false" hidden="true" name="Table3" vbProcedure="false">#REF!</definedName>
    <definedName function="false" hidden="true" name="table3new" vbProcedure="false">{#N/A,#N/A,FALSE,"Cover";#N/A,#N/A,FALSE,"Contents-Pg1";#N/A,#N/A,FALSE,"High-Com-pg2";#N/A,#N/A,FALSE,"1 Full";#N/A,#N/A,FALSE,"1chts";#N/A,#N/A,FALSE,"Table 2";#N/A,#N/A,FALSE,"3New Iss";#N/A,#N/A,FALSE,"4Money raised";#N/A,#N/A,FALSE,"5Aim";#N/A,#N/A,FALSE,"AiM charts";#N/A,#N/A,FALSE,"6FT Smll";#N/A,#N/A,FALSE,"11SEATS";#N/A,#N/A,FALSE,"12Notes"}</definedName>
    <definedName function="false" hidden="true" name="table6ab" vbProcedure="false">{#N/A,#N/A,FALSE,"Cover";#N/A,#N/A,FALSE,"Contents-Pg1";#N/A,#N/A,FALSE,"High-Com-pg2";#N/A,#N/A,FALSE,"1 Full";#N/A,#N/A,FALSE,"1chts";#N/A,#N/A,FALSE,"Table 2";#N/A,#N/A,FALSE,"3New Iss";#N/A,#N/A,FALSE,"4Money raised";#N/A,#N/A,FALSE,"5Aim";#N/A,#N/A,FALSE,"AiM charts";#N/A,#N/A,FALSE,"6FT Smll";#N/A,#N/A,FALSE,"11SEATS";#N/A,#N/A,FALSE,"12Notes"}</definedName>
    <definedName function="false" hidden="true" name="Tables" vbProcedure="false">{"sales",#N/A,FALSE,"Sales";"sales existing",#N/A,FALSE,"Sales";"sales rd1",#N/A,FALSE,"Sales";"sales rd2",#N/A,FALSE,"Sales"}</definedName>
    <definedName function="false" hidden="true" name="tai.v4" vbProcedure="false">{#N/A,#N/A,FALSE,"Umsatz EO BP";#N/A,#N/A,FALSE,"Umsatz EO OP";#N/A,#N/A,FALSE,"ER EO BP";#N/A,#N/A,FALSE,"ER EO OP";#N/A,#N/A,FALSE,"EA EO (2)";#N/A,#N/A,FALSE,"EA EO";#N/A,#N/A,FALSE,"EA EO (3)";#N/A,#N/A,FALSE,"EA EO (4)";#N/A,#N/A,FALSE,"KA EO  (2)";#N/A,#N/A,FALSE,"KA EO";#N/A,#N/A,FALSE,"KA EO  (3)";#N/A,#N/A,FALSE,"KA EO (4)"}</definedName>
    <definedName function="false" hidden="true" name="Tail.2" vbProcedure="false">{#N/A,#N/A,FALSE,"KA CH  (2)"}</definedName>
    <definedName function="false" hidden="true" name="targets3" vbProcedure="false">{"'NWC03'!$C$81"}</definedName>
    <definedName function="false" hidden="true" name="targets4" vbProcedure="false">{"'NWC03'!$C$81"}</definedName>
    <definedName function="false" hidden="true" name="taxol" vbProcedure="false">{#N/A,#N/A,FALSE,"Pharm";#N/A,#N/A,FALSE,"WWCM"}</definedName>
    <definedName function="false" hidden="true" name="Taxpb" vbProcedure="false">#REF!</definedName>
    <definedName function="false" hidden="true" name="tbl_ProdInfo" vbProcedure="false">#REF!</definedName>
    <definedName function="false" hidden="true" name="TB전체일정_2" vbProcedure="false">{#N/A,#N/A,FALSE,"단축1";#N/A,#N/A,FALSE,"단축2";#N/A,#N/A,FALSE,"단축3";#N/A,#N/A,FALSE,"장축";#N/A,#N/A,FALSE,"4WD"}</definedName>
    <definedName function="false" hidden="true" name="TC" vbProcedure="false">{#N/A,#N/A,FALSE,"WOB_1.XLS";#N/A,#N/A,FALSE,"WOB_2.XLS";#N/A,#N/A,FALSE,"WOB_3.XLS";#N/A,#N/A,FALSE,"WOB_4.XLS";#N/A,#N/A,FALSE,"WOB_5.XLS"}</definedName>
    <definedName function="false" hidden="true" name="TCB" vbProcedure="false">{#N/A,#N/A,FALSE,"summary";#N/A,#N/A,FALSE,"debt";#N/A,#N/A,FALSE,"FIRST";#N/A,#N/A,FALSE,"B A";#N/A,#N/A,FALSE,"LLOYD";#N/A,#N/A,FALSE,"LTDLLOYD";#N/A,#N/A,FALSE,"PESO";#N/A,#N/A,FALSE,"MEX$";#N/A,#N/A,FALSE,"PRINCE";#N/A,#N/A,FALSE,"TXCOMM";#N/A,#N/A,FALSE,"WATERLOO"}</definedName>
    <definedName function="false" hidden="true" name="TCBLOCKBOX" vbProcedure="false">{#N/A,#N/A,FALSE,"summary";#N/A,#N/A,FALSE,"debt";#N/A,#N/A,FALSE,"FIRST";#N/A,#N/A,FALSE,"B A";#N/A,#N/A,FALSE,"LLOYD";#N/A,#N/A,FALSE,"LTDLLOYD";#N/A,#N/A,FALSE,"PESO";#N/A,#N/A,FALSE,"MEX$";#N/A,#N/A,FALSE,"PRINCE";#N/A,#N/A,FALSE,"TXCOMM";#N/A,#N/A,FALSE,"WATERLOO"}</definedName>
    <definedName function="false" hidden="true" name="TCG" vbProcedure="false">{#N/A,#N/A,FALSE,"PROJPACK"}</definedName>
    <definedName function="false" hidden="true" name="tci" vbProcedure="false">{#N/A,#N/A,FALSE,"단축1";#N/A,#N/A,FALSE,"단축2";#N/A,#N/A,FALSE,"단축3";#N/A,#N/A,FALSE,"장축";#N/A,#N/A,FALSE,"4WD"}</definedName>
    <definedName function="false" hidden="true" name="TCR_DATUM" vbProcedure="false">37378</definedName>
    <definedName function="false" hidden="true" name="TCR_PosRes" vbProcedure="false">12</definedName>
    <definedName function="false" hidden="true" name="TCR_TG" vbProcedure="false">"0104TGNr.0102"</definedName>
    <definedName function="false" hidden="true" name="TCR_TGSize" vbProcedure="false">"0110TGSiz0006005704"</definedName>
    <definedName function="false" hidden="true" name="TCR_TGW" vbProcedure="false">"0104TGW  0030"</definedName>
    <definedName function="false" hidden="true" name="TCR_VER" vbProcedure="false">8</definedName>
    <definedName function="false" hidden="true" name="td" vbProcedure="false">{"'Data'!$A$1:$D$17"}</definedName>
    <definedName function="false" hidden="true" name="tea"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Tem" vbProcedure="false">{#N/A,#N/A,FALSE,"Pharm";#N/A,#N/A,FALSE,"WWCM"}</definedName>
    <definedName function="false" hidden="true" name="temp2" vbProcedure="false">{#N/A,#N/A,FALSE,"Admin"}</definedName>
    <definedName function="false" hidden="true" name="TemplateVersion" vbProcedure="false">#REF!</definedName>
    <definedName function="false" hidden="true" name="tempxxx" vbProcedure="false">0</definedName>
    <definedName function="false" hidden="true" name="Temp_2" vbProcedure="false">{#N/A,#N/A,FALSE,"Assessment";#N/A,#N/A,FALSE,"Staffing";#N/A,#N/A,FALSE,"Hires";#N/A,#N/A,FALSE,"Assumptions"}</definedName>
    <definedName function="false" hidden="true" name="Temp_3" vbProcedure="false">{#N/A,#N/A,FALSE,"Assessment";#N/A,#N/A,FALSE,"Staffing";#N/A,#N/A,FALSE,"Hires";#N/A,#N/A,FALSE,"Assumptions"}</definedName>
    <definedName function="false" hidden="true" name="temp_name" vbProcedure="false">{"ALLOCATION1",#N/A,FALSE,"EXPENSE ALLOCATIONS";"ALLOCATION2",#N/A,FALSE,"EXPENSE ALLOCATIONS";"ALLOCATION3",#N/A,FALSE,"EXPENSE ALLOCATIONS";"ALLOCATION4",#N/A,FALSE,"EXPENSE ALLOCATIONS"}</definedName>
    <definedName function="false" hidden="true" name="teq" vbProcedure="false">{#N/A,#N/A,FALSE,"Pharm";#N/A,#N/A,FALSE,"WWCM"}</definedName>
    <definedName function="false" hidden="true" name="Tequin" vbProcedure="false">{#N/A,#N/A,FALSE,"Pharm";#N/A,#N/A,FALSE,"WWCM"}</definedName>
    <definedName function="false" hidden="true" name="tequinol" vbProcedure="false">{#N/A,#N/A,FALSE,"REPORT"}</definedName>
    <definedName function="false" hidden="true" name="teradyne" vbProcedure="false">{#N/A,#N/A,FALSE,"Consol P&amp;L ";#N/A,#N/A,FALSE,"CP P&amp;L";#N/A,#N/A,FALSE,"ADS P&amp;L";#N/A,#N/A,FALSE,"Corp P&amp;L"}</definedName>
    <definedName function="false" hidden="true" name="teradyne2" vbProcedure="false">{#N/A,#N/A,FALSE,"Consol P&amp;L ";#N/A,#N/A,FALSE,"CP P&amp;L";#N/A,#N/A,FALSE,"ADS P&amp;L";#N/A,#N/A,FALSE,"Corp P&amp;L"}</definedName>
    <definedName function="false" hidden="true" name="teradyne7" vbProcedure="false">{#N/A,#N/A,FALSE,"Consol P&amp;L ";#N/A,#N/A,FALSE,"CP P&amp;L";#N/A,#N/A,FALSE,"ADS P&amp;L";#N/A,#N/A,FALSE,"Corp P&amp;L"}</definedName>
    <definedName function="false" hidden="true" name="terc" vbProcedure="false">{"YD GENERALH2",#N/A,FALSE,"YTD"}</definedName>
    <definedName function="false" hidden="true" name="tertw" vbProcedure="false">{#N/A,#N/A,FALSE,"Aging Summary";#N/A,#N/A,FALSE,"Ratio Analysis";#N/A,#N/A,FALSE,"Test 120 Day Accts";#N/A,#N/A,FALSE,"Tickmarks"}</definedName>
    <definedName function="false" hidden="true" name="test" vbProcedure="false">{#N/A,#N/A,FALSE,"1996PL";#N/A,#N/A,FALSE,"1997PL";#N/A,#N/A,FALSE,"1998PL";#N/A,#N/A,FALSE,"1999PL"}</definedName>
    <definedName function="false" hidden="true" name="test10" vbProcedure="false">{#N/A,#N/A,FALSE,"Profit Status";#N/A,#N/A,FALSE,"Invest";#N/A,#N/A,FALSE,"Revenue";#N/A,#N/A,FALSE,"Variable Cost";#N/A,#N/A,FALSE,"Options &amp; Series"}</definedName>
    <definedName function="false" hidden="true" name="test2" vbProcedure="false">{"'SIVA Pricing Model'!$A$1:$F$39"}</definedName>
    <definedName function="false" hidden="true" name="test22" vbProcedure="false">{"'SIVA Pricing Model'!$A$1:$F$39"}</definedName>
    <definedName function="false" hidden="true" name="test222" vbProcedure="false">{"'SIVA Pricing Model'!$A$1:$F$39"}</definedName>
    <definedName function="false" hidden="true" name="test3" vbProcedure="false">{"'SIVA Pricing Model'!$A$1:$F$39"}</definedName>
    <definedName function="false" hidden="true" name="test324" vbProcedure="false">{"Oct_Plan_Income_Month",#N/A,FALSE,"OctInc";"Oct_Month_Lastyear_Inc",#N/A,FALSE,"OctInc"}</definedName>
    <definedName function="false" hidden="true" name="test3434" vbProcedure="false">{"Oct_Plan_Income_Month",#N/A,FALSE,"OctInc";"Oct_Month_Lastyear_Inc",#N/A,FALSE,"OctInc"}</definedName>
    <definedName function="false" hidden="true" name="test4" vbProcedure="false">{"CHART",#N/A,FALSE,"Arch Communications"}</definedName>
    <definedName function="false" hidden="true" name="test4w" vbProcedure="false">{"'SIVA Pricing Model'!$A$1:$F$39"}</definedName>
    <definedName function="false" hidden="true" name="Test5" vbProcedure="false">{"'SIVA Pricing Model'!$A$1:$F$39"}</definedName>
    <definedName function="false" hidden="true" name="test9" vbProcedure="false">{"TeleKomplett",#N/A,TRUE,"Tele";"gfKomplett",#N/A,TRUE,"Gf";"MktKomplett",#N/A,TRUE,"Mkt";"RTLTextKomplett",#N/A,TRUE,"RTLText";"ATXITVKomplett",#N/A,TRUE,"ATXITV";"TechKomplett",#N/A,TRUE,"Tech";"Pufferkomplett",#N/A,TRUE,"Puffer"}</definedName>
    <definedName function="false" hidden="true" name="teste" vbProcedure="false">{#N/A,#N/A,FALSE,"Pharm";#N/A,#N/A,FALSE,"WWCM"}</definedName>
    <definedName function="false" hidden="true" name="tester"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tester3"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testi" vbProcedure="false">{#N/A,#N/A,FALSE,"Sheet2"}</definedName>
    <definedName function="false" hidden="true" name="testi1" vbProcedure="false">{#N/A,#N/A,FALSE,"Sheet2"}</definedName>
    <definedName function="false" hidden="true" name="testing" vbProcedure="false">{#N/A,#N/A,TRUE,"RESULTATRÄKNING";#N/A,#N/A,TRUE,"BALANSRÄKNING";#N/A,#N/A,TRUE,"BALANSRÄKNING2";#N/A,#N/A,TRUE,"Bilaga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function="false" hidden="true" name="testing2" vbProcedure="false">{#N/A,#N/A,TRUE,"RESULTATRÄKNING";#N/A,#N/A,TRUE,"BALANSRÄKNING";#N/A,#N/A,TRUE,"BALANSRÄKNING2";#N/A,#N/A,TRUE,"Bilaga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function="false" hidden="true" name="testing3" vbProcedure="false">{#N/A,#N/A,TRUE,"RESULTATRÄKNING";#N/A,#N/A,TRUE,"BALANSRÄKNING";#N/A,#N/A,TRUE,"BALANSRÄKNING2";#N/A,#N/A,TRUE,"Bilaga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function="false" hidden="true" name="testing4" vbProcedure="false">{#N/A,#N/A,TRUE,"RESULTATRÄKNING";#N/A,#N/A,TRUE,"BALANSRÄKNING";#N/A,#N/A,TRUE,"BALANSRÄKNING2";#N/A,#N/A,TRUE,"Bilaga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function="false" hidden="true" name="tests" vbProcedure="false">{"'SIVA Pricing Model'!$A$1:$F$39"}</definedName>
    <definedName function="false" hidden="true" name="TEsts6" vbProcedure="false">{"'SIVA Pricing Model'!$A$1:$F$39"}</definedName>
    <definedName function="false" hidden="true" name="testss" vbProcedure="false">{"'SIVA Pricing Model'!$A$1:$F$39"}</definedName>
    <definedName function="false" hidden="true" name="testsss" vbProcedure="false">{"'SIVA Pricing Model'!$A$1:$F$39"}</definedName>
    <definedName function="false" hidden="true" name="testst234" vbProcedure="false">{"Oct_Plan_Income_Month",#N/A,FALSE,"OctInc";"Oct_Month_Lastyear_Inc",#N/A,FALSE,"OctInc"}</definedName>
    <definedName function="false" hidden="true" name="testsw" vbProcedure="false">{"'SIVA Pricing Model'!$A$1:$F$39"}</definedName>
    <definedName function="false" hidden="true" name="testterrwe" vbProcedure="false">{"ConInc",#N/A,FALSE,"FinStmt";"ConBal",#N/A,FALSE,"FinStmt";"ConCash",#N/A,FALSE,"FinStmt"}</definedName>
    <definedName function="false" hidden="true" name="testv2" vbProcedure="false">{#N/A,#N/A,FALSE,"F_Plan";#N/A,#N/A,FALSE,"Parameter"}</definedName>
    <definedName function="false" hidden="true" name="testv3" vbProcedure="false">{#N/A,#N/A,FALSE,"Umsatz";#N/A,#N/A,FALSE,"Base V.02";#N/A,#N/A,FALSE,"Charts"}</definedName>
    <definedName function="false" hidden="true" name="testv4" vbProcedure="false">{#N/A,#N/A,FALSE,"F_Plan";#N/A,#N/A,FALSE,"Parameter"}</definedName>
    <definedName function="false" hidden="true" name="testv5" vbProcedure="false">{#N/A,#N/A,FALSE,"Umsatz";#N/A,#N/A,FALSE,"Base V.02";#N/A,#N/A,FALSE,"Charts"}</definedName>
    <definedName function="false" hidden="true" name="testw" vbProcedure="false">{"'SIVA Pricing Model'!$A$1:$F$39"}</definedName>
    <definedName function="false" hidden="true" name="testww" vbProcedure="false">{"'SIVA Pricing Model'!$A$1:$F$39"}</definedName>
    <definedName function="false" hidden="true" name="testwww" vbProcedure="false">{"'SIVA Pricing Model'!$A$1:$F$39"}</definedName>
    <definedName function="false" hidden="true" name="TestyDeleteMe" vbProcedure="false">#REF!</definedName>
    <definedName function="false" hidden="true" name="tete" vbProcedure="false">{#N/A,#N/A,FALSE,"Calc";#N/A,#N/A,FALSE,"Sensitivity";#N/A,#N/A,FALSE,"LT Earn.Dil.";#N/A,#N/A,FALSE,"Dil. AVP"}</definedName>
    <definedName function="false" hidden="true" name="tets" vbProcedure="false">{#N/A,#N/A,FALSE,"Aktiva";#N/A,#N/A,FALSE,"Passiva";#N/A,#N/A,FALSE,"guv";#N/A,#N/A,FALSE,"Anl-1";#N/A,#N/A,FALSE,"Anl-2";#N/A,#N/A,FALSE,"Anl-III";#N/A,#N/A,FALSE,"Ta-1-Anh";#N/A,#N/A,FALSE,"Ta-2-Anh";#N/A,#N/A,FALSE,"Ta-3-Anh";#N/A,#N/A,FALSE,"Kontroll-Blatt"}</definedName>
    <definedName function="false" hidden="true" name="tew" vbProcedure="false">{"FY97Total",#N/A,FALSE,"FY97 - Total";"FY98Total",#N/A,FALSE,"FY98 - Total"}</definedName>
    <definedName function="false" hidden="true" name="TextRefCopyRangeCount" vbProcedure="false">2</definedName>
    <definedName function="false" hidden="true" name="tfdhdg" vbProcedure="false">43106.5304861111</definedName>
    <definedName function="false" hidden="true" name="tfill" vbProcedure="false">#REF!</definedName>
    <definedName function="false" hidden="true" name="tg"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tha"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tha.2" vbProcedure="false">{#N/A,#N/A,FALSE,"Produkte Erw.";#N/A,#N/A,FALSE,"Produkte Plan";#N/A,#N/A,FALSE,"Leistungen Erw.";#N/A,#N/A,FALSE,"Leistungen Plan";#N/A,#N/A,FALSE,"KA Allg.Kosten (2)";#N/A,#N/A,FALSE,"KA All.Kosten"}</definedName>
    <definedName function="false" hidden="true" name="tha.3" vbProcedure="false">{#N/A,#N/A,FALSE,"KA CH  (2)"}</definedName>
    <definedName function="false" hidden="true" name="tha.4"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tha.4._99" vbProcedure="false">{#N/A,#N/A,FALSE,"Umsatz 99";#N/A,#N/A,FALSE,"ER 99 "}</definedName>
    <definedName function="false" hidden="true" name="Thail.2" vbProcedure="false">{#N/A,#N/A,FALSE,"Umsatz 99";#N/A,#N/A,FALSE,"ER 99 "}</definedName>
    <definedName function="false" hidden="true" name="THEME2" vbProcedure="false">{#N/A,#N/A,FALSE,"96 3월물량표";#N/A,#N/A,FALSE,"96 4월물량표";#N/A,#N/A,FALSE,"96 5월물량표"}</definedName>
    <definedName function="false" hidden="true" name="thgbj" vbProcedure="false">{"adj95mult",#N/A,FALSE,"COMPCO";"adj95est",#N/A,FALSE,"COMPCO"}</definedName>
    <definedName function="false" hidden="true" name="Threeyr_Data" vbProcedure="false">#REF!</definedName>
    <definedName function="false" hidden="true" name="thth" vbProcedure="false">{#N/A,#N/A,FALSE,"Calc";#N/A,#N/A,FALSE,"Sensitivity";#N/A,#N/A,FALSE,"LT Earn.Dil.";#N/A,#N/A,FALSE,"Dil. AVP"}</definedName>
    <definedName function="false" hidden="true" name="tickname" vbProcedure="false">#REF!</definedName>
    <definedName function="false" hidden="true" name="tina" vbProcedure="false">{"cover",#N/A,TRUE,"Cover";"toc3",#N/A,TRUE,"TOC";"over",#N/A,TRUE,"Overview";"ts2",#N/A,TRUE,"Det_Trans_Sum";"ei1c",#N/A,TRUE,"Earnings Impact";"ad1",#N/A,TRUE,"accretion dilution";"pfis1",#N/A,TRUE,"Pro Forma Income Statement";"acq1c",#N/A,TRUE,"Acquirer";"tar1c",#N/A,TRUE,"Target"}</definedName>
    <definedName function="false" hidden="true" name="Title2Spot" vbProcedure="false">#REF!</definedName>
    <definedName function="false" hidden="true" name="tiui" vbProcedure="false">{"GuVGmbH",#N/A,FALSE,"ratios";"BilanzGmbH",#N/A,FALSE,"ratios";"BilanzKG",#N/A,FALSE,"ratios";"GuVKG",#N/A,FALSE,"ratios"}</definedName>
    <definedName function="false" hidden="true" name="tjtr" vbProcedure="false">{#N/A,#N/A,FALSE,"Layout Aktiva";#N/A,#N/A,FALSE,"Layout Passiva"}</definedName>
    <definedName function="false" hidden="true" name="TJUTU" vbProcedure="false">{"'Demand Units'!$X$11:$AD$45"}</definedName>
    <definedName function="false" hidden="true" name="TLA.087" vbProcedure="false">0</definedName>
    <definedName function="false" hidden="true" name="tll"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tmto" vbProcedure="false">{"detail",#N/A,FALSE,"mfg";"summary",#N/A,FALSE,"mfg"}</definedName>
    <definedName function="false" hidden="true" name="tn"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todo" vbProcedure="false">{#N/A,#N/A,FALSE,"Indcost";#N/A,#N/A,FALSE,"Plcost";#N/A,#N/A,FALSE,"Mincost";#N/A,#N/A,FALSE,"Produc";#N/A,#N/A,FALSE,"Rev";#N/A,#N/A,FALSE,"Capital";#N/A,#N/A,FALSE,"Wcapital";#N/A,#N/A,FALSE,"Contdep";#N/A,#N/A,FALSE,"Taxdep";#N/A,#N/A,FALSE,"Tax";#N/A,#N/A,FALSE,"S-SDebt";#N/A,#N/A,FALSE,"TotDebt";#N/A,#N/A,FALSE,"Profit";#N/A,#N/A,FALSE,"CFlow";#N/A,#N/A,FALSE,"1996-2012";#N/A,#N/A,FALSE,"Bcesheet"}</definedName>
    <definedName function="false" hidden="true" name="tom"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tommy"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tommy2"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TOOL" vbProcedure="false">{"EXPORT",#N/A,FALSE,"A8CONTENT"}</definedName>
    <definedName function="false" hidden="true" name="ToolDeveloper" vbProcedure="false">"Martin Brett"</definedName>
    <definedName function="false" hidden="true" name="ToolID" vbProcedure="false">303</definedName>
    <definedName function="false" hidden="true" name="Tools" vbProcedure="false">{"EXPORT",#N/A,FALSE,"A8CONTENT"}</definedName>
    <definedName function="false" hidden="true" name="ToolUpdateDate" vbProcedure="false">"'09/04/2012"</definedName>
    <definedName function="false" hidden="true" name="top" vbProcedure="false">{"Page1",#N/A,FALSE,"CompCo";"Page2",#N/A,FALSE,"CompCo"}</definedName>
    <definedName function="false" hidden="true" name="Top15_total" vbProcedure="false">{"'Demand Units'!$Z$2:$AF$53"}</definedName>
    <definedName function="false" hidden="true" name="TORSION" vbProcedure="false">{#N/A,#N/A,FALSE,"단축1";#N/A,#N/A,FALSE,"단축2";#N/A,#N/A,FALSE,"단축3";#N/A,#N/A,FALSE,"장축";#N/A,#N/A,FALSE,"4WD"}</definedName>
    <definedName function="false" hidden="true" name="TOTAL" vbProcedure="false">{"Informes",#N/A,FALSE,"CA";"Informes",#N/A,FALSE,"CN";"Informes",#N/A,FALSE,"INVERSIONES";"Informes",#N/A,FALSE,"CN Oficial";"Informes",#N/A,FALSE,"CA Oficial";"Informes",#N/A,FALSE,"Res Datos Areas"}</definedName>
    <definedName function="false" hidden="true" name="TOTAL_ASSETS" vbProcedure="false">"TOTAL_ASSETS"</definedName>
    <definedName function="false" hidden="true" name="TOTAL_CASH_DIVID" vbProcedure="false">"TOTAL_CASH_DIVID"</definedName>
    <definedName function="false" hidden="true" name="TOTAL_CASH_FINAN" vbProcedure="false">"TOTAL_CASH_FINAN"</definedName>
    <definedName function="false" hidden="true" name="TOTAL_CASH_INVEST" vbProcedure="false">"TOTAL_CASH_INVEST"</definedName>
    <definedName function="false" hidden="true" name="TOTAL_CASH_OPER" vbProcedure="false">"TOTAL_CASH_OPER"</definedName>
    <definedName function="false" hidden="true" name="TOTAL_COMMON" vbProcedure="false">"TOTAL_COMMON"</definedName>
    <definedName function="false" hidden="true" name="TOTAL_CURRENT_ASSETS" vbProcedure="false">"TOTAL_CURRENT_ASSETS"</definedName>
    <definedName function="false" hidden="true" name="TOTAL_CURRENT_LIAB" vbProcedure="false">"TOTAL_CURRENT_LIAB"</definedName>
    <definedName function="false" hidden="true" name="TOTAL_DEBT" vbProcedure="false">"TOTAL_DEBT"</definedName>
    <definedName function="false" hidden="true" name="TOTAL_DEBT_OVER_EBITDA" vbProcedure="false">"TOTAL_DEBT_OVER_EBITDA"</definedName>
    <definedName function="false" hidden="true" name="TOTAL_DEBT_OVER_TOTAL_BV" vbProcedure="false">"TOTAL_DEBT_OVER_TOTAL_BV"</definedName>
    <definedName function="false" hidden="true" name="TOTAL_DEBT_OVER_TOTAL_CAP" vbProcedure="false">"TOTAL_DEBT_OVER_TOTAL_CAP"</definedName>
    <definedName function="false" hidden="true" name="TOTAL_EQUITY" vbProcedure="false">"TOTAL_EQUITY"</definedName>
    <definedName function="false" hidden="true" name="TOTAL_IN" vbProcedure="false">{"Informes",#N/A,FALSE,"CA";"Informes",#N/A,FALSE,"CN";"Informes",#N/A,FALSE,"INVERSIONES";"Informes",#N/A,FALSE,"CN Oficial";"Informes",#N/A,FALSE,"CA Oficial";"Informes",#N/A,FALSE,"Res Datos Areas"}</definedName>
    <definedName function="false" hidden="true" name="TOTAL_INFORMES" vbProcedure="false">{"Informes",#N/A,FALSE,"CA";"Informes",#N/A,FALSE,"CN";"Informes",#N/A,FALSE,"INVERSIONES";"Informes",#N/A,FALSE,"CN Oficial";"Informes",#N/A,FALSE,"CA Oficial";"Informes",#N/A,FALSE,"Res Datos Areas"}</definedName>
    <definedName function="false" hidden="true" name="TOTAL_INTEREST_EXP" vbProcedure="false">"TOTAL_INTEREST_EXP"</definedName>
    <definedName function="false" hidden="true" name="TOTAL_INVENTORY" vbProcedure="false">"TOTAL_INVENTORY"</definedName>
    <definedName function="false" hidden="true" name="TOTAL_LIAB" vbProcedure="false">"TOTAL_LIAB"</definedName>
    <definedName function="false" hidden="true" name="TOTAL_LIAB_SHAREHOLD" vbProcedure="false">"TOTAL_LIAB_SHAREHOLD"</definedName>
    <definedName function="false" hidden="true" name="TOTAL_LONG_DEBT" vbProcedure="false">"TOTAL_LONG_DEBT"</definedName>
    <definedName function="false" hidden="true" name="TOTAL_OPER_EXPEN" vbProcedure="false">"TOTAL_OPER_EXPEN"</definedName>
    <definedName function="false" hidden="true" name="TOTAL_RECEIV" vbProcedure="false">"TOTAL_RECEIV"</definedName>
    <definedName function="false" hidden="true" name="TOTAL_REVENUE" vbProcedure="false">"TOTAL_REVENUE"</definedName>
    <definedName function="false" hidden="true" name="TOTAL_SPECIAL" vbProcedure="false">"TOTAL_SPECIAL"</definedName>
    <definedName function="false" hidden="true" name="totcap" vbProcedure="false">#REF!,#REF!,#REF!,#REF!</definedName>
    <definedName function="false" hidden="true" name="totchk" vbProcedure="false">{#N/A,#N/A,TRUE,"Cover";#N/A,#N/A,TRUE,"Input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function="false" hidden="true" name="tousi" vbProcedure="false">{"RES-2002",#N/A,FALSE,"BL2000";"A1-2002",#N/A,FALSE,"BL2000";"A2-2002",#N/A,FALSE,"BL2000"}</definedName>
    <definedName function="false" hidden="true" name="TP_Footer_Path" vbProcedure="false">"S:\53676\05Ret\Valuations\ERISA and FAS results\"</definedName>
    <definedName function="false" hidden="true" name="TP_Footer_User" vbProcedure="false">"CRAWFD"</definedName>
    <definedName function="false" hidden="true" name="TP_Footer_Version" vbProcedure="false">"v4.00"</definedName>
    <definedName function="false" hidden="true" name="tr"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tra" vbProcedure="false">{#N/A,#N/A,FALSE,"Indcost";#N/A,#N/A,FALSE,"Plcost";#N/A,#N/A,FALSE,"Mincost";#N/A,#N/A,FALSE,"Produc";#N/A,#N/A,FALSE,"Rev";#N/A,#N/A,FALSE,"Capital";#N/A,#N/A,FALSE,"Wcapital";#N/A,#N/A,FALSE,"Contdep";#N/A,#N/A,FALSE,"Taxdep";#N/A,#N/A,FALSE,"Tax";#N/A,#N/A,FALSE,"S-SDebt";#N/A,#N/A,FALSE,"TotDebt";#N/A,#N/A,FALSE,"Profit";#N/A,#N/A,FALSE,"CFlow";#N/A,#N/A,FALSE,"1996-2012";#N/A,#N/A,FALSE,"Bcesheet"}</definedName>
    <definedName function="false" hidden="true" name="tradcomp" vbProcedure="false">{#N/A,#N/A,FALSE,"Trading-Mult ";#N/A,#N/A,FALSE,"Trading-Cap";#N/A,#N/A,FALSE,"Trading-Inc";#N/A,#N/A,FALSE,"Cash Flow";#N/A,#N/A,FALSE,"M&amp;A info"}</definedName>
    <definedName function="false" hidden="true" name="TRADE_AR" vbProcedure="false">"TRADE_AR"</definedName>
    <definedName function="false" hidden="true" name="tradingcompar" vbProcedure="false">{#N/A,#N/A,FALSE,"Trading-Mult ";#N/A,#N/A,FALSE,"Trading-Cap";#N/A,#N/A,FALSE,"Trading-Inc";#N/A,#N/A,FALSE,"Cash Flow";#N/A,#N/A,FALSE,"M&amp;A info"}</definedName>
    <definedName function="false" hidden="true" name="trans" vbProcedure="false">{#N/A,#N/A,FALSE,"Summary Page";#N/A,#N/A,FALSE,"Backup Factory Order Request";#N/A,#N/A,FALSE,"Mix Updated to Include V227";#N/A,#N/A,FALSE,"2000 Bus Plan Status"}</definedName>
    <definedName function="false" hidden="true" name="Transactions" vbProcedure="false">{"comp1",#N/A,FALSE,"COMPS";"footnotes",#N/A,FALSE,"COMPS"}</definedName>
    <definedName function="false" hidden="true" name="trcde" vbProcedure="false">{"summary",#N/A,FALSE,"$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function="false" hidden="true" name="TREASURY_STOCK" vbProcedure="false">"TREASURY_STOCK"</definedName>
    <definedName function="false" hidden="true" name="treeList" vbProcedure="false">"11000000000000000000000000000000000000000000000000000000000000000000000000000000000000000000000000000000000000000000000000000000000000000000000000000000000000000000000000000000000000000000000000000000"</definedName>
    <definedName function="false" hidden="true" name="TRHFT" vbProcedure="false">{"'Demand Units'!$X$11:$AD$45"}</definedName>
    <definedName function="false" hidden="true" name="trhtrj" vbProcedure="false">{#N/A,#N/A,FALSE,"단축1";#N/A,#N/A,FALSE,"단축2";#N/A,#N/A,FALSE,"단축3";#N/A,#N/A,FALSE,"장축";#N/A,#N/A,FALSE,"4WD"}</definedName>
    <definedName function="false" hidden="true" name="trim1" vbProcedure="false">#N/A</definedName>
    <definedName function="false" hidden="true" name="trjhtrj" vbProcedure="false">{#N/A,#N/A,FALSE,"단축1";#N/A,#N/A,FALSE,"단축2";#N/A,#N/A,FALSE,"단축3";#N/A,#N/A,FALSE,"장축";#N/A,#N/A,FALSE,"4WD"}</definedName>
    <definedName function="false" hidden="true" name="trjnm" vbProcedure="false">word</definedName>
    <definedName function="false" hidden="true" name="trjtrjh" vbProcedure="false">{#N/A,#N/A,FALSE,"단축1";#N/A,#N/A,FALSE,"단축2";#N/A,#N/A,FALSE,"단축3";#N/A,#N/A,FALSE,"장축";#N/A,#N/A,FALSE,"4WD"}</definedName>
    <definedName function="false" hidden="true" name="trout" vbProcedure="false">{#N/A,#N/A,FALSE,"A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function="false" hidden="true" name="trr" vbProcedure="false">{"Burden (burden)",#N/A,FALSE,"burden"}</definedName>
    <definedName function="false" hidden="true" name="trtyr" vbProcedure="false">{"graph",#N/A,FALSE,"WWJU";"graph",#N/A,FALSE,"WWSEM";"graph",#N/A,FALSE,"GOMJU";"graph",#N/A,FALSE,"GOMSEM";"graph",#N/A,FALSE,"NSJU";"graph",#N/A,FALSE,"NSSEM";"graph",#N/A,FALSE,"WAJU";"graph",#N/A,FALSE,"STOCKPRI";"graph",#N/A,FALSE,"CFTEV";"graph",#N/A,FALSE,"NAV-RCV";"graph",#N/A,FALSE,"CRUDEWW"}</definedName>
    <definedName function="false" hidden="true" name="trw" vbProcedure="false">{#N/A,#N/A,TRUE,"Historicals";#N/A,#N/A,TRUE,"Charts";#N/A,#N/A,TRUE,"Forecasts"}</definedName>
    <definedName function="false" hidden="true" name="trwegdfs" vbProcedure="false">{#N/A,#N/A,TRUE,"Historicals";#N/A,#N/A,TRUE,"Charts";#N/A,#N/A,TRUE,"Forecasts"}</definedName>
    <definedName function="false" hidden="true" name="trwetre" vbProcedure="false">{#N/A,#N/A,TRUE,"Historicals";#N/A,#N/A,TRUE,"Charts";#N/A,#N/A,TRUE,"Forecasts"}</definedName>
    <definedName function="false" hidden="true" name="tryeuyit" vbProcedure="false">{#N/A,#N/A,FALSE,"Pharm";#N/A,#N/A,FALSE,"WWCM"}</definedName>
    <definedName function="false" hidden="true" name="trygf" vbProcedure="false">{"adj95mult",#N/A,FALSE,"COMPCO";"adj95est",#N/A,FALSE,"COMPCO"}</definedName>
    <definedName function="false" hidden="true" name="trzer"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tt.8" vbProcedure="false">{#N/A,#N/A,FALSE,"PMW Gruppe 99_98";#N/A,#N/A,FALSE,"PMW KG 98_99";#N/A,#N/A,FALSE,"PMW Inc. 99_98";#N/A,#N/A,FALSE,"PMW VTECH 99_98";#N/A,#N/A,FALSE,"PMW Thail. 99_98";#N/A,#N/A,FALSE,"PMW Canada 99_98";#N/A,#N/A,FALSE,"Währungsabw. 99_98"}</definedName>
    <definedName function="false" hidden="true" name="ttesst" vbProcedure="false">{#N/A,#N/A,FALSE,"Cover";#N/A,#N/A,FALSE,"Profits";#N/A,#N/A,FALSE,"ABS";#N/A,#N/A,FALSE,"TFLE Detail";#N/A,#N/A,FALSE,"TFLE Walk";#N/A,#N/A,FALSE,"Variable Cost";#N/A,#N/A,FALSE,"V.C. Walk"}</definedName>
    <definedName function="false" hidden="true" name="ttt"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tttoo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ttttttttt" vbProcedure="false">{"'Set-Out'!$A$1:$H$30"}</definedName>
    <definedName function="false" hidden="true" name="TTTTTTTTTTTT" vbProcedure="false">{"London cttee condensed",#N/A,FALSE,"Dev Panel Cut Report";"South East cttee condensed",#N/A,FALSE,"Dev Panel Cut Report"}</definedName>
    <definedName function="false" hidden="true" name="tttttttttttttt" vbProcedure="false">{#N/A,#N/A,FALSE,"HEADER SHEET";#N/A,#N/A,FALSE,"A402";#N/A,#N/A,FALSE,"S150"}</definedName>
    <definedName function="false" hidden="true" name="ttytyty" vbProcedure="false">{"'Other IPS'!$A$5","'Other IPS'!$A$4:$K$38"}</definedName>
    <definedName function="false" hidden="true" name="ttzz" vbProcedure="false">{#N/A,#N/A,FALSE,"Umsatz CH";#N/A,#N/A,FALSE,"ER CH";#N/A,#N/A,FALSE,"EA CH (2) ";#N/A,#N/A,FALSE,"EA CH";#N/A,#N/A,FALSE,"EA CH (3) ";#N/A,#N/A,FALSE,"EA CH (4)";#N/A,#N/A,FALSE,"KA CH";#N/A,#N/A,FALSE,"KA CH  (2)";#N/A,#N/A,FALSE,"KA CH  (3)";#N/A,#N/A,FALSE,"KA CH (4)"}</definedName>
    <definedName function="false" hidden="true" name="tuiitk"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tuikf"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tukl"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tulf"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turd" vbProcedure="false">{"detail",#N/A,FALSE,"mfg";"summary",#N/A,FALSE,"mfg"}</definedName>
    <definedName function="false" hidden="true" name="tuuikt"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tuuuuui"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tuzi" vbProcedure="false">{"Aktiva_Gittelde",#N/A,TRUE,"Bilanz-Gittelde";"Liabilities_gittelde",#N/A,TRUE,"Bilanz-Gittelde";"GuV_Gittelde",#N/A,TRUE,"GuV-Gittelde";"Aktiva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function="false" hidden="true" name="twert" vbProcedure="false">{"by_month",#N/A,TRUE,"template";"destec_month",#N/A,TRUE,"template";"by_quarter",#N/A,TRUE,"template";"destec_quarter",#N/A,TRUE,"template";"by_year",#N/A,TRUE,"template";"destec_annual",#N/A,TRUE,"template"}</definedName>
    <definedName function="false" hidden="true" name="ty" vbProcedure="false">{#N/A,#N/A,TRUE,"Cover sheet";#N/A,#N/A,TRUE,"Summary";#N/A,#N/A,TRUE,"Key Assumptions";#N/A,#N/A,TRUE,"Profit &amp; Loss";#N/A,#N/A,TRUE,"Balance Sheet";#N/A,#N/A,TRUE,"Cashflow";#N/A,#N/A,TRUE,"IRR";#N/A,#N/A,TRUE,"Ratios";#N/A,#N/A,TRUE,"Debt analysis"}</definedName>
    <definedName function="false" hidden="true" name="tyeyer" vbProcedure="false">{#N/A,#N/A,TRUE,"Historicals";#N/A,#N/A,TRUE,"Charts";#N/A,#N/A,TRUE,"Forecasts"}</definedName>
    <definedName function="false" hidden="true" name="tyftyjky" vbProcedure="false">{0,#N/A,FALSE,0}</definedName>
    <definedName function="false" hidden="true" name="tyh" vbProcedure="false">{"CHART",#N/A,FALSE,"Arch Communications"}</definedName>
    <definedName function="false" hidden="true" name="TYIKGFDH" vbProcedure="false">{"'Demand Units'!$X$11:$AD$45"}</definedName>
    <definedName function="false" hidden="true" name="tyjfdg" vbProcedure="false">{#N/A,#N/A,TRUE,"Historicals";#N/A,#N/A,TRUE,"Charts";#N/A,#N/A,TRUE,"Forecasts"}</definedName>
    <definedName function="false" hidden="true" name="tyjtyutu" vbProcedure="false">{#N/A,#N/A,FALSE,"Table of Contents";#N/A,#N/A,FALSE,"summary";#N/A,#N/A,FALSE,"5yr.hist.";"bridge",#N/A,FALSE,"labor";"direct labor",#N/A,FALSE,"labor";"headcount",#N/A,FALSE,"labor";"summary",#N/A,FALSE,"labor";"INDIRECT LABOR",#N/A,FALSE,"labor";"Material",#N/A,FALSE,"material";"scrap",#N/A,FALSE,"scrap";"Burden",#N/A,FALSE,"burden";"Capital",#N/A,FALSE,"capital";"Clearing",#N/A,FALSE,"clearing"}</definedName>
    <definedName function="false" hidden="true" name="tynm" vbProcedure="false">{"apci",#N/A,FALSE,"Chem_CY";"eastman",#N/A,FALSE,"Eastman";"betz",#N/A,FALSE,"Betz";"great lakes",#N/A,FALSE,"Great_Lakes";"hercules",#N/A,FALSE,"Hercules Chem Seg Data";"rohm",#N/A,FALSE,"Rohm";"union carbide",#N/A,FALSE,"Union";"witco",#N/A,FALSE,"Witco"}</definedName>
    <definedName function="false" hidden="true" name="tynonasset" vbProcedure="false">#REF!</definedName>
    <definedName function="false" hidden="true" name="TYRUI" vbProcedure="false">{#N/A,#N/A,FALSE,"단축1";#N/A,#N/A,FALSE,"단축2";#N/A,#N/A,FALSE,"단축3";#N/A,#N/A,FALSE,"장축";#N/A,#N/A,FALSE,"4WD"}</definedName>
    <definedName function="false" hidden="true" name="tyrw" vbProcedure="false">{"FY97Total var",#N/A,FALSE,"FY97 - Total";"FY98Total var",#N/A,FALSE,"FY98 - Total"}</definedName>
    <definedName function="false" hidden="true" name="tyu" vbProcedure="false">{"consolidated",#N/A,FALSE,"Sheet1";"cms",#N/A,FALSE,"Sheet1";"fse",#N/A,FALSE,"Sheet1"}</definedName>
    <definedName function="false" hidden="true" name="tyufg" vbProcedure="false">{"AQUIRORDCF",#N/A,FALSE,"Merger consequences";"Acquirorassns",#N/A,FALSE,"Merger consequences"}</definedName>
    <definedName function="false" hidden="true" name="tyui" vbProcedure="false">{"ICD Details",#N/A,FALSE,"Current Yr";"ICD Details",#N/A,FALSE,"Budget";"ICD Details",#N/A,FALSE,"Prior Year"}</definedName>
    <definedName function="false" hidden="true" name="TYUJHTE" vbProcedure="false">{"'Demand Units'!$X$11:$AD$45"}</definedName>
    <definedName function="false" hidden="true" name="tyutytyi" vbProcedure="false">{#N/A,#N/A,FALSE,"Pharm";#N/A,#N/A,FALSE,"WWCM"}</definedName>
    <definedName function="false" hidden="true" name="TYUYTJ" vbProcedure="false">{"'Demand Units'!$X$11:$AD$45"}</definedName>
    <definedName function="false" hidden="true" name="tyyufkjkhjd" vbProcedure="false">{#N/A,#N/A,FALSE,"Pharm";#N/A,#N/A,FALSE,"WWCM"}</definedName>
    <definedName function="false" hidden="true" name="TYYYYY" vbProcedure="false">{#N/A,#N/A,FALSE,"단축1";#N/A,#N/A,FALSE,"단축2";#N/A,#N/A,FALSE,"단축3";#N/A,#N/A,FALSE,"장축";#N/A,#N/A,FALSE,"4WD"}</definedName>
    <definedName function="false" hidden="true" name="tz56zuzu" vbProcedure="false">1/eurextobef</definedName>
    <definedName function="false" hidden="true" name="tzeuetzuetzutz" vbProcedure="false">{#N/A,#N/A,FALSE,"Mittelherkunft";#N/A,#N/A,FALSE,"Mittelverwendung"}</definedName>
    <definedName function="false" hidden="true" name="tzhutrzu" vbProcedure="false">{#N/A,#N/A,FALSE,"Layout Cash Flow"}</definedName>
    <definedName function="false" hidden="true" name="tzit" vbProcedure="false">{#N/A,#N/A,FALSE,"Layout Aktiva";#N/A,#N/A,FALSE,"Layout Passiva";#N/A,#N/A,FALSE,"Layout GuV";#N/A,#N/A,FALSE,"Layout Cash Flow";#N/A,#N/A,FALSE,"Mittelherkunft";#N/A,#N/A,FALSE,"Mittelverwendung";#N/A,#N/A,FALSE,"Finanzbedarfsrechnung"}</definedName>
    <definedName function="false" hidden="true" name="tzizuizu" vbProcedure="false">{#N/A,#N/A,FALSE,"Layout GuV"}</definedName>
    <definedName function="false" hidden="true" name="tzjuj" vbProcedure="false">{#N/A,#N/A,FALSE,"Layout GuV"}</definedName>
    <definedName function="false" hidden="true" name="tzt" vbProcedure="false">{#N/A,#N/A,FALSE,"Umsatz HM";#N/A,#N/A,FALSE,"ER HM";#N/A,#N/A,FALSE,"EA HM  (2)";#N/A,#N/A,FALSE,"EA HM ";#N/A,#N/A,FALSE,"EA HM  (4)";#N/A,#N/A,FALSE,"EA HM  (3)";#N/A,#N/A,FALSE,"KA HM  (2)";#N/A,#N/A,FALSE,"KA HM";#N/A,#N/A,FALSE,"KA HM  (3)";#N/A,#N/A,FALSE,"KA HM (4)"}</definedName>
    <definedName function="false" hidden="true" name="tztz" vbProcedure="false">#REF!</definedName>
    <definedName function="false" hidden="true" name="tzutz.lkjkljk" vbProcedure="false">{#N/A,#N/A,FALSE,"Umsatz CH";#N/A,#N/A,FALSE,"ER CH";#N/A,#N/A,FALSE,"EA CH (2) ";#N/A,#N/A,FALSE,"EA CH";#N/A,#N/A,FALSE,"EA CH (3) ";#N/A,#N/A,FALSE,"EA CH (4)";#N/A,#N/A,FALSE,"KA CH";#N/A,#N/A,FALSE,"KA CH  (2)";#N/A,#N/A,FALSE,"KA CH  (3)";#N/A,#N/A,FALSE,"KA CH (4)"}</definedName>
    <definedName function="false" hidden="true" name="tzutzu" vbProcedure="false">{#N/A,#N/A,FALSE,"Finanzbedarsrechnung"}</definedName>
    <definedName function="false" hidden="true" name="tzutzutzut" vbProcedure="false">{#N/A,#N/A,FALSE,"Layout Aktiva";#N/A,#N/A,FALSE,"Layout Passiva"}</definedName>
    <definedName function="false" hidden="true" name="tzuuet" vbProcedure="false">{#N/A,#N/A,FALSE,"Mittelherkunft";#N/A,#N/A,FALSE,"Mittelverwendung"}</definedName>
    <definedName function="false" hidden="true" name="u" vbProcedure="false">{"'Sheet1'!$A$1:$H$96"}</definedName>
    <definedName function="false" hidden="true" name="uc" vbProcedure="false">{"Y.1",#N/A,TRUE,"SIEMENS";"Y.2",#N/A,TRUE,"ALCATEL";"Y.3",#N/A,TRUE,"MOTOROLA";"Y.4",#N/A,TRUE,"DİĞER";"Y.5",#N/A,TRUE,"LG-5";"Y.6",#N/A,TRUE,"LG-5";"Y.7",#N/A,TRUE,"LG-4";"Y.8",#N/A,TRUE,"LG-4";"Y.10",#N/A,TRUE,"LG-4";"Y.9",#N/A,TRUE,"LG-4";"TERMİNAL",#N/A,TRUE,"TERMİNAL";"DETECON",#N/A,TRUE,"DETECON";"Y.10",#N/A,TRUE,"TEMİNAT";"Y.11",#N/A,TRUE,"TEMİNAT"}</definedName>
    <definedName function="false" hidden="true" name="UEASDAS" vbProcedure="false">{#N/A,#N/A,FALSE,"Performance Flash Report"}</definedName>
    <definedName function="false" hidden="true" name="UEBLAH2" vbProcedure="false">{#N/A,#N/A,FALSE,"Performance Flash Report"}</definedName>
    <definedName function="false" hidden="true" name="UEEfbar" vbProcedure="false">{#N/A,#N/A,FALSE,"Performance Flash Report"}</definedName>
    <definedName function="false" hidden="true" name="UEPlaceholder" vbProcedure="false">{#N/A,#N/A,FALSE,"Performance Flash Report"}</definedName>
    <definedName function="false" hidden="true" name="UEtest2" vbProcedure="false">{#N/A,#N/A,FALSE,"Performance Flash Report"}</definedName>
    <definedName function="false" hidden="true" name="UETest3" vbProcedure="false">{#N/A,#N/A,FALSE,"Performance Flash Report"}</definedName>
    <definedName function="false" hidden="true" name="UEwef" vbProcedure="false">{#N/A,#N/A,FALSE,"Performance Flash Report"}</definedName>
    <definedName function="false" hidden="true" name="UEwrncs" vbProcedure="false">{#N/A,#N/A,FALSE,"Performance Flash Report"}</definedName>
    <definedName function="false" hidden="true" name="UE_Seg" vbProcedure="false">{"mgmt forecast",#N/A,FALSE,"Mgmt Forecast";"dcf table",#N/A,FALSE,"Mgmt Forecast";"sensitivity",#N/A,FALSE,"Mgmt Forecast";"table inputs",#N/A,FALSE,"Mgmt Forecast";"calculations",#N/A,FALSE,"Mgmt Forecast"}</definedName>
    <definedName function="false" hidden="true" name="ugyi" vbProcedure="false">{#N/A,#N/A,FALSE,"output";#N/A,#N/A,FALSE,"contrib";#N/A,#N/A,FALSE,"profile";#N/A,#N/A,FALSE,"comps"}</definedName>
    <definedName function="false" hidden="true" name="ugö"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uh" vbProcedure="false">{"detail",#N/A,FALSE,"mfg";"summary",#N/A,FALSE,"mfg"}</definedName>
    <definedName function="false" hidden="true" name="uhds" vbProcedure="false">{"'Sheet1'!$A$1:$H$96"}</definedName>
    <definedName function="false" hidden="true" name="uhiuk" vbProcedure="false">{"adj95mult",#N/A,FALSE,"COMPCO";"adj95est",#N/A,FALSE,"COMPCO"}</definedName>
    <definedName function="false" hidden="true" name="uhu7gh" vbProcedure="false">{#N/A,#N/A,FALSE,"Index";#N/A,#N/A,FALSE,"1.1";#N/A,#N/A,FALSE,"Scenario Summary"}</definedName>
    <definedName function="false" hidden="true" name="ui" vbProcedure="false">{"Total",#N/A,FALSE,"Total Proved";"PDP",#N/A,FALSE,"Total Proved";"PNP",#N/A,FALSE,"Total Proved";"PUD",#N/A,FALSE,"Total Proved"}</definedName>
    <definedName function="false" hidden="true" name="uiim" vbProcedure="false">{"Pg1",#N/A,FALSE,"OpExYTDvsBud";"Pg2",#N/A,FALSE,"OpExYTDvsBud"}</definedName>
    <definedName function="false" hidden="true" name="uiiuiui"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uilui" vbProcedure="false">{#N/A,#N/A,FALSE,"Mittelherkunft";#N/A,#N/A,FALSE,"Mittelverwendung"}</definedName>
    <definedName function="false" hidden="true" name="uiluiluo" vbProcedure="false">{#N/A,#N/A,FALSE,"Mittelherkunft";#N/A,#N/A,FALSE,"Mittelverwendung"}</definedName>
    <definedName function="false" hidden="true" name="uio" vbProcedure="false">{"MATERIAL",#N/A,FALSE,"material"}</definedName>
    <definedName function="false" hidden="true" name="uiogiuoyguiu" vbProcedure="false">{#N/A,#N/A,FALSE,"Table of Contents"}</definedName>
    <definedName function="false" hidden="true" name="uiopöio" vbProcedure="false">{#N/A,#N/A,FALSE,"Layout Aktiva";#N/A,#N/A,FALSE,"Layout Passiva"}</definedName>
    <definedName function="false" hidden="true" name="uit" vbProcedure="false">{"'Other IPS'!$A$5","'Other IPS'!$A$4:$K$38"}</definedName>
    <definedName function="false" hidden="true" name="uiu"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uiui" vbProcedure="false">{#N/A,#N/A,FALSE,"Umsatz HM";#N/A,#N/A,FALSE,"ER HM";#N/A,#N/A,FALSE,"EA HM  (2)";#N/A,#N/A,FALSE,"EA HM ";#N/A,#N/A,FALSE,"EA HM  (4)";#N/A,#N/A,FALSE,"EA HM  (3)";#N/A,#N/A,FALSE,"KA HM  (2)";#N/A,#N/A,FALSE,"KA HM";#N/A,#N/A,FALSE,"KA HM  (3)";#N/A,#N/A,FALSE,"KA HM (4)"}</definedName>
    <definedName function="false" hidden="true" name="uiuyiutit" vbProcedure="false">{#N/A,#N/A,TRUE,"Historicals";#N/A,#N/A,TRUE,"Charts";#N/A,#N/A,TRUE,"Forecasts"}</definedName>
    <definedName function="false" hidden="true" name="ujfsw"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ujn"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uju"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ukyuyut" vbProcedure="false">{"'Other IPS'!$A$5","'Other IPS'!$A$4:$K$38"}</definedName>
    <definedName function="false" hidden="true" name="Ultra" vbProcedure="false">{"DOM",#N/A,FALSE,"A8CONTENT"}</definedName>
    <definedName function="false" hidden="true" name="Umbuchungsliste_cum" vbProcedure="false">{"K Bilanz o. Kommentar",#N/A,FALSE,"Kaufhof"}</definedName>
    <definedName function="false" hidden="true" name="ummsatz" vbProcedure="false">{"kekto1",#N/A,FALSE,"C";"kekto2",#N/A,FALSE,"C";"kekto3",#N/A,FALSE,"C";"kekto4",#N/A,FALSE,"C";"kekto5",#N/A,FALSE,"C";"kekto6",#N/A,FALSE,"C";"kekto7",#N/A,FALSE,"C";"kekto8",#N/A,FALSE,"C";"kekto9",#N/A,FALSE,"C";"kekto10",#N/A,FALSE,"C";"kekto11",#N/A,FALSE,"C";"kekto 12",#N/A,FALSE,"C"}</definedName>
    <definedName function="false" hidden="true" name="ums2001a" vbProcedure="false">{"budget95",#N/A,TRUE,"Tabelle1";"Tab1",#N/A,TRUE,"Tabelle2"}</definedName>
    <definedName function="false" hidden="true" name="Umsatzbrücke" vbProcedure="false">{"mgmt forecast",#N/A,FALSE,"Mgmt Forecast";"dcf table",#N/A,FALSE,"Mgmt Forecast";"sensitivity",#N/A,FALSE,"Mgmt Forecast";"table inputs",#N/A,FALSE,"Mgmt Forecast";"calculations",#N/A,FALSE,"Mgmt Forecast"}</definedName>
    <definedName function="false" hidden="true" name="umy" vbProcedure="false">{"comps",#N/A,FALSE,"comps";"notes",#N/A,FALSE,"comps"}</definedName>
    <definedName function="false" hidden="true" name="UNI_FILT_OFFSPEC" vbProcedure="false">2</definedName>
    <definedName function="false" hidden="true" name="UNI_FILT_ONSPEC" vbProcedure="false">1</definedName>
    <definedName function="false" hidden="true" name="UNI_NOTHING" vbProcedure="false">0</definedName>
    <definedName function="false" hidden="true" name="UNI_PRES_FILTER" vbProcedure="false">1</definedName>
    <definedName function="false" hidden="true" name="UNI_PRES_HEADINGS" vbProcedure="false">16</definedName>
    <definedName function="false" hidden="true" name="UNI_PRES_INVERT" vbProcedure="false">2</definedName>
    <definedName function="false" hidden="true" name="UNI_PRES_MATRIX" vbProcedure="false">4</definedName>
    <definedName function="false" hidden="true" name="UNI_PRES_MERGED" vbProcedure="false">8</definedName>
    <definedName function="false" hidden="true" name="UNI_PRES_OUTLIERS" vbProcedure="false">32</definedName>
    <definedName function="false" hidden="true" name="UNI_RET_ATTRIB" vbProcedure="false">64</definedName>
    <definedName function="false" hidden="true" name="UNI_RET_CONF" vbProcedure="false">32</definedName>
    <definedName function="false" hidden="true" name="UNI_RET_DESC" vbProcedure="false">4</definedName>
    <definedName function="false" hidden="true" name="UNI_RET_EQUIP" vbProcedure="false">1</definedName>
    <definedName function="false" hidden="true" name="UNI_RET_OFFSPEC" vbProcedure="false">512</definedName>
    <definedName function="false" hidden="true" name="UNI_RET_ONSPEC" vbProcedure="false">256</definedName>
    <definedName function="false" hidden="true" name="UNI_RET_PROP" vbProcedure="false">32</definedName>
    <definedName function="false" hidden="true" name="UNI_RET_PROPDESC" vbProcedure="false">64</definedName>
    <definedName function="false" hidden="true" name="UNI_RET_SMPLPNT" vbProcedure="false">4</definedName>
    <definedName function="false" hidden="true" name="UNI_RET_SPECMAX" vbProcedure="false">2048</definedName>
    <definedName function="false" hidden="true" name="UNI_RET_SPECMIN" vbProcedure="false">1024</definedName>
    <definedName function="false" hidden="true" name="UNI_RET_TAG" vbProcedure="false">1</definedName>
    <definedName function="false" hidden="true" name="UNI_RET_TESTTIME" vbProcedure="false">128</definedName>
    <definedName function="false" hidden="true" name="UNI_RET_TIME" vbProcedure="false">8</definedName>
    <definedName function="false" hidden="true" name="UNI_RET_UNIT" vbProcedure="false">2</definedName>
    <definedName function="false" hidden="true" name="UNI_RET_VALUE" vbProcedure="false">16</definedName>
    <definedName function="false" hidden="true" name="unj"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uno" vbProcedure="false">{#N/A,#N/A,FALSE,"ADNAMES.XLS";#N/A,#N/A,FALSE,"EQNAMES.XLS";#N/A,#N/A,FALSE,"INNAMES.XLS";#N/A,#N/A,FALSE,"HYNAMES.XLS";#N/A,#N/A,FALSE,"FIXNAMES.XLS";#N/A,#N/A,FALSE,"MONNAMES.XLS";#N/A,#N/A,FALSE,"TECNAMES.XLS"}</definedName>
    <definedName function="false" hidden="true" name="UNREALIZED_GAIN" vbProcedure="false">"UNREALIZED_GAIN"</definedName>
    <definedName function="false" hidden="true" name="UNUSUAL_EXP" vbProcedure="false">"UNUSUAL_EXP"</definedName>
    <definedName function="false" hidden="true" name="uo" vbProcedure="false">{"weichwaren",#N/A,FALSE,"Liste 1";"hartwaren",#N/A,FALSE,"Liste 1";"food",#N/A,FALSE,"Liste 1";"fleisch",#N/A,FALSE,"Liste 1"}</definedName>
    <definedName function="false" hidden="true" name="uoip"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uon" vbProcedure="false">{#N/A,#N/A,FALSE,"invpln"}</definedName>
    <definedName function="false" hidden="true" name="uoo" vbProcedure="false">{"TAG1AGMS",#N/A,FALSE,"TAG 1A"}</definedName>
    <definedName function="false" hidden="true" name="uop" vbProcedure="false">{"A_Vorstand",#N/A,TRUE,"PK Szenario ";"B_Nord",#N/A,TRUE,"PK Szenario ";"C_Nordwest",#N/A,TRUE,"PK Szenario ";"D_West",#N/A,TRUE,"PK Szenario ";"E_Südwest",#N/A,TRUE,"PK Szenario ";"F_Süd",#N/A,TRUE,"PK Szenario ";"G_Ost",#N/A,TRUE,"PK Szenario ";"H_Gesamt",#N/A,TRUE,"PK Szenario "}</definedName>
    <definedName function="false" hidden="true" name="UOUIOIU" vbProcedure="false">{"'Demand Units'!$X$11:$AD$45"}</definedName>
    <definedName function="false" hidden="true" name="uoö"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uoög" vbProcedure="false">main.sapf4help()</definedName>
    <definedName function="false" hidden="true" name="uoööo"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updated" vbProcedure="false">{#N/A,#N/A,FALSE,"P&amp;L";#N/A,#N/A,FALSE,"Balance Sheet";#N/A,#N/A,FALSE,"Cash flow";#N/A,#N/A,FALSE,"Sales";#N/A,#N/A,FALSE,"Data";#N/A,#N/A,FALSE,"Pie Q2.00";#N/A,#N/A,FALSE,"Pie Accum";#N/A,#N/A,FALSE,"Integrators";#N/A,#N/A,FALSE,"Geographic";#N/A,#N/A,FALSE,"DSO";#N/A,#N/A,FALSE,"Headcount"}</definedName>
    <definedName function="false" hidden="true" name="uq" vbProcedure="false">{"detail",#N/A,FALSE,"mfg";"summary",#N/A,FALSE,"mfg"}</definedName>
    <definedName function="false" hidden="true" name="urrrr" vbProcedure="false">{"'Other IPS'!$A$5","'Other IPS'!$A$4:$K$38"}</definedName>
    <definedName function="false" hidden="true" name="USDollar" vbProcedure="false">#REF!</definedName>
    <definedName function="false" hidden="true" name="USR_Calc_Excel" vbProcedure="false">"#-4135#"</definedName>
    <definedName function="false" hidden="true" name="USR_Grp_Excel" vbProcedure="false">"KC21"</definedName>
    <definedName function="false" hidden="true" name="USR_Name_Excel" vbProcedure="false">"GÄRTNER"</definedName>
    <definedName function="false" hidden="true" name="USR_Pwd_Excel" vbProcedure="false">"nB164186180207200164"</definedName>
    <definedName function="false" hidden="true" name="US_GAAP" vbProcedure="false">"US_GAAP"</definedName>
    <definedName function="false" hidden="true" name="ut" vbProcedure="false">{#N/A,"PURCHM",FALSE,"Business Analysis";#N/A,"SPADD",FALSE,"Business Analysis"}</definedName>
    <definedName function="false" hidden="true" name="utzuutzutu" vbProcedure="false">{#N/A,#N/A,FALSE,"Mittelherkunft";#N/A,#N/A,FALSE,"Mittelverwendung"}</definedName>
    <definedName function="false" hidden="true" name="uu" vbProcedure="false">{"away stand alones",#N/A,FALSE,"Target"}</definedName>
    <definedName function="false" hidden="true" name="uu.kk" vbProcedure="false">{#N/A,#N/A,FALSE,"KA CH  (2)"}</definedName>
    <definedName function="false" hidden="true" name="uuik" vbProcedure="false">#REF!</definedName>
    <definedName function="false" hidden="true" name="uuu"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true" name="uuuu9" vbProcedure="false">{#N/A,#N/A,FALSE,"MAY";#N/A,#N/A,FALSE,"Q2";#N/A,#N/A,FALSE,"YTD"}</definedName>
    <definedName function="false" hidden="true" name="uuuuu" vbProcedure="false">{#N/A,#N/A,FALSE,"MAY";#N/A,#N/A,FALSE,"Q2";#N/A,#N/A,FALSE,"YTD"}</definedName>
    <definedName function="false" hidden="true" name="uuuuu1" vbProcedure="false">{#N/A,#N/A,FALSE,"MAY";#N/A,#N/A,FALSE,"Q2";#N/A,#N/A,FALSE,"YTD"}</definedName>
    <definedName function="false" hidden="true" name="uuuuuuuuuu" vbProcedure="false">40803.6263310185</definedName>
    <definedName function="false" hidden="true" name="UUUUUUUUUUUUUUUUUU" vbProcedure="false">{"Summary",#N/A,FALSE,"Summary";"A&amp;A's",#N/A,FALSE,"Aids &amp; A's";"MajorWorks",#N/A,FALSE,"Major Works";"EstateImps",#N/A,FALSE,"Estate Imps";"CatC",#N/A,FALSE,"Cat C Voids";"CycProg",#N/A,FALSE,"Cyclical Prog inc MR"}</definedName>
    <definedName function="false" hidden="true" name="UUUUUUUUUUUUUUUUUUUUUUUUU" vbProcedure="false">{#N/A,#N/A,FALSE,"HEADER SHEET";#N/A,#N/A,FALSE,"A402";#N/A,#N/A,FALSE,"S150"}</definedName>
    <definedName function="false" hidden="true" name="uy" vbProcedure="false">{"'Demand Units'!$Z$2:$AF$53"}</definedName>
    <definedName function="false" hidden="true" name="uyrjn" vbProcedure="false">{#N/A,#N/A,TRUE,"Historicals";#N/A,#N/A,TRUE,"Charts";#N/A,#N/A,TRUE,"Forecasts"}</definedName>
    <definedName function="false" hidden="true" name="uyt" vbProcedure="false">main.sapf4help()</definedName>
    <definedName function="false" hidden="true" name="uytr" vbProcedure="false">{#N/A,"PURCHM",FALSE,"Business Analysis";#N/A,"SPADD",FALSE,"Business Analysis"}</definedName>
    <definedName function="false" hidden="true" name="uytry" vbProcedure="false">{"mgmt forecast",#N/A,FALSE,"Mgmt Forecast";"dcf table",#N/A,FALSE,"Mgmt Forecast";"sensitivity",#N/A,FALSE,"Mgmt Forecast";"table inputs",#N/A,FALSE,"Mgmt Forecast";"calculations",#N/A,FALSE,"Mgmt Forecast"}</definedName>
    <definedName function="false" hidden="true" name="uyuy" vbProcedure="false">{"page1",#N/A,FALSE,"Casual RLE";"page2",#N/A,FALSE,"Casual RLE"}</definedName>
    <definedName function="false" hidden="true" name="uyyuyuuu" vbProcedure="false">{"CSheet",#N/A,FALSE,"C";"SmCap",#N/A,FALSE,"VAL1";"GulfCoast",#N/A,FALSE,"VAL1";"nav",#N/A,FALSE,"NAV";"Summary",#N/A,FALSE,"NAV"}</definedName>
    <definedName function="false" hidden="true" name="uz" vbProcedure="false">{"fleisch",#N/A,FALSE,"WG HK";"food",#N/A,FALSE,"WG HK";"hartwaren",#N/A,FALSE,"WG HK";"weichwaren",#N/A,FALSE,"WG HK"}</definedName>
    <definedName function="false" hidden="true" name="uzlzf"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uztuz" vbProcedure="false">{#N/A,#N/A,FALSE,"Umsatz OK";#N/A,#N/A,FALSE,"ER OK ";#N/A,#N/A,FALSE,"EA OK (2)";#N/A,#N/A,FALSE,"EA OK";#N/A,#N/A,FALSE,"EA OK (3)";#N/A,#N/A,FALSE,"EA OK (4)";#N/A,#N/A,FALSE,"KA OK  (2)";#N/A,#N/A,FALSE,"KA OK";#N/A,#N/A,FALSE,"KA OK  (3)";#N/A,#N/A,FALSE,"KA OK (4)"}</definedName>
    <definedName function="false" hidden="true" name="uzuztt" vbProcedure="false">{#N/A,#N/A,FALSE,"Umsatz HM";#N/A,#N/A,FALSE,"ER HM";#N/A,#N/A,FALSE,"EA HM  (2)";#N/A,#N/A,FALSE,"EA HM ";#N/A,#N/A,FALSE,"EA HM  (4)";#N/A,#N/A,FALSE,"EA HM  (3)";#N/A,#N/A,FALSE,"KA HM  (2)";#N/A,#N/A,FALSE,"KA HM";#N/A,#N/A,FALSE,"KA HM  (3)";#N/A,#N/A,FALSE,"KA HM (4)"}</definedName>
    <definedName function="false" hidden="true" name="uzzt"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uöoö"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v" vbProcedure="false">{#N/A,#N/A,FALSE,"Summary";#N/A,#N/A,FALSE,"Signatures";#N/A,#N/A,FALSE,"FL Current";#N/A,#N/A,FALSE,"Assumptions";#N/A,#N/A,FALSE,"Assumptions";#N/A,#N/A,FALSE,"Assumptions";#N/A,#N/A,FALSE,"FL Last";#N/A,#N/A,FALSE,"FL Orig";#N/A,#N/A,FALSE,"C to G Explain"}</definedName>
    <definedName function="false" hidden="true" name="v.1" vbProcedure="false">{#N/A,#N/A,FALSE,"Umsatz HM";#N/A,#N/A,FALSE,"ER HM";#N/A,#N/A,FALSE,"EA HM  (2)";#N/A,#N/A,FALSE,"EA HM ";#N/A,#N/A,FALSE,"EA HM  (4)";#N/A,#N/A,FALSE,"EA HM  (3)";#N/A,#N/A,FALSE,"KA HM  (2)";#N/A,#N/A,FALSE,"KA HM";#N/A,#N/A,FALSE,"KA HM  (3)";#N/A,#N/A,FALSE,"KA HM (4)"}</definedName>
    <definedName function="false" hidden="true" name="v.10" vbProcedure="false">{#N/A,#N/A,FALSE,"Produkte Erw.";#N/A,#N/A,FALSE,"Produkte Plan";#N/A,#N/A,FALSE,"Leistungen Erw.";#N/A,#N/A,FALSE,"Leistungen Plan";#N/A,#N/A,FALSE,"KA Allg.Kosten (2)";#N/A,#N/A,FALSE,"KA All.Kosten"}</definedName>
    <definedName function="false" hidden="true" name="V.2" vbProcedure="false">{#N/A,#N/A,FALSE,"Produkte Erw.";#N/A,#N/A,FALSE,"Produkte Plan";#N/A,#N/A,FALSE,"Leistungen Erw.";#N/A,#N/A,FALSE,"Leistungen Plan";#N/A,#N/A,FALSE,"KA Allg.Kosten (2)";#N/A,#N/A,FALSE,"KA All.Kosten"}</definedName>
    <definedName function="false" hidden="true" name="V.3" vbProcedure="false">{#N/A,#N/A,FALSE,"Produkte Erw.";#N/A,#N/A,FALSE,"Produkte Plan";#N/A,#N/A,FALSE,"Leistungen Erw.";#N/A,#N/A,FALSE,"Leistungen Plan";#N/A,#N/A,FALSE,"KA Allg.Kosten (2)";#N/A,#N/A,FALSE,"KA All.Kosten"}</definedName>
    <definedName function="false" hidden="true" name="v.6" vbProcedure="false">{#N/A,#N/A,FALSE,"Umsatz CH";#N/A,#N/A,FALSE,"ER CH";#N/A,#N/A,FALSE,"EA CH (2) ";#N/A,#N/A,FALSE,"EA CH";#N/A,#N/A,FALSE,"EA CH (3) ";#N/A,#N/A,FALSE,"EA CH (4)";#N/A,#N/A,FALSE,"KA CH";#N/A,#N/A,FALSE,"KA CH  (2)";#N/A,#N/A,FALSE,"KA CH  (3)";#N/A,#N/A,FALSE,"KA CH (4)"}</definedName>
    <definedName function="false" hidden="true" name="v.7" vbProcedure="false">{#N/A,#N/A,FALSE,"Umsatz CH";#N/A,#N/A,FALSE,"ER CH";#N/A,#N/A,FALSE,"EA CH (2) ";#N/A,#N/A,FALSE,"EA CH";#N/A,#N/A,FALSE,"EA CH (3) ";#N/A,#N/A,FALSE,"EA CH (4)";#N/A,#N/A,FALSE,"KA CH";#N/A,#N/A,FALSE,"KA CH  (2)";#N/A,#N/A,FALSE,"KA CH  (3)";#N/A,#N/A,FALSE,"KA CH (4)"}</definedName>
    <definedName function="false" hidden="true" name="v.8" vbProcedure="false">{#N/A,#N/A,FALSE,"Produkte Erw.";#N/A,#N/A,FALSE,"Produkte Plan";#N/A,#N/A,FALSE,"Leistungen Erw.";#N/A,#N/A,FALSE,"Leistungen Plan";#N/A,#N/A,FALSE,"KA Allg.Kosten (2)";#N/A,#N/A,FALSE,"KA All.Kosten"}</definedName>
    <definedName function="false" hidden="true" name="Value" vbProcedure="false">{"Historic Balance Sheet",#N/A,FALSE,"HBAL";"Historic Income",#N/A,FALSE,"HINC";"Historic Cash Flow",#N/A,FALSE,"HCFLOW";"Common Size Balance Sheet",#N/A,FALSE,"CSHBAL";"Common Size Income Statement",#N/A,FALSE,"CSHINC";"Ratios",#N/A,FALSE,"RATIOS"}</definedName>
    <definedName function="false" hidden="true" name="val\" vbProcedure="false">{#N/A,#N/A,FALSE,"Summary";#N/A,#N/A,FALSE,"Base Materials";#N/A,#N/A,FALSE,"Construction";#N/A,#N/A,FALSE,"Packaging";#N/A,#N/A,FALSE,"Transportation"}</definedName>
    <definedName function="false" hidden="true" name="VANHIndex" vbProcedure="false">"O"</definedName>
    <definedName function="false" hidden="true" name="vbhj" vbProcedure="false">{#N/A,"PURCHM",FALSE,"Business Analysis";#N/A,"SPADD",FALSE,"Business Analysis"}</definedName>
    <definedName function="false" hidden="true" name="vbmghj" vbProcedure="false">{#N/A,#N/A,TRUE,"Assumptions";#N/A,#N/A,TRUE,"Op Projection";#N/A,#N/A,TRUE,"Capital";#N/A,#N/A,TRUE,"Income";#N/A,#N/A,TRUE,"Balance";#N/A,#N/A,TRUE,"Sources&amp;Uses"}</definedName>
    <definedName function="false" hidden="true" name="vbncx" vbProcedure="false">{#N/A,#N/A,FALSE,"Layout GuV"}</definedName>
    <definedName function="false" hidden="true" name="vbnm" vbProcedure="false">{"net assets",#N/A,FALSE,"summary";"asset turnover",#N/A,FALSE,"summary";"orona",#N/A,FALSE,"summary"}</definedName>
    <definedName function="false" hidden="true" name="vbvbvbv"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vbvn" vbProcedure="false">"c116"</definedName>
    <definedName function="false" hidden="true" name="vcfd" vbProcedure="false">{"Cover",#N/A,FALSE,"Cover";"Key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function="false" hidden="true" name="vcncvnc" vbProcedure="false">{"landexbravo",#N/A,FALSE,"Land (ex Bravo)";"Schenker_HO",#N/A,FALSE,"Schenker HO";"Landincbravo",#N/A,FALSE,"Land + Bravo";"Logistics",#N/A,FALSE,"Logistics";"Airandsea",#N/A,FALSE,"Air &amp; Sea";"Schenkgroup",#N/A,FALSE,"Schenker Group";"RaabKarcher",#N/A,FALSE,"Raab Karcher";"Brenntag",#N/A,FALSE,"Brenntag";"Interfer",#N/A,FALSE,"Interfer";"F_S",#N/A,FALSE,"F&amp;S";"Full_line",#N/A,FALSE,"Wholesale";"Auto_S",#N/A,FALSE,"Auto_S";"Otherco",#N/A,FALSE,"Other co";"Centraladmin",#N/A,FALSE,"Central Ad";"Consol_adj",#N/A,FALSE,"Consol adj";"Summary98",#N/A,FALSE,"Summary";"Bravo",#N/A,FALSE,"Bravo";"Offerletter",#N/A,FALSE,"Offer letter 1";"Front sheet",#N/A,FALSE,"Comments"}</definedName>
    <definedName function="false" hidden="true" name="vcncvncnb" vbProcedure="false">{"comps",#N/A,FALSE,"HANDPACK";"footnotes",#N/A,FALSE,"HANDPACK"}</definedName>
    <definedName function="false" hidden="true" name="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vcvcv" vbProcedure="false">{#N/A,#N/A,FALSE,"Umsatz EO BP";#N/A,#N/A,FALSE,"Umsatz EO OP";#N/A,#N/A,FALSE,"ER EO BP";#N/A,#N/A,FALSE,"ER EO OP";#N/A,#N/A,FALSE,"EA EO (2)";#N/A,#N/A,FALSE,"EA EO";#N/A,#N/A,FALSE,"EA EO (3)";#N/A,#N/A,FALSE,"EA EO (4)";#N/A,#N/A,FALSE,"KA EO  (2)";#N/A,#N/A,FALSE,"KA EO";#N/A,#N/A,FALSE,"KA EO  (3)";#N/A,#N/A,FALSE,"KA EO (4)"}</definedName>
    <definedName function="false" hidden="true" name="vcx" vbProcedure="false">{"YD PACKAGE",#N/A,FALSE,"YTD"}</definedName>
    <definedName function="false" hidden="true" name="vcxvf" vbProcedure="false">{#N/A,#N/A,TRUE,"Historicals";#N/A,#N/A,TRUE,"Charts";#N/A,#N/A,TRUE,"Forecasts"}</definedName>
    <definedName function="false" hidden="true" name="vcxvfds" vbProcedure="false">{#N/A,#N/A,TRUE,"Historicals";#N/A,#N/A,TRUE,"Charts";#N/A,#N/A,TRUE,"Forecasts"}</definedName>
    <definedName function="false" hidden="true" name="vcxz"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vdfsvdsre" vbProcedure="false">{#N/A,#N/A,TRUE,"Historicals";#N/A,#N/A,TRUE,"Charts";#N/A,#N/A,TRUE,"Forecasts"}</definedName>
    <definedName function="false" hidden="true" name="vdsfd" vbProcedure="false">{#N/A,#N/A,TRUE,"Historicals";#N/A,#N/A,TRUE,"Charts";#N/A,#N/A,TRUE,"Forecasts"}</definedName>
    <definedName function="false" hidden="true" name="vel" vbProcedure="false">{#N/A,#N/A,FALSE,"SKG_SC";#N/A,#N/A,FALSE,"SKG_KP";#N/A,#N/A,FALSE,"SCG_KC";#N/A,#N/A,FALSE,"SKG_PM";#N/A,#N/A,FALSE,"SKG_Asta";#N/A,#N/A,FALSE,"SKG_DE";#N/A,#N/A,FALSE,"SKG_FA";#N/A,#N/A,FALSE,"SKG_EM";#N/A,#N/A,FALSE,"SKG_AK";#N/A,#N/A,FALSE,"SKG_CER";#N/A,#N/A,FALSE,"SKG_BA";#N/A,#N/A,FALSE,"SKG_KO"}</definedName>
    <definedName function="false" hidden="true" name="Ver" vbProcedure="false">800</definedName>
    <definedName function="false" hidden="true" name="verbaut_FI" vbProcedure="false">{"QUERYLIB/VERBAUT"}</definedName>
    <definedName function="false" hidden="true" name="verbaut_IsText" vbProcedure="false">FALSE()</definedName>
    <definedName function="false" hidden="true" name="verbaut_OF" vbProcedure="false">{"DBDTL","DBDAU","DBDNR","DBDMEI","DBDDTI","DBD2","DAUSAU","DAOTLN","DTL3","DTLBN2","DTL5","DAOLNR"}</definedName>
    <definedName function="false" hidden="true" name="verbaut_OFText" vbProcedure="false">{"Teilenummer","Auftragsnummer","Bedarfsnummer","Ist-Menge","Ist-Datum","Sortierbegriff Bedar","Auftragsstatus","Teilenummer","Benennung 1","Benennung 2","Zeichnungsnummer","POSITIONSNUMMER"}</definedName>
    <definedName function="false" hidden="true" name="VerbindlGgLief" vbProcedure="false">#REF!</definedName>
    <definedName function="false" hidden="true" name="VerbindlGgLief_" vbProcedure="false">#REF!</definedName>
    <definedName function="false" hidden="false" name="Verkehrszweig1" vbProcedure="false">#REF!</definedName>
    <definedName function="false" hidden="true" name="VerrKalkKosten" vbProcedure="false">#REF!</definedName>
    <definedName function="false" hidden="true" name="VerrKalkKostenK" vbProcedure="false">#REF!</definedName>
    <definedName function="false" hidden="true" name="VerrKalkKostenM" vbProcedure="false">#REF!</definedName>
    <definedName function="false" hidden="true" name="VerrKalkKostenN" vbProcedure="false">#REF!</definedName>
    <definedName function="false" hidden="true" name="VerrKalkKosten_" vbProcedure="false">#REF!</definedName>
    <definedName function="false" hidden="true" name="VersichErstattung" vbProcedure="false">#REF!</definedName>
    <definedName function="false" hidden="true" name="VersichErstattungN" vbProcedure="false">#REF!</definedName>
    <definedName function="false" hidden="true" name="VersichErstattung_" vbProcedure="false">#REF!</definedName>
    <definedName function="false" hidden="true" name="versicherung" vbProcedure="false">{#N/A,#N/A,FALSE,"Aktiva";#N/A,#N/A,FALSE,"Passiva";#N/A,#N/A,FALSE,"guv";#N/A,#N/A,FALSE,"Anl-1";#N/A,#N/A,FALSE,"Anl-2";#N/A,#N/A,FALSE,"Anl-III";#N/A,#N/A,FALSE,"Ta-1-Anh";#N/A,#N/A,FALSE,"Ta-2-Anh";#N/A,#N/A,FALSE,"Ta-3-Anh";#N/A,#N/A,FALSE,"Kontroll-Blatt"}</definedName>
    <definedName function="false" hidden="true" name="Versicherungen" vbProcedure="false">#REF!</definedName>
    <definedName function="false" hidden="true" name="VersicherungenN" vbProcedure="false">#REF!</definedName>
    <definedName function="false" hidden="true" name="Versicherungen_" vbProcedure="false">#REF!</definedName>
    <definedName function="false" hidden="true" name="VersionNumber" vbProcedure="false">"4.5.5708"</definedName>
    <definedName function="false" hidden="true" name="Verwaltung" vbProcedure="false">"4ZU4VF4FRUWRKH4J3VDZN4EKH"</definedName>
    <definedName function="false" hidden="true" name="vf" vbProcedure="false">{#N/A,#N/A,FALSE,"Staffnos &amp; cost"}</definedName>
    <definedName function="false" hidden="true" name="vfcd" vbProcedure="false">{"QTD",#N/A,FALSE,"SUM"}</definedName>
    <definedName function="false" hidden="true" name="vfdsagra" vbProcedure="false">{#N/A,#N/A,TRUE,"Historicals";#N/A,#N/A,TRUE,"Charts";#N/A,#N/A,TRUE,"Forecasts"}</definedName>
    <definedName function="false" hidden="true" name="vfg" vbProcedure="false">{#N/A,#N/A,FALSE,"Staffnos &amp; cost"}</definedName>
    <definedName function="false" hidden="true" name="vfhy" vbProcedure="false">{"GENERALH2",#N/A,FALSE,"CM"}</definedName>
    <definedName function="false" hidden="true" name="vg" vbProcedure="false">{#N/A,#N/A,TRUE,"Cover sheet";#N/A,#N/A,TRUE,"DCF analysis";#N/A,#N/A,TRUE,"WACC calculation"}</definedName>
    <definedName function="false" hidden="true" name="vgf" vbProcedure="false">{"GENERALH2",#N/A,FALSE,"CM"}</definedName>
    <definedName function="false" hidden="true" name="Viastar" vbProcedure="false">{#N/A,#N/A,FALSE,"Assumptions";#N/A,#N/A,FALSE,"N-IS-Sum";#N/A,#N/A,FALSE,"N-St-Sum";#N/A,#N/A,FALSE,"Inc Stmt";#N/A,#N/A,FALSE,"Stats"}</definedName>
    <definedName function="false" hidden="true" name="vids" vbProcedure="false">#REF!</definedName>
    <definedName function="false" hidden="true" name="vik" vbProcedure="false">{#N/A,#N/A,FALSE,"Finanzbedarfsrechnung"}</definedName>
    <definedName function="false" hidden="true" name="viktor" vbProcedure="false">{#N/A,#N/A,FALSE,"Finanzbedarfsrechnung"}</definedName>
    <definedName function="false" hidden="true" name="vimlesh" vbProcedure="false">{#N/A,#N/A,FALSE,"Staffnos &amp; cost"}</definedName>
    <definedName function="false" hidden="true" name="VKL" vbProcedure="false">{"weichwaren",#N/A,FALSE,"Liste 1";"hartwaren",#N/A,FALSE,"Liste 1";"food",#N/A,FALSE,"Liste 1";"fleisch",#N/A,FALSE,"Liste 1"}</definedName>
    <definedName function="false" hidden="true" name="vn.2" vbProcedure="false">{#N/A,#N/A,FALSE,"KA CH  (2)"}</definedName>
    <definedName function="false" hidden="true" name="vn.9" vbProcedure="false">{#N/A,#N/A,FALSE,"Umsatz CH";#N/A,#N/A,FALSE,"ER CH";#N/A,#N/A,FALSE,"EA CH (2) ";#N/A,#N/A,FALSE,"EA CH";#N/A,#N/A,FALSE,"EA CH (3) ";#N/A,#N/A,FALSE,"EA CH (4)";#N/A,#N/A,FALSE,"KA CH";#N/A,#N/A,FALSE,"KA CH  (2)";#N/A,#N/A,FALSE,"KA CH  (3)";#N/A,#N/A,FALSE,"KA CH (4)"}</definedName>
    <definedName function="false" hidden="true" name="vo" vbProcedure="false">{"consolidated",#N/A,FALSE,"Sheet1";"cms",#N/A,FALSE,"Sheet1";"fse",#N/A,FALSE,"Sheet1"}</definedName>
    <definedName function="false" hidden="true" name="VoIP" vbProcedure="false">{"'Staffing and  Mail Volume'!$A$1:$J$19"}</definedName>
    <definedName function="false" hidden="true" name="Volumen" vbProcedure="false">{#N/A,#N/A,FALSE,"Report-Generator";#N/A,#N/A,FALSE,"S.1 Zusammenfassung";#N/A,#N/A,FALSE,"S.2 Modellrendite";#N/A,#N/A,FALSE,"S.3a Absatzvolumen";#N/A,#N/A,FALSE,"S.3b Absatzvolumen";#N/A,#N/A,FALSE,"S.3c Absatzvolumen";#N/A,#N/A,FALSE,"S.4 Volumen, Mix";#N/A,#N/A,FALSE,"S.5 Produktaufwand";#N/A,#N/A,FALSE,"S.6 Prop. Herstellkosten";#N/A,#N/A,FALSE,"S.7 DB-Vergleich";#N/A,#N/A,FALSE,"S.8 DB-Vergleich";#N/A,#N/A,FALSE,"S.9 DB-Vergleich";#N/A,#N/A,FALSE,"S.10 MR-Berechnung"}</definedName>
    <definedName function="false" hidden="true" name="VorlaeufigesErgebnis" vbProcedure="false">#REF!</definedName>
    <definedName function="false" hidden="true" name="VorlaeufigesErgebnisK" vbProcedure="false">#REF!</definedName>
    <definedName function="false" hidden="true" name="VorlaeufigesErgebnisM" vbProcedure="false">#REF!</definedName>
    <definedName function="false" hidden="true" name="VorlaeufigesErgebnisN" vbProcedure="false">#REF!</definedName>
    <definedName function="false" hidden="true" name="VorlaeufigesErgebnis_" vbProcedure="false">#REF!</definedName>
    <definedName function="false" hidden="true" name="vsv" vbProcedure="false">{"comp",#N/A,FALSE,"SPEC";"footnotes",#N/A,FALSE,"SPEC"}</definedName>
    <definedName function="false" hidden="true" name="vt_recalc" vbProcedure="false">#REF!</definedName>
    <definedName function="false" hidden="true" name="vv" vbProcedure="false">{"Fiesta Facer Page",#N/A,FALSE,"Q_C_S";"Fiesta Main Page",#N/A,FALSE,"V_L";"Fiesta 95BP Struct",#N/A,FALSE,"StructBP";"Fiesta Post 95BP Struct",#N/A,FALSE,"AdjStructBP"}</definedName>
    <definedName function="false" hidden="true" name="vvcrrr"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vvcv"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vvcvc"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vvswfv" vbProcedure="false">{#N/A,#N/A,FALSE,"Mittelherkunft";#N/A,#N/A,FALSE,"Mittelverwendung"}</definedName>
    <definedName function="false" hidden="true" name="vvv" vbProcedure="false">{"'Form'!$A$2:$J$81"}</definedName>
    <definedName function="false" hidden="true" name="vvvfr" vbProcedure="false">{#N/A,#N/A,FALSE,"Aktiva";#N/A,#N/A,FALSE,"Passiva";#N/A,#N/A,FALSE,"guv";#N/A,#N/A,FALSE,"Anl-1";#N/A,#N/A,FALSE,"Anl-2";#N/A,#N/A,FALSE,"Anl-III";#N/A,#N/A,FALSE,"Ta-1-Anh";#N/A,#N/A,FALSE,"Ta-2-Anh";#N/A,#N/A,FALSE,"Ta-3-Anh";#N/A,#N/A,FALSE,"Kontroll-Blatt"}</definedName>
    <definedName function="false" hidden="true" name="VVVV" vbProcedure="false">{"quarterly",#N/A,FALSE,"Income Statement";#N/A,#N/A,FALSE,"print segment";#N/A,#N/A,FALSE,"Balance Sheet";#N/A,#N/A,FALSE,"Annl Inc";#N/A,#N/A,FALSE,"Cash Flow"}</definedName>
    <definedName function="false" hidden="true" name="vvvvvvvvvv" vbProcedure="false">{"net assets",#N/A,FALSE,"summary";"asset turnover",#N/A,FALSE,"summary";"orona",#N/A,FALSE,"summary"}</definedName>
    <definedName function="false" hidden="true" name="vvvvvvvvvvvvvvvv" vbProcedure="false">{#N/A,#N/A,FALSE,"Aktiva";#N/A,#N/A,FALSE,"Passiva";#N/A,#N/A,FALSE,"guv";#N/A,#N/A,FALSE,"Anl-1";#N/A,#N/A,FALSE,"Anl-2";#N/A,#N/A,FALSE,"Anl-III";#N/A,#N/A,FALSE,"Ta-1-Anh";#N/A,#N/A,FALSE,"Ta-2-Anh";#N/A,#N/A,FALSE,"Ta-3-Anh";#N/A,#N/A,FALSE,"Kontroll-Blatt"}</definedName>
    <definedName function="false" hidden="true" name="VZXSF" vbProcedure="false">{#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function="false" hidden="true" name="V_SUm" vbProcedure="false">{#N/A,#N/A,FALSE,"Summary";#N/A,#N/A,FALSE,"Base Materials";#N/A,#N/A,FALSE,"Construction";#N/A,#N/A,FALSE,"Packaging";#N/A,#N/A,FALSE,"Transportation"}</definedName>
    <definedName function="false" hidden="true" name="w.l" vbProcedure="false">{#N/A,#N/A,FALSE,"Umsatz HM";#N/A,#N/A,FALSE,"ER HM";#N/A,#N/A,FALSE,"EA HM  (2)";#N/A,#N/A,FALSE,"EA HM ";#N/A,#N/A,FALSE,"EA HM  (4)";#N/A,#N/A,FALSE,"EA HM  (3)";#N/A,#N/A,FALSE,"KA HM  (2)";#N/A,#N/A,FALSE,"KA HM";#N/A,#N/A,FALSE,"KA HM  (3)";#N/A,#N/A,FALSE,"KA HM (4)"}</definedName>
    <definedName function="false" hidden="true" name="w2f" vbProcedure="false">{"QTD_LPO2N2",#N/A,FALSE,"QTD";"QTD_HYCO",#N/A,FALSE,"QTD";"QTD_LOUISIANA",#N/A,FALSE,"QTD";"QTD_GENERALH2",#N/A,FALSE,"QTD";"QTD_PACKAGE",#N/A,FALSE,"QTD";"QTD_PRS",#N/A,FALSE,"QTD";"QTD_OTHER",#N/A,FALSE,"QTD"}</definedName>
    <definedName function="false" hidden="true" name="w2r5" vbProcedure="false">{"QTD_OTHER",#N/A,FALSE,"QTD"}</definedName>
    <definedName function="false" hidden="true" name="W61C" vbProcedure="false">{"AnaM1",#N/A,FALSE,"AnalisisM";"AnaM2",#N/A,FALSE,"AnalisisM";"AnaM3",#N/A,FALSE,"AnalisisM"}</definedName>
    <definedName function="false" hidden="true" name="W61C直接固定費" vbProcedure="false">{"SUM GER",#N/A,FALSE,"SUM GER";"SUM FRA",#N/A,FALSE,"SUM FRA";"SUM ITA",#N/A,FALSE,"SUM ITA";"SUM SPA",#N/A,FALSE,"SUM SPA";"SUM EGB",#N/A,FALSE,"SUM EGB";"SUM IND",#N/A,FALSE,"SUM IND"}</definedName>
    <definedName function="false" hidden="true" name="wa" vbProcedure="false">main.sapf4help()</definedName>
    <definedName function="false" hidden="true" name="wae.2" vbProcedure="false">{#N/A,#N/A,FALSE,"Umsatz CH";#N/A,#N/A,FALSE,"ER CH";#N/A,#N/A,FALSE,"EA CH (2) ";#N/A,#N/A,FALSE,"EA CH";#N/A,#N/A,FALSE,"EA CH (3) ";#N/A,#N/A,FALSE,"EA CH (4)";#N/A,#N/A,FALSE,"KA CH";#N/A,#N/A,FALSE,"KA CH  (2)";#N/A,#N/A,FALSE,"KA CH  (3)";#N/A,#N/A,FALSE,"KA CH (4)"}</definedName>
    <definedName function="false" hidden="true" name="wae.er_er." vbProcedure="false">{#N/A,#N/A,FALSE,"Umsatz EO BP";#N/A,#N/A,FALSE,"Umsatz EO OP";#N/A,#N/A,FALSE,"ER EO BP";#N/A,#N/A,FALSE,"ER EO OP";#N/A,#N/A,FALSE,"EA EO (2)";#N/A,#N/A,FALSE,"EA EO";#N/A,#N/A,FALSE,"EA EO (3)";#N/A,#N/A,FALSE,"EA EO (4)";#N/A,#N/A,FALSE,"KA EO  (2)";#N/A,#N/A,FALSE,"KA EO";#N/A,#N/A,FALSE,"KA EO  (3)";#N/A,#N/A,FALSE,"KA EO (4)"}</definedName>
    <definedName function="false" hidden="true" name="warefa" vbProcedure="false">{"toc1",#N/A,FALSE,"TOC";"cover",#N/A,FALSE,"Cover";"ts1",#N/A,FALSE,"Transaction Summary";"ei3",#N/A,FALSE,"Earnings Impact";"ad3",#N/A,FALSE,"accretion dilution"}</definedName>
    <definedName function="false" hidden="true" name="was" vbProcedure="false">{#N/A,#N/A,FALSE,"Sales Graph";#N/A,#N/A,FALSE,"BUC Graph";#N/A,#N/A,FALSE,"P&amp;L - YTD"}</definedName>
    <definedName function="false" hidden="true" name="wasistdas" vbProcedure="false">{#N/A,#N/A,FALSE,"Liste VKL"}</definedName>
    <definedName function="false" hidden="true" name="wat" vbProcedure="false">{"résultats_édition client",#N/A,FALSE,"Résultats"}</definedName>
    <definedName function="false" hidden="true" name="wb" vbProcedure="false">{#N/A,#N/A,FALSE,"Pharm";#N/A,#N/A,FALSE,"WWCM"}</definedName>
    <definedName function="false" hidden="true" name="wc"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c.3"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com" vbProcedure="false">{"IS",#N/A,FALSE,"IS";"RPTIS",#N/A,FALSE,"RPTIS";"STATS",#N/A,FALSE,"STATS";"BS",#N/A,FALSE,"BS"}</definedName>
    <definedName function="false" hidden="true" name="wcy" vbProcedure="false">{"YD PRS",#N/A,FALSE,"YTD"}</definedName>
    <definedName function="false" hidden="true" name="wd" vbProcedure="false">{#N/A,#N/A,FALSE,"Aging Summary";#N/A,#N/A,FALSE,"Ratio Analysis";#N/A,#N/A,FALSE,"Test 120 Day Accts";#N/A,#N/A,FALSE,"Tickmarks"}</definedName>
    <definedName function="false" hidden="true" name="WDFW" vbProcedure="false">{"rep1",#N/A,FALSE,"ריכוז";"REP7",#N/A,FALSE,"מפורט_אזורים_ער""ז";"REP2",#N/A,FALSE,"מפורט1";"REP3",#N/A,FALSE,"מפורט1";"REP4",#N/A,FALSE,"מפורט2";"REP5",#N/A,FALSE,"מפורט2";"REP6",#N/A,FALSE,"מפורט2"}</definedName>
    <definedName function="false" hidden="true" name="wdw" vbProcedure="false">{"'Title Transfer Units6,7,&amp;8'!$A$1:$B$4","'Title Transfer Units6,7,&amp;8'!$C$6"}</definedName>
    <definedName function="false" hidden="true" name="WE"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we.3" vbProcedure="false">{#N/A,#N/A,FALSE,"PMW Gruppe 99_98";#N/A,#N/A,FALSE,"PMW KG 98_99";#N/A,#N/A,FALSE,"PMW Inc. 99_98";#N/A,#N/A,FALSE,"PMW VTECH 99_98";#N/A,#N/A,FALSE,"PMW Thail. 99_98";#N/A,#N/A,FALSE,"PMW Canada 99_98";#N/A,#N/A,FALSE,"Währungsabw. 99_98"}</definedName>
    <definedName function="false" hidden="true" name="we.gb.gg" vbProcedure="false">{#N/A,#N/A,FALSE,"Umsatz HM";#N/A,#N/A,FALSE,"ER HM";#N/A,#N/A,FALSE,"EA HM  (2)";#N/A,#N/A,FALSE,"EA HM ";#N/A,#N/A,FALSE,"EA HM  (4)";#N/A,#N/A,FALSE,"EA HM  (3)";#N/A,#N/A,FALSE,"KA HM  (2)";#N/A,#N/A,FALSE,"KA HM";#N/A,#N/A,FALSE,"KA HM  (3)";#N/A,#N/A,FALSE,"KA HM (4)"}</definedName>
    <definedName function="false" hidden="true" name="we3x" vbProcedure="false">{"QTD_LPO2N2",#N/A,FALSE,"QTD"}</definedName>
    <definedName function="false" hidden="true" name="WEARF" vbProcedure="false">{#N/A,#N/A,TRUE,"Y생산";#N/A,#N/A,TRUE,"Y판매";#N/A,#N/A,TRUE,"Y총물량";#N/A,#N/A,TRUE,"Y능력";#N/A,#N/A,TRUE,"YKD"}</definedName>
    <definedName function="false" hidden="true" name="weaw" vbProcedure="false">{"YTD",#N/A,FALSE,"SUM"}</definedName>
    <definedName function="false" hidden="true" name="weawe" vbProcedure="false">{"QTD_HYCO",#N/A,FALSE,"QTD"}</definedName>
    <definedName function="false" hidden="true" name="Web" vbProcedure="false">{#N/A,#N/A,FALSE,"Inputs - Prices &amp; Forecasts"}</definedName>
    <definedName function="false" hidden="true" name="wecs" vbProcedure="false">{"QTD_PRS",#N/A,FALSE,"QTD"}</definedName>
    <definedName function="false" hidden="true" name="wecsd" vbProcedure="false">{"sales growth",#N/A,FALSE,"summary";"oper income",#N/A,FALSE,"summary";"oros rank",#N/A,FALSE,"summary";"net assets",#N/A,FALSE,"summary";"asset turnover",#N/A,FALSE,"summary";"orona",#N/A,FALSE,"summary"}</definedName>
    <definedName function="false" hidden="true" name="wed" vbProcedure="false">{#N/A,#N/A,FALSE,"Aging Summary";#N/A,#N/A,FALSE,"Ratio Analysis";#N/A,#N/A,FALSE,"Test 120 Day Accts";#N/A,#N/A,FALSE,"Tickmarks"}</definedName>
    <definedName function="false" hidden="true" name="wed.2"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wed.3"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wed.5"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weds" vbProcedure="false">{"overview",#N/A,FALSE,"summary";"net assets",#N/A,FALSE,"summary";"asset turnover",#N/A,FALSE,"summary";"orona",#N/A,FALSE,"summary"}</definedName>
    <definedName function="false" hidden="true" name="wee" vbProcedure="false">{#N/A,#N/A,FALSE,"KA CH  (2)"}</definedName>
    <definedName function="false" hidden="true" name="weee" vbProcedure="false">{"FY98Q1 var",#N/A,FALSE,"FY98 - Q1";"FY98Q2 var",#N/A,FALSE,"FY98 - Q2";"FY98Q3 var",#N/A,FALSE,"FY98 - Q3";"FY98Q4 var",#N/A,FALSE,"FY98 - Q4"}</definedName>
    <definedName function="false" hidden="true" name="weegareg"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weer"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name="wef" vbProcedure="false">{#N/A,#N/A,FALSE,"Performance Flash Report"}</definedName>
    <definedName function="false" hidden="true" name="wef4f" vbProcedure="false">{"GuVGmbH",#N/A,FALSE,"ratios";"BilanzGmbH",#N/A,FALSE,"ratios";"BilanzKG",#N/A,FALSE,"ratios";"GuVKG",#N/A,FALSE,"ratios"}</definedName>
    <definedName function="false" hidden="true" name="wefsdfasdf"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WEFWEF"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wegfaerg"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weix" vbProcedure="false">{"Comp_of_Price_Effect",#N/A,FALSE,"QTRDPVAR"}</definedName>
    <definedName function="false" hidden="true" name="wen.gb._hm." vbProcedure="false">{#N/A,#N/A,FALSE,"Umsatz HM";#N/A,#N/A,FALSE,"ER HM";#N/A,#N/A,FALSE,"EA HM  (2)";#N/A,#N/A,FALSE,"EA HM ";#N/A,#N/A,FALSE,"EA HM  (4)";#N/A,#N/A,FALSE,"EA HM  (3)";#N/A,#N/A,FALSE,"KA HM  (2)";#N/A,#N/A,FALSE,"KA HM";#N/A,#N/A,FALSE,"KA HM  (3)";#N/A,#N/A,FALSE,"KA HM (4)"}</definedName>
    <definedName function="false" hidden="true" name="wen.printreg6" vbProcedure="false">{#N/A,#N/A,FALSE,"Sheet2"}</definedName>
    <definedName function="false" hidden="true" name="Wenrer" vbProcedure="false">main.sapf4help()</definedName>
    <definedName function="false" hidden="true" name="weop" vbProcedure="false">{"oct_res_comm",#N/A,FALSE,"VarToBud"}</definedName>
    <definedName function="false" hidden="true" name="WEQ" vbProcedure="false">{#N/A,#N/A,FALSE,"단축1";#N/A,#N/A,FALSE,"단축2";#N/A,#N/A,FALSE,"단축3";#N/A,#N/A,FALSE,"장축";#N/A,#N/A,FALSE,"4WD"}</definedName>
    <definedName function="false" hidden="true" name="wer"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wer.g" vbProcedure="false">{#N/A,#N/A,FALSE,"KA CH  (2)"}</definedName>
    <definedName function="false" hidden="true" name="weraw" vbProcedure="false">{"mgmt forecast",#N/A,FALSE,"Mgmt Forecast";"dcf table",#N/A,FALSE,"Mgmt Forecast";"sensitivity",#N/A,FALSE,"Mgmt Forecast";"table inputs",#N/A,FALSE,"Mgmt Forecast";"calculations",#N/A,FALSE,"Mgmt Forecast"}</definedName>
    <definedName function="false" hidden="true" name="were" vbProcedure="false">{#N/A,#N/A,FALSE,"EXP97"}</definedName>
    <definedName function="false" hidden="true" name="wererwer" vbProcedure="false">{"cover",#N/A,TRUE,"Cover";"toc5",#N/A,TRUE,"TOC";"over",#N/A,TRUE,"Overview";"ts2",#N/A,TRUE,"Det_Trans_Sum";"ei",#N/A,TRUE,"Earnings Impact";"ad",#N/A,TRUE,"accretion dilution";"pfis",#N/A,TRUE,"Pro Forma Income Statement";"ca",#N/A,TRUE,"Contribution_Analysis";"acq",#N/A,TRUE,"Acquirer";"tar",#N/A,TRUE,"Target"}</definedName>
    <definedName function="false" hidden="true" name="werewer23" vbProcedure="false">{#N/A,#N/A,FALSE,"invpln"}</definedName>
    <definedName function="false" hidden="true" name="werfg435g" vbProcedure="false">main.sapf4help()</definedName>
    <definedName function="false" hidden="true" name="werfgvbv" vbProcedure="false">word</definedName>
    <definedName function="false" hidden="true" name="wern" vbProcedure="false">{"cover",#N/A,TRUE,"Cover";"toc6",#N/A,TRUE,"TOC";"over",#N/A,TRUE,"Overview";"ts2",#N/A,TRUE,"Det_Trans_Sum";"ei2",#N/A,TRUE,"Earnings Impact";"ad2",#N/A,TRUE,"accretion dilution";"hg2",#N/A,TRUE,"Has-Gets";"pfis2",#N/A,TRUE,"Pro Forma Income Statement";"ca2",#N/A,TRUE,"Contribution_Analysis";"acq2",#N/A,TRUE,"Acquirer";"tar2",#N/A,TRUE,"Target"}</definedName>
    <definedName function="false" hidden="true" name="werr" vbProcedure="false">{"cons",#N/A,TRUE,"MAY95"}</definedName>
    <definedName function="false" hidden="true" name="werre" vbProcedure="false">{#N/A,#N/A,FALSE,"Report-Generator";#N/A,#N/A,FALSE,"S.1 Zusammenfassung";#N/A,#N/A,FALSE,"S.2 Modellrendite";#N/A,#N/A,FALSE,"S.3a Absatzvolumen";#N/A,#N/A,FALSE,"S.3b Absatzvolumen";#N/A,#N/A,FALSE,"S.3c Absatzvolumen";#N/A,#N/A,FALSE,"S.4 Volumen, Mix";#N/A,#N/A,FALSE,"S.5 Produktaufwand";#N/A,#N/A,FALSE,"S.6 Prop. Herstellkosten";#N/A,#N/A,FALSE,"S.7 DB-Vergleich";#N/A,#N/A,FALSE,"S.8 DB-Vergleich";#N/A,#N/A,FALSE,"S.9 DB-Vergleich";#N/A,#N/A,FALSE,"S.10 MR-Berechnung"}</definedName>
    <definedName function="false" hidden="true" name="werrr" vbProcedure="false">{#N/A,#N/A,FALSE,"Pharm";#N/A,#N/A,FALSE,"WWCM"}</definedName>
    <definedName function="false" hidden="true" name="werrrr" vbProcedure="false">{"bkod1",#N/A,FALSE,"A";"bokd2",#N/A,FALSE,"A";"bokd3",#N/A,FALSE,"A";"bkod4",#N/A,FALSE,"A";"bokd5",#N/A,FALSE,"A";"bokd6",#N/A,FALSE,"A";"bokd7",#N/A,FALSE,"A"}</definedName>
    <definedName function="false" hidden="true" name="wersfsdgf" vbProcedure="false">{#N/A,#N/A,FALSE,"Mittelherkunft";#N/A,#N/A,FALSE,"Mittelverwendung"}</definedName>
    <definedName function="false" hidden="true" name="wert"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Werttreiber" vbProcedure="false">{#N/A,#N/A,FALSE,"DCF";#N/A,#N/A,FALSE,"WACC";#N/A,#N/A,FALSE,"Sales_EBIT";#N/A,#N/A,FALSE,"Capex_Depreciation";#N/A,#N/A,FALSE,"WC";#N/A,#N/A,FALSE,"Interest";#N/A,#N/A,FALSE,"Assumptions"}</definedName>
    <definedName function="false" hidden="true" name="wertw" vbProcedure="false">{#N/A,#N/A,FALSE,"Layout GuV"}</definedName>
    <definedName function="false" hidden="true" name="WERTY" vbProcedure="false">{#N/A,#N/A,FALSE,"단축1";#N/A,#N/A,FALSE,"단축2";#N/A,#N/A,FALSE,"단축3";#N/A,#N/A,FALSE,"장축";#N/A,#N/A,FALSE,"4WD"}</definedName>
    <definedName function="false" hidden="true" name="werw" vbProcedure="false">{"ONE",#N/A,FALSE,"96DDCOD";"TWO",#N/A,FALSE,"96DDCOD"}</definedName>
    <definedName function="false" hidden="true" name="werwer" vbProcedure="false">{"indirect labor",#N/A,FALSE,"labor"}</definedName>
    <definedName function="false" hidden="true" name="wet" vbProcedure="false">{"CSheet",#N/A,FALSE,"C";"SmCap",#N/A,FALSE,"VAL1";"GulfCoast",#N/A,FALSE,"VAL1";"nav",#N/A,FALSE,"NAV";"Summary",#N/A,FALSE,"NAV"}</definedName>
    <definedName function="false" hidden="true" name="wetgswaw" vbProcedure="false">{#N/A,#N/A,FALSE,"invpln"}</definedName>
    <definedName function="false" hidden="true" name="wetrt"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wetwaert"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wetwet" vbProcedure="false">#REF!</definedName>
    <definedName function="false" hidden="true" name="WETY" vbProcedure="false">{#N/A,#N/A,FALSE,"단축1";#N/A,#N/A,FALSE,"단축2";#N/A,#N/A,FALSE,"단축3";#N/A,#N/A,FALSE,"장축";#N/A,#N/A,FALSE,"4WD"}</definedName>
    <definedName function="false" hidden="true" name="wew" vbProcedure="false">{#N/A,#N/A,FALSE,"Sheet1"}</definedName>
    <definedName function="false" hidden="true" name="wew1q" vbProcedure="false">{"INCOME",#N/A,FALSE,"ProNet";"VALUE",#N/A,FALSE,"ProNet"}</definedName>
    <definedName function="false" hidden="true" name="wewe"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wewq" vbProcedure="false">{"FY97Q1 nvs",#N/A,FALSE,"FY97 - Q1";"FY97Q2 nvs",#N/A,FALSE,"FY97 - Q2";"FY97Q3 nvs",#N/A,FALSE,"FY97 - Q3";"FY97Q4 nvs",#N/A,FALSE,"FY97 - Q4"}</definedName>
    <definedName function="false" hidden="true" name="wewrrht"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wews" vbProcedure="false">{"pro_view",#N/A,FALSE,"EEFSNAP2";"rep_view",#N/A,FALSE,"EEFSNAP2"}</definedName>
    <definedName function="false" hidden="true" name="WEWW" vbProcedure="false">{"'Demand Units'!$X$11:$AD$45"}</definedName>
    <definedName function="false" hidden="true" name="weza" vbProcedure="false">{"QTD_PACKAGE",#N/A,FALSE,"QTD"}</definedName>
    <definedName function="false" hidden="true" name="weze" vbProcedure="false">{#N/A,"PURADD",FALSE,"Business Analysis";#N/A,"PURSPP",FALSE,"Business Analysis";#N/A,"CTGIND",FALSE,"Business Analysis";#N/A,"PURCHM",FALSE,"Business Analysis";#N/A,"SPADD",FALSE,"Business Analysis";#N/A,"EPOXY",FALSE,"Business Analysis";#N/A,"PURPER",FALSE,"Business Analysis"}</definedName>
    <definedName function="false" hidden="true" name="wezf" vbProcedure="false">{"YD PACKAGE",#N/A,FALSE,"YTD"}</definedName>
    <definedName function="false" hidden="true" name="WFT" vbProcedure="false">{"Area1",#N/A,FALSE,"OREWACC";"Area2",#N/A,FALSE,"OREWACC"}</definedName>
    <definedName function="false" hidden="true" name="what" vbProcedure="false">{"investments",#N/A,FALSE,"CYTD CF Oct";"invest month",#N/A,FALSE,"CYTD CF Oct";"scf",#N/A,FALSE,"CYTD CF Oct";"direct method",#N/A,FALSE,"CYTD CF Oct";"indirect",#N/A,FALSE,"CYTD CF Oct"}</definedName>
    <definedName function="false" hidden="true" name="what.project" vbProcedure="false">{#N/A,#N/A,FALSE,"P1";#N/A,#N/A,FALSE,"P2";#N/A,#N/A,FALSE,"P4";#N/A,#N/A,FALSE,"P5";#N/A,#N/A,FALSE,"P6";#N/A,#N/A,FALSE,"P7";#N/A,#N/A,FALSE,"P8";#N/A,#N/A,FALSE,"P9";#N/A,#N/A,FALSE,"P10"}</definedName>
    <definedName function="false" hidden="true" name="What2?" vbProcedure="false">{#N/A,#N/A,TRUE,"Summary";#N/A,#N/A,TRUE,"Financials";#N/A,#N/A,TRUE,"Assumptions";#N/A,#N/A,TRUE,"Pro Forma";#N/A,#N/A,TRUE,"Debt";#N/A,#N/A,TRUE,"Amortization";#N/A,#N/A,TRUE,"GG Returns"}</definedName>
    <definedName function="false" hidden="true" name="What3?" vbProcedure="false">{#N/A,#N/A,TRUE,"Summary";#N/A,#N/A,TRUE,"Assumptions";#N/A,#N/A,TRUE,"Comparison";#N/A,#N/A,TRUE,"Financials";#N/A,#N/A,TRUE,"Plan v. Act"}</definedName>
    <definedName function="false" hidden="true" name="What?" vbProcedure="false">{#N/A,#N/A,TRUE,"Summary";#N/A,#N/A,TRUE,"Financials"}</definedName>
    <definedName function="false" hidden="true" name="whatever" vbProcedure="false">{"indirect",#N/A,FALSE,"CYTD CF Oct";"direct method",#N/A,FALSE,"CYTD CF Oct";"scf",#N/A,FALSE,"CYTD CF Oct";"investments",#N/A,FALSE,"CYTD CF Oct";"invest month",#N/A,FALSE,"CYTD CF Oct"}</definedName>
    <definedName function="false" hidden="true" name="WHATEVER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WHATEVER3"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WHATEVERS"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whatisthis" vbProcedure="false">#REF!</definedName>
    <definedName function="false" hidden="true" name="WHRL" vbProcedure="false">{#N/A,#N/A,FALSE,"단축1";#N/A,#N/A,FALSE,"단축2";#N/A,#N/A,FALSE,"단축3";#N/A,#N/A,FALSE,"장축";#N/A,#N/A,FALSE,"4WD"}</definedName>
    <definedName function="false" hidden="true" name="WHRwhrWHR" vbProcedure="false">{"Aktiva_Gittelde",#N/A,TRUE,"Bilanz-Gittelde";"Liabilities_gittelde",#N/A,TRUE,"Bilanz-Gittelde";"GuV_Gittelde",#N/A,TRUE,"GuV-Gittelde";"Aktiva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function="false" hidden="true" name="whrWHRwhrWR" vbProcedure="false">{"GuVGmbH",#N/A,FALSE,"ratios";"BilanzGmbH",#N/A,FALSE,"ratios";"BilanzKG",#N/A,FALSE,"ratios";"GuVKG",#N/A,FALSE,"ratios"}</definedName>
    <definedName function="false" hidden="true" name="whrWHRwrhWRHwrh"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WHRwr"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WHRwrh" vbProcedure="false">{"WACC",#N/A,FALSE,"Bewertung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function="false" hidden="true" name="win" vbProcedure="false">{"'Sample Status'!$A$1:$J$21"}</definedName>
    <definedName function="false" hidden="true" name="wkrp" vbProcedure="false">{"Area1",#N/A,FALSE,"OREWACC";"Area2",#N/A,FALSE,"OREWACC"}</definedName>
    <definedName function="false" hidden="true" name="wn.2222" vbProcedure="false">{#N/A,#N/A,FALSE,"summary"}</definedName>
    <definedName function="false" hidden="true" name="woi" vbProcedure="false">{"detail",#N/A,FALSE,"mfg";"summary",#N/A,FALSE,"mfg"}</definedName>
    <definedName function="false" hidden="true" name="womxien" vbProcedure="false">{"detail",#N/A,FALSE,"mfg";"summary",#N/A,FALSE,"mfg"}</definedName>
    <definedName function="false" hidden="true" name="Woods" vbProcedure="false">#REF!</definedName>
    <definedName function="false" hidden="true" name="working" vbProcedure="false">{#N/A,#N/A,FALSE,"REPORT"}</definedName>
    <definedName function="false" hidden="true" name="WOS_IQ_Div_payment_date" vbProcedure="false">"c2205"</definedName>
    <definedName function="false" hidden="true" name="WOS_IQ_Div_record_date" vbProcedure="false">"c2204"</definedName>
    <definedName function="false" hidden="true" name="WOS_IQ_xdiv_date" vbProcedure="false">"c2203"</definedName>
    <definedName function="false" hidden="true" name="WQ" vbProcedure="false">{#N/A,#N/A,FALSE,"을지 (4)";#N/A,#N/A,FALSE,"을지 (5)";#N/A,#N/A,FALSE,"을지 (6)"}</definedName>
    <definedName function="false" hidden="true" name="wqa" vbProcedure="false">{#N/A,"PURCHM",FALSE,"Business Analysis";#N/A,"SPADD",FALSE,"Business Analysis"}</definedName>
    <definedName function="false" hidden="true" name="wqc" vbProcedure="false">{"ACT",#N/A,FALSE,"Q3Elec P&amp;L fy 99  ";"BUD",#N/A,FALSE,"Q3Elec P&amp;L fy 99  ";"PRIOR",#N/A,FALSE,"Q3Elec P&amp;L fy 99  "}</definedName>
    <definedName function="false" hidden="true" name="wqd" vbProcedure="false">{"OTHER",#N/A,FALSE,"CM"}</definedName>
    <definedName function="false" hidden="true" name="wqdqwdqwd" vbProcedure="false">{#N/A,#N/A,FALSE,"Staffnos &amp; cost"}</definedName>
    <definedName function="false" hidden="true" name="wqe" vbProcedure="false">#REF!</definedName>
    <definedName function="false" hidden="true" name="wqeq" vbProcedure="false">{"Commentary",#N/A,FALSE,"May"}</definedName>
    <definedName function="false" hidden="true" name="wqer" vbProcedure="false">{"TXO2N2_SLS",#N/A,FALSE,"MTHLYSLES";"TXH2_SLS",#N/A,FALSE,"MTHLYSLES";"LOUIS_SLS",#N/A,FALSE,"MTHLYSLES";"H2_SLS",#N/A,FALSE,"MTHLYSLES";"O2N2_SLS",#N/A,FALSE,"MTHLYSLES";"PACKAGE_SLS",#N/A,FALSE,"MTHLYSLES"}</definedName>
    <definedName function="false" hidden="true" name="wqqw"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wqqwe" vbProcedure="false">{"FY97Tot nvs",#N/A,FALSE,"FY97 - Total";"FY98Tot nvs",#N/A,FALSE,"FY98 - Total"}</definedName>
    <definedName function="false" hidden="true" name="wqrew" vbProcedure="false">{"FY97Total",#N/A,FALSE,"FY97 - Total";"FY98Total",#N/A,FALSE,"FY98 - Total"}</definedName>
    <definedName function="false" hidden="true" name="wqrwqe" vbProcedure="false">{"FY98Q1 nvs",#N/A,FALSE,"FY98 - Q1";"FY98Q2 nvs",#N/A,FALSE,"FY98 - Q2";"FY98Q3 nvs",#N/A,FALSE,"FY98 - Q3";"FY98Q4 nvs",#N/A,FALSE,"FY98 - Q4"}</definedName>
    <definedName function="false" hidden="true" name="wqwq" vbProcedure="false">{"BA detail",#N/A,FALSE,"Q3YTD "}</definedName>
    <definedName function="false" hidden="true" name="wqx" vbProcedure="false">{"Comp_of_Price_Effect",#N/A,FALSE,"QTRDPVAR"}</definedName>
    <definedName function="false" hidden="true" name="wr"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wr34ar" vbProcedure="false">{"QTD_LOUISIANA",#N/A,FALSE,"QTD"}</definedName>
    <definedName function="false" hidden="true" name="wradw" vbProcedure="false">{"YD LAPO2",#N/A,FALSE,"YTD";"YD LPH2",#N/A,FALSE,"YTD";"YD LOUISIANA",#N/A,FALSE,"YTD";"YD GENERALH2",#N/A,FALSE,"YTD";"YD PRS",#N/A,FALSE,"YTD";"YD PACKAGE",#N/A,FALSE,"YTD";"YD OTHER",#N/A,FALSE,"YTD"}</definedName>
    <definedName function="false" hidden="true" name="wrc" vbProcedure="false">{#N/A,#N/A,FALSE,"TECH CENTRE RXDU66";#N/A,#N/A,FALSE,"ASU VAAX66";#N/A,#N/A,FALSE,"TCM VAKX66"}</definedName>
    <definedName function="false" hidden="true" name="wrd" vbProcedure="false">{#N/A,#N/A,FALSE,"INPUTS";#N/A,#N/A,FALSE,"PROFORMA BSHEET";#N/A,#N/A,FALSE,"COMBINED";#N/A,#N/A,FALSE,"HIGH YIELD";#N/A,#N/A,FALSE,"COMB_GRAPHS"}</definedName>
    <definedName function="false" hidden="true" name="wrd.2._.pagers.3" vbProcedure="false">{"Cover",#N/A,FALSE,"Cover";"Summary",#N/A,FALSE,"Summarpage"}</definedName>
    <definedName function="false" hidden="true" name="wrd.2_.pagers.3" vbProcedure="false">{"Cover",#N/A,FALSE,"Cover";"Summary",#N/A,FALSE,"Summarpage"}</definedName>
    <definedName function="false" hidden="true" name="wrewrw"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wrf" vbProcedure="false">{#N/A,"PURCHM",FALSE,"Business Analysis";#N/A,"SPADD",FALSE,"Business Analysis"}</definedName>
    <definedName function="false" hidden="true" name="wrg.Tages" vbProcedure="false">{"Tages_D",#N/A,FALSE,"Tagesbericht";"Tages_PL",#N/A,FALSE,"Tagesbericht"}</definedName>
    <definedName function="false" hidden="true" name="wrksht" vbProcedure="false">{"USD",#N/A,FALSE,"FC-15 Cap Expend";"LC",#N/A,FALSE,"FC-15 Cap Expend"}</definedName>
    <definedName function="false" hidden="true" name="wrm.pucspaddq2" vbProcedure="false">{#N/A,"PURCHM",FALSE,"Business Analysis";#N/A,"SPADD",FALSE,"Business Analysis"}</definedName>
    <definedName function="false" hidden="true" name="wrn" vbProcedure="false">{#N/A,#N/A,FALSE,"Sheet1"}</definedName>
    <definedName function="false" hidden="true" name="wrn.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wrn.1." vbProcedure="false">{#N/A,#N/A,FALSE,"Calc";#N/A,#N/A,FALSE,"Sensitivity";#N/A,#N/A,FALSE,"LT Earn.Dil.";#N/A,#N/A,FALSE,"Dil. AVP"}</definedName>
    <definedName function="false" hidden="true" name="wrn.1.1" vbProcedure="false">{#N/A,#N/A,FALSE,"Calc";#N/A,#N/A,FALSE,"Sensitivity";#N/A,#N/A,FALSE,"LT Earn.Dil.";#N/A,#N/A,FALSE,"Dil. AVP"}</definedName>
    <definedName function="false" hidden="true" name="wrn.1.1.2" vbProcedure="false">{#N/A,#N/A,FALSE,"Calc";#N/A,#N/A,FALSE,"Sensitivity";#N/A,#N/A,FALSE,"LT Earn.Dil.";#N/A,#N/A,FALSE,"Dil. AVP"}</definedName>
    <definedName function="false" hidden="true" name="wrn.1.1.3" vbProcedure="false">{#N/A,#N/A,FALSE,"Calc";#N/A,#N/A,FALSE,"Sensitivity";#N/A,#N/A,FALSE,"LT Earn.Dil.";#N/A,#N/A,FALSE,"Dil. AVP"}</definedName>
    <definedName function="false" hidden="true" name="wrn.1.2" vbProcedure="false">{#N/A,#N/A,FALSE,"Calc";#N/A,#N/A,FALSE,"Sensitivity";#N/A,#N/A,FALSE,"LT Earn.Dil.";#N/A,#N/A,FALSE,"Dil. AVP"}</definedName>
    <definedName function="false" hidden="true" name="wrn.1.3" vbProcedure="false">{#N/A,#N/A,FALSE,"Calc";#N/A,#N/A,FALSE,"Sensitivity";#N/A,#N/A,FALSE,"LT Earn.Dil.";#N/A,#N/A,FALSE,"Dil. AVP"}</definedName>
    <definedName function="false" hidden="true" name="wrn.1._.Print._.Month._.Data." vbProcedure="false">{"Month vs ABP p1",#N/A,FALSE,"Month vs ABP";"Month vs ABP p2",#N/A,FALSE,"Month vs ABP";"Month",#N/A,FALSE,"Month"}</definedName>
    <definedName function="false" hidden="true" name="wrn.1._.TODO." vbProcedure="false">{"BL2000",#N/A,FALSE,"BL2000";"PL2000",#N/A,FALSE,"BL2000";"PT2000",#N/A,FALSE,"BL2000";"INCPRE2000",#N/A,FALSE,"BL2000";"COMNUS2000",#N/A,FALSE,"BL2000";"COMJPN2000",#N/A,FALSE,"BL2000";"B10-2000",#N/A,FALSE,"BL2000"}</definedName>
    <definedName function="false" hidden="true" name="wrn.10." vbProcedure="false">{"cover",#N/A,TRUE,"Cover";"toc3",#N/A,TRUE,"TOC";"over",#N/A,TRUE,"Overview";"ts2",#N/A,TRUE,"Det_Trans_Sum";"ei1c",#N/A,TRUE,"Earnings Impact";"ad1",#N/A,TRUE,"accretion dilution";"pfis1",#N/A,TRUE,"Pro Forma Income Statement";"acq1c",#N/A,TRUE,"Acquirer";"tar1c",#N/A,TRUE,"Target"}</definedName>
    <definedName function="false" hidden="true" name="wrn.105" vbProcedure="false">{"cover",#N/A,TRUE,"Cover";"toc9",#N/A,TRUE,"TOC";"over",#N/A,TRUE,"Overview";"ts2",#N/A,TRUE,"Det_Trans_Sum";"ei",#N/A,TRUE,"Earnings Impact";"ad1",#N/A,TRUE,"accretion dilution";"pfis",#N/A,TRUE,"Pro Forma Income Statement";"ca",#N/A,TRUE,"Contribution_Analysis";"profba",#N/A,TRUE,"Pro Forma Balance Sheet";"acq",#N/A,TRUE,"Acquirer";"tar",#N/A,TRUE,"Target"}</definedName>
    <definedName function="false" hidden="true" name="wrn.10yp._.balance._.sheet." vbProcedure="false">{"10yp balance sheet",#N/A,FALSE,"Celtel alternative 6"}</definedName>
    <definedName function="false" hidden="true" name="wrn.10yp._.capex." vbProcedure="false">{"10yp capex",#N/A,FALSE,"Celtel alternative 6"}</definedName>
    <definedName function="false" hidden="true" name="wrn.10yp._.customers." vbProcedure="false">{"10yp customers",#N/A,FALSE,"Celtel alternative 6"}</definedName>
    <definedName function="false" hidden="true" name="wrn.10yp._.graphs." vbProcedure="false">{"10yp graphs",#N/A,FALSE,"Market Data"}</definedName>
    <definedName function="false" hidden="true" name="wrn.10yp._.key._.data." vbProcedure="false">{"10yp key data",#N/A,FALSE,"Market Data"}</definedName>
    <definedName function="false" hidden="true" name="wrn.10yp._.profit._.and._.loss." vbProcedure="false">{"10yp profit and loss",#N/A,FALSE,"Celtel alternative 6"}</definedName>
    <definedName function="false" hidden="true" name="wrn.10yp._.tariffs." vbProcedure="false">{"10yp tariffs",#N/A,FALSE,"Celtel alternative 6"}</definedName>
    <definedName function="false" hidden="true" name="wrn.11." vbProcedure="false">{"cover",#N/A,TRUE,"Cover";"toc3",#N/A,TRUE,"TOC";"over",#N/A,TRUE,"Overview";"ts2",#N/A,TRUE,"Det_Trans_Sum";"ei2c",#N/A,TRUE,"Earnings Impact";"ad2",#N/A,TRUE,"accretion dilution";"pfis2",#N/A,TRUE,"Pro Forma Income Statement";"acq2c",#N/A,TRUE,"Acquirer";"tar2c",#N/A,TRUE,"Target"}</definedName>
    <definedName function="false" hidden="true" name="wrn.111111" vbProcedure="false">{#N/A,#N/A,FALSE,"Pharm";#N/A,#N/A,FALSE,"WWCM"}</definedName>
    <definedName function="false" hidden="true" name="wrn.12." vbProcedure="false">{"cover",#N/A,TRUE,"Cover";"toc3",#N/A,TRUE,"TOC";"over",#N/A,TRUE,"Overview";"ts2",#N/A,TRUE,"Det_Trans_Sum";"ei3c",#N/A,TRUE,"Earnings Impact";"ad3",#N/A,TRUE,"accretion dilution";"pfis3",#N/A,TRUE,"Pro Forma Income Statement";"acq3c",#N/A,TRUE,"Acquirer";"tar3c",#N/A,TRUE,"Target"}</definedName>
    <definedName function="false" hidden="true" name="wrn.1294BS." vbProcedure="false">{#N/A,#N/A,FALSE,"PRO FORMA FINANCIALS"}</definedName>
    <definedName function="false" hidden="true" name="wrn.1294BSADJUST." vbProcedure="false">{#N/A,#N/A,FALSE,"PRO FORMA FINANCIALS"}</definedName>
    <definedName function="false" hidden="true" name="wrn.1294IS." vbProcedure="false">{#N/A,#N/A,FALSE,"PRO FORMA FINANCIALS"}</definedName>
    <definedName function="false" hidden="true" name="wrn.1294ISADJUST." vbProcedure="false">{#N/A,#N/A,FALSE,"PRO FORMA FINANCIALS"}</definedName>
    <definedName function="false" hidden="true" name="wrn.13." vbProcedure="false">{"cover",#N/A,TRUE,"Cover";"toc4",#N/A,TRUE,"TOC";"over",#N/A,TRUE,"Overview";"ts2",#N/A,TRUE,"Det_Trans_Sum";"eic",#N/A,TRUE,"Earnings Impact";"ad",#N/A,TRUE,"accretion dilution";"tas",#N/A,TRUE,"TaintedShares";"hg",#N/A,TRUE,"Has-Gets";"pfis",#N/A,TRUE,"Pro Forma Income Statement";"ca",#N/A,TRUE,"Contribution_Analysis";"acqc",#N/A,TRUE,"Acquirer";"tarc",#N/A,TRUE,"Target"}</definedName>
    <definedName function="false" hidden="true" name="wrn.14." vbProcedure="false">{"cover",#N/A,TRUE,"Cover";"toc4",#N/A,TRUE,"TOC";"over",#N/A,TRUE,"Overview";"ts2",#N/A,TRUE,"Det_Trans_Sum";"ei1c",#N/A,TRUE,"Earnings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function="false" hidden="true" name="wrn.15." vbProcedure="false">{"cover",#N/A,TRUE,"Cover";"toc4",#N/A,TRUE,"TOC";"over",#N/A,TRUE,"Overview";"ts2",#N/A,TRUE,"Det_Trans_Sum";"ei2c",#N/A,TRUE,"Earnings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function="false" hidden="true" name="wrn.16." vbProcedure="false">{"cover",#N/A,TRUE,"Cover";"toc4",#N/A,TRUE,"TOC";"over",#N/A,TRUE,"Overview";"ts2",#N/A,TRUE,"Det_Trans_Sum";"ei3c",#N/A,TRUE,"Earnings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function="false" hidden="true" name="wrn.17." vbProcedure="false">{"cover",#N/A,TRUE,"Cover";"toc5",#N/A,TRUE,"TOC";"over",#N/A,TRUE,"Overview";"ts2",#N/A,TRUE,"Det_Trans_Sum";"eic",#N/A,TRUE,"Earnings Impact";"ad",#N/A,TRUE,"accretion dilution";"pfis",#N/A,TRUE,"Pro Forma Income Statement";"ca",#N/A,TRUE,"Contribution_Analysis";"acqc",#N/A,TRUE,"Acquirer";"tarc",#N/A,TRUE,"Target"}</definedName>
    <definedName function="false" hidden="true" name="wrn.18." vbProcedure="false">{"cover",#N/A,TRUE,"Cover";"toc5",#N/A,TRUE,"TOC";"over",#N/A,TRUE,"Overview";"ts2",#N/A,TRUE,"Det_Trans_Sum";"ei1c",#N/A,TRUE,"Earnings Impact";"ad1",#N/A,TRUE,"accretion dilution";"pfis1",#N/A,TRUE,"Pro Forma Income Statement";"ca1",#N/A,TRUE,"Contribution_Analysis";"acq1c",#N/A,TRUE,"Acquirer";"tar1c",#N/A,TRUE,"Target"}</definedName>
    <definedName function="false" hidden="true" name="wrn.19." vbProcedure="false">{"cover",#N/A,TRUE,"Cover";"toc5",#N/A,TRUE,"TOC";"ts2",#N/A,TRUE,"Det_Trans_Sum";"over",#N/A,TRUE,"Overview";"ei2c",#N/A,TRUE,"Earnings Impact";"ad2",#N/A,TRUE,"accretion dilution";"pfis2",#N/A,TRUE,"Pro Forma Income Statement";"ca2",#N/A,TRUE,"Contribution_Analysis";"acq2c",#N/A,TRUE,"Acquirer";"tar2c",#N/A,TRUE,"Target"}</definedName>
    <definedName function="false" hidden="true" name="wrn.1996._.BUDGET." vbProcedure="false">{"SUMMARY",#N/A,TRUE,"SUMMARY";"compare",#N/A,TRUE,"Vs. Bus Plan";"ratios",#N/A,TRUE,"Ratios";"REVENUE",#N/A,TRUE,"Revenue";"expenses",#N/A,TRUE,"1996 budget";"payroll",#N/A,TRUE,"Payroll"}</definedName>
    <definedName function="false" hidden="true" name="wrn.1996._.BUDGET.1" vbProcedure="false">{"SUMMARY",#N/A,TRUE,"SUMMARY";"compare",#N/A,TRUE,"Vs. Bus Plan";"ratios",#N/A,TRUE,"Ratios";"REVENUE",#N/A,TRUE,"Revenue";"expenses",#N/A,TRUE,"1996 budget";"payroll",#N/A,TRUE,"Payroll"}</definedName>
    <definedName function="false" hidden="true" name="wrn.1996._.TO._.2004." vbProcedure="false">{"ten year ratios",#N/A,TRUE,"PROFIT_LOSS";"ten year ratios",#N/A,TRUE,"Ratios";"ten yr opex and capex",#N/A,TRUE,"1996 budget";"ten year revenues",#N/A,TRUE,"Revenue_1996-2004";"ten year payroll",#N/A,TRUE,"Payroll"}</definedName>
    <definedName function="false" hidden="true" name="wrn.1998._.FINANCIAL._.STATEMENTS." vbProcedure="false">{"QTR2PGIBS",#N/A,FALSE,"Qtr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function="false" hidden="true" name="wrn.1998._.IPO._.Update." vbProcedure="false">{#N/A,#N/A,FALSE,"Summary";#N/A,#N/A,FALSE,"Pending";#N/A,#N/A,FALSE,"Aug'98";#N/A,#N/A,FALSE,"July'98";#N/A,#N/A,FALSE,"June'98";#N/A,#N/A,FALSE,"May'98";#N/A,#N/A,FALSE,"Apr'98";#N/A,#N/A,FALSE,"Mar'98";#N/A,#N/A,FALSE,"Feb'98";#N/A,#N/A,FALSE,"Jan'98"}</definedName>
    <definedName function="false" hidden="true" name="wrn.1999._.Corporate." vbProcedure="false">{"1999Corporate",#N/A,FALSE,"Corporate"}</definedName>
    <definedName function="false" hidden="true" name="wrn.1999._.Funding." vbProcedure="false">{"1999Funding",#N/A,FALSE,"Funding"}</definedName>
    <definedName function="false" hidden="true" name="wrn.1999._.Grp._.Adjustments." vbProcedure="false">{"1999GrpAdj",#N/A,FALSE,"Grp Adj"}</definedName>
    <definedName function="false" hidden="true" name="wrn.1999._.Grp._.Consol." vbProcedure="false">{"1999GrpConsol",#N/A,FALSE,"Grp Consol"}</definedName>
    <definedName function="false" hidden="true" name="wrn.1999._.HTUK." vbProcedure="false">{"1999HTUK",#N/A,FALSE,"HTUK"}</definedName>
    <definedName function="false" hidden="true" name="wrn.1999._.International." vbProcedure="false">{"1999International",#N/A,FALSE,"International"}</definedName>
    <definedName function="false" hidden="true" name="wrn.1999._.OIDL." vbProcedure="false">{"1999OIDL",#N/A,FALSE,"OIDL"}</definedName>
    <definedName function="false" hidden="true" name="wrn.1999._.Trust." vbProcedure="false">{"1999Trust",#N/A,FALSE,"Trust"}</definedName>
    <definedName function="false" hidden="true" name="wrn.1TODO." vbProcedure="false">{"RESUMEN",#N/A,FALSE,"BASE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function="false" hidden="true" name="WRN.2." vbProcedure="false">{#N/A,#N/A,FALSE,"Calc";#N/A,#N/A,FALSE,"Sensitivity";#N/A,#N/A,FALSE,"LT Earn.Dil.";#N/A,#N/A,FALSE,"Dil. AVP"}</definedName>
    <definedName function="false" hidden="true" name="wrn.2._.pagers." vbProcedure="false">{"Cover",#N/A,FALSE,"Cover";"Summary",#N/A,FALSE,"Summarpage"}</definedName>
    <definedName function="false" hidden="true" name="wrn.2._.pagers.2" vbProcedure="false">{"Cover",#N/A,FALSE,"Cover";"Summary",#N/A,FALSE,"Summarpage"}</definedName>
    <definedName function="false" hidden="true" name="wrn.2._.pagers.3" vbProcedure="false">{"Cover",#N/A,FALSE,"Cover";"Summary",#N/A,FALSE,"Summarpage"}</definedName>
    <definedName function="false" hidden="true" name="wrn.2._.pagers.4" vbProcedure="false">{"Cover",#N/A,FALSE,"Cover";"Summary",#N/A,FALSE,"Summarpage"}</definedName>
    <definedName function="false" hidden="true" name="wrn.2._.pagers.5" vbProcedure="false">{"Cover",#N/A,FALSE,"Cover";"Summary",#N/A,FALSE,"Summarpage"}</definedName>
    <definedName function="false" hidden="true" name="wrn.2._.pagers.6" vbProcedure="false">{"Cover",#N/A,FALSE,"Cover";"Summary",#N/A,FALSE,"Summarpage"}</definedName>
    <definedName function="false" hidden="true" name="wrn.2._.pagers.8" vbProcedure="false">{"Cover",#N/A,FALSE,"Cover";"Summary",#N/A,FALSE,"Summarpage"}</definedName>
    <definedName function="false" hidden="true" name="wrn.2._.Print._.QTD._.Data." vbProcedure="false">{"Qtr vs ABP p1",#N/A,FALSE,"Quarter vs ABP";"Qtr vs ABP p2",#N/A,FALSE,"Quarter vs ABP";"Qtr",#N/A,FALSE,"Quarter"}</definedName>
    <definedName function="false" hidden="true" name="wrn.2._pagers.4" vbProcedure="false">{"Cover",#N/A,FALSE,"Cover";"Summary",#N/A,FALSE,"Summarpage"}</definedName>
    <definedName function="false" hidden="true" name="wrn.20." vbProcedure="false">{"cover",#N/A,TRUE,"Cover";"toc5",#N/A,TRUE,"TOC";"over",#N/A,TRUE,"Overview";"ts2",#N/A,TRUE,"Det_Trans_Sum";"ei3c",#N/A,TRUE,"Earnings Impact";"ad3",#N/A,TRUE,"accretion dilution";"pfis3",#N/A,TRUE,"Pro Forma Income Statement";"ca3",#N/A,TRUE,"Contribution_Analysis";"acq3c",#N/A,TRUE,"Acquirer";"tar3c",#N/A,TRUE,"Target"}</definedName>
    <definedName function="false" hidden="true" name="wrn.2000." vbProcedure="false">{"RES-2000",#N/A,FALSE,"BL2000";"A1-2000",#N/A,FALSE,"BL2000";"A2-2000",#N/A,FALSE,"BL2000"}</definedName>
    <definedName function="false" hidden="true" name="wrn.2000._.Corporate." vbProcedure="false">{"2000Corporate",#N/A,FALSE,"Corporate"}</definedName>
    <definedName function="false" hidden="true" name="wrn.2000._.Funding." vbProcedure="false">{"2000Funding",#N/A,FALSE,"Funding"}</definedName>
    <definedName function="false" hidden="true" name="wrn.2000._.Grp._.Adjustments." vbProcedure="false">{"2000GrpAdj",#N/A,FALSE,"Grp Adj"}</definedName>
    <definedName function="false" hidden="true" name="wrn.2000._.Grp._.Consol." vbProcedure="false">{"2000GrpConsol",#N/A,FALSE,"Grp Consol"}</definedName>
    <definedName function="false" hidden="true" name="wrn.2000._.HTUK." vbProcedure="false">{"2000HTUK",#N/A,FALSE,"HTUK"}</definedName>
    <definedName function="false" hidden="true" name="wrn.2000._.International." vbProcedure="false">{"2000International",#N/A,FALSE,"International"}</definedName>
    <definedName function="false" hidden="true" name="wrn.2000._.OIDL." vbProcedure="false">{"2000OIDL",#N/A,FALSE,"OIDL"}</definedName>
    <definedName function="false" hidden="true" name="wrn.2000._.Package._.GOM." vbProcedure="false">{"2000PPE",#N/A,FALSE,"PPE 2000";"2000DD",#N/A,FALSE,"DrydocksOther"}</definedName>
    <definedName function="false" hidden="true" name="wrn.2000._.Trust." vbProcedure="false">{"2000Trust",#N/A,FALSE,"Trust"}</definedName>
    <definedName function="false" hidden="true" name="wrn.2001." vbProcedure="false">{"RES-2001",#N/A,FALSE,"BL2000";"A1-2001",#N/A,FALSE,"BL2000";"A2-2001",#N/A,FALSE,"BL2000"}</definedName>
    <definedName function="false" hidden="true" name="wrn.2002." vbProcedure="false">{"RES-2002",#N/A,FALSE,"BL2000";"A1-2002",#N/A,FALSE,"BL2000";"A2-2002",#N/A,FALSE,"BL2000"}</definedName>
    <definedName function="false" hidden="true" name="wrn.2003." vbProcedure="false">{"RES-2002",#N/A,FALSE,"BL2000";"A1-2002",#N/A,FALSE,"BL2000";"A2-2002",#N/A,FALSE,"BL2000"}</definedName>
    <definedName function="false" hidden="true" name="wrn.21." vbProcedure="false">{"cover",#N/A,TRUE,"Cover";"toc6",#N/A,TRUE,"TOC";"over",#N/A,TRUE,"Overview";"ts2",#N/A,TRUE,"Det_Trans_Sum";"eic",#N/A,TRUE,"Earnings Impact";"ad",#N/A,TRUE,"accretion dilution";"hg",#N/A,TRUE,"Has-Gets";"pfis",#N/A,TRUE,"Pro Forma Income Statement";"ca",#N/A,TRUE,"Contribution_Analysis";"acqc",#N/A,TRUE,"Acquirer";"tarc",#N/A,TRUE,"Target"}</definedName>
    <definedName function="false" hidden="true" name="wrn.22." vbProcedure="false">{"cover",#N/A,TRUE,"Cover";"toc6",#N/A,TRUE,"TOC";"over",#N/A,TRUE,"Overview";"ts2",#N/A,TRUE,"Det_Trans_Sum";"ei1c",#N/A,TRUE,"Earnings Impact";"ad1",#N/A,TRUE,"accretion dilution";"hg1",#N/A,TRUE,"Has-Gets";"pfis1",#N/A,TRUE,"Pro Forma Income Statement";"ca1",#N/A,TRUE,"Contribution_Analysis";"acq1c",#N/A,TRUE,"Acquirer";"tar1c",#N/A,TRUE,"Target"}</definedName>
    <definedName function="false" hidden="true" name="wrn.23." vbProcedure="false">{"cover",#N/A,TRUE,"Cover";"toc6",#N/A,TRUE,"TOC";"pfis3",#N/A,TRUE,"Overview";"ts2",#N/A,TRUE,"Det_Trans_Sum";"ei2c",#N/A,TRUE,"Earnings Impact";"ad2",#N/A,TRUE,"accretion dilution";"hg2",#N/A,TRUE,"Has-Gets";"pfis2",#N/A,TRUE,"Pro Forma Income Statement";"ca2",#N/A,TRUE,"Contribution_Analysis";"acq2c",#N/A,TRUE,"Acquirer";"tar2c",#N/A,TRUE,"Target"}</definedName>
    <definedName function="false" hidden="true" name="wrn.24." vbProcedure="false">{"cover",#N/A,TRUE,"Cover";"toc6",#N/A,TRUE,"TOC";"over",#N/A,TRUE,"Overview";"ts2",#N/A,TRUE,"Det_Trans_Sum";"ei3c",#N/A,TRUE,"Earnings Impact";"ad3",#N/A,TRUE,"accretion dilution";"hg3",#N/A,TRUE,"Has-Gets";"pfis",#N/A,TRUE,"Pro Forma Income Statement";"ca3",#N/A,TRUE,"Contribution_Analysis";"acq3c",#N/A,TRUE,"Acquirer";"tar3c",#N/A,TRUE,"Target"}</definedName>
    <definedName function="false" hidden="true" name="wrn.25." vbProcedure="false">{"cover",#N/A,TRUE,"Cover";"toc3",#N/A,TRUE,"TOC";"over",#N/A,TRUE,"Overview";"ts2",#N/A,TRUE,"Det_Trans_Sum";"ei",#N/A,TRUE,"Earnings Impact";"ad",#N/A,TRUE,"accretion dilution";"pfis",#N/A,TRUE,"Pro Forma Income Statement";"acq",#N/A,TRUE,"Acquirer";"tar",#N/A,TRUE,"Target"}</definedName>
    <definedName function="false" hidden="true" name="wrn.26." vbProcedure="false">{"cover",#N/A,TRUE,"Cover";"toc3",#N/A,TRUE,"TOC";"over",#N/A,TRUE,"Overview";"ts2",#N/A,TRUE,"Det_Trans_Sum";"ei1",#N/A,TRUE,"Earnings Impact";"ad1",#N/A,TRUE,"accretion dilution";"pfis1",#N/A,TRUE,"Pro Forma Income Statement";"acq1",#N/A,TRUE,"Acquirer";"tar1",#N/A,TRUE,"Target"}</definedName>
    <definedName function="false" hidden="true" name="wrn.27." vbProcedure="false">{"cover",#N/A,TRUE,"Cover";"toc3",#N/A,TRUE,"TOC";"over",#N/A,TRUE,"Overview";"ts2",#N/A,TRUE,"Det_Trans_Sum";"ei2",#N/A,TRUE,"Earnings Impact";"ad2",#N/A,TRUE,"accretion dilution";"pfis2",#N/A,TRUE,"Pro Forma Income Statement";"acq2",#N/A,TRUE,"Acquirer";"tar2",#N/A,TRUE,"Target"}</definedName>
    <definedName function="false" hidden="true" name="wrn.28." vbProcedure="false">{"cover",#N/A,TRUE,"Cover";"toc3",#N/A,TRUE,"TOC";"over",#N/A,TRUE,"Overview";"ts2",#N/A,TRUE,"Det_Trans_Sum";"ei3",#N/A,TRUE,"Earnings Impact";"ad3",#N/A,TRUE,"accretion dilution";"pfis3",#N/A,TRUE,"Pro Forma Income Statement";"acq3",#N/A,TRUE,"Acquirer";"tar3",#N/A,TRUE,"Target"}</definedName>
    <definedName function="false" hidden="true" name="wrn.29." vbProcedure="false">{"cover",#N/A,TRUE,"Cover";"toc4",#N/A,TRUE,"TOC";"over",#N/A,TRUE,"Overview";"ts2",#N/A,TRUE,"Det_Trans_Sum";"ei",#N/A,TRUE,"Earnings Impact";"ad",#N/A,TRUE,"accretion dilution";"tas",#N/A,TRUE,"TaintedShares";"hg",#N/A,TRUE,"Has-Gets";"pfis",#N/A,TRUE,"Pro Forma Income Statement";"ca",#N/A,TRUE,"Contribution_Analysis";"acq",#N/A,TRUE,"Acquirer";"tar",#N/A,TRUE,"Target"}</definedName>
    <definedName function="false" hidden="true" name="wrn.2monthly" vbProcedure="false">{#N/A,#N/A,FALSE,"mfg - consol";#N/A,#N/A,FALSE,"mfg - flo";#N/A,#N/A,FALSE,"mfg - lindsay"}</definedName>
    <definedName function="false" hidden="true" name="wrn.2printreg." vbProcedure="false">{#N/A,#N/A,FALSE,"Sheet2"}</definedName>
    <definedName function="false" hidden="true" name="wrn.3." vbProcedure="false">{"cover",#N/A,TRUE,"Cover";"toc1",#N/A,TRUE,"TOC";"ts1",#N/A,TRUE,"Transaction Summary";"ei2",#N/A,TRUE,"Earnings Impact";"ad2",#N/A,TRUE,"accretion dilution"}</definedName>
    <definedName function="false" hidden="true" name="wrn.3._.month._.budget." vbProcedure="false">{"roll-up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function="false" hidden="true" name="wrn.3._.Print._.YTD._.Data." vbProcedure="false">{"Year vs ABP p1",#N/A,FALSE,"Year vs ABP";"Year vs ABP p2",#N/A,FALSE,"Year vs ABP";"Year",#N/A,FALSE,"Year"}</definedName>
    <definedName function="false" hidden="true" name="wrn.30." vbProcedure="false">{"cover",#N/A,TRUE,"Cover";"toc4",#N/A,TRUE,"TOC";"over",#N/A,TRUE,"Overview";"ts2",#N/A,TRUE,"Det_Trans_Sum";"ei1",#N/A,TRUE,"Earnings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function="false" hidden="true" name="wrn.31." vbProcedure="false">{"cover",#N/A,TRUE,"Cover";"toc4",#N/A,TRUE,"TOC";"over",#N/A,TRUE,"Overview";"ts2",#N/A,TRUE,"Det_Trans_Sum";"ei2",#N/A,TRUE,"Earnings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function="false" hidden="true" name="wrn.32." vbProcedure="false">{"cover",#N/A,TRUE,"Cover";"toc4",#N/A,TRUE,"TOC";"over",#N/A,TRUE,"Overview";"ts2",#N/A,TRUE,"Det_Trans_Sum";"ei3",#N/A,TRUE,"Earnings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function="false" hidden="true" name="wrn.33." vbProcedure="false">{"cover",#N/A,TRUE,"Cover";"toc5",#N/A,TRUE,"TOC";"over",#N/A,TRUE,"Overview";"ts2",#N/A,TRUE,"Det_Trans_Sum";"ei",#N/A,TRUE,"Earnings Impact";"ad",#N/A,TRUE,"accretion dilution";"pfis",#N/A,TRUE,"Pro Forma Income Statement";"ca",#N/A,TRUE,"Contribution_Analysis";"acq",#N/A,TRUE,"Acquirer";"tar",#N/A,TRUE,"Target"}</definedName>
    <definedName function="false" hidden="true" name="wrn.34." vbProcedure="false">{"cover",#N/A,TRUE,"Cover";"toc5",#N/A,TRUE,"TOC";"over",#N/A,TRUE,"Overview";"ts2",#N/A,TRUE,"Det_Trans_Sum";"ei1",#N/A,TRUE,"Earnings Impact";"ad1",#N/A,TRUE,"accretion dilution";"pfis1",#N/A,TRUE,"Pro Forma Income Statement";"ca1",#N/A,TRUE,"Contribution_Analysis";"acq1",#N/A,TRUE,"Acquirer";"tar1",#N/A,TRUE,"Target"}</definedName>
    <definedName function="false" hidden="true" name="wrn.345." vbProcedure="false">{#N/A,#N/A,FALSE,"96 3월물량표";#N/A,#N/A,FALSE,"96 4월물량표";#N/A,#N/A,FALSE,"96 5월물량표"}</definedName>
    <definedName function="false" hidden="true" name="wrn.35." vbProcedure="false">{"cover",#N/A,TRUE,"Cover";"toc5",#N/A,TRUE,"TOC";"over",#N/A,TRUE,"Overview";"ts2",#N/A,TRUE,"Det_Trans_Sum";"ei2",#N/A,TRUE,"Earnings Impact";"ad2",#N/A,TRUE,"accretion dilution";"pfis2",#N/A,TRUE,"Pro Forma Income Statement";"ca2",#N/A,TRUE,"Contribution_Analysis";"acq2",#N/A,TRUE,"Acquirer";"tar2",#N/A,TRUE,"Target"}</definedName>
    <definedName function="false" hidden="true" name="wrn.36." vbProcedure="false">{"cover",#N/A,TRUE,"Cover";"toc5",#N/A,TRUE,"TOC";"over",#N/A,TRUE,"Overview";"ts2",#N/A,TRUE,"Det_Trans_Sum";"ei3",#N/A,TRUE,"Earnings Impact";"ad3",#N/A,TRUE,"accretion dilution";"pfis3",#N/A,TRUE,"Pro Forma Income Statement";"ca3",#N/A,TRUE,"Contribution_Analysis";"acq3",#N/A,TRUE,"Acquirer";"tar3",#N/A,TRUE,"Target"}</definedName>
    <definedName function="false" hidden="true" name="wrn.37." vbProcedure="false">{"cover",#N/A,TRUE,"Cover";"toc6",#N/A,TRUE,"TOC";"over",#N/A,TRUE,"Overview";"ts2",#N/A,TRUE,"Det_Trans_Sum";"ei",#N/A,TRUE,"Earnings Impact";"ad",#N/A,TRUE,"accretion dilution";"hg",#N/A,TRUE,"Has-Gets";"pfis",#N/A,TRUE,"Pro Forma Income Statement";"ca",#N/A,TRUE,"Contribution_Analysis";"acq",#N/A,TRUE,"Acquirer";"tar",#N/A,TRUE,"Target"}</definedName>
    <definedName function="false" hidden="true" name="wrn.38." vbProcedure="false">{"cover",#N/A,TRUE,"Cover";"toc6",#N/A,TRUE,"TOC";"over",#N/A,TRUE,"Overview";"ts2",#N/A,TRUE,"Det_Trans_Sum";"ei1",#N/A,TRUE,"Earnings Impact";"ad1",#N/A,TRUE,"accretion dilution";"hg1",#N/A,TRUE,"Has-Gets";"pfis1",#N/A,TRUE,"Pro Forma Income Statement";"ca1",#N/A,TRUE,"Contribution_Analysis";"acq1",#N/A,TRUE,"Acquirer";"tar1",#N/A,TRUE,"Target"}</definedName>
    <definedName function="false" hidden="true" name="wrn.39." vbProcedure="false">{"cover",#N/A,TRUE,"Cover";"toc6",#N/A,TRUE,"TOC";"over",#N/A,TRUE,"Overview";"ts2",#N/A,TRUE,"Det_Trans_Sum";"ei2",#N/A,TRUE,"Earnings Impact";"ad2",#N/A,TRUE,"accretion dilution";"hg2",#N/A,TRUE,"Has-Gets";"pfis2",#N/A,TRUE,"Pro Forma Income Statement";"ca2",#N/A,TRUE,"Contribution_Analysis";"acq2",#N/A,TRUE,"Acquirer";"tar2",#N/A,TRUE,"Target"}</definedName>
    <definedName function="false" hidden="true" name="WRN.3monthly" vbProcedure="false">{#N/A,#N/A,FALSE,"mfg - consol";#N/A,#N/A,FALSE,"mfg - flo";#N/A,#N/A,FALSE,"mfg - lindsay"}</definedName>
    <definedName function="false" hidden="true" name="wrn.4." vbProcedure="false">{"toc1",#N/A,FALSE,"TOC";"cover",#N/A,FALSE,"Cover";"ts1",#N/A,FALSE,"Transaction Summary";"ei3",#N/A,FALSE,"Earnings Impact";"ad3",#N/A,FALSE,"accretion dilution"}</definedName>
    <definedName function="false" hidden="true" name="wrn.4._.Print._.Appendix._.I." vbProcedure="false">{"Appendix I",#N/A,FALSE,"Appendix I   - Assy Var"}</definedName>
    <definedName function="false" hidden="true" name="wrn.40." vbProcedure="false">{"cover",#N/A,TRUE,"Cover";"toc6",#N/A,TRUE,"TOC";"over",#N/A,TRUE,"Overview";"ts2",#N/A,TRUE,"Det_Trans_Sum";"ei3",#N/A,TRUE,"Earnings Impact";"ad3",#N/A,TRUE,"accretion dilution";"hg3",#N/A,TRUE,"Has-Gets";"pfis3",#N/A,TRUE,"Pro Forma Income Statement";"ca3",#N/A,TRUE,"Contribution_Analysis";"acq3",#N/A,TRUE,"Acquirer";"tar3",#N/A,TRUE,"Target"}</definedName>
    <definedName function="false" hidden="true" name="wrn.41." vbProcedure="false">{"cover",#N/A,TRUE,"Cover";"toc7",#N/A,TRUE,"TOC";"over",#N/A,TRUE,"Overview";"ts2",#N/A,TRUE,"Det_Trans_Sum";"eic",#N/A,TRUE,"Earnings Impact";"ad",#N/A,TRUE,"accretion dilution";"pfis",#N/A,TRUE,"Pro Forma Income Statement";"profba",#N/A,TRUE,"Pro Forma Balance Sheet";"acqc",#N/A,TRUE,"Acquirer";"tarc",#N/A,TRUE,"Target"}</definedName>
    <definedName function="false" hidden="true" name="wrn.42." vbProcedure="false">{"cover",#N/A,TRUE,"Cover";"toc7",#N/A,TRUE,"TOC";"over",#N/A,TRUE,"Overview";"ts2",#N/A,TRUE,"Det_Trans_Sum";"ei1c",#N/A,TRUE,"Earnings Impact";"ad1",#N/A,TRUE,"accretion dilution";"pfis1",#N/A,TRUE,"Pro Forma Income Statement";"profba",#N/A,TRUE,"Pro Forma Balance Sheet";"acq1c",#N/A,TRUE,"Acquirer";"tar1c",#N/A,TRUE,"Target"}</definedName>
    <definedName function="false" hidden="true" name="wrn.43." vbProcedure="false">{"cover",#N/A,TRUE,"Cover";"toc7",#N/A,TRUE,"TOC";"over",#N/A,TRUE,"Overview";"ts2",#N/A,TRUE,"Det_Trans_Sum";"ei2c",#N/A,TRUE,"Earnings Impact";"ad2",#N/A,TRUE,"accretion dilution";"pfis2",#N/A,TRUE,"Pro Forma Income Statement";"profba",#N/A,TRUE,"Pro Forma Balance Sheet";"acq2c",#N/A,TRUE,"Acquirer";"tar2c",#N/A,TRUE,"Target"}</definedName>
    <definedName function="false" hidden="true" name="wrn.44." vbProcedure="false">{"cover",#N/A,TRUE,"Cover";"toc7",#N/A,TRUE,"TOC";"over",#N/A,TRUE,"Overview";"ts2",#N/A,TRUE,"Det_Trans_Sum";"ei3c",#N/A,TRUE,"Earnings Impact";"ad3",#N/A,TRUE,"accretion dilution";"pfis3",#N/A,TRUE,"Pro Forma Income Statement";"profba",#N/A,TRUE,"Pro Forma Balance Sheet";"acq3c",#N/A,TRUE,"Acquirer";"tar3c",#N/A,TRUE,"Target"}</definedName>
    <definedName function="false" hidden="true" name="wrn.45." vbProcedure="false">{"cover",#N/A,TRUE,"Cover";"toc8",#N/A,TRUE,"TOC";"over",#N/A,TRUE,"Overview";"ts2",#N/A,TRUE,"Det_Trans_Sum";"eic",#N/A,TRUE,"Earnings Impact";"ad",#N/A,TRUE,"accretion dilution";"pfis",#N/A,TRUE,"Pro Forma Income Statement";"ca",#N/A,TRUE,"Contribution_Analysis";"profba",#N/A,TRUE,"Pro Forma Balance Sheet";"acqc",#N/A,TRUE,"Acquirer";"tarc",#N/A,TRUE,"Target"}</definedName>
    <definedName function="false" hidden="true" name="wrn.46." vbProcedure="false">{"cover",#N/A,TRUE,"Cover";"toc8",#N/A,TRUE,"TOC";"over",#N/A,TRUE,"Overview";"ts2",#N/A,TRUE,"Det_Trans_Sum";"ei1c",#N/A,TRUE,"Earnings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function="false" hidden="true" name="wrn.47." vbProcedure="false">{"cover",#N/A,TRUE,"Cover";"toc8",#N/A,TRUE,"TOC";"over",#N/A,TRUE,"Overview";"ts2",#N/A,TRUE,"Det_Trans_Sum";"ei2c",#N/A,TRUE,"Earnings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function="false" hidden="true" name="wrn.48." vbProcedure="false">{"cover",#N/A,TRUE,"Cover";"toc8",#N/A,TRUE,"TOC";"over",#N/A,TRUE,"Overview";"ts2",#N/A,TRUE,"Det_Trans_Sum";"ei3c",#N/A,TRUE,"Earnings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function="false" hidden="true" name="wrn.49." vbProcedure="false">{"cover",#N/A,TRUE,"Cover";"toc9",#N/A,TRUE,"TOC";"over",#N/A,TRUE,"Overview";"ts2",#N/A,TRUE,"Det_Trans_Sum";"eic",#N/A,TRUE,"Earnings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function="false" hidden="true" name="wrn.495BS." vbProcedure="false">{#N/A,#N/A,FALSE,"PRO FORMA FINANCIALS"}</definedName>
    <definedName function="false" hidden="true" name="wrn.495BSADJUST." vbProcedure="false">{#N/A,#N/A,FALSE,"PRO FORMA FINANCIALS"}</definedName>
    <definedName function="false" hidden="true" name="wrn.495IS." vbProcedure="false">{#N/A,#N/A,FALSE,"PRO FORMA FINANCIALS"}</definedName>
    <definedName function="false" hidden="true" name="wrn.495ISADJUST." vbProcedure="false">{#N/A,#N/A,FALSE,"PRO FORMA FINANCIALS"}</definedName>
    <definedName function="false" hidden="true" name="wrn.5." vbProcedure="false">{"cover",#N/A,TRUE,"Cover";"toc2",#N/A,TRUE,"TOC";"ts1",#N/A,TRUE,"Transaction Summary";"ei",#N/A,TRUE,"Earnings Impact";"ad",#N/A,TRUE,"accretion dilution";"hg",#N/A,TRUE,"Has-Gets"}</definedName>
    <definedName function="false" hidden="true" name="wrn.5._.Print._.Appendix._.II." vbProcedure="false">{"Appendix II",#N/A,FALSE,"Appendix II - Manu Var (Month)"}</definedName>
    <definedName function="false" hidden="true" name="wrn.5._.Year." vbProcedure="false">{#N/A,#N/A,FALSE,"Cover";"Bal 1",#N/A,FALSE,"Balance Sheet";"Inc 1",#N/A,FALSE,"Income Statement";"CF 1",#N/A,FALSE,"Cashflow";"Bal 2",#N/A,FALSE,"Balance Sheet";"Inc 2",#N/A,FALSE,"Income Statement";"CF 2",#N/A,FALSE,"Cashflow";"Other 1",#N/A,FALSE,"Additional Info"}</definedName>
    <definedName function="false" hidden="true" name="wrn.50." vbProcedure="false">{"cover",#N/A,TRUE,"Cover";"toc9",#N/A,TRUE,"TOC";"over",#N/A,TRUE,"Overview";"ts2",#N/A,TRUE,"Det_Trans_Sum";"ei1c",#N/A,TRUE,"Earnings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function="false" hidden="true" name="wrn.50.2" vbProcedure="false">{"assumption 50 50",#N/A,TRUE,"Merger";"has gets cash",#N/A,TRUE,"Merger";"accretion dilution",#N/A,TRUE,"Merger";"comparison credit stats",#N/A,TRUE,"Merger";"pf credit stats",#N/A,TRUE,"Merger";"pf sheets",#N/A,TRUE,"Merger"}</definedName>
    <definedName function="false" hidden="true" name="wrn.50._.50." vbProcedure="false">{"assumption 50 50",#N/A,TRUE,"Merger";"has gets cash",#N/A,TRUE,"Merger";"accretion dilution",#N/A,TRUE,"Merger";"comparison credit stats",#N/A,TRUE,"Merger";"pf credit stats",#N/A,TRUE,"Merger";"pf sheets",#N/A,TRUE,"Merger"}</definedName>
    <definedName function="false" hidden="true" name="wrn.50_.501" vbProcedure="false">{"assumption 50 50",#N/A,TRUE,"Merger";"has gets cash",#N/A,TRUE,"Merger";"accretion dilution",#N/A,TRUE,"Merger";"comparison credit stats",#N/A,TRUE,"Merger";"pf credit stats",#N/A,TRUE,"Merger";"pf sheets",#N/A,TRUE,"Merger"}</definedName>
    <definedName function="false" hidden="true" name="wrn.51." vbProcedure="false">{"cover",#N/A,TRUE,"Cover";"toc9",#N/A,TRUE,"TOC";"over",#N/A,TRUE,"Overview";"ei2c",#N/A,TRUE,"Earnings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function="false" hidden="true" name="wrn.52." vbProcedure="false">{"cover",#N/A,TRUE,"Cover";"toc9",#N/A,TRUE,"TOC";"over",#N/A,TRUE,"Overview";"ts2",#N/A,TRUE,"Det_Trans_Sum";"ei3c",#N/A,TRUE,"Earnings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function="false" hidden="true" name="wrn.53." vbProcedure="false">{"cover",#N/A,TRUE,"Cover";"toc10",#N/A,TRUE,"TOC";"over",#N/A,TRUE,"Overview";"ts2",#N/A,TRUE,"Det_Trans_Sum";"eic",#N/A,TRUE,"Earnings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function="false" hidden="true" name="wrn.54." vbProcedure="false">{"cover",#N/A,TRUE,"Cover";"toc10",#N/A,TRUE,"TOC";"over",#N/A,TRUE,"Overview";"over",#N/A,TRUE,"Det_Trans_Sum";"ei1c",#N/A,TRUE,"Earnings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function="false" hidden="true" name="wrn.55." vbProcedure="false">{"cover",#N/A,TRUE,"Cover";"toc10",#N/A,TRUE,"TOC";"over",#N/A,TRUE,"Overview";"ts2",#N/A,TRUE,"Det_Trans_Sum";"ei2c",#N/A,TRUE,"Earnings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function="false" hidden="true" name="wrn.56." vbProcedure="false">{"cover",#N/A,TRUE,"Cover";"toc10",#N/A,TRUE,"TOC";"over",#N/A,TRUE,"Overview";"ts2",#N/A,TRUE,"Det_Trans_Sum";"ei3c",#N/A,TRUE,"Earnings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function="false" hidden="true" name="wrn.57." vbProcedure="false">{"cover",#N/A,TRUE,"Cover";"toc7",#N/A,TRUE,"TOC";"over",#N/A,TRUE,"Overview";"ts2",#N/A,TRUE,"Det_Trans_Sum";"ei",#N/A,TRUE,"Earnings Impact";"ad",#N/A,TRUE,"accretion dilution";"pfis",#N/A,TRUE,"Pro Forma Income Statement";"profba",#N/A,TRUE,"Pro Forma Balance Sheet";"acq",#N/A,TRUE,"Acquirer";"tar",#N/A,TRUE,"Target"}</definedName>
    <definedName function="false" hidden="true" name="wrn.58." vbProcedure="false">{"cover",#N/A,TRUE,"Cover";"toc7",#N/A,TRUE,"TOC";"over",#N/A,TRUE,"Overview";"ts2",#N/A,TRUE,"Det_Trans_Sum";"ei1",#N/A,TRUE,"Earnings Impact";"ad1",#N/A,TRUE,"accretion dilution";"pfis1",#N/A,TRUE,"Pro Forma Income Statement";"profba",#N/A,TRUE,"Pro Forma Balance Sheet";"acq1",#N/A,TRUE,"Acquirer";"tar1",#N/A,TRUE,"Target"}</definedName>
    <definedName function="false" hidden="true" name="wrn.59." vbProcedure="false">{"cover",#N/A,TRUE,"Cover";"toc7",#N/A,TRUE,"TOC";"over",#N/A,TRUE,"Overview";"ts2",#N/A,TRUE,"Det_Trans_Sum";"ei2",#N/A,TRUE,"Earnings Impact";"ad2",#N/A,TRUE,"accretion dilution";"pfis2",#N/A,TRUE,"Pro Forma Income Statement";"profba",#N/A,TRUE,"Pro Forma Balance Sheet";"acq2",#N/A,TRUE,"Acquirer";"tar2",#N/A,TRUE,"Target"}</definedName>
    <definedName function="false" hidden="true" name="wrn.5a._.Co._.Ttl._.inc._.Buffer." vbProcedure="false">{#N/A,#N/A,FALSE,"5 Company Total 2 inc buffer"}</definedName>
    <definedName function="false" hidden="true" name="wrn.5b._.Buffer." vbProcedure="false">{#N/A,#N/A,FALSE,"Buffer"}</definedName>
    <definedName function="false" hidden="true" name="wrn.6." vbProcedure="false">{"cover",#N/A,TRUE,"Cover";"toc2",#N/A,TRUE,"TOC";"ts1",#N/A,TRUE,"Transaction Summary";"ei1",#N/A,TRUE,"Earnings Impact";"ad1",#N/A,TRUE,"accretion dilution";"hg1",#N/A,TRUE,"Has-Gets"}</definedName>
    <definedName function="false" hidden="true" name="wrn.6._.Print._.Appendix._.III." vbProcedure="false">{"Appendix III",#N/A,FALSE,"Appendix III - Manu Var (QTD) "}</definedName>
    <definedName function="false" hidden="true" name="wrn.60." vbProcedure="false">{"cover",#N/A,TRUE,"Cover";"toc7",#N/A,TRUE,"TOC";"over",#N/A,TRUE,"Overview";"ts2",#N/A,TRUE,"Det_Trans_Sum";"ei3",#N/A,TRUE,"Earnings Impact";"ad3",#N/A,TRUE,"accretion dilution";"pfis3",#N/A,TRUE,"Pro Forma Income Statement";"profba",#N/A,TRUE,"Pro Forma Balance Sheet";"acq3",#N/A,TRUE,"Acquirer";"tar3",#N/A,TRUE,"Target"}</definedName>
    <definedName function="false" hidden="true" name="wrn.61." vbProcedure="false">{"cover",#N/A,TRUE,"Cover";"toc8",#N/A,TRUE,"TOC";"over",#N/A,TRUE,"Overview";"ts2",#N/A,TRUE,"Det_Trans_Sum";"ei",#N/A,TRUE,"Earnings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function="false" hidden="true" name="wrn.62." vbProcedure="false">{"cover",#N/A,TRUE,"Cover";"toc8",#N/A,TRUE,"TOC";"over",#N/A,TRUE,"Overview";"ts2",#N/A,TRUE,"Det_Trans_Sum";"ei1",#N/A,TRUE,"Earnings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function="false" hidden="true" name="wrn.63." vbProcedure="false">{"cover",#N/A,TRUE,"Cover";"toc8",#N/A,TRUE,"TOC";"over",#N/A,TRUE,"Overview";"ts2",#N/A,TRUE,"Det_Trans_Sum";"ei2",#N/A,TRUE,"Earnings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function="false" hidden="true" name="wrn.64." vbProcedure="false">{"cover",#N/A,TRUE,"Cover";"toc8",#N/A,TRUE,"TOC";"over",#N/A,TRUE,"Overview";"ts2",#N/A,TRUE,"Det_Trans_Sum";"ei3",#N/A,TRUE,"Earnings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function="false" hidden="true" name="wrn.65." vbProcedure="false">{"cover",#N/A,TRUE,"Cover";"toc9",#N/A,TRUE,"TOC";"over",#N/A,TRUE,"Overview";"ts2",#N/A,TRUE,"Det_Trans_Sum";"ei",#N/A,TRUE,"Earnings Impact";"ad1",#N/A,TRUE,"accretion dilution";"pfis",#N/A,TRUE,"Pro Forma Income Statement";"ca",#N/A,TRUE,"Contribution_Analysis";"profba",#N/A,TRUE,"Pro Forma Balance Sheet";"acq",#N/A,TRUE,"Acquirer";"tar",#N/A,TRUE,"Target"}</definedName>
    <definedName function="false" hidden="true" name="wrn.66." vbProcedure="false">{"cover",#N/A,TRUE,"Cover";"toc9",#N/A,TRUE,"TOC";"over",#N/A,TRUE,"Overview";"ts2",#N/A,TRUE,"Det_Trans_Sum";"ei1",#N/A,TRUE,"Earnings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function="false" hidden="true" name="wrn.67." vbProcedure="false">{"cover",#N/A,TRUE,"Cover";"toc9",#N/A,TRUE,"TOC";"over",#N/A,TRUE,"Overview";"ts2",#N/A,TRUE,"Det_Trans_Sum";"ei2",#N/A,TRUE,"Earnings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function="false" hidden="true" name="wrn.68." vbProcedure="false">{"cover",#N/A,TRUE,"Cover";"toc9",#N/A,TRUE,"TOC";"over",#N/A,TRUE,"Overview";"ts2",#N/A,TRUE,"Det_Trans_Sum";"ei3",#N/A,TRUE,"Earnings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function="false" hidden="true" name="wrn.69." vbProcedure="false">{"cover",#N/A,TRUE,"Cover";"toc10",#N/A,TRUE,"TOC";"over",#N/A,TRUE,"Overview";"ts2",#N/A,TRUE,"Det_Trans_Sum";"ei",#N/A,TRUE,"Earnings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function="false" hidden="true" name="wrn.7." vbProcedure="false">{"cover",#N/A,TRUE,"Cover";"toc2",#N/A,TRUE,"TOC";"ts1",#N/A,TRUE,"Transaction Summary";"ei2c",#N/A,TRUE,"Earnings Impact";"ad2",#N/A,TRUE,"accretion dilution";"hg2",#N/A,TRUE,"Has-Gets"}</definedName>
    <definedName function="false" hidden="true" name="wrn.7._.Print._.Appendix._.IV." vbProcedure="false">{"Appendix IV",#N/A,FALSE,"Appendix IV - Inventory Change"}</definedName>
    <definedName function="false" hidden="true" name="wrn.70." vbProcedure="false">{"cover",#N/A,TRUE,"Cover";"toc10",#N/A,TRUE,"TOC";"over",#N/A,TRUE,"Overview";"ts2",#N/A,TRUE,"Det_Trans_Sum";"ei1",#N/A,TRUE,"Earnings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function="false" hidden="true" name="wrn.71." vbProcedure="false">{"cover",#N/A,TRUE,"Cover";"toc10",#N/A,TRUE,"TOC";"over",#N/A,TRUE,"Overview";"ts2",#N/A,TRUE,"Det_Trans_Sum";"ei2",#N/A,TRUE,"Earnings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function="false" hidden="true" name="wrn.72." vbProcedure="false">{"cover",#N/A,TRUE,"Cover";"toc10",#N/A,TRUE,"TOC";"over",#N/A,TRUE,"Overview";"ts2",#N/A,TRUE,"Det_Trans_Sum";"ei3",#N/A,TRUE,"Earnings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function="false" hidden="true" name="wrn.730." vbProcedure="false">{#N/A,#N/A,FALSE,"REPORT"}</definedName>
    <definedName function="false" hidden="true" name="wrn.731" vbProcedure="false">{#N/A,#N/A,FALSE,"REPORT"}</definedName>
    <definedName function="false" hidden="true" name="wrn.750." vbProcedure="false">{#N/A,#N/A,FALSE,"REPORT"}</definedName>
    <definedName function="false" hidden="true" name="wrn.7501" vbProcedure="false">{#N/A,#N/A,FALSE,"REPORT"}</definedName>
    <definedName function="false" hidden="true" name="wrn.760.16." vbProcedure="false">{#N/A,#N/A,FALSE,"REPORT"}</definedName>
    <definedName function="false" hidden="true" name="wrn.7900" vbProcedure="false">{#N/A,#N/A,FALSE,"REPORT"}</definedName>
    <definedName function="false" hidden="true" name="wrn.8." vbProcedure="false">{"cover",#N/A,TRUE,"Cover";"toc2",#N/A,TRUE,"TOC";"ts1",#N/A,TRUE,"Transaction Summary";"ei3",#N/A,TRUE,"Earnings Impact";"ad3",#N/A,TRUE,"accretion dilution";"hg3",#N/A,TRUE,"Has-Gets"}</definedName>
    <definedName function="false" hidden="true" name="wrn.9." vbProcedure="false">{"cover",#N/A,TRUE,"Cover";"toc3",#N/A,TRUE,"TOC";"over",#N/A,TRUE,"Overview";"ts2",#N/A,TRUE,"Det_Trans_Sum";"eic",#N/A,TRUE,"Earnings Impact";"ad",#N/A,TRUE,"accretion dilution";"pfis",#N/A,TRUE,"Pro Forma Income Statement";"acqc",#N/A,TRUE,"Acquirer";"tarc",#N/A,TRUE,"Target"}</definedName>
    <definedName function="false" hidden="true" name="wrn.905" vbProcedure="false">{#N/A,#N/A,FALSE,"REPORT"}</definedName>
    <definedName function="false" hidden="true" name="wrn.97." vbProcedure="false">{"ONE",#N/A,FALSE,"96DDCOD";"TWO",#N/A,FALSE,"96DDCOD"}</definedName>
    <definedName function="false" hidden="true" name="wrn.97.1a" vbProcedure="false">{"ONE",#N/A,FALSE,"96DDCOD";"TWO",#N/A,FALSE,"96DDCOD"}</definedName>
    <definedName function="false" hidden="true" name="wrn.98._.VALUE._.ANALYSES." vbProcedure="false">{#VALUE!,#N/A,FALSE,0;#N/A,#N/A,FALSE,0;#N/A,#N/A,FALSE,0;#N/A,#N/A,FALSE,0}</definedName>
    <definedName function="false" hidden="true" name="wrn.99" vbProcedure="false">{"cover",#N/A,TRUE,"Cover";"toc4",#N/A,TRUE,"TOC";"over",#N/A,TRUE,"Overview";"ts2",#N/A,TRUE,"Det_Trans_Sum";"eic",#N/A,TRUE,"Earnings Impact";"ad",#N/A,TRUE,"accretion dilution";"tas",#N/A,TRUE,"TaintedShares";"hg",#N/A,TRUE,"Has-Gets";"pfis",#N/A,TRUE,"Pro Forma Income Statement";"ca",#N/A,TRUE,"Contribution_Analysis";"acqc",#N/A,TRUE,"Acquirer";"tarc",#N/A,TRUE,"Target"}</definedName>
    <definedName function="false" hidden="true" name="wrn.99999" vbProcedure="false">{#N/A,#N/A,FALSE,"REPORT"}</definedName>
    <definedName function="false" hidden="true" name="wrn.a1._.FY9798Totals._.no._.var." vbProcedure="false">{"FY97Tot nvs",#N/A,FALSE,"FY97 - Total";"FY98Tot nvs",#N/A,FALSE,"FY98 - Total"}</definedName>
    <definedName function="false" hidden="true" name="wrn.a2._.FY97Q1234._.no._.var." vbProcedure="false">{"FY97Q1 nvs",#N/A,FALSE,"FY97 - Q1";"FY97Q2 nvs",#N/A,FALSE,"FY97 - Q2";"FY97Q3 nvs",#N/A,FALSE,"FY97 - Q3";"FY97Q4 nvs",#N/A,FALSE,"FY97 - Q4"}</definedName>
    <definedName function="false" hidden="true" name="wrn.a3._.FY98Q1234._.no._.var." vbProcedure="false">{"FY98Q1 nvs",#N/A,FALSE,"FY98 - Q1";"FY98Q2 nvs",#N/A,FALSE,"FY98 - Q2";"FY98Q3 nvs",#N/A,FALSE,"FY98 - Q3";"FY98Q4 nvs",#N/A,FALSE,"FY98 - Q4"}</definedName>
    <definedName function="false" hidden="true" name="wrn.aaa" vbProcedure="false">{#N/A,#N/A,FALSE,"Pharm";#N/A,#N/A,FALSE,"WWCM"}</definedName>
    <definedName function="false" hidden="true" name="wrn.aaaaaaa" vbProcedure="false">{#N/A,#N/A,FALSE,"Pharm";#N/A,#N/A,FALSE,"WWCM"}</definedName>
    <definedName function="false" hidden="true"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name="wrn.abc." vbProcedure="false">{#N/A,#N/A,FALSE,"Bezirk SW";#N/A,#N/A,FALSE,"Dir S (GK)";#N/A,#N/A,FALSE,"Dir FR (PK)"}</definedName>
    <definedName function="false" hidden="true" name="wrn.Abf.._.Szenario._.A." vbProcedure="false">{"Avorstand",#N/A,TRUE,"Abf. Szenario ";"Bnord",#N/A,TRUE,"Abf. Szenario ";"Cnordwest",#N/A,TRUE,"Abf. Szenario ";"Dwest",#N/A,TRUE,"Abf. Szenario ";"Esüdwest",#N/A,TRUE,"Abf. Szenario ";"Fsüd",#N/A,TRUE,"Abf. Szenario ";"Host",#N/A,TRUE,"Abf. Szenario ";"Gesamt",#N/A,TRUE,"Abf. Szenario "}</definedName>
    <definedName function="false" hidden="true" name="wrn.AccountDetail." vbProcedure="false">{"NissanDetail",#N/A,FALSE,"1096NNA";"InfinitiDetail",#N/A,FALSE,"1096NNA";"PartsServDetail",#N/A,FALSE,"1096NNA";"VehicleOpsDetail",#N/A,FALSE,"1096NNA";"OtherexpDetail",#N/A,FALSE,"1096NNA"}</definedName>
    <definedName function="false" hidden="true" name="wrn.Accounts." vbProcedure="false">{"turnover",#N/A,FALSE;"profits",#N/A,FALSE;"cash",#N/A,FALSE}</definedName>
    <definedName function="false" hidden="true" name="wrn.Accounts._.99._.00." vbProcedure="false">{"Ratio1",#N/A,FALSE,"Management Accounts";"Ratio2",#N/A,FALSE,"Management Accounts";"I &amp; E",#N/A,FALSE,"Management Accounts";"PRA",#N/A,FALSE,"Management Accounts";"Property Sales",#N/A,FALSE,"Management Accounts";"Dev",#N/A,FALSE,"Management Accounts";"F &amp; A",#N/A,FALSE,"Management Accounts";"Balance Sheet",#N/A,FALSE,"Management Accounts";"Rents",#N/A,FALSE,"Management Accounts";"Note PRA",#N/A,FALSE,"Management Accounts";"FA:Prop",#N/A,FALSE,"Management Accounts";"FA:Other",#N/A,FALSE,"Management Accounts";"Debtors",#N/A,FALSE,"Management Accounts";"Cash",#N/A,FALSE,"Forecast CF";"PI",#N/A,FALSE,"Performance"}</definedName>
    <definedName function="false" hidden="true" name="wrn.Accounts._.and._.Assumptions." vbProcedure="false">{"S&amp;U",#N/A,FALSE,"s&amp;u";"financing",#N/A,FALSE,"Input";"financing2",#N/A,FALSE,"Input";"Balance Sheet",#N/A,FALSE,"BS";"P&amp;L",#N/A,FALSE,"P&amp;L";"Cashflow",#N/A,FALSE,"CF"}</definedName>
    <definedName function="false" hidden="true" name="wrn.ACCOUNTS._.PAYABLE." vbProcedure="false">{#N/A,#N/A,FALSE,"CC-1 Accounts Payable";#N/A,#N/A,FALSE,"CC-2 Search for Unrecorded Liab"}</definedName>
    <definedName function="false" hidden="true" name="wrn.Accretion." vbProcedure="false">{"Accretion",#N/A,FALSE,"Assum"}</definedName>
    <definedName function="false" hidden="true" name="wrn.ACCRUED._.EXPENSES." vbProcedure="false">{#N/A,#N/A,FALSE,"EE-1 Othr Acts. Pbl &amp; Accr. Exp";#N/A,#N/A,FALSE,"FF-1 Payroll Taxes";#N/A,#N/A,FALSE,"HH-1 Employee Benefit Plans"}</definedName>
    <definedName function="false" hidden="true" name="wrn.Accr_Dil." vbProcedure="false">{#N/A,#N/A,FALSE,"Debt Accr";#N/A,#N/A,FALSE,"Stock Accr";#N/A,#N/A,FALSE,"Debt Stock Accr"}</definedName>
    <definedName function="false" hidden="true" name="wrn.ACI." vbProcedure="false">{"ACI IS",#N/A,FALSE,"ACI - IS";"ACI BS",#N/A,FALSE,"ACI - BS";"ACI Detail IS",#N/A,FALSE,"ACI - Detail IS";"ACI Detail IS Supplemental Info",#N/A,FALSE,"ACI - Detail IS";"ACI Monthly 1999",#N/A,FALSE,"ACI Monthly";"ACI Monthly 1998",#N/A,FALSE,"ACI Monthly";"ACI Monthly 1997",#N/A,FALSE,"ACI Monthly"}</definedName>
    <definedName function="false" hidden="true" name="wrn.ACK." vbProcedure="false">{"Annual",#N/A,FALSE,"ACK";"Margins",#N/A,FALSE,"ACK";"Q",#N/A,FALSE,"QTRS."}</definedName>
    <definedName function="false" hidden="true" name="wrn.AcqState." vbProcedure="false">{#N/A,#N/A,TRUE,"Acq-Ass";#N/A,#N/A,TRUE,"Acq-IS";#N/A,#N/A,TRUE,"Acq-BS";#N/A,#N/A,TRUE,"Acq-CF"}</definedName>
    <definedName function="false" hidden="true" name="wrn.Acquiror." vbProcedure="false">{#N/A,#N/A,TRUE,"Acq-Ass";#N/A,#N/A,TRUE,"Acq-IS";#N/A,#N/A,TRUE,"Acq-BS";#N/A,#N/A,TRUE,"Acq-CF";#N/A,#N/A,TRUE,"Acq-Proj";#N/A,#N/A,TRUE,"Acq-CapEx";#N/A,#N/A,TRUE,"Acq-Debt";#N/A,#N/A,TRUE,"Acq-Int";#N/A,#N/A,TRUE,"Acq-BD";#N/A,#N/A,TRUE,"Acq-TD";#N/A,#N/A,TRUE,"Acq-Taxes";#N/A,#N/A,TRUE,"Acq-Credit";#N/A,#N/A,TRUE,"Acq-Val";#N/A,#N/A,TRUE,"Acq-Mult Val"}</definedName>
    <definedName function="false" hidden="true" name="wrn.Acquisition_matrix." vbProcedure="false">{"Acq_matrix",#N/A,FALSE,"Acquisition Matrix"}</definedName>
    <definedName function="false" hidden="true" name="wrn.Acquisition_matrix1" vbProcedure="false">{"Acq_matrix",#N/A,FALSE,"Acquisition Matrix"}</definedName>
    <definedName function="false" hidden="true" name="wrn.AcqVal." vbProcedure="false">{#N/A,#N/A,FALSE,"Acq-Val";#N/A,#N/A,FALSE,"Acq-Mult Val"}</definedName>
    <definedName function="false" hidden="true" name="wrn.acs." vbProcedure="false">{"pl",#N/A,TRUE,"man acs";"admin",#N/A,TRUE,"man acs";"bs",#N/A,TRUE,"man acs";"notes",#N/A,TRUE,"notes";"tb",#N/A,TRUE,"man acs";"jv1",#N/A,TRUE,"man acs";"jv2",#N/A,TRUE,"man acs";"jv3",#N/A,TRUE,"man acs"}</definedName>
    <definedName function="false" hidden="true" name="wrn.ACUMULADOS." vbProcedure="false">{"CTO ACUMULADO",#N/A,FALSE,"BASE ANEXOS";"VAR ACUMULADAS",#N/A,FALSE,"BASE ANEXOS"}</definedName>
    <definedName function="false" hidden="true" name="wrn.adj95." vbProcedure="false">{"adj95mult",#N/A,FALSE,"COMPCO";"adj95est",#N/A,FALSE,"COMPCO"}</definedName>
    <definedName function="false" hidden="true" name="wrn.Adjustments." vbProcedure="false">{"Page1",#N/A,FALSE,"Matrix (1)";"Page2",#N/A,FALSE,"Pay-Out";"Page3",#N/A,FALSE,"Prems_Reserves";"Page4",#N/A,FALSE,"Adj. EPS";"Page5",#N/A,FALSE,"Acc_Dil"}</definedName>
    <definedName function="false" hidden="true" name="wrn.Admin." vbProcedure="false">{#N/A,#N/A,FALSE,"Admin"}</definedName>
    <definedName function="false" hidden="true" name="wrn.afa_zinsen." vbProcedure="false">{"afa",#N/A,TRUE,"AfA_Zinsen";"zinsen",#N/A,TRUE,"AfA_Zinsen"}</definedName>
    <definedName function="false" hidden="true" name="wrn.Aging._.and._.Trend._.Analysis." vbProcedure="false">{#N/A,#N/A,FALSE,"Aging Summary";#N/A,#N/A,FALSE,"Ratio Analysis";#N/A,#N/A,FALSE,"Test 120 Day Accts";#N/A,#N/A,FALSE,"Tickmarks"}</definedName>
    <definedName function="false" hidden="true" name="wrn.AJ._.Renner." vbProcedure="false">{#N/A,#N/A,FALSE,"Summ";#N/A,#N/A,FALSE,"Fcst";#N/A,#N/A,FALSE,"BS";"Pro Forma IS",#N/A,FALSE,"Hist IS";"IS History",#N/A,FALSE,"Hist IS";"Payroll",#N/A,FALSE,"Summ"}</definedName>
    <definedName function="false" hidden="true" name="wrn.ALAN." vbProcedure="false">{"CREDIT STATISTICS",#N/A,FALSE,"STATS";"CF_AND_IS",#N/A,FALSE,"PLAN";"DEBT SCHEDULE",#N/A,FALSE,"PLAN";"SUBSCRIBERS",#N/A,FALSE,"PLAN";"DETAIL_REV",#N/A,FALSE,"PLAN";"DETAIL_EXPENSE",#N/A,FALSE,"PLAN";"SALES_AND EXP_DRIVERS",#N/A,FALSE,"PLAN";"FIXED ASSETS",#N/A,FALSE,"PLAN";"DEPRECIATION SCHEDULE",#N/A,FALSE,"PLAN"}</definedName>
    <definedName function="false" hidden="true" name="wrn.Alex." vbProcedure="false">{"Alex2",#N/A,FALSE," SAV A8"}</definedName>
    <definedName function="false" hidden="true" name="wrn.Alex._1" vbProcedure="false">{"Alex2",#N/A,FALSE," SAV A8"}</definedName>
    <definedName function="false" hidden="true" name="wrn.Alex._2" vbProcedure="false">{"Alex2",#N/A,FALSE," SAV A8"}</definedName>
    <definedName function="false" hidden="true" name="wrn.ALL." vbProcedure="false">{#N/A,#N/A,FALSE,"INPUTS";#N/A,#N/A,FALSE,"PROFORMA BSHEET";#N/A,#N/A,FALSE,"COMBINED";#N/A,#N/A,FALSE,"ACQUIROR";#N/A,#N/A,FALSE,"TARGET 1";#N/A,#N/A,FALSE,"TARGET 2";#N/A,#N/A,FALSE,"HIGH YIELD";#N/A,#N/A,FALSE,"OVERFUND"}</definedName>
    <definedName function="false" hidden="true" name="wrn.all.2" vbProcedure="false">{#N/A,#N/A,FALSE,"DCF";#N/A,#N/A,FALSE,"WACC";#N/A,#N/A,FALSE,"Sales_EBIT";#N/A,#N/A,FALSE,"Capex_Depreciation";#N/A,#N/A,FALSE,"WC";#N/A,#N/A,FALSE,"Interest";#N/A,#N/A,FALSE,"Assumptions"}</definedName>
    <definedName function="false" hidden="true" name="wrn.all._.3._.years." vbProcedure="false">{#N/A,#N/A,FALSE,"Worldwide FY00";#N/A,#N/A,FALSE,"Worldwide FY01";#N/A,#N/A,FALSE,"Worldwide FY02"}</definedName>
    <definedName function="false" hidden="true" name="wrn.ALL._.ALLOCATIONS." vbProcedure="false">{"ALLOCATION1",#N/A,FALSE,"EXPENSE ALLOCATIONS";"ALLOCATION2",#N/A,FALSE,"EXPENSE ALLOCATIONS";"ALLOCATION3",#N/A,FALSE,"EXPENSE ALLOCATIONS";"ALLOCATION4",#N/A,FALSE,"EXPENSE ALLOCATIONS"}</definedName>
    <definedName function="false" hidden="true" name="wrn.ALL._.ASSEM._.REPORTS." vbProcedure="false">{"TOTALASSEMBLY",#N/A,FALSE,"ASSEMBLY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function="false" hidden="true" name="wrn.All._.Company._.Analyses." vbProcedure="false">{"Methodology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function="false" hidden="true" name="wrn.all._.comps."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wrn.all._.comps.1"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wrn.ALL._.DPAK._.REPORTS." vbProcedure="false">{"TOTALDPAK",#N/A,FALSE,"DPAK PRODUCTION";"HADPAK",#N/A,FALSE,"DPAK PRODUCTION";"PSIDPAK",#N/A,FALSE,"DPAK PRODUCTION"}</definedName>
    <definedName function="false" hidden="true" name="wrn.ALL._.FAB._.2._.EXP._.REPORTS."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wrn.ALL._.FAB._.I._.EXP._.REPORTS." vbProcedure="false">{"TOTALFAB",#N/A,FALSE,"WAFER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function="false" hidden="true" name="wrn.ALL._.FAB._9._.EXP._.REPORTS."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wrn.ALL._.FACILITIES._.REPORT." vbProcedure="false">{"TOTAL",#N/A,FALSE,"FACILITIES EXPENSE";"TOTALDETAIL",#N/A,FALSE,"FACILITIES EXPENSE";"MATERIALS",#N/A,FALSE,"FACILITIES EXPENSE";"FACILITIES",#N/A,FALSE,"FACILITIES EXPENSE";"CHEM",#N/A,FALSE,"FACILITIES EXPENSE";"GENSVC",#N/A,FALSE,"FACILITIES EXPENSE";"SAFETY",#N/A,FALSE,"FACILITIES EXPENSE"}</definedName>
    <definedName function="false" hidden="true" name="wrn.All._.Financials." vbProcedure="false">{#N/A,#N/A,TRUE,"Assumptions";#N/A,#N/A,TRUE,"Op Projection";#N/A,#N/A,TRUE,"Capital";#N/A,#N/A,TRUE,"Income";#N/A,#N/A,TRUE,"Balance";#N/A,#N/A,TRUE,"Sources&amp;Uses"}</definedName>
    <definedName function="false" hidden="true" name="wrn.All._.First._.Pass._.Schedules." vbProcedure="false">{#N/A,#N/A,FALSE,"Assumptions";#N/A,#N/A,FALSE,"Inc Stmt";#N/A,#N/A,FALSE,"Stats";#N/A,#N/A,FALSE,"Existing Business";#N/A,#N/A,FALSE,"New Business";#N/A,#N/A,FALSE,"Labor";#N/A,#N/A,FALSE,"Vehicles";#N/A,#N/A,FALSE,"Facilities";#N/A,#N/A,FALSE,"Indirect Costs";#N/A,#N/A,FALSE,"Capital";#N/A,#N/A,FALSE,"CABR Form";#N/A,#N/A,FALSE,"Corp Costs";#N/A,#N/A,FALSE,"YTD Upload"}</definedName>
    <definedName function="false" hidden="true" name="wrn.all._.gulp._.sheets." vbProcedure="false">{#N/A,#N/A,FALSE,"units";#N/A,#N/A,FALSE,"projections";#N/A,#N/A,FALSE,"calendar";#N/A,#N/A,FALSE,"gulp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function="false" hidden="tru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true" name="wrn.All._.M._.Schedules." vbProcedure="false">{"M1Print",#N/A,TRUE,"M1";"M2Print",#N/A,TRUE,"M2";"M1sPrint",#N/A,TRUE,"M1s";"M2aPrint",#N/A,TRUE,"M2a";"M4Print",#N/A,TRUE,"M4";"M5Print",#N/A,TRUE,"M5";"M6Print",#N/A,TRUE,"M6";"M6_1Print",#N/A,TRUE,"M6_1";"M6_2Print",#N/A,TRUE,"M6_2";"M7_1Print",#N/A,TRUE,"M7_1";"M7_2Print",#N/A,TRUE,"M7_2"}</definedName>
    <definedName function="false" hidden="true" name="wrn.All._.Main._.Schedules." vbProcedure="false">{"PrefMain",#N/A,FALSE,"Pref";"AsmpMain",#N/A,FALSE,"Asmp";"IncMain",#N/A,FALSE,"Inc";"BalMain",#N/A,FALSE,"Bal";"GCFMain",#N/A,FALSE,"GCF";"RcDsMain",#N/A,FALSE,"RcDs";"RevMain",#N/A,FALSE,"Rev";"WCapMain",#N/A,FALSE,"WCap";"CapExMain",#N/A,FALSE,"CapEx";"DebtMain",#N/A,FALSE,"Debt";"RatMain",#N/A,FALSE,"Rat";"ValMain",#N/A,FALSE,"Val";"BEvnMain",#N/A,FALSE,"BEvn"}</definedName>
    <definedName function="false" hidden="true" name="wrn.All._.Models." vbProcedure="false">{#N/A,#N/A,FALSE,"inc state";#N/A,#N/A,FALSE,"Products";#N/A,#N/A,FALSE,"bal sht"}</definedName>
    <definedName function="false" hidden="true" name="wrn.ALL._.PACKAGE." vbProcedure="false">{#N/A,#N/A,FALSE,"COVER";#N/A,#N/A,FALSE," index";#N/A,#N/A,FALSE,"notes";#N/A,#N/A,FALSE,"Perform";#N/A,#N/A,FALSE,"Graphs";#N/A,#N/A,FALSE,"FAMILIES GRAPHS";#N/A,#N/A,FALSE,"WWP&amp;Lsum";#N/A,#N/A,FALSE,"WWP&amp;Lfam";#N/A,#N/A,FALSE,"SALCOMP";#N/A,#N/A,FALSE,"Assets";#N/A,#N/A,FALSE,"assgraph";#N/A,#N/A,FALSE,"FG Inventory Aging";#N/A,#N/A,FALSE,"WWINVSUM";#N/A,#N/A,FALSE,"WWinvFAM";#N/A,#N/A,FALSE,"RM&amp;WIP";#N/A,#N/A,FALSE,"CUSTOM";#N/A,#N/A,FALSE,"cesd cust";#N/A,#N/A,FALSE,"cesd cust";#N/A,#N/A,FALSE,"PRODUCT"}</definedName>
    <definedName function="false" hidden="true" name="wrn.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wrn.All._.Pages.2"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true" name="wrn.All._.Pages\All._.Plants." vbProcedure="false">{"All Pages",#N/A,FALSE,"Plant 1 Exp";"All Pages",#N/A,FALSE,"Plant 2 Exp";"All Pages",#N/A,FALSE,"Plant 3 Exp";"All Pages",#N/A,FALSE,"Plant 4 Exp";"All Pages",#N/A,FALSE,"Total Vehicle"}</definedName>
    <definedName function="false" hidden="true" name="wrn.All._.PnLs." vbProcedure="false">{"Sep 98 Segment PnL",#N/A,FALSE,"Full Income Statements";"Sep 99 Segment PnL",#N/A,FALSE,"Full Income Statements";"Sep 98 PnL",#N/A,FALSE,"Full Income Statements";"Sep 99 PnL",#N/A,FALSE,"Full Income Statements"}</definedName>
    <definedName function="false" hidden="true" name="wrn.all._.print." vbProcedure="false">{#N/A,#N/A,FALSE,"Summary";#N/A,#N/A,FALSE,"Edit";#N/A,#N/A,FALSE,"MedProf";#N/A,#N/A,FALSE,"Proj Mgt";#N/A,#N/A,FALSE,"Creat Svc";#N/A,#N/A,FALSE,"Meet Svc";#N/A,#N/A,FALSE,"Non-OCC";#N/A,#N/A,FALSE,"Client Svc";#N/A,#N/A,FALSE,"Bus Dev";#N/A,#N/A,FALSE,"Indirect"}</definedName>
    <definedName function="false" hidden="true" name="wrn.ALL._.QR._.EXP._.REPORTS." vbProcedure="false">{"QAEXPENSE",#N/A,FALSE,"QUALITY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function="false" hidden="true" name="wrn.All._.Reports." vbProcedure="false">{#N/A,#N/A,FALSE,"Income";#N/A,#N/A,FALSE,"Total Plant";#N/A,#N/A,FALSE,"Natural";#N/A,#N/A,FALSE,"Coating";#N/A,#N/A,FALSE,"Production";#N/A,#N/A,FALSE,"Main";#N/A,#N/A,FALSE,"Trucking";#N/A,#N/A,FALSE,"Distribution";#N/A,#N/A,FALSE,"Admin";#N/A,#N/A,FALSE,"Balance Sheet";#N/A,#N/A,FALSE,"Taxes"}</definedName>
    <definedName function="false" hidden="true" name="wrn.All._.Schedules." vbProcedure="false">{#N/A,#N/A,FALSE,"Assumptions";#N/A,#N/A,FALSE,"Inc Stmt";#N/A,#N/A,FALSE,"Stats";#N/A,#N/A,FALSE,"Existing Business";#N/A,#N/A,FALSE,"New Business";#N/A,#N/A,FALSE,"Labor";#N/A,#N/A,FALSE,"Vehicles";#N/A,#N/A,FALSE,"Facilities";#N/A,#N/A,FALSE,"Indirect Costs";#N/A,#N/A,FALSE,"Capital";#N/A,#N/A,FALSE,"CABR Form";#N/A,#N/A,FALSE,"Corp Costs"}</definedName>
    <definedName function="false" hidden="true" name="wrn.All._.Sections." vbProcedure="false">{"Data Entry",#N/A,FALSE,"COMPTEMP";"Ratios",#N/A,FALSE,"COMPTEMP";"Aggregate Values",#N/A,FALSE,"COMPTEMP";"Equity Multiples",#N/A,FALSE,"COMPTEMP";"Summary Overview",#N/A,FALSE,"COMPTEMP"}</definedName>
    <definedName function="false" hidden="true" name="wrn.All._.Sheets." vbProcedure="false">{#N/A,#N/A,FALSE,"TOTAL mtd";#N/A,#N/A,FALSE,"BSE mtd";#N/A,#N/A,FALSE,"BSS mtd";#N/A,#N/A,FALSE,"TDE mtd";#N/A,#N/A,FALSE,"TDS mtd";#N/A,#N/A,FALSE,"FA mtd";#N/A,#N/A,FALSE,"TIS mtd";#N/A,#N/A,FALSE,"SEC mtd";#N/A,#N/A,FALSE,"SND mtd";#N/A,#N/A,FALSE,"NC mtd";#N/A,#N/A,FALSE,"MT&amp;C BS mtd";#N/A,#N/A,FALSE,"OT BS mtd";#N/A,#N/A,FALSE,"EM mtd";#N/A,#N/A,FALSE,"WI mtd";#N/A,#N/A,FALSE,"MT&amp;C TD mtd";#N/A,#N/A,FALSE,"OT TD mtd";#N/A,#N/A,FALSE,"Sales mtd";#N/A,#N/A,FALSE,"Orders mtd"}</definedName>
    <definedName function="false" hidden="true" name="wrn.All._.Sheets._.One._.by._.One." vbProcedure="false">{#N/A,#N/A,FALSE,"Info";#N/A,#N/A,FALSE,"Op I";#N/A,#N/A,FALSE,"Op O";#N/A,#N/A,FALSE,"LBO I";#N/A,#N/A,FALSE,"LBO O";#N/A,#N/A,FALSE,"Taxes"}</definedName>
    <definedName function="false" hidden="true" name="wrn.all._.slides." vbProcedure="false">{#N/A,#N/A,FALSE,"Trends";#N/A,#N/A,FALSE,"As Reported";#N/A,#N/A,FALSE,"(un) Commited"}</definedName>
    <definedName function="false" hidden="true" name="wrn.All._.Statements." vbProcedure="false">{"Income Statement",#N/A,FALSE,"Income Statement";"Balance Sheet",#N/A,FALSE,"Balance Sheet";"Cash Flow",#N/A,FALSE,"Cash Flow";"Ratios",#N/A,FALSE,"Ratios"}</definedName>
    <definedName function="false" hidden="true" name="wrn.All._.Stock_10_12_14." vbProcedure="false">{"Has Gets","$10, All Stock, Purchase",FALSE,"Has Gets";"Has Gets","$10, All Stock, Pooling",FALSE,"Has Gets";"Has Gets","$12, All Stock, Purchase",FALSE,"Has Gets";"Has Gets","$12, All Stock, Pooling",FALSE,"Has Gets";"Has Gets","$14, All Stock, Purchase",FALSE,"Has Gets";"Has Gets","$14, All Stock, Pooling",FALSE,"Has Gets"}</definedName>
    <definedName function="false" hidden="true" name="wrn.ALL._.SUMMARY._.EXP._.RPTS." vbProcedure="false">{"TOTALHEXAMEXPENSE",#N/A,FALSE,"MANUFACTURING EXPENSE SUMMARY";"TOTALASSEMBLYEXPENSE",#N/A,FALSE,"MANUFACTURING EXPENSE SUMMARY";"TOTALWAFERFABEXPENSE",#N/A,FALSE,"MANUFACTURING EXPENSE SUMMARY";"TOTALMATERIALSEXPENSE",#N/A,FALSE,"MANUFACTURING EXPENSE SUMMARY";"TOTALQAEXPENSE",#N/A,FALSE,"MANUFACTURING EXPENSE SUMMARY";"TOTALSUBEXPNESE",#N/A,FALSE,"MANUFACTURING EXPENSE SUMMARY";"TOTALFACILITIESEXPENSE",#N/A,FALSE,"MANUFACTURING EXPENSE SUMMARY";"TOTALWAFERFAB2EXPENSE",#N/A,FALSE,"MANUFACTURING EXPENSE SUMMARY"}</definedName>
    <definedName function="false" hidden="true" name="wrn.All._.Sums." vbProcedure="false">{"ohallocsum",#N/A,FALSE,"BU&amp;CSRA Unalloc.";"TOTALSUM",#N/A,FALSE,"Total";"rehabsum",#N/A,FALSE,"Rehab";"prestressum",#N/A,FALSE,"Prestress";"pipesum",#N/A,FALSE,"Pipe";"ohallocsum",#N/A,FALSE,"BU&amp;CSRA Unalloc.";"pepipesum",#N/A,FALSE,"PE Pipe";"distrisum",#N/A,FALSE,"Distribution";"concsum",#N/A,FALSE,"Concrete";"cementsum",#N/A,FALSE,"Cement";"bmsum",#N/A,FALSE,"Bldg. Materials";"blocksum",#N/A,FALSE,"Block";"asphaltsum",#N/A,FALSE,"Asphalt";"aggsum",#N/A,FALSE,"Aggregate"}</definedName>
    <definedName function="false" hidden="true" name="wrn.ALL._.TO220._.REPORTS." vbProcedure="false">{"TOTALTO220",#N/A,FALSE,"TO-220 PRODUCTION";"HATO220",#N/A,FALSE,"TO-220 PRODUCTION";"MXTO220",#N/A,FALSE,"TO-220 PRODUCTION";"PSITO220",#N/A,FALSE,"TO-220 PRODUCTION";"MOTTO220",#N/A,FALSE,"TO-220 PRODUCTION"}</definedName>
    <definedName function="false" hidden="true" name="wrn.All._.Views." vbProcedure="false">{#N/A,#N/A,FALSE,"Summary";#N/A,#N/A,FALSE,"Signatures";#N/A,#N/A,FALSE,"FL Current";#N/A,#N/A,FALSE,"Assumptions";#N/A,#N/A,FALSE,"Assumptions";#N/A,#N/A,FALSE,"Assumptions";#N/A,#N/A,FALSE,"FL Last";#N/A,#N/A,FALSE,"FL Orig";#N/A,#N/A,FALSE,"C to G Explain"}</definedName>
    <definedName function="false" hidden="true" name="wrn.ALL._.WORKPAPERS." vbProcedure="false">{#N/A,#N/A,FALSE,"Std.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function="false" hidden="true" name="wrn.All1." vbProcedure="false">{"Data",#N/A,FALSE,"M_VGBUS3";"Graphs1",#N/A,FALSE,"M_VGBUS3";"Volume1",#N/A,FALSE,"M_VGBUS3";"Index1",#N/A,FALSE,"M_VGBUS3";"NUR1",#N/A,FALSE,"M_VGBUS3";"Return1",#N/A,FALSE,"M_VGBUS3";"Licencing1",#N/A,FALSE,"M_VGBUS3";"MFG1",#N/A,FALSE,"M_VGBUS3"}</definedName>
    <definedName function="false" hidden="true" name="wrn.ALL2." vbProcedure="false">{#N/A,#N/A,FALSE,"DCF";#N/A,#N/A,FALSE,"WACC";#N/A,#N/A,FALSE,"Sales_EBIT";#N/A,#N/A,FALSE,"Capex_Depreciation";#N/A,#N/A,FALSE,"WC";#N/A,#N/A,FALSE,"Interest";#N/A,#N/A,FALSE,"Assumptions"}</definedName>
    <definedName function="false" hidden="true" name="wrn.all3" vbProcedure="false">{#N/A,#N/A,FALSE,"assumptions";#N/A,#N/A,FALSE,"v_projcy";#N/A,#N/A,FALSE,"tar_proj";#N/A,#N/A,FALSE,"contrib_annual";#N/A,#N/A,FALSE,"Proforma";#N/A,#N/A,FALSE,"purc_97";#N/A,#N/A,FALSE,"syn_purc_97";#N/A,#N/A,FALSE,"pool_97";#N/A,#N/A,FALSE,"syn_pool_97";#N/A,#N/A,FALSE,"pool1_FY2"}</definedName>
    <definedName function="false" hidden="true" name="wrn.ALLbutPREMIUM." vbProcedure="false">{#N/A,#N/A,FALSE,"Projections";#N/A,#N/A,FALSE,"AccrDil";#N/A,#N/A,FALSE,"PurchPriMult";#N/A,#N/A,FALSE,"Mults7_13";#N/A,#N/A,FALSE,"Mkt Mults";#N/A,#N/A,FALSE,"Acq Mults";#N/A,#N/A,FALSE,"StockPrices";#N/A,#N/A,FALSE,"Prem Paid";#N/A,#N/A,FALSE,"DCF";#N/A,#N/A,FALSE,"AUTO";#N/A,#N/A,FALSE,"Relative Trading";#N/A,#N/A,FALSE,"Mkt Val";#N/A,#N/A,FALSE,"Acq Val"}</definedName>
    <definedName function="false" hidden="true" name="wrn.AllDataPages." vbProcedure="false">{#N/A,#N/A,FALSE,"Balance Sheet";#N/A,#N/A,FALSE,"Income Statement";#N/A,#N/A,FALSE,"Changes in Financial Position"}</definedName>
    <definedName function="false" hidden="true" name="wrn.Alligator." vbProcedure="false">{#N/A,#N/A,FALSE,"Cover";#N/A,#N/A,FALSE,"Summary-Alligator";#N/A,#N/A,FALSE,"Proforma-Alligator";#N/A,#N/A,FALSE,"Cougar (12-31)";#N/A,#N/A,FALSE,"Cougar (3-31)";#N/A,#N/A,FALSE,"Alligator (12-31)";#N/A,#N/A,FALSE,"Alligator (3-31)"}</definedName>
    <definedName function="false" hidden="true" name="wrn.AllModels." vbProcedure="false">{#N/A,#N/A,FALSE,"AD_Purchase";#N/A,#N/A,FALSE,"Credit";#N/A,#N/A,FALSE,"PF Acquisition";#N/A,#N/A,FALSE,"PF Offering"}</definedName>
    <definedName function="false" hidden="true" name="wrn.ALLMOSANDQTRS." vbProcedure="false">{"CONS12",#N/A,FALSE,"1996BSCH";"DOM12",#N/A,FALSE,"1996BSCH";"CAN12",#N/A,FALSE,"1996BSCH";"DDODC12",#N/A,FALSE,"1996BSCH";"DDE12",#N/A,FALSE,"1996BSCH";"DDOC12",#N/A,FALSE,"1996BSCH";"ELIM6MO",#N/A,FALSE,"1996BSCH";"other12",#N/A,FALSE,"1996BSCH";"var12",#N/A,FALSE,"1996BSCH"}</definedName>
    <definedName function="false" hidden="true" name="wrn.ALLMOSANDQTRS.1a" vbProcedure="false">{"CONS12",#N/A,FALSE,"1996BSCH";"DOM12",#N/A,FALSE,"1996BSCH";"CAN12",#N/A,FALSE,"1996BSCH";"DDODC12",#N/A,FALSE,"1996BSCH";"DDE12",#N/A,FALSE,"1996BSCH";"DDOC12",#N/A,FALSE,"1996BSCH";"ELIM6MO",#N/A,FALSE,"1996BSCH";"other12",#N/A,FALSE,"1996BSCH";"var12",#N/A,FALSE,"1996BSCH"}</definedName>
    <definedName function="false" hidden="true" name="wrn.ALLOC._.Q1._.AND._.Q2._.FY96." vbProcedure="false">{"ALLOCATION1",#N/A,FALSE,"EXPENSE ALLOCATIONS"}</definedName>
    <definedName function="false" hidden="true" name="wrn.ALLOC._.Q1._.AND._.Q2._.FY97." vbProcedure="false">{"ALLOCATION3",#N/A,FALSE,"EXPENSE ALLOCATIONS"}</definedName>
    <definedName function="false" hidden="true" name="wrn.ALLOC._.Q3._.AND._.Q4._.FY96." vbProcedure="false">{"ALLOCATION2",#N/A,FALSE,"EXPENSE ALLOCATIONS"}</definedName>
    <definedName function="false" hidden="true" name="wrn.ALLOC._.Q3._.AND._.Q4._.FY97." vbProcedure="false">{"ALLOCATION4",#N/A,FALSE,"EXPENSE ALLOCATIONS"}</definedName>
    <definedName function="false" hidden="true" name="wrn.Allocation._.Matrix." vbProcedure="false">{"Allocation Matrix p1",#N/A,FALSE,"Allocation Matrix";"Allocation Matrix p2",#N/A,FALSE,"Allocation Matrix";"Allocation Matrix p3",#N/A,FALSE,"Allocation Matrix"}</definedName>
    <definedName function="false" hidden="true" name="wrn.allpages." vbProcedure="false">{#N/A,#N/A,TRUE,"Historicals";#N/A,#N/A,TRUE,"Charts";#N/A,#N/A,TRUE,"Forecasts"}</definedName>
    <definedName function="false" hidden="true" name="wrn.All_Excl_Depr." vbProcedure="false">{"Front_Page",#N/A,TRUE,"Front Page";#N/A,#N/A,TRUE,"Summary";#N/A,#N/A,TRUE,"GenAssump";#N/A,#N/A,TRUE,"Shut-down";"ProdAssump1_2000_2009",#N/A,TRUE,"ProdAssump";"ProdAssump2_2010_2019",#N/A,TRUE,"ProdAssump";"ProdAssump3_2000_2009",#N/A,TRUE,"ProdAssump";"ProdAssump4_2010_2019",#N/A,TRUE,"ProdAssump";"ProdAssump5_2000_2009",#N/A,TRUE,"ProdAssump";"ProdAssump6_2010_2019",#N/A,TRUE,"ProdAssump";"ProdAssump7_2000_2009",#N/A,TRUE,"ProdAssump";"ProdAssump8_2010_2019",#N/A,TRUE,"ProdAssump";"ProdAssump9_2000_2009",#N/A,TRUE,"ProdAssump";"ProdAssump10_2010_2019",#N/A,TRUE,"ProdAssump";"ProdAssump11_2000_2009",#N/A,TRUE,"ProdAssump";"ProdAssump12_2010_2019",#N/A,TRUE,"ProdAssump";"ProdAssump13_2000_2009",#N/A,TRUE,"ProdAssump";"ProdAssump14_2010_2019",#N/A,TRUE,"ProdAssump";"ProdAssump15_2000_2009",#N/A,TRUE,"ProdAssump";"ProdAssump16_2010_2019",#N/A,TRUE,"ProdAssump";"ProdAssumpTotal1",#N/A,TRUE,"ProdAssump";"ProdAssumpTotal2",#N/A,TRUE,"ProdAssump";"ProdQuantities1_2000_2009",#N/A,TRUE,"ProdAssump";"ProdQuantities2_2010_2019",#N/A,TRUE,"ProdAssump";"ProdQuantities3_2000_2009",#N/A,TRUE,"ProdAssump";"ProdQuantities4_2010_2019",#N/A,TRUE,"ProdAssump";"ProdQuantities5_2000_2009",#N/A,TRUE,"ProdAssump";"ProdQuantities6_2010_2019",#N/A,TRUE,"ProdAssump";"ProdQuantities7_2000_2009",#N/A,TRUE,"ProdAssump";"ProdQuantities8_2010_2019",#N/A,TRUE,"ProdAssump";"ProdQuantities9_2000_2009",#N/A,TRUE,"ProdAssump";"ProdQuantities10_2010_2019",#N/A,TRUE,"ProdAssump";"ProdQuantities11_2000_2009",#N/A,TRUE,"ProdAssump";"ProdQuantities12_2010_2019",#N/A,TRUE,"ProdAssump";"ProdQuantitiesTotal2000_2009",#N/A,TRUE,"ProdAssump";"ProdQuantitiesTotal2010_2019",#N/A,TRUE,"ProdAssump";"Capex1",#N/A,TRUE,"ProdAssump";"Capex2",#N/A,TRUE,"ProdAssump";"Capex3",#N/A,TRUE,"ProdAssump";"PLGGAAP1",#N/A,TRUE,"BS US GAAP";"PLGGAAP2",#N/A,TRUE,"BS US GAAP";"PLGGAAP3",#N/A,TRUE,"BS US GAAP";"PLGGAAP4",#N/A,TRUE,"BS US GAAP";"CFGGAAP1a",#N/A,TRUE,"BS US GAAP";"CFGGAAP2a",#N/A,TRUE,"BS US GAAP";"WCGGAAP1",#N/A,TRUE,"BS US GAAP";"WCGGAAP2",#N/A,TRUE,"BS US GAAP";"DebtGGAAP1",#N/A,TRUE,"BS US GAAP";"DebtGGAAP2",#N/A,TRUE,"BS US GAAP";"BSGGAAP1",#N/A,TRUE,"BS G GAAP";"BSGGAAP2",#N/A,TRUE,"BS G GAAP";"PLUSGAAP1",#N/A,TRUE,"P&amp;L US GAAP";"PLUSGAAP2",#N/A,TRUE,"P&amp;L US GAAP";"PLUSGAAP3",#N/A,TRUE,"P&amp;L US GAAP";"PLUSGAAP4",#N/A,TRUE,"P&amp;L US GAAP";"CFUSGAAP1a",#N/A,TRUE,"P&amp;L US GAAP";"CFUSGAAP2a",#N/A,TRUE,"P&amp;L US GAAP";"WCUSGAAP1",#N/A,TRUE,"P&amp;L US GAAP";"WCUSGAAP2",#N/A,TRUE,"P&amp;L US GAAP";"DebtUSGAAP1",#N/A,TRUE,"P&amp;L US GAAP";"DebtUSGAAP2",#N/A,TRUE,"P&amp;L US GAAP";"BSUSGAAP1",#N/A,TRUE,"P&amp;L US GAAP";"BSUSGAAP2",#N/A,TRUE,"P&amp;L US GAAP";"CFUSGAAP1",#N/A,TRUE,"CF US GAAP";"CFUSGAAP2",#N/A,TRUE,"CF US GAAP";"CFGGAAP1",#N/A,TRUE,"CF G GAAP";"CFGGAAP2",#N/A,TRUE,"CF G GAAP"}</definedName>
    <definedName function="false" hidden="true" name="wrn.All_Models." vbProcedure="false">{#N/A,#N/A,FALSE,"Summary";#N/A,#N/A,FALSE,"Projections";#N/A,#N/A,FALSE,"Mkt Mults";#N/A,#N/A,FALSE,"DCF";#N/A,#N/A,FALSE,"Accr Dil";#N/A,#N/A,FALSE,"PIC LBO";#N/A,#N/A,FALSE,"MULT10_4";#N/A,#N/A,FALSE,"CBI LBO"}</definedName>
    <definedName function="false" hidden="true" name="wrn.All_ProdQuantities." vbProcedure="false">{"ProdQuantities1_2000_2009",#N/A,FALSE,"ProdQuantities";"ProdQuantities2_2010_2019",#N/A,FALSE,"ProdQuantities";"ProdQuantities3_2000_2009",#N/A,FALSE,"ProdQuantities";"ProdQuantities4_2010_2019",#N/A,FALSE,"ProdQuantities";"ProdQuantities5_2000_2009",#N/A,FALSE,"ProdQuantities";"ProdQuantities6_2010_2019",#N/A,FALSE,"ProdQuantities";"ProdQuantities7_2000_2009",#N/A,FALSE,"ProdQuantities";"ProdQuantities8_2010_2019",#N/A,FALSE,"ProdQuantities";"ProdQuantities9_2000_2009",#N/A,FALSE,"ProdQuantities";"ProdQuantities10_2010_2019",#N/A,FALSE,"ProdQuantities";"ProdQuantities11_2000_2009",#N/A,FALSE,"ProdQuantities";"ProdQuantities12_2010_2019",#N/A,FALSE,"ProdQuantities";"ProdQuantitiesTotal2000_2009",#N/A,FALSE,"ProdQuantities";"ProdQuantitiesTotal2010_2019",#N/A,FALSE,"ProdQuantities"}</definedName>
    <definedName function="false" hidden="true" name="wrn.all_sheets." vbProcedure="false">{#N/A,#N/A,FALSE,"compcoval";#N/A,#N/A,FALSE,"optionval"}</definedName>
    <definedName function="false" hidden="true" name="wrn.AMAT._.Intranet." vbProcedure="false">{"AMAT INC",#N/A,FALSE,"AMAT-INC";"AMAT BLSH",#N/A,FALSE,"AMATBLSH"}</definedName>
    <definedName function="false" hidden="true" name="wrn.Americas." vbProcedure="false">{#N/A,#N/A,FALSE,"Americas"}</definedName>
    <definedName function="false" hidden="true" name="wrn.Amortization." vbProcedure="false">{"Exist Debt Amort",#N/A,TRUE,"Financials";"Intangible Amort",#N/A,TRUE,"Financials";"Proj Debt Amort",#N/A,TRUE,"Financials";"Proj Pfd Amort",#N/A,TRUE,"Financials"}</definedName>
    <definedName function="false" hidden="true" name="wrn.ANADARKO." vbProcedure="false">{"Table1",#N/A,FALSE,"ANADARKO";"Table2",#N/A,FALSE,"ANADARKO";"Table3",#N/A,FALSE,"ANADARKO";"Table3c",#N/A,FALSE,"ANADARKO";"Table3c2",#N/A,FALSE,"ANADARKO";"Table5",#N/A,FALSE,"ANADARKO"}</definedName>
    <definedName function="false" hidden="true" name="wrn.Analisis._.Acumulado." vbProcedure="false">{"Ana1",#N/A,FALSE,"AnalisisA";"Ana2",#N/A,FALSE,"AnalisisA";"Ana3",#N/A,FALSE,"AnalisisA"}</definedName>
    <definedName function="false" hidden="true" name="wrn.Analisis._.Mensual." vbProcedure="false">{"AnaM1",#N/A,FALSE,"AnalisisM";"AnaM2",#N/A,FALSE,"AnalisisM";"AnaM3",#N/A,FALSE,"AnalisisM"}</definedName>
    <definedName function="false" hidden="true" name="wrn.analysis." vbProcedure="false">{#N/A,#N/A,FALSE,"Analysis"}</definedName>
    <definedName function="false" hidden="true" name="wrn.Analysis_qtr." vbProcedure="false">{#N/A,#N/A,FALSE,"Analysis";#N/A,#N/A,FALSE,"Anal_QTR"}</definedName>
    <definedName function="false" hidden="true" name="wrn.Annual._.Summary." vbProcedure="false">{#N/A,#N/A,FALSE,"Annual Summary"}</definedName>
    <definedName function="false" hidden="true" name="wrn.Antonelle." vbProcedure="false">{#N/A,#N/A,FALSE,"P&amp;L";#N/A,#N/A,FALSE,"bilan";#N/A,#N/A,FALSE,"DCF"}</definedName>
    <definedName function="false" hidden="true" name="wrn.AOB." vbProcedure="false">{"TRAD DDC",#N/A,FALSE,"AOB96";"DOMESTIC",#N/A,FALSE,"AOB96";"CANADA",#N/A,FALSE,"AOB96";"EUROPE",#N/A,FALSE,"AOB96";"DOC",#N/A,FALSE,"AOB96";"DDODC",#N/A,FALSE,"AOB96";"ELIMS",#N/A,FALSE,"AOB96"}</definedName>
    <definedName function="false" hidden="true" name="wrn.AOB1a" vbProcedure="false">{"TRAD DDC",#N/A,FALSE,"AOB96";"DOMESTIC",#N/A,FALSE,"AOB96";"CANADA",#N/A,FALSE,"AOB96";"EUROPE",#N/A,FALSE,"AOB96";"DOC",#N/A,FALSE,"AOB96";"DDODC",#N/A,FALSE,"AOB96";"ELIMS",#N/A,FALSE,"AOB96"}</definedName>
    <definedName function="false" hidden="true" name="wrn.AOL._.Budget." vbProcedure="false">{#N/A,#N/A,FALSE,"Summary";#N/A,#N/A,FALSE,"Rollup";#N/A,#N/A,FALSE,"SG&amp;A";#N/A,#N/A,FALSE,"Sales_Rollup";"mixstar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function="false" hidden="true" name="wrn.APCI._.Tab." vbProcedure="false">{#N/A,#N/A,FALSE,"P and L ";#N/A,#N/A,FALSE,"Sales";#N/A,#N/A,FALSE,"Overheads";#N/A,#N/A,FALSE,"R and D";#N/A,#N/A,FALSE,"Operating Income";#N/A,#N/A,FALSE,"Equity Affiliate Income";"M Factors Print",#N/A,FALSE,"Major Factors"}</definedName>
    <definedName function="false" hidden="true" name="wrn.APCT." vbProcedure="false">{"Page1",#N/A,FALSE,"APCT";"Page2",#N/A,FALSE,"APCT"}</definedName>
    <definedName function="false" hidden="true" name="wrn.APL." vbProcedure="false">{"Page1",#N/A,FALSE,"APL";"Page2",#N/A,FALSE,"APL"}</definedName>
    <definedName function="false" hidden="true" name="wrn.Appendix." vbProcedure="false">{#N/A,#N/A,TRUE,"Lines";#N/A,#N/A,TRUE,"Stations";#N/A,#N/A,TRUE,"Cap. Expenses";#N/A,#N/A,TRUE,"Land";#N/A,#N/A,TRUE,"Cen Proces Sys";#N/A,#N/A,TRUE,"telecom";#N/A,#N/A,TRUE,"Other"}</definedName>
    <definedName function="false" hidden="true" name="wrn.APR." vbProcedure="false">{"APR",#N/A,FALSE,"APR"}</definedName>
    <definedName function="false" hidden="true" name="wrn.APRIL." vbProcedure="false">{"APRIL",#N/A,FALSE,"Q4"}</definedName>
    <definedName function="false" hidden="true" name="wrn.April._.Financials." vbProcedure="false">{"Statement of Income",#N/A,TRUE,"Mar99";"Balance Sheet",#N/A,TRUE,"Mar99"}</definedName>
    <definedName function="false" hidden="true" name="wrn.AQUIROR._.DCF." vbProcedure="false">{"AQUIRORDCF",#N/A,FALSE,"Merger consequences";"Acquirorassns",#N/A,FALSE,"Merger consequences"}</definedName>
    <definedName function="false" hidden="true" name="wrn.ARGON._.PRICING." vbProcedure="false">{"ARGON PRICING",#N/A,FALSE,"ARGON"}</definedName>
    <definedName function="false" hidden="true" name="wrn.ARGON._.REVENUE." vbProcedure="false">{"ARGON REVENUE",#N/A,FALSE,"ARGON"}</definedName>
    <definedName function="false" hidden="true" name="wrn.ARGON._.VOLUME." vbProcedure="false">{"ARGON VOLUME",#N/A,FALSE,"ARGON"}</definedName>
    <definedName function="false" hidden="true" name="wrn.ARGON_VOL" vbProcedure="false">{"ARGON VOLUME",#N/A,FALSE,"ARGON"}</definedName>
    <definedName function="false" hidden="true" name="wrn.ARPU._.composition." vbProcedure="false">{#N/A,#N/A,FALSE,"Additional ARPU"}</definedName>
    <definedName function="false" hidden="true" name="wrn.ARZTLM." vbProcedure="false">{"rep1",#N/A,FALSE,"ריכוז";"REP7",#N/A,FALSE,"מפורט_אזורים_ער""ז";"REP2",#N/A,FALSE,"מפורט1";"REP3",#N/A,FALSE,"מפורט1";"REP4",#N/A,FALSE,"מפורט2";"REP5",#N/A,FALSE,"מפורט2";"REP6",#N/A,FALSE,"מפורט2"}</definedName>
    <definedName function="false" hidden="true" name="wrn.as." vbProcedure="false">{#N/A,#N/A,FALSE,"1. PTI Ziele";#N/A,#N/A,FALSE,"2. Zielkatalog ";#N/A,#N/A,FALSE,"3. Masterterminplan"}</definedName>
    <definedName function="false" hidden="true" name="wrn.asia" vbProcedure="false">{#N/A,#N/A,FALSE,"ASIA CORP";#N/A,#N/A,FALSE,"SEG";#N/A,#N/A,FALSE,"INVEST";#N/A,#N/A,FALSE,"ELIM"}</definedName>
    <definedName function="false" hidden="true" name="wrn.Asia."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true" name="wrn.asptn." vbProcedure="false">{#N/A,#N/A,TRUE,"asptn "}</definedName>
    <definedName function="false" hidden="true" name="wrn.ASSEM._.SALARY._.CALC." vbProcedure="false">{"SALMGMT",#N/A,FALSE,"ASSEMBLY EXPENSE";"SALMFGENG",#N/A,FALSE,"ASSEMBLY EXPENSE";"SALEQUIPENG",#N/A,FALSE,"ASSEMBLY EXPENSE";"SALTO220MGMT",#N/A,FALSE,"ASSEMBLY EXPENSE";"SALEQUIPSUP",#N/A,FALSE,"ASSEMBLY EXPENSE";"SALMATPROCESS",#N/A,FALSE,"ASSEMBLY EXPENSE"}</definedName>
    <definedName function="false" hidden="true" name="wrn.ASSETS." vbProcedure="false">{#N/A,#N/A,FALSE,"notes";#N/A,#N/A,FALSE,"Assets";#N/A,#N/A,FALSE,"assgraph";#N/A,#N/A,FALSE,"FG Inventory Aging";#N/A,#N/A,FALSE,"WWINVSUM";#N/A,#N/A,FALSE,"WWinvFAM";#N/A,#N/A,FALSE,"RM&amp;WIP"}</definedName>
    <definedName function="false" hidden="true" name="wrn.assumptions." vbProcedure="false">{"casespecific",#N/A,FALSE,"Assumptions"}</definedName>
    <definedName function="false" hidden="true" name="wrn.AU._.검사성적서." vbProcedure="false">{#N/A,#N/A,FALSE,"을지 (4)";#N/A,#N/A,FALSE,"을지 (5)";#N/A,#N/A,FALSE,"을지 (6)"}</definedName>
    <definedName function="false" hidden="true" name="wrn.AU._.초도품._.보증서." vbProcedure="false">{#N/A,#N/A,FALSE,"초도품";#N/A,#N/A,FALSE,"초도품 (2)";#N/A,#N/A,FALSE,"초도품 (3)";#N/A,#N/A,FALSE,"초도품 (4)";#N/A,#N/A,FALSE,"초도품 (5)";#N/A,#N/A,FALSE,"초도품 (6)"}</definedName>
    <definedName function="false" hidden="true" name="wrn.Auflösung." vbProcedure="false">{#N/A,#N/A,TRUE,"0.";#N/A,#N/A,TRUE,"1.";#N/A,#N/A,TRUE,"2.";#N/A,#N/A,TRUE,"1.1";#N/A,#N/A,TRUE,"1. (2)";#N/A,#N/A,TRUE,"1. (3)";#N/A,#N/A,TRUE,"1. (4)";#N/A,#N/A,TRUE,"1. (5)";#N/A,#N/A,TRUE,"1. (6)";#N/A,#N/A,TRUE,"1. (7)";#N/A,#N/A,TRUE,"1. (8)";#N/A,#N/A,TRUE,"1. (9)";#N/A,#N/A,TRUE,"1. (10)";#N/A,#N/A,TRUE,"1. (11)";#N/A,#N/A,TRUE,"1. (12)";#N/A,#N/A,TRUE,"2.1";#N/A,#N/A,TRUE,"2. (2)";#N/A,#N/A,TRUE,"2. (3)";#N/A,#N/A,TRUE,"2. (4)";#N/A,#N/A,TRUE,"2. (5)";#N/A,#N/A,TRUE,"2. (6)";#N/A,#N/A,TRUE,"2. (7)";#N/A,#N/A,TRUE,"2. (8)";#N/A,#N/A,TRUE,"2. (9)";#N/A,#N/A,TRUE,"2. (10)";#N/A,#N/A,TRUE,"2. (11)";#N/A,#N/A,TRUE,"2. (12)";#N/A,#N/A,TRUE,"2. (13)";#N/A,#N/A,TRUE,"2. (14)";#N/A,#N/A,TRUE,"2. (15)";#N/A,#N/A,TRUE,"2. (16)";#N/A,#N/A,TRUE,"2. (17)";#N/A,#N/A,TRUE,"2. (18)";#N/A,#N/A,TRUE,"2. (19)";#N/A,#N/A,TRUE,"2. (20)";#N/A,#N/A,TRUE,"2. (21)";#N/A,#N/A,TRUE,"2. (22)";#N/A,#N/A,TRUE,"2. (23)";#N/A,#N/A,TRUE,"2. (24)";#N/A,#N/A,TRUE,"2. (25)";#N/A,#N/A,TRUE,"2. (26)";#N/A,#N/A,TRUE,"2. (27)";#N/A,#N/A,TRUE,"2. (28)";#N/A,#N/A,TRUE,"2. (29)";#N/A,#N/A,TRUE,"2. (30)";#N/A,#N/A,TRUE,"2. (31)";#N/A,#N/A,TRUE,"2. (32)"}</definedName>
    <definedName function="false" hidden="true" name="wrn.Auflösung._1" vbProcedure="false">{#N/A,#N/A,TRUE,"0.";#N/A,#N/A,TRUE,"1.";#N/A,#N/A,TRUE,"2.";#N/A,#N/A,TRUE,"1.1";#N/A,#N/A,TRUE,"1. (2)";#N/A,#N/A,TRUE,"1. (3)";#N/A,#N/A,TRUE,"1. (4)";#N/A,#N/A,TRUE,"1. (5)";#N/A,#N/A,TRUE,"1. (6)";#N/A,#N/A,TRUE,"1. (7)";#N/A,#N/A,TRUE,"1. (8)";#N/A,#N/A,TRUE,"1. (9)";#N/A,#N/A,TRUE,"1. (10)";#N/A,#N/A,TRUE,"1. (11)";#N/A,#N/A,TRUE,"1. (12)";#N/A,#N/A,TRUE,"2.1";#N/A,#N/A,TRUE,"2. (2)";#N/A,#N/A,TRUE,"2. (3)";#N/A,#N/A,TRUE,"2. (4)";#N/A,#N/A,TRUE,"2. (5)";#N/A,#N/A,TRUE,"2. (6)";#N/A,#N/A,TRUE,"2. (7)";#N/A,#N/A,TRUE,"2. (8)";#N/A,#N/A,TRUE,"2. (9)";#N/A,#N/A,TRUE,"2. (10)";#N/A,#N/A,TRUE,"2. (11)";#N/A,#N/A,TRUE,"2. (12)";#N/A,#N/A,TRUE,"2. (13)";#N/A,#N/A,TRUE,"2. (14)";#N/A,#N/A,TRUE,"2. (15)";#N/A,#N/A,TRUE,"2. (16)";#N/A,#N/A,TRUE,"2. (17)";#N/A,#N/A,TRUE,"2. (18)";#N/A,#N/A,TRUE,"2. (19)";#N/A,#N/A,TRUE,"2. (20)";#N/A,#N/A,TRUE,"2. (21)";#N/A,#N/A,TRUE,"2. (22)";#N/A,#N/A,TRUE,"2. (23)";#N/A,#N/A,TRUE,"2. (24)";#N/A,#N/A,TRUE,"2. (25)";#N/A,#N/A,TRUE,"2. (26)";#N/A,#N/A,TRUE,"2. (27)";#N/A,#N/A,TRUE,"2. (28)";#N/A,#N/A,TRUE,"2. (29)";#N/A,#N/A,TRUE,"2. (30)";#N/A,#N/A,TRUE,"2. (31)";#N/A,#N/A,TRUE,"2. (32)"}</definedName>
    <definedName function="false" hidden="true" name="wrn.Auflösung._2" vbProcedure="false">{#N/A,#N/A,TRUE,"0.";#N/A,#N/A,TRUE,"1.";#N/A,#N/A,TRUE,"2.";#N/A,#N/A,TRUE,"1.1";#N/A,#N/A,TRUE,"1. (2)";#N/A,#N/A,TRUE,"1. (3)";#N/A,#N/A,TRUE,"1. (4)";#N/A,#N/A,TRUE,"1. (5)";#N/A,#N/A,TRUE,"1. (6)";#N/A,#N/A,TRUE,"1. (7)";#N/A,#N/A,TRUE,"1. (8)";#N/A,#N/A,TRUE,"1. (9)";#N/A,#N/A,TRUE,"1. (10)";#N/A,#N/A,TRUE,"1. (11)";#N/A,#N/A,TRUE,"1. (12)";#N/A,#N/A,TRUE,"2.1";#N/A,#N/A,TRUE,"2. (2)";#N/A,#N/A,TRUE,"2. (3)";#N/A,#N/A,TRUE,"2. (4)";#N/A,#N/A,TRUE,"2. (5)";#N/A,#N/A,TRUE,"2. (6)";#N/A,#N/A,TRUE,"2. (7)";#N/A,#N/A,TRUE,"2. (8)";#N/A,#N/A,TRUE,"2. (9)";#N/A,#N/A,TRUE,"2. (10)";#N/A,#N/A,TRUE,"2. (11)";#N/A,#N/A,TRUE,"2. (12)";#N/A,#N/A,TRUE,"2. (13)";#N/A,#N/A,TRUE,"2. (14)";#N/A,#N/A,TRUE,"2. (15)";#N/A,#N/A,TRUE,"2. (16)";#N/A,#N/A,TRUE,"2. (17)";#N/A,#N/A,TRUE,"2. (18)";#N/A,#N/A,TRUE,"2. (19)";#N/A,#N/A,TRUE,"2. (20)";#N/A,#N/A,TRUE,"2. (21)";#N/A,#N/A,TRUE,"2. (22)";#N/A,#N/A,TRUE,"2. (23)";#N/A,#N/A,TRUE,"2. (24)";#N/A,#N/A,TRUE,"2. (25)";#N/A,#N/A,TRUE,"2. (26)";#N/A,#N/A,TRUE,"2. (27)";#N/A,#N/A,TRUE,"2. (28)";#N/A,#N/A,TRUE,"2. (29)";#N/A,#N/A,TRUE,"2. (30)";#N/A,#N/A,TRUE,"2. (31)";#N/A,#N/A,TRUE,"2. (32)"}</definedName>
    <definedName function="false" hidden="true" name="wrn.Auflösung._3" vbProcedure="false">{#N/A,#N/A,TRUE,"0.";#N/A,#N/A,TRUE,"1.";#N/A,#N/A,TRUE,"2.";#N/A,#N/A,TRUE,"1.1";#N/A,#N/A,TRUE,"1. (2)";#N/A,#N/A,TRUE,"1. (3)";#N/A,#N/A,TRUE,"1. (4)";#N/A,#N/A,TRUE,"1. (5)";#N/A,#N/A,TRUE,"1. (6)";#N/A,#N/A,TRUE,"1. (7)";#N/A,#N/A,TRUE,"1. (8)";#N/A,#N/A,TRUE,"1. (9)";#N/A,#N/A,TRUE,"1. (10)";#N/A,#N/A,TRUE,"1. (11)";#N/A,#N/A,TRUE,"1. (12)";#N/A,#N/A,TRUE,"2.1";#N/A,#N/A,TRUE,"2. (2)";#N/A,#N/A,TRUE,"2. (3)";#N/A,#N/A,TRUE,"2. (4)";#N/A,#N/A,TRUE,"2. (5)";#N/A,#N/A,TRUE,"2. (6)";#N/A,#N/A,TRUE,"2. (7)";#N/A,#N/A,TRUE,"2. (8)";#N/A,#N/A,TRUE,"2. (9)";#N/A,#N/A,TRUE,"2. (10)";#N/A,#N/A,TRUE,"2. (11)";#N/A,#N/A,TRUE,"2. (12)";#N/A,#N/A,TRUE,"2. (13)";#N/A,#N/A,TRUE,"2. (14)";#N/A,#N/A,TRUE,"2. (15)";#N/A,#N/A,TRUE,"2. (16)";#N/A,#N/A,TRUE,"2. (17)";#N/A,#N/A,TRUE,"2. (18)";#N/A,#N/A,TRUE,"2. (19)";#N/A,#N/A,TRUE,"2. (20)";#N/A,#N/A,TRUE,"2. (21)";#N/A,#N/A,TRUE,"2. (22)";#N/A,#N/A,TRUE,"2. (23)";#N/A,#N/A,TRUE,"2. (24)";#N/A,#N/A,TRUE,"2. (25)";#N/A,#N/A,TRUE,"2. (26)";#N/A,#N/A,TRUE,"2. (27)";#N/A,#N/A,TRUE,"2. (28)";#N/A,#N/A,TRUE,"2. (29)";#N/A,#N/A,TRUE,"2. (30)";#N/A,#N/A,TRUE,"2. (31)";#N/A,#N/A,TRUE,"2. (32)"}</definedName>
    <definedName function="false" hidden="true" name="wrn.Auflösung._4" vbProcedure="false">{#N/A,#N/A,TRUE,"0.";#N/A,#N/A,TRUE,"1.";#N/A,#N/A,TRUE,"2.";#N/A,#N/A,TRUE,"1.1";#N/A,#N/A,TRUE,"1. (2)";#N/A,#N/A,TRUE,"1. (3)";#N/A,#N/A,TRUE,"1. (4)";#N/A,#N/A,TRUE,"1. (5)";#N/A,#N/A,TRUE,"1. (6)";#N/A,#N/A,TRUE,"1. (7)";#N/A,#N/A,TRUE,"1. (8)";#N/A,#N/A,TRUE,"1. (9)";#N/A,#N/A,TRUE,"1. (10)";#N/A,#N/A,TRUE,"1. (11)";#N/A,#N/A,TRUE,"1. (12)";#N/A,#N/A,TRUE,"2.1";#N/A,#N/A,TRUE,"2. (2)";#N/A,#N/A,TRUE,"2. (3)";#N/A,#N/A,TRUE,"2. (4)";#N/A,#N/A,TRUE,"2. (5)";#N/A,#N/A,TRUE,"2. (6)";#N/A,#N/A,TRUE,"2. (7)";#N/A,#N/A,TRUE,"2. (8)";#N/A,#N/A,TRUE,"2. (9)";#N/A,#N/A,TRUE,"2. (10)";#N/A,#N/A,TRUE,"2. (11)";#N/A,#N/A,TRUE,"2. (12)";#N/A,#N/A,TRUE,"2. (13)";#N/A,#N/A,TRUE,"2. (14)";#N/A,#N/A,TRUE,"2. (15)";#N/A,#N/A,TRUE,"2. (16)";#N/A,#N/A,TRUE,"2. (17)";#N/A,#N/A,TRUE,"2. (18)";#N/A,#N/A,TRUE,"2. (19)";#N/A,#N/A,TRUE,"2. (20)";#N/A,#N/A,TRUE,"2. (21)";#N/A,#N/A,TRUE,"2. (22)";#N/A,#N/A,TRUE,"2. (23)";#N/A,#N/A,TRUE,"2. (24)";#N/A,#N/A,TRUE,"2. (25)";#N/A,#N/A,TRUE,"2. (26)";#N/A,#N/A,TRUE,"2. (27)";#N/A,#N/A,TRUE,"2. (28)";#N/A,#N/A,TRUE,"2. (29)";#N/A,#N/A,TRUE,"2. (30)";#N/A,#N/A,TRUE,"2. (31)";#N/A,#N/A,TRUE,"2. (32)"}</definedName>
    <definedName function="false" hidden="true" name="wrn.Auflösung._5" vbProcedure="false">{#N/A,#N/A,TRUE,"0.";#N/A,#N/A,TRUE,"1.";#N/A,#N/A,TRUE,"2.";#N/A,#N/A,TRUE,"1.1";#N/A,#N/A,TRUE,"1. (2)";#N/A,#N/A,TRUE,"1. (3)";#N/A,#N/A,TRUE,"1. (4)";#N/A,#N/A,TRUE,"1. (5)";#N/A,#N/A,TRUE,"1. (6)";#N/A,#N/A,TRUE,"1. (7)";#N/A,#N/A,TRUE,"1. (8)";#N/A,#N/A,TRUE,"1. (9)";#N/A,#N/A,TRUE,"1. (10)";#N/A,#N/A,TRUE,"1. (11)";#N/A,#N/A,TRUE,"1. (12)";#N/A,#N/A,TRUE,"2.1";#N/A,#N/A,TRUE,"2. (2)";#N/A,#N/A,TRUE,"2. (3)";#N/A,#N/A,TRUE,"2. (4)";#N/A,#N/A,TRUE,"2. (5)";#N/A,#N/A,TRUE,"2. (6)";#N/A,#N/A,TRUE,"2. (7)";#N/A,#N/A,TRUE,"2. (8)";#N/A,#N/A,TRUE,"2. (9)";#N/A,#N/A,TRUE,"2. (10)";#N/A,#N/A,TRUE,"2. (11)";#N/A,#N/A,TRUE,"2. (12)";#N/A,#N/A,TRUE,"2. (13)";#N/A,#N/A,TRUE,"2. (14)";#N/A,#N/A,TRUE,"2. (15)";#N/A,#N/A,TRUE,"2. (16)";#N/A,#N/A,TRUE,"2. (17)";#N/A,#N/A,TRUE,"2. (18)";#N/A,#N/A,TRUE,"2. (19)";#N/A,#N/A,TRUE,"2. (20)";#N/A,#N/A,TRUE,"2. (21)";#N/A,#N/A,TRUE,"2. (22)";#N/A,#N/A,TRUE,"2. (23)";#N/A,#N/A,TRUE,"2. (24)";#N/A,#N/A,TRUE,"2. (25)";#N/A,#N/A,TRUE,"2. (26)";#N/A,#N/A,TRUE,"2. (27)";#N/A,#N/A,TRUE,"2. (28)";#N/A,#N/A,TRUE,"2. (29)";#N/A,#N/A,TRUE,"2. (30)";#N/A,#N/A,TRUE,"2. (31)";#N/A,#N/A,TRUE,"2. (32)"}</definedName>
    <definedName function="false" hidden="true" name="wrn.AUG." vbProcedure="false">{"AUG",#N/A,FALSE,"AUG"}</definedName>
    <definedName function="false" hidden="true" name="wrn.AUGUST." vbProcedure="false">{"Q1AUG",#N/A,FALSE,"Q1"}</definedName>
    <definedName function="false" hidden="true" name="wrn.Auto._.Comp." vbProcedure="false">{#N/A,#N/A,FALSE,"Sheet1"}</definedName>
    <definedName function="false" hidden="true" name="wrn.Auto._.Comp.1" vbProcedure="false">{#N/A,#N/A,FALSE,"Sheet1"}</definedName>
    <definedName function="false" hidden="true" name="wrn.away." vbProcedure="false">{"away stand alones",#N/A,FALSE,"Target"}</definedName>
    <definedName function="false" hidden="true" name="wrn.A_VALUATION." vbProcedure="false">{#N/A,#N/A,FALSE,"A_D";#N/A,#N/A,FALSE,"WACC";#N/A,#N/A,FALSE,"DCF";#N/A,#N/A,FALSE,"A";#N/A,#N/A,FALSE,"LBO";#N/A,#N/A,FALSE,"C";#N/A,#N/A,FALSE,"impd";#N/A,#N/A,FALSE,"comps"}</definedName>
    <definedName function="false" hidden="true" name="wrn.b1._.FY9798Totals." vbProcedure="false">{"FY97Total",#N/A,FALSE,"FY97 - Total";"FY98Total",#N/A,FALSE,"FY98 - Total"}</definedName>
    <definedName function="false" hidden="true" name="wrn.B10." vbProcedure="false">{"B10-2000",#N/A,FALSE,"BL2000"}</definedName>
    <definedName function="false" hidden="true" name="wrn.b2._.FY97Q1234." vbProcedure="false">{"FY97Q1",#N/A,FALSE,"FY97 - Q1";"FY97Q2",#N/A,FALSE,"FY97 - Q2";"FY97Q3",#N/A,FALSE,"FY97 - Q3";"FY97Q4",#N/A,FALSE,"FY97 - Q4"}</definedName>
    <definedName function="false" hidden="true" name="wrn.b3._.FY98Q1234." vbProcedure="false">{"FY98Q1",#N/A,FALSE,"FY98 - Q1";"FY98Q2",#N/A,FALSE,"FY98 - Q2";"FY98Q3",#N/A,FALSE,"FY98 - Q3";"FY98Q4",#N/A,FALSE,"FY98 - Q4"}</definedName>
    <definedName function="false" hidden="true" name="wrn.Back._.Page." vbProcedure="false">{"Back Page",#N/A,FALSE,"Front and Back"}</definedName>
    <definedName function="false" hidden="true" name="wrn.backup." vbProcedure="false">{"financials",#N/A,FALSE,"BASIC";"interest",#N/A,FALSE,"BASIC";"leasing and financing",#N/A,FALSE,"BASIC";"returns back up",#N/A,FALSE,"BASIC"}</definedName>
    <definedName function="false" hidden="true" name="wrn.Backup1a" vbProcedure="false">{#N/A,#N/A,FALSE,"Back-up";#N/A,#N/A,FALSE,"Pricing";#N/A,#N/A,FALSE,"Incentives";#N/A,#N/A,FALSE,"Cons. Employment";#N/A,#N/A,FALSE,"Manufacturing";#N/A,#N/A,FALSE,"Engineering II";#N/A,#N/A,FALSE,"Expenses";#N/A,#N/A,FALSE,"Administration";#N/A,#N/A,FALSE,"Selling";#N/A,#N/A,FALSE,"Marketing";#N/A,#N/A,FALSE,"Warehouse";#N/A,#N/A,FALSE,"Warranty";#N/A,#N/A,FALSE,"CAPEX";#N/A,#N/A,FALSE,"Series 50-60";#N/A,#N/A,FALSE,"2 Cycle";#N/A,#N/A,FALSE,"Series 2000";#N/A,#N/A,FALSE,"Series 4000";#N/A,#N/A,FALSE,"Series 30-40";#N/A,#N/A,FALSE,"Reman";#N/A,#N/A,FALSE,"Cento";#N/A,#N/A,FALSE,"Distr";#N/A,#N/A,FALSE,"Deep Backup";#N/A,#N/A,FALSE,"Series 50-60 (2)";#N/A,#N/A,FALSE,"2 Cycle (2)";#N/A,#N/A,FALSE,"Series 2000 (2)";#N/A,#N/A,FALSE,"Series 4000 (2)";#N/A,#N/A,FALSE,"Series 30-40 (2)";#N/A,#N/A,FALSE,"Deducts";#N/A,#N/A,FALSE,"EBIT";#N/A,#N/A,FALSE,"Employment"}</definedName>
    <definedName function="false" hidden="true" name="wrn.balance._.sheet." vbProcedure="false">{"bs",#N/A,FALSE,"SCF"}</definedName>
    <definedName function="false" hidden="true" name="wrn.balance._.sheet.2" vbProcedure="false">{"bs",#N/A,FALSE,"SCF"}</definedName>
    <definedName function="false" hidden="true" name="wrn.BalanceSheetGermanGAAP2000_2009." vbProcedure="false">{"BSGGAAP1",#N/A,FALSE,"P&amp;L G GAAP"}</definedName>
    <definedName function="false" hidden="true" name="wrn.BalanceSheetGermanGAAP2010_2019." vbProcedure="false">{"BSGGAAP2",#N/A,FALSE,"BS G GAAP"}</definedName>
    <definedName function="false" hidden="true" name="wrn.BalanceSheetUSGAAP2000_2009." vbProcedure="false">{"BSUSGAAP1",#N/A,FALSE,"BS US GAAP"}</definedName>
    <definedName function="false" hidden="true" name="wrn.BalanceSheetUSGAAP2010_2019." vbProcedure="false">{"BSUSGAAP2",#N/A,FALSE,"BS US GAAP"}</definedName>
    <definedName function="false" hidden="true" name="wrn.balsheet." vbProcedure="false">{"ICDANDNONDIV",#N/A,FALSE,"BSALLNOW.XLS";"polyandpurperf",#N/A,FALSE,"BSALLNOW.XLS"}</definedName>
    <definedName function="false" hidden="true" name="wrn.Bank." vbProcedure="false">{"OPL1",#N/A,FALSE,"PL";"OpAnal",#N/A,FALSE,"Op";"BS2",#N/A,FALSE,"BS";"CF1(a)",#N/A,FALSE,"Op"}</definedName>
    <definedName function="false" hidden="true" name="wrn.bank._.model." vbProcedure="false">{"banks",#N/A,FALSE,"BASIC"}</definedName>
    <definedName function="false" hidden="true" name="wrn.Bankers." vbProcedure="false">{#N/A,#N/A,FALSE,"COVER";#N/A,#N/A,FALSE,"SUMMARY";#N/A,#N/A,FALSE,"INCOME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function="false" hidden="true" name="wrn.BankView." vbProcedure="false">{"BankView",#N/A,FALSE,"TransSum";#N/A,#N/A,FALSE,"Lab";#N/A,#N/A,FALSE,"Micro wo HiPur";#N/A,#N/A,FALSE,"Texas";#N/A,#N/A,FALSE,"Temple";#N/A,#N/A,FALSE,"Micro";#N/A,#N/A,FALSE,"BuyResale";#N/A,#N/A,FALSE,"Spec.";#N/A,#N/A,FALSE,"Comb";#N/A,#N/A,FALSE,"StandAlon";#N/A,#N/A,FALSE,"IncStmt";#N/A,#N/A,FALSE,"BalSht";#N/A,#N/A,FALSE,"CapEx";#N/A,#N/A,FALSE,"CashFlow";#N/A,#N/A,FALSE,"TBS"}</definedName>
    <definedName function="false" hidden="true" name="wrn.BankView.2" vbProcedure="false">{"BankView",#N/A,FALSE,"TransSum";#N/A,#N/A,FALSE,"Lab";#N/A,#N/A,FALSE,"Micro wo HiPur";#N/A,#N/A,FALSE,"Texas";#N/A,#N/A,FALSE,"Temple";#N/A,#N/A,FALSE,"Micro";#N/A,#N/A,FALSE,"BuyResale";#N/A,#N/A,FALSE,"Spec.";#N/A,#N/A,FALSE,"Comb";#N/A,#N/A,FALSE,"StandAlon";#N/A,#N/A,FALSE,"IncStmt";#N/A,#N/A,FALSE,"BalSht";#N/A,#N/A,FALSE,"CapEx";#N/A,#N/A,FALSE,"CashFlow";#N/A,#N/A,FALSE,"TBS"}</definedName>
    <definedName function="false" hidden="true" name="wrn.Base._.Data._.Comparison." vbProcedure="false">{#N/A,#N/A,FALSE,"Summation";#N/A,#N/A,FALSE,"BSA";#N/A,#N/A,FALSE,"Detail1";#N/A,#N/A,FALSE,"Detail2";#N/A,#N/A,FALSE,"Detail3";#N/A,#N/A,FALSE,"WFTE_Summary";#N/A,#N/A,FALSE,"Funded_WFTE";#N/A,#N/A,FALSE,"PYADJ96"}</definedName>
    <definedName function="false" hidden="true" name="wrn.baseDEV." vbProcedure="false">{"cover",#N/A,TRUE,"Cover";"pnldet",#N/A,TRUE,"BaseCaseDEV";"pnl",#N/A,TRUE,"BaseCaseDEV";"bil",#N/A,TRUE,"BaseCaseDEV";"tabfi",#N/A,TRUE,"BaseCaseDEV";"ratios",#N/A,TRUE,"BaseCaseDEV";"variab",#N/A,TRUE,"BaseCaseDEV";"inv",#N/A,TRUE,"BaseCaseDEV"}</definedName>
    <definedName function="false" hidden="true" name="wrn.Basic." vbProcedure="false">{#N/A,#N/A,FALSE,"Cover";#N/A,#N/A,FALSE,"Assumptions";#N/A,#N/A,FALSE,"Acquirer";#N/A,#N/A,FALSE,"Target";#N/A,#N/A,FALSE,"Income Statement";#N/A,#N/A,FALSE,"Summary Tables"}</definedName>
    <definedName function="false" hidden="true" name="wrn.Basic._.Report." vbProcedure="false">{#N/A,#N/A,FALSE,"New Depr Sch-150% DB";#N/A,#N/A,FALSE,"Cash Flows RLP";#N/A,#N/A,FALSE,"IRR";#N/A,#N/A,FALSE,"Proforma IS";#N/A,#N/A,FALSE,"Assumptions"}</definedName>
    <definedName function="false" hidden="true" name="wrn.basics." vbProcedure="false">{#N/A,#N/A,FALSE,"TSUM";#N/A,#N/A,FALSE,"shares";#N/A,#N/A,FALSE,"earnout";#N/A,#N/A,FALSE,"Heaty";#N/A,#N/A,FALSE,"self-tend";#N/A,#N/A,FALSE,"self-sum"}</definedName>
    <definedName function="false" hidden="true" name="wrn.BEL." vbProcedure="false">{"IS",#N/A,FALSE,"IS";"RPTIS",#N/A,FALSE,"RPTIS";"STATS",#N/A,FALSE,"STATS";"CELL",#N/A,FALSE,"CELL";"BS",#N/A,FALSE,"BS"}</definedName>
    <definedName function="false" hidden="true" name="wrn.Belgium." vbProcedure="false">{"Input",#N/A,FALSE,"Belgium";"Cash Flow Statement",#N/A,FALSE,"Belgium";"Cash Flow Worksheet",#N/A,FALSE,"Belgium";"Trial Balance - CY",#N/A,FALSE,"Belgium";"Trial Balance - PY",#N/A,FALSE,"Belgium"}</definedName>
    <definedName function="false" hidden="true" name="wrn.Bericht." vbProcedure="false">{#N/A,#N/A,FALSE,"Aktiva";#N/A,#N/A,FALSE,"Passiva";#N/A,#N/A,FALSE,"guv";#N/A,#N/A,FALSE,"Anl-1";#N/A,#N/A,FALSE,"Anl-2";#N/A,#N/A,FALSE,"Anl-III";#N/A,#N/A,FALSE,"Ta-1-Anh";#N/A,#N/A,FALSE,"Ta-2-Anh";#N/A,#N/A,FALSE,"Ta-3-Anh";#N/A,#N/A,FALSE,"Kontroll-Blatt"}</definedName>
    <definedName function="false" hidden="true" name="wrn.Bericht._.FO._.R." vbProcedure="false">{#N/A,#N/A,FALSE,"FO R";"Bericht FO FR",#N/A,FALSE,"DB"}</definedName>
    <definedName function="false" hidden="true" name="wrn.Bericht._.OC." vbProcedure="false">{#N/A,#N/A,FALSE,"OC";"Bericht OC",#N/A,FALSE,"DB"}</definedName>
    <definedName function="false" hidden="true" name="wrn.Bericht._.OI." vbProcedure="false">{#N/A,#N/A,FALSE,"OI";"Bericht OI",#N/A,FALSE,"DB"}</definedName>
    <definedName function="false" hidden="true" name="wrn.Bericht._.OS._.L." vbProcedure="false">{#N/A,#N/A,FALSE,"OS L";"Bericht OS L",#N/A,FALSE,"DB"}</definedName>
    <definedName function="false" hidden="true" name="wrn.Bericht._.OS._.T." vbProcedure="false">{#N/A,#N/A,FALSE,"OS T";"Bericht OS T",#N/A,FALSE,"DB"}</definedName>
    <definedName function="false" hidden="true" name="wrn.Bericht._.Q." vbProcedure="false">{#N/A,#N/A,FALSE,"Q";"Bericht Q",#N/A,FALSE,"DB"}</definedName>
    <definedName function="false" hidden="true" name="wrn.Bericht._.STA." vbProcedure="false">{#N/A,#N/A,FALSE,"STA";"Bericht STA",#N/A,FALSE,"DB"}</definedName>
    <definedName function="false" hidden="true" name="wrn.Bericht._.TF." vbProcedure="false">{"TF",#N/A,FALSE,"la september";#N/A,#N/A,FALSE,"diagramm tf"}</definedName>
    <definedName function="false" hidden="true" name="wrn.Bericht._.TF.1a" vbProcedure="false">{"TF",#N/A,FALSE,"la september";#N/A,#N/A,FALSE,"diagramm tf"}</definedName>
    <definedName function="false" hidden="true" name="wrn.Bericht._.TM." vbProcedure="false">{"TM",#N/A,FALSE,"la september";#N/A,#N/A,FALSE,"diagramm tm"}</definedName>
    <definedName function="false" hidden="true" name="wrn.Bericht._.TM.1a" vbProcedure="false">{"TM",#N/A,FALSE,"la september";#N/A,#N/A,FALSE,"diagramm tm"}</definedName>
    <definedName function="false" hidden="true" name="wrn.Bericht._.VV." vbProcedure="false">{#N/A,#N/A,FALSE,"VV";"Bericht VV",#N/A,FALSE,"DB"}</definedName>
    <definedName function="false" hidden="true" name="wrn.betz." vbProcedure="false">{"net assets",#N/A,FALSE,"summary";"asset turnover",#N/A,FALSE,"summary";"orona",#N/A,FALSE,"summary"}</definedName>
    <definedName function="false" hidden="true" name="wrn.Bewegungsbilanz." vbProcedure="false">{#N/A,#N/A,FALSE,"Mittelherkunft";#N/A,#N/A,FALSE,"Mittelverwendung"}</definedName>
    <definedName function="false" hidden="true" name="wrn.BewertungD." vbProcedure="false">{"WACC",#N/A,FALSE,"Bewertung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function="false" hidden="true" name="wrn.bhko." vbProcedure="false">{"bhv1",#N/A,FALSE,"A";"bhv2",#N/A,FALSE,"A";"bhv4",#N/A,FALSE,"A";"bhv3",#N/A,FALSE,"A"}</definedName>
    <definedName function="false" hidden="true" name="wrn.bhvkd." vbProcedure="false">{"bkod1",#N/A,FALSE,"A";"bokd2",#N/A,FALSE,"A";"bokd3",#N/A,FALSE,"A";"bkod4",#N/A,FALSE,"A";"bokd5",#N/A,FALSE,"A";"bokd6",#N/A,FALSE,"A";"bokd7",#N/A,FALSE,"A"}</definedName>
    <definedName function="false" hidden="true" name="wrn.BidCo." vbProcedure="false">{#N/A,#N/A,FALSE,"BidCo Assumptions";#N/A,#N/A,FALSE,"Credit Stats";#N/A,#N/A,FALSE,"Bidco Summary";#N/A,#N/A,FALSE,"BIDCO Consolidated"}</definedName>
    <definedName function="false" hidden="true" name="wrn.Bilanz." vbProcedure="false">{#N/A,#N/A,FALSE,"Layout Aktiva";#N/A,#N/A,FALSE,"Layout Passiva"}</definedName>
    <definedName function="false" hidden="true" name="wrn.Bilanzen_GuV_Memo." vbProcedure="false">{"Aktiva_Gittelde",#N/A,TRUE,"Bilanz-Gittelde";"Liabilities_gittelde",#N/A,TRUE,"Bilanz-Gittelde";"GuV_Gittelde",#N/A,TRUE,"GuV-Gittelde";"Aktiva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function="false" hidden="true" name="wrn.Bilanzplan." vbProcedure="false">{#N/A,#N/A,FALSE,"Deckblatt Bilanz";#N/A,#N/A,FALSE,"Bilanz";#N/A,#N/A,FALSE,"GuV";#N/A,#N/A,FALSE,"Cash-flow-Rechnung";#N/A,#N/A,FALSE,"Berechnung Zinsergebnis";#N/A,#N/A,FALSE,"Berechnung Rückstellungen";#N/A,#N/A,FALSE,"Berechnung sonstige Vbdl.";#N/A,#N/A,FALSE,"Wertentwicklung";#N/A,#N/A,FALSE,"Annahmen"}</definedName>
    <definedName function="false" hidden="true" name="wrn.billbook." vbProcedure="false">{#N/A,#N/A,FALSE,"FIRG96";#N/A,#N/A,FALSE,"FIRG96_2";#N/A,#N/A,FALSE,"FIRG96_3";#N/A,#N/A,FALSE,"FIRG96_4";#N/A,#N/A,FALSE,"RETEX";#N/A,#N/A,FALSE,"RETEX2";#N/A,#N/A,FALSE,"RETEX3";#N/A,#N/A,FALSE,"RETEX4";#N/A,#N/A,FALSE,"EMS";#N/A,#N/A,FALSE,"EMS2";#N/A,#N/A,FALSE,"EMS3";#N/A,#N/A,FALSE,"EMS4";#N/A,#N/A,FALSE,"Q496 v Q396";#N/A,#N/A,FALSE,"Q497 vs Q397";#N/A,#N/A,FALSE,"Q497 vs Q496"}</definedName>
    <definedName function="false" hidden="true" name="wrn.bkof." vbProcedure="false">{"bkf1",#N/A,FALSE,"A";"bfk2",#N/A,FALSE,"A";"bfk3",#N/A,FALSE,"A";"bfk4",#N/A,FALSE,"A";"bfk5",#N/A,FALSE,"A";"bfk6",#N/A,FALSE,"A";"bfk7",#N/A,FALSE,"A";"bfk8",#N/A,FALSE,"A";"bfk9",#N/A,FALSE,"A"}</definedName>
    <definedName function="false" hidden="true" name="wrn.BL." vbProcedure="false">{"BL2000",#N/A,FALSE,"BL2000"}</definedName>
    <definedName function="false" hidden="true" name="wrn.bm" vbProcedure="false">{#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function="false" hidden="true" name="wrn.Board._.Book." vbProcedure="false">{#N/A,#N/A,FALSE,"COVER PAGE";#N/A,#N/A,FALSE,"IS by Q";#N/A,#N/A,FALSE,"IS";#N/A,#N/A,FALSE,"BS-A";#N/A,#N/A,FALSE,"BS-L &amp; E";#N/A,#N/A,FALSE,"Cash Flow";#N/A,#N/A,FALSE,"Subs";#N/A,#N/A,FALSE,"Subs Pre Pay";#N/A,#N/A,FALSE,"IS ISP";#N/A,#N/A,FALSE,"Subs ISP";#N/A,#N/A,FALSE," IS ISP split";#N/A,#N/A,FALSE,"Covenants"}</definedName>
    <definedName function="false" hidden="true" name="wrn.Board._.Reports." vbProcedure="false">{#N/A,#N/A,FALSE,"M1s Board";#N/A,#N/A,FALSE,"M3 Board";#N/A,#N/A,FALSE,"M6 Board";#N/A,#N/A,FALSE,"M7";#N/A,#N/A,FALSE,"M7B";#N/A,#N/A,FALSE,"M8";#N/A,#N/A,FALSE,"M8A Board";#N/A,#N/A,FALSE,"AF1 Board"}</definedName>
    <definedName function="false" hidden="true" name="wrn.book." vbProcedure="false">{#N/A,#N/A,FALSE,"FIRG96";#N/A,#N/A,FALSE,"FIRG96_2";#N/A,#N/A,FALSE,"FIRG96_3";#N/A,#N/A,FALSE,"FIRG96_4";#N/A,#N/A,FALSE,"FIRG Exec";#N/A,#N/A,FALSE,"Sys Arch";#N/A,#N/A,FALSE,"RETEX";#N/A,#N/A,FALSE,"RETEX2";#N/A,#N/A,FALSE,"RETEX3";#N/A,#N/A,FALSE,"RETEX4";#N/A,#N/A,FALSE,"EMS";#N/A,#N/A,FALSE,"EMS2";#N/A,#N/A,FALSE,"EMS3";#N/A,#N/A,FALSE,"EMS4";#N/A,#N/A,FALSE,"Q496 v Q396";#N/A,#N/A,FALSE,"Q497 vs Q397";#N/A,#N/A,FALSE,"Q497 vs Q496";#N/A,#N/A,FALSE,"HEADCOUNT"}</definedName>
    <definedName function="false" hidden="true" name="wrn.Both." vbProcedure="false">{"detail",#N/A,FALSE,"mfg";"summary",#N/A,FALSE,"mfg"}</definedName>
    <definedName function="false" hidden="true" name="wrn.Both.2" vbProcedure="false">{"detail",#N/A,FALSE,"mfg";"summary",#N/A,FALSE,"mfg"}</definedName>
    <definedName function="false" hidden="true" name="wrn.both1" vbProcedure="false">{"detail",#N/A,FALSE,"mfg";"summary",#N/A,FALSE,"mfg"}</definedName>
    <definedName function="false" hidden="true" name="wrn.both10" vbProcedure="false">{"detail",#N/A,FALSE,"mfg";"summary",#N/A,FALSE,"mfg"}</definedName>
    <definedName function="false" hidden="true" name="wrn.both102" vbProcedure="false">{"detail",#N/A,FALSE,"mfg";"summary",#N/A,FALSE,"mfg"}</definedName>
    <definedName function="false" hidden="true" name="wrn.both11" vbProcedure="false">{"detail",#N/A,FALSE,"mfg";"summary",#N/A,FALSE,"mfg"}</definedName>
    <definedName function="false" hidden="true" name="wrn.both12" vbProcedure="false">{"detail",#N/A,FALSE,"mfg";"summary",#N/A,FALSE,"mfg"}</definedName>
    <definedName function="false" hidden="true" name="wrn.Both31" vbProcedure="false">{"detail",#N/A,FALSE,"mfg";"summary",#N/A,FALSE,"mfg"}</definedName>
    <definedName function="false" hidden="true" name="wrn.Both32" vbProcedure="false">{"detail",#N/A,FALSE,"mfg";"summary",#N/A,FALSE,"mfg"}</definedName>
    <definedName function="false" hidden="true" name="wrn.Both34" vbProcedure="false">{"detail",#N/A,FALSE,"mfg";"summary",#N/A,FALSE,"mfg"}</definedName>
    <definedName function="false" hidden="true" name="wrn.Both35" vbProcedure="false">{"detail",#N/A,FALSE,"mfg";"summary",#N/A,FALSE,"mfg"}</definedName>
    <definedName function="false" hidden="true" name="wrn.Both42" vbProcedure="false">{"detail",#N/A,FALSE,"mfg";"summary",#N/A,FALSE,"mfg"}</definedName>
    <definedName function="false" hidden="true" name="wrn.both71" vbProcedure="false">{"detail",#N/A,FALSE,"mfg";"summary",#N/A,FALSE,"mfg"}</definedName>
    <definedName function="false" hidden="true" name="wrn.botha11" vbProcedure="false">{"detail",#N/A,FALSE,"mfg";"summary",#N/A,FALSE,"mfg"}</definedName>
    <definedName function="false" hidden="true" name="wrn.botha2" vbProcedure="false">{"detail",#N/A,FALSE,"mfg";"summary",#N/A,FALSE,"mfg"}</definedName>
    <definedName function="false" hidden="true" name="wrn.bothab2" vbProcedure="false">{"detail",#N/A,FALSE,"mfg";"summary",#N/A,FALSE,"mfg"}</definedName>
    <definedName function="false" hidden="true" name="wrn.BP._.print." vbProcedure="false">{#N/A,#N/A,FALSE,"BANNERS";#N/A,#N/A,FALSE,"Market";#N/A,#N/A,FALSE,"Tel Rev";#N/A,#N/A,FALSE,"Revenues IOL";#N/A,#N/A,FALSE,"Invest";#N/A,#N/A,FALSE,"Op Cost1";#N/A,#N/A,FALSE,"Op Cost2";#N/A,#N/A,FALSE,"Oth_&amp;_Tot_Revenues";#N/A,#N/A,FALSE,"Fin Mod";#N/A,#N/A,FALSE,"FinMod_RoW";#N/A,#N/A,FALSE,"P&amp;E Burocrat";#N/A,#N/A,FALSE,"cash flow"}</definedName>
    <definedName function="false" hidden="true" name="wrn.BPGUIDE."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1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1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1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1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1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2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2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2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2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2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3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3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3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3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3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4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4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4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4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4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5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5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5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5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GUIDE._5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rn.BPlan." vbProcedure="false">{#N/A,#N/A,FALSE,"F_Plan";#N/A,#N/A,FALSE,"Parameter"}</definedName>
    <definedName function="false" hidden="true" name="wrn.BPP._.Fcst." vbProcedure="false">{"BPP",#N/A,TRUE,"BPP IS";"AG",#N/A,TRUE,"AG IS";"BI US&amp;Asia",#N/A,TRUE,"B&amp;I US IS and Asia";"BI Europe",#N/A,TRUE,"B&amp;I EU IS";"BPP B_S",#N/A,TRUE,"BPP BS"}</definedName>
    <definedName function="false" hidden="true" name="wrn.Breakout." vbProcedure="false">{#N/A,#N/A,FALSE,"BreakoutFY95";#N/A,#N/A,FALSE,"BreakoutFY96";#N/A,#N/A,FALSE,"BreakoutFY97";#N/A,#N/A,FALSE,"BreakoutFY98"}</definedName>
    <definedName function="false" hidden="true" name="wrn.breakup." vbProcedure="false">{"comps1",#N/A,FALSE,"Comps Sheet";"comps2",#N/A,FALSE,"Comps Sheet";"comps3",#N/A,FALSE,"Comps Sheet";"comps4",#N/A,FALSE,"Comps Sheet";"comps5",#N/A,FALSE,"Comps Sheet";"comps6",#N/A,FALSE,"Comps Sheet";"ec",#N/A,FALSE,"E&amp;C";"environmental",#N/A,FALSE,"Environmental";"heavy",#N/A,FALSE,"Heavy Const."}</definedName>
    <definedName function="false" hidden="true" name="wrn.brian." vbProcedure="false">{#N/A,#N/A,FALSE,"output";#N/A,#N/A,FALSE,"contrib";#N/A,#N/A,FALSE,"profile";#N/A,#N/A,FALSE,"comps"}</definedName>
    <definedName function="false" hidden="true" name="wrn.BROCHURE." vbProcedure="false">{"ACT",#N/A,FALSE,"Q3Elec P&amp;L fy 99  ";"BUD",#N/A,FALSE,"Q3Elec P&amp;L fy 99  ";"PRIOR",#N/A,FALSE,"Q3Elec P&amp;L fy 99  "}</definedName>
    <definedName function="false" hidden="true" name="wrn.BROCHYTD." vbProcedure="false">{"YTDACT",#N/A,FALSE,"YTD Cum";"YTDBUD",#N/A,FALSE,"YTD Cum";"YTDPRIOR",#N/A,FALSE,"YTD Cum"}</definedName>
    <definedName function="false" hidden="true" name="wrn.bs.com." vbProcedure="false">{#N/A,#N/A,FALSE,"Summary (A)";#N/A,#N/A,FALSE,"DCF (B-1)";#N/A,#N/A,FALSE,"WACC (B-2)";#N/A,#N/A,FALSE,"Web Comps (B-3)";#N/A,#N/A,FALSE,"Web Approach (C-1)";#N/A,#N/A,FALSE,"Recnt Trans (D)";#N/A,#N/A,FALSE,"Inc. Stmt Scen 1(E-1,E-2)";#N/A,#N/A,FALSE,"Fixed Assets (E-3)";#N/A,#N/A,FALSE,"Venture Cap (F)";#N/A,#N/A,FALSE,"Control (G)"}</definedName>
    <definedName function="false" hidden="true" name="wrn.bsall." vbProcedure="false">{"pg1",#N/A,FALSE,"BSALLNOW.XLS";"pg2",#N/A,FALSE,"BSALLNOW.XLS";"pg3",#N/A,FALSE,"BSALLNOW.XLS"}</definedName>
    <definedName function="false" hidden="true" name="wrn.BSAnnualModel." vbProcedure="false">{"BSAnnualModel",#N/A,FALSE,"BS"}</definedName>
    <definedName function="false" hidden="true" name="wrn.BS_ALL." vbProcedure="false">{"BS","id_9000",FALSE,"BS";"BS","id_7007",FALSE,"BS"}</definedName>
    <definedName function="false" hidden="true" name="wrn.BS_consol._.bs._.and._.detail." vbProcedure="false">{"bs",#N/A,FALSE,"BS-Consol";"bs detail",#N/A,FALSE,"BS-Consol"}</definedName>
    <definedName function="false" hidden="true" name="wrn.BUDGET." vbProcedure="false">{#N/A,#N/A,TRUE,"Sheet1";#N/A,#N/A,TRUE,"assumptions";#N/A,#N/A,TRUE,"p&amp;l";#N/A,#N/A,TRUE,"P&amp;L - MKD";#N/A,#N/A,TRUE,"sales cos";#N/A,#N/A,TRUE,"expenses";#N/A,#N/A,TRUE,"LAB PACK NOTE";#N/A,#N/A,TRUE,"Salaries";#N/A,#N/A,TRUE,"Capex"}</definedName>
    <definedName function="false" hidden="true" name="wrn.Budget._.1995." vbProcedure="false">{"budget95",#N/A,TRUE,"Tabelle1";"Tab1",#N/A,TRUE,"Tabelle2"}</definedName>
    <definedName function="false" hidden="true" name="wrn.budget._.balance._.sheet." vbProcedure="false">{"bugdet992000 balance sheet",#N/A,FALSE,"Celtel alternative 6"}</definedName>
    <definedName function="false" hidden="true" name="wrn.Budget._.Book._.Format." vbProcedure="false">{"Ratios",#N/A,FALSE,"Management Accounts";"I &amp; E Summary BB",#N/A,FALSE,"Management Accounts";"I &amp; E Turnover BB",#N/A,FALSE,"Management Accounts";"I &amp; E Op Costs 1 BB",#N/A,FALSE,"Management Accounts";"I &amp; E Op Costs 2 BB",#N/A,FALSE,"Management Accounts";"I &amp; E Sales BB",#N/A,FALSE,"Management Accounts";"I &amp; E Interest BB",#N/A,FALSE,"Management Accounts";"Cash Flow",#N/A,FALSE,"Management Accounts";"Dev Exp",#N/A,FALSE,"Management Accounts";"Dev SHG",#N/A,FALSE,"Management Accounts";"I &amp; E F &amp; A BB",#N/A,FALSE,"Management Accounts"}</definedName>
    <definedName function="false" hidden="true" name="wrn.budget._.capex." vbProcedure="false">{"budget992000 capex",#N/A,FALSE,"Celtel alternative 6"}</definedName>
    <definedName function="false" hidden="true" name="wrn.budget._.customers." vbProcedure="false">{"budget992000_customers",#N/A,FALSE,"Celtel alternative 6"}</definedName>
    <definedName function="false" hidden="true" name="wrn.Budget._.Package." vbProcedure="false">{#N/A,#N/A,FALSE,"Comparison";#N/A,#N/A,FALSE,"Income Statement";#N/A,#N/A,FALSE,"Balance Sheet";#N/A,#N/A,FALSE,"Cash Flow";#N/A,#N/A,FALSE,"Material &amp; Labor";#N/A,#N/A,FALSE,"Operating OH"}</definedName>
    <definedName function="false" hidden="true" name="wrn.budget._.profit._.and._.loss." vbProcedure="false">{"budget992000 profit and loss",#N/A,FALSE,"Celtel alternative 6"}</definedName>
    <definedName function="false" hidden="true" name="wrn.budget._.tariffs._.and._.usage." vbProcedure="false">{"budget992000 tariff and usage",#N/A,FALSE,"Celtel alternative 6"}</definedName>
    <definedName function="false" hidden="true" name="wrn.Budget._.with._.LTM." vbProcedure="false">{"I &amp; E Summary LTM",#N/A,FALSE,"Management Accounts";"I &amp; E Turnover LTM",#N/A,FALSE,"Management Accounts";"I &amp; E Op Costs 1 LTM",#N/A,FALSE,"Management Accounts";"I &amp; E Op Costs 2 LTM",#N/A,FALSE,"Management Accounts";"I &amp; E Sales LTM",#N/A,FALSE,"Management Accounts";"I &amp; E Interest LTM",#N/A,FALSE,"Management Accounts";"I &amp; E F &amp; A LTM",#N/A,FALSE,"Management Accounts"}</definedName>
    <definedName function="false" hidden="true" name="wrn.Budsjett._.halvår." vbProcedure="false">{#N/A,#N/A,FALSE,"PrintH"}</definedName>
    <definedName function="false" hidden="true" name="wrn.budsjett._.halvår1" vbProcedure="false">{#N/A,#N/A,FALSE,"PrintH"}</definedName>
    <definedName function="false" hidden="true" name="wrn.Budsjett._.periodis._.pr._.mnd." vbProcedure="false">{#N/A,#N/A,FALSE,"Sheet2"}</definedName>
    <definedName function="false" hidden="true" name="wrn.Budsjett._.periodisert._.pr._.mnd._.og._.kvart._.akk." vbProcedure="false">{#N/A,#N/A,FALSE,"PrintM"}</definedName>
    <definedName function="false" hidden="true" name="wrn.Buildups." vbProcedure="false">{"ACQ",#N/A,FALSE,"ACQUISITIONS";"ACQF",#N/A,FALSE,"ACQUISITIONS";"PF",#N/A,FALSE,"PROYECTOVILA";"PV",#N/A,FALSE,"PROYECTOVILA";"Fee Dev",#N/A,FALSE,"DEVELOPMENT GROWTH";"gd",#N/A,FALSE,"DEVELOPMENT GROWTH"}</definedName>
    <definedName function="false" hidden="true" name="wrn.bullshit1." vbProcedure="false">{#N/A,#N/A,FALSE,"Sheet1";#N/A,#N/A,FALSE,"Summary";#N/A,#N/A,FALSE,"proj1";#N/A,#N/A,FALSE,"proj2"}</definedName>
    <definedName function="false" hidden="true" name="wrn.BURDEN." vbProcedure="false">{"Burden (burden)",#N/A,FALSE,"burden"}</definedName>
    <definedName function="false" hidden="true" name="wrn.burdens" vbProcedure="false">{"Burden (burden)",#N/A,FALSE,"burden"}</definedName>
    <definedName function="false" hidden="true" name="wrn.Business._.Case." vbProcedure="false">{"ROI",#N/A,TRUE,"Summary CF";"Sum Cash Flow",#N/A,TRUE,"Summary CF";"Crawside",#N/A,TRUE,"Crawleyside";"Crawley",#N/A,TRUE,"Crawley";"Fawdon",#N/A,TRUE,"Fawdon";"Herinfra",#N/A,TRUE,"Hér Infra";"HerOrg",#N/A,TRUE,"Org redesign";"Sanofi",#N/A,TRUE,"Sanofi ";"Synthol",#N/A,TRUE,"Synthol";"Sbproducts",#N/A,TRUE,"SB products";"Gaviscon",#N/A,TRUE,"Terrass Gav";"Gaviscside",#N/A,TRUE,"GavisconSide";"Zentelside",#N/A,TRUE,"ZentelSide";"Zentel",#N/A,TRUE,"Terrass Zentel";"Upsa",#N/A,TRUE,"Upsa";"Sbbis",#N/A,TRUE,"SB bis"}</definedName>
    <definedName function="false" hidden="true" name="wrn.Business._.Plan." vbProcedure="false">{#N/A,#N/A,TRUE,"Deckblatt";#N/A,#N/A,TRUE,"Bilanz";#N/A,#N/A,TRUE,"GuV";#N/A,#N/A,TRUE,"Bilanz+GuV Erläuterungen";#N/A,#N/A,TRUE,"Umsatz";#N/A,#N/A,TRUE,"Umsatz Erläuterungen";#N/A,#N/A,TRUE,"Personal";#N/A,#N/A,TRUE,"Personal Erläuterungen";#N/A,#N/A,TRUE,"Anlagen";#N/A,#N/A,TRUE,"Anlagen Erläuterungen";#N/A,#N/A,TRUE,"Berechnung Rückstellungen";#N/A,#N/A,TRUE,"Berechnung sonstige Vbdl.";#N/A,#N/A,TRUE,"Rückst.+Vbdl. Erläuterungen";#N/A,#N/A,TRUE,"Cash-flow-Rechnung";#N/A,#N/A,TRUE,"Berechnung Zinsergebnis";#N/A,#N/A,TRUE,"Berechnung WACC";#N/A,#N/A,TRUE,"Wertentwicklung"}</definedName>
    <definedName function="false" hidden="true" name="wrn.BY._.COUNTRY._.BY._.ENGINE._.BY._.YEAR." vbProcedure="false">{"SUM GER",#N/A,FALSE,"SUM GER";"SUM FRA",#N/A,FALSE,"SUM FRA";"SUM ITA",#N/A,FALSE,"SUM ITA";"SUM SPA",#N/A,FALSE,"SUM SPA";"SUM EGB",#N/A,FALSE,"SUM EGB";"SUM IND",#N/A,FALSE,"SUM IND"}</definedName>
    <definedName function="false" hidden="true" name="wrn.BY._.YEAR._.BY._.COUNTRY." vbProcedure="false">{"SUM ALL YR",#N/A,FALSE,"SUM ALL YR";"sum01",#N/A,FALSE,"SUM 01";"sumM2",#N/A,FALSE,"SUM M2";"sum02",#N/A,FALSE,"SUM 02";"sum03",#N/A,FALSE,"SUM 03";"sum04",#N/A,FALSE,"SUM 04";"sum05",#N/A,FALSE,"SUM 05"}</definedName>
    <definedName function="false" hidden="true" name="wrn.c1._.FY9798Totals._.var._.only." vbProcedure="false">{"FY97Total var",#N/A,FALSE,"FY97 - Total";"FY98Total var",#N/A,FALSE,"FY98 - Total"}</definedName>
    <definedName function="false" hidden="true" name="wrn.c2._.FY97Q1234._.var._.only." vbProcedure="false">{"FY97Q1 var",#N/A,FALSE,"FY97 - Q1";"FY97Q2 var",#N/A,FALSE,"FY97 - Q2";"FY97Q3 var",#N/A,FALSE,"FY97 - Q3";"FY97Q4 var",#N/A,FALSE,"FY97 - Q4"}</definedName>
    <definedName function="false" hidden="true" name="wrn.c3._.FY98Q1234._.var._.only." vbProcedure="false">{"FY98Q1 var",#N/A,FALSE,"FY98 - Q1";"FY98Q2 var",#N/A,FALSE,"FY98 - Q2";"FY98Q3 var",#N/A,FALSE,"FY98 - Q3";"FY98Q4 var",#N/A,FALSE,"FY98 - Q4"}</definedName>
    <definedName function="false" hidden="true" name="wrn.CAG." vbProcedure="false">{#N/A,#N/A,FALSE,"CAG"}</definedName>
    <definedName function="false" hidden="true" name="wrn.Call._.Volume." vbProcedure="false">{#N/A,#N/A,TRUE,"PSG Total Contacts";#N/A,#N/A,TRUE,"PSG Rep Total";#N/A,#N/A,TRUE,"Core Rep Detail";#N/A,#N/A,TRUE,"BC Rep Detail";#N/A,#N/A,TRUE,"Marlboro";#N/A,#N/A,TRUE,"Covington";#N/A,#N/A,TRUE,"Dallas";#N/A,#N/A,TRUE,"VRS Stats";#N/A,#N/A,TRUE,"Internet";#N/A,#N/A,TRUE,"NCO and Call Mix";#N/A,#N/A,TRUE,"VRS &amp; Rep Calls"}</definedName>
    <definedName function="false" hidden="true" name="wrn.Call_.volume." vbProcedure="false">{#N/A,#N/A,TRUE,"PSG Total Contacts";#N/A,#N/A,TRUE,"PSG Rep Total";#N/A,#N/A,TRUE,"Core Rep Detail";#N/A,#N/A,TRUE,"BC Rep Detail";#N/A,#N/A,TRUE,"Marlboro";#N/A,#N/A,TRUE,"Covington";#N/A,#N/A,TRUE,"Dallas";#N/A,#N/A,TRUE,"VRS Stats";#N/A,#N/A,TRUE,"Internet";#N/A,#N/A,TRUE,"NCO and Call Mix";#N/A,#N/A,TRUE,"VRS &amp; Rep Calls"}</definedName>
    <definedName function="false" hidden="true" name="wrn.Capex1." vbProcedure="false">{"Capex1",#N/A,FALSE,"Capex"}</definedName>
    <definedName function="false" hidden="true" name="wrn.Capex2." vbProcedure="false">{"Capex2",#N/A,FALSE,"Capex"}</definedName>
    <definedName function="false" hidden="true" name="wrn.Capex3." vbProcedure="false">{"Capex3",#N/A,FALSE,"Capex"}</definedName>
    <definedName function="false" hidden="true" name="wrn.capital." vbProcedure="false">{"Capital",#N/A,FALSE,"capital"}</definedName>
    <definedName function="false" hidden="true" name="wrn.CAPITAL._.LEASES." vbProcedure="false">{#N/A,#N/A,FALSE,"NN-1 Capital Leases"}</definedName>
    <definedName function="false" hidden="true" name="wrn.capital1" vbProcedure="false">{"Capital",#N/A,FALSE,"capital"}</definedName>
    <definedName function="false" hidden="true" name="wrn.capitalq" vbProcedure="false">{"Capital",#N/A,FALSE,"capital"}</definedName>
    <definedName function="false" hidden="true" name="wrn.capitalw" vbProcedure="false">{"Capital",#N/A,FALSE,"capital"}</definedName>
    <definedName function="false" hidden="true" name="wrn.capital_depr." vbProcedure="false">{"capx97",#N/A,FALSE,"Capital";"capx98",#N/A,FALSE,"Capital"}</definedName>
    <definedName function="false" hidden="true" name="wrn.Cardiovasculars." vbProcedure="false">{#N/A,#N/A,FALSE,"Card";#N/A,#N/A,FALSE,"Prav";#N/A,#N/A,FALSE,"Irbe";#N/A,#N/A,FALSE,"Plavix";#N/A,#N/A,FALSE,"Capt";#N/A,#N/A,FALSE,"Fosi"}</definedName>
    <definedName function="false" hidden="true" name="wrn.cash." vbProcedure="false">{"assumption cash",#N/A,TRUE,"Merger";"has gets cash",#N/A,TRUE,"Merger";"accretion dilution",#N/A,TRUE,"Merger";"comparison credit stats",#N/A,TRUE,"Merger";"pf credit stats",#N/A,TRUE,"Merger";"pf sheets",#N/A,TRUE,"Merger"}</definedName>
    <definedName function="false" hidden="true" name="wrn.cash.huh" vbProcedure="false">{"investments",#N/A,FALSE,"CYTD CF Oct";"invest month",#N/A,FALSE,"CYTD CF Oct";"scf",#N/A,FALSE,"CYTD CF Oct";"direct method",#N/A,FALSE,"CYTD CF Oct";"indirect",#N/A,FALSE,"CYTD CF Oct"}</definedName>
    <definedName function="false" hidden="true" name="wrn.Cash._.Flow." vbProcedure="false">{#N/A,#N/A,FALSE,"Layout Cash Flow"}</definedName>
    <definedName function="false" hidden="true" name="wrn.cash._.flow._.nov." vbProcedure="false">{"scf",#N/A,TRUE,"CYTD CF Nov";"direct method",#N/A,TRUE,"CYTD CF Nov";"investments",#N/A,TRUE,"CYTD CF Nov";"indirect",#N/A,TRUE,"CYTD CF Nov"}</definedName>
    <definedName function="false" hidden="true" name="wrn.cash._.flow._.Oct." vbProcedure="false">{"indirect",#N/A,FALSE,"CYTD CF Oct";"direct method",#N/A,FALSE,"CYTD CF Oct";"scf",#N/A,FALSE,"CYTD CF Oct";"investments",#N/A,FALSE,"CYTD CF Oct";"invest month",#N/A,FALSE,"CYTD CF Oct"}</definedName>
    <definedName function="false" hidden="true" name="wrn.Cash._.Flow._.only." vbProcedure="false">{"print area 10yr cash flow",#N/A,FALSE,"TICA_EC"}</definedName>
    <definedName function="false" hidden="true" name="wrn.Cash._.Plan." vbProcedure="false">{"cash plan",#N/A,FALSE,"fccashflow"}</definedName>
    <definedName function="false" hidden="true" name="wrn.CASH._.REPORT." vbProcedure="false">{#N/A,#N/A,FALSE,"summary";#N/A,#N/A,FALSE,"debt";#N/A,#N/A,FALSE,"FIRST";#N/A,#N/A,FALSE,"B A";#N/A,#N/A,FALSE,"LLOYD";#N/A,#N/A,FALSE,"LTDLLOYD";#N/A,#N/A,FALSE,"PESO";#N/A,#N/A,FALSE,"MEX$";#N/A,#N/A,FALSE,"PRINCE";#N/A,#N/A,FALSE,"TXCOMM";#N/A,#N/A,FALSE,"WATERLOO"}</definedName>
    <definedName function="false" hidden="true" name="wrn.cashflow._.Dec." vbProcedure="false">{"investments",#N/A,FALSE,"CY Invmt Dec99";"scf",#N/A,FALSE,"CY Invmt Dec99";"direct method",#N/A,FALSE,"CY Invmt Dec99";"indirect",#N/A,FALSE,"CY Invmt Dec99"}</definedName>
    <definedName function="false" hidden="true" name="wrn.cashflow._.mar2000." vbProcedure="false">{"investments",#N/A,FALSE,"CY CF Mar00";"scf",#N/A,FALSE,"CY CF Mar00";"direct method",#N/A,FALSE,"CY CF Mar00";"indirect",#N/A,FALSE,"CY CF Mar00"}</definedName>
    <definedName function="false" hidden="true" name="wrn.CashFlowGermanGAAP2000_2009." vbProcedure="false">{"CFGGAAP1a",#N/A,FALSE,"CF G GAAP"}</definedName>
    <definedName function="false" hidden="true" name="wrn.CashFlowGermanGAAP2010_2019." vbProcedure="false">{"CFGGAAP2a",#N/A,FALSE,"CF G GAAP"}</definedName>
    <definedName function="false" hidden="true" name="wrn.CashFlowUSGAAP2000_2009." vbProcedure="false">{"CFUSGAAP1a",#N/A,FALSE,"CF US GAAP"}</definedName>
    <definedName function="false" hidden="true" name="wrn.CashFlowUSGAAP2009_2019." vbProcedure="false">{"CFUSGAAP2a",#N/A,FALSE,"CF US GAAP"}</definedName>
    <definedName function="false" hidden="true" name="wrn.cc." vbProcedure="false">{#N/A,#N/A,FALSE,"1. PTI Ziele";#N/A,#N/A,FALSE,"2. Zielkatalog ";#N/A,#N/A,FALSE,"3. Masterterminplan"}</definedName>
    <definedName function="false" hidden="true" name="wrn.CEA._.FY97." vbProcedure="false">{"CEA FY97",#N/A,FALSE,"C.E.A. FY97"}</definedName>
    <definedName function="false" hidden="true" name="wrn.CEC._.slides." vbProcedure="false">{#N/A,#N/A,FALSE,"Cover";#N/A,#N/A,FALSE,"Initial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function="false" hidden="true" name="wrn.CECIL._.FC." vbProcedure="false">{#N/A,#N/A,FALSE,"Key No's by Month - Disc";#N/A,#N/A,FALSE,"Key No's - YTD";#N/A,#N/A,FALSE,"Key No's by Qua";#N/A,#N/A,FALSE,"BR W.Fall";#N/A,#N/A,FALSE,"CR W.Fall";#N/A,#N/A,FALSE,"PBT W.Fall";#N/A,#N/A,FALSE,"Costs W.Fall";#N/A,#N/A,FALSE,"Master";#N/A,#N/A,FALSE,"cr,br,pbt,costs";#N/A,#N/A,FALSE,"Cost Analysis - DC";#N/A,#N/A,FALSE,"Cost Analysis - DT";#N/A,#N/A,FALSE,"Cost Analysis - POS";#N/A,#N/A,FALSE,"Cost Analysis - Po4";#N/A,#N/A,FALSE,"Cost Analysis - SL";#N/A,#N/A,FALSE,"Cost Analysis - ET";#N/A,#N/A,FALSE,"Cost Analysis - HQ";#N/A,#N/A,FALSE,"Cost Analysis - Elim";#N/A,#N/A,FALSE,"Cost Analysis - Cont";#N/A,#N/A,FALSE,"Cost Analysis - Top";#N/A,#N/A,FALSE,"Manexec Report";#N/A,#N/A,FALSE,"Bal Sheet"}</definedName>
    <definedName function="false" hidden="true" name="wrn.Central._.Nervous._.System." vbProcedure="false">{#N/A,#N/A,FALSE,"CNS";#N/A,#N/A,FALSE,"Serz";#N/A,#N/A,FALSE,"Ace"}</definedName>
    <definedName function="false" hidden="true" name="wrn.CESD._.PERFORMANCE." vbProcedure="false">{#N/A,#N/A,FALSE,"CUSTOM";#N/A,#N/A,FALSE,"cesd cust";#N/A,#N/A,FALSE,"PRODUCT";#N/A,#N/A,FALSE,"cesd family"}</definedName>
    <definedName function="false" hidden="true" name="wrn.CFGGAAPMSDW." vbProcedure="false">{"CFGGAAP1",#N/A,FALSE,"P&amp;L G GAAP";"CFGGAAP2",#N/A,FALSE,"P&amp;L G GAAP"}</definedName>
    <definedName function="false" hidden="true" name="wrn.CFSModel." vbProcedure="false">{"CFSModel",#N/A,FALSE,"CFS"}</definedName>
    <definedName function="false" hidden="true" name="wrn.CFTRENDS." vbProcedure="false">{#N/A,#N/A,FALSE,"OMM III";#N/A,#N/A,FALSE,"1995 PLAN";#N/A,#N/A,FALSE,"1995 TARGET";#N/A,#N/A,FALSE,"1995 ADJUSTED"}</definedName>
    <definedName function="false" hidden="true" name="wrn.CHARLIE." vbProcedure="false">{#N/A,#N/A,FALSE,"Key No's YTD";#N/A,#N/A,FALSE,"Key No's Disc.";#N/A,#N/A,FALSE,"cr,br,pbt,cost by unit YTD";#N/A,#N/A,FALSE,"cr,br,pbt,cost by unit DISC";#N/A,#N/A,FALSE,"Bal Sheet 457";#N/A,#N/A,FALSE,"Cost Analysis - DT";#N/A,#N/A,FALSE,"Cost Analysis - DC";#N/A,#N/A,FALSE,"Cost Analysis - POS";#N/A,#N/A,FALSE,"Cost Analysis - Po4";#N/A,#N/A,FALSE,"Cost Analysis - SL";#N/A,#N/A,FALSE,"Cost Analysis - ET";#N/A,#N/A,FALSE,"Cost Analysis - HQ";#N/A,#N/A,FALSE,"Cost Analysis - Elim";#N/A,#N/A,FALSE,"Cost Analysis - Cont";#N/A,#N/A,FALSE,"Cost Analysis - Top"}</definedName>
    <definedName function="false" hidden="true" name="wrn.CHART." vbProcedure="false">{"CHART",#N/A,FALSE,"Arch Communications"}</definedName>
    <definedName function="false" hidden="true" name="wrn.chart._.1998" vbProcedure="false">{#N/A,#N/A,FALSE,"Summary";#N/A,#N/A,FALSE,"Pending";#N/A,#N/A,FALSE,"Jan'98";#N/A,#N/A,FALSE,"Feb'98";#N/A,#N/A,FALSE,"Mar'98";#N/A,#N/A,FALSE,"Apr'98";#N/A,#N/A,FALSE,"May'98";#N/A,#N/A,FALSE,"June'98";#N/A,#N/A,FALSE,"July'98"}</definedName>
    <definedName function="false" hidden="true" name="wrn.Chart._.Printouts." vbProcedure="false">{"2 Area",#N/A,TRUE,"Area";"2 Bar",#N/A,TRUE,"Area";"SSB Bar",#N/A,TRUE,"Area";"2 Stacked Bar",#N/A,TRUE,"Area";"2 Stacked Bar 100",#N/A,TRUE,"Area";"2 Stacked Col",#N/A,TRUE,"Area";"2 Stacked Col 100",#N/A,TRUE,"Area";"2 HiLow",#N/A,TRUE,"Area";"2 Line",#N/A,TRUE,"Area";"2 Scatter",#N/A,TRUE,"Area";"2 ColumnLine",#N/A,TRUE,"Area";"2 ScatterLine",#N/A,TRUE,"Area";"2 Football",#N/A,TRUE,"Area";"2 DAPS",#N/A,TRUE,"Area";"2 Rover",#N/A,TRUE,"Area";"2 Student1",#N/A,TRUE,"Area";"2 Student2",#N/A,TRUE,"Area";"2 Student3",#N/A,TRUE,"Area";"2 Column",#N/A,TRUE,"Area";"2 League",#N/A,TRUE,"Area";"2 Pies",#N/A,TRUE,"Area"}</definedName>
    <definedName function="false" hidden="true" name="wrn.Chemicals." vbProcedure="false">{"PnL",#N/A,FALSE,"Chem P&amp;L";"Responsibility",#N/A,FALSE,"Chem P&amp;L";"Cost Control",#N/A,FALSE,"Chem P&amp;L"}</definedName>
    <definedName function="false" hidden="true" name="wrn.CHESAPEAKE." vbProcedure="false">{"CASHFLOW",#N/A,FALSE,"CHESAPEA";"ASSETVALUE",#N/A,FALSE,"CHESAPEA";"DATA",#N/A,FALSE,"CHESAPEA";"INCOME",#N/A,FALSE,"CHESAPEA"}</definedName>
    <definedName function="false" hidden="true" name="wrn.ciao." vbProcedure="false">{#N/A,#N/A,TRUE,"coll"}</definedName>
    <definedName function="false" hidden="true" name="wrn.ciao._1" vbProcedure="false">{#N/A,#N/A,TRUE,"coll"}</definedName>
    <definedName function="false" hidden="true" name="wrn.ciao._2" vbProcedure="false">{#N/A,#N/A,TRUE,"coll"}</definedName>
    <definedName function="false" hidden="true" name="wrn.Cider." vbProcedure="false">{#N/A,#N/A,FALSE,"Cider Segment";#N/A,#N/A,FALSE,"Bulmers";#N/A,#N/A,FALSE,"Ritz";#N/A,#N/A,FALSE,"Stag";#N/A,#N/A,FALSE,"Cider Others"}</definedName>
    <definedName function="false" hidden="true" name="wrn.CIVMARKBUD96." vbProcedure="false">{"CIVBUD96",#N/A,FALSE,"EVOLCIV1"}</definedName>
    <definedName function="false" hidden="true" name="wrn.cl00." vbProcedure="false">{#N/A,#N/A,TRUE,"ergebnis"}</definedName>
    <definedName function="false" hidden="true" name="wrn.clearing" vbProcedure="false">{"CLEARING",#N/A,FALSE,"clearing"}</definedName>
    <definedName function="false" hidden="true" name="wrn.clearing." vbProcedure="false">{"CLEARING",#N/A,FALSE,"clearing"}</definedName>
    <definedName function="false" hidden="true" name="wrn.clearing1" vbProcedure="false">{"CLEARING",#N/A,FALSE,"clearing"}</definedName>
    <definedName function="false" hidden="true" name="wrn.clearing2" vbProcedure="false">{"CLEARING",#N/A,FALSE,"clearing"}</definedName>
    <definedName function="false" hidden="true" name="WRN.clearing3" vbProcedure="false">{"CLEARING",#N/A,FALSE,"clearing"}</definedName>
    <definedName function="false" hidden="true" name="wrn.clearing4" vbProcedure="false">{"CLEARING",#N/A,FALSE,"clearing"}</definedName>
    <definedName function="false" hidden="true" name="wrn.client." vbProcedure="false">{"multiple",#N/A,FALSE,"client";"margins",#N/A,FALSE,"client";"data",#N/A,FALSE,"client"}</definedName>
    <definedName function="false" hidden="true" name="wrn.Client._.Process._.Report." vbProcedure="false">{#N/A,#N/A,FALSE,"Renewals In Process";#N/A,#N/A,FALSE,"New Clients In Process";#N/A,#N/A,FALSE,"Completed New Clients";#N/A,#N/A,FALSE,"Completed Renewals"}</definedName>
    <definedName function="false" hidden="true" name="wrn.Client._.report." vbProcedure="false">{"Deal information sheet",#N/A,TRUE,"MBOco";"Projected P and L Accounts",#N/A,TRUE,"MBOco";"Projected Balance Sheet",#N/A,TRUE,"MBOco";"Projected Cash Flows",#N/A,TRUE,"MBOco"}</definedName>
    <definedName function="false" hidden="true" name="wrn.Client3." vbProcedure="false">{"data",#N/A,FALSE,"client (3)";"margins",#N/A,FALSE,"client (3)";"multiple",#N/A,FALSE,"client (3)"}</definedName>
    <definedName function="false" hidden="true" name="wrn.client4." vbProcedure="false">{"multiple",#N/A,FALSE,"client (4)";"margins",#N/A,FALSE,"client (4)";"data",#N/A,FALSE,"client (4)"}</definedName>
    <definedName function="false" hidden="true" name="wrn.clientcopy." vbProcedure="false">{"WACC_clientcopy",#N/A,FALSE,"Inputs";"Beta_clientcopy",#N/A,FALSE,"Inputs";"SCF_clientcopy",#N/A,FALSE,"Inputs";"ProBS_clientcopy",#N/A,FALSE,"Inputs";"BS_clientcopy",#N/A,FALSE,"Inputs";"ProIS_clientcopy",#N/A,FALSE,"Inputs";"IS_clientcopy",#N/A,FALSE,"Inputs";"Ratios_clientcopy",#N/A,FALSE,"Ratios"}</definedName>
    <definedName function="false" hidden="true" name="wrn.CMVsBud." vbProcedure="false">{"Page1",#N/A,FALSE,"OpExJanvsBud";"Page2",#N/A,FALSE,"OpExJanvsBud"}</definedName>
    <definedName function="false" hidden="true" name="wrn.CMVsPY." vbProcedure="false">{"Page 1",#N/A,FALSE,"OpExJanVsPY";"Page 2",#N/A,FALSE,"OpExJanVsPY"}</definedName>
    <definedName function="false" hidden="true" name="wrn.CM_ALL." vbProcedure="false">{"LAPO2N2",#N/A,FALSE,"CM";"TOTTEXAS",#N/A,FALSE,"CM";"LOUISIANA",#N/A,FALSE,"CM";"GENERALH2",#N/A,FALSE,"CM";"PRS",#N/A,FALSE,"CM";"PACKAGE",#N/A,FALSE,"CM";"OTHER",#N/A,FALSE,"CM"}</definedName>
    <definedName function="false" hidden="true" name="wrn.CM_GENERALH2." vbProcedure="false">{"GENERALH2",#N/A,FALSE,"CM"}</definedName>
    <definedName function="false" hidden="true" name="wrn.CM_LAPORTE_O2N2." vbProcedure="false">{"LAPO2N2",#N/A,FALSE,"CM"}</definedName>
    <definedName function="false" hidden="true" name="wrn.CM_LOUISIANA." vbProcedure="false">{"LOUISIANA",#N/A,FALSE,"CM"}</definedName>
    <definedName function="false" hidden="true" name="wrn.CM_OTHER." vbProcedure="false">{"OTHER",#N/A,FALSE,"CM"}</definedName>
    <definedName function="false" hidden="true" name="wrn.CM_PACKAGE." vbProcedure="false">{"PACKAGE",#N/A,FALSE,"CM"}</definedName>
    <definedName function="false" hidden="true" name="wrn.CM_PRS." vbProcedure="false">{"PRS",#N/A,FALSE,"CM"}</definedName>
    <definedName function="false" hidden="true" name="wrn.CM_TEXAS._.HYCO." vbProcedure="false">{"TOTTEXAS",#N/A,FALSE,"CM"}</definedName>
    <definedName function="false" hidden="true" name="wrn.Coating." vbProcedure="false">{#N/A,#N/A,FALSE,"Coating"}</definedName>
    <definedName function="false" hidden="true" name="wrn.columbus." vbProcedure="false">{"IS_plan vs Act",#N/A,FALSE,"IS_Plan-Act";"is_curr&amp;YTD",#N/A,FALSE,"IS_Plan-Act";"is_last5mos",#N/A,FALSE,"IS_Plan-Act";"is_vsYTD_RR",#N/A,FALSE,"IS_Plan-Act";"bs",#N/A,FALSE,"IS_Plan-Act";"bs_last5mos",#N/A,FALSE,"IS_Plan-Act";"cf",#N/A,FALSE,"IS_Plan-Act"}</definedName>
    <definedName function="false" hidden="true" name="wrn.Combination." vbProcedure="false">{#N/A,#N/A,FALSE,"Combo-Ass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function="false" hidden="true" name="wrn.COMBINED." vbProcedure="false">{#N/A,#N/A,FALSE,"INPUTS";#N/A,#N/A,FALSE,"PROFORMA BSHEET";#N/A,#N/A,FALSE,"COMBINED";#N/A,#N/A,FALSE,"HIGH YIELD";#N/A,#N/A,FALSE,"COMB_GRAPHS"}</definedName>
    <definedName function="false" hidden="true" name="wrn.ComboResults." vbProcedure="false">{#N/A,#N/A,FALSE,"Combo-Ass ";#N/A,#N/A,FALSE,"Combo-AD sum";#N/A,#N/A,FALSE,"Combo-Syn Sens";#N/A,#N/A,FALSE,"Combo-Contr";#N/A,#N/A,FALSE,"Combo-Credit Sum";#N/A,#N/A,FALSE,"Combo-Credit";#N/A,#N/A,FALSE,"Combo-AD";#N/A,#N/A,FALSE,"Combo-AD CF"}</definedName>
    <definedName function="false" hidden="true" name="wrn.ComboState." vbProcedure="false">{#N/A,#N/A,FALSE,"Combo-Ass ";#N/A,#N/A,FALSE,"Combo-IS";#N/A,#N/A,FALSE,"Combo-BS";#N/A,#N/A,FALSE,"Combo-CF"}</definedName>
    <definedName function="false" hidden="true" name="wrn.comision._.ejecutiva._.mayo._.98." vbProcedure="false">{#N/A,#N/A,FALSE,"ingtemat";"HOJARESUMIDA",#N/A,FALSE,"calc1998-2007";"hipotesis tematicos",#N/A,FALSE,"calc1998-2007";"HIPÓTESIS CABLE",#N/A,FALSE,"calc1998-2007";#N/A,#N/A,FALSE,"Proyección 1998-2007";"estadistica de ventas",#N/A,FALSE,"estad.ventas"}</definedName>
    <definedName function="false" hidden="true" name="wrn.COMMISSION." vbProcedure="false">{"FORM17",#N/A,FALSE,"Commission1";"FORM17.1",#N/A,FALSE,"Commission2"}</definedName>
    <definedName function="false" hidden="true" name="wrn.Committee._.Bid._.Report." vbProcedure="false">{"South East Committee",#N/A,FALSE,"Dev Panel Cut Report";"London Committee",#N/A,FALSE,"Dev Panel Cut Report"}</definedName>
    <definedName function="false" hidden="true" name="wrn.COMNUS." vbProcedure="false">{"COMNUS2000",#N/A,FALSE,"BL2000"}</definedName>
    <definedName function="false" hidden="true" name="wrn.Comp._.and._.Prices." vbProcedure="false">{#N/A,#N/A,FALSE,"comp";#N/A,#N/A,FALSE,"Alpha";#N/A,#N/A,FALSE,"Hi";#N/A,#N/A,FALSE,"Lo";#N/A,#N/A,FALSE,"Mkt. Cap";#N/A,#N/A,FALSE,"Categ."}</definedName>
    <definedName function="false" hidden="true" name="wrn.COMPANY." vbProcedure="false">{"REP1",#N/A,FALSE,"ריכוז";"REP2",#N/A,FALSE,"מפורט1";"REP3",#N/A,FALSE,"מפורט1";"REP4",#N/A,FALSE,"מפורט2";"REP5",#N/A,FALSE,"מפורט2";"REP6",#N/A,FALSE,"מפורט2"}</definedName>
    <definedName function="false" hidden="true" name="wrn.compare." vbProcedure="false">{"page1",#N/A,FALSE,"Temp";"page2",#N/A,FALSE,"Temp";"page3",#N/A,FALSE,"Temp";"page4",#N/A,FALSE,"Temp";"page5",#N/A,FALSE,"Temp";"page6",#N/A,FALSE,"Temp"}</definedName>
    <definedName function="false" hidden="true" name="wrn.compare.s" vbProcedure="false">{"page1",#N/A,FALSE,"Temp";"page2",#N/A,FALSE,"Temp";"page3",#N/A,FALSE,"Temp";"page4",#N/A,FALSE,"Temp";"page5",#N/A,FALSE,"Temp";"page6",#N/A,FALSE,"Temp"}</definedName>
    <definedName function="false" hidden="true" name="wrn.COMPARISON." vbProcedure="false">{"COMPARISON",#N/A,FALSE,"Sheet1"}</definedName>
    <definedName function="false" hidden="true" name="wrn.COMPCO." vbProcedure="false">{"Page1",#N/A,FALSE,"CompCo";"Page2",#N/A,FALSE,"CompCo"}</definedName>
    <definedName function="false" hidden="true" name="wrn.Compco._.Only." vbProcedure="false">{"vi1",#N/A,FALSE,"6_30_96";"vi2",#N/A,FALSE,"6_30_96";"vi3",#N/A,FALSE,"6_30_96"}</definedName>
    <definedName function="false" hidden="true" name="wrn.Compensation." vbProcedure="false">{"Comp sum",#N/A,FALSE,"Compensation";"Comp by emp",#N/A,FALSE,"Compensation";"Salary summary",#N/A,FALSE,"Compensation";"Payroll taxes",#N/A,FALSE,"Compensation";"HC by Month",#N/A,FALSE,"Compensation";"Misc",#N/A,FALSE,"Compensation"}</definedName>
    <definedName function="false" hidden="true" name="wrn.compensation2." vbProcedure="false">{"Comp sum",#N/A,FALSE,"Compensation";"Comp by emp",#N/A,FALSE,"Compensation";"Salary summary",#N/A,FALSE,"Compensation";"Payroll taxes",#N/A,FALSE,"Compensation";"HC by Month",#N/A,FALSE,"Compensation";"Misc",#N/A,FALSE,"Compensation"}</definedName>
    <definedName function="false" hidden="true" name="wrn.competitor._.analysis." vbProcedure="false">{"summary",#N/A,FALSE,"summary";"sales growth",#N/A,FALSE,"summary";"oper income",#N/A,FALSE,"summary";"oros rank",#N/A,FALSE,"summary";"net assets",#N/A,FALSE,"summary";"asset turnover",#N/A,FALSE,"summary";"orona",#N/A,FALSE,"summary";"total return",#N/A,FALSE,"summary";"overview",#N/A,FALSE,"summary"}</definedName>
    <definedName function="false" hidden="true" name="wrn.COMPJPN." vbProcedure="false">{"COMJPN2000",#N/A,FALSE,"BL2000"}</definedName>
    <definedName function="false" hidden="true" name="wrn.Complete." vbProcedure="false">{#N/A,#N/A,TRUE,"DCF Summary";#N/A,#N/A,TRUE,"Casema";#N/A,#N/A,TRUE,"UK";#N/A,#N/A,TRUE,"RCF";#N/A,#N/A,TRUE,"Intercable CZ";#N/A,#N/A,TRUE,"Interkabel P";#N/A,#N/A,TRUE,"LBO-Total";#N/A,#N/A,TRUE,"LBO-Casema"}</definedName>
    <definedName function="false" hidden="true" name="wrn.Complete.2"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rn.Complete.2.4"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rn.Complete.3"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rn.Complete.3.4"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rn.Complete.3.6"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rn.Complete.3.7"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rn.Complete.3.9"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rn.Complete.4"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rn.Complete.5"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rn.Complete.6"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rn.Complete.7"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rn.Complete.8"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rn.Complete.9"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rn.Complete._.Budget." vbProcedure="false">{"Inc.",#N/A,FALSE,"ORIGNAL";"Allocations",#N/A,FALSE,"ORIGNAL";#N/A,#N/A,FALSE,"Inv.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function="false" hidden="true" name="wrn.complete._.budget.2004" vbProcedure="false">{"Inc.",#N/A,FALSE,"ORIGNAL";"Allocations",#N/A,FALSE,"ORIGNAL";#N/A,#N/A,FALSE,"Inv.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function="false" hidden="true" name="wrn.Complete._.Report." vbProcedure="false">{#N/A,#N/A,FALSE,"Title Page";#N/A,#N/A,FALSE,"Assumptions";#N/A,#N/A,FALSE,"EBITDA";#N/A,#N/A,FALSE,"Debt";#N/A,#N/A,FALSE,"Cov";#N/A,#N/A,FALSE,"ERET";#N/A,#N/A,FALSE,"DRET";#N/A,#N/A,FALSE,"Balance Sheet";#N/A,#N/A,FALSE,"Plan Summary"}</definedName>
    <definedName function="false" hidden="true" name="wrn.CompleteReport." vbProcedure="false">{"A",#N/A,FALSE,"Scenario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function="false" hidden="true" name="wrn.completo." vbProcedure="false">{#N/A,#N/A,FALSE,"J-CAR";#N/A,#N/A,FALSE,"gmx-130";#N/A,#N/A,FALSE,"d-186sable";#N/A,#N/A,FALSE,"savana";#N/A,#N/A,FALSE,"d-186taurus";#N/A,#N/A,FALSE,"hb dn";#N/A,#N/A,FALSE,"dakota"}</definedName>
    <definedName function="false" hidden="true" name="wrn.comps." vbProcedure="false">{"comps",#N/A,FALSE,"comps";"notes",#N/A,FALSE,"comps"}</definedName>
    <definedName function="false" hidden="true" name="wrn.Comps1_Printing." vbProcedure="false">{"comps1_1",#N/A,FALSE,"Comps1";"comps1_2",#N/A,FALSE,"Comps1";"comps1_3",#N/A,FALSE,"Comps1";"comps1_4",#N/A,FALSE,"Comps1";"comps1_5",#N/A,FALSE,"Comps1"}</definedName>
    <definedName function="false" hidden="true" name="wrn.Comps2_Printing." vbProcedure="false">{"comps2_1",#N/A,FALSE,"Comps2";"comps2_2",#N/A,FALSE,"Comps2";"comps2_3",#N/A,FALSE,"Comps2";"comps2_4",#N/A,FALSE,"Comps2";"comps2_5",#N/A,FALSE,"Comps2"}</definedName>
    <definedName function="false" hidden="true" name="wrn.comsat_compco." vbProcedure="false">{"page1",#N/A,FALSE,"comsat";"page2",#N/A,FALSE,"comsat";"summary",#N/A,FALSE,"comsat"}</definedName>
    <definedName function="false" hidden="true" name="wrn.Condensed._.report." vbProcedure="false">{"London cttee condensed",#N/A,FALSE,"Dev Panel Cut Report";"South East cttee condensed",#N/A,FALSE,"Dev Panel Cut Report"}</definedName>
    <definedName function="false" hidden="true" name="wrn.Consol." vbProcedure="false">{#N/A,#N/A,FALSE,"COVER";#N/A,#N/A,FALSE,"Key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function="false" hidden="true" name="wrn.Consol._.adjusts." vbProcedure="false">{"adjPL1",#N/A,FALSE,"adj";"adjPL2",#N/A,FALSE,"adj";"adjPL2a",#N/A,FALSE,"adj";"adjPL2b",#N/A,FALSE,"adj";"adjPL3",#N/A,FALSE,"adj";"adjPL4",#N/A,FALSE,"adj";"adjPL5",#N/A,FALSE,"adj";"adjBS2",#N/A,FALSE,"adj";"adjBS3",#N/A,FALSE,"adj";"adjCF1",#N/A,FALSE,"adj";"adjCF4",#N/A,FALSE,"adj"}</definedName>
    <definedName function="false" hidden="true" name="wrn.consolidated." vbProcedure="false">{"income",#N/A,FALSE,"CONSOLIDATED";"value",#N/A,FALSE,"CONSOLIDATED"}</definedName>
    <definedName function="false" hidden="true" name="wrn.Consolidated._.Monthly." vbProcedure="false">{"incstmtcm",#N/A,TRUE,"Inc Stmt (C)";"balshtcm",#N/A,TRUE,"Bal Sheet (C)";"scfcm",#N/A,TRUE,"Cash Flow (C)";"incmcfcm",#N/A,TRUE,"Inc mcf (C)"}</definedName>
    <definedName function="false" hidden="true" name="wrn.Consolidated._.Quarterly." vbProcedure="false">{"forecastcq",#N/A,TRUE,"Forecast (C)";"incstmtcq",#N/A,TRUE,"Inc Stmt (C)";"balshtcq",#N/A,TRUE,"Bal Sheet (C)";"scfcq",#N/A,TRUE,"Cash Flow (C)";"incmcfcq",#N/A,TRUE,"Inc mcf (C)"}</definedName>
    <definedName function="false" hidden="true" name="wrn.consolidated._.reports." vbProcedure="false">{#N/A,#N/A,FALSE,"INDEX - CON.";#N/A,#N/A,FALSE,"A - CON. BALANCE SHEET";#N/A,#N/A,FALSE,"B - CON. INCOME STATEMENT - YTD";#N/A,#N/A,FALSE,"B - CON. MONTH INCOME STATEMENT";#N/A,#N/A,FALSE,"C - CON. CASHFLOW STATEMENT ";#N/A,#N/A,FALSE,"D - CON. CUSTOMERS STATEMENT ";#N/A,#N/A,FALSE,"E - CON. SALES STATEMENT";#N/A,#N/A,FALSE,"F - CON. HEADCOUNT SCHEDULE ";#N/A,#N/A,FALSE,"G - CON. BANKS OBLIGO STATUS";#N/A,#N/A,FALSE,"H - CON. SALES BY UNITS";#N/A,#N/A,FALSE,"I - CON. INVENTORY REPORT";#N/A,#N/A,FALSE,"P&amp;L VS Budget"}</definedName>
    <definedName function="false" hidden="true" name="wrn.Consolidated._.Schedules." vbProcedure="false">{"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function="false" hidden="true" name="wrn.Consolidated._.Set." vbProcedure="false">{"Consolidated IS w Ratios",#N/A,FALSE,"Consolidated";"Consolidated CF",#N/A,FALSE,"Consolidated";"Consolidated DCF",#N/A,FALSE,"Consolidated"}</definedName>
    <definedName function="false" hidden="true" name="wrn.Consolidating." vbProcedure="false">{"Consolidated IS",#N/A,FALSE,"Consolidated IS";"Consolidated Detail IS",#N/A,FALSE,"Consolidated Detail IS";"Consolidated Detail Supplemental Info",#N/A,FALSE,"Consolidated Detail IS";"Consolidated CF",#N/A,FALSE,"Consolidated CF";"Consolidated BS",#N/A,FALSE,"Consolidated BS";"Consolidating 1999 Detail IS",#N/A,FALSE,"1999 Detail IS";"Consolidated 1999 Supplemental Info",#N/A,FALSE,"1999 Detail IS";"Consolidating 1998 Detail IS",#N/A,FALSE,"1998 Detail IS";"Consolidating 1998 Supplemental Info",#N/A,FALSE,"1998 Detail IS";"Consolidating 1997 Detail IS",#N/A,FALSE,"1997 Detail IS";"Consolidated 1997 Supplemental Info",#N/A,FALSE,"1997 Detail IS"}</definedName>
    <definedName function="false" hidden="true" name="wrn.CONSOLIDATION." vbProcedure="false">{"PAGE1",#N/A,FALSE,"Consolidation";"PAGE2",#N/A,FALSE,"Consolidation";"PAGE3",#N/A,FALSE,"Consolidation";"PAGE4",#N/A,FALSE,"Consolidation";"PAGE5",#N/A,FALSE,"Consolidation";"PAGE6",#N/A,FALSE,"Consolidation";"PAGE7",#N/A,FALSE,"Consolidation"}</definedName>
    <definedName function="false" hidden="true" name="wrn.Consolidation._.Adjustments." vbProcedure="false">{"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function="false" hidden="true" name="wrn.Consumer._.Medicines." vbProcedure="false">{#N/A,#N/A,FALSE,"OTC";#N/A,#N/A,FALSE,"Ther";#N/A,#N/A,FALSE,"Temp";#N/A,#N/A,FALSE,"Exce";#N/A,#N/A,FALSE,"Buff";#N/A,#N/A,FALSE,"Picot";#N/A,#N/A,FALSE,"Luftal";#N/A,#N/A,FALSE,"Comt"}</definedName>
    <definedName function="false" hidden="true" name="wrn.contents5" vbProcedure="false">{#N/A,#N/A,FALSE,"Table of Contents"}</definedName>
    <definedName function="false" hidden="true" name="wrn.contents7" vbProcedure="false">{#N/A,#N/A,FALSE,"Table of Contents"}</definedName>
    <definedName function="false" hidden="true" name="wrn.Continous._.Page._.Numbers._.DCF." vbProcedure="false">{#N/A,#N/A,TRUE,"Cover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function="false" hidden="true" name="wrn.contribution." vbProcedure="false">{#N/A,#N/A,FALSE,"Contribution Analysis"}</definedName>
    <definedName function="false" hidden="true" name="wrn.CONTROL." vbProcedure="false">{"CONTROL",#N/A,FALSE,"REVENUE AND GM "}</definedName>
    <definedName function="false" hidden="true" name="wrn.Con_Fin_Stmts." vbProcedure="false">{"ConInc",#N/A,FALSE,"FinStmt";"ConBal",#N/A,FALSE,"FinStmt";"ConCash",#N/A,FALSE,"FinStmt"}</definedName>
    <definedName function="false" hidden="true" name="wrn.cooper." vbProcedure="false">{#N/A,#N/A,TRUE,"Pro Forma";#N/A,#N/A,TRUE,"PF_Bal";#N/A,#N/A,TRUE,"PF_INC";#N/A,#N/A,TRUE,"CBE";#N/A,#N/A,TRUE,"SWK"}</definedName>
    <definedName function="false" hidden="true" name="wrn.Corporate." vbProcedure="false">{"Corporate",#N/A,FALSE,"Sorted by database"}</definedName>
    <definedName function="false" hidden="true" name="wrn.COS." vbProcedure="false">{"PAGE 1",#N/A,FALSE,"COS";"PAGE 2",#N/A,FALSE,"COS";"PAGE 3",#N/A,FALSE,"COS"}</definedName>
    <definedName function="false" hidden="true" name="wrn.COS._.EX._.GEISMAR." vbProcedure="false">{"PAGE 1",#N/A,FALSE,"COS Excluding Geismar";"PAGE 2",#N/A,FALSE,"COS Excluding Geismar";"PAGE 3",#N/A,FALSE,"COS Excluding Geismar"}</definedName>
    <definedName function="false" hidden="true" name="wrn.Cost._.Center._.Opex." vbProcedure="false">{"510 Opex",#N/A,FALSE,"510";"520 Opex",#N/A,FALSE,"520";"UK Cons Opex",#N/A,FALSE,"Consulting-UK";"522 Opex",#N/A,FALSE,"522";"530 Opex",#N/A,FALSE,"530";"600 Opex",#N/A,FALSE,"600";"601 Opex",#N/A,FALSE,"601";"603 Opex",#N/A,FALSE,"603";"610 Opex",#N/A,FALSE,"610";"UK Sales Opex",#N/A,FALSE,"Sales-UK";"640 Opex",#N/A,FALSE,"640";"642 Opex",#N/A,FALSE,"642";"UK Mktg Opex",#N/A,FALSE,"Marketing - UK";"650 Opex",#N/A,FALSE,"650";"700 Opex",#N/A,FALSE,"700";"710 Opex",#N/A,FALSE,"710";"715 Opex",#N/A,FALSE,"715(DCS)";"720 Opex",#N/A,FALSE,"720(QA)";"800 Opex",#N/A,FALSE,"800";"810 Opex",#N/A,FALSE,"810";"820 Opex",#N/A,FALSE,"820";"830 Opex",#N/A,FALSE,"830";"850 Opex",#N/A,FALSE,"850";"851 Opex",#N/A,FALSE,"851";"Fringe Opex",#N/A,FALSE,"Fringe-825"}</definedName>
    <definedName function="false" hidden="true" name="wrn.COST._.OF._.SALES." vbProcedure="false">{"COST OF SALES",#N/A,FALSE,"C.O.SALES"}</definedName>
    <definedName function="false" hidden="true" name="wrn.Cost._.Summary." vbProcedure="false">{#N/A,#N/A,FALSE,"Tab 5 - Budget Statement";#N/A,#N/A,FALSE,"Tab 4 - Financial Worksheet";#N/A,#N/A,FALSE,"Tab 1 - Resource Worksheet";#N/A,#N/A,FALSE,"Tab 2 - Educ-Travel-Ent";#N/A,#N/A,FALSE,"Tab 3 - Hardware-Software"}</definedName>
    <definedName function="false" hidden="true" name="wrn.Cost._.Summary1." vbProcedure="false">{#N/A,#N/A,FALSE,"Tab 5 - Budget Statement";#N/A,#N/A,FALSE,"Tab 4 - Financial Worksheet";#N/A,#N/A,FALSE,"Tab 1 - Resource Worksheet";#N/A,#N/A,FALSE,"Tab 2 - Educ-Travel-Ent";#N/A,#N/A,FALSE,"Tab 3 - Hardware-Software"}</definedName>
    <definedName function="false" hidden="true" name="wrn.Costos." vbProcedure="false">{"Costo1",#N/A,FALSE,"Costo Estimado";"Costo2",#N/A,FALSE,"Costo Estimado";"Costos3",#N/A,FALSE,"Costo Estimado";"Costo4",#N/A,FALSE,"Costo Estimado"}</definedName>
    <definedName function="false" hidden="true" name="wrn.cotop." vbProcedure="false">{"ReportTop",#N/A,FALSE,"report top"}</definedName>
    <definedName function="false" hidden="true" name="wrn.Covenants." vbProcedure="false">{"Summary",#N/A,FALSE,"Covenants";"Detailed summary",#N/A,FALSE,"Covenants"}</definedName>
    <definedName function="false" hidden="true" name="wrn.Cover." vbProcedure="false">{"coverall",#N/A,FALSE,"Definitions";"cover1",#N/A,FALSE,"Definitions";"cover2",#N/A,FALSE,"Definitions";"cover3",#N/A,FALSE,"Definitions";"cover4",#N/A,FALSE,"Definitions";"cover5",#N/A,FALSE,"Definitions";"blank",#N/A,FALSE,"Definitions"}</definedName>
    <definedName function="false" hidden="true" name="wrn.CPB." vbProcedure="false">{#N/A,#N/A,FALSE,"CPB"}</definedName>
    <definedName function="false" hidden="true" name="wrn.Credit._.Summary." vbProcedure="false">{#N/A,#N/A,FALSE,"Credit Summary"}</definedName>
    <definedName function="false" hidden="true" name="wrn.crm0299." vbProcedure="false">{"en FRF",#N/A,FALSE,"fév99";"en €uros",#N/A,FALSE,"fév99"}</definedName>
    <definedName function="false" hidden="true" name="wrn.crm0399." vbProcedure="false">{"en FRF",#N/A,FALSE,"mars99";"en €uros",#N/A,FALSE,"mars99"}</definedName>
    <definedName function="false" hidden="true" name="wrn.CRT." vbProcedure="false">{#N/A,#N/A,TRUE,"Title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function="false" hidden="true" name="wrn.CS._.Flash._.Test." vbProcedure="false">{#N/A,#N/A,FALSE,"Performance Flash Report"}</definedName>
    <definedName function="false" hidden="true" name="wrn.CSC." vbProcedure="false">{"page1",#N/A,TRUE,"CSC";"page2",#N/A,TRUE,"CSC"}</definedName>
    <definedName function="false" hidden="true" name="wrn.CSC2" vbProcedure="false">{"page1",#N/A,TRUE,"CSC";"page2",#N/A,TRUE,"CSC"}</definedName>
    <definedName function="false" hidden="true" name="wrn.csc2." vbProcedure="false">{#N/A,#N/A,FALSE,"ORIX CSC"}</definedName>
    <definedName function="false" hidden="true" name="wrn.csc3." vbProcedure="false">{#N/A,#N/A,FALSE,"ORIX CSC"}</definedName>
    <definedName function="false" hidden="true" name="wrn.CumAndAdj." vbProcedure="false">{"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function="false" hidden="true" name="wrn.Current._.Month._.Current._.Yr._.Only." vbProcedure="false">{"Month Summary",#N/A,FALSE,"Summary";"Total Details",#N/A,FALSE,"Current Yr";"Polymers Details",#N/A,FALSE,"Current Yr";"Performance Details",#N/A,FALSE,"Current Yr";"ICD Details",#N/A,FALSE,"Current Yr"}</definedName>
    <definedName function="false" hidden="true" name="wrn.Current._.Month._.Everything."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wrn.Current._.View." vbProcedure="false">{#N/A,#N/A,FALSE,"ACCS-XXX.XLS";#N/A,#N/A,FALSE,"ACCS-ADJ.XLS";#N/A,#N/A,FALSE,"ACCS-COR.XLS";#N/A,#N/A,FALSE,"LEGL-ACX.XLS";#N/A,#N/A,FALSE,"JNTV-PHX.XLS"}</definedName>
    <definedName function="false" hidden="true" name="wrn.cv." vbProcedure="false">{#N/A,#N/A,FALSE,"1. PTI Ziele";#N/A,#N/A,FALSE,"2. Zielkatalog ";#N/A,#N/A,FALSE,"3. Masterterminplan"}</definedName>
    <definedName function="false" hidden="true" name="wrn.cy._.budget." vbProcedure="false">{"budget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function="false" hidden="true" name="wrn.d"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wrn.Daily." vbProcedure="false">{#N/A,#N/A,FALSE,"Input";#N/A,#N/A,FALSE,"BBC";#N/A,#N/A,FALSE,"Sch A";#N/A,#N/A,FALSE,"Sch B";#N/A,#N/A,FALSE,"Ineligible"}</definedName>
    <definedName function="false" hidden="true" name="wrn.Darwin." vbProcedure="false">{#N/A,#N/A,FALSE,"Title";#N/A,#N/A,FALSE,"Assumptions";#N/A,#N/A,FALSE,"Bidder";#N/A,#N/A,FALSE,"Target";#N/A,#N/A,FALSE,"Curr";#N/A,#N/A,FALSE,"Prosp";#N/A,#N/A,FALSE,"Prosp+1";#N/A,#N/A,FALSE,"Summary";#N/A,#N/A,FALSE,"Debtsched";#N/A,#N/A,FALSE,"Sensitivities"}</definedName>
    <definedName function="false" hidden="true" name="wrn.data." vbProcedure="false">{"apci",#N/A,FALSE,"Chem_CY";"eastman",#N/A,FALSE,"Eastman";"betz",#N/A,FALSE,"Betz";"great lakes",#N/A,FALSE,"Great_Lakes";"hercules",#N/A,FALSE,"Hercules Chem Seg Data";"rohm",#N/A,FALSE,"Rohm";"union carbide",#N/A,FALSE,"Union";"witco",#N/A,FALSE,"Witco"}</definedName>
    <definedName function="false" hidden="true" name="wrn.Data._.letters." vbProcedure="false">{#N/A,#N/A,FALSE,"cover";#N/A,#N/A,FALSE,"ap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function="false" hidden="true" name="wrn.DATA._.SHEETS." vbProcedure="false">{"page1",#N/A,FALSE,"DATA SHEET";"page2",#N/A,FALSE,"DATA SHEET";"page3",#N/A,FALSE,"DATA SHEET"}</definedName>
    <definedName function="false" hidden="true" name="wrn.database." vbProcedure="false">{"subs",#N/A,FALSE,"database ";"proportional",#N/A,FALSE,"database "}</definedName>
    <definedName function="false" hidden="true" name="wrn.Dave." vbProcedure="false">{#N/A,#N/A,FALSE,"Income";#N/A,#N/A,FALSE,"Natural";#N/A,#N/A,FALSE,"Admin";#N/A,#N/A,FALSE,"Misc"}</definedName>
    <definedName function="false" hidden="true" name="wrn.dcf" vbProcedure="false">{#N/A,#N/A,FALSE,"Combo-Ass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function="false" hidden="true" name="wrn.DCF." vbProcedure="false">{"DCF1",#N/A,FALSE,"SIERRA DCF";"MATRIX1",#N/A,FALSE,"SIERRA DCF"}</definedName>
    <definedName function="false" hidden="true" name="wrn.dcf._.backup." vbProcedure="false">{"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function="false" hidden="true" name="wrn.DCF._.III._.Report." vbProcedure="false">{#N/A,#N/A,FALSE,"Cover";#N/A,#N/A,FALSE,"Pres ";#N/A,#N/A,FALSE,"Outputs";#N/A,#N/A,FALSE,"DCF ";#N/A,#N/A,FALSE,"CFS";#N/A,#N/A,FALSE,"BS";#N/A,#N/A,FALSE,"PL";#N/A,#N/A,FALSE,"Control (In)";#N/A,#N/A,FALSE,"Broker (In)";#N/A,#N/A,FALSE,"In-House (In)";#N/A,#N/A,FALSE,"WACC";#N/A,#N/A,FALSE,"Ass";#N/A,#N/A,FALSE,"Check"}</definedName>
    <definedName function="false" hidden="true" name="wrn.DCF._.Only." vbProcedure="false">{#N/A,#N/A,FALSE,"DCF Summary";#N/A,#N/A,FALSE,"Casema";#N/A,#N/A,FALSE,"Casema NoTel";#N/A,#N/A,FALSE,"UK";#N/A,#N/A,FALSE,"RCF";#N/A,#N/A,FALSE,"Intercable CZ";#N/A,#N/A,FALSE,"Interkabel P"}</definedName>
    <definedName function="false" hidden="true" name="wrn.DCF._.Valuation." vbProcedure="false">{"value box",#N/A,TRUE,"DPL Inc. Fin Statements";"unlevered free cash flows",#N/A,TRUE,"DPL Inc. Fin Statements"}</definedName>
    <definedName function="false" hidden="true" name="wrn.dcf2." vbProcedure="false">{"mgmt forecast",#N/A,FALSE,"Mgmt Forecast";"dcf table",#N/A,FALSE,"Mgmt Forecast";"sensitivity",#N/A,FALSE,"Mgmt Forecast";"table inputs",#N/A,FALSE,"Mgmt Forecast";"calculations",#N/A,FALSE,"Mgmt Forecast"}</definedName>
    <definedName function="false" hidden="tru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true" name="wrn.dcfiii" vbProcedure="false">{#N/A,#N/A,FALSE,"Combo-Ass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function="false" hidden="true" name="wrn.DCF_FCF." vbProcedure="false">{#N/A,#N/A,TRUE,"FCF_10Yr";#N/A,#N/A,TRUE,"FCF_15Yr"}</definedName>
    <definedName function="false" hidden="true" name="wrn.DCF_Terminal_Value_qchm." vbProcedure="false">{"qchm_dcf",#N/A,FALSE,"QCHMDCF2";"qchm_terminal",#N/A,FALSE,"QCHMDCF2"}</definedName>
    <definedName function="false" hidden="true" name="wrn.Debt._.Schedules." vbProcedure="false">{"NP-New Acquisition",#N/A,FALSE,"NOTE PAYMENTS";"NP-Strategic Loan",#N/A,FALSE,"NOTE PAYMENTS";"NP-Tech Loan",#N/A,FALSE,"NOTE PAYMENTS";"NP-Existing Debt",#N/A,FALSE,"NOTE PAYMENTS";"NP-Curr Maturity",#N/A,FALSE,"NOTE PAYMENTS";"NP-Interest Exp",#N/A,FALSE,"NOTE PAYMENTS"}</definedName>
    <definedName function="false" hidden="true" name="wrn.DebtGermanGAAP2000_2009." vbProcedure="false">{"DebtGGAAP1",#N/A,FALSE,"P&amp;L G GAAP"}</definedName>
    <definedName function="false" hidden="true" name="wrn.DebtGermanGAAP2010_2019." vbProcedure="false">{"DebtGGAAP2",#N/A,FALSE,"P&amp;L G GAAP"}</definedName>
    <definedName function="false" hidden="true" name="wrn.DebtUSGAAP2000_2009." vbProcedure="false">{"DebtUSGAAP1",#N/A,FALSE,"P&amp;L US GAAP"}</definedName>
    <definedName function="false" hidden="true" name="wrn.DebtUSGAAP2010_2019." vbProcedure="false">{"DebtUSGAAP2",#N/A,FALSE,"P&amp;L US GAAP"}</definedName>
    <definedName function="false" hidden="true" name="wrn.DECEMBER." vbProcedure="false">{"DECEMBER",#N/A,FALSE,"Q2"}</definedName>
    <definedName function="false" hidden="true" name="wrn.Delchamps." vbProcedure="false">{"Operating Data",#N/A,TRUE,"Sheet1";"Valuation Matrix",#N/A,TRUE,"Sheet1";"Sales Analysis",#N/A,TRUE,"Sheet1";"Closed Remodelled New",#N/A,TRUE,"Sheet1";"Competitive and FSP",#N/A,TRUE,"Sheet1";"Working Capital and Capex",#N/A,TRUE,"Sheet1";"depreciation",#N/A,TRUE,"Sheet1"}</definedName>
    <definedName function="false" hidden="true" name="wrn.Deltek._.Upload." vbProcedure="false">{#N/A,#N/A,FALSE,"Delt Data"}</definedName>
    <definedName function="false" hidden="true" name="wrn.Demographic._.report."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wrn.DEP." vbProcedure="false">{"DEP",#N/A,FALSE,"A"}</definedName>
    <definedName function="false" hidden="true" name="wrn.depmatrix." vbProcedure="false">{"depmatrix",#N/A,FALSE,"DECATUR-DIMMIT"}</definedName>
    <definedName function="false" hidden="true" name="wrn.Depreciation." vbProcedure="false">{"GAAP Deprec",#N/A,TRUE,"Financials";"Tax Deprec",#N/A,TRUE,"Financials"}</definedName>
    <definedName function="false" hidden="true" name="wrn.Dept._.Salaries." vbProcedure="false">{"99-00 Chief Exec",#N/A,FALSE,"All";"99-00 Corp Serv",#N/A,FALSE,"All";"99-00 Fin Serv",#N/A,FALSE,"All";"99-00 Housing",#N/A,FALSE,"All";"99-00 Prop Serv",#N/A,FALSE,"All"}</definedName>
    <definedName function="false" hidden="true" name="wrn.Derek." vbProcedure="false">{#N/A,#N/A,FALSE,"Transaction_Sum_debt_Stats";#N/A,#N/A,FALSE,"Earnings Impact";#N/A,#N/A,FALSE,"Sensitivity Table"}</definedName>
    <definedName function="false" hidden="true" name="wrn.Derek.2" vbProcedure="false">{#N/A,#N/A,FALSE,"Transaction_Sum_debt_Stats";#N/A,#N/A,FALSE,"Earnings Impact";#N/A,#N/A,FALSE,"Sensitivity Table"}</definedName>
    <definedName function="false" hidden="true" name="wrn.detail." vbProcedure="false">{#N/A,#N/A,FALSE,"TOTAL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function="false" hidden="true" name="wrn.Detail._.Balance._.Sheet." vbProcedure="false">{#N/A,#N/A,FALSE,"Detail"}</definedName>
    <definedName function="false" hidden="true" name="wrn.Detailed._.Calculations." vbProcedure="false">{"IncDetail",#N/A,FALSE,"Inc";"BalDetail",#N/A,FALSE,"Bal";"GCFDetail",#N/A,FALSE,"GCF";"RcDsDetail",#N/A,FALSE,"RcDs"}</definedName>
    <definedName function="false" hidden="true" name="wrn.Detailed._.P._.and._.L." vbProcedure="false">{"P and L Detail Page 1",#N/A,FALSE,"Data";"P and L Detail Page 2",#N/A,FALSE,"Data"}</definedName>
    <definedName function="false" hidden="true" name="wrn.Details._.Budget." vbProcedure="false">{"991TO",#N/A,FALSE,"Management Accounts";"992OPlist",#N/A,FALSE,"Management Accounts";"993SA",#N/A,FALSE,"Management Accounts";"994INT",#N/A,FALSE,"Management Accounts"}</definedName>
    <definedName function="false" hidden="true" name="wrn.Detail_All." vbProcedure="false">{"con all",#N/A,FALSE,"CON-ALL";"detail-nm",#N/A,FALSE,"PL-NM";"detail-htn",#N/A,FALSE,"PL-HTN";"detail-nj",#N/A,FALSE,"PL-NJ";"detail-aus",#N/A,FALSE,"PL-AUS";#N/A,#N/A,FALSE,"BS-Consol";"detail-sang",#N/A,FALSE,"PL-SANG";"detail-flo",#N/A,FALSE,"PL-FLO";"detail-dal",#N/A,FALSE,"PL-DAL";"detail-cg",#N/A,FALSE,"PL-CG";"detail-vist",#N/A,FALSE,"PL-VIST";"detail-fy00acq",#N/A,FALSE,"FY00 ACQ";"detail-fy01acq",#N/A,FALSE,"FY01 ACQ";"detail-corp",#N/A,FALSE,"CORP"}</definedName>
    <definedName function="false" hidden="true" name="wrn.Detail_Projection." vbProcedure="false">{#N/A,#N/A,FALSE,"Detail YTD"}</definedName>
    <definedName function="false" hidden="true" name="wrn.detalles._.total." vbProcedure="false">{"total","abonados garantia",FALSE,"detalle19982007"}</definedName>
    <definedName function="false" hidden="true" name="wrn.devdeal." vbProcedure="false">{"top",#N/A,TRUE,"Detail";"next",#N/A,TRUE,"Detail";"then",#N/A,TRUE,"Detail";"and",#N/A,TRUE,"Detail";"inaddition",#N/A,TRUE,"Detail";"finally",#N/A,TRUE,"Detail"}</definedName>
    <definedName function="false" hidden="true" name="wrn.Diagramme_Gesamt." vbProcedure="false">{#N/A,#N/A,FALSE,"diagramm tf";#N/A,#N/A,FALSE,"diagramm tm";#N/A,#N/A,FALSE,"diagramm tp";#N/A,#N/A,FALSE,"diagramm to";#N/A,#N/A,FALSE,"diagramm tq";#N/A,#N/A,FALSE,"diagramm te";#N/A,#N/A,FALSE,"diagramm gw";#N/A,#N/A,FALSE,"diagramm rest"}</definedName>
    <definedName function="false" hidden="true" name="wrn.Diagramme_Gesamt.1a" vbProcedure="false">{#N/A,#N/A,FALSE,"diagramm tf";#N/A,#N/A,FALSE,"diagramm tm";#N/A,#N/A,FALSE,"diagramm tp";#N/A,#N/A,FALSE,"diagramm to";#N/A,#N/A,FALSE,"diagramm tq";#N/A,#N/A,FALSE,"diagramm te";#N/A,#N/A,FALSE,"diagramm gw";#N/A,#N/A,FALSE,"diagramm rest"}</definedName>
    <definedName function="false" hidden="true" name="wrn.Diebold._.1." vbProcedure="false">{#N/A,#N/A,FALSE,"Allo SEC";#N/A,#N/A,FALSE,"Consid";#N/A,#N/A,FALSE,"BalSht";#N/A,#N/A,FALSE,"Customer List";#N/A,#N/A,FALSE,"WFIP";#N/A,#N/A,FALSE,"WC";#N/A,#N/A,FALSE,"FA_Dep";#N/A,#N/A,FALSE,"SUMMARY";#N/A,#N/A,FALSE,"Hardware";#N/A,#N/A,FALSE,"WRM";#N/A,#N/A,FALSE,"NWS";#N/A,#N/A,FALSE,"Embed. SW";#N/A,#N/A,FALSE,"WRM-IPRD";#N/A,#N/A,FALSE,"WinForm-IPRD";#N/A,#N/A,FALSE,"Sheet1"}</definedName>
    <definedName function="false" hidden="true" name="wrn.Dilution." vbProcedure="false">{#N/A,#N/A,FALSE,"FY 1997 (NR)";#N/A,#N/A,FALSE,"FY 1998 (NR)";#N/A,#N/A,FALSE,"Balance";#N/A,#N/A,FALSE,"Matrix (NR)"}</definedName>
    <definedName function="false" hidden="true" name="wrn.dil_anal." vbProcedure="false">{"hiden",#N/A,FALSE,"14";"hidden",#N/A,FALSE,"16";"hidden",#N/A,FALSE,"18";"hidden",#N/A,FALSE,"20"}</definedName>
    <definedName function="false" hidden="true" name="wrn.dil_anal.1" vbProcedure="false">{"hiden",#N/A,FALSE,"14";"hidden",#N/A,FALSE,"16";"hidden",#N/A,FALSE,"18";"hidden",#N/A,FALSE,"20"}</definedName>
    <definedName function="false" hidden="true" name="wrn.direct.labore" vbProcedure="false">{"direct labor",#N/A,FALSE,"labor";"direct labor1",#N/A,FALSE,"labor"}</definedName>
    <definedName function="false" hidden="true" name="wrn.direct._.labor." vbProcedure="false">{"direct labor",#N/A,FALSE,"labor";"direct labor1",#N/A,FALSE,"labor"}</definedName>
    <definedName function="false" hidden="true" name="wrn.Distribution." vbProcedure="false">{#N/A,#N/A,FALSE,"Distribution"}</definedName>
    <definedName function="false" hidden="true" name="wrn.Divisional._.IS." vbProcedure="false">{"Elkton IS",#N/A,FALSE,"Elkton IS";"Marion IS",#N/A,FALSE,"Marion IS";"Clinton IS",#N/A,FALSE,"Clinton IS";"Sebewaing IS",#N/A,FALSE,"Sebewaing IS";"T&amp;E IS",#N/A,FALSE,"T&amp;E IS";"Pedals IS",#N/A,FALSE,"Pedals IS";"Homes IS",#N/A,FALSE,"Homes IS";"Development IS",#N/A,FALSE,"Development IS"}</definedName>
    <definedName function="false" hidden="true" name="wrn.djall." vbProcedure="false">{"djcash",#N/A,FALSE,"DJann";"djinc",#N/A,FALSE,"DJann";"djtaxes",#N/A,FALSE,"DJann";"djbuspub",#N/A,FALSE,"DJann";"djwall",#N/A,FALSE,"DJann";"djcompprs",#N/A,FALSE,"DJann";"djteler",#N/A,FALSE,"DJann"}</definedName>
    <definedName function="false" hidden="true" name="wrn.DOCs." vbProcedure="false">{#N/A,#N/A,TRUE,"DATA (2)";#N/A,#N/A,TRUE,"Material (2)";#N/A,#N/A,TRUE,"Labour (2)";#N/A,#N/A,TRUE,"LLPs (2)";#N/A,#N/A,TRUE,"Line labour (2)";#N/A,#N/A,TRUE,"DATA (3)";#N/A,#N/A,TRUE,"Material (3)";#N/A,#N/A,TRUE,"Build-up b to mature m (2)"}</definedName>
    <definedName function="false" hidden="true" name="wrn.document." vbProcedure="false">{"consolidated",#N/A,FALSE,"Sheet1";"cms",#N/A,FALSE,"Sheet1";"fse",#N/A,FALSE,"Sheet1"}</definedName>
    <definedName function="false" hidden="true" name="wrn.document.1" vbProcedure="false">{"comp",#N/A,FALSE,"SPEC";"footnotes",#N/A,FALSE,"SPEC"}</definedName>
    <definedName function="false" hidden="true" name="wrn.documentaero." vbProcedure="false">{"comps2",#N/A,FALSE,"AERO";"footnotes",#N/A,FALSE,"AERO"}</definedName>
    <definedName function="false" hidden="true" name="wrn.documentaero.1" vbProcedure="false">{"comps2",#N/A,FALSE,"AERO";"footnotes",#N/A,FALSE,"AERO"}</definedName>
    <definedName function="false" hidden="true" name="wrn.documenthand." vbProcedure="false">{"comps",#N/A,FALSE,"HANDPACK";"footnotes",#N/A,FALSE,"HANDPACK"}</definedName>
    <definedName function="false" hidden="true" name="wrn.documenthand.1" vbProcedure="false">{"comps",#N/A,FALSE,"HANDPACK";"footnotes",#N/A,FALSE,"HANDPACK"}</definedName>
    <definedName function="false" hidden="true" name="wrn.DOM." vbProcedure="false">{"DOM",#N/A,FALSE,"A8CONTENT"}</definedName>
    <definedName function="false" hidden="true" name="wrn.Domestic._.Monthly." vbProcedure="false">{"incstmtdm",#N/A,TRUE,"Inc Stmt (D)";"balshtdm",#N/A,TRUE,"Bal Sheet (D)";"scfdm",#N/A,TRUE,"Cash Flow (D)";"incmcfdm",#N/A,TRUE,"Inc mcf (D)";"capsummdm",#N/A,TRUE,"Cap Summ (D)";"assumdm",#N/A,TRUE,"Assum (D)"}</definedName>
    <definedName function="false" hidden="true" name="wrn.Domestic._.Quarterly." vbProcedure="false">{"forecastdq",#N/A,TRUE,"Forecast (D)";"incstmtdq",#N/A,TRUE,"Inc Stmt (D)";"balshtdq",#N/A,TRUE,"Bal Sheet (D)";"scfdq",#N/A,TRUE,"Cash Flow (D)";"incmcfdq",#N/A,TRUE,"Inc mcf (D)";"capsummdq",#N/A,TRUE,"Cap Summ (D)";"assumdq",#N/A,TRUE,"Assum (D)"}</definedName>
    <definedName function="false" hidden="true" name="wrn.downstairs." vbProcedure="false">{"histincome",#N/A,FALSE,"hyfins";"closing balance",#N/A,FALSE,"hyfins"}</definedName>
    <definedName function="false" hidden="true" name="wrn.DPI._.Summary." vbProcedure="false">{#N/A,#N/A,TRUE,"Summary";#N/A,#N/A,TRUE,"Financials"}</definedName>
    <definedName function="false" hidden="true" name="wrn.Draft." vbProcedure="false">{"Draft",#N/A,FALSE,"Feb-96"}</definedName>
    <definedName function="false" hidden="true" name="wrn.Dream._.Team." vbProcedure="false">{#N/A,#N/A,FALSE,"Introduction";#N/A,#N/A,FALSE,"Structure"}</definedName>
    <definedName function="false" hidden="true" name="wrn.druck." vbProcedure="false">{#N/A,#N/A,FALSE,"0Praemissen";#N/A,#N/A,FALSE,"3Modrech";#N/A,#N/A,FALSE,"4Modellkorrektur";#N/A,#N/A,FALSE,"5Rechnung";#N/A,#N/A,FALSE,"6Cash";#N/A,#N/A,FALSE,"7Renta"}</definedName>
    <definedName function="false" hidden="true" name="wrn.Druck._.Monatsreporting." vbProcedure="false">{#N/A,#N/A,TRUE,"0 Deckbl.";#N/A,#N/A,TRUE,"S 1 Komm";#N/A,#N/A,TRUE,"S 1a Komm";#N/A,#N/A,TRUE,"S 1b Komm";#N/A,#N/A,TRUE,"S  2 DBR";#N/A,#N/A,TRUE,"S  3 Sparten";#N/A,#N/A,TRUE,"S 4  Betr. K.";#N/A,#N/A,TRUE,"6 Bilanz";#N/A,#N/A,TRUE,"6a Bilanz ";#N/A,#N/A,TRUE,"6b Bilanz ";#N/A,#N/A,TRUE,"7 GS I";#N/A,#N/A,TRUE,"S 8 EQ-GuV"}</definedName>
    <definedName function="false" hidden="true" name="wrn.Drucken._.H.C.._.Starck." vbProcedure="false">{#N/A,#N/A,FALSE,"Rohstoffnotierungen";#N/A,#N/A,FALSE,"ER HCST Erw. 99";#N/A,#N/A,FALSE,"ER HCST Plan 00";#N/A,#N/A,FALSE,"Umsatz KG";#N/A,#N/A,FALSE,"ER HCST";#N/A,#N/A,FALSE,"EA ST (2)";#N/A,#N/A,FALSE,"EA ST";#N/A,#N/A,FALSE,"EA ST (3)";#N/A,#N/A,FALSE,"EA ST (4)";#N/A,#N/A,FALSE,"KA ST  (2)";#N/A,#N/A,FALSE,"KA ST";#N/A,#N/A,FALSE,"KA ST  (3)";#N/A,#N/A,FALSE,"KA ST (4)"}</definedName>
    <definedName function="false" hidden="true" name="wrn.Earnings._.Mode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wrn.Earnings._.Model.RTN"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true" name="wrn.Economic._.Value._.Added._.Analysis." vbProcedure="false">{"EVA",#N/A,FALSE,"EVA";"WACC",#N/A,FALSE,"WACC"}</definedName>
    <definedName function="false" hidden="true" name="wrn.ecpall." vbProcedure="false">{"ecpcash",#N/A,FALSE,"ECPann";"ecpinc",#N/A,FALSE,"ECPann";"ecpindia",#N/A,FALSE,"ECPann";"ecpmun",#N/A,FALSE,"ECPann";"ecpphoenix",#N/A,FALSE,"ECPann";"ecpothe",#N/A,FALSE,"ECPann";"ecpbalsht",#N/A,FALSE,"ECPann"}</definedName>
    <definedName function="false" hidden="true" name="wrn.Edison." vbProcedure="false">{#N/A,#N/A,FALSE,"Sheet1";#N/A,#N/A,FALSE,"totalp&amp;L";#N/A,#N/A,FALSE,"totalassump";#N/A,#N/A,FALSE,"basep&amp;L";#N/A,#N/A,FALSE,"baseassump";#N/A,#N/A,FALSE,"sum slide"}</definedName>
    <definedName function="false" hidden="true" name="wrn.EDITION._.ANNEXE." vbProcedure="false">{"ANNEXE",#N/A,FALSE,"Annexe"}</definedName>
    <definedName function="false" hidden="true" name="wrn.EDITION._.DES._.TABLEAUX." vbProcedure="false">{"BILAN PUB FRF",#N/A,FALSE,"Etats publiables FRF";"RESULTAT PUB FRF",#N/A,FALSE,"Etats publiables FRF";"DETAIL COMPTES DE BILAN",#N/A,FALSE,"Etats publiables FRF";"DETAIL RUBRIQUES BILAN",#N/A,FALSE,"Etats publiables FRF";"DETAIL COMPTE DE RESULTAT",#N/A,FALSE,"Etats publiables FRF";"CONTROLES",#N/A,FALSE,"Etats publiables FRF"}</definedName>
    <definedName function="false" hidden="true" name="wrn.EDITION._.GLOBALE._.DES._.DOCUMENTS." vbProcedure="false">{"Bilan publiable FRF",#N/A,FALSE,"ETATS";"Résultat publiable FRF",#N/A,FALSE,"ETATS";"Balance",#N/A,FALSE,"ETATS";"Détail rubriques comptes de bilan",#N/A,FALSE,"ETATS";"Détail rubriques compte de résultat",#N/A,FALSE,"ETATS";"Controles",#N/A,FALSE,"ETATS"}</definedName>
    <definedName function="false" hidden="true" name="wrn.EES_BUD_ACT_PY."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wrn.EES_BUD_SNAP_ACT_PY."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wrn.EES_CHECK."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wrn.Eilbericht_UBA." vbProcedure="false">{"Eilbericht_UBA",#N/A,FALSE,"EB"}</definedName>
    <definedName function="false" hidden="true" name="wrn.eken" vbProcedure="false">{#N/A,#N/A,FALSE,"ACQ_GRAPHS";#N/A,#N/A,FALSE,"T_1 GRAPHS";#N/A,#N/A,FALSE,"T_2 GRAPHS";#N/A,#N/A,FALSE,"COMB_GRAPHS"}</definedName>
    <definedName function="false" hidden="true" name="wrn.electron_compco." vbProcedure="false">{"page1",#N/A,FALSE,"CWS";"page2",#N/A,FALSE,"CWS";"summary",#N/A,FALSE,"CWS"}</definedName>
    <definedName function="false" hidden="true" name="wrn.electron_wacc." vbProcedure="false">{"WACC",#N/A,FALSE,"CWS"}</definedName>
    <definedName function="false" hidden="true" name="wrn.EMM._.detail._.edition." vbProcedure="false">{#N/A,#N/A,TRUE,"Cover";#N/A,#N/A,TRUE,"Content";"Orders EMM",#N/A,TRUE,"Order Sales";"project EMM",#N/A,TRUE,"Project Control";"Cash EMM",#N/A,TRUE,"Cash Control";"KPI EMM",#N/A,TRUE,"KPI-EMM";"Empl EMM",#N/A,TRUE,"Employees"}</definedName>
    <definedName function="false" hidden="true" name="wrn.Employee._.Efficiency." vbProcedure="false">{"Employee Efficiency",#N/A,FALSE,"Benchmarking"}</definedName>
    <definedName function="false" hidden="true" name="wrn.Ensemble_client." vbProcedure="false">{"ratios",#N/A,FALSE,"Analyse";"multiples",#N/A,FALSE,"Analyse";"places",#N/A,FALSE,"Analyse";"résultats_édition client",#N/A,FALSE,"Résultats";"reg_edition client",#N/A,FALSE,"Regressions";"SYNTHESE",#N/A,FALSE,"Synthese"}</definedName>
    <definedName function="false" hidden="true" name="wrn.Ensemble_travail." vbProcedure="false">{"données",#N/A,FALSE,"Input";"ratios",#N/A,FALSE,"Analyse";"multiples",#N/A,FALSE,"Analyse";"places",#N/A,FALSE,"Analyse";"res_travail",#N/A,FALSE,"Résultats";"reg_travail",#N/A,FALSE,"Regressions";"SYNTHESE",#N/A,FALSE,"Synthese"}</definedName>
    <definedName function="false" hidden="true" name="wrn.Entire._.file." vbProcedure="false">{#N/A,#N/A,FALSE,"BU_Summary";#N/A,#N/A,FALSE,"BU_P&amp;L";#N/A,#N/A,FALSE,"BU_Cash";#N/A,#N/A,FALSE,"BU_Funds";#N/A,#N/A,FALSE,"BU_Scorecard";#N/A,#N/A,FALSE,"BU_Variance analysis";#N/A,#N/A,FALSE,"BU_SVA";#N/A,#N/A,FALSE,"BU_Op Capex";#N/A,#N/A,FALSE,"BU_Dev Capex";#N/A,#N/A,FALSE,"BU_Divestments";#N/A,#N/A,FALSE,"SBU_OIP by SBU";#N/A,#N/A,FALSE,"SBU_Summary";#N/A,#N/A,FALSE,"Project"}</definedName>
    <definedName function="false" hidden="true" name="wrn.entire._.model." vbProcedure="false">{"dcf_summary_value",#N/A,FALSE,"Assumptions";"dcf_discountedCF",#N/A,FALSE,"Assumptions";"dcf_terminalCF",#N/A,FALSE,"Assumptions";"dcf_terminal_value",#N/A,FALSE,"Assumptions";"dcf_implied_multiples",#N/A,FALSE,"Assumptions";"dcf_is_annual",#N/A,FALSE,"Assumptions";"dcf_is_annual_cs",#N/A,FALSE,"Assumptions";"dcf_is_annual_growth",#N/A,FALSE,"Assumptions";"dcf_is_quarter",#N/A,FALSE,"Assumptions";"dcf_is_quarter_cs",#N/A,FALSE,"Assumptions";"dcf_is_quarter_growth",#N/A,FALSE,"Assumptions";"dcf_bs_annual",#N/A,FALSE,"Assumptions";"dcf_bs_annual_cs",#N/A,FALSE,"Assumptions";"dcf_bs_annual_growth",#N/A,FALSE,"Assumptions";"dcf_cf_annual",#N/A,FALSE,"Assumptions";"dcf_ratios_1",#N/A,FALSE,"Assumptions";"dcf_ratios_2",#N/A,FALSE,"Assumptions";"dcf_ratios_3",#N/A,FALSE,"Assumptions";"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historical_is_annual",#N/A,FALSE,"Assumptions";"historical_is_annual_cs",#N/A,FALSE,"Assumptions";"historical_is_annual_growth",#N/A,FALSE,"Assumptions";"historical_is_quarter",#N/A,FALSE,"Assumptions";"historical_is_quarter_cs",#N/A,FALSE,"Assumptions";"historical_is_quarter_growth",#N/A,FALSE,"Assumptions";"historical_bs_annual",#N/A,FALSE,"Assumptions";"historical_bs_annaul_cs",#N/A,FALSE,"Assumptions";"historical_bs_annaul_growth",#N/A,FALSE,"Assumptions";"historical_bs_quarter",#N/A,FALSE,"Assumptions";"historical_bs_quarter_cs",#N/A,FALSE,"Assumptions";"historical_bs_quarter_growth",#N/A,FALSE,"Assumptions";"historical_cf",#N/A,FALSE,"Assumptions";"historical_ratios_1",#N/A,FALSE,"Assumptions";"historical_ratios_2",#N/A,FALSE,"Assumptions";"historical_ratios_3",#N/A,FALSE,"Assumptions";"hist_rev",#N/A,FALSE,"Assumptions";"hist_rev_growth",#N/A,FALSE,"Assumptions";"hist_exp",#N/A,FALSE,"Assumptions";"hist_exp_growth",#N/A,FALSE,"Assumptions";"historical_workcap",#N/A,FALSE,"Assumptions"}</definedName>
    <definedName function="false" hidden="true" name="wrn.EntitiesWithReclasses." vbProcedure="false">{"page1",#N/A,FALSE,"EntitiesWithReclasses";"page2",#N/A,FALSE,"EntitiesWithReclasses";"page3",#N/A,FALSE,"EntitiesWithReclasses";"page4",#N/A,FALSE,"EntitiesWithReclasses";"page5",#N/A,FALSE,"EntitiesWithReclasses";"page6",#N/A,FALSE,"EntitiesWithReclasses"}</definedName>
    <definedName function="false" hidden="true" name="wrn.EO._.REPORT." vbProcedure="false">{#N/A,#N/A,FALSE,"INC";#N/A,#N/A,FALSE,"BAL SHEET";#N/A,#N/A,FALSE,"RP_INC";#N/A,#N/A,FALSE,"RP_BS";#N/A,#N/A,FALSE,"F_A";#N/A,#N/A,FALSE,"TAX"}</definedName>
    <definedName function="false" hidden="true" name="wrn.Equipment." vbProcedure="false">{"PnL",#N/A,FALSE,"Equip P&amp;L";"Responsibility",#N/A,FALSE,"Equip P&amp;L";"Cost Control",#N/A,FALSE,"Equip P&amp;L"}</definedName>
    <definedName function="false" hidden="true" name="wrn.equity._.comps." vbProcedure="false">{"equity comps",#N/A,FALSE,"CS Comps";"equity comps",#N/A,FALSE,"PS Comps";"equity comps",#N/A,FALSE,"GIC_Comps";"equity comps",#N/A,FALSE,"GIC2_Comps"}</definedName>
    <definedName function="false" hidden="true" name="wrn.equity._.comps.1" vbProcedure="false">{"equity comps",#N/A,FALSE,"CS Comps";"equity comps",#N/A,FALSE,"PS Comps";"equity comps",#N/A,FALSE,"GIC_Comps";"equity comps",#N/A,FALSE,"GIC2_Comps"}</definedName>
    <definedName function="false" hidden="true" name="wrn.Ergebnis." vbProcedure="false">{#N/A,#N/A,TRUE,"Cont_Stell";#N/A,#N/A,TRUE,"BTG";#N/A,#N/A,TRUE,"SH";#N/A,#N/A,TRUE,"GUV";#N/A,#N/A,TRUE,"Bilanz";#N/A,#N/A,TRUE,"WC";#N/A,#N/A,TRUE,"Beweg_bil";#N/A,#N/A,TRUE,"Kap_fluß";#N/A,#N/A,TRUE,"KENNZ";#N/A,#N/A,TRUE,"ANALYSE"}</definedName>
    <definedName function="false" hidden="true" name="wrn.Ergebnisbericht_UBA." vbProcedure="false">{"Ergebnisbericht_UBA",#N/A,FALSE,"MB"}</definedName>
    <definedName function="false" hidden="true" name="wrn.ETH." vbProcedure="false">{"AnnMarg.",#N/A,FALSE,"ETHAN";"Q",#N/A,FALSE,"Qtrs."}</definedName>
    <definedName function="false" hidden="true" name="wrn.Europe." vbProcedure="fals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function="false" hidden="true" name="wrn.Europe._.Base." vbProcedure="false">{"Eur Base Top",#N/A,FALSE,"Europe Base";"Eur Base Bottom",#N/A,FALSE,"Europe Base"}</definedName>
    <definedName function="false" hidden="true" name="wrn.Europe._.Set." vbProcedure="false">{"IS w Ratios",#N/A,FALSE,"Europe";"PF CF Europe",#N/A,FALSE,"Europe";"DCF Eur Matrix",#N/A,FALSE,"Europe"}</definedName>
    <definedName function="false" hidden="true" name="wrn.Everything." vbProcedure="false">{#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function="false" hidden="true" name="wrn.Exam._.Workpapers._.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wrn.execsum." vbProcedure="false">{"execsum",#N/A,FALSE,"ExecSum";"finstatement",#N/A,FALSE,"Fin_St"}</definedName>
    <definedName function="false" hidden="true" name="wrn.Exhibits._.for._.Loves." vbProcedure="false">{"Historical IS $",#N/A,FALSE,"Hist. IS";"Historical IS CS",#N/A,FALSE,"Hist. IS";"Historical BS $",#N/A,FALSE,"Hist. BS";"Historical BS CS",#N/A,FALSE,"Hist. BS";#N/A,#N/A,FALSE,"DCF 12";#N/A,#N/A,FALSE,"DCF 13";"DCF - CS",#N/A,FALSE,"DCF - CS and growth";"DCF - Growth",#N/A,FALSE,"DCF - CS and growth";"MM Mult",#N/A,FALSE,"MM mult";#N/A,#N/A,FALSE,"Selected Multiple";"Summary of Value",#N/A,FALSE,"Summary of Value"}</definedName>
    <definedName function="false" hidden="true" name="wrn.Exp." vbProcedure="false">{"Exp_qty",#N/A,FALSE,"Export";"Exp_sell",#N/A,FALSE,"Export";"Exp_misc",#N/A,FALSE,"Export"}</definedName>
    <definedName function="false" hidden="true" name="wrn.ExpCompSet." vbProcedure="false">{"ExpCompSet",#N/A,FALSE,"Export Comp. Sets"}</definedName>
    <definedName function="false" hidden="true" name="wrn.EXPENSES." vbProcedure="false">{#N/A,#N/A,FALSE,"0400-1 Professional Services";#N/A,#N/A,FALSE,"0400-2 Taxes &amp; Licenses";#N/A,#N/A,FALSE,"0400-3 Repairs &amp; Maint.";#N/A,#N/A,FALSE,"0400-4 Officers Salaries";#N/A,#N/A,FALSE,"0400-5 Officers' Life Insurance";#N/A,#N/A,FALSE,"0400-6 Payroll Test";#N/A,#N/A,FALSE,"0400-7 Donations"}</definedName>
    <definedName function="false" hidden="true" name="wrn.EXPORT." vbProcedure="false">{"EXPORT",#N/A,FALSE,"A8CONTENT"}</definedName>
    <definedName function="false" hidden="true" name="wrn.Exports." vbProcedure="false">{#N/A,#N/A,FALSE,"Exports";#N/A,#N/A,FALSE,"Carolans";#N/A,#N/A,FALSE,"Irish Mist";#N/A,#N/A,FALSE,"Tullamore Dew";#N/A,#N/A,FALSE,"Other Brands Exports";#N/A,#N/A,FALSE,"Frangelico";#N/A,#N/A,FALSE,"Mondoro";#N/A,#N/A,FALSE,"Aperol";#N/A,#N/A,FALSE,"Others Exports"}</definedName>
    <definedName function="false" hidden="true" name="wrn.External." vbProcedure="false">{"External_Annual_Income",#N/A,FALSE,"External";"External_Quarterly_Income",#N/A,FALSE,"External"}</definedName>
    <definedName function="false" hidden="true" name="wrn.external.2" vbProcedure="false">{"External_Annual_Income",#N/A,FALSE,"External";"External_Quarterly_Income",#N/A,FALSE,"External"}</definedName>
    <definedName function="false" hidden="true" name="wrn.FAB._.1._.TOTAL." vbProcedure="false">{"FB1_T",#N/A,FALSE,"FAB 1"}</definedName>
    <definedName function="false" hidden="true" name="wrn.FAB._.2._.ADMIN._.EXP." vbProcedure="false">{"FABMATERIALS",#N/A,FALSE,"WAFER FAB 2 EXPENSE"}</definedName>
    <definedName function="false" hidden="true" name="wrn.FAB._.2._.ENG._.EXP." vbProcedure="false">{"FABENGINEERING",#N/A,FALSE,"WAFER FAB 2 EXPENSE"}</definedName>
    <definedName function="false" hidden="true" name="wrn.FAB._.2._.EQUIP._.SUP._.EXP." vbProcedure="false">{"FABEQUIPSUPPORT",#N/A,FALSE,"WAFER FAB 2 EXPENSE"}</definedName>
    <definedName function="false" hidden="true" name="wrn.FAB._.2._.PROD._.EXP." vbProcedure="false">{"FABPRODUCTION",#N/A,FALSE,"WAFER FAB 2 EXPENSE"}</definedName>
    <definedName function="false" hidden="true" name="wrn.FAB._.2._.PROD._.LINE._.EXP." vbProcedure="false">{"FABPRODUCTLINE",#N/A,FALSE,"WAFER FAB 2 EXPENSE"}</definedName>
    <definedName function="false" hidden="true" name="wrn.FAB._.2._.SALARY._.REPORTS." vbProcedure="false">{"SALFABENG",#N/A,FALSE,"WAFER FAB 2 EXPENSE";"SALFABMAT",#N/A,FALSE,"WAFER FAB 2 EXPENSE"}</definedName>
    <definedName function="false" hidden="true" name="wrn.FAB._.ONE._.3420." vbProcedure="false">{"FB342O",#N/A,FALSE,"FAB 1"}</definedName>
    <definedName function="false" hidden="true" name="wrn.FAB._.ONE._.3430." vbProcedure="false">{"FB343O",#N/A,FALSE,"FAB 1"}</definedName>
    <definedName function="false" hidden="true" name="wrn.Facturation." vbProcedure="false">{"Factures - projets en cours",#N/A,FALSE,"Juin 99";"Factures -DVMD",#N/A,FALSE,"Juin 99";"Factures - projets terminés",#N/A,FALSE,"Juin 99"}</definedName>
    <definedName function="false" hidden="true" name="wrn.Falcons._.Divisions." vbProcedure="false">{#N/A,#N/A,TRUE,"Fiber_Optic_Cable_Input ";#N/A,#N/A,TRUE,"Specialty_Fiber_Devices_Input";#N/A,#N/A,TRUE,"Optical_Fiber_Apparatus_Input"}</definedName>
    <definedName function="false" hidden="true" name="wrn.Falcons._.Standalone." vbProcedure="false">{#N/A,#N/A,TRUE,"Falcons_Standalone";#N/A,#N/A,TRUE,"Target_Input";#N/A,#N/A,TRUE,"Target_Calendarized"}</definedName>
    <definedName function="false" hidden="true" name="wrn.Far._.East._.Set." vbProcedure="false">{"IS FE with Ratios",#N/A,FALSE,"Far East";"PF CF Far East",#N/A,FALSE,"Far East";"DCF Far East Matrix",#N/A,FALSE,"Far East"}</definedName>
    <definedName function="false" hidden="true" name="wrn.fb." vbProcedure="false">{"AnnMarg",#N/A,FALSE,"FALCON";"Q",#N/A,FALSE,"Qtrs."}</definedName>
    <definedName function="false" hidden="true" name="wrn.FB3410." vbProcedure="false">{"FB341O",#N/A,FALSE,"FAB 1"}</definedName>
    <definedName function="false" hidden="true" name="wrn.fcb" vbProcedure="false">{"FCB_ALL",#N/A,FALSE,"FCB"}</definedName>
    <definedName function="false" hidden="true" name="wrn.FCB." vbProcedure="false">{"FCB_ALL",#N/A,FALSE,"FCB"}</definedName>
    <definedName function="false" hidden="true" name="wrn.fcb2" vbProcedure="false">{"FCB_ALL",#N/A,FALSE,"FCB"}</definedName>
    <definedName function="false" hidden="true" name="wrn.fdb1_Imprime_Print." vbProcedure="false">{"fdb1_Rapport_Report",#N/A,FALSE,"Report"}</definedName>
    <definedName function="false" hidden="true" name="wrn.fdb2_print_rpt." vbProcedure="false">{"fdb2_print",#N/A,FALSE,"Report"}</definedName>
    <definedName function="false" hidden="true" name="wrn.FE._.Sensitivity." vbProcedure="false">{"Far East Top",#N/A,FALSE,"FE Model";"Far East Mid",#N/A,FALSE,"FE Model";"Far East Base",#N/A,FALSE,"FE Model"}</definedName>
    <definedName function="false" hidden="true" name="wrn.FEBRUARY." vbProcedure="false">{"FEBRUARY",#N/A,FALSE,"Q3"}</definedName>
    <definedName function="false" hidden="true" name="wrn.Figaro._.Valuation._.Summary." vbProcedure="false">{#N/A,#N/A,TRUE,"Cover";#N/A,#N/A,TRUE,"Graphs BD";#N/A,#N/A,TRUE,"Matrix-BD";#N/A,#N/A,TRUE,"Matrix-BD (2)";#N/A,#N/A,TRUE,"Margin Matrix BD";#N/A,#N/A,TRUE,"P&amp;L BD";#N/A,#N/A,TRUE,"Financials BD"}</definedName>
    <definedName function="false" hidden="true" name="wrn.filecopy." vbProcedure="false">{"WACC_filecopy",#N/A,FALSE,"Inputs";"Beta_filecopy",#N/A,FALSE,"Inputs";"SCF_filecopy",#N/A,FALSE,"Inputs";"ProBS_filecopy",#N/A,FALSE,"Inputs";"BS_filecopy",#N/A,FALSE,"Inputs";"ProIS_filecopy",#N/A,FALSE,"Inputs";"IS_filecopy",#N/A,FALSE,"Inputs"}</definedName>
    <definedName function="false" hidden="true" name="wrn.Filter." vbProcedure="false">{#N/A,#N/A,FALSE,"Assump2";#N/A,#N/A,FALSE,"Income2";#N/A,#N/A,FALSE,"Balance2";#N/A,#N/A,FALSE,"DCF Filter";#N/A,#N/A,FALSE,"Trans Assump2";#N/A,#N/A,FALSE,"Combined Income2";#N/A,#N/A,FALSE,"Combined Balance2"}</definedName>
    <definedName function="false" hidden="true" name="wrn.fin"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true" name="wrn.Fin._.Stmts_ALL." vbProcedure="false">{"bs",#N/A,FALSE,"BS-Consol";"con all",#N/A,FALSE,"CON-ALL";"cf",#N/A,FALSE,"BS-Consol";"debt sve",#N/A,FALSE,"BS-Consol"}</definedName>
    <definedName function="false" hidden="true" name="wrn.FIN51." vbProcedure="false">{#N/A,#N/A,TRUE,"VECTRA.XLS";#N/A,#N/A,TRUE,"ASTRA.XLS";#N/A,#N/A,TRUE,"CORSA.XLS";#N/A,#N/A,TRUE,"EXOTIC.XLS";#N/A,#N/A,TRUE,"FIYATS.XLS";#N/A,#N/A,TRUE,"SUMSUM.XLS";#N/A,#N/A,TRUE,"BULNEW.XLS";#N/A,#N/A,TRUE,"28DAYS"}</definedName>
    <definedName function="false" hidden="true" name="wrn.Final." vbProcedure="false">{"Final",#N/A,FALSE,"Feb-96"}</definedName>
    <definedName function="false" hidden="true" name="wrn.Final._.Copy." vbProcedure="false">{#N/A,#N/A,TRUE,"Assumptions";#N/A,#N/A,TRUE,"Financial  Statements";#N/A,#N/A,TRUE,"Unl. Free CF Valuation ";#N/A,#N/A,TRUE,"Funding Schedule";#N/A,#N/A,TRUE,"High Yield &amp; Equity Schedule"}</definedName>
    <definedName function="false" hidden="true" name="wrn.Finanalysis." vbProcedure="false">{"finana",#N/A,FALSE,"Fin"}</definedName>
    <definedName function="false" hidden="true" name="wrn.Financial." vbProcedure="fals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function="false" hidden="true" name="wrn.Financial._.Databook." vbProcedure="false">{#N/A,#N/A,FALSE,"Index";#N/A,#N/A,FALSE,"1.1";#N/A,#N/A,FALSE,"Scenario Summary"}</definedName>
    <definedName function="false" hidden="true" name="wrn.FINANCIAL._.FORECAST." vbProcedure="false">{#N/A,#N/A,FALSE,"Hoja10";#N/A,#N/A,FALSE,"Hoja9";#N/A,#N/A,FALSE,"Hoja8";#N/A,#N/A,FALSE,"Hoja7";#N/A,#N/A,FALSE,"Hoja6";#N/A,#N/A,FALSE,"Hoja5";#N/A,#N/A,FALSE,"Hoja4";#N/A,#N/A,FALSE,"Hoja2";#N/A,#N/A,FALSE,"Hoja3";#N/A,#N/A,FALSE,"HOJA1";#N/A,#N/A,FALSE,"CashFlow";#N/A,#N/A,FALSE,"FinStmts"}</definedName>
    <definedName function="false" hidden="true" name="wrn.Financial._.Output." vbProcedure="false">{"P and L",#N/A,FALSE,"Financial Output";"Cashflow",#N/A,FALSE,"Financial Output";"Balance Sheet",#N/A,FALSE,"Financial Output"}</definedName>
    <definedName function="false" hidden="true" name="wrn.Financial._.Statements." vbProcedure="false">{#N/A,#N/A,FALSE,"Income Statement";#N/A,#N/A,FALSE,"Calendarized PL_Current";#N/A,#N/A,FALSE,"Calendarized PL_AOP"}</definedName>
    <definedName function="false" hidden="true" name="wrn.Financial._.Statements._.and._.Schedules." vbProcedure="false">{#N/A,#N/A,TRUE,"4-Way Financial Comparison";#N/A,#N/A,TRUE,"Operations Statement";#N/A,#N/A,TRUE,"GAAP Statement";#N/A,#N/A,TRUE,"Balance Sheet";#N/A,#N/A,TRUE,"Cash Flow";#N/A,#N/A,TRUE,"Adjustments";#N/A,#N/A,TRUE,"Non-Op Schedule";#N/A,#N/A,TRUE,"Debt Schedule";#N/A,#N/A,TRUE,"Outsiders Share";#N/A,#N/A,TRUE,"Capital Exp.";#N/A,#N/A,TRUE,"Invest Affiliates";#N/A,#N/A,TRUE,"COC";#N/A,#N/A,TRUE,"Def Chrgs, et al";#N/A,#N/A,TRUE,"Taxes";#N/A,#N/A,TRUE,"IC - Interest Income"}</definedName>
    <definedName function="false" hidden="true" name="wrn.Financial._.Stmts." vbProcedure="false">{"Balance Sheet",#N/A,FALSE,"CONS BS";"Income Stmt",#N/A,FALSE,"CONS IS";"Cash Flow",#N/A,FALSE,"CONS BS";"Debt Service",#N/A,FALSE,"CONS BS";"Pref Div",#N/A,FALSE,"PREF STK ";"Check figures",#N/A,FALSE,"CONS BS";"CNA Je's",#N/A,FALSE,"CNA Je's"}</definedName>
    <definedName function="false" hidden="true" name="wrn.Financial._.Update." vbProcedure="false">{#N/A,#N/A,TRUE,"Cover";#N/A,#N/A,TRUE,"Input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function="false" hidden="true" name="wrn.Financials." vbProcedure="false">{#N/A,#N/A,TRUE,"Income Statement";#N/A,#N/A,TRUE,"Balance Sheet";#N/A,#N/A,TRUE,"Cash Flow"}</definedName>
    <definedName function="false" hidden="true" name="wrn.Financials_long." vbProcedure="false">{"IS",#N/A,FALSE,"Financials2 (Expanded)";"bsa",#N/A,FALSE,"Financials2 (Expanded)";"BS",#N/A,FALSE,"Financials2 (Expanded)";"CF",#N/A,FALSE,"Financials2 (Expanded)"}</definedName>
    <definedName function="false" hidden="true" name="wrn.Finanzbedarfsrechnung." vbProcedure="false">{#N/A,#N/A,FALSE,"Finanzbedarfsrechnung"}</definedName>
    <definedName function="false" hidden="true" name="wrn.FinStatementsGGAAP." vbProcedure="false">{"PLGGAAP1",#N/A,TRUE,"P&amp;L G GAAP";"PLGGAAP2",#N/A,TRUE,"P&amp;L G GAAP";"PLGGAAP3",#N/A,TRUE,"P&amp;L G GAAP";"PLGGAAP4",#N/A,TRUE,"P&amp;L G GAAP";"CFGGAAP1a",#N/A,TRUE,"P&amp;L G GAAP";"CFGGAAP2a",#N/A,TRUE,"P&amp;L G GAAP";"WCGGAAP1",#N/A,TRUE,"P&amp;L G GAAP";"WCGGAAP2",#N/A,TRUE,"P&amp;L G GAAP";"BSGGAAP1",#N/A,TRUE,"P&amp;L G GAAP";"BSGGAAP2",#N/A,TRUE,"P&amp;L G GAAP";"DebtGGAAP1",#N/A,TRUE,"P&amp;L G GAAP";"DebtGGAAP2",#N/A,TRUE,"P&amp;L G GAAP"}</definedName>
    <definedName function="false" hidden="true" name="wrn.FinStatementsUSGAAP." vbProcedure="false">{"PLUSGAAP1",#N/A,TRUE,"P&amp;L US GAAP";"PLUSGAAP2",#N/A,TRUE,"P&amp;L US GAAP";"PLUSGAAP3",#N/A,TRUE,"P&amp;L US GAAP";"PLUSGAAP4",#N/A,TRUE,"P&amp;L US GAAP";"CFUSGAAP1a",#N/A,TRUE,"P&amp;L US GAAP";"CFUSGAAP2a",#N/A,TRUE,"P&amp;L US GAAP";"WCUSGAAP1",#N/A,TRUE,"P&amp;L US GAAP";"WCUSGAAP2",#N/A,TRUE,"P&amp;L US GAAP";"BSUSGAAP1",#N/A,TRUE,"P&amp;L US GAAP";"BSUSGAAP2",#N/A,TRUE,"P&amp;L US GAAP";"DebtUSGAAP1",#N/A,TRUE,"P&amp;L US GAAP";"DebtUSGAAP2",#N/A,TRUE,"P&amp;L US GAAP"}</definedName>
    <definedName function="false" hidden="true" name="wrn.first2." vbProcedure="false">{#N/A,#N/A,FALSE,"sum-don";#N/A,#N/A,FALSE,"inc-don"}</definedName>
    <definedName function="false" hidden="true" name="wrn.first3." vbProcedure="false">{#N/A,#N/A,FALSE,"Summary";#N/A,#N/A,FALSE,"proj1";#N/A,#N/A,FALSE,"proj2"}</definedName>
    <definedName function="false" hidden="true" name="wrn.first4." vbProcedure="false">{#N/A,#N/A,FALSE,"Summary";#N/A,#N/A,FALSE,"proj1";#N/A,#N/A,FALSE,"proj2";#N/A,#N/A,FALSE,"DCF"}</definedName>
    <definedName function="false" hidden="true" name="wrn.Five._.Year." vbProcedure="false">{#N/A,"Five Year",FALSE,"Assumptions";#N/A,"Five Year",FALSE,"Annual Summary";#N/A,"Five Year",FALSE,"Quarterly Summary";#N/A,#N/A,FALSE,"IRR"}</definedName>
    <definedName function="false" hidden="true" name="wrn.five._.year._.history." vbProcedure="false">{#N/A,#N/A,FALSE,"5yr.hist."}</definedName>
    <definedName function="false" hidden="true" name="wrn.Five._.Year._.Model." vbProcedure="false">{"income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function="false" hidden="true" name="wrn.FIVE._.YEAR._.PROJECTION." vbProcedure="false">{"FIVEYEAR",#N/A,TRUE,"SUMMARY";"FIVEYEAR",#N/A,TRUE,"Ratios";"FIVEYEAR",#N/A,TRUE,"Revenue";"FIVEYEAR",#N/A,TRUE,"DETAIL";"FIVEYEAR",#N/A,TRUE,"Payroll"}</definedName>
    <definedName function="false" hidden="true" name="wrn.Five._.Year._.Record." vbProcedure="false">{"Five Year Record",#N/A,FALSE,"Front and Back"}</definedName>
    <definedName function="false" hidden="true" name="wrn.Fixed._.assets." vbProcedure="false">{#N/A,#N/A,TRUE,"Sheet1";#N/A,#N/A,TRUE,"SUMMARY";#N/A,#N/A,TRUE,"FHold ";#N/A,#N/A,TRUE,"Penthouse Imps";#N/A,#N/A,TRUE,"Aircraft ";#N/A,#N/A,TRUE,"MVehicles ";#N/A,#N/A,TRUE,"Computers";#N/A,#N/A,TRUE,"Fixtures Fit";#N/A,#N/A,TRUE,"ModShop";#N/A,#N/A,TRUE,"Disposals";#N/A,#N/A,TRUE,"Depn Jnl"}</definedName>
    <definedName function="false" hidden="true" name="wrn.Fla._.Cape._.Info._.Memo._.Reports." vbProcedure="false">{#N/A,#N/A,FALSE,"All Properties Summary";#N/A,#N/A,FALSE,"Gas Sales";#N/A,#N/A,FALSE,"Diesel Sales";#N/A,#N/A,FALSE,"C-StoreMoSales";#N/A,#N/A,FALSE,"Car Wash Mo Sales";#N/A,#N/A,FALSE,"Store Sales 18806";#N/A,#N/A,FALSE,"Store Sales 10530";#N/A,#N/A,FALSE,"Store Sales 12537";#N/A,#N/A,FALSE,"Store Sales 12434 "}</definedName>
    <definedName function="false" hidden="true" name="wrn.Flash._.report?." vbProcedure="false">{#N/A,#N/A,TRUE,"Flash";#N/A,#N/A,TRUE,"regional report"}</definedName>
    <definedName function="false" hidden="true" name="wrn.FOC._.Detail." vbProcedure="false">{#N/A,#N/A,TRUE,"FOC_Product_Assumptions"}</definedName>
    <definedName function="false" hidden="true" name="wrn.Followon._.1998" vbProcedure="false">{#N/A,#N/A,FALSE,"Summary";#N/A,#N/A,FALSE,"Pending";#N/A,#N/A,FALSE,"Jan'98";#N/A,#N/A,FALSE,"Feb'98";#N/A,#N/A,FALSE,"Mar'98";#N/A,#N/A,FALSE,"Apr'98";#N/A,#N/A,FALSE,"May'98";#N/A,#N/A,FALSE,"June'98";#N/A,#N/A,FALSE,"July'98"}</definedName>
    <definedName function="false" hidden="true" name="wrn.for._.TenneT." vbProcedure="false">{#N/A,#N/A,TRUE,"Cover";#N/A,#N/A,TRUE,"Corrections";#N/A,#N/A,TRUE,"Tariffs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function="false" hidden="true" name="wrn.FORECAST." vbProcedure="false">{#N/A,#N/A,FALSE,"Income Statement";#N/A,#N/A,FALSE,"Balance Sheet";#N/A,#N/A,FALSE,"AR Analysis";#N/A,#N/A,FALSE,"Inventory Analysis";#N/A,#N/A,FALSE,"Direct Material";#N/A,#N/A,FALSE,"Labor";#N/A,#N/A,FALSE,"Overhead";#N/A,#N/A,FALSE,"Capital";#N/A,#N/A,FALSE,"Indirect Roster"}</definedName>
    <definedName function="false" hidden="true" name="wrn.Forecast._.No._.Interest." vbProcedure="false">{#N/A,#N/A,FALSE,"Income Statement";#N/A,#N/A,FALSE,"Balance Sheet";#N/A,#N/A,FALSE,"AR Analysis";#N/A,#N/A,FALSE,"Inventory Analysis";#N/A,#N/A,FALSE,"Direct Material";#N/A,#N/A,FALSE,"Labor";#N/A,#N/A,FALSE,"Overhead";#N/A,#N/A,FALSE,"Capital";#N/A,#N/A,FALSE,"Indirect Roster"}</definedName>
    <definedName function="false" hidden="true" name="wrn.forecast2" vbProcedure="false">{#N/A,#N/A,FALSE,"model"}</definedName>
    <definedName function="false" hidden="true" name="wrn.forecastassumptions." vbProcedure="false">{#N/A,#N/A,FALSE,"model"}</definedName>
    <definedName function="false" hidden="true" name="wrn.forecastassumptions2" vbProcedure="false">{#N/A,#N/A,FALSE,"model"}</definedName>
    <definedName function="false" hidden="true" name="wrn.forecastROIC." vbProcedure="false">{#N/A,#N/A,FALSE,"model"}</definedName>
    <definedName function="false" hidden="true" name="wrn.forecastROIC2" vbProcedure="false">{#N/A,#N/A,FALSE,"model"}</definedName>
    <definedName function="false" hidden="true" name="wrn.Forecasts." vbProcedure="false">{#N/A,#N/A,FALSE,"Forecasts"}</definedName>
    <definedName function="false" hidden="true" name="wrn.FORM1." vbProcedure="false">{#N/A,#N/A,FALSE,"COMP"}</definedName>
    <definedName function="false" hidden="true" name="wrn.FORM6C." vbProcedure="false">{#N/A,#N/A,FALSE,"COMP"}</definedName>
    <definedName function="false" hidden="true" name="wrn.forms." vbProcedure="false">{#N/A,#N/A,FALSE,"Set-Up";#N/A,#N/A,FALSE,"Comparison";#N/A,#N/A,FALSE,"AR";#N/A,#N/A,FALSE,"Inv";#N/A,#N/A,FALSE,"Concentrations";#N/A,#N/A,FALSE,"Past Dues";#N/A,#N/A,FALSE,"Trends";#N/A,#N/A,FALSE,"AR Trends";#N/A,#N/A,FALSE,"Inv Trends"}</definedName>
    <definedName function="false" hidden="true" name="wrn.formulas." vbProcedure="false">{"formulas",#N/A,FALSE,"Key Indicators"}</definedName>
    <definedName function="false" hidden="true" name="wrn.fred." vbProcedure="false">{"cover",#N/A,TRUE,"BaseCase";"pnl",#N/A,TRUE,"BaseCase";"pnldet",#N/A,TRUE,"BaseCase";"bil",#N/A,TRUE,"BaseCase";"tabfi",#N/A,TRUE,"BaseCase";"ratios",#N/A,TRUE,"BaseCase";"variab",#N/A,TRUE,"BaseCase";"inv",#N/A,TRUE,"BaseCase"}</definedName>
    <definedName function="false" hidden="true" name="wrn.Freq_Res." vbProcedure="false">{#N/A,#N/A,TRUE,"FR_HC";#N/A,#N/A,TRUE,"FR_REST";#N/A,#N/A,TRUE,"FR_RETA";#N/A,#N/A,TRUE,"FR_TECSOF";#N/A,#N/A,TRUE,"FR_NETTEC";#N/A,#N/A,TRUE,"FR_CLISER"}</definedName>
    <definedName function="false" hidden="true" name="wrn.Friendly." vbProcedure="false">{#N/A,#N/A,TRUE,"Julio";#N/A,#N/A,TRUE,"Agosto";#N/A,#N/A,TRUE,"BHCo";#N/A,#N/A,TRUE,"Abril";#N/A,#N/A,TRUE,"Pro Forma"}</definedName>
    <definedName function="false" hidden="true" name="wrn.Front._.Page." vbProcedure="false">{"Front Page",#N/A,FALSE,"Front and Back"}</definedName>
    <definedName function="false" hidden="true" name="wrn.Front_Page." vbProcedure="false">{"Front_Page",#N/A,FALSE,"Front Page"}</definedName>
    <definedName function="false" hidden="true" name="wrn.FSCT._.PCKG." vbProcedure="false">{#N/A,#N/A,FALSE,"P&amp;L";#N/A,#N/A,FALSE,"Capital";#N/A,#N/A,FALSE,"Summary";#N/A,#N/A,FALSE,"VAR Rec";#N/A,#N/A,FALSE,"EBIT Rec"}</definedName>
    <definedName function="false" hidden="true" name="wrn.Full." vbProcedure="false">{#N/A,#N/A,FALSE,"Cover";"outputs total",#N/A,FALSE,"Outputs"}</definedName>
    <definedName function="false" hidden="true" name="wrn.Full.2" vbProcedure="false">{#N/A,#N/A,TRUE,"TransSum";#N/A,#N/A,TRUE,"Build-up Tar";#N/A,#N/A,TRUE,"Build-up Acq";#N/A,#N/A,TRUE,"IncStmt";#N/A,#N/A,TRUE,"BalSht";#N/A,#N/A,TRUE,"CashFlow";#N/A,#N/A,TRUE,"TBS";#N/A,#N/A,TRUE,"Earn-out";#N/A,#N/A,TRUE,"Carlyle Gain";#N/A,#N/A,TRUE,"Returns"}</definedName>
    <definedName function="false" hidden="true" name="wrn.full._.document." vbProcedure="false">{#N/A,#N/A,FALSE,"Header &amp; Contents";#N/A,#N/A,FALSE,"Section1 - Inv Smry";#N/A,#N/A,FALSE,"Section2 - Exec Smry";#N/A,#N/A,FALSE,"Section 3 - Cost Bdwn";#N/A,#N/A,FALSE,"Section 5 - Load &amp; Cap";#N/A,#N/A,FALSE,"Section 6 - Financial";#N/A,#N/A,FALSE,"Section 8 - Assumptions Summary";#N/A,#N/A,FALSE,"Section 9 - Local Signatures";#N/A,#N/A,FALSE,"Section 10 - Liberated Assets";#N/A,#N/A,FALSE,"Section 11 - Suppl Auth"}</definedName>
    <definedName function="false" hidden="true" name="wrn.Full._.Earnings._.Model." vbProcedure="false">{"Print",#N/A,FALSE,"Revenue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function="false" hidden="true" name="wrn.Full._.model." vbProcedure="false">{#N/A,#N/A,TRUE,"Cover sheet";#N/A,#N/A,TRUE,"Summary";#N/A,#N/A,TRUE,"Key Assumptions";#N/A,#N/A,TRUE,"Profit &amp; Loss";#N/A,#N/A,TRUE,"Balance Sheet";#N/A,#N/A,TRUE,"Cashflow";#N/A,#N/A,TRUE,"IRR";#N/A,#N/A,TRUE,"Ratios";#N/A,#N/A,TRUE,"Debt analysis"}</definedName>
    <definedName function="false" hidden="true" name="wrn.Full._.Monty."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true" name="wrn.Full._.Package." vbProcedure="false">{#N/A,#N/A,FALSE,"COVER";#N/A,#N/A,FALSE,"INDEX";#N/A,#N/A,FALSE,"P1000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function="false" hidden="true" name="wrn.Full._.Print." vbProcedure="false">{#N/A,#N/A,FALSE,"Summary";#N/A,#N/A,FALSE,"Returns";#N/A,#N/A,FALSE,"Fees";#N/A,#N/A,FALSE,"Opening BS";#N/A,#N/A,FALSE,"EMO";#N/A,#N/A,FALSE,"BS";#N/A,#N/A,FALSE,"IS";#N/A,#N/A,FALSE,"CFS";#N/A,#N/A,FALSE,"Int. Rates";#N/A,#N/A,FALSE,"Int. Cost";#N/A,#N/A,FALSE,"Debt";#N/A,#N/A,FALSE,"Ratios";#N/A,#N/A,FALSE,"Returns Detail";#N/A,#N/A,FALSE,"DCF"}</definedName>
    <definedName function="false" hidden="true" name="wrn.full._.report" vbProcedure="false">{#N/A,#N/A,FALSE,"front";#N/A,#N/A,FALSE,"summary";#N/A,#N/A,FALSE,"BalSht";#N/A,#N/A,FALSE,"Consol";#N/A,#N/A,FALSE,"F&amp;P";#N/A,#N/A,FALSE,"HK";#N/A,#N/A,FALSE,"Sing";#N/A,#N/A,FALSE,"GmbH";#N/A,#N/A,FALSE,"ODS";#N/A,#N/A,FALSE,"EBT";#N/A,#N/A,FALSE,"Debtors"}</definedName>
    <definedName function="false" hidden="true" name="wrn.Full._.report." vbProcedure="false">{"multiple",#N/A,FALSE,"client (2)";"margins",#N/A,FALSE,"client (2)";"data",#N/A,FALSE,"client (2)";"multiple",#N/A,FALSE,"client";"margins",#N/A,FALSE,"client";"data",#N/A,FALSE,"client"}</definedName>
    <definedName function="false" hidden="true" name="wrn.Full._.report._.excl._.detailed._.schedules." vbProcedure="false">{"Cover",#N/A,TRUE,"Cover";"Structure",#N/A,TRUE,"STRUCTURE";"Returns",#N/A,TRUE,"RETURNS";"Financing",#N/A,TRUE,"FINANCING";"Exit valuation",#N/A,TRUE,"EXIT VALUATION";"Adjustments",#N/A,TRUE,"Adjustments";"Maintainable earnings",#N/A,TRUE,"Maintainable earnings";"Input sheet",#N/A,TRUE,"Inputs";"Redundancy plan",#N/A,TRUE,"Restructuring Plan";"Taxes",#N/A,TRUE,"Tax Schedule"}</definedName>
    <definedName function="false" hidden="true" name="wrn.Full._.without._.data." vbProcedure="false">{#N/A,#N/A,FALSE,"Title";#N/A,#N/A,FALSE,"Contents";#N/A,#N/A,FALSE,"Executive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function="false" hidden="true" name="wrn.FullFincls." vbProcedure="false">{#N/A,#N/A,TRUE,"Income Statement";#N/A,#N/A,TRUE,"Balance Sheet";#N/A,#N/A,TRUE,"Cash Flows";#N/A,#N/A,TRUE,"Ratios";#N/A,#N/A,TRUE,"Revenues";#N/A,#N/A,TRUE,"Asset Calcs";#N/A,#N/A,TRUE,"Value"}</definedName>
    <definedName function="false" hidden="true" name="wrn.Funnel._.Report." vbProcedure="false">{#N/A,#N/A,FALSE,"funnel";#N/A,#N/A,FALSE,"AE Summary";#N/A,#N/A,FALSE,"Product Summary"}</definedName>
    <definedName function="false" hidden="true" name="wrn.FY00._.Summary." vbProcedure="false">{"FY00",#N/A,FALSE,"Sheet1"}</definedName>
    <definedName function="false" hidden="true" name="wrn.FY01._.Target." vbProcedure="false">{"FY01 TARGET",#N/A,FALSE,"Sheet1"}</definedName>
    <definedName function="false" hidden="true" name="wrn.FY96sbp99" vbProcedure="false">{#N/A,#N/A,FALSE,"FY97";#N/A,#N/A,FALSE,"FY98";#N/A,#N/A,FALSE,"FY99";#N/A,#N/A,FALSE,"FY00";#N/A,#N/A,FALSE,"FY01"}</definedName>
    <definedName function="false" hidden="true" name="wrn.FY97SBP." vbProcedure="false">{#N/A,#N/A,FALSE,"FY97";#N/A,#N/A,FALSE,"FY98";#N/A,#N/A,FALSE,"FY99";#N/A,#N/A,FALSE,"FY00";#N/A,#N/A,FALSE,"FY01"}</definedName>
    <definedName function="false" hidden="true" name="wrn.FY97SBP.1" vbProcedure="false">{#N/A,#N/A,FALSE,"FY97";#N/A,#N/A,FALSE,"FY98";#N/A,#N/A,FALSE,"FY99";#N/A,#N/A,FALSE,"FY00";#N/A,#N/A,FALSE,"FY01"}</definedName>
    <definedName function="false" hidden="true" name="wrn.FY97SBP2" vbProcedure="false">{#N/A,#N/A,FALSE,"FY97";#N/A,#N/A,FALSE,"FY98";#N/A,#N/A,FALSE,"FY99";#N/A,#N/A,FALSE,"FY00";#N/A,#N/A,FALSE,"FY01"}</definedName>
    <definedName function="false" hidden="true" name="wrn.Förster." vbProcedure="false">{"GuVGmbH",#N/A,FALSE,"ratios";"BilanzGmbH",#N/A,FALSE,"ratios";"BilanzKG",#N/A,FALSE,"ratios";"GuVKG",#N/A,FALSE,"ratios"}</definedName>
    <definedName function="false" hidden="true" name="wrn.gary" vbProcedure="false">{#N/A,#N/A,TRUE,"Tar-Ass";#N/A,#N/A,TRUE,"Tar-Ass LBO";#N/A,#N/A,TRUE,"LBO Ret";#N/A,#N/A,TRUE,"Tar-BS LBO";#N/A,#N/A,TRUE,"Tar-IS LBO";#N/A,#N/A,TRUE,"Tar-CF LBO";#N/A,#N/A,TRUE,"Tar-Debt LBO";#N/A,#N/A,TRUE,"Tar-Int LBO";#N/A,#N/A,TRUE,"Tar-Taxes LBO";#N/A,#N/A,TRUE,"Tar-Val LBO"}</definedName>
    <definedName function="false" hidden="true" name="wrn.GB._.99." vbProcedure="false">{#N/A,#N/A,FALSE,"Umsatz 99";#N/A,#N/A,FALSE,"ER 99 "}</definedName>
    <definedName function="false" hidden="true" name="wrn.GB._.CH." vbProcedure="false">{#N/A,#N/A,FALSE,"Umsatz CH";#N/A,#N/A,FALSE,"ER CH";#N/A,#N/A,FALSE,"EA CH (2) ";#N/A,#N/A,FALSE,"EA CH";#N/A,#N/A,FALSE,"EA CH (3) ";#N/A,#N/A,FALSE,"EA CH (4)";#N/A,#N/A,FALSE,"KA CH";#N/A,#N/A,FALSE,"KA CH  (2)";#N/A,#N/A,FALSE,"KA CH  (3)";#N/A,#N/A,FALSE,"KA CH (4)"}</definedName>
    <definedName function="false" hidden="true" name="wrn.GB._.EO." vbProcedure="false">{#N/A,#N/A,FALSE,"Umsatz EO BP";#N/A,#N/A,FALSE,"Umsatz EO OP";#N/A,#N/A,FALSE,"ER EO BP";#N/A,#N/A,FALSE,"ER EO OP";#N/A,#N/A,FALSE,"EA EO (2)";#N/A,#N/A,FALSE,"EA EO";#N/A,#N/A,FALSE,"EA EO (3)";#N/A,#N/A,FALSE,"EA EO (4)";#N/A,#N/A,FALSE,"KA EO  (2)";#N/A,#N/A,FALSE,"KA EO";#N/A,#N/A,FALSE,"KA EO  (3)";#N/A,#N/A,FALSE,"KA EO (4)"}</definedName>
    <definedName function="false" hidden="true" name="wrn.GB._.HM." vbProcedure="false">{#N/A,#N/A,FALSE,"Umsatz HM";#N/A,#N/A,FALSE,"ER HM";#N/A,#N/A,FALSE,"EA HM  (2)";#N/A,#N/A,FALSE,"EA HM ";#N/A,#N/A,FALSE,"EA HM  (4)";#N/A,#N/A,FALSE,"EA HM  (3)";#N/A,#N/A,FALSE,"KA HM  (2)";#N/A,#N/A,FALSE,"KA HM";#N/A,#N/A,FALSE,"KA HM  (3)";#N/A,#N/A,FALSE,"KA HM (4)"}</definedName>
    <definedName function="false" hidden="true" name="wrn.GB._.OK." vbProcedure="false">{#N/A,#N/A,FALSE,"Umsatz OK";#N/A,#N/A,FALSE,"ER OK ";#N/A,#N/A,FALSE,"EA OK (2)";#N/A,#N/A,FALSE,"EA OK";#N/A,#N/A,FALSE,"EA OK (3)";#N/A,#N/A,FALSE,"EA OK (4)";#N/A,#N/A,FALSE,"KA OK  (2)";#N/A,#N/A,FALSE,"KA OK";#N/A,#N/A,FALSE,"KA OK  (3)";#N/A,#N/A,FALSE,"KA OK (4)"}</definedName>
    <definedName function="false" hidden="true" name="wrn.gb._hm." vbProcedure="false">{#N/A,#N/A,FALSE,"Umsatz CH";#N/A,#N/A,FALSE,"ER CH";#N/A,#N/A,FALSE,"EA CH (2) ";#N/A,#N/A,FALSE,"EA CH";#N/A,#N/A,FALSE,"EA CH (3) ";#N/A,#N/A,FALSE,"EA CH (4)";#N/A,#N/A,FALSE,"KA CH";#N/A,#N/A,FALSE,"KA CH  (2)";#N/A,#N/A,FALSE,"KA CH  (3)";#N/A,#N/A,FALSE,"KA CH (4)"}</definedName>
    <definedName function="false" hidden="true" name="wrn.gb_lll" vbProcedure="false">{#N/A,#N/A,FALSE,"Umsatz CH";#N/A,#N/A,FALSE,"ER CH";#N/A,#N/A,FALSE,"EA CH (2) ";#N/A,#N/A,FALSE,"EA CH";#N/A,#N/A,FALSE,"EA CH (3) ";#N/A,#N/A,FALSE,"EA CH (4)";#N/A,#N/A,FALSE,"KA CH";#N/A,#N/A,FALSE,"KA CH  (2)";#N/A,#N/A,FALSE,"KA CH  (3)";#N/A,#N/A,FALSE,"KA CH (4)"}</definedName>
    <definedName function="false" hidden="true" name="wrn.GCIall." vbProcedure="false">{"gcicash",#N/A,FALSE,"GCIINC";"gciinc",#N/A,FALSE,"GCIINC";"gciexclusa",#N/A,FALSE,"GCIINC";"usatdy",#N/A,FALSE,"GCIINC"}</definedName>
    <definedName function="false" hidden="true" name="wrn.GEER_report." vbProcedure="false">{#N/A,#N/A,FALSE,"Table_Ass.";#N/A,#N/A,FALSE,"# of cust";#N/A,#N/A,FALSE,"Res_Report";#N/A,#N/A,FALSE,"Income Statement";"Qtr Cust",#N/A,FALSE,"Qtrly Proj"}</definedName>
    <definedName function="false" hidden="true" name="wrn.General._.OTC." vbProcedure="false">{#N/A,#N/A,FALSE,"Title Page (3)";#N/A,#N/A,FALSE,"YTD - OTC";#N/A,#N/A,FALSE,"MTH - OTC"}</definedName>
    <definedName function="false" hidden="true" name="wrn.General._.Pharm." vbProcedure="false">{#N/A,#N/A,FALSE,"Title Page (2)";#N/A,#N/A,FALSE,"YTD - Pharm";#N/A,#N/A,FALSE,"MTH - Pharm"}</definedName>
    <definedName function="false" hidden="true" name="wrn.General._.Total." vbProcedure="false">{#N/A,#N/A,FALSE,"Title Page (4)";#N/A,#N/A,FALSE,"YTD - Total";#N/A,#N/A,FALSE,"MTH - Total"}</definedName>
    <definedName function="false" hidden="true" name="wrn.General_Model_Assumptions." vbProcedure="false">{#N/A,#N/A,FALSE,"GenAssump"}</definedName>
    <definedName function="false" hidden="true" name="wrn.Geographic._.Trends." vbProcedure="false">{"Geographic P1",#N/A,FALSE,"Division &amp; Geog"}</definedName>
    <definedName function="false" hidden="true" name="wrn.Gesamt." vbProcedure="false">{#N/A,#N/A,FALSE,"Bl. 1";#N/A,#N/A,FALSE,"Bl. 2";#N/A,#N/A,FALSE,"Bl. 3";#N/A,#N/A,FALSE,"Bl. 4";#N/A,#N/A,FALSE,"Bl. 6";#N/A,#N/A,FALSE,"Bl. 7";#N/A,#N/A,FALSE,"BL. 8";#N/A,#N/A,FALSE,"Bl. 9";#N/A,#N/A,FALSE,"Bl. 10";#N/A,#N/A,FALSE,"Bl. 12"}</definedName>
    <definedName function="false" hidden="true" name="wrn.Gesamt2" vbProcedure="false">{#N/A,#N/A,FALSE,"Bl. 1";#N/A,#N/A,FALSE,"Bl. 2";#N/A,#N/A,FALSE,"Bl. 3";#N/A,#N/A,FALSE,"Bl. 4";#N/A,#N/A,FALSE,"Bl. 6";#N/A,#N/A,FALSE,"Bl. 7";#N/A,#N/A,FALSE,"BL. 8";#N/A,#N/A,FALSE,"Bl. 9";#N/A,#N/A,FALSE,"Bl. 10";#N/A,#N/A,FALSE,"Bl. 12"}</definedName>
    <definedName function="false" hidden="true" name="wrn.Gesamtausdruck." vbProcedure="false">{#N/A,#N/A,TRUE,"Sensonic";#N/A,#N/A,TRUE,"Combimeter";#N/A,#N/A,TRUE,"HKV";#N/A,#N/A,TRUE,"TV";#N/A,#N/A,TRUE,"WZ";#N/A,#N/A,TRUE,"PrepHeatCon";#N/A,#N/A,TRUE,"Sonstiges";#N/A,#N/A,TRUE,"Abrechnung";#N/A,#N/A,TRUE,"Investitionen";#N/A,#N/A,TRUE,"Personal";#N/A,#N/A,TRUE,"sonstige Kosten u. Erträge";#N/A,#N/A,TRUE,"BER";#N/A,#N/A,TRUE,"Monatsaufteilung Budget 1997"}</definedName>
    <definedName function="false" hidden="true" name="wrn.Gesamtbericht." vbProcedure="false">{#N/A,#N/A,FALSE,"Inhalt";#N/A,#N/A,FALSE,"Fach A";#N/A,#N/A,FALSE,"Fach A0";#N/A,#N/A,FALSE,"Fach A01";#N/A,#N/A,FALSE,"Fach B ";#N/A,#N/A,FALSE,"Fach B0";#N/A,#N/A,FALSE,"Fach B01";#N/A,#N/A,FALSE,"Fach B1";#N/A,#N/A,FALSE,"Fach B2";#N/A,#N/A,FALSE,"Fach B3";#N/A,#N/A,FALSE,"Fach B4";#N/A,#N/A,FALSE,"Fach C ";#N/A,#N/A,FALSE,"Fach C0";#N/A,#N/A,FALSE,"Fach C01";#N/A,#N/A,FALSE,"Fach C1";#N/A,#N/A,FALSE,"Fach C1A";#N/A,#N/A,FALSE,"Fach C1B-F";#N/A,#N/A,FALSE,"Fach C2";#N/A,#N/A,FALSE,"Fach C3";#N/A,#N/A,FALSE,"Fach C4";#N/A,#N/A,FALSE,"Fach C5";#N/A,#N/A,FALSE,"Fach C6";#N/A,#N/A,FALSE,"Fach C7";#N/A,#N/A,FALSE,"Fach C8";#N/A,#N/A,FALSE,"Fach D";#N/A,#N/A,FALSE,"Fach D0";#N/A,#N/A,FALSE,"Fach D01";#N/A,#N/A,FALSE,"Fach D1";#N/A,#N/A,FALSE,"Fach D2";#N/A,#N/A,FALSE,"Fach D3";#N/A,#N/A,FALSE,"Fach D4";#N/A,#N/A,FALSE,"Fach D5";#N/A,#N/A,FALSE,"Fach D6";#N/A,#N/A,FALSE,"Fach D7";#N/A,#N/A,FALSE,"Fach D8";#N/A,#N/A,FALSE,"Fach E";#N/A,#N/A,FALSE,"Fach E0";#N/A,#N/A,FALSE,"Fach E01";#N/A,#N/A,FALSE,"Fach E1";#N/A,#N/A,FALSE,"Fach E2";#N/A,#N/A,FALSE,"Fach E3 ";#N/A,#N/A,FALSE,"Fach E4";#N/A,#N/A,FALSE,"Fach E5";#N/A,#N/A,FALSE,"Fach E6";#N/A,#N/A,FALSE,"Fach E7";#N/A,#N/A,FALSE,"Fach F";#N/A,#N/A,FALSE,"Fach F0";#N/A,#N/A,FALSE,"Fach F01";#N/A,#N/A,FALSE,"Fach F1";#N/A,#N/A,FALSE,"Fach F2";#N/A,#N/A,FALSE,"Fach F3"}</definedName>
    <definedName function="false" hidden="true" name="wrn.Gesamtliste." vbProcedure="false">{"TF",#N/A,FALSE,"la juli";"TM",#N/A,FALSE,"la juli";"TP/TL",#N/A,FALSE,"la juli";"TQ",#N/A,FALSE,"la juli";"TE",#N/A,FALSE,"la juli";"GW",#N/A,FALSE,"la juli";"ohne Zuordnung",#N/A,FALSE,"la juli"}</definedName>
    <definedName function="false" hidden="true" name="wrn.Gesamtliste.1a" vbProcedure="false">{"TF",#N/A,FALSE,"la juli";"TM",#N/A,FALSE,"la juli";"TP/TL",#N/A,FALSE,"la juli";"TQ",#N/A,FALSE,"la juli";"TE",#N/A,FALSE,"la juli";"GW",#N/A,FALSE,"la juli";"ohne Zuordnung",#N/A,FALSE,"la juli"}</definedName>
    <definedName function="false" hidden="true" name="wrn.GIS." vbProcedure="false">{#N/A,#N/A,FALSE,"GIS"}</definedName>
    <definedName function="false" hidden="true" name="wrn.GRANT._.SUMMARY." vbProcedure="false">{#N/A,#N/A,FALSE,"SUMMARY";#N/A,#N/A,FALSE,"RECEIVABLE";"Report recd",#N/A,FALSE,"RECEIVED"}</definedName>
    <definedName function="false" hidden="true" name="wrn.Graph._.edition." vbProcedure="false">{#N/A,#N/A,FALSE,"KPI-EMM-Graph";#N/A,#N/A,FALSE,"Cost Graph";#N/A,#N/A,FALSE,"Cash graph";#N/A,#N/A,FALSE,"Order Sales Graph"}</definedName>
    <definedName function="false" hidden="true" name="wrn.GRAPHS." vbProcedure="false">{#N/A,#N/A,FALSE,"ACQ_GRAPHS";#N/A,#N/A,FALSE,"T_1 GRAPHS";#N/A,#N/A,FALSE,"T_2 GRAPHS";#N/A,#N/A,FALSE,"COMB_GRAPHS"}</definedName>
    <definedName function="false" hidden="true" name="wrn.Growth." vbProcedure="false">{#N/A,#N/A,FALSE,"Rev Grwth";#N/A,#N/A,FALSE,"Op Inc Grwth";#N/A,#N/A,FALSE,"Net Grwth";#N/A,#N/A,FALSE,"EPS Growth"}</definedName>
    <definedName function="false" hidden="true" name="wrn.Grup" vbProcedure="false">{"fleisch",#N/A,FALSE,"WG HK";"food",#N/A,FALSE,"WG HK";"hartwaren",#N/A,FALSE,"WG HK";"weichwaren",#N/A,FALSE,"WG HK"}</definedName>
    <definedName function="false" hidden="true" name="wrn.gth." vbProcedure="false">{#N/A,#N/A,FALSE,"Title Page";#N/A,#N/A,FALSE,"Summary Sheet"}</definedName>
    <definedName function="false" hidden="true" name="wrn.gti._.qtrly._.stats." vbProcedure="false">{"GTI monthly IS",#N/A,FALSE,"gti";#N/A,#N/A,FALSE,"gti"}</definedName>
    <definedName function="false" hidden="true" name="wrn.GuV." vbProcedure="false">{#N/A,#N/A,FALSE,"Layout GuV"}</definedName>
    <definedName function="false" hidden="true" name="wrn.HAMMOND." vbProcedure="false">{"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function="false" hidden="true" name="wrn.handout." vbProcedure="false">{"quarterly",#N/A,FALSE,"Income Statement New CPB";"annual",#N/A,FALSE,"Income Statement New CPB";"cash flow",#N/A,FALSE,"Cash Flow";"balance",#N/A,FALSE,"Balance Sheet";"seg",#N/A,FALSE,"New Segment Breakout"}</definedName>
    <definedName function="false" hidden="true" name="wrn.HEADCOUNT." vbProcedure="false">{"HEADCOUNT",#N/A,FALSE,"labor"}</definedName>
    <definedName function="false" hidden="true" name="wrn.headcount5" vbProcedure="false">{"HEADCOUNT",#N/A,FALSE,"labor"}</definedName>
    <definedName function="false" hidden="true" name="wrn.HEAT." vbProcedure="false">{#N/A,#N/A,FALSE,"Heat";#N/A,#N/A,FALSE,"DCF";#N/A,#N/A,FALSE,"LBO";#N/A,#N/A,FALSE,"A";#N/A,#N/A,FALSE,"C";#N/A,#N/A,FALSE,"impd";#N/A,#N/A,FALSE,"Accr-Dilu"}</definedName>
    <definedName function="false" hidden="true" name="wrn.HELIUM._.PRICING." vbProcedure="false">{"HELIUM PRICING",#N/A,FALSE,"HELIUM"}</definedName>
    <definedName function="false" hidden="true" name="wrn.HELIUM._.REVENUE." vbProcedure="false">{"HELIUM REVENUE",#N/A,FALSE,"HELIUM"}</definedName>
    <definedName function="false" hidden="true" name="wrn.HELIUM._.VOLUME." vbProcedure="false">{"HELIUM VOLUME",#N/A,FALSE,"HELIUM"}</definedName>
    <definedName function="false" hidden="true" name="wrn.HEW." vbProcedure="false">{#N/A,#N/A,FALSE,"Cover";#N/A,#N/A,FALSE,"Sensit";#N/A,#N/A,FALSE,"HEW";#N/A,#N/A,FALSE,"Bilanz";#N/A,#N/A,FALSE,"Aufbringung";#N/A,#N/A,FALSE,"Absatz";#N/A,#N/A,FALSE,"Durchleitung";#N/A,#N/A,FALSE,"Konzession";#N/A,#N/A,FALSE,"Personal";#N/A,#N/A,FALSE,"WC ";#N/A,#N/A,FALSE,"Capex Deprec ";#N/A,#N/A,FALSE,"Steuern";#N/A,#N/A,FALSE," Rente";#N/A,#N/A,FALSE," EBITDA"}</definedName>
    <definedName function="false" hidden="true" name="wrn.HGW." vbProcedure="false">{#N/A,#N/A,FALSE,"Cover";#N/A,#N/A,FALSE,"Gas";#N/A,#N/A,FALSE,"Umsatz";#N/A,#N/A,FALSE,"Kosten";#N/A,#N/A,FALSE,"Capex Deprec";#N/A,#N/A,FALSE,"WC";#N/A,#N/A,FALSE,"Rückstellungen";#N/A,#N/A,FALSE,"Rente";#N/A,#N/A,FALSE,"EBITDA"}</definedName>
    <definedName function="false" hidden="true" name="wrn.Hipótesis._.A." vbProcedure="false">{#N/A,"Hipótesis A",FALSE,"desglose";#N/A,#N/A,FALSE,"p&amp;g";#N/A,#N/A,FALSE,"detallder+dob (A)";#N/A,#N/A,FALSE,"costotitulo(A)";#N/A,#N/A,FALSE,"costohora(A)"}</definedName>
    <definedName function="false" hidden="true" name="wrn.Hipótesis._.B." vbProcedure="false">{#N/A,"Hipótesis B",FALSE,"desglose";#N/A,#N/A,FALSE,"p&amp;g";#N/A,#N/A,FALSE,"detallder+dob (B)";#N/A,#N/A,FALSE,"costotitulo(B)";#N/A,#N/A,FALSE,"costohora(B)"}</definedName>
    <definedName function="false" hidden="true" name="wrn.Hipótesis._.C." vbProcedure="false">{#N/A,"Hipótesis C",FALSE,"desglose";#N/A,#N/A,FALSE,"p&amp;g";#N/A,#N/A,FALSE,"detallder+dob (C)";#N/A,#N/A,FALSE,"costotitulo(C)";#N/A,#N/A,FALSE,"costohora(C)"}</definedName>
    <definedName function="false" hidden="true" name="wrn.historical." vbProcedure="false">{"historical_is_annual",#N/A,FALSE,"historical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function="false" hidden="true" name="wrn.historical._.backup." vbProcedure="false">{"hist_rev",#N/A,FALSE,"Revenue buildup-hist";"hist_rev_growth",#N/A,FALSE,"Revenue buildup-hist";"hist_exp",#N/A,FALSE,"Revenue buildup-hist";"hist_exp_growth",#N/A,FALSE,"Revenue buildup-hist";"historical_workcap",#N/A,FALSE,"Assumptions"}</definedName>
    <definedName function="false" hidden="true" name="wrn.Historical._.Cost._.PWC." vbProcedure="false">{#N/A,#N/A,TRUE,"Cover His PWC";#N/A,#N/A,TRUE,"P&amp;L";#N/A,#N/A,TRUE,"BS";#N/A,#N/A,TRUE,"Depreciation";#N/A,#N/A,TRUE,"GRAPHS";#N/A,#N/A,TRUE,"DCF EBITDA Multiple";#N/A,#N/A,TRUE,"DCF Perpetual Growth"}</definedName>
    <definedName function="false" hidden="true" name="wrn.Historical._.Cost._.TenneT." vbProcedure="false">{#N/A,#N/A,TRUE,"Cover His T";#N/A,#N/A,TRUE,"P&amp;L";#N/A,#N/A,TRUE,"BS";#N/A,#N/A,TRUE,"Depreciation";#N/A,#N/A,TRUE,"GRAPHS";#N/A,#N/A,TRUE,"DCF EBITDA Multiple";#N/A,#N/A,TRUE,"DCF Perpetual Growth"}</definedName>
    <definedName function="false" hidden="true" name="wrn.history." vbProcedure="false">{#N/A,#N/A,FALSE,"model"}</definedName>
    <definedName function="false" hidden="true" name="wrn.history2" vbProcedure="false">{#N/A,#N/A,FALSE,"5yr.hist."}</definedName>
    <definedName function="false" hidden="true" name="wrn.history5" vbProcedure="false">{#N/A,#N/A,FALSE,"5yr.hist."}</definedName>
    <definedName function="false" hidden="true" name="wrn.histROIC." vbProcedure="false">{#N/A,#N/A,FALSE,"model"}</definedName>
    <definedName function="false" hidden="true" name="wrn.histROIC2" vbProcedure="false">{#N/A,#N/A,FALSE,"model"}</definedName>
    <definedName function="false" hidden="true" name="wrn.HNZ." vbProcedure="false">{#N/A,#N/A,FALSE,"HNZ"}</definedName>
    <definedName function="false" hidden="true" name="wrn.Hoja._.de._.garantías." vbProcedure="false">{#N/A,#N/A,FALSE,"Garantias";"hoja",#N/A,FALSE,"Garantias"}</definedName>
    <definedName function="false" hidden="true" name="wrn.hours." vbProcedure="false">{"hours",#N/A,FALSE,"Actual -vs- Budget"}</definedName>
    <definedName function="false" hidden="true" name="wrn.HPS._.Vertical." vbProcedure="false">{#N/A,#N/A,FALSE,"Front Page";#N/A,#N/A,FALSE,"Contents";#N/A,#N/A,FALSE,"Deals in month";#N/A,#N/A,FALSE,"Major Sales Top 20";#N/A,#N/A,FALSE,"HPS Major Sales";#N/A,#N/A,FALSE,"MJ HPS Calculation sheet";#N/A,#N/A,FALSE,"HPS Rev Track";#N/A,#N/A,FALSE,"HPS Committed";#N/A,#N/A,FALSE,"HPS P1-3";#N/A,#N/A,FALSE,"Lost Bids";#N/A,#N/A,FALSE,"HPS Offering Bar Chart";#N/A,#N/A,FALSE,"HPS Industry Bar Chart";#N/A,#N/A,FALSE,"Ongoing HPS VME Revenue";#N/A,#N/A,FALSE,"Issues "}</definedName>
    <definedName function="false" hidden="true" name="wrn.HPSTMRO._.Pack" vbProcedure="false">{#N/A,#N/A,TRUE,"Front Page";#N/A,#N/A,TRUE,"Content";#N/A,#N/A,TRUE,"Changes to forecast";#N/A,#N/A,TRUE,"Forecast Summaries";#N/A,#N/A,TRUE,"Q1 Summary";#N/A,#N/A,TRUE,"Q2 Summary";#N/A,#N/A,TRUE,"Q3 Summary";#N/A,#N/A,TRUE,"Q4 Summary";#N/A,#N/A,TRUE,"FY Summary";#N/A,#N/A,TRUE,"Opportunities";#N/A,#N/A,TRUE,"Risks";#N/A,#N/A,TRUE,"Target Graphs";#N/A,#N/A,TRUE,"Rev Chart";#N/A,#N/A,TRUE,"GM Chart";#N/A,#N/A,TRUE,"Offering Bar Chart";#N/A,#N/A,TRUE,"Issues";#N/A,#N/A,TRUE,"Lost Bids";#N/A,#N/A,TRUE,"Major Sales Campains";#N/A,#N/A,TRUE,"Ongoing Revenue";#N/A,#N/A,TRUE,"Names List"}</definedName>
    <definedName function="false" hidden="true" name="wrn.HS_USA." vbProcedure="false">{"HS_USA",#N/A,FALSE,"Base"}</definedName>
    <definedName function="false" hidden="true" name="wrn.Hydraulic." vbProcedure="false">{#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function="false" hidden="true" name="wrn.Hydraulic2." vbProcedure="false">{#N/A,#N/A,FALSE,"HuscoCombined-Summ";#N/A,#N/A,FALSE,"HuscoCombined-Income";#N/A,#N/A,FALSE,"HuscoCombined-Offering";#N/A,#N/A,FALSE,"Husco-Income";#N/A,#N/A,FALSE,"TargetEngineer";#N/A,#N/A,FALSE,"TargetAcqCalc";#N/A,#N/A,FALSE,"Husco-Acq"}</definedName>
    <definedName function="false" hidden="true" name="wrn.Hyg._.Acq." vbProcedure="false">{#N/A,#N/A,FALSE,"main";#N/A,#N/A,FALSE,"100% Cash";#N/A,#N/A,FALSE,"100% Stock"}</definedName>
    <definedName function="false" hidden="true" name="wrn.ICD." vbProcedure="false">{"ICD Details",#N/A,FALSE,"Current Yr";"ICD Details",#N/A,FALSE,"Budget";"ICD Details",#N/A,FALSE,"Prior Year"}</definedName>
    <definedName function="false" hidden="true" name="wrn.ICD._.Balance._.Sheet." vbProcedure="false">{#N/A,"ICD",FALSE,"BSHIST.XLS";#N/A,"DMU",FALSE,"BSHIST.XLS";#N/A,"METHYL",FALSE,"BSHIST.XLS";#N/A,"HIGHER",FALSE,"BSHIST.XLS";#N/A,"SPEC",FALSE,"BSHIST.XLS";#N/A,"DERIV",FALSE,"BSHIST.XLS";#N/A,"AMM",FALSE,"BSHIST.XLS";#N/A,"CVT",FALSE,"BSHIST.XLS";#N/A,"MEOH",FALSE,"BSHIST.XLS";#N/A,"PINTER",FALSE,"BSHIST.XLS";#N/A,"NEWVEN",FALSE,"BSHIST.XLS"}</definedName>
    <definedName function="false" hidden="true" name="wrn.icem." vbProcedure="false">{#N/A,#N/A,FALSE,"Exb 2";#N/A,#N/A,FALSE,"Exb 3(a)";#N/A,#N/A,FALSE,"WACC";#N/A,#N/A,FALSE,"Exh 4(a)";#N/A,#N/A,FALSE,"Exh 4(b)";#N/A,#N/A,FALSE,"Exb 5(a)";#N/A,#N/A,FALSE,"Exb 5(b)"}</definedName>
    <definedName function="false" hidden="true" name="wrn.ICOS._.2." vbProcedure="false">{"zweis 1",#N/A,FALSE,"B";"zweis2",#N/A,FALSE,"B";"zweis3",#N/A,FALSE,"B";"zweis4",#N/A,FALSE,"B";"zweis5",#N/A,FALSE,"B";"zweis6",#N/A,FALSE,"B";"zweis7",#N/A,FALSE,"B";"zweis8",#N/A,FALSE,"B";"zweis9",#N/A,FALSE,"B"}</definedName>
    <definedName function="false" hidden="true" name="wrn.ICOS1." vbProcedure="false">{"konz1",#N/A,FALSE,"B";"konz2",#N/A,FALSE,"B";"konz3",#N/A,FALSE,"B"}</definedName>
    <definedName function="false" hidden="true" name="wrn.icos2." vbProcedure="false">{"konz1",#N/A,FALSE,"B";"konz2",#N/A,FALSE,"B";"konz3",#N/A,FALSE,"B"}</definedName>
    <definedName function="false" hidden="true" name="wrn.Ilijan._.Print." vbProcedure="false">{#N/A,#N/A,TRUE,"CoverLetter";#N/A,#N/A,TRUE,"Scope";#N/A,#N/A,TRUE,"Table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function="false" hidden="true" name="wrn.ilya." vbProcedure="false">{#N/A,#N/A,TRUE,"Staff cost as % of revenue";#N/A,#N/A,TRUE,"Depreciation as % of sales";#N/A,#N/A,TRUE,"Employee cost";#N/A,#N/A,TRUE,"Traffic per line";#N/A,#N/A,TRUE,"Lines per employee"}</definedName>
    <definedName function="false" hidden="true" name="wrn.ilya1." vbProcedure="false">{#N/A,#N/A,TRUE,"Staff cost as % of revenue";#N/A,#N/A,TRUE,"Depreciation as % of sales";#N/A,#N/A,TRUE,"Employee cost";#N/A,#N/A,TRUE,"Traffic per line";#N/A,#N/A,TRUE,"Lines per employee"}</definedName>
    <definedName function="false" hidden="true" name="wrn.Immos._.2000." vbProcedure="false">{#N/A,#N/A,FALSE,"Equip. labo 00-10-01610";#N/A,#N/A,FALSE,"Équip. clinique 00-10-01620";#N/A,#N/A,FALSE,"Équip. cli. Mtl 00-10-01620 .50";#N/A,#N/A,FALSE,"Bureau électr. 00-10-01630";#N/A,#N/A,FALSE,"LCMS 00-10-01640";#N/A,#N/A,FALSE,"Équip. informatique 00-10-01650";#N/A,#N/A,FALSE,"Équip. info. Mtl 00-10-01650.50";#N/A,#N/A,FALSE,"Logiciels 00-10-01660";#N/A,#N/A,FALSE,"Mobilier analyse 00-10-01690";#N/A,#N/A,FALSE,"Mobilier clinique 00-10-01700";#N/A,#N/A,FALSE,"Mob. cli. Mtl 00-10-01700.50";#N/A,#N/A,FALSE,"Mobilier bureau 00-10-01710";#N/A,#N/A,FALSE,"Équip. clinique T-R 00-10-01720";#N/A,#N/A,FALSE,"Mobilier cliniq T-R 00-10-01740";#N/A,#N/A,FALSE,"Amél. loc. Mtl  00-1830";#N/A,#N/A,FALSE,"Amél. loc. 3 étage 00-10-01840";#N/A,#N/A,FALSE,"Amél. loc. 2 étage 00-10-01850";#N/A,#N/A,FALSE,"Amél. loc. Azote 00-10-01860";#N/A,#N/A,FALSE,"Amél. loc. sous-sol 00-10-01870";#N/A,#N/A,FALSE,"Amél. loc.1er ét. 00-10-01880";#N/A,#N/A,FALSE,"Amél. loc. 5è ét. 00-10-01890"}</definedName>
    <definedName function="false" hidden="true" name="wrn.imp." vbProcedure="false">{"vue1",#N/A,FALSE,"synthese";"vue2",#N/A,FALSE,"synthese"}</definedName>
    <definedName function="false" hidden="true" name="wrn.imp.2" vbProcedure="false">{"vue1",#N/A,FALSE,"synthese";"vue2",#N/A,FALSE,"synthese"}</definedName>
    <definedName function="false" hidden="true" name="wrn.imp.3" vbProcedure="false">{"vue1",#N/A,FALSE,"synthese";"vue2",#N/A,FALSE,"synthese"}</definedName>
    <definedName function="false" hidden="true" name="wrn.Import._.figures." vbProcedure="false">{"reports",#N/A,FALSE,"Balance Sheet"}</definedName>
    <definedName function="false" hidden="true" name="wrn.impressao." vbProcedure="false">{#N/A,#N/A,FALSE,"FPVA_CMVMC";#N/A,#N/A,FALSE,"FPVA_FSE";#N/A,#N/A,FALSE,"FPVA_Pessoal";#N/A,#N/A,FALSE,"FPVA_Plano_Invest.";#N/A,#N/A,FALSE,"FPVA_Mapa FM";#N/A,#N/A,FALSE,"FPVA_DR";#N/A,#N/A,FALSE,"FPVA_Balanço";#N/A,#N/A,FALSE,"FPVA_Valor"}</definedName>
    <definedName function="false" hidden="true" name="wrn.impressão." vbProcedure="false">{#N/A,#N/A,FALSE,"CA_FSE";#N/A,#N/A,FALSE,"CA_Pessoal";#N/A,#N/A,FALSE,"CA_Plano_Invest.";#N/A,#N/A,FALSE,"CA_Mapa FM";#N/A,#N/A,FALSE,"CA_DR";#N/A,#N/A,FALSE,"CA_Balanço";#N/A,#N/A,FALSE,"CA_Valor"}</definedName>
    <definedName function="false" hidden="true" name="wrn.imprim."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true" name="wrn.Income." vbProcedure="false">{#N/A,#N/A,TRUE,"Income";#N/A,#N/A,TRUE,"IncomeDetail";#N/A,#N/A,TRUE,"Balance";#N/A,#N/A,TRUE,"BalDetail"}</definedName>
    <definedName function="false" hidden="true" name="wrn.income._.statement." vbProcedure="false">{"income statement",#N/A,FALSE,"ATLAS-A"}</definedName>
    <definedName function="false" hidden="true" name="wrn.income._.statements." vbProcedure="false">{#N/A,#N/A,FALSE,"1996PL";#N/A,#N/A,FALSE,"1997PL";#N/A,#N/A,FALSE,"1998PL";#N/A,#N/A,FALSE,"1999PL"}</definedName>
    <definedName function="false" hidden="true" name="wrn.Income._.Statement_Operating." vbProcedure="false">{"Print",#N/A,FALSE,"Income Statement - Operating";"Print",#N/A,FALSE,"Income Statement - %Revenue";"Print",#N/A,FALSE,"Year-over-Year Growth";"Print",#N/A,FALSE,"Sequential Growth"}</definedName>
    <definedName function="false" hidden="true" name="wrn.incomestmt." vbProcedure="false">{"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function="false" hidden="true" name="wrn.INCPRE." vbProcedure="false">{"INCPRE2000",#N/A,FALSE,"BL2000"}</definedName>
    <definedName function="false" hidden="true" name="wrn.INDEPS." vbProcedure="false">{"page1",#N/A,FALSE,"TIND_CC1";"page2",#N/A,FALSE,"TIND_CC1";"page3",#N/A,FALSE,"TIND_CC1";"page4",#N/A,FALSE,"TIND_CC1";"page5",#N/A,FALSE,"TIND_CC1"}</definedName>
    <definedName function="false" hidden="true" name="wrn.indirect._.labor." vbProcedure="false">{"indirect labor",#N/A,FALSE,"labor"}</definedName>
    <definedName function="false" hidden="true" name="wrn.indirect_labor23" vbProcedure="false">{"indirect labor",#N/A,FALSE,"labor"}</definedName>
    <definedName function="false" hidden="true" name="wrn.Industry.xls." vbProcedure="false">{#N/A,#N/A,FALSE,"Earnings";#N/A,#N/A,FALSE,"Overview";#N/A,#N/A,FALSE,"Summary";#N/A,#N/A,FALSE,"Summary II";#N/A,#N/A,FALSE,"R&amp;D";#N/A,#N/A,FALSE,"R&amp;D Forecast";#N/A,#N/A,FALSE,"Tax Adj";#N/A,#N/A,FALSE,"Goodwill";#N/A,#N/A,FALSE,"FX ";#N/A,#N/A,FALSE,"Consolidation";#N/A,#N/A,FALSE,"Provisions"}</definedName>
    <definedName function="false" hidden="true" name="wrn.Infectious._.Diseases." vbProcedure="false">{#N/A,#N/A,FALSE,"Anti";#N/A,#N/A,FALSE,"Cefa";#N/A,#N/A,FALSE,"Ceph";#N/A,#N/A,FALSE,"Cefp";#N/A,#N/A,FALSE,"Cefe";#N/A,#N/A,FALSE,"Pens";#N/A,#N/A,FALSE,"Ampi";#N/A,#N/A,FALSE,"Amox";#N/A,#N/A,FALSE,"Isox";#N/A,#N/A,FALSE,"Aztr";#N/A,#N/A,FALSE,"Videx";#N/A,#N/A,FALSE,"Zerit"}</definedName>
    <definedName function="false" hidden="true" name="wrn.InfoMemoPhotosMapsPlans." vbProcedure="false">{#N/A,#N/A,FALSE,"Photos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function="false" hidden="true" name="wrn.Informes." vbProcedure="false">{#N/A,#N/A,FALSE,"CN Oficial RESUMIDA EXCanon";#N/A,#N/A,FALSE,"CN Oficial";#N/A,#N/A,FALSE,"CA Oficial";#N/A,#N/A,FALSE,"PLANTILLA";#N/A,#N/A,FALSE,"BAL";#N/A,#N/A,FALSE,"PT_Finanzas";#N/A,#N/A,FALSE,"INVERSIONES BIEN"}</definedName>
    <definedName function="false" hidden="true" name="wrn.Input." vbProcedure="false">{"données",#N/A,FALSE,"Input"}</definedName>
    <definedName function="false" hidden="true" name="wrn.Input._.and._.Cash._.Flow." vbProcedure="false">{"print area 10yr",#N/A,FALSE,"Input";"print area 10yr cash flow",#N/A,FALSE,"TICA_EC"}</definedName>
    <definedName function="false" hidden="true"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true" name="wrn.Input._.only." vbProcedure="false">{"print area 10yr",#N/A,FALSE,"Input"}</definedName>
    <definedName function="false" hidden="true" name="wrn.Inputs." vbProcedure="false">{"Input1",#N/A,FALSE,"PF";"Input2",#N/A,FALSE,"PF";"Input3",#N/A,FALSE,"PF"}</definedName>
    <definedName function="false" hidden="true" name="wrn.Inputsheet_ProjectInput." vbProcedure="false">{"ProjectInput",#N/A,FALSE,"INPUT-AREA"}</definedName>
    <definedName function="false" hidden="true" name="wrn.Instructor._.Tips." vbProcedure="false">{"Area 1",#N/A,TRUE,"Area";"Bar 1",#N/A,TRUE,"Area";"Salomon Bar 1",#N/A,TRUE,"Area";"Stacked Bar 1",#N/A,TRUE,"Area";"Stacked Bar 100 1",#N/A,TRUE,"Area";"Stacked Col 1",#N/A,TRUE,"Area";"Stacked Col 100 1",#N/A,TRUE,"Area";"HiLow 1",#N/A,TRUE,"Area";"Line 1",#N/A,TRUE,"Area";"Scatter 1",#N/A,TRUE,"Area";"ColLine 1",#N/A,TRUE,"Area";"Scatterline 1",#N/A,TRUE,"Area";"Football 1",#N/A,TRUE,"Area";"DAPS 1",#N/A,TRUE,"Area";"Rover 1",#N/A,TRUE,"Area";"Exchange 1",#N/A,TRUE,"Area";"Histogram 1",#N/A,TRUE,"Area";"Price Vol 1",#N/A,TRUE,"Area";"Interactive 1",#N/A,TRUE,"Area";"Column 1",#N/A,TRUE,"Area";"League 1",#N/A,TRUE,"Area";"Pie 1",#N/A,TRUE,"Area"}</definedName>
    <definedName function="false" hidden="true" name="wrn.INTANGIBLES." vbProcedure="false">{#N/A,#N/A,FALSE,"T-1 Intangibles"}</definedName>
    <definedName function="false" hidden="true" name="wrn.INTEREST." vbProcedure="false">{#N/A,#N/A,FALSE,"0700 Interest Expense";#N/A,#N/A,FALSE,"0700-1 Summary of Interest Earn"}</definedName>
    <definedName function="false" hidden="true" name="wrn.Internal." vbProcedure="false">{"EPS and CF",#N/A,FALSE;"Ops and Stats",#N/A,FALSE}</definedName>
    <definedName function="false" hidden="true" name="wrn.international." vbProcedure="false">{"sweden",#N/A,FALSE,"Sweden";"germany",#N/A,FALSE,"Germany";"portugal",#N/A,FALSE,"Portugal";"belgium",#N/A,FALSE,"Belgium";"japan",#N/A,FALSE,"Japan ";"italy",#N/A,FALSE,"Italy";"spain",#N/A,FALSE,"Spain";"korea",#N/A,FALSE,"Korea"}</definedName>
    <definedName function="false" hidden="true" name="wrn.International._.Monthly." vbProcedure="false">{"incstmtim",#N/A,TRUE,"Inc Stmt (I)";"balshtim",#N/A,TRUE,"Bal Sheet (I)";"scfim",#N/A,TRUE,"Cash Flow (I)";"capsummim",#N/A,TRUE,"Cap Summ (I)";"assumim",#N/A,TRUE,"Assum (I)"}</definedName>
    <definedName function="false" hidden="true" name="wrn.International._.Quarterly." vbProcedure="false">{"forecastiq",#N/A,TRUE,"Forecast (I)";"incstmtiq",#N/A,TRUE,"Inc Stmt (I)";"balshtiq",#N/A,TRUE,"Bal Sheet (I)";"scfiq",#N/A,TRUE,"Cash Flow (I)";"incmcfiq",#N/A,TRUE,"Inc mcf (I)";"assumiq",#N/A,TRUE,"Assum (I)"}</definedName>
    <definedName function="false" hidden="true" name="wrn.International._.Totals." vbProcedure="false">{"International Total",#N/A,FALSE,"Sheet1";"Mexico (5)",#N/A,FALSE,"Sheet1";"Mexico (37)",#N/A,FALSE,"Sheet1";"Puerto Rico (10)",#N/A,FALSE,"Sheet1"}</definedName>
    <definedName function="false" hidden="true" name="wrn.Introduction." vbProcedure="false">{#N/A,#N/A,TRUE,"Cover";#N/A,#N/A,TRUE,"Valuation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function="false" hidden="true" name="wrn.INVENTORY." vbProcedure="false">{#N/A,#N/A,FALSE,"F-1 Inventory Price Test-RM";#N/A,#N/A,FALSE,"F-2 Inventory-Test Count"}</definedName>
    <definedName function="false" hidden="true" name="wrn.Investment._.Summary." vbProcedure="false">{#N/A,#N/A,TRUE,"Summary";#N/A,#N/A,TRUE,"Financials";#N/A,#N/A,TRUE,"Assumptions";#N/A,#N/A,TRUE,"Pro Forma";#N/A,#N/A,TRUE,"Debt";#N/A,#N/A,TRUE,"Amortization";#N/A,#N/A,TRUE,"GG Returns"}</definedName>
    <definedName function="false" hidden="true" name="wrn.invpln." vbProcedure="false">{#N/A,#N/A,FALSE,"invpln"}</definedName>
    <definedName function="false" hidden="true" name="wrn.invpln2" vbProcedure="false">{#N/A,#N/A,FALSE,"invpln"}</definedName>
    <definedName function="false" hidden="true" name="wrn.invpln3" vbProcedure="false">{#N/A,#N/A,FALSE,"invpln"}</definedName>
    <definedName function="false" hidden="true" name="wrn.invpln5" vbProcedure="false">{#N/A,#N/A,FALSE,"invpln"}</definedName>
    <definedName function="false" hidden="true" name="wrn.IPIX." vbProcedure="false">{#N/A,#N/A,FALSE,"Report Print"}</definedName>
    <definedName function="false" hidden="true" name="wrn.IPO." vbProcedure="false">{#N/A,#N/A,FALSE,"Summary";#N/A,#N/A,FALSE,"Jan'97";#N/A,#N/A,FALSE,"Feb'97";#N/A,#N/A,FALSE,"Mar'97";#N/A,#N/A,FALSE,"Apr'97";#N/A,#N/A,FALSE,"May'97";#N/A,#N/A,FALSE,"Jun'97";#N/A,#N/A,FALSE,"Jul'97";#N/A,#N/A,FALSE,"Aug'97";#N/A,#N/A,FALSE,"Sept'97";#N/A,#N/A,FALSE,"Oct'97";#N/A,#N/A,FALSE,"Nov'97";#N/A,#N/A,FALSE,"Dec'97";#N/A,#N/A,FALSE,"Pending"}</definedName>
    <definedName function="false" hidden="true" name="wrn.IPO._.1998." vbProcedure="false">{#N/A,#N/A,FALSE,"Summary";#N/A,#N/A,FALSE,"Pending";#N/A,#N/A,FALSE,"Jan'98";#N/A,#N/A,FALSE,"Feb'98";#N/A,#N/A,FALSE,"Mar'98";#N/A,#N/A,FALSE,"Apr'98";#N/A,#N/A,FALSE,"May'98";#N/A,#N/A,FALSE,"June'98";#N/A,#N/A,FALSE,"July'98"}</definedName>
    <definedName function="false" hidden="true" name="wrn.IPO._.Analysis." vbProcedure="false">{#N/A,#N/A,FALSE,"Summary";#N/A,#N/A,FALSE,"Pending";#N/A,#N/A,FALSE,"Oct'97";#N/A,#N/A,FALSE,"Sept'97";#N/A,#N/A,FALSE,"Aug'97";#N/A,#N/A,FALSE,"Jul'97";#N/A,#N/A,FALSE,"Jun'97";#N/A,#N/A,FALSE,"May'97";#N/A,#N/A,FALSE,"Apr'97";#N/A,#N/A,FALSE,"Mar'97";#N/A,#N/A,FALSE,"Feb'97";#N/A,#N/A,FALSE,"Jan'97"}</definedName>
    <definedName function="false" hidden="true" name="wrn.IPO._.Valuation." vbProcedure="false">{"assumptions",#N/A,FALSE,"Scenario 1";"valuation",#N/A,FALSE,"Scenario 1"}</definedName>
    <definedName function="false" hidden="true" name="wrn.ipovalue." vbProcedure="false">{#N/A,#N/A,FALSE,"puboff";#N/A,#N/A,FALSE,"valuation";#N/A,#N/A,FALSE,"finanalsis";#N/A,#N/A,FALSE,"split";#N/A,#N/A,FALSE,"ownership"}</definedName>
    <definedName function="false" hidden="true" name="wrn.IQRCGMES." vbProcedure="false">{#N/A,#N/A,FALSE,"CAPAS";#N/A,#N/A,FALSE,"BP-BOM";#N/A,#N/A,FALSE,"DRBOM";#N/A,#N/A,FALSE,"DRE-RAT";#N/A,#N/A,FALSE,"CAPAS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function="false" hidden="true" name="wrn.IRR." vbProcedure="false">{#N/A,#N/A,FALSE,"IRR"}</definedName>
    <definedName function="false" hidden="true" name="wrn.ISAnnualModel." vbProcedure="false">{"AnnModel",#N/A,FALSE,"IS"}</definedName>
    <definedName function="false" hidden="true" name="wrn.ISCG._.model." vbProcedure="false">{#N/A,#N/A,FALSE,"Second";#N/A,#N/A,FALSE,"ownership";#N/A,#N/A,FALSE,"Valuation";#N/A,#N/A,FALSE,"Eqiv";#N/A,#N/A,FALSE,"Mults";#N/A,#N/A,FALSE,"ISCG Graphics"}</definedName>
    <definedName function="false" hidden="true" name="wrn.ISQtrModel." vbProcedure="false">{"QtrModel",#N/A,FALSE,"IS"}</definedName>
    <definedName function="false" hidden="true" name="wrn.ISRAEL." vbProcedure="false">{#N/A,#N/A,FALSE,"TECH CENTRE RXDU66";#N/A,#N/A,FALSE,"ASU VAAX66";#N/A,#N/A,FALSE,"TCM VAKX66"}</definedName>
    <definedName function="false" hidden="true" name="wrn.Italy." vbProcedure="false">{#N/A,#N/A,FALSE,"Italy";#N/A,#N/A,FALSE,"Aperol Italy";#N/A,#N/A,FALSE,"Aperol Soda Italy";#N/A,#N/A,FALSE,"Spumanti";#N/A,#N/A,FALSE,"Barbieri Liqueur Italy";#N/A,#N/A,FALSE,"Others Italy"}</definedName>
    <definedName function="false" hidden="true" name="wrn.IVTI_Rep." vbProcedure="false">{#N/A,#N/A,FALSE,"Title Page";#N/A,#N/A,FALSE,"Summary Sheet";#N/A,#N/A,FALSE,"Fiscal Year Income Statement";#N/A,#N/A,FALSE,"Valuation Summary";#N/A,#N/A,FALSE,"Comps with IVT";#N/A,#N/A,FALSE,"Comps without IVT"}</definedName>
    <definedName function="false" hidden="true" name="wrn.JANI._.REBATES." vbProcedure="false">{"TOTAL",#N/A,FALSE,"A";"FISCAL94",#N/A,FALSE,"A";"FISCAL95",#N/A,FALSE,"A";"FISCAL96",#N/A,FALSE,"A";"misc page",#N/A,FALSE,"A"}</definedName>
    <definedName function="false" hidden="true" name="wrn.JANUARY." vbProcedure="false">{"JANUARY",#N/A,FALSE,"Q3"}</definedName>
    <definedName function="false" hidden="true" name="wrn.Japan._.Data." vbProcedure="false">{"Analysis1Q95",#N/A,FALSE,"Japan";"Analysis2Q95",#N/A,FALSE,"Japan";"Analysis1H95",#N/A,FALSE,"Japan";"Data",#N/A,FALSE,"Japan";"Margin Summary",#N/A,FALSE,"Japan";"Sales Summary",#N/A,FALSE,"Japan"}</definedName>
    <definedName function="false" hidden="true" name="wrn.jcbsum." vbProcedure="false">{#N/A,#N/A,FALSE,"Finstmts";#N/A,#N/A,FALSE,"Lost Revenue";#N/A,#N/A,FALSE,"Ratios"}</definedName>
    <definedName function="false" hidden="true" name="wrn.Jeff._.Standalone." vbProcedure="false">{#N/A,#N/A,TRUE,"Acquirer_Cases_Input";#N/A,#N/A,TRUE,"Acquirer_Input";#N/A,#N/A,TRUE,"Acquirer"}</definedName>
    <definedName function="false" hidden="true" name="wrn.jev." vbProcedure="false">{"prt_jev",#N/A,FALSE,"Sheet1"}</definedName>
    <definedName function="false" hidden="true" name="wrn.JG._.FE._.Dollar." vbProcedure="false">{"JG FE Top",#N/A,FALSE,"JG FE $";"JG FE Bottom",#N/A,FALSE,"JG FE $"}</definedName>
    <definedName function="false" hidden="true" name="wrn.JG._.FE._.Yen." vbProcedure="false">{"JG FE Top",#N/A,FALSE,"JG FE ¥";"JG FE Bottom",#N/A,FALSE,"JG FE ¥"}</definedName>
    <definedName function="false" hidden="true" name="wrn.JODM._.Graphs." vbProcedure="false">{"graph",#N/A,FALSE,"WWJU";"graph",#N/A,FALSE,"WWSEM";"graph",#N/A,FALSE,"GOMJU";"graph",#N/A,FALSE,"GOMSEM";"graph",#N/A,FALSE,"NSJU";"graph",#N/A,FALSE,"NSSEM";"graph",#N/A,FALSE,"WAJU";"graph",#N/A,FALSE,"STOCKPRI";"graph",#N/A,FALSE,"CFTEV";"graph",#N/A,FALSE,"NAV-RCV";"graph",#N/A,FALSE,"CRUDEWW"}</definedName>
    <definedName function="false" hidden="true" name="wrn.juegocompleto." vbProcedure="false">{#N/A,#N/A,FALSE,"ingtemysat";#N/A,#N/A,FALSE,"ingtemycab";#N/A,#N/A,FALSE,"Hipoproy9807";#N/A,#N/A,FALSE,"unineg";#N/A,#N/A,FALSE,"detall9807";#N/A,#N/A,FALSE,"costohora";#N/A,"tasa de repetición de 12",FALSE,"costotitulo";#N/A,"tasa de repetición de 10",FALSE,"costotitulo"}</definedName>
    <definedName function="false" hidden="true" name="wrn.JUL." vbProcedure="false">{#N/A,#N/A,FALSE,"JUL"}</definedName>
    <definedName function="false" hidden="true" name="wrn.JULY." vbProcedure="false">{"Q1JUL",#N/A,FALSE,"Q1"}</definedName>
    <definedName function="false" hidden="true" name="wrn.JUN." vbProcedure="false">{"JUN",#N/A,FALSE,"JUN"}</definedName>
    <definedName function="false" hidden="true" name="wrn.JUNE." vbProcedure="false">{"JUNE",#N/A,FALSE,"Q4"}</definedName>
    <definedName function="false" hidden="true" name="wrn.Just._.Sorts." vbProcedure="false">{#N/A,#N/A,FALSE,"Hi";#N/A,#N/A,FALSE,"Lo";#N/A,#N/A,FALSE,"Mkt. Cap";#N/A,#N/A,FALSE,"Alpha"}</definedName>
    <definedName function="false" hidden="true" name="wrn.JV._.Budget._.Summary." vbProcedure="false">{#N/A,#N/A,FALSE,"10yr Plan Inputs";#N/A,#N/A,FALSE,"10yr Plan Results";#N/A,#N/A,FALSE,"JV Cost Splits";#N/A,#N/A,FALSE,"JV Variable Costs";#N/A,#N/A,FALSE,"JV Fixed Costs";#N/A,#N/A,FALSE,"Dow Alt Cost 98";#N/A,#N/A,FALSE,"Case Summary"}</definedName>
    <definedName function="false" hidden="true" name="wrn.K." vbProcedure="false">{#N/A,#N/A,FALSE,"K"}</definedName>
    <definedName function="false" hidden="true" name="wrn.K.M.C.._.Anlagen." vbProcedure="false">{#N/A,#N/A,FALSE,"A1-BILANZ";#N/A,#N/A,FALSE,"A2-GUV";#N/A,#N/A,FALSE,"A3-AV ";#N/A,#N/A,FALSE,"A5-E-BILANZ";#N/A,#N/A,FALSE,"A5-E-GUV";#N/A,#N/A,FALSE,"A6-E-AV"}</definedName>
    <definedName function="false" hidden="true" name="wrn.K._" vbProcedure="false">{"K GuV o. Kommentar",#N/A,FALSE,"Kaufhof"}</definedName>
    <definedName function="false" hidden="true" name="wrn.K._.GuV._.o.._.Kommentar." vbProcedure="false">{"K GuV o. Kommentar",#N/A,FALSE,"Kaufhof"}</definedName>
    <definedName function="false" hidden="true" name="wrn.K3._.Annual." vbProcedure="false">{"K3Cash",#N/A,FALSE,"Ann";"K3Income",#N/A,FALSE,"Ann";"K3Educ",#N/A,FALSE,"Ann";"K3media",#N/A,FALSE,"Ann";"K3Info",#N/A,FALSE,"Ann";"K3Valuation",#N/A,FALSE,"Ann"}</definedName>
    <definedName function="false" hidden="true" name="wrn.K3._.Quarterly." vbProcedure="false">{"K3 first",#N/A,FALSE,"Qtr.";"K3 second",#N/A,FALSE,"Qtr.";"K3 Third",#N/A,FALSE,"Qtr.";"K3 Fourth",#N/A,FALSE,"Qtr.";"K3 Full",#N/A,FALSE,"Qtr."}</definedName>
    <definedName function="false" hidden="true" name="wrn.KBilanz._.o.._.Kommentar." vbProcedure="false">{"K Bilanz o. Kommentar",#N/A,FALSE,"Kaufhof"}</definedName>
    <definedName function="false" hidden="true" name="wrn.ke." vbProcedure="false">{"ke1",#N/A,FALSE,"B";"ke2",#N/A,FALSE,"B";"ke3",#N/A,FALSE,"B"}</definedName>
    <definedName function="false" hidden="true" name="wrn.kekto." vbProcedure="false">{"kekto1",#N/A,FALSE,"C";"kekto2",#N/A,FALSE,"C";"kekto3",#N/A,FALSE,"C";"kekto4",#N/A,FALSE,"C";"kekto5",#N/A,FALSE,"C";"kekto6",#N/A,FALSE,"C";"kekto7",#N/A,FALSE,"C";"kekto8",#N/A,FALSE,"C";"kekto9",#N/A,FALSE,"C";"kekto10",#N/A,FALSE,"C";"kekto11",#N/A,FALSE,"C";"kekto 12",#N/A,FALSE,"C"}</definedName>
    <definedName function="false" hidden="true" name="wrn.Kenngb." vbProcedure="false">{#N/A,#N/A,FALSE,"SKG_SC";#N/A,#N/A,FALSE,"SKG_KP";#N/A,#N/A,FALSE,"SCG_KC";#N/A,#N/A,FALSE,"SKG_PM";#N/A,#N/A,FALSE,"SKG_Asta";#N/A,#N/A,FALSE,"SKG_DE";#N/A,#N/A,FALSE,"SKG_FA";#N/A,#N/A,FALSE,"SKG_EM";#N/A,#N/A,FALSE,"SKG_AK";#N/A,#N/A,FALSE,"SKG_CER";#N/A,#N/A,FALSE,"SKG_BA";#N/A,#N/A,FALSE,"SKG_KO"}</definedName>
    <definedName function="false" hidden="true" name="WRN.KIM" vbProcedure="false">{"salaried",#N/A,FALSE,"VLD View (2)"}</definedName>
    <definedName function="false" hidden="true" name="wrn.kkk." vbProcedure="false">{#N/A,#N/A,FALSE,"1. PTI Ziele";#N/A,#N/A,FALSE,"2. Zielkatalog ";#N/A,#N/A,FALSE,"3. Masterterminplan"}</definedName>
    <definedName function="false" hidden="true" name="wrn.KKK._.Review." vbProcedure="false">{#N/A,#N/A,FALSE,"Cover";#N/A,#N/A,FALSE,"Profits";#N/A,#N/A,FALSE,"ABS";#N/A,#N/A,FALSE,"TFLE Detail";#N/A,#N/A,FALSE,"TFLE Walk";#N/A,#N/A,FALSE,"Variable Cost";#N/A,#N/A,FALSE,"V.C. Walk"}</definedName>
    <definedName function="false" hidden="true" name="wrn.KKW." vbProcedure="false">{#N/A,#N/A,FALSE,"Cover";#N/A,#N/A,FALSE,"KKW Sum";#N/A,#N/A,FALSE,"KKW Basisdaten";#N/A,#N/A,FALSE,"DEPRKKW";#N/A,#N/A,FALSE,"Krü";#N/A,#N/A,FALSE,"Bru";#N/A,#N/A,FALSE,"Bro";#N/A,#N/A,FALSE,"Sta"}</definedName>
    <definedName function="false" hidden="true" name="wrn.komplett." vbProcedure="false">{"TeleKomplett",#N/A,TRUE,"Tele";"gfKomplett",#N/A,TRUE,"Gf";"MktKomplett",#N/A,TRUE,"Mkt";"RTLTextKomplett",#N/A,TRUE,"RTLText";"ATXITVKomplett",#N/A,TRUE,"ATXITV";"TechKomplett",#N/A,TRUE,"Tech";"Pufferkomplett",#N/A,TRUE,"Puffer"}</definedName>
    <definedName function="false" hidden="true" name="wrn.Komplettausdruck." vbProcedure="false">{#N/A,#N/A,FALSE,"Layout Aktiva";#N/A,#N/A,FALSE,"Layout Passiva";#N/A,#N/A,FALSE,"Layout GuV";#N/A,#N/A,FALSE,"Layout Cash Flow";#N/A,#N/A,FALSE,"Mittelherkunft";#N/A,#N/A,FALSE,"Mittelverwendung";#N/A,#N/A,FALSE,"Finanzbedarfsrechnung"}</definedName>
    <definedName function="false" hidden="true" name="wrn.kriall." vbProcedure="false">{"kricash",#N/A,FALSE,"INC";"kriinc",#N/A,FALSE,"INC";"krimiami",#N/A,FALSE,"INC";"kriother",#N/A,FALSE,"INC";"kripapers",#N/A,FALSE,"INC"}</definedName>
    <definedName function="false" hidden="true" name="wrn.kue." vbProcedure="false">{#N/A,#N/A,FALSE,"KUE-NBO"}</definedName>
    <definedName function="false" hidden="true" name="wrn.Kvartalsrapport." vbProcedure="false">{#N/A,#N/A,TRUE,"RESULTATRÄKNING";#N/A,#N/A,TRUE,"BALANSRÄKNING";#N/A,#N/A,TRUE,"BALANSRÄKNING2";#N/A,#N/A,TRUE,"Bilaga 2";#N/A,#N/A,TRUE,"Bilaga 3";#N/A,#N/A,TRUE,"Bilaga 4";#N/A,#N/A,TRUE,"Bilaga 5";#N/A,#N/A,TRUE,"Bilaga 6";#N/A,#N/A,TRUE,"Bilaga 7";#N/A,#N/A,TRUE,"Bilaga 8";#N/A,#N/A,TRUE,"Bilaga 10";#N/A,#N/A,TRUE,"Bilaga 12";#N/A,#N/A,TRUE,"Bilaga 14";#N/A,#N/A,TRUE,"Bilaga 15";#N/A,#N/A,TRUE,"Bilaga 16";#N/A,#N/A,TRUE,"Bilaga 17";#N/A,#N/A,TRUE,"Bilaga 20";#N/A,#N/A,TRUE,"Bilaga A";#N/A,#N/A,TRUE,"Bilaga D"}</definedName>
    <definedName function="false" hidden="true" name="wrn.LA._.SA." vbProcedure="false">{"PnL",#N/A,FALSE,"Gas LA SA P&amp;L";"Responsibility",#N/A,FALSE,"Gas LA SA P&amp;L";"Cost Control",#N/A,FALSE,"Gas LA SA P&amp;L";"Program List",#N/A,FALSE,"Gas LA SA P&amp;L"}</definedName>
    <definedName function="false" hidden="true" name="wrn.labor." vbProcedure="false">{"labor",#N/A,FALSE,"Actual -vs- Budget"}</definedName>
    <definedName function="false" hidden="true" name="wrn.labor2" vbProcedure="false">{"direct labor",#N/A,FALSE,"labor";"direct labor1",#N/A,FALSE,"labor"}</definedName>
    <definedName function="false" hidden="true" name="wrn.labor3" vbProcedure="false">{"indirect labor",#N/A,FALSE,"labor"}</definedName>
    <definedName function="false" hidden="true" name="wrn.labor7" vbProcedure="false">{"indirect labor",#N/A,FALSE,"labor"}</definedName>
    <definedName function="false" hidden="true" name="wrn.laborsumary4" vbProcedure="false">{"summary",#N/A,FALSE,"labor"}</definedName>
    <definedName function="false" hidden="true" name="wrn.laborsummary." vbProcedure="false">{"summary",#N/A,FALSE,"labor"}</definedName>
    <definedName function="false" hidden="true" name="wrn.laborsummary2" vbProcedure="false">{"summary",#N/A,FALSE,"labor"}</definedName>
    <definedName function="false" hidden="true" name="wrn.laborsummary5" vbProcedure="false">{"summary",#N/A,FALSE,"labor"}</definedName>
    <definedName function="false" hidden="true" name="wrn.lbo." vbProcedure="false">{"a",#N/A,FALSE,"LBO - 100%, No Sales";"aa",#N/A,FALSE,"LBO - 100%, No Sales";"aaa",#N/A,FALSE,"LBO - 100%, No Sales";"aaaa",#N/A,FALSE,"LBO - 100%, No Sales";"aaaaa",#N/A,FALSE,"LBO - 100%, No Sales";"aaaaaa",#N/A,FALSE,"LBO - 100%, No Sales";"aaaaaaa",#N/A,FALSE,"LBO - 100%, No Sales";"aaaaaaaa",#N/A,FALSE,"LBO - 100%, No Sales"}</definedName>
    <definedName function="false" hidden="true" name="wrn.LBO._.Summary." vbProcedure="false">{"LBO Summary",#N/A,FALSE,"Summary"}</definedName>
    <definedName function="false" hidden="true" name="wrn.lbo2." vbProcedure="false">{"a",#N/A,FALSE,"LBO - 100%, Sells FSM in 1999";"aa",#N/A,FALSE,"LBO - 100%, Sells FSM in 1999";"aaa",#N/A,FALSE,"LBO - 100%, Sells FSM in 1999";"aaaa",#N/A,FALSE,"LBO - 100%, Sells FSM in 1999";"aaaaa",#N/A,FALSE,"LBO - 100%, Sells FSM in 1999";"aaaaaa",#N/A,FALSE,"LBO - 100%, Sells FSM in 1999";"aaaaaaa",#N/A,FALSE,"LBO - 100%, Sells FSM in 1999"}</definedName>
    <definedName function="false" hidden="true" name="wrn.lbo3." vbProcedure="false">{"a",#N/A,FALSE,"LBO - 100%, Sell C,CT 98......";"aa",#N/A,FALSE,"LBO - 100%, Sell C,CT 98......";"aaa",#N/A,FALSE,"LBO - 100%, Sell C,CT 98......";"aaaa",#N/A,FALSE,"LBO - 100%, Sell C,CT 98......";"aaaaa",#N/A,FALSE,"LBO - 100%, Sell C,CT 98......";"aaaaaa",#N/A,FALSE,"LBO - 100%, Sell C,CT 98......"}</definedName>
    <definedName function="false" hidden="true" name="wrn.LC._.COST." vbProcedure="false">{"LCCOST",#N/A,FALSE,"FC-3 "}</definedName>
    <definedName function="false" hidden="true" name="wrn.LC._.FC3." vbProcedure="false">{"LCFC3",#N/A,FALSE,"FC-3 "}</definedName>
    <definedName function="false" hidden="true" name="wrn.Lead._.Sheet." vbProcedure="false">{"PrintView",#N/A,FALSE,"Cash &amp; Equiv";"PrintView",#N/A,FALSE,"Investments";"Other Assets Print View",#N/A,FALSE,"Other Assets"}</definedName>
    <definedName function="false" hidden="true" name="wrn.lead._.sheet1." vbProcedure="false">{"PrintView",#N/A,FALSE,"Cash &amp; Equiv";"PrintView",#N/A,FALSE,"Investments";"Other Assets Print View",#N/A,FALSE,"Other Assets"}</definedName>
    <definedName function="false" hidden="true" name="wrn.Lead._Sheet." vbProcedure="false">{"PrintView",#N/A,FALSE,"Cash &amp; Equiv";"PrintView",#N/A,FALSE,"Investments";"Other Assets Print View",#N/A,FALSE,"Other Assets"}</definedName>
    <definedName function="false" hidden="true" name="wrn.Lead._Sheets." vbProcedure="false">{"PrintView",#N/A,FALSE,"Cash &amp; Equiv";"PrintView",#N/A,FALSE,"Investments";"Other Assets Print View",#N/A,FALSE,"Other Assets"}</definedName>
    <definedName function="false" hidden="true" name="wrn.legal." vbProcedure="false">{"long",#N/A,FALSE,"ESC"}</definedName>
    <definedName function="false" hidden="true" name="wrn.lh97." vbProcedure="false">{"RETRO",#N/A,FALSE,"Ret";"retro",#N/A,FALSE,"Ret_RO";"retp",#N/A,FALSE,"Ret_P";"livro",#N/A,FALSE,"Livr_RO";"livp",#N/A,FALSE,"Livr_P";"puro",#N/A,FALSE,"Pu_RO";"pup",#N/A,FALSE,"Pu_P";"stocro",#N/A,FALSE,"Stock_RO";"stocp",#N/A,FALSE,"Stock_P";"vitro",#N/A,FALSE,"Vitr-RO";"vitp",#N/A,FALSE,"Vitr-P";"destro",#N/A,FALSE,"Dest_RO";"destp",#N/A,FALSE,"Dest_P"}</definedName>
    <definedName function="false" hidden="true" name="wrn.LIFE._.INS.._.LOANS." vbProcedure="false">{#N/A,#N/A,FALSE,"TT-1 Officers' Life Insurance"}</definedName>
    <definedName function="false" hidden="true" name="wrn.Line._.Efficiency." vbProcedure="false">{"Line Efficiency",#N/A,FALSE,"Benchmarking"}</definedName>
    <definedName function="false" hidden="true" name="wrn.list" vbProcedure="false">{"weichwaren",#N/A,FALSE,"Liste 1";"hartwaren",#N/A,FALSE,"Liste 1";"food",#N/A,FALSE,"Liste 1";"fleisch",#N/A,FALSE,"Liste 1"}</definedName>
    <definedName function="false" hidden="true" name="wrn.LISTE." vbProcedure="false">{"weichwaren",#N/A,FALSE,"Liste 1";"hartwaren",#N/A,FALSE,"Liste 1";"food",#N/A,FALSE,"Liste 1";"fleisch",#N/A,FALSE,"Liste 1"}</definedName>
    <definedName function="false" hidden="true" name="wrn.LJD._.Review._.1." vbProcedure="false">{"LJD 1",#N/A,FALSE,"Master";"LJD 2",#N/A,FALSE,"Sheet2";"LJD 3",#N/A,FALSE,"Sheet1";"LJD 4",#N/A,FALSE,"Sheet3";"LJD 5",#N/A,FALSE,"Sheet4"}</definedName>
    <definedName function="false" hidden="true" name="wrn.LM._.Gear." vbProcedure="false">{"LM Gear IS",#N/A,FALSE,"LM Gear - IS";"LM Gear BS",#N/A,FALSE,"LM Gear BS";"LM Gear Detail IS",#N/A,FALSE,"LM Gear - Detail IS";"LM Gear Detail IS Supplemental Info",#N/A,FALSE,"LM Gear - Detail IS";"LM Gear Monthly 1999",#N/A,FALSE,"LM Gear Monthly";"LM Gear Monthly 1998",#N/A,FALSE,"LM Gear Monthly";"LM Gear Monthly 1997",#N/A,FALSE,"LM Gear Monthly"}</definedName>
    <definedName function="false" hidden="true" name="wrn.Loans." vbProcedure="false">{"Summary report",#N/A,FALSE,"BBH";"Details - chart",#N/A,FALSE,"BBH"}</definedName>
    <definedName function="false" hidden="true" name="wrn.LOB." vbProcedure="false">{"grossprem(LOB)",#N/A,FALSE,"TEMPLATE";"gpwgrowth(LOB)",#N/A,FALSE,"TEMPLATE";"retention(LOB)",#N/A,FALSE,"TEMPLATE";"netprem(LOB)",#N/A,FALSE,"TEMPLATE";"npwgrowth(LOB)",#N/A,FALSE,"TEMPLATE";"premearned(LOB)",#N/A,FALSE,"TEMPLATE";"lossratio(LOB)",#N/A,FALSE,"TEMPLATE";"commratio(LOB)",#N/A,FALSE,"TEMPLATE";"uwratio(LOB)",#N/A,FALSE,"TEMPLATE";"expenseratio(LOB)",#N/A,FALSE,"TEMPLATE";"combined(LOB)",#N/A,FALSE,"TEMPLATE";"savings(LOB)",#N/A,FALSE,"TEMPLATE";"GAAPexpense(LOB)",#N/A,FALSE,"TEMPLATE";"GAAPcombined(LOB)",#N/A,FALSE,"TEMPLATE";"DAC%(LOB)",#N/A,FALSE,"TEMPLATE";"DAC$(LOB)",#N/A,FALSE,"TEMPLATE";"lossdoll(LOB)",#N/A,FALSE,"TEMPLATE";"uwexpgrowth(LOB)",#N/A,FALSE,"TEMPLATE";"uwdoll(LOB)",#N/A,FALSE,"TEMPLATE";"commdoll(LOB)",#N/A,FALSE,"TEMPLATE";"expensedoll(LOB)",#N/A,FALSE,"TEMPLATE"}</definedName>
    <definedName function="false" hidden="true" name="wrn.London._.Regional._.Commitee." vbProcedure="false">{#N/A,#N/A,FALSE,"HEADER SHEET";#N/A,#N/A,FALSE,"A402";#N/A,#N/A,FALSE,"S150"}</definedName>
    <definedName function="false" hidden="true" name="wrn.london._regional._.committee." vbProcedure="false">{#N/A,#N/A,FALSE,"HEADER SHEET";#N/A,#N/A,FALSE,"A402";#N/A,#N/A,FALSE,"S150"}</definedName>
    <definedName function="false" hidden="true" name="wrn.LONG._.TERM._.DEBT." vbProcedure="false">{#N/A,#N/A,FALSE,"MM-1 Long Term Debt"}</definedName>
    <definedName function="false" hidden="true" name="wrn.LOOKUP._.TABLE." vbProcedure="false">{"LOOKUP TABLE",#N/A,FALSE,"FC-3 "}</definedName>
    <definedName function="false" hidden="true" name="wrn.LPNL." vbProcedure="false">{"LPNL1",#N/A,FALSE,"EntitiesWithReclasses";"LPNL2",#N/A,FALSE,"EntitiesWithReclasses";"LPNL3",#N/A,FALSE,"EntitiesWithReclasses"}</definedName>
    <definedName function="false" hidden="true" name="wrn.LUP._.04._.Vertrieb." vbProcedure="false">{#N/A,#N/A,FALSE,"V3 Stab-Geb Index";#N/A,#N/A,FALSE,"Vertrieb";#N/A,#N/A,FALSE,"V Daten";#N/A,#N/A,FALSE,"V-Z-Index";#N/A,#N/A,FALSE,"V-1 Daten";#N/A,#N/A,FALSE,"V-1 Index";#N/A,#N/A,FALSE,"V-2 Index";#N/A,#N/A,FALSE,"V-3 Daten";#N/A,#N/A,FALSE,"V3 Stab-Geb Index";#N/A,#N/A,FALSE,"V-3 VG's Index";#N/A,#N/A,FALSE,"V-4 Index";#N/A,#N/A,FALSE,"V-5 Index"}</definedName>
    <definedName function="false" hidden="true" name="wrn.M.O.S.._.Charts." vbProcedure="false">{#N/A,#N/A,FALSE,"Line FSB";#N/A,#N/A,FALSE,"Line FSC";#N/A,#N/A,FALSE,"Line RSB";#N/A,#N/A,FALSE,"Line RSC";#N/A,#N/A,FALSE,"Final";#N/A,#N/A,FALSE,"SCRAP";#N/A,#N/A,FALSE,"GM DPPM"}</definedName>
    <definedName function="false" hidden="true" name="wrn.M1._.Operating._.Statement." vbProcedure="false">{"M1Print",#N/A,FALSE,"M1"}</definedName>
    <definedName function="false" hidden="true" name="wrn.M1s._.Statistics." vbProcedure="false">{"M1sPrint",#N/A,FALSE,"M1s"}</definedName>
    <definedName function="false" hidden="true" name="wrn.M2._.Balance._.Sheet." vbProcedure="false">{"M2Print",#N/A,FALSE,"M2"}</definedName>
    <definedName function="false" hidden="true" name="wrn.M2a._.Cashflow." vbProcedure="false">{"M2aPrint",#N/A,FALSE,"M2a"}</definedName>
    <definedName function="false" hidden="true" name="wrn.M4._.Inventories." vbProcedure="false">{"M4Print",#N/A,FALSE,"M4"}</definedName>
    <definedName function="false" hidden="true" name="wrn.M5._.Flash._.and._.Forecast." vbProcedure="false">{"M5Print",#N/A,FALSE,"M5"}</definedName>
    <definedName function="false" hidden="true" name="wrn.M6._.Management._.Summary." vbProcedure="false">{"M6Print",#N/A,FALSE,"M6";"M6_1Print",#N/A,FALSE,"M6_1";"M6_2Print",#N/A,FALSE,"M6_2"}</definedName>
    <definedName function="false" hidden="true" name="wrn.M7._.Financial._.Controllers._.report." vbProcedure="false">{"M7_1Print",#N/A,TRUE,"M7_1";"M7_2Print",#N/A,TRUE,"M7_2"}</definedName>
    <definedName function="false" hidden="true" name="wrn.magicrep." vbProcedure="false">{"sub1",#N/A,FALSE,"Subs";"pac1",#N/A,FALSE,"Packages";"rev1",#N/A,FALSE,"2. Revenues"}</definedName>
    <definedName function="false" hidden="true" name="wrn.main." vbProcedure="false">{#N/A,#N/A,FALSE,"Finstmts";#N/A,#N/A,FALSE,"O&amp;M and Cap";#N/A,#N/A,FALSE,"Fuel";#N/A,#N/A,FALSE,"Gen Dat";#N/A,#N/A,FALSE,"Lost Revenue";#N/A,#N/A,FALSE,"Ratios"}</definedName>
    <definedName function="false" hidden="true" name="wrn.Main._.Fields." vbProcedure="false">{"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function="false" hidden="true" name="wrn.Main._.Report._.All._.Sections." vbProcedure="false">{"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function="false" hidden="true" name="wrn.Maine." vbProcedure="false">{"Assumptions",#N/A,TRUE,"Assumptions";"Income",#N/A,TRUE,"Income";"Balance",#N/A,TRUE,"Balance"}</definedName>
    <definedName function="false" hidden="true" name="wrn.Maine2." vbProcedure="false">{"TransactionAssump",#N/A,FALSE,"Transaction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function="false" hidden="true" name="wrn.Maintenance." vbProcedure="false">{#N/A,#N/A,FALSE,"Main"}</definedName>
    <definedName function="false" hidden="true" name="wrn.Management._.Accounts." vbProcedure="false">{#N/A,#N/A,TRUE,"P&amp;L";#N/A,#N/A,TRUE,"balsheet";#N/A,#N/A,TRUE,"Notes - Sales-COS";#N/A,#N/A,TRUE,"Expenses";#N/A,#N/A,TRUE,"f assets";#N/A,#N/A,TRUE,"bs anal";#N/A,#N/A,TRUE,"mcer";#N/A,#N/A,TRUE,"Packing";#N/A,#N/A,TRUE,"Gross Profit";#N/A,#N/A,TRUE,"Gross Profit - Non chiq";#N/A,#N/A,TRUE,"P&amp;L - MKD"}</definedName>
    <definedName function="false" hidden="true" name="wrn.Management._.Accounts._.2002." vbProcedure="false">{"Ratios",#N/A,FALSE,"Management Accounts";"I &amp; E Summary",#N/A,FALSE,"Management Accounts";"I &amp; E Turnover",#N/A,FALSE,"Management Accounts";"I &amp; E Op Costs 1",#N/A,FALSE,"Management Accounts";"I &amp; E Op Costs 2",#N/A,FALSE,"Management Accounts";"I &amp; E Sales",#N/A,FALSE,"Management Accounts";"I &amp; E Interest",#N/A,FALSE,"Management Accounts";"BS",#N/A,FALSE,"Management Accounts";"FA:HP",#N/A,FALSE,"Management Accounts";"FA:Other",#N/A,FALSE,"Management Accounts";"Debtors",#N/A,FALSE,"Management Accounts";"Cash Flow",#N/A,FALSE,"Management Accounts";"Dev Exp",#N/A,FALSE,"Management Accounts";"Dev SHG",#N/A,FALSE,"Management Accounts"}</definedName>
    <definedName function="false" hidden="true" name="wrn.Management._.Accounts._.2004." vbProcedure="false">{"I &amp; E Summary",#N/A,FALSE,"Management Accounts";"I &amp; E Turnover",#N/A,FALSE,"Management Accounts";"I &amp; E Op Costs 1",#N/A,FALSE,"Management Accounts";"I &amp; E Op Costs 2",#N/A,FALSE,"Management Accounts";"I &amp; E Sales",#N/A,FALSE,"Management Accounts";"I &amp; E Interest",#N/A,FALSE,"Management Accounts";"Balance Sheet",#N/A,FALSE,"Management Accounts";"Other Assets",#N/A,FALSE,"Management Accounts";"Development",#N/A,FALSE,"Dev Report";"Cash Flow",#N/A,FALSE,"New CF"}</definedName>
    <definedName function="false" hidden="true" name="wrn.MANAGEMENT._.COSTS." vbProcedure="false">{"MANAGEMENT COSTS",#N/A,FALSE,"C.CENTRE"}</definedName>
    <definedName function="false" hidden="true" name="wrn.MANAGEMENT._.PACK._.2." vbProcedure="false">{"LEVEL1","UKCONSGAAP",TRUE," Corp PL 2 (LEVEL 1)";"LEVEL2",#N/A,TRUE,"Sum  Div (LEVEL 2)";"LEVEL1","CORE",TRUE," Corp PL 2 (LEVEL 1)";"LEVEL2",#N/A,TRUE,"Sum  Div (LEVEL 2)";"LEVEL1","HSSUNDRIES_GAAP",TRUE," Corp PL 2 (LEVEL 1)";"LEVEL2",#N/A,TRUE,"Sum  Div (LEVEL 2)";"LEVEL1","KENTEXP_GAAP",TRUE," Corp PL 2 (LEVEL 1)";"LEVEL2",#N/A,TRUE,"Sum  Div (LEVEL 2)";"LEVEL1","BUDGET_GAAP",TRUE," Corp PL 2 (LEVEL 1)";"LEVEL2",#N/A,TRUE,"Sum  Div (LEVEL 2)";"LEVEL1","BLACKWELL_GAAP",TRUE," Corp PL 2 (LEVEL 1)";"LEVEL2",#N/A,TRUE,"Sum  Div (LEVEL 2)";"LEVEL1","ZAHNLAB_GAAP",TRUE," Corp PL 2 (LEVEL 1)";"LEVEL2",#N/A,TRUE,"Sum  Div (LEVEL 2)";"LEVEL1","HSUKHOLD_GAAP",TRUE," Corp PL 2 (LEVEL 1)";"LEVEL2",#N/A,TRUE,"Sum  Div (LEVEL 2)";"LEVEL1","HSFINANCE_GAAP",TRUE," Corp PL 2 (LEVEL 1)";"LEVEL2",#N/A,TRUE,"Sum  Div (LEVEL 2)";"LEVEL1","HSSALESELIM",TRUE," Corp PL 2 (LEVEL 1)";"LEVEL2",#N/A,TRUE,"Sum  Div (LEVEL 2)";"LEVEL1","HSEQUIP_GAAP",TRUE," Corp PL 2 (LEVEL 1)";"LEVEL2",#N/A,TRUE,"Sum  Div (LEVEL 2)";"LEVEL1","HSTECHIR_GAAP",TRUE," Corp PL 2 (LEVEL 1)";"LEVEL2",#N/A,TRUE,"Sum  Div (LEVEL 2)";"LEVEL1","HSKM_GAAP",TRUE," Corp PL 2 (LEVEL 1)";"LEVEL2",#N/A,TRUE,"Sum  Div (LEVEL 2)";"LEVEL1","HSIRELAND_GAAP",TRUE," Corp PL 2 (LEVEL 1)";"LEVEL2",#N/A,TRUE,"Sum  Div (LEVEL 2)";"LEVEL1","ZAHNDENTAL_GAAP",TRUE," Corp PL 2 (LEVEL 1)";"LEVEL2",#N/A,TRUE,"Sum  Div (LEVEL 2)";"LEVEL1","BAINTERN_GAAP",TRUE," Corp PL 2 (LEVEL 1)";"LEVEL2",#N/A,TRUE,"Sum  Div (LEVEL 2)";"LEVEL1","PORTNASH_GAAP",TRUE," Corp PL 2 (LEVEL 1)";"LEVEL2",#N/A,TRUE,"Sum  Div (LEVEL 2)"}</definedName>
    <definedName function="false" hidden="true" name="wrn.Mappen._.gesamt." vbProcedure="false">{#N/A,#N/A,FALSE,"Z3 1,8i";#N/A,#N/A,FALSE,"Z3 1,9iS";#N/A,#N/A,FALSE,"Z3 2,8i";#N/A,#N/A,FALSE,"Z3 2,8i Coupé"}</definedName>
    <definedName function="false" hidden="true" name="wrn.MAR." vbProcedure="false">{"MAR",#N/A,FALSE,"MAR"}</definedName>
    <definedName function="false" hidden="true" name="wrn.MARCH." vbProcedure="false">{"MARCH",#N/A,FALSE,"Q3"}</definedName>
    <definedName function="false" hidden="true" name="wrn.March._.Financials." vbProcedure="false">{"Statement of Income",#N/A,TRUE,"Mar99";"Balance Sheet",#N/A,TRUE,"Mar99"}</definedName>
    <definedName function="false" hidden="true" name="wrn.Margins." vbProcedure="false">{#N/A,#N/A,FALSE,"Margins - GrossR&amp;D";#N/A,#N/A,FALSE,"Margins - sg&amp;a";#N/A,#N/A,FALSE,"Margins - Oper-net"}</definedName>
    <definedName function="false" hidden="true" name="wrn.market._.share." vbProcedure="false">{#N/A,#N/A,FALSE,"Bestfoods";#N/A,#N/A,FALSE,"Campbell";#N/A,#N/A,FALSE,"ConAgra";#N/A,#N/A,FALSE,"Healthy Choice";#N/A,#N/A,FALSE,"Int'l Home Foods";#N/A,#N/A,FALSE,"General Mills";#N/A,#N/A,FALSE,"Heinz";#N/A,#N/A,FALSE,"Kellogg";#N/A,#N/A,FALSE,"Kraft";#N/A,#N/A,FALSE,"Nabisco";#N/A,#N/A,FALSE,"Quaker Oats";#N/A,#N/A,FALSE,"Sara Lee";#N/A,#N/A,FALSE,"print summary"}</definedName>
    <definedName function="false" hidden="true" name="wrn.MARKETABLE._.SEC.." vbProcedure="false">{#N/A,#N/A,FALSE,"B-1 Mkt. Sec. - Int.";#N/A,#N/A,FALSE,"B-2 Mkt. Sec. - Val.";#N/A,#N/A,FALSE,"B-3 Mkt. Sec. - Gain (Loss)"}</definedName>
    <definedName function="false" hidden="true" name="wrn.Massimo." vbProcedure="false">{#N/A,#N/A,TRUE,"Total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function="false" hidden="true" name="wrn.master." vbProcedure="false">{#N/A,#N/A,FALSE,"SUMMARY";#N/A,#N/A,FALSE,"mcsh";#N/A,#N/A,FALSE,"vol&amp;rev";#N/A,#N/A,FALSE,"wkgcap";#N/A,#N/A,FALSE,"DEPR&amp;DT";#N/A,#N/A,FALSE,"ASSETS";#N/A,#N/A,FALSE,"NI&amp;OTH&amp;DIV";#N/A,#N/A,FALSE,"CASHFLOW";#N/A,#N/A,FALSE,"CAPEMPL";#N/A,#N/A,FALSE,"ROCE"}</definedName>
    <definedName function="false" hidden="true" name="wrn.Master_Income." vbProcedure="false">{"Annual_Income",#N/A,FALSE,"Master Model";"Quarterly_Income",#N/A,FALSE,"Master Model"}</definedName>
    <definedName function="false" hidden="true" name="wrn.material." vbProcedure="false">{"MATERIAL",#N/A,FALSE,"material"}</definedName>
    <definedName function="false" hidden="true" name="wrn.material.." vbProcedure="false">{"MATERIAL",#N/A,FALSE,"material"}</definedName>
    <definedName function="false" hidden="true" name="wrn.material2" vbProcedure="false">{"MATERIAL",#N/A,FALSE,"material"}</definedName>
    <definedName function="false" hidden="true" name="wrn.material3" vbProcedure="false">{"MATERIAL",#N/A,FALSE,"material"}</definedName>
    <definedName function="false" hidden="true" name="wrn.material4" vbProcedure="false">{"MATERIAL",#N/A,FALSE,"material"}</definedName>
    <definedName function="false" hidden="true" name="wrn.material5" vbProcedure="false">{"MATERIAL",#N/A,FALSE,"material"}</definedName>
    <definedName function="false" hidden="true" name="wrn.MAY." vbProcedure="false">{"MAY",#N/A,FALSE,"Q4"}</definedName>
    <definedName function="false" hidden="true" name="wrn.May._.21." vbProcedure="false">{#N/A,#N/A,TRUE,"Cover";#N/A,#N/A,TRUE,"Tariffs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function="false" hidden="true" name="wrn.MAY95." vbProcedure="false">{#N/A,#N/A,FALSE,"MAY";#N/A,#N/A,FALSE,"Q2";#N/A,#N/A,FALSE,"YTD"}</definedName>
    <definedName function="false" hidden="true" name="wrn.may959" vbProcedure="false">{#N/A,#N/A,FALSE,"MAY";#N/A,#N/A,FALSE,"Q2";#N/A,#N/A,FALSE,"YTD"}</definedName>
    <definedName function="false" hidden="true" name="wrn.MCCRK." vbProcedure="false">{#N/A,#N/A,FALSE,"MCCRK"}</definedName>
    <definedName function="false" hidden="true" name="wrn.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true" name="wrn.memo." vbProcedure="false">{#N/A,#N/A,TRUE,"financial";#N/A,#N/A,TRUE,"plants"}</definedName>
    <definedName function="false" hidden="true" name="wrn.MENSUALES." vbProcedure="false">{"CTO MES ACTUAL",#N/A,FALSE,"BASE ANEXOS";"VAR MES ACT",#N/A,FALSE,"BASE ANEXOS"}</definedName>
    <definedName function="false" hidden="true" name="wrn.merge." vbProcedure="false">{#N/A,#N/A,FALSE,"IPO";#N/A,#N/A,FALSE,"DCF";#N/A,#N/A,FALSE,"LBO";#N/A,#N/A,FALSE,"MULT_VAL";#N/A,#N/A,FALSE,"Status Quo";#N/A,#N/A,FALSE,"Recap"}</definedName>
    <definedName function="false" hidden="true" name="wrn.merger." vbProcedure="false">{"assumption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function="false" hidden="true" name="wrn.MERGER._.PLANS." vbProcedure="false">{"Assumptions1",#N/A,FALSE,"Assumptions";"MergerPlans1","20yearamort",FALSE,"MergerPlans";"MergerPlans1","40yearamort",FALSE,"MergerPlans";"MergerPlans2",#N/A,FALSE,"MergerPlans";"inputs",#N/A,FALSE,"MergerPlans"}</definedName>
    <definedName function="false" hidden="true" name="wrn.MergerModel." vbProcedure="false">{"Deal",#N/A,FALSE,"Deal";"acquiror",#N/A,FALSE,"Acquiror";"Target",#N/A,FALSE,"Target"}</definedName>
    <definedName function="false" hidden="true" name="wrn.MF._.commentary._.on._.variance." vbProcedure="false">{"Commentary",#N/A,FALSE,"May"}</definedName>
    <definedName function="false" hidden="true" name="wrn.MF._.with._.BA._.detail." vbProcedure="false">{"BA detail",#N/A,FALSE,"Q3YTD "}</definedName>
    <definedName function="false" hidden="true" name="wrn.MFG._.Monthly._.Views." vbProcedure="false">{"MFG Monthly View",#N/A,FALSE,"Mfgs. Only";"400 Monthly View",#N/A,FALSE,"400";"410 Monthly View",#N/A,FALSE,"410";"420 Monthly View",#N/A,FALSE,"420";"435 Monthly View",#N/A,FALSE,"430";"435 Monthly View",#N/A,FALSE,"435"}</definedName>
    <definedName function="false" hidden="true" name="wrn.MFG._.Qrtly._.Views." vbProcedure="false">{"MFG Qrtly View pg1",#N/A,FALSE,"Mfgs. Only";"MFG Qrtly View Pg2",#N/A,FALSE,"Mfgs. Only";"MFG Qrtly View pg3",#N/A,FALSE,"Mfgs. Only";"400 Qrtly View",#N/A,FALSE,"400";"410 Qrtly View",#N/A,FALSE,"410";"420 Qrtly View",#N/A,FALSE,"420";"430 Qrtly View",#N/A,FALSE,"430";"435 Qrtly View",#N/A,FALSE,"435"}</definedName>
    <definedName function="false" hidden="true" name="wrn.MgtAccs." vbProcedure="false">{#N/A,#N/A,FALSE,"Consol";#N/A,#N/A,FALSE,"F&amp;P";#N/A,#N/A,FALSE,"HK";#N/A,#N/A,FALSE,"Sing";#N/A,#N/A,FALSE,"GmbH";#N/A,#N/A,FALSE,"ODS"}</definedName>
    <definedName function="false" hidden="true" name="wrn.mhpall." vbProcedure="false">{"mhpcash",#N/A,FALSE,"MHPNEWX";"mhpinc",#N/A,FALSE,"MHPNEWX";"mhptax",#N/A,FALSE,"MHPNEWX";"mhpbroad",#N/A,FALSE,"MHPNEWX";"mhpeduc",#N/A,FALSE,"MHPNEWX";"mhpfin",#N/A,FALSE,"MHPNEWX";"mhpinfo",#N/A,FALSE,"MHPNEWX"}</definedName>
    <definedName function="false" hidden="true" name="wrn.MI." vbProcedure="false">{"MI",#N/A,FALSE,"A"}</definedName>
    <definedName function="false" hidden="true" name="wrn.MI1." vbProcedure="false">{"MI1",#N/A,FALSE,"A"}</definedName>
    <definedName function="false" hidden="true" name="wrn.MIE._.Summary." vbProcedure="false">{#N/A,#N/A,FALSE,"MIE Total";#N/A,#N/A,FALSE,"Japan";#N/A,#N/A,FALSE,"North America";#N/A,#N/A,FALSE,"Asia";#N/A,#N/A,FALSE,"Europe"}</definedName>
    <definedName function="false" hidden="true" name="wrn.Misc." vbProcedure="false">{#N/A,#N/A,FALSE,"Misc"}</definedName>
    <definedName function="false" hidden="true" name="wrn.mkt_concprod." vbProcedure="false">{"mkta",#N/A,FALSE,"mkt";"mktb",#N/A,FALSE,"mkt";"mktc",#N/A,FALSE,"mkt";"mktd",#N/A,FALSE,"mkt";"mktf",#N/A,FALSE,"mkt"}</definedName>
    <definedName function="false" hidden="true" name="wrn.mkt_plastics." vbProcedure="false">{"mkte",#N/A,FALSE,"mkt"}</definedName>
    <definedName function="false" hidden="true" name="wrn.MOBA._.Results." vbProcedure="false">{"Summary",#N/A,TRUE,"SUMMARY";"Market View",#N/A,TRUE,"MARKET";"Statistical Summary",#N/A,TRUE,"statistics";"Financial Ratios",#N/A,TRUE,"Ratios";"MacroMicro Assumptions",#N/A,TRUE,"MacroMicro";"Tariffs",#N/A,TRUE,"TARIFFS";"Net Present Valuation",#N/A,TRUE,"NPV";"Profit and Loss",#N/A,TRUE,"P&amp;L";"Balance Sheet",#N/A,TRUE,"BALANCE";"FCF",#N/A,TRUE,"FCF";"Flow of Funds",#N/A,TRUE,"Flow of Funds";"Finance",#N/A,TRUE,"Finance";"Valuation",#N/A,TRUE,"Value"}</definedName>
    <definedName function="false" hidden="true" name="wrn.MOBIL." vbProcedure="false">{"quarter",#N/A,FALSE,"MOB"}</definedName>
    <definedName function="false" hidden="true" name="wrn.mobile." vbProcedure="false">{#N/A,#N/A,FALSE,"Denmark";#N/A,#N/A,FALSE,"Denmark"}</definedName>
    <definedName function="false" hidden="true" name="wrn.MoD._.Summary." vbProcedure="false">{"Summary sheet",#N/A,TRUE,"Output pres";"Proforma 1 and 2",#N/A,TRUE,"Ratios";"Proforma 3,4 and 5",#N/A,TRUE,"FS";"Proforma 8,9 and 10",#N/A,TRUE,"Calcs"}</definedName>
    <definedName function="false" hidden="true" name="wrn.Model." vbProcedure="false">{"DCF",#N/A,FALSE,"DCF"}</definedName>
    <definedName function="false" hidden="true" name="wrn.Model._.Output." vbProcedure="false">{#N/A,#N/A,FALSE,"Purchase_50_Stock";#N/A,#N/A,FALSE,"Purchase_All_Stock";"Summary",#N/A,FALSE,"PF";"Income Statement",#N/A,FALSE,"PF";"Earnings",#N/A,FALSE,"PF";"Balance Sheet",#N/A,FALSE,"PF"}</definedName>
    <definedName function="false" hidden="true" name="wrn.Monatsabschluß." vbProcedure="false">{#N/A,#N/A,FALSE,"Finanzplan";#N/A,#N/A,FALSE,"Bilanz";#N/A,#N/A,FALSE,"GuV"}</definedName>
    <definedName function="false" hidden="true" name="wrn.Monatsbericht." vbProcedure="false">{#N/A,#N/A,FALSE,"Inhalta";#N/A,#N/A,FALSE,"Seite1a";#N/A,#N/A,FALSE,"Seite2a";#N/A,#N/A,FALSE,"Seite3a";#N/A,#N/A,FALSE,"Seite4a";#N/A,#N/A,FALSE,"Seite5a";#N/A,#N/A,FALSE,"Seite6a";#N/A,#N/A,FALSE,"Seite7a";#N/A,#N/A,FALSE,"Seite8a";#N/A,#N/A,FALSE,"Seite9a"}</definedName>
    <definedName function="false" hidden="true" name="wrn.monika." vbProcedure="false">{"Telemonika",#N/A,FALSE,"Tele";"GF Text",#N/A,FALSE,"GF Text";"GF ATXITV",#N/A,FALSE,"GF ATX ITV";"GF Verw",#N/A,FALSE,"GF Verw"}</definedName>
    <definedName function="false" hidden="true" name="wrn.Month." vbProcedure="false">{#N/A,#N/A,FALSE,"Comp Balance";#N/A,#N/A,FALSE,"Sum Balance ";#N/A,#N/A,FALSE,"Balance Trend";#N/A,#N/A,FALSE,"Comp PL";#N/A,#N/A,FALSE,"PL";#N/A,#N/A,FALSE,"Sum PL";#N/A,#N/A,FALSE,"PL Trend";#N/A,#N/A,FALSE,"Change"}</definedName>
    <definedName function="false" hidden="true" name="wrn.Month._.end._.call." vbProcedure="false">{#N/A,#N/A,FALSE,"Bud Month-end Call";#N/A,#N/A,FALSE,"Bud vs Actual";#N/A,#N/A,FALSE,"FC3 Month-end Call";#N/A,#N/A,FALSE,"FC3 vs Actual"}</definedName>
    <definedName function="false" hidden="true" name="wrn.Month._.end._.report." vbProcedure="false">{#N/A,#N/A,FALSE,"Bud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function="false" hidden="true" name="wrn.MONTHLY." vbProcedure="false">{"1999MONTHLY",#N/A,FALSE,"MONTHLY";"2000MONTHLY",#N/A,FALSE,"MONTHLY";"2001MONTHLY",#N/A,FALSE,"MONTHLY"}</definedName>
    <definedName function="false" hidden="true" name="wrn.Monthly._.Financials." vbProcedure="false">{#N/A,#N/A,FALSE,"mfg - consol";#N/A,#N/A,FALSE,"mfg - flo";#N/A,#N/A,FALSE,"mfg - lindsay"}</definedName>
    <definedName function="false" hidden="true" name="wrn.Monthly._.MIFA._.Sheets."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true" name="wrn.Monthly._.MIFA._.Sheets.1" vbProcedure="false">{"(MEASDATA)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function="false" hidden="true" name="wrn.Monthly._.MIS._.Fa.10_01." vbProcedure="false">{#N/A,#N/A,TRUE,"Overview";#N/A,#N/A,TRUE,"P&amp;L summary";#N/A,#N/A,TRUE,"pers.exp._op. inc._interest";#N/A,#N/A,TRUE,"op. expenses";#N/A,#N/A,TRUE,"non-op. inc_expense";#N/A,#N/A,TRUE,"balance sheet";#N/A,#N/A,TRUE,"key-figures"}</definedName>
    <definedName function="false" hidden="true" name="wrn.Monthly._.MIS._.Fa.26." vbProcedure="false">{#N/A,#N/A,TRUE,"Overview";#N/A,#N/A,TRUE,"P&amp;L summary";#N/A,#N/A,TRUE,"pers.exp._op. inc._interest";#N/A,#N/A,TRUE,"op. expenses";#N/A,#N/A,TRUE,"non-op. inc_expense";#N/A,#N/A,TRUE,"balance sheet";#N/A,#N/A,TRUE,"article (3500)";#N/A,#N/A,TRUE,"article (3600)";#N/A,#N/A,TRUE,"article (3700)";#N/A,#N/A,TRUE,"article (3900)";#N/A,#N/A,TRUE,"article (3800)";#N/A,#N/A,TRUE,"MC 1 3rd (4800)";#N/A,#N/A,TRUE,"MC 1 OEM_PL (4900)";#N/A,#N/A,TRUE,"countries (LA)";#N/A,#N/A,TRUE,"Top 25";#N/A,#N/A,TRUE,"key-figures"}</definedName>
    <definedName function="false" hidden="true" name="wrn.Monthly._.MIS._.Fa.31." vbProcedure="false">{#N/A,#N/A,TRUE,"Overview";#N/A,#N/A,TRUE,"P&amp;L summary";#N/A,#N/A,TRUE,"pers.exp._op. inc._interest";#N/A,#N/A,TRUE,"op. expenses";#N/A,#N/A,TRUE,"non-op. inc_expense";#N/A,#N/A,TRUE,"balance sheet";#N/A,#N/A,TRUE,"article (3500)";#N/A,#N/A,TRUE,"article (3600)";#N/A,#N/A,TRUE,"article (3700)";#N/A,#N/A,TRUE,"control MC 1";#N/A,#N/A,TRUE,"MC 1 3rd (4800)";#N/A,#N/A,TRUE,"countries (LA)";#N/A,#N/A,TRUE,"Top 25";#N/A,#N/A,TRUE,"key-figures"}</definedName>
    <definedName function="false" hidden="true" name="wrn.Monthly._.MIS._.Fa.50." vbProcedure="false">{#N/A,#N/A,TRUE,"Overview";#N/A,#N/A,TRUE,"P&amp;L summary";#N/A,#N/A,TRUE,"pers.exp._op. inc._interest";#N/A,#N/A,TRUE,"op. expenses";#N/A,#N/A,TRUE,"non-op. inc_expense"}</definedName>
    <definedName function="false" hidden="true" name="wrn.Monthly._.MIS._.Fa.53_91." vbProcedure="false">{#N/A,#N/A,TRUE,"Overview";#N/A,#N/A,TRUE,"P&amp;L summary";#N/A,#N/A,TRUE,"pers.exp._op. inc._interest";#N/A,#N/A,TRUE,"op. expenses";#N/A,#N/A,TRUE,"non-op. inc_expense"}</definedName>
    <definedName function="false" hidden="true" name="wrn.Monthly._.MIS._.Fa.59." vbProcedure="false">{#N/A,#N/A,TRUE,"Overview";#N/A,#N/A,TRUE,"P&amp;L summary";#N/A,#N/A,TRUE,"pers.exp._op. inc._interest";#N/A,#N/A,TRUE,"op. expenses";#N/A,#N/A,TRUE,"non-op. inc_expense";#N/A,#N/A,TRUE,"article (3500)";#N/A,#N/A,TRUE,"article (3600)";#N/A,#N/A,TRUE,"article (3900)";#N/A,#N/A,TRUE,"MC 1 3rd (4800)";#N/A,#N/A,TRUE,"MC 1 OEM_PL (4900)";#N/A,#N/A,TRUE,"key-figures"}</definedName>
    <definedName function="false" hidden="true" name="wrn.Monthly._.MIS._.Fa.60." vbProcedure="false">{#N/A,#N/A,TRUE,"Overview";#N/A,#N/A,TRUE,"P&amp;L summary";#N/A,#N/A,TRUE,"pers.exp._op. inc._interest";#N/A,#N/A,TRUE,"op. expenses";#N/A,#N/A,TRUE,"non-op. inc_expense";#N/A,#N/A,TRUE,"article (3500)";#N/A,#N/A,TRUE,"article (3700)";#N/A,#N/A,TRUE,"article (3900)";#N/A,#N/A,TRUE,"MC 1 3rd (4800)";#N/A,#N/A,TRUE,"MC 1 OEM_PL (4900)";#N/A,#N/A,TRUE,"countries (Europe)";#N/A,#N/A,TRUE,"key-figures"}</definedName>
    <definedName function="false" hidden="true" name="wrn.Monthly._.MIS._.Fa.73." vbProcedure="false">{#N/A,#N/A,TRUE,"Overview";#N/A,#N/A,TRUE,"P&amp;L summary";#N/A,#N/A,TRUE,"pers.exp._op. inc._interest";#N/A,#N/A,TRUE,"op. expenses";#N/A,#N/A,TRUE,"non-op. inc_expense";#N/A,#N/A,TRUE,"balance sheet";#N/A,#N/A,TRUE,"article (3800)";#N/A,#N/A,TRUE,"countries (Europe)";#N/A,#N/A,TRUE,"key-figures"}</definedName>
    <definedName function="false" hidden="true" name="wrn.Monthly._.MIS._.Fa.74." vbProcedure="false">{#N/A,#N/A,TRUE,"Overview";#N/A,#N/A,TRUE,"P&amp;L summary";#N/A,#N/A,TRUE,"pers.exp._op. inc._interest";#N/A,#N/A,TRUE,"op. expenses";#N/A,#N/A,TRUE,"non-op. inc_expense";#N/A,#N/A,TRUE,"balance sheet";#N/A,#N/A,TRUE,"article (3500)";#N/A,#N/A,TRUE,"article (3600)";#N/A,#N/A,TRUE,"article (3700)";#N/A,#N/A,TRUE,"article (3900)";#N/A,#N/A,TRUE,"new products";#N/A,#N/A,TRUE,"MC 1 3rd (4800)";#N/A,#N/A,TRUE,"MC 1 OEM_PL (4900)";#N/A,#N/A,TRUE,"countries (full)";#N/A,#N/A,TRUE,"Top 25";#N/A,#N/A,TRUE,"key-figures"}</definedName>
    <definedName function="false" hidden="true" name="wrn.Monthly._.MIS._.Fa.78_20_21." vbProcedure="false">{#N/A,#N/A,TRUE,"Overview";#N/A,#N/A,TRUE,"P&amp;L summary";#N/A,#N/A,TRUE,"pers.exp._op. inc._interest";#N/A,#N/A,TRUE,"op. expenses";#N/A,#N/A,TRUE,"non-op. inc_expense";#N/A,#N/A,TRUE,"balance sheet";#N/A,#N/A,TRUE,"article (3500)";#N/A,#N/A,TRUE,"new products";#N/A,#N/A,TRUE,"MC 1 3rd (4800)";#N/A,#N/A,TRUE,"countries (Europe)";#N/A,#N/A,TRUE,"Top 25";#N/A,#N/A,TRUE,"key-figures"}</definedName>
    <definedName function="false" hidden="true" name="wrn.Monthly._.Report." vbProcedure="false">{#N/A,#N/A,FALSE,"Summary Page";#N/A,#N/A,FALSE,"Collections Listing";#N/A,#N/A,FALSE,"Lessee 60 days past due";#N/A,#N/A,FALSE,"Revenues--Lend Base JP Morgan";#N/A,#N/A,FALSE,"JP Morgan Debt Amort Schedule";#N/A,#N/A,FALSE,"Covenant Analysis"}</definedName>
    <definedName function="false" hidden="true" name="wrn.Monthly._.Reports." vbProcedure="false">{#N/A,#N/A,FALSE,"INDEX";#N/A,#N/A,FALSE,"A - BALANCE SHEET";#N/A,#N/A,FALSE,"B - INCOME STATEMENT YTD";#N/A,#N/A,FALSE,"B - MONTHLY INCOME STATEMENT ";#N/A,#N/A,FALSE,"C - CASHFLOW STATEMENT";#N/A,#N/A,FALSE,"D - CUSTOMERS STATEMENT";#N/A,#N/A,FALSE,"E - SALES STATEMENT"}</definedName>
    <definedName function="false" hidden="true" name="wrn.Months." vbProcedure="false">{"Curr Month",#N/A,FALSE,"Curr Mo";"All Months",#N/A,FALSE,"Curr Mo";"YTD",#N/A,FALSE,"Curr Mo";"1001",#N/A,FALSE,"Curr Mo";"1002",#N/A,FALSE,"Curr Mo";"4012",#N/A,FALSE,"Curr Mo";"4017",#N/A,FALSE,"Curr Mo";"1050",#N/A,FALSE,"Curr Mo";"1009",#N/A,FALSE,"Curr Mo";"4079",#N/A,FALSE,"Curr Mo";"4077",#N/A,FALSE,"Curr Mo";"1005",#N/A,FALSE,"Curr Mo";"1008",#N/A,FALSE,"Curr Mo";"1011",#N/A,FALSE,"Curr Mo";"1006",#N/A,FALSE,"Curr Mo";"1024",#N/A,FALSE,"Curr Mo";"1003",#N/A,FALSE,"Curr Mo";"1025",#N/A,FALSE,"Curr Mo";"4013",#N/A,FALSE,"Curr Mo";"1091",#N/A,FALSE,"Curr Mo";"1010",#N/A,FALSE,"Curr Mo";"1023",#N/A,FALSE,"Curr Mo";"4014",#N/A,FALSE,"Curr Mo";"1043",#N/A,FALSE,"Curr Mo";"1014",#N/A,FALSE,"Curr Mo";"1015",#N/A,FALSE,"Curr Mo";"1012",#N/A,FALSE,"Curr Mo";"1061",#N/A,FALSE,"Curr Mo";"1045",#N/A,FALSE,"Curr Mo";"4058",#N/A,FALSE,"Curr Mo";"1033",#N/A,FALSE,"Curr Mo";"1103",#N/A,FALSE,"Curr Mo";"4007",#N/A,FALSE,"Curr Mo";"4021",#N/A,FALSE,"Curr Mo";"4026",#N/A,FALSE,"Curr Mo";"4022",#N/A,FALSE,"Curr Mo";"4050",#N/A,FALSE,"Curr Mo";"4032",#N/A,FALSE,"Curr Mo";"4089",#N/A,FALSE,"Curr Mo";"1042",#N/A,FALSE,"Curr Mo";"1048",#N/A,FALSE,"Curr Mo";"4049",#N/A,FALSE,"Curr Mo"}</definedName>
    <definedName function="false" hidden="true" name="wrn.MONTHYL._.PACK." vbProcedure="false">{#N/A,#N/A,TRUE,"Contents (2)";#N/A,#N/A,TRUE,"P&amp;L";#N/A,#N/A,TRUE,"Notes - Sales-COS";#N/A,#N/A,TRUE,"Expenses";#N/A,#N/A,TRUE,"mcer";#N/A,#N/A,TRUE,"P&amp;L - MKD"}</definedName>
    <definedName function="false" hidden="true" name="wrn.MOS4." vbProcedure="false">{"MOS4",#N/A,FALSE,"Sorted by database"}</definedName>
    <definedName function="false" hidden="true" name="wrn.MOTOROLA._.TO220." vbProcedure="false">{"MOTTO220",#N/A,FALSE,"TO-220 PRODUCTION"}</definedName>
    <definedName function="false" hidden="true" name="wrn.MRA." vbProcedure="false">{"MRA IS",#N/A,FALSE,"MRA - IS";"MRA BS",#N/A,FALSE,"MRA - BS";"MRA Detail IS",#N/A,FALSE,"MRA - Detail IS";"MRA Detail IS Supplemental Info",#N/A,FALSE,"MRA - Detail IS";"MRA Monthly 1999",#N/A,FALSE,"MRA Monthly";"MRA Monthly IS 1998",#N/A,FALSE,"MRA Monthly";"MRA Monthly IS 1997",#N/A,FALSE,"MRA Monthly"}</definedName>
    <definedName function="false" hidden="true" name="wrn.MTHLYGP." vbProcedure="false">{"TXO2N2_GP",#N/A,FALSE,"MTHLYGP";"TXH2_GP",#N/A,FALSE,"MTHLYGP";"LOUIS_GP",#N/A,FALSE,"MTHLYGP";"H2_GP",#N/A,FALSE,"MTHLYGP";"O2N2_GP",#N/A,FALSE,"MTHLYGP";"PACKAGE_GP",#N/A,FALSE,"MTHLYGP";"OTHER_GP",#N/A,FALSE,"MTHLYGP"}</definedName>
    <definedName function="false" hidden="true" name="wrn.MTHLYSLES." vbProcedure="false">{"TXO2N2_SLS",#N/A,FALSE,"MTHLYSLES";"TXH2_SLS",#N/A,FALSE,"MTHLYSLES";"LOUIS_SLS",#N/A,FALSE,"MTHLYSLES";"H2_SLS",#N/A,FALSE,"MTHLYSLES";"O2N2_SLS",#N/A,FALSE,"MTHLYSLES";"PACKAGE_SLS",#N/A,FALSE,"MTHLYSLES"}</definedName>
    <definedName function="false" hidden="true" name="wrn.MTHYLYVOL." vbProcedure="false">{"TEXO2N2_VOL",#N/A,FALSE,"MTHLYVOL";"TEXH2_VOL",#N/A,FALSE,"MTHLYVOL";"LOUIS_VOL",#N/A,FALSE,"MTHLYVOL";"H2_VOL",#N/A,FALSE,"MTHLYVOL";"O2N2_VOL",#N/A,FALSE,"MTHLYVOL";"PACKAGE_VOL",#N/A,FALSE,"MTHLYVOL"}</definedName>
    <definedName function="false" hidden="true"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true" name="wrn.NA." vbProcedure="false">{#N/A,#N/A,FALSE,"NA"}</definedName>
    <definedName function="false" hidden="true" name="wrn.NA._.Model._.T._.and._.B." vbProcedure="false">{"NA Top",#N/A,FALSE,"NA Model";"NA Bottom",#N/A,FALSE,"NA Model"}</definedName>
    <definedName function="false" hidden="true" name="wrn.NameDetail." vbProcedure="false">{#N/A,#N/A,FALSE,"ADNAMES.XLS";#N/A,#N/A,FALSE,"EQNAMES.XLS";#N/A,#N/A,FALSE,"INNAMES.XLS";#N/A,#N/A,FALSE,"HYNAMES.XLS";#N/A,#N/A,FALSE,"FIXNAMES.XLS";#N/A,#N/A,FALSE,"MONNAMES.XLS";#N/A,#N/A,FALSE,"TECNAMES.XLS"}</definedName>
    <definedName function="false" hidden="true" name="wrn.Natural." vbProcedure="false">{#N/A,#N/A,FALSE,"Natural"}</definedName>
    <definedName function="false" hidden="true" name="wrn.NA_ULV._.Tand._.B." vbProcedure="false">{"NA Top",#N/A,FALSE,"NA-ULV";"NA Bottom",#N/A,FALSE,"NA-ULV"}</definedName>
    <definedName function="false" hidden="true" name="wrn.NDPC." vbProcedure="false">{#N/A,#N/A,FALSE,"46EN114";#N/A,#N/A,FALSE,"46FN116";#N/A,#N/A,FALSE,"464VFN10";#N/A,#N/A,FALSE,"464VFN74"}</definedName>
    <definedName function="false" hidden="true" name="wrn.nema." vbProcedure="false">{#N/A,#N/A,FALSE,"Distbn Ntwrk";#N/A,#N/A,FALSE,"Workforce";#N/A,#N/A,FALSE,"cur-prod1";#N/A,#N/A,FALSE,"in-proc"}</definedName>
    <definedName function="false" hidden="true" name="wrn.new._.DAC." vbProcedure="false">{#N/A,#N/A,TRUE,"CF brut";#N/A,#N/A,TRUE,"CashFlow";#N/A,#N/A,TRUE,"RCE";#N/A,#N/A,TRUE,"amort"}</definedName>
    <definedName function="false" hidden="true" name="wrn.New._.MA._.Report." vbProcedure="false">{"new ma report",#N/A,FALSE,"Loan Summary"}</definedName>
    <definedName function="false" hidden="true" name="wrn.newdcf" vbProcedure="false">{#N/A,#N/A,FALSE,"Combo-Ass ";#N/A,#N/A,FALSE,"Combo-AD sum";#N/A,#N/A,FALSE,"Combo-Syn Sens";#N/A,#N/A,FALSE,"Combo-Contr";#N/A,#N/A,FALSE,"Combo-Credit Sum";#N/A,#N/A,FALSE,"Combo-Credit";#N/A,#N/A,FALSE,"Combo-AD";#N/A,#N/A,FALSE,"Combo-AD CF"}</definedName>
    <definedName function="false" hidden="true" name="wrn.newDEV." vbProcedure="false">{"cover",#N/A,TRUE,"Cover";"pnl_NEWDEV",#N/A,TRUE,"NewCaseDEV";"bil_NEWDEV",#N/A,TRUE,"NewCaseDEV";"tabfi_NEWDEV",#N/A,TRUE,"NewCaseDEV";"ratios_NEWDEV",#N/A,TRUE,"NewCaseDEV";"variab_NEWDEV",#N/A,TRUE,"NewCaseDEV";"inv_NEWDEV",#N/A,TRUE,"NewCaseDEV"}</definedName>
    <definedName function="false" hidden="true" name="wrn.newest." vbProcedure="false">{#N/A,#N/A,TRUE,"TS";#N/A,#N/A,TRUE,"Combo";#N/A,#N/A,TRUE,"FAIR";#N/A,#N/A,TRUE,"RBC";#N/A,#N/A,TRUE,"xxxx"}</definedName>
    <definedName function="false" hidden="true" name="wrn.newEUR." vbProcedure="false">{"cover",#N/A,TRUE,"Cover";"pnl_NEWEUR",#N/A,TRUE,"NewCaseEUR";"bil_NEWEUR",#N/A,TRUE,"NewCaseEUR";"tabfi_NEWEUR",#N/A,TRUE,"NewCaseEUR";"ratios_NEWEUR",#N/A,TRUE,"NewCaseEUR";"variab_NEWEUR",#N/A,TRUE,"NewCaseEUR";"inv_NEWEUR",#N/A,TRUE,"NewCaseEUR"}</definedName>
    <definedName function="false" hidden="true" name="wrn.NewRept.xls." vbProcedure="false">{#N/A,#N/A,TRUE,"Sheet1";#N/A,#N/A,TRUE,"Sheet2";#N/A,#N/A,TRUE,"Sheet3";#N/A,#N/A,TRUE,"Sheet4";#N/A,#N/A,TRUE,"Sheet5";#N/A,#N/A,TRUE,"Sheet6";#N/A,#N/A,TRUE,"Sheet7"}</definedName>
    <definedName function="false" hidden="true" name="wrn.Nico." vbProcedure="false">{#N/A,#N/A,TRUE,"Cover";#N/A,#N/A,TRUE,"Transaction Summary";#N/A,#N/A,TRUE,"Earnings Impact";#N/A,#N/A,TRUE,"accretion dilution"}</definedName>
    <definedName function="false" hidden="true" name="wrn.No.._.America._.Data." vbProcedure="false">{"Data",#N/A,FALSE,"North America";"Sales Summary",#N/A,FALSE,"North America"}</definedName>
    <definedName function="false" hidden="true" name="wrn.Non._.Div._.Balance._.Sheet." vbProcedure="false">{#N/A,"NONDV",FALSE,"BSHIST.XLS"}</definedName>
    <definedName function="false" hidden="true" name="wrn.Normal." vbProcedure="false">{#N/A,#N/A,FALSE,"Market Values I";#N/A,#N/A,FALSE,"Market Values II";#N/A,#N/A,FALSE,"DT Shareholding";#N/A,#N/A,FALSE,"Purchase of Sprint1";#N/A,#N/A,FALSE,"Purchase of Sprint2";#N/A,#N/A,FALSE,"Financial Impact1";#N/A,#N/A,FALSE,"Financial Impact2";#N/A,#N/A,FALSE,"Financial Impact3";#N/A,#N/A,FALSE,"Flowback"}</definedName>
    <definedName function="false" hidden="true" name="wrn.North._.America." vbProcedure="false">{"PnL",#N/A,FALSE,"Gas NA P&amp;L";"Responsibility",#N/A,FALSE,"Gas NA P&amp;L";"Cost Control",#N/A,FALSE,"Gas NA P&amp;L";"Program List",#N/A,FALSE,"Gas NA P&amp;L"}</definedName>
    <definedName function="false" hidden="true" name="wrn.North._.America._.Set." vbProcedure="false">{"NA Is w Ratios",#N/A,FALSE,"North America";"PF CFlow NA",#N/A,FALSE,"North America";"NA DCF Matrix",#N/A,FALSE,"North America"}</definedName>
    <definedName function="false" hidden="true" name="wrn.NOTES._.REC.." vbProcedure="false">{#N/A,#N/A,FALSE,"H-1 Notes Receivable"}</definedName>
    <definedName function="false" hidden="true" name="wrn.NOV." vbProcedure="false">{"NOV",#N/A,FALSE,"NOV"}</definedName>
    <definedName function="false" hidden="true" name="wrn.NOVEMBER." vbProcedure="false">{"NOVEMBER",#N/A,FALSE,"Q2"}</definedName>
    <definedName function="false" hidden="true" name="wrn.NRC._.Statements." vbProcedure="false">{#N/A,#N/A,FALSE,"NRC Inc Stmnt";#N/A,#N/A,FALSE,"NRC Cash Flows"}</definedName>
    <definedName function="false" hidden="true" name="wrn.ntfinance." vbProcedure="false">{"Rate",#N/A,TRUE,"SUMMARY";"Ratios",#N/A,TRUE,"Ratios";"BUDGETREVENUE",#N/A,TRUE,"Revenue";"TOTALS",#N/A,TRUE,"DETAIL"}</definedName>
    <definedName function="false" hidden="true" name="wrn.nytaann." vbProcedure="false">{"nytacash",#N/A,FALSE,"GLOBEINC";"nytainc",#N/A,FALSE,"GLOBEINC";"nytanyt",#N/A,FALSE,"GLOBEINC";"nytareg",#N/A,FALSE,"GLOBEINC";"nytaglobe",#N/A,FALSE,"GLOBEINC";"nytapprttl",#N/A,FALSE,"GLOBEINC"}</definedName>
    <definedName function="false" hidden="true" name="wrn.ocm_pkg." vbProcedure="false">{#N/A,#N/A,FALSE,"Cover Sheet";#N/A,#N/A,FALSE,"Ave_Trans_Shp_Abs";#N/A,#N/A,FALSE,"Det_Shp_Abs";#N/A,#N/A,FALSE,"Ave_Trans_Inst_Abs";#N/A,#N/A,FALSE,"Det_Ins_Abs";#N/A,#N/A,FALSE,"Ave_Trans_Tot_ABS";#N/A,#N/A,FALSE,"Det_Total_ABS"}</definedName>
    <definedName function="false" hidden="true" name="wrn.OCTOBER." vbProcedure="false">{"OCTOBER",#N/A,FALSE,"Q2"}</definedName>
    <definedName function="false" hidden="true" name="wrn.October_Income." vbProcedure="false">{"Oct_Plan_Income_Month",#N/A,FALSE,"OctInc";"Oct_Month_Lastyear_Inc",#N/A,FALSE,"OctInc"}</definedName>
    <definedName function="false" hidden="true" name="wrn.oct_res_comm." vbProcedure="false">{"oct_res_comm",#N/A,FALSE,"VarToBud"}</definedName>
    <definedName function="false" hidden="true" name="wrn.Offerings._.HPS." vbProcedure="false">{#N/A,#N/A,FALSE,"Front Page";#N/A,#N/A,FALSE,"Contents";#N/A,#N/A,FALSE,"Deals in month";#N/A,#N/A,FALSE,"Major Sales Top 20";#N/A,#N/A,FALSE,"HPS Major Sales";#N/A,#N/A,FALSE,"MJ HPS Calculation sheet";#N/A,#N/A,FALSE,"HPS Rev Track";#N/A,#N/A,FALSE,"HPS Committed";#N/A,#N/A,FALSE,"HPS P1-3";#N/A,#N/A,FALSE,"Lost Bids";#N/A,#N/A,FALSE,"HPS Offering Bar Chart";#N/A,#N/A,FALSE,"HPS Industry Bar Chart";#N/A,#N/A,FALSE,"Issues "}</definedName>
    <definedName function="false" hidden="true" name="wrn.Offerings._.OS." vbProcedure="false">{#N/A,#N/A,FALSE,"Front Page";#N/A,#N/A,FALSE,"Contents";#N/A,#N/A,FALSE,"Deals in month";#N/A,#N/A,FALSE,"Major Sales Top 20";#N/A,#N/A,FALSE,"OS Major Sales";#N/A,#N/A,FALSE,"MJ OS Calculation sheet";#N/A,#N/A,FALSE,"OS Rev Track";#N/A,#N/A,FALSE,"OS Committed";#N/A,#N/A,FALSE,"OS P1-3";#N/A,#N/A,FALSE,"Lost Bids";#N/A,#N/A,FALSE,"OSD Offering Bar Chart";#N/A,#N/A,FALSE,"OSD Industry Bar Chart";#N/A,#N/A,FALSE,"Issues "}</definedName>
    <definedName function="false" hidden="true" name="wrn.Offices." vbProcedure="false">{"Offices",#N/A,FALSE,"Sorted by database"}</definedName>
    <definedName function="false" hidden="true" name="wrn.Ofir." vbProcedure="false">{#N/A,#N/A,FALSE,"P&amp;L";#N/A,#N/A,FALSE,"Balance Sheet";#N/A,#N/A,FALSE,"Cash flow";#N/A,#N/A,FALSE,"Sales";#N/A,#N/A,FALSE,"Data";#N/A,#N/A,FALSE,"Pie Q2.00";#N/A,#N/A,FALSE,"Pie Accum";#N/A,#N/A,FALSE,"Integrators";#N/A,#N/A,FALSE,"Geographic";#N/A,#N/A,FALSE,"DSO";#N/A,#N/A,FALSE,"Headcount"}</definedName>
    <definedName function="false" hidden="true" name="wrn.Oncology." vbProcedure="false">{#N/A,#N/A,FALSE,"Onco";#N/A,#N/A,FALSE,"Taxol";#N/A,#N/A,FALSE,"UFT";#N/A,#N/A,FALSE,"Carb"}</definedName>
    <definedName function="false" hidden="true" name="wrn.one." vbProcedure="false">{"page1",#N/A,FALSE,"A";"page2",#N/A,FALSE,"A"}</definedName>
    <definedName function="false" hidden="true" name="wrn.ONTK." vbProcedure="false">{#N/A,#N/A,FALSE,"Title Page";#N/A,#N/A,FALSE,"Summary Sheet";#N/A,#N/A,FALSE,"Quarterly Income Statement";#N/A,#N/A,FALSE,"Proforma QTR Income Statement";#N/A,#N/A,FALSE,"Fiscal Year Income Statement";#N/A,#N/A,FALSE,"Valuation Summary";#N/A,#N/A,FALSE,"Comps Without";#N/A,#N/A,FALSE,"Comps With"}</definedName>
    <definedName function="false" hidden="true" name="wrn.Operating._.Models." vbProcedure="false">{#N/A,#N/A,TRUE,"Eastern Market";#N/A,#N/A,TRUE,"Western Market";#N/A,#N/A,TRUE,"Sulphur Services";#N/A,#N/A,TRUE,"Global Business";#N/A,#N/A,TRUE,"Incremental Overhead";#N/A,#N/A,TRUE,"Acquired Business"}</definedName>
    <definedName function="false" hidden="true" name="wrn.Opportunity._.Assessment." vbProcedure="false">{#N/A,#N/A,TRUE,"Summary";#N/A,#N/A,TRUE,"Assumptions";#N/A,#N/A,TRUE,"Comparison";#N/A,#N/A,TRUE,"Financials";#N/A,#N/A,TRUE,"Plan v. Act"}</definedName>
    <definedName function="false" hidden="true" name="wrn.Ordered._.packet." vbProcedure="false">{"PnL",#N/A,FALSE,"Total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function="false" hidden="true" name="wrn.OTC._.Market._.Report." vbProcedure="false">{#N/A,#N/A,FALSE,"Sales Graph";#N/A,#N/A,FALSE,"BUC Graph";#N/A,#N/A,FALSE,"P&amp;L - YTD"}</definedName>
    <definedName function="false" hidden="true" name="wrn.OTHER." vbProcedure="false">{"OTHER",#N/A,FALSE,"EXP PIE"}</definedName>
    <definedName function="false" hidden="true" name="wrn.OTHER._.ADMIN._.COSTS." vbProcedure="false">{"OTHER ADMIN COSTS",#N/A,FALSE,"C.CENTRE"}</definedName>
    <definedName function="false" hidden="true" name="wrn.OTHER._.INCOME." vbProcedure="false">{#N/A,#N/A,FALSE,"0600-1 Other Income (Expense)"}</definedName>
    <definedName function="false" hidden="true" name="wrn.Other._.Pharm." vbProcedure="false">{#N/A,#N/A,FALSE,"Other";#N/A,#N/A,FALSE,"Ace";#N/A,#N/A,FALSE,"Derm"}</definedName>
    <definedName function="false" hidden="true" name="wrn.OTHER._.REVENUE." vbProcedure="false">{"OTHER REVENUE",#N/A,FALSE,"OTHERS"}</definedName>
    <definedName function="false" hidden="true" name="wrn.Outlook." vbProcedure="false">{#N/A,#N/A,FALSE,"Consol P&amp;L ";#N/A,#N/A,FALSE,"CP P&amp;L";#N/A,#N/A,FALSE,"ADS P&amp;L";#N/A,#N/A,FALSE,"Corp P&amp;L"}</definedName>
    <definedName function="false" hidden="true" name="wrn.Output." vbProcedure="false">{#N/A,#N/A,TRUE,"Main";#N/A,#N/A,TRUE,"FCF_10Yr";#N/A,#N/A,TRUE,"FCF_15Yr";#N/A,#N/A,TRUE,"Assume"}</definedName>
    <definedName function="false" hidden="true" name="wrn.outputs." vbProcedure="false">{#N/A,#N/A,FALSE,"Outputs"}</definedName>
    <definedName function="false" hidden="true" name="wrn.p" vbProcedure="false">{#N/A,#N/A,FALSE,"1";#N/A,#N/A,FALSE,"2";#N/A,#N/A,FALSE,"16 - 17";#N/A,#N/A,FALSE,"18 - 19";#N/A,#N/A,FALSE,"26";#N/A,#N/A,FALSE,"27";#N/A,#N/A,FALSE,"28"}</definedName>
    <definedName function="false" hidden="true" name="wrn.package." vbProcedure="false">{#N/A,#N/A,FALSE,"sales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function="false" hidden="true" name="wrn.Package._.without._.Charts." vbProcedure="false">{#N/A,#N/A,TRUE,"Title Pg";#N/A,#N/A,TRUE,"Assumptions";#N/A,#N/A,TRUE,"Market Share Data";#N/A,#N/A,TRUE,"Net Flows by Seg";#N/A,#N/A,TRUE,"P&amp;L - PI Total";#N/A,#N/A,TRUE,"Headcount"}</definedName>
    <definedName function="false" hidden="true" name="wrn.packer._.1." vbProcedure="false">{#N/A,#N/A,FALSE,"gopher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function="false" hidden="true" name="wrn.page1." vbProcedure="false">{"page1",#N/A,FALSE,"comsat"}</definedName>
    <definedName function="false" hidden="true" name="wrn.page57to67." vbProcedure="false">{#N/A,#N/A,FALSE,"57";#N/A,#N/A,FALSE,"58";#N/A,#N/A,FALSE,"59";#N/A,#N/A,FALSE,"60";#N/A,#N/A,FALSE,"60A";#N/A,#N/A,FALSE,"61";#N/A,#N/A,FALSE,"62";#N/A,#N/A,FALSE,"63";#N/A,#N/A,FALSE,"63A";#N/A,#N/A,FALSE,"64";#N/A,#N/A,FALSE,"65";#N/A,#N/A,FALSE,"66";#N/A,#N/A,FALSE,"67"}</definedName>
    <definedName function="false" hidden="true" name="wrn.Pages._.28._.to._.50." vbProcedure="false">{#N/A,#N/A,FALSE,"28";#N/A,#N/A,FALSE,"29";#N/A,#N/A,FALSE,"30";#N/A,#N/A,FALSE,"31";#N/A,#N/A,FALSE,"32";#N/A,#N/A,FALSE,"33";#N/A,#N/A,FALSE,"34";#N/A,#N/A,FALSE,"35";#N/A,#N/A,FALSE,"36";#N/A,#N/A,FALSE,"37";#N/A,#N/A,FALSE,"38";#N/A,#N/A,FALSE,"39";#N/A,#N/A,FALSE,"40";#N/A,#N/A,FALSE,"41";#N/A,#N/A,FALSE,"42";#N/A,#N/A,FALSE,"43";#N/A,#N/A,FALSE,"44";#N/A,#N/A,FALSE,"45";#N/A,#N/A,FALSE,"46";#N/A,#N/A,FALSE,"47";#N/A,#N/A,FALSE,"48";#N/A,#N/A,FALSE,"49";#N/A,#N/A,FALSE,"50"}</definedName>
    <definedName function="false" hidden="true" name="wrn.Pages._.51._.to._.66." vbProcedure="false">{#N/A,#N/A,FALSE,"51";#N/A,#N/A,FALSE,"52";#N/A,#N/A,FALSE,"53";#N/A,#N/A,FALSE,"54";#N/A,#N/A,FALSE,"55";#N/A,#N/A,FALSE,"55A";#N/A,#N/A,FALSE,"56";#N/A,#N/A,FALSE,"57";#N/A,#N/A,FALSE,"57A";#N/A,#N/A,FALSE,"58";#N/A,#N/A,FALSE,"59";#N/A,#N/A,FALSE,"60";#N/A,#N/A,FALSE,"60A";#N/A,#N/A,FALSE,"61";#N/A,#N/A,FALSE,"62";#N/A,#N/A,FALSE,"63";#N/A,#N/A,FALSE,"63A";#N/A,#N/A,FALSE,"64";#N/A,#N/A,FALSE,"65";#N/A,#N/A,FALSE,"66"}</definedName>
    <definedName function="false" hidden="true" name="wrn.pages._.88._.to._.end." vbProcedure="false">{#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function="false" hidden="true" name="wrn.Paging._.Compco." vbProcedure="false">{"financials",#N/A,TRUE,"6_30_96";"footnotes",#N/A,TRUE,"6_30_96";"valuation",#N/A,TRUE,"6_30_96"}</definedName>
    <definedName function="false" hidden="true" name="wrn.PandLs." vbProcedure="false">{"Plants",#N/A,FALSE,"Plants";"Summary",#N/A,FALSE,"Summary";"Calvert",#N/A,FALSE,"Calvert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function="false" hidden="true" name="wrn.PandL_Summary." vbProcedure="false">{#N/A,#N/A,FALSE,"Summary"}</definedName>
    <definedName function="false" hidden="true" name="wrn.PartialFncls." vbProcedure="false">{#N/A,#N/A,FALSE,"Income Statement";#N/A,#N/A,FALSE,"Balance Sheet";#N/A,#N/A,FALSE,"Cash Flows";#N/A,#N/A,FALSE,"Ratios"}</definedName>
    <definedName function="false" hidden="true" name="wrn.PBIT_DEV."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wrn.PCS." vbProcedure="false">{#N/A,#N/A,FALSE,"PCS"}</definedName>
    <definedName function="false" hidden="true" name="wrn.PCtrl_Wide." vbProcedure="false">{#N/A,#N/A,FALSE,"PerfCtrl WideRpt"}</definedName>
    <definedName function="false" hidden="true" name="wrn.PDS." vbProcedure="false">{#N/A,#N/A,FALSE,"Cover Sheet";#N/A,#N/A,FALSE,"Bill Of Materials";#N/A,#N/A,FALSE,"Gas Panel Drawing"}</definedName>
    <definedName function="false" hidden="true" name="wrn.Penn._.PSC._.part._.1." vbProcedure="false">{#N/A,#N/A,FALSE,"Cover";#N/A,#N/A,FALSE,"Index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function="false" hidden="true" name="wrn.Penn._.PSC._.part._.2." vbProcedure="false">{#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function="false" hidden="true" name="wrn.PENSION._.PROVISION_SSAP24._.ADJ." vbProcedure="false">{#N/A,#N/A,TRUE,"JOURNAL";#N/A,#N/A,TRUE,"Contributions";#N/A,#N/A,TRUE,"Provision";#N/A,#N/A,TRUE,"Provision &amp; Amortisation"}</definedName>
    <definedName function="false" hidden="true" name="wrn.PerfCtrl." vbProcedure="false">{#N/A,#N/A,FALSE,"PERFCTRL Report"}</definedName>
    <definedName function="false" hidden="true" name="wrn.Performance." vbProcedure="false">{"Performance Details",#N/A,FALSE,"Current Yr";"Performance Details",#N/A,FALSE,"Budget";"Performance Details",#N/A,FALSE,"Prior Year"}</definedName>
    <definedName function="false" hidden="true" name="wrn.Performance._.Report." vbProcedure="false">{"1IE",#N/A,FALSE,"Management Accounts";"2TO",#N/A,FALSE,"Management Accounts";"3OP",#N/A,FALSE,"Management Accounts";"4SA",#N/A,FALSE,"Management Accounts";"5IN",#N/A,FALSE,"Management Accounts";"6OF",#N/A,FALSE,"Management Accounts";"9BS",#N/A,FALSE,"Management Accounts";"9CF",#N/A,FALSE,"Cash Flow Statement"}</definedName>
    <definedName function="false" hidden="true" name="wrn.perimeter._.comp." vbProcedure="false">{#N/A,#N/A,TRUE,"comp";#N/A,#N/A,TRUE,"notes"}</definedName>
    <definedName function="false" hidden="true" name="wrn.Period._.End._.Report." vbProcedure="false">{"Ending Period 4",#N/A,FALSE,"Period 4"}</definedName>
    <definedName function="false" hidden="true" name="wrn.Period._.Only." vbProcedure="false">{#N/A,#N/A,FALSE,"CONSOLIDATED";#N/A,#N/A,FALSE,"LANCE CO";#N/A,#N/A,FALSE,"VISTA"}</definedName>
    <definedName function="false" hidden="true" name="wrn.PERPACKPG3." vbProcedure="false">{"DJH3",#N/A,FALSE,"PFL00805";"PJB3",#N/A,FALSE,"PFL00805";"JMD3",#N/A,FALSE,"PFL00805";"DNB3",#N/A,FALSE,"PFL00805";"MJP3",#N/A,FALSE,"PFL00805";"RAB3",#N/A,FALSE,"PFL00805";"GJW3",#N/A,FALSE,"PFL00805";"MASTER3",#N/A,FALSE,"PFL00805"}</definedName>
    <definedName function="false" hidden="true" name="wrn.PERSONNEL." vbProcedure="false">{"FORM16",#N/A,TRUE,"Personnel1";"FORM16.2",#N/A,TRUE,"Personnel2";"FORM16.2",#N/A,TRUE,"Personnel3";"FORM16.3",#N/A,TRUE,"Personnel4";"FORM16.4",#N/A,TRUE,"Personnel5"}</definedName>
    <definedName function="false" hidden="true" name="wrn.persrep." vbProcedure="false">{"volu1",#N/A,FALSE,"Volumes";"headcount",#N/A,FALSE,"Headcount";"emprpt",#N/A,FALSE,"Output"}</definedName>
    <definedName function="false" hidden="true" name="wrn.PFDBalance._.Sheet." vbProcedure="false">{#N/A,"PURPER",FALSE,"BSHIST.XLS";#N/A,"PURADD",FALSE,"BSHIST.XLS";#N/A,"PURSPP",FALSE,"BSHIST.XLS";#N/A,"CTGIND",FALSE,"BSHIST.XLS";#N/A,"ANCHOR",FALSE,"BSHIST.XLS";#N/A,"SPADD",FALSE,"BSHIST.XLS"}</definedName>
    <definedName function="false" hidden="true" name="wrn.Pharm._.Market._.Report." vbProcedure="false">{#N/A,#N/A,FALSE,"Sales Graph";#N/A,#N/A,FALSE,"PSBM";#N/A,#N/A,FALSE,"BUC Graph";#N/A,#N/A,FALSE,"P&amp;L - YTD"}</definedName>
    <definedName function="false" hidden="true" name="wrn.Pharmaceuticals." vbProcedure="false">{#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function="false" hidden="true" name="wrn.PHASE._.Financials."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wrn.phoenix." vbProcedure="false">{"is_plan vs Act",#N/A,FALSE,"IS_Plan-Act";"is_curr&amp;YTD",#N/A,FALSE,"IS_Plan-Act";"is_last5mos",#N/A,FALSE,"IS_Plan-Act";"is_vsYTD_RR",#N/A,FALSE,"IS_Plan-Act";"bs",#N/A,FALSE,"IS_Plan-Act";"bs_last5mos",#N/A,FALSE,"IS_Plan-Act";"cf",#N/A,FALSE,"IS_Plan-Act"}</definedName>
    <definedName function="false" hidden="true" name="wrn.Pianocomp." vbProcedure="false">{"page_1",#N/A,TRUE,"Sheet1";"page_2",#N/A,TRUE,"Sheet1";"page_notes",#N/A,TRUE,"Sheet1"}</definedName>
    <definedName function="false" hidden="true" name="wrn.PK._.Szenario._.A." vbProcedure="false">{"A_Vorstand",#N/A,TRUE,"PK Szenario ";"B_Nord",#N/A,TRUE,"PK Szenario ";"C_Nordwest",#N/A,TRUE,"PK Szenario ";"D_West",#N/A,TRUE,"PK Szenario ";"E_Südwest",#N/A,TRUE,"PK Szenario ";"F_Süd",#N/A,TRUE,"PK Szenario ";"G_Ost",#N/A,TRUE,"PK Szenario ";"H_Gesamt",#N/A,TRUE,"PK Szenario "}</definedName>
    <definedName function="false" hidden="true" name="wrn.PL." vbProcedure="false">{"20 Years",#N/A,FALSE,"P&amp;Ls";"2001",#N/A,FALSE,"P&amp;Ls"}</definedName>
    <definedName function="false" hidden="true" name="wrn.Plakat." vbProcedure="false">{#N/A,#N/A,FALSE,"1. PTI Ziele";#N/A,#N/A,FALSE,"2. Zielkatalog ";#N/A,#N/A,FALSE,"3. Masterterminplan"}</definedName>
    <definedName function="false" hidden="true" name="wrn.PLAN." vbProcedure="false">{#N/A,#N/A,FALSE,"5YRPL";#N/A,#N/A,FALSE,"3YRPL"}</definedName>
    <definedName function="false" hidden="true" name="wrn.Planung_Ebeling."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wrn.planvsmodel." vbProcedure="false">{#N/A,#N/A,FALSE,"total";#N/A,#N/A,FALSE,"cementonly";#N/A,#N/A,FALSE,"slagonly"}</definedName>
    <definedName function="false" hidden="true" name="wrn.plbscf." vbProcedure="false">{"p_l",#N/A,FALSE,"Summary Accounts"}</definedName>
    <definedName function="false" hidden="true" name="wrn.PLGermanGAAP2000_2009." vbProcedure="false">{"PLGGAAP1",#N/A,FALSE,"P&amp;L G GAAP"}</definedName>
    <definedName function="false" hidden="true" name="wrn.PLGermanGAAP2010_2019." vbProcedure="false">{"PLGGAAP2",#N/A,FALSE,"P&amp;L G GAAP"}</definedName>
    <definedName function="false" hidden="true" name="wrn.PLUSGAAP2000_2009." vbProcedure="false">{"PLUSGAAP1",#N/A,FALSE,"P&amp;L US GAAP"}</definedName>
    <definedName function="false" hidden="true" name="wrn.PLUSGAAP2010_2019." vbProcedure="false">{"PLUSGAAP2",#N/A,FALSE,"P&amp;L US GAAP"}</definedName>
    <definedName function="false" hidden="true" name="wrn.PLX."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true" name="wrn.PL_All." vbProcedure="false">{"con all",#N/A,FALSE,"CON-ALL";"pl-exist retail",#N/A,FALSE,"CON-EXST RETAIL";"pl-nm",#N/A,FALSE,"PL-NM";"PLHTN",#N/A,FALSE,"PL-HTN";"pl-nj",#N/A,FALSE,"PL-NJ";"pl-aus",#N/A,FALSE,"PL-AUS";"pl-sang",#N/A,FALSE,"PL-SANG";"pl-flo",#N/A,FALSE,"PL-FLO";"pl-dal",#N/A,FALSE,"PL-DAL";"pl-cg",#N/A,FALSE,"PL-CG";"pl-topside",#N/A,FALSE,"PL-TOPSIDE";"pl-vist",#N/A,FALSE,"PL-VIST";"pl-fy00acq",#N/A,FALSE,"FY00 ACQ";"pl-fy01acq",#N/A,FALSE,"FY01 ACQ";"pl-corp",#N/A,FALSE,"CORP"}</definedName>
    <definedName function="false" hidden="true" name="wrn.PL_cont_GermanGAAP2000_2009." vbProcedure="false">{"PLGGAAP3",#N/A,FALSE,"P&amp;L G GAAP"}</definedName>
    <definedName function="false" hidden="true" name="wrn.PL_cont_GermanGAAP2010_2019." vbProcedure="false">{"PLGGAAP4",#N/A,FALSE,"P&amp;L G GAAP"}</definedName>
    <definedName function="false" hidden="true" name="wrn.PL_cont_USGAAP2000_2009." vbProcedure="false">{"PLUSGAAP3",#N/A,FALSE,"P&amp;L US GAAP"}</definedName>
    <definedName function="false" hidden="true" name="wrn.PL_cont_USGAAP2010_2019." vbProcedure="false">{"PLUSGAAP4",#N/A,FALSE,"P&amp;L US GAAP"}</definedName>
    <definedName function="false" hidden="true" name="wrn.PL_Unterlagen." vbProcedure="false">{#N/A,#N/A,FALSE,"Liste VKL"}</definedName>
    <definedName function="false" hidden="true" name="wrn.PMS_Bericht." vbProcedure="false">{#N/A,#N/A,FALSE,"Deckblatt PMS";#N/A,#N/A,FALSE,"Ergebnis und Cash-flow PMS";#N/A,#N/A,FALSE,"Kennzahlen PMS";#N/A,#N/A,FALSE,"Bilanz PMS"}</definedName>
    <definedName function="false" hidden="true" name="wrn.PMW._.Gruppe._.00_99." vbProcedure="false">{#N/A,#N/A,FALSE,"PMW Gruppe 00_99";#N/A,#N/A,FALSE,"PMW KG 00_99";#N/A,#N/A,FALSE,"PMW Inc. 00_99";#N/A,#N/A,FALSE,"PMW VTECH 00_99";#N/A,#N/A,FALSE,"PMW Thail. 00_99";#N/A,#N/A,FALSE,"PMW Canada 00_99";#N/A,#N/A,FALSE,"Währungsabw. 00_99"}</definedName>
    <definedName function="false" hidden="true" name="wrn.PMW._.Gruppe._.99_98n." vbProcedure="false">{#N/A,#N/A,FALSE,"PMW Gruppe 99_98";#N/A,#N/A,FALSE,"PMW KG 98_99";#N/A,#N/A,FALSE,"PMW Inc. 99_98";#N/A,#N/A,FALSE,"PMW VTECH 99_98";#N/A,#N/A,FALSE,"PMW Thail. 99_98";#N/A,#N/A,FALSE,"PMW Canada 99_98";#N/A,#N/A,FALSE,"Währungsabw. 99_98"}</definedName>
    <definedName function="false" hidden="true" name="wrn.Polymers." vbProcedure="false">{"Polymers Details",#N/A,FALSE,"Current Yr";"Polymer Details",#N/A,FALSE,"Budget";"Polymer Details",#N/A,FALSE,"Prior Year"}</definedName>
    <definedName function="false" hidden="true" name="wrn.Polymers._.Balance._.Sheet." vbProcedure="false">{#N/A,"POLY",FALSE,"BSHIST.XLS";#N/A,"EMUL",FALSE,"BSHIST.XLS";#N/A,"PVOH",FALSE,"BSHIST.XLS";#N/A,"ACET",FALSE,"BSHIST.XLS"}</definedName>
    <definedName function="false" hidden="true" name="wrn.poop" vbProcedure="false">{"Pulp Production",#N/A,FALSE,"Pulp";"Pulp Earnings",#N/A,FALSE,"Pulp"}</definedName>
    <definedName function="false" hidden="true" name="wrn.ppepsum." vbProcedure="false">{"rev",#N/A,FALSE,"ppepsum";"vcost",#N/A,FALSE,"ppepsum";"ecprof",#N/A,FALSE,"ppepsum"}</definedName>
    <definedName function="false" hidden="true" name="wrn.ppp" vbProcedure="false">{#N/A,#N/A,FALSE,"1";#N/A,#N/A,FALSE,"2";#N/A,#N/A,FALSE,"16 - 17";#N/A,#N/A,FALSE,"18 - 19";#N/A,#N/A,FALSE,"26";#N/A,#N/A,FALSE,"27";#N/A,#N/A,FALSE,"28"}</definedName>
    <definedName function="false" hidden="true" name="wrn.pr3sty." vbProcedure="false">{#N/A,#N/A,FALSE,"intag";#N/A,#N/A,FALSE,"budg";#N/A,#N/A,FALSE,"samtl"}</definedName>
    <definedName function="false" hidden="true" name="wrn.Practices." vbProcedure="false">{"Practices",#N/A,FALSE,"Sorted by database"}</definedName>
    <definedName function="false" hidden="true" name="wrn.PREPAIDS." vbProcedure="false">{#N/A,#N/A,FALSE,"G-1 Prepaid Expenses-Other";#N/A,#N/A,FALSE,"G-2 Prepaid Property Taxes";#N/A,#N/A,FALSE,"G-3 Prepaid Insurance "}</definedName>
    <definedName function="false" hidden="true" name="wrn.Presentation." vbProcedure="false">{"Presentation",#N/A,FALSE,"Feb96 - ALL"}</definedName>
    <definedName function="false" hidden="true" name="wrn.Presentation._.Version._.but._.No._.WC._.Slide." vbProcedure="false">{"Presentation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function="false" hidden="true" name="wrn.presentation1" vbProcedure="false">{"Cover",#N/A,FALSE,"Cover";"Key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function="false" hidden="true" name="wrn.PriceAssump2000_2009." vbProcedure="false">{"PriceAssump1",#N/A,FALSE,"PriceAssump"}</definedName>
    <definedName function="false" hidden="true" name="wrn.PriceAssump2010_2019." vbProcedure="false">{"PriceAssump2",#N/A,FALSE,"PriceAssump"}</definedName>
    <definedName function="false" hidden="true" name="wrn.Price_Effect." vbProcedure="false">{"Comp_of_Price_Effect",#N/A,FALSE,"QTRDPVAR"}</definedName>
    <definedName function="false" hidden="true" name="wrn.PrimeCo." vbProcedure="false">{"print 1",#N/A,FALSE,"PrimeCo PCS";"print 2",#N/A,FALSE,"PrimeCo PCS";"valuation",#N/A,FALSE,"PrimeCo PCS"}</definedName>
    <definedName function="false" hidden="true" name="wrn.prin2._.all." vbProcedure="false">{#N/A,#N/A,FALSE,"Pharm";#N/A,#N/A,FALSE,"WWCM"}</definedName>
    <definedName function="false" hidden="true" name="wrn.prin3" vbProcedure="false">{#N/A,#N/A,FALSE,"Pharm";#N/A,#N/A,FALSE,"WWCM"}</definedName>
    <definedName function="false" hidden="true" name="wrn.print" vbProcedure="false">{"page1",#N/A,FALSE,"PROFORMA";"page2",#N/A,FALSE,"PROFORMA";"page3",#N/A,FALSE,"PROFORMA";"page4",#N/A,FALSE,"PROFORMA";"page5",#N/A,FALSE,"PROFORMA";"page6",#N/A,FALSE,"PROFORMA";"page7",#N/A,FALSE,"PROFORMA";"page8",#N/A,FALSE,"PROFORMA"}</definedName>
    <definedName function="false" hidden="true" name="wrn.Print." vbProcedure="false">{#N/A,#N/A,FALSE,"Trading-Mult ";#N/A,#N/A,FALSE,"Trading-Cap";#N/A,#N/A,FALSE,"Trading-Inc";#N/A,#N/A,FALSE,"Cash Flow";#N/A,#N/A,FALSE,"M&amp;A info"}</definedName>
    <definedName function="false" hidden="true" name="wrn.Print.2" vbProcedure="false">{#N/A,#N/A,FALSE,"Assumps";#N/A,#N/A,FALSE,"Data";#N/A,#N/A,FALSE,"Data (2)";#N/A,#N/A,FALSE,"AcqyrP&amp;L";#N/A,#N/A,FALSE,"Acq+1P&amp;L";#N/A,#N/A,FALSE,"Acq+2P&amp;L";#N/A,#N/A,FALSE,"Cashflow";#N/A,#N/A,FALSE,"BalSheet";#N/A,#N/A,FALSE,"Bidder";#N/A,#N/A,FALSE,"Target";#N/A,#N/A,FALSE,"Tgtann";#N/A,#N/A,FALSE,"Topt";#N/A,#N/A,FALSE,"Disp";#N/A,#N/A,FALSE,"Dann";#N/A,#N/A,FALSE,"Syns"}</definedName>
    <definedName function="false" hidden="true" name="wrn.Print.out." vbProcedure="false">{#N/A,#N/A,TRUE,"Cover";#N/A,#N/A,TRUE,"Summary";#N/A,#N/A,TRUE,"P&amp;L";#N/A,#N/A,TRUE,"BS";#N/A,#N/A,TRUE,"CF";#N/A,#N/A,TRUE,"Auna TLC";#N/A,#N/A,TRUE,"Amena - Market Evolution";#N/A,#N/A,TRUE,"Amena - Revenues";#N/A,#N/A,TRUE,"Debt &amp; Obligations";#N/A,#N/A,TRUE,"Assets &amp; Deferred Rights";#N/A,#N/A,TRUE,"BB internet market - comps";#N/A,#N/A,TRUE,"CaTV market - comps"}</definedName>
    <definedName function="false" hidden="true" name="wrn.PRINT._.ALL." vbProcedure="false">{#N/A,#N/A,FALSE,"Pharm";#N/A,#N/A,FALSE,"WWCM"}</definedName>
    <definedName function="false" hidden="true" name="wrn.PRINT._.ALL.2" vbProcedure="false">{#N/A,#N/A,FALSE,"Pharm";#N/A,#N/A,FALSE,"WWCM"}</definedName>
    <definedName function="false" hidden="true" name="wrn.Print._.all._.GLI._.Reports." vbProcedure="false">{"GLI-Income Statement",#N/A,FALSE,"gli";"GLI - Balance Sheet Wksht",#N/A,FALSE,"gli";"GLI-Cash Flow",#N/A,FALSE,"gli";"GLI Qtrly Stats",#N/A,FALSE,"gli"}</definedName>
    <definedName function="false" hidden="true" name="wrn.Print._.All._.Output." vbProcedure="false">{"Public Market Overview",#N/A,TRUE,"PMO";"Transaction assumptions",#N/A,TRUE,"Transaction Inputs";"Pro forma I/S and S/CF",#N/A,TRUE,"IS and CF";"Goodwill calculations",#N/A,TRUE,"Asset Write-up";"Pro forma acc-dil",#N/A,TRUE,"ACC-DIL";"Public Market Overview",#N/A,TRUE,"PMO";"Trading comparables",#N/A,TRUE,"Public Market Stats";"Pro forma Credit Statistics",#N/A,TRUE,"Credit Stats";"At Various Prices (AVP)",#N/A,TRUE,"AVP";"Contribution Analysis",#N/A,TRUE,"Contribution";"Value creation",#N/A,TRUE,"Value Creation";"Trading comparables",#N/A,TRUE,"Peer Comparables Analysis"}</definedName>
    <definedName function="false" hidden="tru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true" name="wrn.PRINT._.ALL._.REPORTS." vbProcedure="false">{"USDFC3",#N/A,FALSE,"FC-3 ";"USDCOST",#N/A,FALSE,"FC-3 ";"LCFC3",#N/A,FALSE,"FC-3 ";"LCCOST",#N/A,FALSE,"FC-3 "}</definedName>
    <definedName function="false" hidden="true" name="wrn.print._.all2" vbProcedure="false">{#N/A,#N/A,FALSE,"Pharm";#N/A,#N/A,FALSE,"WWCM"}</definedName>
    <definedName function="false" hidden="true" name="wrn.Print._.Documents." vbProcedure="false">{#N/A,#N/A,TRUE,"Cover Page";#N/A,#N/A,TRUE,"Executive Summary";#N/A,#N/A,TRUE,"Photos";#N/A,#N/A,TRUE,"Area Map";#N/A,#N/A,TRUE,"Descriptions";#N/A,#N/A,TRUE,"SitePlan";#N/A,#N/A,TRUE,"Land Grid";#N/A,#N/A,TRUE,"Land Sales Map";#N/A,#N/A,TRUE,"Cost Approach Schedule";#N/A,#N/A,TRUE,"Certification"}</definedName>
    <definedName function="false" hidden="true" name="wrn.Print._.Europe._.TandB." vbProcedure="false">{"Print Top",#N/A,FALSE,"Europe Model";"Print Bottom",#N/A,FALSE,"Europe Model"}</definedName>
    <definedName function="false" hidden="true" name="wrn.Print._.FE._.T._.and._.B." vbProcedure="false">{"Far East Top",#N/A,FALSE,"FE Model";"Far East Bottom",#N/A,FALSE,"FE Model"}</definedName>
    <definedName function="false" hidden="true" name="wrn.Print._.Full._.Report." vbProcedure="false">{#N/A,#N/A,TRUE,"Cover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function="false" hidden="true" name="wrn.print._.graphs." vbProcedure="false">{"cap_structure",#N/A,FALSE,"Graph-Mkt Cap";"price",#N/A,FALSE,"Graph-Price";"ebit",#N/A,FALSE,"Graph-EBITDA";"ebitda",#N/A,FALSE,"Graph-EBITDA"}</definedName>
    <definedName function="false" hidden="true" name="wrn.Print._.LBO._.Model." vbProcedure="false">{"toc",#N/A,TRUE,"TOC";"summary",#N/A,TRUE,"Summary";"credit",#N/A,TRUE,"Model";"income",#N/A,TRUE,"Model";"balance",#N/A,TRUE,"Model";"cash",#N/A,TRUE,"Model";"capitalization",#N/A,TRUE,"Model";"margins",#N/A,TRUE,"Model";"acq_bal",#N/A,TRUE,"Model";"dep_amort",#N/A,TRUE,"Model";"tax",#N/A,TRUE,"Model";"dep_tax",#N/A,TRUE,"TOC";#N/A,#N/A,TRUE,"Expenses";"returns",#N/A,TRUE,"Model";"return_calc",#N/A,TRUE,"Returns"}</definedName>
    <definedName function="false" hidden="true" name="wrn.PRINT._.LC._.CAPITAL." vbProcedure="false">{"LC",#N/A,FALSE,"FC-15 Cap Expend"}</definedName>
    <definedName function="false" hidden="true" name="wrn.Print._.Model." vbProcedure="false">{#N/A,#N/A,TRUE,"Contents";#N/A,#N/A,TRUE,"Scenarios";#N/A,#N/A,TRUE,"SensitivitiesPower";#N/A,#N/A,TRUE,"SensitivitiesGas";#N/A,#N/A,TRUE,"SensitivitiesWater";#N/A,#N/A,TRUE,"Fixed Cost allocation table";#N/A,#N/A,TRUE,"Fixed Cost SWS Forecast";#N/A,#N/A,TRUE,"Revenue per Client";#N/A,#N/A,TRUE,"Supply margin per Client";#N/A,#N/A,TRUE,"DCFCoverPower";#N/A,#N/A,TRUE,"Power Volume &amp; Price Forecast";#N/A,#N/A,TRUE,"Assumption Book";#N/A,#N/A,TRUE,"RevenuesPower";#N/A,#N/A,TRUE,"Power Pricing";#N/A,#N/A,TRUE,"CostsPower";#N/A,#N/A,TRUE,"Power Fixco Allocation&amp;Forecast";#N/A,#N/A,TRUE,"WaccCompPower";#N/A,#N/A,TRUE,"WaccPower";#N/A,#N/A,TRUE,"MatrixPower";#N/A,#N/A,TRUE,"DCFCoverGas";#N/A,#N/A,TRUE,"CostGas";#N/A,#N/A,TRUE,"RevenuesGas";#N/A,#N/A,TRUE,"Gas Fixco Allocation&amp;Forecast";#N/A,#N/A,TRUE,"Gas Volume &amp; Price Forecast";#N/A,#N/A,TRUE,"WaccGas";#N/A,#N/A,TRUE,"WaccCompGas";#N/A,#N/A,TRUE,"MatrixGas";#N/A,#N/A,TRUE,"DCFCoverWater";#N/A,#N/A,TRUE,"Water Volume &amp; Price Forecast";#N/A,#N/A,TRUE,"Water Pricing";#N/A,#N/A,TRUE,"RevenuesWater";#N/A,#N/A,TRUE,"CostWater";#N/A,#N/A,TRUE,"WaccCompWater";#N/A,#N/A,TRUE,"WaccWater";#N/A,#N/A,TRUE,"MatrixWater";#N/A,#N/A,TRUE,"DCFCoverVersorgung";#N/A,#N/A,TRUE,"DCFOverviewPower";#N/A,#N/A,TRUE,"DCFOverviewGas";#N/A,#N/A,TRUE,"DCFOverviewWater";#N/A,#N/A,TRUE,"DCFOverviewVersorgung";#N/A,#N/A,TRUE,"ValuePower";#N/A,#N/A,TRUE,"ValueGas";#N/A,#N/A,TRUE,"ValueVersorgung";#N/A,#N/A,TRUE,"ValueWater";#N/A,#N/A,TRUE,"PlanPower";#N/A,#N/A,TRUE,"PlanGas";#N/A,#N/A,TRUE,"PlanWater";#N/A,#N/A,TRUE,"PlanVersorgung";#N/A,#N/A,TRUE,"DCFPower";#N/A,#N/A,TRUE,"DCFGas";#N/A,#N/A,TRUE,"DCFWater";#N/A,#N/A,TRUE,"DCFVersorgung";#N/A,#N/A,TRUE,"MatrixVersorgung"}</definedName>
    <definedName function="false" hidden="true" name="wrn.print._.out." vbProcedure="false">{#N/A,#N/A,FALSE,"Cover";#N/A,#N/A,FALSE,"Scenari";#N/A,#N/A,FALSE,"P&amp;L - AH";#N/A,#N/A,FALSE,"BS - AH";#N/A,#N/A,FALSE,"CF - AH";#N/A,#N/A,FALSE,"P&amp;L HoldCo";#N/A,#N/A,FALSE,"BS HoldCo";#N/A,#N/A,FALSE,"CF HoldCo";#N/A,#N/A,FALSE,"P&amp;L Conso";#N/A,#N/A,FALSE,"BS Conso";#N/A,#N/A,FALSE,"CF Conso";#N/A,#N/A,FALSE,"Revenues";#N/A,#N/A,FALSE,"Opex";#N/A,#N/A,FALSE,"Capex";#N/A,#N/A,FALSE,"WC";#N/A,#N/A,FALSE,"Debt";#N/A,#N/A,FALSE,"Taxes";#N/A,#N/A,FALSE,"Minorities";#N/A,#N/A,FALSE,"Devaluation"}</definedName>
    <definedName function="false" hidden="true" name="wrn.print._.pages." vbProcedure="false">{#N/A,#N/A,FALSE,"Spain MKT";#N/A,#N/A,FALSE,"Assumptions";#N/A,#N/A,FALSE,"Adve";#N/A,#N/A,FALSE,"E-Commerce";#N/A,#N/A,FALSE,"Opex";#N/A,#N/A,FALSE,"P&amp;L";#N/A,#N/A,FALSE,"FCF &amp; DCF"}</definedName>
    <definedName function="false" hidden="true" name="wrn.print._.pages2." vbProcedure="false">{#N/A,#N/A,FALSE,"Spain MKT";#N/A,#N/A,FALSE,"Assumptions";#N/A,#N/A,FALSE,"Adve";#N/A,#N/A,FALSE,"E-Commerce";#N/A,#N/A,FALSE,"Opex";#N/A,#N/A,FALSE,"P&amp;L";#N/A,#N/A,FALSE,"FCF &amp; DCF"}</definedName>
    <definedName function="false" hidden="true" name="wrn.print._.raw._.data._.entry." vbProcedure="false">{"inputs raw data",#N/A,TRUE,"INPUT"}</definedName>
    <definedName function="false" hidden="true" name="wrn.print._.standalone." vbProcedure="false">{"standalone1",#N/A,FALSE,"DCFBase";"standalone2",#N/A,FALSE,"DCFBase"}</definedName>
    <definedName function="false" hidden="true" name="wrn.print._.summary._.sheets." vbProcedure="false">{"summary1",#N/A,TRUE,"Comps";"summary2",#N/A,TRUE,"Comps";"summary3",#N/A,TRUE,"Comps"}</definedName>
    <definedName function="false" hidden="true" name="wrn.print._.summary._.sheets.2" vbProcedure="false">{"summary1",#N/A,TRUE,"Comps";"summary2",#N/A,TRUE,"Comps";"summary3",#N/A,TRUE,"Comps"}</definedName>
    <definedName function="false" hidden="true" name="wrn.Print._.the._.lot." vbProcedure="false">{"First Page",#N/A,FALSE,"Surfactants LBO";"Second Page",#N/A,FALSE,"Surfactants LBO"}</definedName>
    <definedName function="false" hidden="true" name="wrn.PRINT._.USD._.CAPITAL." vbProcedure="false">{"USD",#N/A,FALSE,"FC-15 Cap Expend"}</definedName>
    <definedName function="false" hidden="true" name="wrn.Print._.whole._.Report." vbProcedure="false">{#N/A,#N/A,TRUE,"WaccPower";#N/A,#N/A,TRUE,"Model Assumptions";#N/A,#N/A,TRUE,"Financial Assumptions";#N/A,#N/A,TRUE,"Scenarios";#N/A,#N/A,TRUE,"SensitivitiesPower";#N/A,#N/A,TRUE,"SensitivitiesGas";#N/A,#N/A,TRUE,"Fixed Cost allocation table";#N/A,#N/A,TRUE,"SensitivitiesWater";#N/A,#N/A,TRUE,"Fixed Cost SWS Forecast";#N/A,#N/A,TRUE,"Historic balance sheet";#N/A,#N/A,TRUE,"Revenue per Client";#N/A,#N/A,TRUE,"Supply margin per Client";#N/A,#N/A,TRUE,"Multiples Calculation";#N/A,#N/A,TRUE,"Stadtwerke Comps";#N/A,#N/A,TRUE,"Electricity Comps";#N/A,#N/A,TRUE,"Gas Comps";#N/A,#N/A,TRUE,"Water Comps";#N/A,#N/A,TRUE,"DCFCoverPower";#N/A,#N/A,TRUE,"Power Volume &amp; Price Forecast";#N/A,#N/A,TRUE,"Stromabgabe 1999";#N/A,#N/A,TRUE,"RevenuesPower";#N/A,#N/A,TRUE,"Power Pricing";#N/A,#N/A,TRUE,"CostsPower";#N/A,#N/A,TRUE,"PlanPower";#N/A,#N/A,TRUE,"DCFPower";#N/A,#N/A,TRUE,"ValuePower";#N/A,#N/A,TRUE,"WaccCompPower";#N/A,#N/A,TRUE,"MatrixPower";#N/A,#N/A,TRUE,"DCFCoverGas";#N/A,#N/A,TRUE,"DCFOverviewGas";#N/A,#N/A,TRUE,"Gas Pricing";#N/A,#N/A,TRUE,"RevenuesGas";#N/A,#N/A,TRUE,"CostGas";#N/A,#N/A,TRUE,"Gas Volume &amp; Price Forecast";#N/A,#N/A,TRUE,"PlanGas";#N/A,#N/A,TRUE,"DCFGas";#N/A,#N/A,TRUE,"ValueGas";#N/A,#N/A,TRUE,"WaccGas";#N/A,#N/A,TRUE,"WaccCompGas";#N/A,#N/A,TRUE,"MatrixGas";#N/A,#N/A,TRUE,"DCFCoverWater";#N/A,#N/A,TRUE,"DCFCoverWater";#N/A,#N/A,TRUE,"Water Volume &amp; Price Forecast";#N/A,#N/A,TRUE,"Water Pricing";#N/A,#N/A,TRUE,"RevenuesWater";#N/A,#N/A,TRUE,"CostWater";#N/A,#N/A,TRUE,"PlanWater";#N/A,#N/A,TRUE,"DCFWater";#N/A,#N/A,TRUE,"ValueWater";#N/A,#N/A,TRUE,"WaccWater";#N/A,#N/A,TRUE,"WaccCompWater";#N/A,#N/A,TRUE,"MatrixWater";#N/A,#N/A,TRUE,"DCFCoverVersorgung";#N/A,#N/A,TRUE,"DCFOverviewPower";#N/A,#N/A,TRUE,"DCFOverviewWater";#N/A,#N/A,TRUE,"DCFOverviewVersorgung";#N/A,#N/A,TRUE,"PlanVersorgung";#N/A,#N/A,TRUE,"DCFVersorgung";#N/A,#N/A,TRUE,"ValueVersorgung";#N/A,#N/A,TRUE,"WaccVersorgung";#N/A,#N/A,TRUE,"WaccCompVersorgung";#N/A,#N/A,TRUE,"MatrixVersorgung"}</definedName>
    <definedName function="false" hidden="true" name="wrn.print._all1." vbProcedure="false">{#N/A,#N/A,FALSE,"Pharm";#N/A,#N/A,FALSE,"WWCM"}</definedName>
    <definedName function="false" hidden="true" name="wrn.print1." vbProcedure="false">{"inc1",#N/A,TRUE,"Inc. Statement";"inc2",#N/A,TRUE,"Inc. Statement";"inc3",#N/A,TRUE,"Inc. Statement"}</definedName>
    <definedName function="false" hidden="true" name="wrn.print2" vbProcedure="false">{#N/A,#N/A,FALSE,"Pharm";#N/A,#N/A,FALSE,"WWCM"}</definedName>
    <definedName function="false" hidden="true" name="wrn.PRINT2." vbProcedure="false">{"PAGE1",#N/A,FALSE,"ADJMODL";"PAGE2",#N/A,FALSE,"ADJMODL";"PAGE3",#N/A,FALSE,"ADJMODL";"PAGE4",#N/A,FALSE,"ADJMODL";"PAGE5",#N/A,FALSE,"ADJMODL";"PAGE6",#N/A,FALSE,"ADJMODL";"PAGE7",#N/A,FALSE,"ADJMODL";"PAGE8",#N/A,FALSE,"ADJMODL"}</definedName>
    <definedName function="false" hidden="true" name="wrn.print3." vbProcedure="false">{"page1",#N/A,FALSE,"PF";"page2",#N/A,FALSE,"PF";"page3",#N/A,FALSE,"PF";"page4",#N/A,FALSE,"Bal_Sht"}</definedName>
    <definedName function="false" hidden="true" name="wrn.printac." vbProcedure="false">{#N/A,#N/A,FALSE,"Op-BS";#N/A,#N/A,FALSE,"Assum";#N/A,#N/A,FALSE,"IS";#N/A,#N/A,FALSE,"Syn+Elim";#N/A,#N/A,FALSE,"BSCF";#N/A,#N/A,FALSE,"Blue_IS";#N/A,#N/A,FALSE,"Blue_BSCF";#N/A,#N/A,FALSE,"Ratings"}</definedName>
    <definedName function="false" hidden="true" name="wrn.PrintAll." vbProcedure="false">{"PA1",#N/A,TRUE,"BORDMW";"pa2",#N/A,TRUE,"BORDMW";"PA3",#N/A,TRUE,"BORDMW";"PA4",#N/A,TRUE,"BORDMW"}</definedName>
    <definedName function="false" hidden="true" name="wrn.printall12monthreports." vbProcedure="false">{"printfs",#N/A,TRUE,"FS";"printdues",#N/A,TRUE,"DUES";"printlab",#N/A,TRUE,"LAB";"printsls",#N/A,TRUE,"SLS";"prints1",#N/A,TRUE,"S1";"printceo",#N/A,TRUE,"CEO";"printdepr",#N/A,TRUE,"DEPR";"Printsw",#N/A,TRUE,"SW";"printrtl",#N/A,TRUE,"RTL";"printgst",#N/A,TRUE,"GST";"printinst",#N/A,TRUE,"INST";"printstg",#N/A,TRUE,"STG";"printevts",#N/A,TRUE,"EVTS"}</definedName>
    <definedName function="false" hidden="true" name="wrn.printall2" vbProcedure="false">{#N/A,#N/A,FALSE,"Table of Contents";#N/A,#N/A,FALSE,"summary";#N/A,#N/A,FALSE,"5yr.hist.";"bridge",#N/A,FALSE,"labor";"direct labor",#N/A,FALSE,"labor";"headcount",#N/A,FALSE,"labor";"summary",#N/A,FALSE,"labor";"INDIRECT LABOR",#N/A,FALSE,"labor";"Material",#N/A,FALSE,"material";"scrap",#N/A,FALSE,"scrap";"Burden",#N/A,FALSE,"burden";"Capital",#N/A,FALSE,"capital";"Clearing",#N/A,FALSE,"clearing"}</definedName>
    <definedName function="false" hidden="true" name="wrn.printall3" vbProcedure="false">{#N/A,#N/A,FALSE,"Table of Contents";#N/A,#N/A,FALSE,"summary";#N/A,#N/A,FALSE,"5yr.hist.";"bridge",#N/A,FALSE,"labor";"direct labor",#N/A,FALSE,"labor";"headcount",#N/A,FALSE,"labor";"summary",#N/A,FALSE,"labor";"INDIRECT LABOR",#N/A,FALSE,"labor";"Material",#N/A,FALSE,"material";"scrap",#N/A,FALSE,"scrap";"Burden",#N/A,FALSE,"burden";"Capital",#N/A,FALSE,"capital";"Clearing",#N/A,FALSE,"clearing"}</definedName>
    <definedName function="false" hidden="true" name="wrn.printall5." vbProcedure="false">{"printceo5",#N/A,FALSE,"CEO";"prints15",#N/A,FALSE,"S1";"printdepr5",#N/A,FALSE,"DEPR"}</definedName>
    <definedName function="false" hidden="true" name="wrn.printall9" vbProcedure="false">{#N/A,#N/A,FALSE,"Table of Contents";#N/A,#N/A,FALSE,"summary";#N/A,#N/A,FALSE,"5yr.hist.";"bridge",#N/A,FALSE,"labor";"direct labor",#N/A,FALSE,"labor";"headcount",#N/A,FALSE,"labor";"summary",#N/A,FALSE,"labor";"INDIRECT LABOR",#N/A,FALSE,"labor";"Material",#N/A,FALSE,"material";"scrap",#N/A,FALSE,"scrap";"Burden",#N/A,FALSE,"burden";"Capital",#N/A,FALSE,"capital";"Clearing",#N/A,FALSE,"clearing"}</definedName>
    <definedName function="false" hidden="true" name="wrn.printbackup." vbProcedure="false">{"back1",#N/A,FALSE,"SterlingVinters";"back2",#N/A,FALSE,"SterlingVinters";"back3",#N/A,FALSE,"SterlingVinters";"back4",#N/A,FALSE,"SterlingVinters";"back5",#N/A,FALSE,"SterlingVinters";"back6",#N/A,FALSE,"SterlingVinters";"back7",#N/A,FALSE,"SterlingVinters";"back8",#N/A,FALSE,"SterlingVinters";"back9",#N/A,FALSE,"SterlingVinters";"back10",#N/A,FALSE,"SterlingVinters";"back11",#N/A,FALSE,"SterlingVinters";"back12",#N/A,FALSE,"SterlingVinters";"back13",#N/A,FALSE,"SterlingVinters";"back14",#N/A,FALSE,"SterlingVinters";"back15",#N/A,FALSE,"SterlingVinters";"back16",#N/A,FALSE,"SterlingVinters";"back17",#N/A,FALSE,"SterlingVinters";"back18",#N/A,FALSE,"SterlingVinters";"back19",#N/A,FALSE,"SterlingVinters";"back20",#N/A,FALSE,"SterlingVinters";"back21",#N/A,FALSE,"SterlingVinters";"back22",#N/A,FALSE,"SterlingVinters"}</definedName>
    <definedName function="false" hidden="true" name="wrn.printing." vbProcedure="false">{#N/A,#N/A,FALSE,"trans"}</definedName>
    <definedName function="false" hidden="true" name="wrn.Printing._.Report." vbProcedure="false">{"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Prospective+1",#N/A,FALSE,"Prosp+1"}</definedName>
    <definedName function="false" hidden="true" name="wrn.Printing._.the._.transactions._.sheets." vbProcedure="false">{#N/A,#N/A,FALSE,"Eastern";#N/A,#N/A,FALSE,"Western"}</definedName>
    <definedName function="false" hidden="true" name="wrn.Printing._.the._.transactions._.sheets.2" vbProcedure="false">{#N/A,#N/A,FALSE,"Eastern";#N/A,#N/A,FALSE,"Western"}</definedName>
    <definedName function="false" hidden="true" name="wrn.printmodel." vbProcedure="false">{"page1",#N/A,FALSE,"Model";"assumption1",#N/A,FALSE,"Model";"assumption2",#N/A,FALSE,"Model";"assumption3",#N/A,FALSE,"Model";"income1",#N/A,FALSE,"Model";"income2",#N/A,FALSE,"Model";"income3",#N/A,FALSE,"Model";"cashflow",#N/A,FALSE,"Model";"balance",#N/A,FALSE,"Model";"irr",#N/A,FALSE,"Model"}</definedName>
    <definedName function="false" hidden="true" name="wrn.printout." vbProcedure="false">{#N/A,#N/A,FALSE,"BANNERS";#N/A,#N/A,FALSE,"Market";#N/A,#N/A,FALSE,"# of POP MAN";#N/A,#N/A,FALSE,"Penet Input";#N/A,#N/A,FALSE,"Tel Rev";#N/A,#N/A,FALSE,"Invest";#N/A,#N/A,FALSE,"Op Cost1";#N/A,#N/A,FALSE,"Op Cost2";#N/A,#N/A,FALSE,"Oth_&amp;_Tot_Revenues";#N/A,#N/A,FALSE,"Fin Mod";#N/A,#N/A,FALSE,"P&amp;E Burocrat";#N/A,#N/A,FALSE,"cash flow"}</definedName>
    <definedName function="false" hidden="true" name="wrn.Printout1" vbProcedure="false">{"page1",#N/A,FALSE,"Casual RLE";"page2",#N/A,FALSE,"Casual RLE"}</definedName>
    <definedName function="false" hidden="true" name="wrn.printqtr." vbProcedure="false">{"nytasecond",#N/A,FALSE,"NYTQTRS";"nytafirst",#N/A,FALSE,"NYTQTRS";"nytathird",#N/A,FALSE,"NYTQTRS";"nytafourth",#N/A,FALSE,"NYTQTRS";"nytafull",#N/A,FALSE,"NYTQTRS"}</definedName>
    <definedName function="false" hidden="true" name="wrn.printreg." vbProcedure="false">{#N/A,#N/A,FALSE,"Sheet2"}</definedName>
    <definedName function="false" hidden="true" name="wrn.printreg2" vbProcedure="false">{#N/A,#N/A,FALSE,"Sheet2"}</definedName>
    <definedName function="false" hidden="true" name="wrn.printreg3" vbProcedure="false">{#N/A,#N/A,FALSE,"Sheet2"}</definedName>
    <definedName function="false" hidden="true" name="wrn.printreg4" vbProcedure="false">{#N/A,#N/A,FALSE,"Sheet2"}</definedName>
    <definedName function="false" hidden="true" name="wrn.printreg5" vbProcedure="false">{#N/A,#N/A,FALSE,"Sheet2"}</definedName>
    <definedName function="false" hidden="true" name="wrn.printreg7" vbProcedure="false">{#N/A,#N/A,FALSE,"Sheet2"}</definedName>
    <definedName function="false" hidden="true" name="wrn.PRINTREP." vbProcedure="false">{"PRINTREP",#N/A,FALSE,"Sheet1"}</definedName>
    <definedName function="false" hidden="true" name="wrn.printrreg2" vbProcedure="false">{#N/A,#N/A,FALSE,"Sheet2"}</definedName>
    <definedName function="false" hidden="true" name="wrn.printsyns." vbProcedure="false">{"dcfsyn",#N/A,FALSE,"DCFSYN";"senssyn",#N/A,FALSE,"DCFSYN"}</definedName>
    <definedName function="false" hidden="true" name="wrn.Print_All." vbProcedure="false">{"Index",#N/A,FALSE,"Index";"Schedule_I",#N/A,FALSE,"I";"Schedule_IA",#N/A,FALSE,"I-A";"Schedule_1B",#N/A,FALSE,"I-B";"Schedule_1C",#N/A,FALSE,"I-C";"Schedule_1D",#N/A,FALSE,"I-D";"Schedule_1E",#N/A,FALSE,"I-E";"Schedule_1F",#N/A,FALSE,"I-F";"Schedule_1G",#N/A,FALSE,"I-G";"Schedule_II",#N/A,FALSE,"II";"Schedule_IIA",#N/A,FALSE,"II-A";"Schedule_III",#N/A,FALSE,"III";"Schedule_IV",#N/A,FALSE,"IV";"Schedule_V",#N/A,FALSE,"V"}</definedName>
    <definedName function="false" hidden="true" name="wrn.Print_Buyer." vbProcedure="false">{#N/A,"DR",FALSE,"increm pf";#N/A,"MAMSI",FALSE,"increm pf";#N/A,"MAXI",FALSE,"increm pf";#N/A,"PCAM",FALSE,"increm pf";#N/A,"PHSV",FALSE,"increm pf";#N/A,"SIE",FALSE,"increm pf"}</definedName>
    <definedName function="false" hidden="true" name="wrn.Print_Comps_Report." vbProcedure="false">{"comps1_1",#N/A,FALSE,"Comps1";"comps1_2",#N/A,FALSE,"Comps1";"comps1_3",#N/A,FALSE,"Comps1";"comps1_4",#N/A,FALSE,"Comps1";"comps1_5",#N/A,FALSE,"Comps1";"comps2_1",#N/A,FALSE,"Comps2";"comps2_2",#N/A,FALSE,"Comps2";"comps2_3",#N/A,FALSE,"Comps2";"comps2_4",#N/A,FALSE,"Comps2";"comps2_5",#N/A,FALSE,"Comps2"}</definedName>
    <definedName function="false" hidden="true" name="wrn.Print_CSC." vbProcedure="false">{"CSC_1",#N/A,FALSE,"CSC Outputs";"CSC_2",#N/A,FALSE,"CSC Outputs"}</definedName>
    <definedName function="false" hidden="true" name="wrn.Print_CSC2" vbProcedure="false">{"CSC_1",#N/A,FALSE,"CSC Outputs";"CSC_2",#N/A,FALSE,"CSC Outputs"}</definedName>
    <definedName function="false" hidden="true" name="wrn.Print_Earnings_template." vbProcedure="false">{"by_month",#N/A,TRUE,"template";"destec_month",#N/A,TRUE,"template";"by_quarter",#N/A,TRUE,"template";"destec_quarter",#N/A,TRUE,"template";"by_year",#N/A,TRUE,"template";"destec_annual",#N/A,TRUE,"template"}</definedName>
    <definedName function="false" hidden="true" name="wrn.Print_Index." vbProcedure="false">{"Index",#N/A,FALSE,"Index"}</definedName>
    <definedName function="false" hidden="true" name="wrn.Print_model." vbProcedure="false">{"toc",#N/A,TRUE,"TOC";"summary",#N/A,TRUE,"Summary";"credit_stats",#N/A,TRUE,"South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function="false" hidden="true" name="wrn.Print_Target." vbProcedure="false">{#N/A,"Foundation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function="false" hidden="true" name="wrn.Print_Var_page." vbProcedure="false">{"var_page",#N/A,FALSE,"template"}</definedName>
    <definedName function="false" hidden="true" name="wrn.ProdAssump11_2000_2009." vbProcedure="false">{"ProdAssump11_2000_2009",#N/A,FALSE,"ProdAssump"}</definedName>
    <definedName function="false" hidden="true" name="wrn.ProdAssump11_2009_2019." vbProcedure="false">{"ProdAssump11_2009_2019",#N/A,FALSE,"ProdAssump"}</definedName>
    <definedName function="false" hidden="true" name="wrn.ProdAssump12_2010_2019." vbProcedure="false">{"ProdAssump12_2010_2019",#N/A,FALSE,"ProdAssump"}</definedName>
    <definedName function="false" hidden="true" name="wrn.ProdAssump13_2000_2009." vbProcedure="false">{"ProdAssump13_2000_2009",#N/A,FALSE,"ProdAssump"}</definedName>
    <definedName function="false" hidden="true" name="wrn.ProdAssump14_2010_2019." vbProcedure="false">{"ProdAssump14_2010_2019",#N/A,FALSE,"ProdAssump"}</definedName>
    <definedName function="false" hidden="true" name="wrn.ProdAssump15_2000_2009." vbProcedure="false">{"ProdAssump15_2000_2009",#N/A,FALSE,"ProdAssump"}</definedName>
    <definedName function="false" hidden="true" name="wrn.ProdAssump16_2010_2019." vbProcedure="false">{"ProdAssump16_2010_2019",#N/A,FALSE,"ProdAssump"}</definedName>
    <definedName function="false" hidden="true" name="wrn.ProdAssump1_2000_2009." vbProcedure="false">{"ProdAssump1_2000_2009",#N/A,FALSE,"ProdAssump"}</definedName>
    <definedName function="false" hidden="true" name="wrn.ProdAssump2_2010_2019." vbProcedure="false">{"ProdAssump2_2010_2019",#N/A,FALSE,"ProdAssump"}</definedName>
    <definedName function="false" hidden="true" name="wrn.ProdAssump3_2000_2009." vbProcedure="false">{"ProdAssump3_2000_2009",#N/A,FALSE,"ProdAssump"}</definedName>
    <definedName function="false" hidden="true" name="wrn.ProdAssump4_2010_2019." vbProcedure="false">{"ProdAssump4_2010_2019",#N/A,FALSE,"ProdAssump"}</definedName>
    <definedName function="false" hidden="true" name="wrn.ProdAssump5_2000_2009." vbProcedure="false">{"ProdAssump5_2000_2009",#N/A,FALSE,"ProdAssump"}</definedName>
    <definedName function="false" hidden="true" name="wrn.ProdAssump6_2010_2019." vbProcedure="false">{"ProdAssump6_2010_2019",#N/A,FALSE,"ProdAssump"}</definedName>
    <definedName function="false" hidden="true" name="wrn.ProdAssump7_2000_2009." vbProcedure="false">{"ProdAssump7_2000_2009",#N/A,FALSE,"ProdAssump"}</definedName>
    <definedName function="false" hidden="true" name="wrn.ProdAssump8_2010_2019." vbProcedure="false">{"ProdAssump8_2010_2019",#N/A,FALSE,"ProdAssump"}</definedName>
    <definedName function="false" hidden="true" name="wrn.ProdAssump9_2009_2009." vbProcedure="false">{"ProdAssump9_2000_2009",#N/A,FALSE,"ProdAssump"}</definedName>
    <definedName function="false" hidden="true" name="wrn.ProdAssumpTotal2000_2009." vbProcedure="false">{"ProdAssumpTotal1",#N/A,FALSE,"ProdAssump"}</definedName>
    <definedName function="false" hidden="true" name="wrn.ProdAssumpTotal2010_2019." vbProcedure="false">{"ProdAssumpTotal2",#N/A,FALSE,"ProdAssump"}</definedName>
    <definedName function="false" hidden="true" name="wrn.ProdQuantities10_2010_2019." vbProcedure="false">{"ProdQuantities10_2010_2019",#N/A,FALSE,"ProdQuantities"}</definedName>
    <definedName function="false" hidden="true" name="wrn.ProdQuantities11_2000_2009." vbProcedure="false">{"ProdQuantities11_2000_2009",#N/A,FALSE,"ProdQuantities"}</definedName>
    <definedName function="false" hidden="true" name="wrn.ProdQuantities12_2010_2019." vbProcedure="false">{"ProdQuantities12_2010_2019",#N/A,FALSE,"ProdQuantities"}</definedName>
    <definedName function="false" hidden="true" name="wrn.ProdQuantities1_2000_2009." vbProcedure="false">{"ProdQuantities1_2000_2009",#N/A,FALSE,"ProdQuantities"}</definedName>
    <definedName function="false" hidden="true" name="wrn.ProdQuantities2_2010_2019." vbProcedure="false">{"ProdQuantities2_2010_2019",#N/A,FALSE,"ProdQuantities"}</definedName>
    <definedName function="false" hidden="true" name="wrn.ProdQuantities3_2000_2009." vbProcedure="false">{"ProdQuantities3_2000_2009",#N/A,FALSE,"ProdQuantities"}</definedName>
    <definedName function="false" hidden="true" name="wrn.ProdQuantities5_2000_2009." vbProcedure="false">{"ProdQuantities5_2000_2009",#N/A,FALSE,"ProdQuantities"}</definedName>
    <definedName function="false" hidden="true" name="wrn.ProdQuantities6_2000_2009." vbProcedure="false">{"ProdQuantities6_2010_2019",#N/A,FALSE,"ProdQuantities"}</definedName>
    <definedName function="false" hidden="true" name="wrn.ProdQuantities7_2000_2009." vbProcedure="false">{"ProdQuantities7_2000_2009",#N/A,FALSE,"ProdQuantities"}</definedName>
    <definedName function="false" hidden="true" name="wrn.ProdQuantities8_2010_2019." vbProcedure="false">{"ProdQuantities8_2010_2019",#N/A,FALSE,"ProdQuantities"}</definedName>
    <definedName function="false" hidden="true" name="wrn.ProdQuantities9_2000_2009." vbProcedure="false">{"ProdQuantities9_2000_2009",#N/A,FALSE,"ProdQuantities"}</definedName>
    <definedName function="false" hidden="true" name="wrn.ProdQuantitiesTotal2000_2009." vbProcedure="false">{"ProdQuantitiesTotal2000_2009",#N/A,FALSE,"ProdQuantities"}</definedName>
    <definedName function="false" hidden="true" name="wrn.ProdQuantitiesTotal2010_2019." vbProcedure="false">{"ProdQuantitiesTotal2010_2019",#N/A,FALSE,"ProdQuantities"}</definedName>
    <definedName function="false" hidden="true" name="wrn.Production." vbProcedure="false">{#N/A,#N/A,FALSE,"Production"}</definedName>
    <definedName function="false" hidden="true" name="wrn.PRODUCTION._.COSTS." vbProcedure="false">{"PRODUCTION COSTS",#N/A,FALSE,"C.CENTRE"}</definedName>
    <definedName function="false" hidden="true" name="wrn.products" vbProcedure="false">{#N/A,#N/A,FALSE,"1";#N/A,#N/A,FALSE,"2";#N/A,#N/A,FALSE,"16 - 17";#N/A,#N/A,FALSE,"18 - 19";#N/A,#N/A,FALSE,"26";#N/A,#N/A,FALSE,"27";#N/A,#N/A,FALSE,"28"}</definedName>
    <definedName function="false" hidden="true" name="wrn.Products." vbProcedure="false">{#N/A,#N/A,FALSE,"1";#N/A,#N/A,FALSE,"2";#N/A,#N/A,FALSE,"16 - 17";#N/A,#N/A,FALSE,"18 - 19";#N/A,#N/A,FALSE,"26";#N/A,#N/A,FALSE,"27";#N/A,#N/A,FALSE,"28"}</definedName>
    <definedName function="false" hidden="true" name="wrn.Produktmix." vbProcedure="false">{#N/A,#N/A,FALSE,"Print produktmix"}</definedName>
    <definedName function="false" hidden="true" name="wrn.Profile." vbProcedure="false">{"Profile",#N/A,FALSE,"BXS"}</definedName>
    <definedName function="false" hidden="true" name="wrn.Profit._.Analysis." vbProcedure="false">{#N/A,#N/A,FALSE,"Profit Status";#N/A,#N/A,FALSE,"Invest";#N/A,#N/A,FALSE,"Revenue";#N/A,#N/A,FALSE,"Variable Cost";#N/A,#N/A,FALSE,"Options &amp; Series"}</definedName>
    <definedName function="false" hidden="true" name="wrn.Profit._.Forecast." vbProcedure="false">{#N/A,#N/A,FALSE,"Cover Page";#N/A,#N/A,FALSE,"Facing Page";#N/A,#N/A,FALSE,"Main Page";#N/A,#N/A,FALSE,"Risk-Adjusted";#N/A,#N/A,FALSE,"Profit Improvement"}</definedName>
    <definedName function="false" hidden="true" name="wrn.PROFIT._.LOSS._.AC." vbProcedure="false">{"PROFIT LOSS AC",#N/A,FALSE,"P&amp;L FY97"}</definedName>
    <definedName function="false" hidden="true" name="wrn.Proforma." vbProcedure="false">{"icd","icd",FALSE,"PROFORMA.XLS";"poly","poly",FALSE,"PROFORMA.XLS";"purper","purper",FALSE,"PROFORMA.XLS";"tchem","tchem",FALSE,"PROFORMA.XLS"}</definedName>
    <definedName function="false" hidden="true" name="wrn.PROFORMA._.CHECK._.BY._.DIVISION." vbProcedure="false">{"PROFORMA CHECK BY DIVISION",#N/A,FALSE,"BSALLNOW.XLS"}</definedName>
    <definedName function="false" hidden="true" name="wrn.Programme._.Report." vbProcedure="false">{"Summary",#N/A,FALSE,"Summary";"A&amp;A's",#N/A,FALSE,"Aids &amp; A's";"MajorWorks",#N/A,FALSE,"Major Works";"EstateImps",#N/A,FALSE,"Estate Imps";"CatC",#N/A,FALSE,"Cat C Voids";"CycProg",#N/A,FALSE,"Cyclical Prog inc MR"}</definedName>
    <definedName function="false" hidden="true" name="wrn.PROJECT." vbProcedure="false">{#N/A,#N/A,FALSE,"P1";#N/A,#N/A,FALSE,"P2";#N/A,#N/A,FALSE,"P4";#N/A,#N/A,FALSE,"P5";#N/A,#N/A,FALSE,"P6";#N/A,#N/A,FALSE,"P7";#N/A,#N/A,FALSE,"P8";#N/A,#N/A,FALSE,"P9";#N/A,#N/A,FALSE,"P10"}</definedName>
    <definedName function="false" hidden="true" name="wrn.Project._.Package." vbProcedure="false">{#N/A,#N/A,FALSE,"PROJPACK"}</definedName>
    <definedName function="false" hidden="true" name="wrn.Project._.Summary." vbProcedure="false">{"Summary",#N/A,FALSE,"MICMULT";"Income Statement",#N/A,FALSE,"MICMULT";"Cash Flows",#N/A,FALSE,"MICMULT"}</definedName>
    <definedName function="false" hidden="true" name="wrn.Projection._.Inputs." vbProcedure="false">{"Elkton Input 3",#N/A,FALSE,"Elkton Months";"Elkton Input 1",#N/A,FALSE,"Elkton Inputs";"Elkton Input 2",#N/A,FALSE,"Elkton Inputs";"Marion Input 3",#N/A,FALSE,"Marion Months";"Marion Input 1",#N/A,FALSE,"Marion Inputs";"Marion Input 2",#N/A,FALSE,"Marion Inputs";"Clinton Input 3",#N/A,FALSE,"Clinton Months";"Clinton Input 1",#N/A,FALSE,"Clinton Inputs";"Clinton Input 2",#N/A,FALSE,"Clinton Inputs";"Sebewaing Input 3",#N/A,FALSE,"Sebewaing Months";"Sebewaing Input 1",#N/A,FALSE,"Sebewaing Inputs";"Sebewaing Input 2",#N/A,FALSE,"Sebewaing Inputs"}</definedName>
    <definedName function="false" hidden="true" name="wrn.Projections." vbProcedure="false">{"Volume",#N/A,FALSE,"volume";"revenue",#N/A,FALSE,"revenue"}</definedName>
    <definedName function="false" hidden="true" name="wrn.projeng." vbProcedure="false">{"Commits",#N/A,FALSE,"Year"}</definedName>
    <definedName function="false" hidden="true" name="wrn.ProMonte." vbProcedure="false">{#N/A,#N/A,FALSE,"Assump";"view1",#N/A,FALSE,"P&amp;L";"view2",#N/A,FALSE,"P&amp;L";#N/A,#N/A,FALSE,"P&amp;L PERC";"view1",#N/A,FALSE,"BS";"view2",#N/A,FALSE,"BS";#N/A,#N/A,FALSE,"CF";#N/A,#N/A,FALSE,"Debt Rep";#N/A,#N/A,FALSE,"Ratios";#N/A,#N/A,FALSE,"adjusted BS";#N/A,#N/A,FALSE,"96-97 P&amp;L";#N/A,#N/A,FALSE,"96-97 BS"}</definedName>
    <definedName function="false" hidden="true" name="wrn.PROPERTY._.AND._.EQUIP.." vbProcedure="false">{#N/A,#N/A,FALSE,"M-1 Property and Equipment";#N/A,#N/A,FALSE,"M-2 Asset Additions";#N/A,#N/A,FALSE,"M-3 Property Disposals"}</definedName>
    <definedName function="false" hidden="true" name="wrn.pror" vbProcedure="false">{#N/A,#N/A,FALSE,"Pharm";#N/A,#N/A,FALSE,"WWCM"}</definedName>
    <definedName function="false" hidden="true" name="wrn.Proyección._.2007." vbProcedure="false">{#N/A,#N/A,TRUE,"ingtemat"}</definedName>
    <definedName function="false" hidden="true" name="wrn.prueba." vbProcedure="false">{#N/A,#N/A,FALSE,"Proyección 1998-2007"}</definedName>
    <definedName function="false" hidden="true" name="wrn.PT." vbProcedure="false">{"PT2000",#N/A,FALSE,"BL2000"}</definedName>
    <definedName function="false" hidden="true" name="wrn.Publications." vbProcedure="false">{"Page 1",#N/A,FALSE;"Page 2",#N/A,FALSE}</definedName>
    <definedName function="false" hidden="true" name="wrn.PUCSPADD." vbProcedure="false">{#N/A,"PURCHM",FALSE,"Business Analysis";#N/A,"SPADD",FALSE,"Business Analysis"}</definedName>
    <definedName function="false" hidden="true" name="wrn.PUCSPADD.2" vbProcedure="false">{#N/A,"PURCHM",FALSE,"Business Analysis";#N/A,"SPADD",FALSE,"Business Analysis"}</definedName>
    <definedName function="false" hidden="true" name="wrn.pucspadd1" vbProcedure="false">{#N/A,"PURCHM",FALSE,"Business Analysis";#N/A,"SPADD",FALSE,"Business Analysis"}</definedName>
    <definedName function="false" hidden="true" name="wrn.pucspadd10" vbProcedure="false">{#N/A,"PURCHM",FALSE,"Business Analysis";#N/A,"SPADD",FALSE,"Business Analysis"}</definedName>
    <definedName function="false" hidden="true" name="wrn.pucspadd102" vbProcedure="false">{#N/A,"PURCHM",FALSE,"Business Analysis";#N/A,"SPADD",FALSE,"Business Analysis"}</definedName>
    <definedName function="false" hidden="true" name="wrn.pucspadd11" vbProcedure="false">{#N/A,"PURCHM",FALSE,"Business Analysis";#N/A,"SPADD",FALSE,"Business Analysis"}</definedName>
    <definedName function="false" hidden="true" name="wrn.pucspadd12" vbProcedure="false">{#N/A,"PURCHM",FALSE,"Business Analysis";#N/A,"SPADD",FALSE,"Business Analysis"}</definedName>
    <definedName function="false" hidden="true" name="wrn.pucspadd31" vbProcedure="false">{#N/A,"PURCHM",FALSE,"Business Analysis";#N/A,"SPADD",FALSE,"Business Analysis"}</definedName>
    <definedName function="false" hidden="true" name="wrn.Pucspadd34" vbProcedure="false">{#N/A,"PURCHM",FALSE,"Business Analysis";#N/A,"SPADD",FALSE,"Business Analysis"}</definedName>
    <definedName function="false" hidden="true" name="wrn.PUCSPADD35" vbProcedure="false">{#N/A,"PURCHM",FALSE,"Business Analysis";#N/A,"SPADD",FALSE,"Business Analysis"}</definedName>
    <definedName function="false" hidden="true" name="wrn.Pulp." vbProcedure="false">{"Pulp Production",#N/A,FALSE,"Pulp";"Pulp Earnings",#N/A,FALSE,"Pulp"}</definedName>
    <definedName function="false" hidden="true" name="wrn.Pulp.2" vbProcedure="false">{"Pulp Production",#N/A,FALSE,"Pulp";"Pulp Earnings",#N/A,FALSE,"Pulp"}</definedName>
    <definedName function="false" hidden="true" name="wrn.Pulp.3" vbProcedure="false">{"Pulp Production",#N/A,FALSE,"Pulp";"Pulp Earnings",#N/A,FALSE,"Pulp"}</definedName>
    <definedName function="false" hidden="true" name="wrn.Pulp.3.2" vbProcedure="false">{"Pulp Production",#N/A,FALSE,"Pulp";"Pulp Earnings",#N/A,FALSE,"Pulp"}</definedName>
    <definedName function="false" hidden="true" name="wrn.Pulp.3.4" vbProcedure="false">{"Pulp Production",#N/A,FALSE,"Pulp";"Pulp Earnings",#N/A,FALSE,"Pulp"}</definedName>
    <definedName function="false" hidden="true" name="wrn.Pulp.3.6" vbProcedure="false">{"Pulp Production",#N/A,FALSE,"Pulp";"Pulp Earnings",#N/A,FALSE,"Pulp"}</definedName>
    <definedName function="false" hidden="true" name="wrn.Pulp.4" vbProcedure="false">{"Pulp Production",#N/A,FALSE,"Pulp";"Pulp Earnings",#N/A,FALSE,"Pulp"}</definedName>
    <definedName function="false" hidden="true" name="wrn.Pulp.5" vbProcedure="false">{"Pulp Production",#N/A,FALSE,"Pulp";"Pulp Earnings",#N/A,FALSE,"Pulp"}</definedName>
    <definedName function="false" hidden="true" name="wrn.Pulp.6" vbProcedure="false">{"Pulp Production",#N/A,FALSE,"Pulp";"Pulp Earnings",#N/A,FALSE,"Pulp"}</definedName>
    <definedName function="false" hidden="true" name="wrn.Pulp.7" vbProcedure="false">{"Pulp Production",#N/A,FALSE,"Pulp";"Pulp Earnings",#N/A,FALSE,"Pulp"}</definedName>
    <definedName function="false" hidden="true" name="wrn.Pulp.8" vbProcedure="false">{"Pulp Production",#N/A,FALSE,"Pulp";"Pulp Earnings",#N/A,FALSE,"Pulp"}</definedName>
    <definedName function="false" hidden="true" name="wrn.Pulp.9" vbProcedure="false">{"Pulp Production",#N/A,FALSE,"Pulp";"Pulp Earnings",#N/A,FALSE,"Pulp"}</definedName>
    <definedName function="false" hidden="true" name="wrn.Pump." vbProcedure="false">{#N/A,#N/A,FALSE,"Assump";#N/A,#N/A,FALSE,"Income";#N/A,#N/A,FALSE,"Balance";#N/A,#N/A,FALSE,"DCF Pump";#N/A,#N/A,FALSE,"Trans Assump";#N/A,#N/A,FALSE,"Combined Income";#N/A,#N/A,FALSE,"Combined Balance"}</definedName>
    <definedName function="false" hidden="true" name="wrn.Q1._.QUARTER._.TO._.DATE." vbProcedure="false">{"Q1QTD",#N/A,FALSE,"Q1"}</definedName>
    <definedName function="false" hidden="true" name="wrn.Q1F." vbProcedure="false">{#N/A,#N/A,FALSE,"Q1F";"Q1F",#N/A,FALSE,"Q1F"}</definedName>
    <definedName function="false" hidden="true" name="wrn.Q2._.QUARTER._.TO._.DATE." vbProcedure="false">{"QUARTER TO DATE",#N/A,FALSE,"Q2"}</definedName>
    <definedName function="false" hidden="true" name="wrn.Q2F." vbProcedure="false">{#N/A,#N/A,FALSE,"Q2F";"Q2F",#N/A,FALSE,"Q2F"}</definedName>
    <definedName function="false" hidden="true" name="wrn.Q3._.QUARTER._.TO._.DATE." vbProcedure="false">{"QUARTER TO DATE",#N/A,FALSE,"Q3"}</definedName>
    <definedName function="false" hidden="true" name="wrn.Q3F." vbProcedure="false">{"Q3F",#N/A,FALSE,"Q3F"}</definedName>
    <definedName function="false" hidden="true" name="wrn.Q4._.QUARTER._.TO._.DATE." vbProcedure="false">{"QUARTER TO DATE",#N/A,FALSE,"Q4"}</definedName>
    <definedName function="false" hidden="true" name="wrn.Q4F." vbProcedure="false">{"Q4F",#N/A,FALSE,"Q4F"}</definedName>
    <definedName function="false" hidden="true" name="wrn.QFR._.Slides." vbProcedure="false">{#N/A,#N/A,FALSE,"QFR P&amp;L Summary ";#N/A,#N/A,FALSE,"QFR Regional Ord&amp;Rev";#N/A,#N/A,FALSE,"QFR Risks &amp; Opport."}</definedName>
    <definedName function="false" hidden="true" name="wrn.QQQ_Quick_Merge_3yr." vbProcedure="false">{"Cover",#N/A,FALSE,"Cover";"trans_sum_print",#N/A,FALSE,"Transaction Summary";"earnings_impact_3yrQQ",#N/A,FALSE,"Earnings Impact";"accr_dil_3yr",#N/A,FALSE,"accretion dilution"}</definedName>
    <definedName function="false" hidden="true" name="wrn.QQQ_Quick_Merge_3yr.2" vbProcedure="false">{"Cover",#N/A,FALSE,"Cover";"trans_sum_print",#N/A,FALSE,"Transaction Summary";"earnings_impact_3yrQQ",#N/A,FALSE,"Earnings Impact";"accr_dil_3yr",#N/A,FALSE,"accretion dilution"}</definedName>
    <definedName function="false" hidden="true" name="wrn.QQQ_Quick_Merge_4yr." vbProcedure="false">{"Cover",#N/A,FALSE,"Cover";"trans_sum_print",#N/A,FALSE,"Transaction Summary";"earnings_impact_4yrQQ",#N/A,FALSE,"Earnings Impact";"accr_dil_4yr",#N/A,FALSE,"accretion dilution"}</definedName>
    <definedName function="false" hidden="true" name="wrn.QQQ_Quick_Merge_4yr.2" vbProcedure="false">{"Cover",#N/A,FALSE,"Cover";"trans_sum_print",#N/A,FALSE,"Transaction Summary";"earnings_impact_4yrQQ",#N/A,FALSE,"Earnings Impact";"accr_dil_4yr",#N/A,FALSE,"accretion dilution"}</definedName>
    <definedName function="false" hidden="true" name="wrn.QQQ_Quick_Merge_5yr." vbProcedure="false">{"Cover",#N/A,FALSE,"Cover";"trans_sum_print",#N/A,FALSE,"Transaction Summary";"earnings_impact_5yrQQ",#N/A,FALSE,"Earnings Impact";"accr_dil_5yr",#N/A,FALSE,"accretion dilution"}</definedName>
    <definedName function="false" hidden="true" name="wrn.QQQ_Quick_Merge_5yr.2" vbProcedure="false">{"Cover",#N/A,FALSE,"Cover";"trans_sum_print",#N/A,FALSE,"Transaction Summary";"earnings_impact_5yrQQ",#N/A,FALSE,"Earnings Impact";"accr_dil_5yr",#N/A,FALSE,"accretion dilution"}</definedName>
    <definedName function="false" hidden="true" name="wrn.QQQ_Quick_Merge_6yr." vbProcedure="false">{"Cover",#N/A,FALSE,"Cover";"trans_sum_print",#N/A,FALSE,"Transaction Summary";"earnings_impact_6yrQQ",#N/A,FALSE,"Earnings Impact";"accr_dil_6yr",#N/A,FALSE,"accretion dilution"}</definedName>
    <definedName function="false" hidden="true" name="wrn.QQQ_Quick_Merge_6yr.2" vbProcedure="false">{"Cover",#N/A,FALSE,"Cover";"trans_sum_print",#N/A,FALSE,"Transaction Summary";"earnings_impact_6yrQQ",#N/A,FALSE,"Earnings Impact";"accr_dil_6yr",#N/A,FALSE,"accretion dilution"}</definedName>
    <definedName function="false" hidden="true" name="wrn.QQ_Quick_Merge_3yr." vbProcedure="false">{"Cover",#N/A,FALSE,"Cover";"trans_sum_print",#N/A,FALSE,"Transaction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function="false" hidden="true" name="wrn.QQ_Quick_Merge_3yr.2" vbProcedure="false">{"Cover",#N/A,FALSE,"Cover";"trans_sum_print",#N/A,FALSE,"Transaction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function="false" hidden="true" name="wrn.QQ_Quick_Merge_4yr." vbProcedure="false">{"Cover",#N/A,FALSE,"Cover";"trans_sum_print",#N/A,FALSE,"Transaction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function="false" hidden="true" name="wrn.QQ_Quick_Merge_4yr.2" vbProcedure="false">{"Cover",#N/A,FALSE,"Cover";"trans_sum_print",#N/A,FALSE,"Transaction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function="false" hidden="true" name="wrn.QQ_Quick_Merge_5yr." vbProcedure="false">{"Cover",#N/A,FALSE,"Cover";"trans_sum_print",#N/A,FALSE,"Transaction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function="false" hidden="true" name="wrn.QQ_Quick_Merge_5yr.2" vbProcedure="false">{"Cover",#N/A,FALSE,"Cover";"trans_sum_print",#N/A,FALSE,"Transaction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function="false" hidden="true" name="wrn.QQ_Quick_Merge_6yr." vbProcedure="false">{"Cover",#N/A,FALSE,"Cover";"trans_sum_print",#N/A,FALSE,"Transaction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function="false" hidden="true" name="wrn.QQ_Quick_Merge_6yr.2" vbProcedure="false">{"Cover",#N/A,FALSE,"Cover";"trans_sum_print",#N/A,FALSE,"Transaction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function="false" hidden="true" name="wrn.Qrtly._.Grp._.Consol." vbProcedure="false">{"QTRLYGrpConsol",#N/A,FALSE,"Grp Consol"}</definedName>
    <definedName function="false" hidden="true" name="wrn.Qrtly._.International." vbProcedure="false">{"QTRLYInternational",#N/A,FALSE,"International"}</definedName>
    <definedName function="false" hidden="true" name="wrn.QTD." vbProcedure="false">{"QTD",#N/A,FALSE,"SUM"}</definedName>
    <definedName function="false" hidden="true" name="wrn.QTD_ALL." vbProcedure="false">{"QTD_LPO2N2",#N/A,FALSE,"QTD";"QTD_HYCO",#N/A,FALSE,"QTD";"QTD_LOUISIANA",#N/A,FALSE,"QTD";"QTD_GENERALH2",#N/A,FALSE,"QTD";"QTD_PACKAGE",#N/A,FALSE,"QTD";"QTD_PRS",#N/A,FALSE,"QTD";"QTD_OTHER",#N/A,FALSE,"QTD"}</definedName>
    <definedName function="false" hidden="true" name="wrn.QTD_GENERAL._.H2." vbProcedure="false">{"QTD_GENERALH2",#N/A,FALSE,"QTD"}</definedName>
    <definedName function="false" hidden="true" name="wrn.QTD_HYCO." vbProcedure="false">{"QTD_HYCO",#N/A,FALSE,"QTD"}</definedName>
    <definedName function="false" hidden="true" name="wrn.QTD_LOUISIANA." vbProcedure="false">{"QTD_LOUISIANA",#N/A,FALSE,"QTD"}</definedName>
    <definedName function="false" hidden="true" name="wrn.QTD_LPTEO2N2." vbProcedure="false">{"QTD_LPO2N2",#N/A,FALSE,"QTD"}</definedName>
    <definedName function="false" hidden="true" name="wrn.QTD_OTHER." vbProcedure="false">{"QTD_OTHER",#N/A,FALSE,"QTD"}</definedName>
    <definedName function="false" hidden="true" name="wrn.QTD_PACKAGE." vbProcedure="false">{"QTD_PACKAGE",#N/A,FALSE,"QTD"}</definedName>
    <definedName function="false" hidden="true" name="wrn.QTD_PRS." vbProcedure="false">{"QTD_PRS",#N/A,FALSE,"QTD"}</definedName>
    <definedName function="false" hidden="true" name="wrn.Qtr._.3." vbProcedure="false">{"QTR3PL",#N/A,FALSE,"Qtr 3";"QTR3PLYTD",#N/A,FALSE,"Qtr 3";"QTR3BS",#N/A,FALSE,"Qtr 3";"QTR3CF",#N/A,FALSE,"Qtr 3";"QTR3CFYTD",#N/A,FALSE,"Qtr 3";"QTR3PGIPL",#N/A,FALSE,"Qtr 3";"QTR3PGIPLYTD",#N/A,FALSE,"Qtr 3";"QTR3PGIBS",#N/A,FALSE,"Qtr 3";"QTR3PGICF",#N/A,FALSE,"Qtr 3";"QTR3PGICFYTD",#N/A,FALSE,"Qtr 3"}</definedName>
    <definedName function="false" hidden="true" name="wrn.QTR1." vbProcedure="false">{"QTR1PGIBS",#N/A,FALSE,"Qtr 1 PGI";"QTR1PGIPL",#N/A,FALSE,"Qtr 1 PGI";"QTR1PGICF",#N/A,FALSE,"Qtr 1 PGI";"QTR1BS",#N/A,FALSE,"Qtr 1 ";"QTR1PL",#N/A,FALSE,"Qtr 1 ";"QTR1CF",#N/A,FALSE,"Qtr 1 "}</definedName>
    <definedName function="false" hidden="true" name="wrn.Qtr2." vbProcedure="false">{"QTR2PL",#N/A,FALSE,"Qtr 2";"QTR2PLYTD",#N/A,FALSE,"Qtr 2";"QTR2BS",#N/A,FALSE,"Qtr 2";"QTR2CF",#N/A,FALSE,"Qtr 2";"QTR2CFYTD",#N/A,FALSE,"Qtr 2";"QTR2PGIPL",#N/A,FALSE,"Qtr 2 PGI";"QTR2PGIPLYTD",#N/A,FALSE,"Qtr 2 PGI";"QTR2PGIBS",#N/A,FALSE,"Qtr 2 PGI";"QTR2PGICF",#N/A,FALSE,"Qtr 2 PGI";"QTR2PGICFYTD",#N/A,FALSE,"Qtr 2 PGI"}</definedName>
    <definedName function="false" hidden="true" name="wrn.QTRLY." vbProcedure="false">{"QTRLY1999",#N/A,FALSE,"QTRLY";"QTRLY2000",#N/A,FALSE,"QTRLY";"QTRLY2001",#N/A,FALSE,"QTRLY"}</definedName>
    <definedName function="false" hidden="true" name="wrn.Qtrly._.Corporate." vbProcedure="false">{"QTRLYCorporate",#N/A,FALSE,"Corporate"}</definedName>
    <definedName function="false" hidden="true" name="wrn.Qtrly._.Funding." vbProcedure="false">{"QTRLYFunding",#N/A,FALSE,"Funding"}</definedName>
    <definedName function="false" hidden="true" name="wrn.Qtrly._.Grp._.Adjustments." vbProcedure="false">{"QTRLYGrpAdj",#N/A,FALSE,"Grp Adj"}</definedName>
    <definedName function="false" hidden="true" name="wrn.Qtrly._.HTUK." vbProcedure="false">{"QTRLYHTUK",#N/A,FALSE,"HTUK"}</definedName>
    <definedName function="false" hidden="true" name="wrn.Qtrly._.OIDL." vbProcedure="false">{"QTRLYOIDL",#N/A,FALSE,"OIDL"}</definedName>
    <definedName function="false" hidden="true" name="wrn.Qtrly._.Reports." vbProcedure="false">{#N/A,#N/A,FALSE,"Current Qtr";#N/A,#N/A,FALSE,"YTD Qtr";#N/A,#N/A,FALSE,"Prior Qtr"}</definedName>
    <definedName function="false" hidden="true" name="wrn.Qtrly._.Trust." vbProcedure="false">{"QTRLYTrust",#N/A,FALSE,"Trust"}</definedName>
    <definedName function="false" hidden="true" name="wrn.quart" vbProcedure="false">{#N/A,#N/A,FALSE,"Sheet2"}</definedName>
    <definedName function="false" hidden="true" name="wrn.QUARTERLY." vbProcedure="false">{#N/A,#N/A,FALSE,"Key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function="false" hidden="true" name="wrn.Quarterly._.MIFA._.Sheets."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true" name="wrn.Quarterly._.MIFA._.Sheets.1" vbProcedure="false">{"(MEASDATA)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function="false" hidden="true" name="wrn.Quarterly._.Summary." vbProcedure="false">{#N/A,#N/A,FALSE,"Quarterly Summary"}</definedName>
    <definedName function="false" hidden="true" name="wrn.quarterrep." vbProcedure="false">{#N/A,#N/A,FALSE,"Sheet2"}</definedName>
    <definedName function="false" hidden="true" name="wrn.quarterrep2" vbProcedure="false">{#N/A,#N/A,FALSE,"Sheet2"}</definedName>
    <definedName function="false" hidden="true" name="wrn.quarterrep3" vbProcedure="false">{#N/A,#N/A,FALSE,"Sheet2"}</definedName>
    <definedName function="false" hidden="true" name="wrn.Quarters." vbProcedure="false">{"All Qtrs",#N/A,FALSE,"Curr Mo";"1001Q",#N/A,FALSE,"Curr Mo";"1002Q",#N/A,FALSE,"Curr Mo";"4012Q",#N/A,FALSE,"Curr Mo";"4017Q",#N/A,FALSE,"Curr Mo";"1050Q",#N/A,FALSE,"Curr Mo";"1009Q",#N/A,FALSE,"Curr Mo";"4079Q",#N/A,FALSE,"Curr Mo";"4077Q",#N/A,FALSE,"Curr Mo";"1005Q",#N/A,FALSE,"Curr Mo";"1008Q",#N/A,FALSE,"Curr Mo";"1011Q",#N/A,FALSE,"Curr Mo";"1006Q",#N/A,FALSE,"Curr Mo";"1024Q",#N/A,FALSE,"Curr Mo";"1003Q",#N/A,FALSE,"Curr Mo";"1025q",#N/A,FALSE,"Curr Mo";"4013Q",#N/A,FALSE,"Curr Mo";"1091Q",#N/A,FALSE,"Curr Mo";"1010Q",#N/A,FALSE,"Curr Mo";"1023Q",#N/A,FALSE,"Curr Mo";"4014Q",#N/A,FALSE,"Curr Mo";"1043Q",#N/A,FALSE,"Curr Mo";"1014Q",#N/A,FALSE,"Curr Mo";"1015Q",#N/A,FALSE,"Curr Mo";"1012Q",#N/A,FALSE,"Curr Mo";"1061Q",#N/A,FALSE,"Curr Mo";"1045Q",#N/A,FALSE,"Curr Mo";"4058Q",#N/A,FALSE,"Curr Mo";"1033Q",#N/A,FALSE,"Curr Mo";"1103Q",#N/A,FALSE,"Curr Mo";"4007Q",#N/A,FALSE,"Curr Mo";"4021Q",#N/A,FALSE,"Curr Mo";"4026Q",#N/A,FALSE,"Curr Mo";"4022Q",#N/A,FALSE,"Curr Mo";"4050Q",#N/A,FALSE,"Curr Mo";"4032Q",#N/A,FALSE,"Curr Mo";"4089Q",#N/A,FALSE,"Curr Mo";"1042Q",#N/A,FALSE,"Curr Mo";"1048Q",#N/A,FALSE,"Curr Mo";"4049Q",#N/A,FALSE,"Curr Mo"}</definedName>
    <definedName function="false" hidden="true" name="wrn.Quick_Merge_3yr." vbProcedure="false">{"Cover",#N/A,FALSE,"Cover";"trans_sum_debt",#N/A,FALSE,"Transaction_Sum_debt_Stats";"earnings_impact_3yr",#N/A,FALSE,"Earnings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function="false" hidden="true" name="wrn.Quick_Merge_3yr.2" vbProcedure="false">{"Cover",#N/A,FALSE,"Cover";"trans_sum_debt",#N/A,FALSE,"Transaction_Sum_debt_Stats";"earnings_impact_3yr",#N/A,FALSE,"Earnings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function="false" hidden="true" name="wrn.Quick_Merge_4yr." vbProcedure="false">{"Cover",#N/A,FALSE,"Cover";"trans_sum_debt",#N/A,FALSE,"Transaction_Sum_debt_Stats";"earnings_impact_4yr",#N/A,FALSE,"Earnings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function="false" hidden="true" name="wrn.Quick_Merge_4yr.2" vbProcedure="false">{"Cover",#N/A,FALSE,"Cover";"trans_sum_debt",#N/A,FALSE,"Transaction_Sum_debt_Stats";"earnings_impact_4yr",#N/A,FALSE,"Earnings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function="false" hidden="true" name="wrn.Quick_Merge_5yr." vbProcedure="false">{"Cover",#N/A,FALSE,"Cover";"trans_sum_debt",#N/A,FALSE,"Transaction_Sum_debt_Stats";"earnings_impact_5yr",#N/A,FALSE,"Earnings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function="false" hidden="true" name="wrn.Quick_Merge_5yr.2" vbProcedure="false">{"Cover",#N/A,FALSE,"Cover";"trans_sum_debt",#N/A,FALSE,"Transaction_Sum_debt_Stats";"earnings_impact_5yr",#N/A,FALSE,"Earnings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function="false" hidden="true" name="wrn.Quick_Merge_6yr." vbProcedure="false">{"Cover",#N/A,FALSE,"Cover";"trans_sum_debt",#N/A,FALSE,"Transaction_Sum_debt_Stats";"earnings_impact_6yr",#N/A,FALSE,"Earnings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function="false" hidden="true" name="wrn.Quick_Merge_6yr.2" vbProcedure="false">{"Cover",#N/A,FALSE,"Cover";"trans_sum_debt",#N/A,FALSE,"Transaction_Sum_debt_Stats";"earnings_impact_6yr",#N/A,FALSE,"Earnings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function="false" hidden="true" name="wrn.Range._.Values." vbProcedure="false">{"page1",#N/A,FALSE,"Range Value - Incl Reclasses";"page2",#N/A,FALSE,"Range Value - Incl Reclasses";"page3",#N/A,FALSE,"Range Value - Incl Reclasses"}</definedName>
    <definedName function="false" hidden="true" name="wrn.RAP." vbProcedure="false">{"Y.1",#N/A,TRUE,"SIEMENS";"Y.2",#N/A,TRUE,"ALCATEL";"Y.3",#N/A,TRUE,"MOTOROLA";"Y.4",#N/A,TRUE,"DİĞER";"Y.5",#N/A,TRUE,"LG-5";"Y.6",#N/A,TRUE,"LG-5";"Y.7",#N/A,TRUE,"LG-4";"Y.8",#N/A,TRUE,"LG-4";"Y.10",#N/A,TRUE,"LG-4";"Y.9",#N/A,TRUE,"LG-4";"TERMİNAL",#N/A,TRUE,"TERMİNAL";"DETECON",#N/A,TRUE,"DETECON";"Y.10",#N/A,TRUE,"TEMİNAT";"Y.11",#N/A,TRUE,"TEMİNAT"}</definedName>
    <definedName function="false" hidden="true" name="wrn.rapport._.1." vbProcedure="false">{#N/A,#N/A,TRUE,"Forecast &amp; Analysis";#N/A,#N/A,TRUE,"Market Values";#N/A,#N/A,TRUE,"Ratios";#N/A,#N/A,TRUE,"Regressions";#N/A,#N/A,TRUE,"Market Values";#N/A,#N/A,TRUE,"Parameters &amp; Results"}</definedName>
    <definedName function="false" hidden="true" name="wrn.ratios." vbProcedure="false">{"ratios",#N/A,FALSE,"Summary Accounts"}</definedName>
    <definedName function="false" hidden="true" name="wrn.reagan." vbProcedure="false">{"reagan is",#N/A,FALSE,"CONS IS";"reagan na",#N/A,FALSE,"NOTE PAYMENTS";"reagan bs",#N/A,FALSE,"CONS BS";"reagan cf",#N/A,FALSE,"CONS BS";"reagan ds",#N/A,FALSE,"CONS BS"}</definedName>
    <definedName function="false" hidden="true" name="wrn.RECEIVABLES." vbProcedure="false">{#N/A,#N/A,FALSE,"C-1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definedName>
    <definedName function="false" hidden="true" name="wrn.REcon._.Report." vbProcedure="false">{"Recon",#N/A,FALSE,"GL Recons";"Recon Detail",#N/A,FALSE,"GL Recons"}</definedName>
    <definedName function="false" hidden="true" name="wrn.Reconciliation." vbProcedure="false">{"Reconciliation",#N/A,FALSE,"Page 2"}</definedName>
    <definedName function="false" hidden="true" name="wrn.redo." vbProcedure="false">{"overview",#N/A,FALSE,"summary";"net assets",#N/A,FALSE,"summary";"asset turnover",#N/A,FALSE,"summary";"orona",#N/A,FALSE,"summary"}</definedName>
    <definedName function="false" hidden="true" name="wrn.redo._.2." vbProcedure="false">{"sales growth",#N/A,FALSE,"summary";"oper income",#N/A,FALSE,"summary";"oros rank",#N/A,FALSE,"summary";"net assets",#N/A,FALSE,"summary";"asset turnover",#N/A,FALSE,"summary";"orona",#N/A,FALSE,"summary"}</definedName>
    <definedName function="false" hidden="true" name="wrn.Reforcast._.Print." vbProcedure="false">{#N/A,#N/A,FALSE,"RF Inc Stmt";#N/A,#N/A,FALSE,"RF-IS-1";#N/A,#N/A,FALSE,"RF-IS-2"}</definedName>
    <definedName function="false" hidden="true" name="wrn.Reforecast." vbProcedure="false">{#N/A,#N/A,FALSE,"Assumptions";#N/A,#N/A,FALSE,"Reforecast";#N/A,#N/A,FALSE,"Inc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function="false" hidden="true" name="wrn.regressions._.corrigees." vbProcedure="false">{"regression corrigées",#N/A,FALSE,"Regressions"}</definedName>
    <definedName function="false" hidden="true" name="wrn.Reisekosten._.und._.Timesheet." vbProcedure="false">{#N/A,#N/A,TRUE,"Time";#N/A,#N/A,TRUE,"VER";#N/A,#N/A,TRUE,"K1_R";#N/A,#N/A,TRUE,"K2_R";#N/A,#N/A,TRUE,"K3_R";#N/A,#N/A,TRUE,"K4_R";#N/A,#N/A,TRUE,"K5_R";#N/A,#N/A,TRUE,"K6_R";#N/A,#N/A,TRUE,"K7_R"}</definedName>
    <definedName function="false" hidden="true" name="wrn.Reisekosten._.und._.Timesheets." vbProcedure="false">{#N/A,#N/A,FALSE,"DK1VER";#N/A,#N/A,FALSE,"DK1VER"}</definedName>
    <definedName function="false" hidden="true" name="wrn.Relevant." vbProcedure="false">{#N/A,#N/A,FALSE,"Title Page";#N/A,#N/A,FALSE,"Conclusions";#N/A,#N/A,FALSE,"Assum.";#N/A,#N/A,FALSE,"Sun  DCF-WC-Dep";#N/A,#N/A,FALSE,"MarketValue";#N/A,#N/A,FALSE,"BalSheet";#N/A,#N/A,FALSE,"WACC";#N/A,#N/A,FALSE,"PC+ Info.";#N/A,#N/A,FALSE,"PC+Info_2"}</definedName>
    <definedName function="false" hidden="true" name="wrn.Relevant1." vbProcedure="false">{#N/A,#N/A,FALSE,"Title Page";#N/A,#N/A,FALSE,"Conclusions";#N/A,#N/A,FALSE,"Assum.";#N/A,#N/A,FALSE,"Sun  DCF-WC-Dep";#N/A,#N/A,FALSE,"MarketValue";#N/A,#N/A,FALSE,"BalSheet";#N/A,#N/A,FALSE,"WACC";#N/A,#N/A,FALSE,"PC+ Info.";#N/A,#N/A,FALSE,"PC+Info_2"}</definedName>
    <definedName function="false" hidden="true" name="wrn.RELEVANTSHEETS." vbProcedure="false">{#N/A,#N/A,FALSE,"AD_Purch";#N/A,#N/A,FALSE,"Projections";#N/A,#N/A,FALSE,"DCF";#N/A,#N/A,FALSE,"Mkt Val"}</definedName>
    <definedName function="false" hidden="true" name="wrn.rep." vbProcedure="false">{"test",#N/A,FALSE,"Y";"test2",#N/A,FALSE,"Y"}</definedName>
    <definedName function="false" hidden="true" name="wrn.Replacement._.Cost." vbProcedure="false">{#N/A,#N/A,TRUE,"Cover Repl";#N/A,#N/A,TRUE,"P&amp;L";#N/A,#N/A,TRUE,"P&amp;L (2)";#N/A,#N/A,TRUE,"BS";#N/A,#N/A,TRUE,"Depreciation";#N/A,#N/A,TRUE,"GRAPHS";#N/A,#N/A,TRUE,"DCF EBITDA Multiple";#N/A,#N/A,TRUE,"DCF Perpetual Growth"}</definedName>
    <definedName function="false" hidden="true" name="wrn.Report." vbProcedure="false">{#N/A,#N/A,TRUE,"Cover";#N/A,#N/A,TRUE,"Summary";#N/A,#N/A,TRUE,"P&amp;L";#N/A,#N/A,TRUE,"CF";#N/A,#N/A,TRUE,"BS";#N/A,#N/A,TRUE,"CaTV";#N/A,#N/A,TRUE,"Internet";#N/A,#N/A,TRUE,"Network";#N/A,#N/A,TRUE,"Assets &amp; Deferred Rights";#N/A,#N/A,TRUE,"Debt &amp; Obligations"}</definedName>
    <definedName function="false" hidden="true" name="wrn.Report._.2." vbProcedure="false">{#N/A,#N/A,TRUE,"Pivots-Employee";#N/A,"Scenerio2",TRUE,"Assumptions Summary"}</definedName>
    <definedName function="false" hidden="true" name="wrn.Report._.english." vbProcedure="false">{#N/A,#N/A,FALSE,"Report-Generator";#N/A,#N/A,FALSE,"Page 1 Summary";#N/A,#N/A,FALSE,"Page 2 IRR";#N/A,#N/A,FALSE,"Page 3a Volume Profile";#N/A,#N/A,FALSE,"Page 3b Volume Profile";#N/A,#N/A,FALSE,"Page 3c Volume Profile";#N/A,#N/A,FALSE,"Page 4 Volume Profile, Mix";#N/A,#N/A,FALSE,"Page 5 Product Investment";#N/A,#N/A,FALSE,"Page 6 Variable Costs";#N/A,#N/A,FALSE,"Page 7 Contribution Comparison1";#N/A,#N/A,FALSE,"Page 8 Contribution Comparison2";#N/A,#N/A,FALSE,"Page 9 Contribution Comparison3";#N/A,#N/A,FALSE,"Page 10 IRR Calculation"}</definedName>
    <definedName function="false" hidden="true" name="wrn.Report1." vbProcedure="false">{#N/A,#N/A,FALSE,"IS";#N/A,#N/A,FALSE,"BS";#N/A,#N/A,FALSE,"CF";#N/A,#N/A,FALSE,"CE";#N/A,#N/A,FALSE,"Depr";#N/A,#N/A,FALSE,"APAL"}</definedName>
    <definedName function="false" hidden="true" name="wrn.REPORTING._.PACKAGE." vbProcedure="false">{#N/A,#N/A,TRUE,"Cover";#N/A,#N/A,TRUE,"BS";#N/A,#N/A,TRUE,"BS (2)";#N/A,#N/A,TRUE,"BS (3)";#N/A,#N/A,TRUE,"Supp Info-BS";#N/A,#N/A,TRUE,"IS";#N/A,#N/A,TRUE,"IS (2)";#N/A,#N/A,TRUE,"IS (3)";#N/A,#N/A,TRUE,"Supp Info-IS";#N/A,#N/A,TRUE,"CF";#N/A,#N/A,TRUE,"Supp Info-CF";#N/A,#N/A,TRUE,"SH";#N/A,#N/A,TRUE,"Supp Info-SH"}</definedName>
    <definedName function="false" hidden="true" name="wrn.Reports_Mo." vbProcedure="false">{#N/A,#N/A,FALSE,"PERFCTRL Report";#N/A,#N/A,FALSE,"PerfCtrl WideRpt";#N/A,#N/A,FALSE,"Rpts(1A)";#N/A,#N/A,FALSE,"MoRpt Detail";#N/A,#N/A,FALSE,"Analysis"}</definedName>
    <definedName function="false" hidden="true" name="wrn.Reports_Qtrs." vbProcedure="false">{#N/A,#N/A,FALSE,"PERFCTRL Report";#N/A,#N/A,FALSE,"PerfCtrl WideRpt";#N/A,#N/A,FALSE,"Rpts(1A)";#N/A,#N/A,FALSE,"Analysis";#N/A,#N/A,FALSE,"MoRpt Detail";#N/A,#N/A,FALSE,"Rpt_1A(QTR)";#N/A,#N/A,FALSE,"Anal_QTR"}</definedName>
    <definedName function="false" hidden="true" name="wrn.Report_Page." vbProcedure="false">{"Annual_Income",#N/A,FALSE,"Report Page";"Balance_Cash_Flow",#N/A,FALSE,"Report Page";"Quarterly_Income",#N/A,FALSE,"Report Page"}</definedName>
    <definedName function="false" hidden="true" name="wrn.Report_PR_1." vbProcedure="false">{"PR1","pr1",TRUE,"Sch PR-1"}</definedName>
    <definedName function="false" hidden="true" name="wrn.rep_page." vbProcedure="false">{"Annual_Income",#N/A,FALSE,"Report Page";"Balance_Cash_Flow",#N/A,FALSE,"Report Page";"Quarterly_Income",#N/A,FALSE,"Report Page"}</definedName>
    <definedName function="false" hidden="true" name="wrn.Restricted._.Rpts." vbProcedure="false">{"RptRY",#N/A,FALSE,"CDGy";"RptRQ",#N/A,FALSE,"CDGq";"RptRM",#N/A,FALSE,"CDGm"}</definedName>
    <definedName function="false" hidden="true" name="wrn.RESULTADO." vbProcedure="false">{#N/A,#N/A,FALSE,"DRE-2";#N/A,#N/A,FALSE,"DRE";#N/A,#N/A,FALSE,"ANEX-07";#N/A,#N/A,FALSE,"ANEX-08";#N/A,#N/A,FALSE,"ANEX-09";#N/A,#N/A,FALSE,"ANEX-10";#N/A,#N/A,FALSE,"ANEX-11";#N/A,#N/A,FALSE,"ANEX-12";#N/A,#N/A,FALSE,"ANEX-13";#N/A,#N/A,FALSE,"ANEX-14";#N/A,#N/A,FALSE,"BALPTR"}</definedName>
    <definedName function="false" hidden="true" name="wrn.resultats_edition._.client." vbProcedure="false">{"résultats_édition client",#N/A,FALSE,"Résultats"}</definedName>
    <definedName function="false" hidden="true" name="wrn.RESULTS." vbProcedure="false">{#N/A,#N/A,FALSE,"HMF";#N/A,#N/A,FALSE,"FACIL";#N/A,#N/A,FALSE,"HMFINANCE";#N/A,#N/A,FALSE,"HMEUROPE";#N/A,#N/A,FALSE,"HHAB CONSO";#N/A,#N/A,FALSE,"PAB";#N/A,#N/A,FALSE,"MMC";#N/A,#N/A,FALSE,"THAI";#N/A,#N/A,FALSE,"SINPA";#N/A,#N/A,FALSE,"POLAND"}</definedName>
    <definedName function="false" hidden="true" name="wrn.RESUME._.ANNEXE." vbProcedure="false">{"RESUME ANNEXE",#N/A,FALSE,"résumé annexe"}</definedName>
    <definedName function="false" hidden="true" name="wrn.RESUMENES." vbProcedure="false">{"RESUMEN",#N/A,FALSE,"BASE ANEXOS";"ANEXO 1",#N/A,FALSE,"BASE ANEXOS";"ANEXO 2",#N/A,FALSE,"BASE ANEXOS"}</definedName>
    <definedName function="false" hidden="true" name="wrn.REV1." vbProcedure="false">{"FORM1",#N/A,FALSE,"Revenue";"FORMTR",#N/A,FALSE,"Revenue";"FORM3.1",#N/A,FALSE,"Revenue"}</definedName>
    <definedName function="false" hidden="true" name="wrn.REVENUE." vbProcedure="false">{"FORM1",#N/A,TRUE,"Revenue";"FORM1.1",#N/A,TRUE,"Revenue";"FORM1.2",#N/A,TRUE,"Revenue";"FORM2",#N/A,TRUE,"Revenue";"FORM2.1",#N/A,TRUE,"Revenue"}</definedName>
    <definedName function="false" hidden="true" name="wrn.review." vbProcedure="false">{#N/A,#N/A,FALSE,"FRONTPG";#N/A,#N/A,FALSE,"STATUSREC";#N/A,#N/A,FALSE,"INELIG";#N/A,#N/A,FALSE,"ARACTIV";#N/A,#N/A,FALSE,"ARANAL";#N/A,#N/A,FALSE,"INVANAL";#N/A,#N/A,FALSE,"BALSHT";#N/A,#N/A,FALSE,"INCSTMT";#N/A,#N/A,FALSE,"CASHFLOW";#N/A,#N/A,FALSE,"TREND";#N/A,#N/A,FALSE,"LIAB"}</definedName>
    <definedName function="false" hidden="true" name="wrn.Review._.Schedules." vbProcedure="false">{"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function="false" hidden="true" name="wrn.REVIkumuliert." vbProcedure="false">{"TeleREVIkumuliert",#N/A,TRUE,"Tele";"GfREVIkumuliert",#N/A,TRUE,"Gf";"MktREVIkumuliert",#N/A,TRUE,"Mkt";"RTLTextREVIkumuliert",#N/A,TRUE,"RTLText";"ATXITVREVIkumuliert",#N/A,TRUE,"ATXITV";"TechREVIkumuliert",#N/A,TRUE,"Tech";"PufferREVIkumuliert",#N/A,TRUE,"Puffer"}</definedName>
    <definedName function="false" hidden="true" name="wrn.REVISED." vbProcedure="false">{"REVISED",#N/A,FALSE,"Sheet1"}</definedName>
    <definedName function="false" hidden="true" name="wrn.revised._.CEC._.slides." vbProcedure="false">{#N/A,#N/A,FALSE,"Revised cover";#N/A,#N/A,FALSE,"Trends";"main view",#N/A,FALSE,"As Reported";#N/A,#N/A,FALSE,"delegations";#N/A,#N/A,FALSE,"(un) Commited"}</definedName>
    <definedName function="false" hidden="true" name="wrn.REVIseparat." vbProcedure="false">{"TeleREVIseparat",#N/A,TRUE,"Tele";"GfREVIseparat",#N/A,TRUE,"Gf";"MktREVIseparat",#N/A,TRUE,"Mkt";"RTLTextREVIseparat",#N/A,TRUE,"RTLText";"ATXITVREVIseparat",#N/A,TRUE,"ATXITV";"TechREVIseparat",#N/A,TRUE,"Tech";"PufferREVIseparat",#N/A,TRUE,"Puffer"}</definedName>
    <definedName function="false" hidden="true" name="wrn.Revs." vbProcedure="false">{"Base_rev",#N/A,FALSE,"Proj_IS_Base";"Projrev",#N/A,FALSE,"Proj_IS_wOTLC";"Delta",#N/A,FALSE,"Delta Rev_PV"}</definedName>
    <definedName function="false" hidden="true" name="wrn.Riverwood_comp_model." vbProcedure="false">{#N/A,#N/A,FALSE,"Che-Ga";#N/A,#N/A,FALSE,"Iv-Sm";#N/A,#N/A,FALSE,"So-We";#N/A,#N/A,FALSE,"Me-Po";#N/A,#N/A,FALSE,"Be-Bo";#N/A,#N/A,FALSE,"Cha-Ki";#N/A,#N/A,FALSE,"In";#N/A,#N/A,FALSE,"Schedule 23";#N/A,#N/A,FALSE,"Schedule 22";#N/A,#N/A,FALSE,"WACC"}</definedName>
    <definedName function="false" hidden="true" name="wrn.Robuster." vbProcedure="false">{#N/A,#N/A,TRUE,"Cover";#N/A,#N/A,TRUE,"Descr";#N/A,#N/A,TRUE,"Control (In)";#N/A,#N/A,TRUE,"Op Margin";#N/A,#N/A,TRUE,"Depn";#N/A,#N/A,TRUE,"Finance";#N/A,#N/A,TRUE,"Tax";#N/A,#N/A,TRUE,"P &amp; L";#N/A,#N/A,TRUE,"CFS";#N/A,#N/A,TRUE,"BS";#N/A,#N/A,TRUE,"DCF";#N/A,#N/A,TRUE,"Ratios"}</definedName>
    <definedName function="false" hidden="true" name="wrn.Roll._.Up._.Fields." vbProcedure="false">{"Total",#N/A,FALSE,"Six Fields";"PDP",#N/A,FALSE,"Six Fields";"PNP",#N/A,FALSE,"Six Fields";"PUD",#N/A,FALSE,"Six Fields";"Prob",#N/A,FALSE,"Six Fields"}</definedName>
    <definedName function="false" hidden="true" name="wrn.rprt." vbProcedure="false">{#N/A,#N/A,FALSE,"A";#N/A,#N/A,FALSE,"B-1";#N/A,#N/A,FALSE,"WACC";#N/A,#N/A,FALSE,"C-1";#N/A,#N/A,FALSE,"C-2";#N/A,#N/A,FALSE,"D-1";#N/A,#N/A,FALSE,"D-2";#N/A,#N/A,FALSE,"D-3"}</definedName>
    <definedName function="false" hidden="true" name="wrn.RPT." vbProcedure="false">{#N/A,#N/A,FALSE,"인원";#N/A,#N/A,FALSE,"비용2";#N/A,#N/A,FALSE,"비용1";#N/A,#N/A,FALSE,"비용";#N/A,#N/A,FALSE,"보증2";#N/A,#N/A,FALSE,"보증1";#N/A,#N/A,FALSE,"보증";#N/A,#N/A,FALSE,"손익1";#N/A,#N/A,FALSE,"손익";#N/A,#N/A,FALSE,"부서별매출";#N/A,#N/A,FALSE,"매출"}</definedName>
    <definedName function="false" hidden="true" name="wrn.Rpts_1A." vbProcedure="false">{#N/A,#N/A,FALSE,"Rpts(1A)"}</definedName>
    <definedName function="false" hidden="true" name="wrn.Rpts_Monthly." vbProcedure="false">{#N/A,#N/A,FALSE,"Cost(Sales &amp; Prod)";#N/A,#N/A,FALSE,"MonthlyDetail-Year";#N/A,#N/A,FALSE,"Nat'lClass"}</definedName>
    <definedName function="false" hidden="true" name="wrn.RustyPresentation." vbProcedure="false">{#N/A,#N/A,TRUE,"TransCore Summary";#N/A,#N/A,TRUE,"TransCore IS";#N/A,#N/A,TRUE,"TransCore Balance";#N/A,#N/A,TRUE,"TransCore Backlog";#N/A,#N/A,TRUE,"Syntonic IS";#N/A,#N/A,TRUE,"Syntonic Bal";#N/A,#N/A,TRUE,"Systems IS";#N/A,#N/A,TRUE,"Systems Bal"}</definedName>
    <definedName function="false" hidden="true" name="wrn.RWReport1." vbProcedure="false">{#N/A,"S 0373 ",TRUE,"Sheet1";#N/A,"S 0374 ",TRUE,"Sheet1";#N/A,"S 0375 ",TRUE,"Sheet1";#N/A,"S 0376 ",TRUE,"Sheet1";#N/A,"S 0699 ",TRUE,"Sheet1";#N/A,"S 0705 ",TRUE,"Sheet1";#N/A,"S 0707 ",TRUE,"Sheet1";#N/A,"S 0708 ",TRUE,"Sheet1";#N/A,"S 0709 ",TRUE,"Sheet1";#N/A,"S 0714 ",TRUE,"Sheet1";#N/A,"S 0716 ",TRUE,"Sheet1";#N/A,"S 0719 ",TRUE,"Sheet1";#N/A,"S 0723 ",TRUE,"Sheet1"}</definedName>
    <definedName function="false" hidden="true" name="wrn.RWReport1._1" vbProcedure="false">{#N/A,"S 4000 ",TRUE,"Sheet1";#N/A,"S 4001 ",TRUE,"Sheet1";#N/A,"S 4009 ",TRUE,"Sheet1";#N/A,"S 4100 ",TRUE,"Sheet1";#N/A,"S 4200 ",TRUE,"Sheet1";#N/A,"S 4510 ",TRUE,"Sheet1";#N/A,"S 4520 ",TRUE,"Sheet1"}</definedName>
    <definedName function="false" hidden="true" name="wrn.régressions._.corrigées." vbProcedure="false">{"regression corrigées",#N/A,FALSE,"Regressions"}</definedName>
    <definedName function="false" hidden="true" name="wrn.Régression_client." vbProcedure="false">{"reg_edition client",#N/A,FALSE,"Regressions"}</definedName>
    <definedName function="false" hidden="true" name="wrn.Régression_travail." vbProcedure="false">{"reg_travail",#N/A,FALSE,"Regressions"}</definedName>
    <definedName function="false" hidden="true" name="wrn.Résultats_travail." vbProcedure="false">{"res_travail",#N/A,FALSE,"Résultats"}</definedName>
    <definedName function="false" hidden="true" name="wrn.Résultats_édition._.client." vbProcedure="false">{"résultats_édition client",#N/A,FALSE,"Résultats"}</definedName>
    <definedName function="false" hidden="true" name="wrn.SALARY._.CALC._.REPORTS." vbProcedure="false">{"SALDIR",#N/A,FALSE,"WAFER FAB 1 EXPENSE";"SALMGMT",#N/A,FALSE,"WAFER FAB 1 EXPENSE";"SALENGINEERING",#N/A,FALSE,"WAFER FAB 1 EXPENSE";"SALEQUIPSUPPORT",#N/A,FALSE,"WAFER FAB 1 EXPENSE";"SALFABMAT",#N/A,FALSE,"WAFER FAB 1 EXPENSE"}</definedName>
    <definedName function="false" hidden="true" name="wrn.SALES." vbProcedure="false">{"SALES",#N/A,FALSE,"B"}</definedName>
    <definedName function="false" hidden="true" name="wrn.SalesMarginPages." vbProcedure="false">{"(MEASDATA) BY QUARTER",#N/A,FALSE,"measdata";"(PROGDETAIL) BY MONTH",#N/A,FALSE,"progdetail";"(PROGDETAIL) BY QTR",#N/A,FALSE,"progdetail";"(ORDERS) GOR ORDERS",#N/A,FALSE,"Orders";"(DELIVERIES) UNIT SALES",#N/A,FALSE,"Deliveries";"(SEGMENTDETAILS) DATA",#N/A,FALSE,"QTRComments"}</definedName>
    <definedName function="false" hidden="true" name="wrn.SalesMarginPages.1" vbProcedure="false">{"(MEASDATA) BY QUARTER",#N/A,FALSE,"measdata";"(PROGDETAIL) BY MONTH",#N/A,FALSE,"progdetail";"(PROGDETAIL) BY QTR",#N/A,FALSE,"progdetail";"(ORDERS) GOR ORDERS",#N/A,FALSE,"Orders";"(DELIVERIES) UNIT SALES",#N/A,FALSE,"Deliveries";"(SEGMENTDETAILS) DATA",#N/A,FALSE,"QTRComments"}</definedName>
    <definedName function="false" hidden="true" name="wrn.Sammeleingabe." vbProcedure="false">{#N/A,#N/A,FALSE,"Sammeleingabe"}</definedName>
    <definedName function="false" hidden="true" name="wrn.SANDSQUARTERLY."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wrn.Sapere." vbProcedure="false">{"risultati",#N/A,FALSE,"Revenues";"ricavi advertising",#N/A,FALSE,"Revenues";"ricavi e-commerce",#N/A,FALSE,"Revenues";"ricavi fee for content",#N/A,FALSE,"Revenues";"costi infrastruttura",#N/A,FALSE,"Costi";"altri costi",#N/A,FALSE,"Costi";"conto economico",#N/A,FALSE,"Conto economico";"Flussi di cassa",#N/A,FALSE,"FCF"}</definedName>
    <definedName function="false" hidden="true" name="wrn.SAPkumuliert." vbProcedure="false">{"TeleSAPkumuliert",#N/A,TRUE,"Tele";"GfSAPkumuliert",#N/A,TRUE,"Gf";"MktSAPkumuliert",#N/A,TRUE,"Mkt";"RTLTextSAPkumuliert",#N/A,TRUE,"RTLText";"ATXITVSAPkumuliert",#N/A,TRUE,"ATXITV";"TechSAPkumuliert",#N/A,TRUE,"Tech";"PufferSAPkumuliert",#N/A,TRUE,"Puffer"}</definedName>
    <definedName function="false" hidden="true" name="wrn.SAPseparat." vbProcedure="false">{"TeleSAPseparat",#N/A,TRUE,"Tele";"GfSAPseparat",#N/A,TRUE,"Gf";"MktSAPseparat",#N/A,TRUE,"Mkt";"RTLTextSAPseparat",#N/A,TRUE,"RTLText";"ATXITVSAPseparat",#N/A,TRUE,"ATXITV";"TechSAPseparat",#N/A,TRUE,"Tech";"PufferSAPseparat",#N/A,TRUE,"Puffer"}</definedName>
    <definedName function="false" hidden="true" name="wrn.SAW._.AND._.SUPPORT." vbProcedure="false">{"SAW",#N/A,FALSE,"ASSEMBLY EXPENSE"}</definedName>
    <definedName function="false" hidden="true" name="wrn.sbhk." vbProcedure="false">{"sbhko",#N/A,FALSE,"A";"sbhko2",#N/A,FALSE,"A";"sbhko3",#N/A,FALSE,"A"}</definedName>
    <definedName function="false" hidden="true" name="wrn.sbkf." vbProcedure="false">{"sbfk2",#N/A,FALSE,"A";"sbkf3",#N/A,FALSE,"A";"sbkf4",#N/A,FALSE,"A";"sbkf1",#N/A,FALSE,"A"}</definedName>
    <definedName function="false" hidden="true" name="wrn.SB_PRES." vbProcedure="false">{#N/A,#N/A,TRUE,"Sheet16"}</definedName>
    <definedName function="false" hidden="true" name="wrn.SCA._.Acq.." vbProcedure="false">{#N/A,#N/A,FALSE,"main";#N/A,#N/A,FALSE,"Pooling";#N/A,#N/A,FALSE,"Purchase"}</definedName>
    <definedName function="false" hidden="true" name="wrn.SCA._.AcqDisv." vbProcedure="false">{#N/A,#N/A,FALSE,"main";#N/A,#N/A,FALSE,"Purchase"}</definedName>
    <definedName function="false" hidden="true" name="wrn.Scenario._.Summary." vbProcedure="false">{#N/A,#N/A,TRUE,"Summary";#N/A,"1",TRUE,"Summary";#N/A,"2",TRUE,"Summary";#N/A,"3",TRUE,"Summary";#N/A,"4",TRUE,"Summary";#N/A,"5",TRUE,"Summary";#N/A,"6",TRUE,"Summary";#N/A,"7",TRUE,"Summary";#N/A,"8",TRUE,"Summary";#N/A,"9",TRUE,"Summary";#N/A,"10",TRUE,"Summary";#N/A,"11",TRUE,"Summary"}</definedName>
    <definedName function="false" hidden="true" name="wrn.Schedule_1A." vbProcedure="false">{"Schedule_IA",#N/A,FALSE,"I-A"}</definedName>
    <definedName function="false" hidden="true" name="wrn.Schedule_1B." vbProcedure="false">{"Schedule_1B",#N/A,FALSE,"I-B"}</definedName>
    <definedName function="false" hidden="true" name="wrn.Schedule_1C." vbProcedure="false">{"Schedule_1C",#N/A,FALSE,"I-C"}</definedName>
    <definedName function="false" hidden="true" name="wrn.Schedule_1D." vbProcedure="false">{"Schedule_1D",#N/A,FALSE,"I-D"}</definedName>
    <definedName function="false" hidden="true" name="wrn.Schedule_I." vbProcedure="false">{"Schedule_I",#N/A,FALSE,"I"}</definedName>
    <definedName function="false" hidden="true" name="wrn.SCM_Report_Controlling." vbProcedure="false">{"SCM_Detail",#N/A,FALSE,"SCM";"SCM_Top",#N/A,FALSE,"SCM"}</definedName>
    <definedName function="false" hidden="true" name="wrn.Scott." vbProcedure="false">{#N/A,#N/A,FALSE,"Nat'lClass";#N/A,#N/A,FALSE,"NatlClass2";#N/A,#N/A,FALSE,"Cost(Sales &amp; Prod)";#N/A,#N/A,FALSE,"MonthlyDetail-Year"}</definedName>
    <definedName function="false" hidden="true" name="wrn.scrap." vbProcedure="false">{"scrap",#N/A,FALSE,"scrap"}</definedName>
    <definedName function="false" hidden="true" name="wrn.scrap0" vbProcedure="false">{"scrap",#N/A,FALSE,"scrap"}</definedName>
    <definedName function="false" hidden="true" name="wrn.scrap2" vbProcedure="false">{"scrap",#N/A,FALSE,"scrap"}</definedName>
    <definedName function="false" hidden="true" name="wrn.scrap3" vbProcedure="false">{"scrap",#N/A,FALSE,"scrap"}</definedName>
    <definedName function="false" hidden="true" name="wrn.scrap4" vbProcedure="false">{"scrap",#N/A,FALSE,"scrap"}</definedName>
    <definedName function="false" hidden="true" name="wrn.sdi." vbProcedure="false">{#N/A,#N/A,FALSE,"Customer Base";#N/A,#N/A,FALSE,"Workforce";#N/A,#N/A,FALSE,"cur prod";#N/A,#N/A,FALSE,"in-proc";#N/A,#N/A,FALSE,"Trademark"}</definedName>
    <definedName function="false" hidden="true" name="wrn.SecondCalc9798." vbProcedure="false">{#N/A,#N/A,FALSE,"Cover";#N/A,#N/A,FALSE,"Contents";#N/A,#N/A,FALSE,"BSA";#N/A,#N/A,FALSE,"Detail1";#N/A,#N/A,FALSE,"Detail2";#N/A,#N/A,FALSE,"NewPCF";#N/A,#N/A,FALSE,"Lottery";#N/A,#N/A,FALSE,"DeclineFTE";#N/A,#N/A,FALSE,"Sparsity1";#N/A,#N/A,FALSE,"Sparsity2";#N/A,#N/A,FALSE,"Labs";#N/A,#N/A,FALSE,"Safe_Hou";#N/A,#N/A,FALSE,"PerformanceSupplement";#N/A,#N/A,FALSE,"Math1";#N/A,#N/A,FALSE,"Math23";#N/A,#N/A,FALSE,"Lang1";#N/A,#N/A,FALSE,"Lang23";#N/A,#N/A,FALSE,"Dropout";#N/A,#N/A,FALSE,"remred";#N/A,#N/A,FALSE,"Dropout2";#N/A,#N/A,FALSE,"MinimumPY1";#N/A,#N/A,FALSE,"MinimumPY4";#N/A,#N/A,FALSE,"MinimumPY2";#N/A,#N/A,FALSE,"MinimumPY5";#N/A,#N/A,FALSE,"MinimumCY1";#N/A,#N/A,FALSE,"MinimumCY2";#N/A,#N/A,FALSE,"MinimumCY3";#N/A,#N/A,FALSE,"MinimumCY4";#N/A,#N/A,FALSE,"MinGuarantee";#N/A,#N/A,FALSE,"MinPercent";#N/A,#N/A,FALSE,"Compression1";#N/A,#N/A,FALSE,"Compression2";#N/A,#N/A,FALSE,"Compression3";#N/A,#N/A,FALSE,"Compression4";#N/A,#N/A,FALSE,"Equalize1";#N/A,#N/A,FALSE,"AdditionalMills1";#N/A,#N/A,FALSE,"AdditionalMills2";#N/A,#N/A,FALSE,"Mills";#N/A,#N/A,FALSE,"LRE";#N/A,#N/A,FALSE,"Addon";#N/A,#N/A,FALSE,"FTESUMM";#N/A,#N/A,FALSE,"FTE2";#N/A,#N/A,FALSE,"BaseData";#N/A,#N/A,FALSE,"WFTE2";#N/A,#N/A,FALSE,"Nonvoted"}</definedName>
    <definedName function="false" hidden="true" name="wrn.section._.A." vbProcedure="false">{"pg A1",#N/A,FALSE,"Sum P&amp;L";"pg A2",#N/A,FALSE,"Charts1";"pg A3",#N/A,FALSE,"Sum Cash";"pg A4",#N/A,FALSE,"Charts2";"pg A5",#N/A,FALSE,"Sum BS";"pg A6",#N/A,FALSE,"Sum Invest"}</definedName>
    <definedName function="false" hidden="true" name="wrn.section._.B." vbProcedure="false">{"pg B1",#N/A,FALSE,"P&amp;L Detail - Month";"pg B2",#N/A,FALSE,"P&amp;L Detail - YTD";"pg B3",#N/A,FALSE,"Cash Detail - Month";"pg B4",#N/A,FALSE,"Cash Detail - YTD";"pg B5",#N/A,FALSE,"BS Detail - CY";"pg B6",#N/A,FALSE,"BS Detail - PY";"pg B7",#N/A,FALSE,"Headcount Detail"}</definedName>
    <definedName function="false" hidden="true" name="wrn.section._.C." vbProcedure="false">{"pg C19",#N/A,FALSE,"WTC - Cover pg";"pg C20",#N/A,FALSE,"WTC - Overview";"pg C21",#N/A,FALSE,"WTC - Charts";"pg C22",#N/A,FALSE,"WTC - Stats";"pg C23",#N/A,FALSE,"WTC - Projects";"pg C24",#N/A,FALSE,"Blank pg"}</definedName>
    <definedName function="false" hidden="true" name="wrn.section._.E." vbProcedure="false">{"pg E1",#N/A,FALSE,"Ventures Portfolio";"pg E2",#N/A,FALSE,"Venture - Cash";"pg E3",#N/A,FALSE,"Unrealized Gains";"pg E4",#N/A,FALSE,"Realized Gains"}</definedName>
    <definedName function="false" hidden="true" name="wrn.section._.F." vbProcedure="false">{"pg F1",#N/A,FALSE,"Fin Smry1";"pg F2",#N/A,FALSE,"Fin Smry2";"pg F3",#N/A,FALSE,"Fin Smry3";"pg F4",#N/A,FALSE,"Fin Smry4"}</definedName>
    <definedName function="false" hidden="true" name="wrn.section._B." vbProcedure="false">{"pg A1",#N/A,FALSE,"Sum P&amp;L";"pg A2",#N/A,FALSE,"Charts1";"pg A3",#N/A,FALSE,"Sum Cash";"pg A4",#N/A,FALSE,"Charts2";"pg A5",#N/A,FALSE,"Sum BS";"pg A6",#N/A,FALSE,"Sum Invest"}</definedName>
    <definedName function="false" hidden="true" name="wrn.SemiCap." vbProcedure="false">{#N/A,#N/A,FALSE,"from high";#N/A,#N/A,FALSE,"from low";#N/A,#N/A,FALSE,"Market Cap";#N/A,#N/A,FALSE,"Alpha"}</definedName>
    <definedName function="false" hidden="true" name="wrn.sens." vbProcedure="false">{#N/A,#N/A,FALSE,"Sensitivities";#N/A,#N/A,FALSE,"Sensitivities2"}</definedName>
    <definedName function="false" hidden="true" name="wrn.sens.2" vbProcedure="false">{#N/A,#N/A,FALSE,"Sensitivities";#N/A,#N/A,FALSE,"Sensitivities2"}</definedName>
    <definedName function="false" hidden="true" name="wrn.sens3." vbProcedure="false">{#N/A,#N/A,TRUE,"DCF";#N/A,#N/A,TRUE,"DCF"}</definedName>
    <definedName function="false" hidden="true" name="wrn.sensitivity." vbProcedure="false">{"sensitivity",#N/A,FALSE,"Sensitivity"}</definedName>
    <definedName function="false" hidden="true" name="wrn.sensitivity._.analyses." vbProcedure="false">{"general",#N/A,FALSE,"Assumptions"}</definedName>
    <definedName function="false" hidden="true" name="wrn.SEP." vbProcedure="false">{"SEP",#N/A,FALSE,"SEP"}</definedName>
    <definedName function="false" hidden="true" name="wrn.SEPTEMBER." vbProcedure="false">{"Q1SEP",#N/A,FALSE,"Q1"}</definedName>
    <definedName function="false" hidden="true" name="wrn.Set." vbProcedure="false">{#N/A,#N/A,FALSE,"High";#N/A,#N/A,FALSE,"Low";#N/A,#N/A,FALSE,"MarketCap";#N/A,#N/A,FALSE,"Alpha"}</definedName>
    <definedName function="false" hidden="true" name="wrn.shamrock" vbProcedure="false">{#N/A,#N/A,TRUE,"Tar-Ass";#N/A,#N/A,TRUE,"Tar-Ass LBO";#N/A,#N/A,TRUE,"LBO Ret";#N/A,#N/A,TRUE,"Tar-BS LBO";#N/A,#N/A,TRUE,"Tar-IS LBO";#N/A,#N/A,TRUE,"Tar-CF LBO";#N/A,#N/A,TRUE,"Tar-Debt LBO";#N/A,#N/A,TRUE,"Tar-Int LBO";#N/A,#N/A,TRUE,"Tar-Taxes LBO";#N/A,#N/A,TRUE,"Tar-Val LBO"}</definedName>
    <definedName function="false" hidden="true" name="wrn.SHIPMENT." vbProcedure="false">{"SHIPMENT",#N/A,FALSE,"A"}</definedName>
    <definedName function="false" hidden="true" name="wrn.SHORT." vbProcedure="false">{"CREDIT STATISTICS",#N/A,FALSE,"STATS";"CF_AND_IS",#N/A,FALSE,"PLAN";"BALSHEET",#N/A,FALSE,"BALANCE SHEET"}</definedName>
    <definedName function="false" hidden="true" name="wrn.Short._.Print." vbProcedure="false">{#N/A,#N/A,FALSE,"Summary";#N/A,#N/A,FALSE,"Returns";#N/A,#N/A,FALSE,"Opening BS";#N/A,#N/A,FALSE,"EMO";#N/A,#N/A,FALSE,"BS";#N/A,#N/A,FALSE,"IS";#N/A,#N/A,FALSE,"Metalworking IS";#N/A,#N/A,FALSE,"CFS";#N/A,#N/A,FALSE,"Ratios"}</definedName>
    <definedName function="false" hidden="true" name="wrn.Shut_Down." vbProcedure="false">{#N/A,#N/A,FALSE,"Shut-down"}</definedName>
    <definedName function="false" hidden="true" name="wrn.Sierra." vbProcedure="false">{#N/A,#N/A,FALSE,"OXHP"}</definedName>
    <definedName function="false" hidden="true" name="wrn.Sitzung._.19.._.September._.1996." vbProcedure="false">{"Bilanz grob",#N/A,TRUE,"Planbilanz";"Erfolgsrechnung grob",#N/A,TRUE,"Plan-ER";#N/A,#N/A,TRUE,"Geldfluss";"Bilanz fein",#N/A,TRUE,"Planbilanz";"Erfolgsrechnung fein",#N/A,TRUE,"Plan-ER";#N/A,#N/A,TRUE,"Absatzplan";#N/A,#N/A,TRUE,"Einkaufsplan";#N/A,#N/A,TRUE,"Investitionsplan";#N/A,#N/A,TRUE,"KK Aktionäre"}</definedName>
    <definedName function="false" hidden="true" name="wrn.SKSCS1." vbProcedure="false">{#N/A,#N/A,FALSE,"Antony Financials";#N/A,#N/A,FALSE,"Cowboy Financials";#N/A,#N/A,FALSE,"Combined";#N/A,#N/A,FALSE,"Valuematrix";#N/A,#N/A,FALSE,"DCFAntony";#N/A,#N/A,FALSE,"DCFCowboy";#N/A,#N/A,FALSE,"DCFCombined"}</definedName>
    <definedName function="false" hidden="true" name="wrn.Slides." vbProcedure="false">{#N/A,#N/A,FALSE,"Cover";#N/A,#N/A,FALSE,"Process";#N/A,#N/A,FALSE,"Next Steps";#N/A,#N/A,FALSE,"Goals";#N/A,#N/A,FALSE,"Units";#N/A,#N/A,FALSE,"Units By Market";#N/A,#N/A,FALSE,"Sales";#N/A,#N/A,FALSE,"Comparative IS";#N/A,#N/A,FALSE,"Consolidating";#N/A,#N/A,FALSE,"Metrics";#N/A,#N/A,FALSE,"PowerEvolution";#N/A,#N/A,FALSE,"Prod Line Title";#N/A,#N/A,FALSE,"50-60 Highlights";#N/A,#N/A,FALSE,"2 Cyl Reman Highlights";#N/A,#N/A,FALSE,"2-4000 Highlights";#N/A,#N/A,FALSE,"Cento Highlights";#N/A,#N/A,FALSE,"PL Income";#N/A,#N/A,FALSE,"PL Metrics";#N/A,#N/A,FALSE,"Sub Performance";#N/A,#N/A,FALSE,"Sensitivity"}</definedName>
    <definedName function="false" hidden="true" name="wrn.Slides.1a" vbProcedure="false">{#N/A,#N/A,FALSE,"Cover";#N/A,#N/A,FALSE,"Process";#N/A,#N/A,FALSE,"Next Steps";#N/A,#N/A,FALSE,"Goals";#N/A,#N/A,FALSE,"Units";#N/A,#N/A,FALSE,"Units By Market";#N/A,#N/A,FALSE,"Sales";#N/A,#N/A,FALSE,"Comparative IS";#N/A,#N/A,FALSE,"Consolidating";#N/A,#N/A,FALSE,"Metrics";#N/A,#N/A,FALSE,"PowerEvolution";#N/A,#N/A,FALSE,"Prod Line Title";#N/A,#N/A,FALSE,"50-60 Highlights";#N/A,#N/A,FALSE,"2 Cyl Reman Highlights";#N/A,#N/A,FALSE,"2-4000 Highlights";#N/A,#N/A,FALSE,"Cento Highlights";#N/A,#N/A,FALSE,"PL Income";#N/A,#N/A,FALSE,"PL Metrics";#N/A,#N/A,FALSE,"Sub Performance";#N/A,#N/A,FALSE,"Sensitivity"}</definedName>
    <definedName function="false" hidden="true" name="wrn.small." vbProcedure="false">{#N/A,#N/A,FALSE,"Cover";#N/A,#N/A,FALSE,"Contents-Pg1";#N/A,#N/A,FALSE,"High-Com-pg2";#N/A,#N/A,FALSE,"1 Full";#N/A,#N/A,FALSE,"1chts";#N/A,#N/A,FALSE,"Table 2";#N/A,#N/A,FALSE,"3New Iss";#N/A,#N/A,FALSE,"4Money raised";#N/A,#N/A,FALSE,"5Aim";#N/A,#N/A,FALSE,"AiM charts";#N/A,#N/A,FALSE,"6FT Smll";#N/A,#N/A,FALSE,"11SEATS";#N/A,#N/A,FALSE,"12Notes"}</definedName>
    <definedName function="false" hidden="true" name="wrn.SMC." vbProcedure="false">{#N/A,#N/A,TRUE,"Main assumptions";#N/A,#N/A,TRUE,"Subscriber projections";#N/A,#N/A,TRUE,"Revenues";#N/A,#N/A,TRUE,"Opex";#N/A,#N/A,TRUE,"Capex";#N/A,#N/A,TRUE,"Working capital";#N/A,#N/A,TRUE,"P&amp;L";#N/A,#N/A,TRUE,"Cash";#N/A,#N/A,TRUE,"Balance";#N/A,#N/A,TRUE,"Valuation";#N/A,#N/A,TRUE,"Bench"}</definedName>
    <definedName function="false" hidden="true" name="wrn.SOE." vbProcedure="false">{"SOE",#N/A,FALSE,"A"}</definedName>
    <definedName function="false" hidden="true" name="wrn.Soft._.Drinks." vbProcedure="false">{#N/A,#N/A,FALSE,"Soft Drinks";#N/A,#N/A,FALSE,"Club Soft";#N/A,#N/A,FALSE,"Club Mixers";#N/A,#N/A,FALSE,"TK";#N/A,#N/A,FALSE,"Cidona";#N/A,#N/A,FALSE,"Britvic";#N/A,#N/A,FALSE,"Mi Wadi";#N/A,#N/A,FALSE,"Pepsi";#N/A,#N/A,FALSE,"7UP";#N/A,#N/A,FALSE,"Schweppes";#N/A,#N/A,FALSE,"Wholesale";#N/A,#N/A,FALSE,"Other Soft Drinks"}</definedName>
    <definedName function="false" hidden="true" name="wrn.soho._.1." vbProcedure="false">{#N/A,#N/A,FALSE,"soho 2-25"}</definedName>
    <definedName function="false" hidden="true" name="wrn.soho._.2." vbProcedure="false">{#N/A,#N/A,FALSE,"soho personal"}</definedName>
    <definedName function="false" hidden="true" name="wrn.Sonstige." vbProcedure="false">{#N/A,#N/A,FALSE,"Produkte Erw.";#N/A,#N/A,FALSE,"Produkte Plan";#N/A,#N/A,FALSE,"Leistungen Erw.";#N/A,#N/A,FALSE,"Leistungen Plan";#N/A,#N/A,FALSE,"KA Allg.Kosten (2)";#N/A,#N/A,FALSE,"KA All.Kosten"}</definedName>
    <definedName function="false" hidden="true" name="wrn.Sorted._.print." vbProcedure="false">{#N/A,#N/A,FALSE,"CASH FLOWS";#N/A,#N/A,FALSE,"INCOME STATEMENT";#N/A,#N/A,FALSE,"OPERATING EXPENSES";#N/A,#N/A,FALSE,"BALANCE SHEET";#N/A,#N/A,FALSE,"Sales"}</definedName>
    <definedName function="false" hidden="true" name="wrn.Source._.Notes." vbProcedure="false">{"IncNotes",#N/A,FALSE,"Inc";"BalNotes",#N/A,FALSE,"Bal";"GCFNotes",#N/A,FALSE,"GCF";"RcDsNotes",#N/A,FALSE,"RcDs";"RevNotes",#N/A,FALSE,"Rev";"WCapNotes",#N/A,FALSE,"WCap";"CapExNotes",#N/A,FALSE,"CapEx";"DebtNotes",#N/A,FALSE,"Debt";"RatNotes",#N/A,FALSE,"Rat";"ValNotes",#N/A,FALSE,"Val"}</definedName>
    <definedName function="false" hidden="true" name="wrn.SPEC._.GAS._.CYLS." vbProcedure="false">{"SPEC GAS CYLS",#N/A,FALSE,"SPEC GAS"}</definedName>
    <definedName function="false" hidden="true" name="wrn.sspall." vbProcedure="false">{"sspcash",#N/A,FALSE,"EWSINCX";"sspinc",#N/A,FALSE,"EWSINCX";"ssptax",#N/A,FALSE,"EWSINCX";"ssppub",#N/A,FALSE,"EWSINCX";"sspperchgetc",#N/A,FALSE,"EWSINCX";"sspevan",#N/A,FALSE,"EWSINCX";"sspbroad",#N/A,FALSE,"EWSINCX";"sspbroadcont",#N/A,FALSE,"EWSINCX";"sspcable",#N/A,FALSE,"EWSINCX";"sspent",#N/A,FALSE,"EWSINCX"}</definedName>
    <definedName function="false" hidden="true" name="wrn.Staff._.cost1998." vbProcedure="false">{#N/A,#N/A,TRUE,"Staffnos &amp; cost"}</definedName>
    <definedName function="false" hidden="true" name="wrn.Staff._.cost1998.a" vbProcedure="false">{#N/A,#N/A,TRUE,"Staffnos &amp; cost"}</definedName>
    <definedName function="false" hidden="true" name="wrn.Staffcost." vbProcedure="false">{#N/A,#N/A,FALSE,"Staffnos &amp; cost"}</definedName>
    <definedName function="false" hidden="true" name="wrn.Staffing." vbProcedure="false">{#N/A,#N/A,TRUE,"Development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function="false" hidden="true" name="wrn.Staffing1" vbProcedure="false">{#N/A,#N/A,FALSE,"Assessment";#N/A,#N/A,FALSE,"Staffing";#N/A,#N/A,FALSE,"Hires";#N/A,#N/A,FALSE,"Assumptions"}</definedName>
    <definedName function="false" hidden="true" name="wrn.STAMPA_BD." vbProcedure="false">{#N/A,#N/A,FALSE,"TOTAL";#N/A,#N/A,FALSE,"FND";#N/A,#N/A,FALSE,"FSD";#N/A,#N/A,FALSE,"OND";#N/A,#N/A,FALSE,"WTD";#N/A,#N/A,FALSE,"MND";#N/A,#N/A,FALSE,"MSD";#N/A,#N/A,FALSE,"MPD";#N/A,#N/A,FALSE,"ISD";#N/A,#N/A,FALSE,"ESD";#N/A,#N/A,FALSE,"OTH";#N/A,#N/A,FALSE,"PSD";#N/A,#N/A,FALSE,"ELIM";#N/A,#N/A,FALSE,"CHART_YTD";#N/A,#N/A,FALSE,"CHART_MONTH"}</definedName>
    <definedName function="false" hidden="true" name="wrn.Standard." vbProcedure="false">{"Financials",#N/A,FALSE,"Financials";"AVP",#N/A,FALSE,"AVP";"DCF",#N/A,FALSE,"DCF";"CSC",#N/A,FALSE,"CSC";"Deal_Comp",#N/A,FALSE,"DealComp"}</definedName>
    <definedName function="false" hidden="true" name="wrn.Standard._.Exhibit." vbProcedure="false">{"Historic Balance Sheet",#N/A,FALSE,"HBAL";"Historic Income",#N/A,FALSE,"HINC";"Historic Cash Flow",#N/A,FALSE,"HCFLOW";"Common Size Balance Sheet",#N/A,FALSE,"CSHBAL";"Common Size Income Statement",#N/A,FALSE,"CSHINC";"Ratios",#N/A,FALSE,"RATIOS"}</definedName>
    <definedName function="false" hidden="true" name="wrn.stand_alone." vbProcedure="false">{#N/A,#N/A,FALSE,"CBE";#N/A,#N/A,FALSE,"SWK"}</definedName>
    <definedName function="false" hidden="true" name="wrn.STAND_ALONE_BOTH." vbProcedure="false">{"FCB_ALL",#N/A,FALSE,"FCB";"GREY_ALL",#N/A,FALSE,"GREY"}</definedName>
    <definedName function="false" hidden="true" name="wrn.Star._.Sheets." vbProcedure="false">{#N/A,#N/A,FALSE,"Ship Date Information Sheet";#N/A,#N/A,FALSE,"System Milestone Schedule";#N/A,#N/A,FALSE,"Reasons for Missed Milestones";#N/A,#N/A,FALSE,"CES's"}</definedName>
    <definedName function="false" hidden="true" name="wrn.Statements." vbProcedure="false">{"Co1statements",#N/A,FALSE,"Cmpy1";"Co2statement",#N/A,FALSE,"Cmpy2";"co1pm",#N/A,FALSE,"Co1PM";"co2PM",#N/A,FALSE,"Co2PM";"value",#N/A,FALSE,"value";"opco",#N/A,FALSE,"NewSparkle";"adjusts",#N/A,FALSE,"Adjustments"}</definedName>
    <definedName function="false" hidden="true" name="wrn.Statistical._.Summary." vbProcedure="false">{#N/A,#N/A,FALSE,"summary"}</definedName>
    <definedName function="false" hidden="true" name="wrn.statistical_sunnary3" vbProcedure="false">{#N/A,#N/A,FALSE,"summary"}</definedName>
    <definedName function="false" hidden="true" name="wrn.Statusbericht._.deutsch." vbProcedure="false">{#N/A,#N/A,FALSE,"Report-Generator";#N/A,#N/A,FALSE,"S.1 Zusammenfassung";#N/A,#N/A,FALSE,"S.2 Modellrendite";#N/A,#N/A,FALSE,"S.3a Absatzvolumen";#N/A,#N/A,FALSE,"S.3b Absatzvolumen";#N/A,#N/A,FALSE,"S.3c Absatzvolumen";#N/A,#N/A,FALSE,"S.4 Volumen, Mix";#N/A,#N/A,FALSE,"S.5 Produktaufwand";#N/A,#N/A,FALSE,"S.6 Prop. Herstellkosten";#N/A,#N/A,FALSE,"S.7 DB-Vergleich";#N/A,#N/A,FALSE,"S.8 DB-Vergleich";#N/A,#N/A,FALSE,"S.9 DB-Vergleich";#N/A,#N/A,FALSE,"S.10 MR-Berechnung"}</definedName>
    <definedName function="false" hidden="true" name="wrn.STOCKHOLDERS._.EQUITY." vbProcedure="false">{#N/A,#N/A,FALSE,"WW-1 Stockholders' Equity"}</definedName>
    <definedName function="false" hidden="true" name="wrn.Strategi." vbProcedure="false">{#N/A,#N/A,FALSE,"PrintS"}</definedName>
    <definedName function="false" hidden="true" name="wrn.Structure." vbProcedure="false">{#N/A,#N/A,FALSE,"Structure";#N/A,#N/A,FALSE,"Proj-Cal";#N/A,#N/A,FALSE,"Market"}</definedName>
    <definedName function="false" hidden="true" name="wrn.Stundenzettel." vbProcedure="false">{#N/A,#N/A,FALSE,"M1";#N/A,#N/A,FALSE,"K7";#N/A,#N/A,FALSE,"K6";#N/A,#N/A,FALSE,"K5";#N/A,#N/A,FALSE,"K4";#N/A,#N/A,FALSE,"K3";#N/A,#N/A,FALSE,"K2";#N/A,#N/A,FALSE,"K1"}</definedName>
    <definedName function="false" hidden="true" name="wrn.Sum." vbProcedure="false">{"Summary",#N/A,FALSE,"Revised"}</definedName>
    <definedName function="false" hidden="true" name="wrn.SumIncBalRat." vbProcedure="false">{#N/A,#N/A,FALSE,"Summary";#N/A,#N/A,FALSE,"Income Statement";#N/A,#N/A,FALSE,"Balance Sheet";#N/A,#N/A,FALSE,"Ratios"}</definedName>
    <definedName function="false" hidden="true" name="wrn.summaries." vbProcedure="false">{#N/A,#N/A,FALSE,"YTD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function="false" hidden="true" name="wrn.Summary." vbProcedure="false">{#N/A,#N/A,FALSE,"Cover";#N/A,#N/A,FALSE,"Outputs";#N/A,#N/A,FALSE,"Control (In)";"tesco summary",#N/A,FALSE,"Tesco";"Outputs and Co Summaries",#N/A,FALSE,"Sainsbury";"Outputs and Co Summaries",#N/A,FALSE,"Carrefour";"Outputs and Co Summaries",#N/A,FALSE,"Co D";"Outputs and Co Summaries",#N/A,FALSE,"Co E"}</definedName>
    <definedName function="false" hidden="true" name="wrn.summary.2.print" vbProcedure="false">{#N/A,#N/A,TRUE,"title page";#N/A,#N/A,TRUE,"Profit and loss";#N/A,#N/A,TRUE,"Balance sheet";#N/A,#N/A,TRUE,"Cashflow";#N/A,#N/A,TRUE,"Key Metrics"}</definedName>
    <definedName function="false" hidden="true" name="wrn.Summary.Decom" vbProcedure="false">{"View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function="false" hidden="true" name="wrn.Summary.ED" vbProcedure="false">{"View No.1","1. DIESELS - NO DEBT - RESIDUAL VALUE",TRUE,"Proforma";"View No.2","2. DIESELS - 50% DEBT - RESIDUAL VALUE",TRUE,"Proforma";"View No.2","3. DIESELS - 70% DEBT - RESIDUAL VALUE",TRUE,"Proforma";"View No.2","4. NEW GT -  NO DEBT - RESIDUAL VALUE",TRUE,"Proforma";"View No.2","5. NEW GT - 50% DEBT - RESIDUAL VALUE",TRUE,"Proforma";"View No.2","6. NEW GT - 70% DEBT - RESIDUAL VALUE",TRUE,"Proforma";"View No.2","7. USED GT - NO DEBT - NO RESIDUAL VALUE",TRUE,"Proforma"}</definedName>
    <definedName function="false" hidden="true" name="wrn.Summary._.2." vbProcedure="false">{#N/A,#N/A,TRUE,"Model"}</definedName>
    <definedName function="false" hidden="true" name="wrn.SUMMARY._.ASSEM._.EXP." vbProcedure="false">{"TOTALASSEMBLYEXPENSE",#N/A,FALSE,"MANUFACTURING EXPENSE SUMMARY"}</definedName>
    <definedName function="false" hidden="true" name="wrn.SUMMARY._.FAB._.I._.EXP." vbProcedure="false">{"TOTALWAFERFABEXPENSE",#N/A,FALSE,"MANUFACTURING EXPENSE SUMMARY"}</definedName>
    <definedName function="false" hidden="true" name="wrn.SUMMARY._.FAB._.II._.EXP." vbProcedure="false">{"TOTALWAFERFAB2EXPENSE",#N/A,FALSE,"MANUFACTURING EXPENSE SUMMARY"}</definedName>
    <definedName function="false" hidden="true" name="wrn.SUMMARY._.FACIL._.EXP." vbProcedure="false">{"TOTALFACILITIESEXPENSE",#N/A,FALSE,"MANUFACTURING EXPENSE SUMMARY"}</definedName>
    <definedName function="false" hidden="true" name="wrn.SUMMARY._.MATLS._.EXP." vbProcedure="false">{"TOTALMATERIALSEXPENSE",#N/A,FALSE,"MANUFACTURING EXPENSE SUMMARY"}</definedName>
    <definedName function="false" hidden="true" name="wrn.Summary._.output." vbProcedure="false">{#N/A,#N/A,FALSE,"Assump";#N/A,#N/A,FALSE,"Calculations";#N/A,#N/A,FALSE,"P&amp;L";#N/A,#N/A,FALSE,"BS";#N/A,#N/A,FALSE,"Credit"}</definedName>
    <definedName function="false" hidden="true" name="wrn.summary._.print." vbProcedure="false">{#N/A,#N/A,TRUE,"title page";#N/A,#N/A,TRUE,"Profit and loss";#N/A,#N/A,TRUE,"Balance sheet";#N/A,#N/A,TRUE,"Cashflow";#N/A,#N/A,TRUE,"Key Metrics"}</definedName>
    <definedName function="false" hidden="true" name="wrn.SUMMARY._.QR._.EXP." vbProcedure="false">{"TOTALQAEXPENSE",#N/A,FALSE,"MANUFACTURING EXPENSE SUMMARY"}</definedName>
    <definedName function="false" hidden="true" name="wrn.Summary._.reports." vbProcedure="false">{#N/A,#N/A,FALSE,"Commentary";#N/A,#N/A,FALSE,"Executive P &amp; L Summary";#N/A,#N/A,FALSE,"Executive BS Summary &amp; Key Figs";#N/A,#N/A,FALSE,"Head count";#N/A,#N/A,FALSE,"AFE's"}</definedName>
    <definedName function="false" hidden="true" name="wrn.SUMMARY._.SUBCNTRT._.EXP." vbProcedure="false">{"TOTALSUBEXPNESE",#N/A,FALSE,"MANUFACTURING EXPENSE SUMMARY"}</definedName>
    <definedName function="false" hidden="true" name="wrn.Summary._.with._.short._.outputs." vbProcedure="false">{#N/A,#N/A,FALSE,"Cover";"Short outputs",#N/A,FALSE,"Outputs";#N/A,#N/A,FALSE,"Control (In)";"tesco summary",#N/A,FALSE,"Tesco";"Outputs and Co summaries",#N/A,FALSE,"Sainsbury";"Outputs and Co Summaries",#N/A,FALSE,"Carrefour";"Outputs and Co summaries",#N/A,FALSE,"Co D";"Outputs and Co summaries",#N/A,FALSE,"Co E"}</definedName>
    <definedName function="false" hidden="true" name="wrn.summary4" vbProcedure="false">{#N/A,#N/A,FALSE,"summary"}</definedName>
    <definedName function="false" hidden="true" name="wrn.summary9" vbProcedure="false">{#N/A,#N/A,FALSE,"summary"}</definedName>
    <definedName function="false" hidden="true" name="wrn.SummaryPgs." vbProcedure="false">{#N/A,#N/A,FALSE,"CreditStat";#N/A,#N/A,FALSE,"SPbrkup";#N/A,#N/A,FALSE,"MerSPsyn";#N/A,#N/A,FALSE,"MerSPwKCsyn";#N/A,#N/A,FALSE,"MerSPwKCsyn (2)";#N/A,#N/A,FALSE,"CreditStat (2)"}</definedName>
    <definedName function="false" hidden="true" name="wrn.SummaryReport." vbProcedure="false">{"matrix",#N/A,TRUE,"Matrix";"forecast",#N/A,TRUE,"Forecast";"incstmt",#N/A,TRUE,"Inc Stmt";"balsheet",#N/A,TRUE,"Bal Sheet";"cashflow",#N/A,TRUE,"Cash Flow";"incmcf",#N/A,TRUE,"Inc mcf";"capsumm",#N/A,TRUE,"Cap Summ";"assump",#N/A,TRUE,"Assum";"epscalc",#N/A,TRUE,"Inc Stmt"}</definedName>
    <definedName function="false" hidden="true" name="wrn.summary_comsat." vbProcedure="false">{"summary",#N/A,FALSE,"comsat"}</definedName>
    <definedName function="false" hidden="true" name="wrn.Summ_Assum_Graphs." vbProcedure="false">{#N/A,#N/A,TRUE,"Initial";#N/A,#N/A,TRUE,"Graphs"}</definedName>
    <definedName function="false" hidden="true" name="wrn.SUPP." vbProcedure="false">{#N/A,#N/A,FALSE,"COVER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function="false" hidden="true" name="wrn.Support." vbProcedure="false">{"Support",#N/A,FALSE,"Sorted by database"}</definedName>
    <definedName function="false" hidden="true" name="wrn.SWITCH." vbProcedure="false">{"SWITCH",#N/A,FALSE,"REVENUE AND GM "}</definedName>
    <definedName function="false" hidden="true" name="wrn.Table._.of._.Contents." vbProcedure="false">{#N/A,#N/A,FALSE,"Table of Contents"}</definedName>
    <definedName function="false" hidden="true" name="wrn.TAG." vbProcedure="false">{"TAG1AGMS",#N/A,FALSE,"TAG 1A"}</definedName>
    <definedName function="false" hidden="true" name="wrn.Tages" vbProcedure="false">{"Tages_D",#N/A,FALSE,"Tagesbericht";"Tages_PL",#N/A,FALSE,"Tagesbericht"}</definedName>
    <definedName function="false" hidden="true" name="wrn.Tagesbericht." vbProcedure="false">{"Tages_D",#N/A,FALSE,"Tagesbericht";"Tages_PL",#N/A,FALSE,"Tagesbericht"}</definedName>
    <definedName function="false" hidden="true" name="wrn.Target." vbProcedure="false">{#N/A,#N/A,TRUE,"Tar-Ass";#N/A,#N/A,TRUE,"Tar-IS";#N/A,#N/A,TRUE,"Tar-BS";#N/A,#N/A,TRUE,"Tar-CF";#N/A,#N/A,TRUE,"Tar-Adg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function="false" hidden="true" name="wrn.TARGET._.DCF." vbProcedure="false">{"targetdcf",#N/A,FALSE,"Merger consequences";"TARGETASSU",#N/A,FALSE,"Merger consequences";"TERMINAL VALUE",#N/A,FALSE,"Merger consequences"}</definedName>
    <definedName function="false" hidden="true" name="wrn.Target._.Summary." vbProcedure="false">{"SUMMARY",#N/A,FALSE,"Sheet1"}</definedName>
    <definedName function="false" hidden="true" name="wrn.TargetLBO." vbProcedure="false">{#N/A,#N/A,TRUE,"Tar-Ass";#N/A,#N/A,TRUE,"Tar-Ass LBO";#N/A,#N/A,TRUE,"LBO Ret";#N/A,#N/A,TRUE,"Tar-BS LBO";#N/A,#N/A,TRUE,"Tar-IS LBO";#N/A,#N/A,TRUE,"Tar-CF LBO";#N/A,#N/A,TRUE,"Tar-Debt LBO";#N/A,#N/A,TRUE,"Tar-Int LBO";#N/A,#N/A,TRUE,"Tar-Taxes LBO";#N/A,#N/A,TRUE,"Tar-Val LBO"}</definedName>
    <definedName function="false" hidden="true" name="wrn.TargetState." vbProcedure="false">{#N/A,#N/A,FALSE,"Tar-Ass";#N/A,#N/A,FALSE,"Tar-IS";#N/A,#N/A,FALSE,"Tar-BS";#N/A,#N/A,FALSE,"Tar-Adg BS";#N/A,#N/A,FALSE,"Tar-CF"}</definedName>
    <definedName function="false" hidden="true" name="wrn.TargetVal." vbProcedure="false">{#N/A,#N/A,TRUE,"Val - sum";#N/A,#N/A,TRUE,"Val - Sum1";#N/A,#N/A,TRUE,"Val - sum2";#N/A,#N/A,TRUE,"Val - Sum3";#N/A,#N/A,TRUE,"Tar-DCF";#N/A,#N/A,TRUE,"Tar-Val LBO";#N/A,#N/A,TRUE,"Tar-Mult Val"}</definedName>
    <definedName function="false" hidden="true" name="wrn.Tariff._.Analysis." vbProcedure="false">{"Tarifica91",#N/A,FALSE,"Tariffs";"Tarifica92",#N/A,FALSE,"Tariffs";"Tarifica93",#N/A,FALSE,"Tariffs";"Tarifica94",#N/A,FALSE,"Tariffs";"Tarifica95",#N/A,FALSE,"Tariffs";"Tarifica96",#N/A,FALSE,"Tariffs"}</definedName>
    <definedName function="false" hidden="true" name="wrn.Tariff._.Comaprison." vbProcedure="false">{"Tariff Comparison",#N/A,FALSE,"Benchmarking";"Tariff Comparison 2",#N/A,FALSE,"Benchmarking";"Tariff Comparison 3",#N/A,FALSE,"Benchmarking"}</definedName>
    <definedName function="false" hidden="true" name="wrn.tavg4a." vbProcedure="false">{"rates",#N/A,FALSE,"tavg4a";"rev",#N/A,FALSE,"tavg4a"}</definedName>
    <definedName function="false" hidden="true" name="wrn.TAXATION." vbProcedure="false">{#N/A,#N/A,FALSE,"JJ-1 Reg. Tax";#N/A,#N/A,FALSE,"JJ-2 Tax Jnl. Entry";#N/A,#N/A,FALSE,"JJ-3 Alt Min. Tax";#N/A,#N/A,FALSE,"JJ-4 Tax Checklist";#N/A,#N/A,FALSE,"KK-1 Def. Tax";#N/A,#N/A,FALSE,"KK-2 Rate Recon.";#N/A,#N/A,FALSE,"0800-2 Income Tax Provision";#N/A,#N/A,FALSE,"0800-3 Income Tax Provision H&amp;L"}</definedName>
    <definedName function="false" hidden="true" name="wrn.Taxes." vbProcedure="false">{#N/A,#N/A,FALSE,"Taxes"}</definedName>
    <definedName function="false" hidden="true" name="wrn.TBB3." vbProcedure="false">{"TBB3 Assns",#N/A,FALSE,"Valuation";"TBB3 assumptions",#N/A,FALSE,"Assumptions";"TBB3 model",#N/A,FALSE,"INCOME"}</definedName>
    <definedName function="false" hidden="true" name="wrn.TBB4" vbProcedure="false">{"TBB3 Assns",#N/A,FALSE,"Valuation";"TBB3 assumptions",#N/A,FALSE,"Assumptions";"TBB3 model",#N/A,FALSE,"INCOME"}</definedName>
    <definedName function="false" hidden="true" name="wrn.TBB5" vbProcedure="false">{"TBB3 Assns",#N/A,FALSE,"Valuation";"TBB3 assumptions",#N/A,FALSE,"Assumptions";"TBB3 model",#N/A,FALSE,"INCOME"}</definedName>
    <definedName function="false" hidden="true" name="wrn.TCR." vbProcedure="false">{#N/A,#N/A,FALSE,"title";#N/A,#N/A,FALSE,"AVE VEH";#N/A,#N/A,FALSE,"METRICS";#N/A,#N/A,FALSE,"Prod Cost";#N/A,#N/A,FALSE,"CMTOTCST";#N/A,#N/A,FALSE,"Roadmap";#N/A,#N/A,FALSE,"Road Text";#N/A,#N/A,FALSE,"VAVE";#N/A,#N/A,FALSE,"Warranty #1";#N/A,#N/A,FALSE,"Warranty #2";#N/A,#N/A,FALSE,"Purchasing"}</definedName>
    <definedName function="false" hidden="true" name="wrn.TEC." vbProcedure="false">{"TEC - DVMD",#N/A,FALSE,"Aout_2000";"TEC - projets en cours",#N/A,FALSE,"Aout_2000";"TEC - projets terminés",#N/A,FALSE,"Aout_2000"}</definedName>
    <definedName function="false" hidden="true" name="wrn.Ten._.Year." vbProcedure="false">{#N/A,"Ten Year",FALSE,"Assumptions";#N/A,"Ten Year",FALSE,"Annual Summary";#N/A,"Ten Year",FALSE,"Quarterly Summary";#N/A,#N/A,FALSE,"IRR"}</definedName>
    <definedName function="false" hidden="true" name="wrn.test." vbProcedure="false">{#N/A,#N/A,FALSE,"Fluktuation TSI"}</definedName>
    <definedName function="false" hidden="true" name="wrn.test1." vbProcedure="false">{"atest",#N/A,FALSE,"Tabelle1";#N/A,#N/A,FALSE,"Tabelle2"}</definedName>
    <definedName function="false" hidden="true" name="wrn.test3." vbProcedure="false">{"SourcesUses",#N/A,TRUE,#N/A;"TransOverview",#N/A,TRUE,"CFMODEL"}</definedName>
    <definedName function="false" hidden="true" name="wrn.test4." vbProcedure="false">{"SourcesUses",#N/A,TRUE,"FundsFlow";"TransOverview",#N/A,TRUE,"FundsFlow"}</definedName>
    <definedName function="false" hidden="true" name="wrn.TheWholeEnchilada." vbProcedure="false">{"CSheet",#N/A,FALSE,"C";"SmCap",#N/A,FALSE,"VAL1";"GulfCoast",#N/A,FALSE,"VAL1";"nav",#N/A,FALSE,"NAV";"Summary",#N/A,FALSE,"NAV"}</definedName>
    <definedName function="false" hidden="true" name="wrn.Thomas_Case." vbProcedure="false">{#N/A,#N/A,TRUE,"Thomas Case";#N/A,#N/A,TRUE,"Corporate Overhead";#N/A,#N/A,TRUE,"Arizona";#N/A,#N/A,TRUE,"Cal";#N/A,#N/A,TRUE,"Illinois";#N/A,#N/A,TRUE,"Indiana";#N/A,#N/A,TRUE,"Ohio";#N/A,#N/A,TRUE,"Pennsylvania";#N/A,#N/A,TRUE,"Growth";#N/A,#N/A,TRUE,"Anthem";#N/A,#N/A,TRUE,"Pipeline"}</definedName>
    <definedName function="false" hidden="true" name="wrn.TMCALL." vbProcedure="false">{"tmccash",#N/A,FALSE,"INCX";"tmcinc",#N/A,FALSE,"INCX";"tmcpretx",#N/A,FALSE,"INCX";"tmcadrev",#N/A,FALSE,"INCX";"tmcbooks",#N/A,FALSE,"INCX"}</definedName>
    <definedName function="false" hidden="true" name="wrn.TMRO._.Defence._.Pack." vbProcedure="false">{#N/A,#N/A,FALSE,"Front Page";#N/A,#N/A,FALSE,"Contents";#N/A,#N/A,FALSE,"Deals in month";#N/A,#N/A,FALSE,"Order Tracking";#N/A,#N/A,FALSE,"Orders Committed";#N/A,#N/A,FALSE,"Orders P1-3";#N/A,#N/A,FALSE,"Major Sales Top 20";#N/A,#N/A,FALSE,"HPS Major Sales";#N/A,#N/A,FALSE,"OS Major Sales";#N/A,#N/A,FALSE,"MJ OS Calculation sheet";#N/A,#N/A,FALSE,"MJ HPS Calculation sheet";#N/A,#N/A,FALSE,"OS Rev Track";#N/A,#N/A,FALSE,"OS Committed";#N/A,#N/A,FALSE,"OS P1-3";#N/A,#N/A,FALSE,"HPS Rev Track";#N/A,#N/A,FALSE,"HPS Committed";#N/A,#N/A,FALSE,"HPS P1-3";#N/A,#N/A,FALSE,"Lost Bids";#N/A,#N/A,FALSE,"OSD Offering Bar Chart";#N/A,#N/A,FALSE,"HPS Offering Bar Chart";#N/A,#N/A,FALSE,"Defence Offering Bar Chart";#N/A,#N/A,FALSE,"Ongoing HPS VME Revenue";#N/A,#N/A,FALSE,"Issues "}</definedName>
    <definedName function="false" hidden="true" name="wrn.TMRO._.Horizontal._.Pack." vbProcedure="false">{#N/A,#N/A,TRUE,"Front Page";#N/A,#N/A,TRUE,"Contents";#N/A,#N/A,TRUE,"Deals in month";#N/A,#N/A,TRUE,"Order Tracking";#N/A,#N/A,TRUE,"Orders Committed";#N/A,#N/A,TRUE,"Orders P1-3";#N/A,#N/A,TRUE,"Major Sales Top 20";#N/A,#N/A,TRUE,"HPS Major Sales";#N/A,#N/A,TRUE,"OS Major Sales";#N/A,#N/A,TRUE,"MJ OS Calculation sheet";#N/A,#N/A,TRUE,"MJ HPS Calculation sheet";#N/A,#N/A,TRUE,"OS Rev Track";#N/A,#N/A,TRUE,"OS Committed";#N/A,#N/A,TRUE,"OS P1-3";#N/A,#N/A,TRUE,"HPS Rev Track";#N/A,#N/A,TRUE,"HPS Committed";#N/A,#N/A,TRUE,"HPS P1-3";#N/A,#N/A,TRUE,"Lost Bids";#N/A,#N/A,TRUE,"OSD Industry Bar Chart";#N/A,#N/A,TRUE,"HPS Industry Bar Chart";#N/A,#N/A,TRUE,"Ongoing HPS VME Revenue";#N/A,#N/A,TRUE,"Issues "}</definedName>
    <definedName function="false" hidden="true" name="wrn.TMRO._.Pack." vbProcedure="false">{#N/A,#N/A,TRUE,"Front Page";#N/A,#N/A,TRUE,"Contents";#N/A,#N/A,TRUE,"Deals in month";#N/A,#N/A,TRUE,"Order Tracking";#N/A,#N/A,TRUE,"Orders Committed";#N/A,#N/A,TRUE,"Orders P1-3";#N/A,#N/A,TRUE,"Major Sales Top 20";#N/A,#N/A,TRUE,"Major Sales";#N/A,#N/A,TRUE,"MJ OS Calculation sheet";#N/A,#N/A,TRUE,"MJ HPS Calculation sheet";#N/A,#N/A,TRUE,"OS Rev Track";#N/A,#N/A,TRUE,"OS Committed";#N/A,#N/A,TRUE,"OS P1-3";#N/A,#N/A,TRUE,"HPS Rev Track";#N/A,#N/A,TRUE,"HPS Committed";#N/A,#N/A,TRUE,"HPS P1-3";#N/A,#N/A,TRUE,"Lost Bids";#N/A,#N/A,TRUE,"OSD Offering Bar Chart";#N/A,#N/A,TRUE,"HPS Offering Bar Chart";#N/A,#N/A,TRUE,"Ongoing HPS VME Revenue";#N/A,#N/A,TRUE,"Issues"}</definedName>
    <definedName function="false" hidden="true" name="wrn.TMRO._.Vertical._.Pack." vbProcedure="false">{#N/A,#N/A,TRUE,"Front Page";#N/A,#N/A,TRUE,"Contents";#N/A,#N/A,TRUE,"Deals in month";#N/A,#N/A,TRUE,"Order Tracking";#N/A,#N/A,TRUE,"Orders Committed";#N/A,#N/A,TRUE,"Orders P1-3";#N/A,#N/A,TRUE,"Major Sales Top 20";#N/A,#N/A,TRUE,"HPS Major Sales";#N/A,#N/A,TRUE,"OS Major Sales";#N/A,#N/A,TRUE,"MJ OS Calculation sheet";#N/A,#N/A,TRUE,"MJ HPS Calculation sheet";#N/A,#N/A,TRUE,"OS Rev Track";#N/A,#N/A,TRUE,"OS Committed";#N/A,#N/A,TRUE,"OS P1-3";#N/A,#N/A,TRUE,"HPS Rev Track";#N/A,#N/A,TRUE,"HPS Committed";#N/A,#N/A,TRUE,"HPS P1-3";#N/A,#N/A,TRUE,"Lost Bids";#N/A,#N/A,TRUE,"OSD Offering Bar Chart";#N/A,#N/A,TRUE,"HPS Offering Bar Chart";#N/A,#N/A,TRUE,"Ongoing HPS VME Revenue";#N/A,#N/A,TRUE,"Issues "}</definedName>
    <definedName function="false" hidden="true" name="wrn.tobacco." vbProcedure="false">{"income",#N/A,FALSE,"TOBACCO";"value",#N/A,FALSE,"TOBACCO";"assum1",#N/A,FALSE,"TOBACCO";"assum2",#N/A,FALSE,"TOBACCO";"swisher",#N/A,FALSE,"TOBACCO";"martin",#N/A,FALSE,"TOBACCO";"helme1",#N/A,FALSE,"TOBACCO";"helme2",#N/A,FALSE,"TOBACCO";"HELME3",#N/A,FALSE,"TOBACCO";"depmatrix",#N/A,FALSE,"TOBACCO"}</definedName>
    <definedName function="false" hidden="true" name="wrn.tobsum." vbProcedure="false">{"income",#N/A,FALSE,"TOBACCO";"value",#N/A,FALSE,"TOBACCO";"assum1",#N/A,FALSE,"TOBACCO"}</definedName>
    <definedName function="false" hidden="true" name="wrn.TODO." vbProcedure="false">{#N/A,#N/A,FALSE,"Indcost";#N/A,#N/A,FALSE,"Plcost";#N/A,#N/A,FALSE,"Mincost";#N/A,#N/A,FALSE,"Produc";#N/A,#N/A,FALSE,"Rev";#N/A,#N/A,FALSE,"Capital";#N/A,#N/A,FALSE,"Wcapital";#N/A,#N/A,FALSE,"Contdep";#N/A,#N/A,FALSE,"Taxdep";#N/A,#N/A,FALSE,"Tax";#N/A,#N/A,FALSE,"S-SDebt";#N/A,#N/A,FALSE,"TotDebt";#N/A,#N/A,FALSE,"Profit";#N/A,#N/A,FALSE,"CFlow";#N/A,#N/A,FALSE,"1996-2012";#N/A,#N/A,FALSE,"Bcesheet"}</definedName>
    <definedName function="false" hidden="true" name="wrn.todos." vbProcedure="false">{#N/A,#N/A,FALSE,"Surf";#N/A,#N/A,FALSE,"Surf_Dsl";#N/A,#N/A,FALSE,"Porto";#N/A,#N/A,FALSE,"Porto_Dsl";#N/A,#N/A,FALSE,"Stud_125";#N/A,#N/A,FALSE,"Stud_Dsl";#N/A,#N/A,FALSE,"Tec_125";#N/A,#N/A,FALSE,"Tec_14";#N/A,#N/A,FALSE,"Ghia_125";#N/A,#N/A,FALSE,"Ghia_14";#N/A,#N/A,FALSE,"Fam_13";#N/A,#N/A,FALSE,"BFam_13";#N/A,#N/A,FALSE,"BE146"}</definedName>
    <definedName function="false" hidden="true" name="wrn.TOOL." vbProcedure="false">{#N/A,#N/A,TRUE,"Consolidated";#N/A,#N/A,TRUE,"Offering";#N/A,#N/A,TRUE,"WAE";#N/A,#N/A,TRUE,"Combined";#N/A,#N/A,TRUE,"PE Consolidated";#N/A,#N/A,TRUE,"CF Consolidated";#N/A,#N/A,TRUE,"Income";#N/A,#N/A,TRUE,"OfferingTool";#N/A,#N/A,TRUE,"Inputs";#N/A,#N/A,TRUE,"PE";#N/A,#N/A,TRUE,"CF";#N/A,#N/A,TRUE,"Income (2)";#N/A,#N/A,TRUE,"Inputs (2)";#N/A,#N/A,TRUE,"PE (2)";#N/A,#N/A,TRUE,"CF (2)";#N/A,#N/A,TRUE,"Summary"}</definedName>
    <definedName function="false" hidden="true" name="wrn.Tota._.Division103a"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_Division31"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 vbProcedure="false">{#N/A,#N/A,FALSE,"Trans-Sum";#N/A,#N/A,FALSE,"Accr-Dilu2";#N/A,#N/A,FALSE,"Contribution";#N/A,#N/A,FALSE,"Combined";#N/A,#N/A,FALSE,"ASTF";#N/A,#N/A,FALSE,"BRA";#N/A,#N/A,FALSE,"Bra_C";#N/A,#N/A,FALSE,"AcqMults";#N/A,#N/A,FALSE,"CompMults";#N/A,#N/A,FALSE,"DCF";#N/A,#N/A,FALSE,"WACC";#N/A,#N/A,FALSE,"LBO";#N/A,#N/A,FALSE,"Summary";#N/A,#N/A,FALSE,"StructSum"}</definedName>
    <definedName function="false" hidden="true" name="wrn.Total._.Business." vbProcedure="false">{#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function="false" hidden="true" name="wrn.Total._.Chem._.Balance._.Sheet." vbProcedure="false">{#N/A,"TCHEM",FALSE,"BSHIST.XLS"}</definedName>
    <definedName function="false" hidden="true" name="wrn.Total._.Company._.Reforecast._.Print." vbProcedure="false">{#N/A,#N/A,FALSE,"RF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function="false" hidden="true" name="wrn.Total._.Division"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_.Division."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_.Division.2"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_.Division12"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_.Division34"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_.Division35"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_.Divisiona1b"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_.employees." vbProcedure="false">{"Marketing",#N/A,FALSE,"O_personnel";"Sales",#N/A,FALSE,"O_personnel";"Finance",#N/A,FALSE,"O_personnel";"Hr",#N/A,FALSE,"O_personnel";"Act",#N/A,FALSE,"O_personnel";"IT",#N/A,FALSE,"O_personnel";"CSR",#N/A,FALSE,"O_personnel";"Logistic",#N/A,FALSE,"O_personnel";"Engineering",#N/A,FALSE,"O_personnel";"New business",#N/A,FALSE,"O_personnel";"wage_cost",#N/A,FALSE,"O_sallery"}</definedName>
    <definedName function="false" hidden="true" name="wrn.TOTAL._.FAB._.2._.EXPENSE." vbProcedure="false">{"TOTALFAB",#N/A,FALSE,"WAFER FAB 2 EXPENSE"}</definedName>
    <definedName function="false" hidden="true" name="wrn.Total._.Market._.Report." vbProcedure="false">{#N/A,#N/A,FALSE,"Sales Graph";#N/A,#N/A,FALSE,"BUC Graph";#N/A,#N/A,FALSE,"P&amp;L - YTD"}</definedName>
    <definedName function="false" hidden="true" name="wrn.Total._.Pack." vbProcedure="false">{#N/A,#N/A,TRUE,"Assumptions";#N/A,#N/A,TRUE,"Financial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function="false" hidden="true" name="wrn.Total._.Plant." vbProcedure="false">{#N/A,#N/A,FALSE,"Total Plant"}</definedName>
    <definedName function="false" hidden="true" name="wrn.Total._.Proved." vbProcedure="false">{"Total",#N/A,FALSE,"Total Proved";"PDP",#N/A,FALSE,"Total Proved";"PNP",#N/A,FALSE,"Total Proved";"PUD",#N/A,FALSE,"Total Proved"}</definedName>
    <definedName function="false" hidden="true" name="wrn.Total._.Proved._.plus._.Probable." vbProcedure="false">{"Total",#N/A,FALSE,"Total Proved + Probable";"PDP",#N/A,FALSE,"Total Proved + Probable";"PNP",#N/A,FALSE,"Total Proved + Probable";"PUD",#N/A,FALSE,"Total Proved + Probable";"Prob",#N/A,FALSE,"Total Proved + Probable"}</definedName>
    <definedName function="false" hidden="true" name="wrn.total._Division11"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_Division32"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42"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a4"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comp." vbProcedure="false">{"comp1",#N/A,FALSE,"COMPS";"footnotes",#N/A,FALSE,"COMPS"}</definedName>
    <definedName function="false" hidden="true" name="wrn.totalcomp.1" vbProcedure="false">{"comp1",#N/A,FALSE,"COMPS";"footnotes",#N/A,FALSE,"COMPS"}</definedName>
    <definedName function="false" hidden="true" name="wrn.total_Divisionb2"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ut._.Sauf._.BG." vbProcedure="false">{#N/A,#N/A,FALSE,"A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function="false" hidden="true" name="wrn.tpepsum4a." vbProcedure="false">{"pep204a",#N/A,FALSE,"tpepsum4a";"pep205a",#N/A,FALSE,"tpepsum4a";"wpep204a",#N/A,FALSE,"tpepsum4a";"wpep205a",#N/A,FALSE,"tpepsum4a"}</definedName>
    <definedName function="false" hidden="true" name="wrn.Track." vbProcedure="false">{#N/A,#N/A,FALSE,"Inc Stmt";#N/A,#N/A,FALSE,"Indirect Costs";#N/A,#N/A,FALSE,"Capital"}</definedName>
    <definedName function="false" hidden="true" name="wrn.Trading._.Summary." vbProcedure="false">{#N/A,#N/A,FALSE,"Trading Summary"}</definedName>
    <definedName function="false" hidden="true" name="wrn.trans." vbProcedure="false">{#N/A,#N/A,FALSE,"TRANSNEW"}</definedName>
    <definedName function="false" hidden="true" name="wrn.trans._.sum." vbProcedure="false">{"trans assumptions",#N/A,FALSE,"Merger";"trans accretion",#N/A,FALSE,"Merger"}</definedName>
    <definedName function="false" hidden="true" name="wrn.TRANSPORT._.COSTS." vbProcedure="false">{"TRANSPORT COSTS",#N/A,FALSE,"C.CENTRE"}</definedName>
    <definedName function="false" hidden="true" name="wrn.TransPrcd_123." vbProcedure="false">{#N/A,#N/A,TRUE,"TransPrcd 1";#N/A,#N/A,TRUE,"TransPrcd 2";#N/A,#N/A,TRUE,"TransPrcd 3"}</definedName>
    <definedName function="false" hidden="true" name="wrn.trball." vbProcedure="false">{"trbcash",#N/A,FALSE,"INCPF";"trbinc",#N/A,FALSE,"INCPF";"trbchic",#N/A,FALSE,"INCPF";"trbadrev",#N/A,FALSE,"INCPF";"trbstns",#N/A,FALSE,"INCPF";"trbtvstns",#N/A,FALSE,"INCPF"}</definedName>
    <definedName function="false" hidden="true" name="wrn.Treasury._.Management._.Full._.Print." vbProcedure="false">{"Summary only",#N/A,FALSE,"Loan Summary";"Detail",#N/A,FALSE,"Loan Summary"}</definedName>
    <definedName function="false" hidden="true" name="wrn.Trend._.Reports." vbProcedure="false">{#N/A,#N/A,FALSE,"IncStmt_Trend_SmallFormat";#N/A,#N/A,FALSE,"Retail";#N/A,#N/A,FALSE,"AdminExcRest"}</definedName>
    <definedName function="false" hidden="true" name="wrn.Trucking." vbProcedure="false">{#N/A,#N/A,FALSE,"Trucking"}</definedName>
    <definedName function="false" hidden="true" name="wrn.Tweety." vbProcedure="false">{#N/A,#N/A,FALSE,"A&amp;E";#N/A,#N/A,FALSE,"HighTop";#N/A,#N/A,FALSE,"JG";#N/A,#N/A,FALSE,"RI";#N/A,#N/A,FALSE,"woHT";#N/A,#N/A,FALSE,"woHT&amp;JG"}</definedName>
    <definedName function="false" hidden="true" name="wrn.Typhoon." vbProcedure="false">{"Agg Output",#N/A,FALSE,"Operational Drivers Output";"NW Output",#N/A,FALSE,"Operational Drivers Output";"South Output",#N/A,FALSE,"Operational Drivers Output";"Central Output",#N/A,FALSE,"Operational Drivers Output"}</definedName>
    <definedName function="false" hidden="true" name="wrn.UK._.GAAP._.BS." vbProcedure="false">{"UKGAAP balance sheet",#N/A,FALSE,"Balance Sheet"}</definedName>
    <definedName function="false" hidden="true" name="wrn.Umsatz." vbProcedure="false">{#N/A,#N/A,FALSE,"Umsatz";#N/A,#N/A,FALSE,"Base V.02";#N/A,#N/A,FALSE,"Charts"}</definedName>
    <definedName function="false" hidden="true" name="wrn.United._.Scaffolding." vbProcedure="false">{#N/A,#N/A,FALSE,"Balance";#N/A,#N/A,FALSE,"Income";#N/A,#N/A,FALSE,"Equity";#N/A,#N/A,FALSE,"Cash"}</definedName>
    <definedName function="false" hidden="true" name="wrn.up." vbProcedure="false">{"up stand alones",#N/A,FALSE,"Acquiror"}</definedName>
    <definedName function="false" hidden="true" name="wrn.Upper._.Case." vbProcedure="false">{"presentation","onepurchase",FALSE,"Inputs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function="false" hidden="true" name="wrn.upstairs." vbProcedure="false">{"histincome",#N/A,FALSE,"hyfins";"closing balance",#N/A,FALSE,"hyfins"}</definedName>
    <definedName function="false" hidden="true" name="wrn.upstairs1." vbProcedure="false">{"histincome",#N/A,FALSE,"hyfins";"closing balance",#N/A,FALSE,"hyfins"}</definedName>
    <definedName function="false" hidden="true" name="wrn.upstairs2." vbProcedure="false">{"histincome",#N/A,FALSE,"hyfins";"closing balance",#N/A,FALSE,"hyfins"}</definedName>
    <definedName function="false" hidden="true" name="wrn.upstairs3." vbProcedure="false">{"histincome",#N/A,FALSE,"hyfins";"closing balance",#N/A,FALSE,"hyfins"}</definedName>
    <definedName function="false" hidden="true" name="wrn.USD._.COST." vbProcedure="false">{"USDCOST",#N/A,FALSE,"FC-3 "}</definedName>
    <definedName function="false" hidden="true" name="wrn.USD._.FC3." vbProcedure="false">{"USDFC3",#N/A,FALSE,"FC-3 "}</definedName>
    <definedName function="false" hidden="true" name="wrn.USW." vbProcedure="false">{"IS",#N/A,FALSE,"IS";"RPTIS",#N/A,FALSE,"RPTIS";"STATS",#N/A,FALSE,"STATS";"BS",#N/A,FALSE,"BS"}</definedName>
    <definedName function="false" hidden="true" name="wrn.UTL._.Position." vbProcedure="false">{"UTL effect",#N/A,FALSE,"Sensitivity"}</definedName>
    <definedName function="false" hidden="true" name="wrn.valderrama." vbProcedure="false">{"valderrama1",#N/A,FALSE,"Pro Forma";"valderrama",#N/A,FALSE,"Pro Forma"}</definedName>
    <definedName function="false" hidden="true" name="wrn.valor." vbProcedure="false">{#N/A,#N/A,FALSE,"CA_DR";#N/A,#N/A,FALSE,"CA_Balanço";#N/A,#N/A,FALSE,"CA_Mapa FM";#N/A,#N/A,FALSE,"CA_Valor"}</definedName>
    <definedName function="false" hidden="true" name="wrn.VALUATION." vbProcedure="false">{#N/A,#N/A,FALSE,"Valuation Assumptions";#N/A,#N/A,FALSE,"Summary";#N/A,#N/A,FALSE,"DCF";#N/A,#N/A,FALSE,"Valuation";#N/A,#N/A,FALSE,"WACC";#N/A,#N/A,FALSE,"UBVH";#N/A,#N/A,FALSE,"Free Cash Flow"}</definedName>
    <definedName function="false" hidden="true" name="wrn.Valuation._.Committee." vbProcedure="false">{#N/A,#N/A,TRUE,"Cover";#N/A,#N/A,TRUE,"Macro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function="false" hidden="true" name="wrn.Valuation._.Package._.1." vbProcedure="false">{"Balance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function="false" hidden="true" name="wrn.Valuation._.Summary." vbProcedure="false">{#N/A,#N/A,FALSE,"Summary";#N/A,#N/A,FALSE,"Base Materials";#N/A,#N/A,FALSE,"Construction";#N/A,#N/A,FALSE,"Packaging";#N/A,#N/A,FALSE,"Transportation"}</definedName>
    <definedName function="false" hidden="true" name="wrn.Valuation._.Worksheets." vbProcedure="false">{#N/A,#N/A,FALSE,"ID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function="false" hidden="true" name="wrn.Variance." vbProcedure="false">{"Act_vs_Budget",#N/A,FALSE,"QTRDPVAR";"Act_vs_Prior_Year",#N/A,FALSE,"QTRDPVAR"}</definedName>
    <definedName function="false" hidden="true" name="wrn.VA・VB→PT." vbProcedure="false">{#N/A,"VA",FALSE,"output";#N/A,"VB",FALSE,"output";#N/A,"VS",FALSE,"output";#N/A,"VC",FALSE,"output";#N/A,"VG",FALSE,"output";#N/A,"J1",FALSE,"output";#N/A,"J2",FALSE,"output";#N/A,"PT",FALSE,"output"}</definedName>
    <definedName function="false" hidden="true" name="wrn.VB→PT." vbProcedure="false">{#N/A,"VB",FALSE,"output";#N/A,"VS",FALSE,"output";#N/A,"VC",FALSE,"output";#N/A,"VG",FALSE,"output";#N/A,"J1",FALSE,"output";#N/A,"PT",FALSE,"output"}</definedName>
    <definedName function="false" hidden="true" name="wrn.VC2._.and._.VC3._.Thunderbird." vbProcedure="false">{#N/A,#N/A,FALSE,"Cover";#N/A,#N/A,FALSE,"Assumptions";#N/A,#N/A,FALSE,"Volumes";#N/A,#N/A,FALSE,"Pricing";#N/A,#N/A,FALSE,"TFLE Walk";#N/A,#N/A,FALSE,"Variable Cost";#N/A,#N/A,FALSE,"Sensitivity";#N/A,#N/A,FALSE,"Investment";#N/A,#N/A,FALSE,"Profitability"}</definedName>
    <definedName function="false" hidden="true" name="wrn.Wacc." vbProcedure="false">{"Area1",#N/A,FALSE,"OREWACC";"Area2",#N/A,FALSE,"OREWACC"}</definedName>
    <definedName function="false" hidden="true" name="wrn.Water." vbProcedure="false">{#N/A,#N/A,FALSE,"Water";#N/A,#N/A,FALSE,"Ballygowan";#N/A,#N/A,FALSE,"Volvic"}</definedName>
    <definedName function="false" hidden="true" name="wrn.waternown._.budget.2004" vbProcedure="false">{#N/A,#N/A,TRUE,"Inc. St.";#N/A,#N/A,TRUE,"SalesLabor";#N/A,#N/A,TRUE,"Labor";#N/A,#N/A,TRUE,"TEMP.";#N/A,#N/A,TRUE,"Manuf.";#N/A,#N/A,TRUE,"Repairs";#N/A,#N/A,TRUE,"G&amp;A";#N/A,#N/A,TRUE,"Inv.";#N/A,#N/A,TRUE,"Cap.X";#N/A,#N/A,TRUE,"Leases"}</definedName>
    <definedName function="false" hidden="true" name="wrn.WATERTOWN._.BUDGET." vbProcedure="false">{#N/A,#N/A,TRUE,"Inc. St.";#N/A,#N/A,TRUE,"SalesLabor";#N/A,#N/A,TRUE,"Labor";#N/A,#N/A,TRUE,"TEMP.";#N/A,#N/A,TRUE,"Manuf.";#N/A,#N/A,TRUE,"Repairs";#N/A,#N/A,TRUE,"G&amp;A";#N/A,#N/A,TRUE,"Inv.";#N/A,#N/A,TRUE,"Cap.X";#N/A,#N/A,TRUE,"Leases"}</definedName>
    <definedName function="false" hidden="true" name="wrn.WCTRNDS." vbProcedure="false">{#N/A,#N/A,FALSE,"WC OMM III";#N/A,#N/A,FALSE,"WC 1995 PLAN";#N/A,#N/A,FALSE,"WC 1995 ADJUSTED"}</definedName>
    <definedName function="false" hidden="true" name="wrn.Week._.1." vbProcedure="false">{"Week one Period 4",#N/A,FALSE,"Period 4"}</definedName>
    <definedName function="false" hidden="true" name="wrn.Week._.2." vbProcedure="false">{"Week two Period 4",#N/A,FALSE,"Period 4"}</definedName>
    <definedName function="false" hidden="true" name="wrn.Week._.3." vbProcedure="false">{"Week three Period 4",#N/A,FALSE,"Period 4"}</definedName>
    <definedName function="false" hidden="true" name="wrn.Week._.4." vbProcedure="false">{"Week four Period 4",#N/A,FALSE,"Period 4"}</definedName>
    <definedName function="false" hidden="true" name="wrn.weekly." vbProcedure="false">{#N/A,#N/A,FALSE,"Syst Summary";#N/A,#N/A,FALSE,"SO Ontime";#N/A,#N/A,FALSE,"Jobs Past Due";#N/A,#N/A,FALSE,"Jobs OT Comp Sched";#N/A,#N/A,FALSE,"Jobs OT Rlse";#N/A,#N/A,FALSE,"Repair BL";#N/A,#N/A,FALSE,"MRB"}</definedName>
    <definedName function="false" hidden="true" name="wrn.Western._.District._.1997._.Capital._.Budget." vbProcedure="false">{#N/A,#N/A,FALSE,"EXP97"}</definedName>
    <definedName function="false" hidden="true" name="wrn.Western._.Metal." vbProcedure="false">{#N/A,#N/A,FALSE,"Western";#N/A,#N/A,FALSE,"Inc. St.";#N/A,#N/A,FALSE,"Hist.";#N/A,#N/A,FALSE,"SalesLabor";#N/A,#N/A,FALSE,"Labor";#N/A,#N/A,FALSE,"Manuf.";#N/A,#N/A,FALSE,"Repairs";#N/A,#N/A,FALSE,"G&amp;A";#N/A,#N/A,FALSE,"Inv.";#N/A,#N/A,FALSE,"Cap. X"}</definedName>
    <definedName function="false" hidden="true" name="wrn.western._.metal.2004" vbProcedure="false">{#N/A,#N/A,FALSE,"Western";#N/A,#N/A,FALSE,"Inc. St.";#N/A,#N/A,FALSE,"Hist.";#N/A,#N/A,FALSE,"SalesLabor";#N/A,#N/A,FALSE,"Labor";#N/A,#N/A,FALSE,"Manuf.";#N/A,#N/A,FALSE,"Repairs";#N/A,#N/A,FALSE,"G&amp;A";#N/A,#N/A,FALSE,"Inv.";#N/A,#N/A,FALSE,"Cap. X"}</definedName>
    <definedName function="false" hidden="true" name="wrn.WGR" vbProcedure="false">{"fleisch",#N/A,FALSE,"WG HK";"food",#N/A,FALSE,"WG HK";"hartwaren",#N/A,FALSE,"WG HK";"weichwaren",#N/A,FALSE,"WG HK"}</definedName>
    <definedName function="false" hidden="true" name="wrn.WGRUPPEN." vbProcedure="false">{"fleisch",#N/A,FALSE,"WG HK";"food",#N/A,FALSE,"WG HK";"hartwaren",#N/A,FALSE,"WG HK";"weichwaren",#N/A,FALSE,"WG HK"}</definedName>
    <definedName function="false" hidden="true" name="wrn.whole._.document." vbProcedure="false">{"page 1",#N/A,FALSE,"A";"page 2",#N/A,FALSE,"A";"page 3",#N/A,FALSE,"A";"page 4",#N/A,FALSE,"A";"page 5",#N/A,FALSE,"A";"page 6",#N/A,FALSE,"A";"page 7",#N/A,FALSE,"A";"page 8",#N/A,FALSE,"A";"page 9",#N/A,FALSE,"A";"page 10",#N/A,FALSE,"A";"page 11",#N/A,FALSE,"A";"page 12",#N/A,FALSE,"A";"page 13",#N/A,FALSE,"A";"page 14",#N/A,FALSE,"A"}</definedName>
    <definedName function="false" hidden="true" name="wrn.WholeModel." vbProcedure="false">{#N/A,#N/A,TRUE,"Initial";#N/A,#N/A,TRUE,"CFs_P&amp;L_B&amp;S";#N/A,#N/A,TRUE,"Inv&amp;Fin";#N/A,#N/A,TRUE,"Depreciation";#N/A,#N/A,TRUE,"Energy";#N/A,#N/A,TRUE,"Index";#N/A,#N/A,TRUE,"Graphs";#N/A,#N/A,TRUE,"T_Contest"}</definedName>
    <definedName function="false" hidden="true" name="wrn.WholeShabang." vbProcedure="false">{"QIncStmt",#N/A,FALSE,"Quarter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function="false" hidden="true" name="wrn.wicor." vbProcedure="false">{#N/A,#N/A,FALSE,"FACTSHEETS";#N/A,#N/A,FALSE,"pump";#N/A,#N/A,FALSE,"filter"}</definedName>
    <definedName function="false" hidden="true" name="wrn.WineSpirits." vbProcedure="false">{#N/A,#N/A,FALSE,"W&amp;Spirits";#N/A,#N/A,FALSE,"Grants";#N/A,#N/A,FALSE,"CCB"}</definedName>
    <definedName function="false" hidden="true" name="wrn.WK." vbProcedure="false">{#N/A,#N/A,FALSE,"PA";#N/A,#N/A,FALSE,"PA (2)";#N/A,#N/A,FALSE,"PA (3)"}</definedName>
    <definedName function="false" hidden="true" name="wrn.wkst." vbProcedure="false">{"prt_wksht",#N/A,FALSE,"Sheet1"}</definedName>
    <definedName function="false" hidden="true" name="wrn.Wochenbericht." vbProcedure="false">{#N/A,#N/A,FALSE,"WOBE_DE.XLS";#N/A,#N/A,FALSE,"WOB_1.XLS";#N/A,#N/A,FALSE,"WOB_2.XLS";#N/A,#N/A,FALSE,"WOB_3.XLS";#N/A,#N/A,FALSE,"WOB_4.XLS";#N/A,#N/A,FALSE,"WOB_5.XLS"}</definedName>
    <definedName function="false" hidden="true" name="wrn.Wochenbericht._.o.._.Deckblatt." vbProcedure="false">{#N/A,#N/A,FALSE,"WOB_1.XLS";#N/A,#N/A,FALSE,"WOB_2.XLS";#N/A,#N/A,FALSE,"WOB_3.XLS";#N/A,#N/A,FALSE,"WOB_4.XLS";#N/A,#N/A,FALSE,"WOB_5.XLS"}</definedName>
    <definedName function="false" hidden="true" name="wrn.Working._.Version." vbProcedure="false">{"Working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function="false" hidden="true" name="wrn.WorkingCapGermanGAAP2000_2009." vbProcedure="false">{"WCGGAAP1",#N/A,FALSE,"P&amp;L G GAAP"}</definedName>
    <definedName function="false" hidden="true" name="wrn.WorkingCapGermanGAAP2010_2019." vbProcedure="false">{"WCGGAAP2",#N/A,FALSE,"P&amp;L G GAAP"}</definedName>
    <definedName function="false" hidden="true" name="wrn.WorkingCapUSGAAP2000_2009." vbProcedure="false">{"WCUSGAAP1",#N/A,FALSE,"P&amp;L US GAAP"}</definedName>
    <definedName function="false" hidden="true" name="wrn.WorkingCapUSGAAP2010_2019." vbProcedure="false">{"WCUSGAAP2",#N/A,FALSE,"P&amp;L US GAAP"}</definedName>
    <definedName function="false" hidden="true" name="wrn.Worksheets." vbProcedure="false">{#N/A,#N/A,FALSE,"Base Materials";#N/A,#N/A,FALSE,"Construction";#N/A,#N/A,FALSE,"Packaging";#N/A,#N/A,FALSE,"Transportation"}</definedName>
    <definedName function="false" hidden="true" name="wrn.wpoall." vbProcedure="false">{"wpocash",#N/A,FALSE,"WPOALLT";"wpoinc",#N/A,FALSE,"WPOALLT";"wpoexcl",#N/A,FALSE,"WPOALLT";"wpocable",#N/A,FALSE,"WPOALLT";"wpobroad",#N/A,FALSE,"WPOALLT";"wpopost",#N/A,FALSE,"WPOALLT";"wponwsweek",#N/A,FALSE,"WPOALLT"}</definedName>
    <definedName function="false" hidden="true" name="wrn.WW._.PROFIT._.AND._.LOSS." vbProcedure="false">{#N/A,#N/A,FALSE,"notes";#N/A,#N/A,FALSE,"Perform";#N/A,#N/A,FALSE,"Graphs";#N/A,#N/A,FALSE,"FAMILIES GRAPHS";#N/A,#N/A,FALSE,"WWP&amp;Lsum";#N/A,#N/A,FALSE,"WWP&amp;Lfam";#N/A,#N/A,FALSE,"SALCOMP"}</definedName>
    <definedName function="false" hidden="true" name="wrn.WWY." vbProcedure="false">{#N/A,#N/A,FALSE,"WWY"}</definedName>
    <definedName function="false" hidden="true" name="wrn.X140." vbProcedure="false">{"page1",#N/A,FALSE,"X140withReclasses";"page2",#N/A,FALSE,"X140withReclasses";"page3",#N/A,FALSE,"X140withReclasses"}</definedName>
    <definedName function="false" hidden="true" name="wrn.xrates." vbProcedure="false">{#N/A,#N/A,FALSE,"1996";#N/A,#N/A,FALSE,"1995";#N/A,#N/A,FALSE,"1994"}</definedName>
    <definedName function="false" hidden="true" name="wrn.Year._.End." vbProcedure="false">{#N/A,#N/A,FALSE,"Year End"}</definedName>
    <definedName function="false" hidden="true" name="wrn.YEAR._.TO._.DATE." vbProcedure="false">{"YEAR TO DATE",#N/A,FALSE,"YTD"}</definedName>
    <definedName function="false" hidden="true" name="wrn.Year_Detail." vbProcedure="false">{#N/A,#N/A,FALSE,"MoRpt Detail"}</definedName>
    <definedName function="false" hidden="true" name="wrn.YRF." vbProcedure="false">{"YRF",#N/A,FALSE,"YRF"}</definedName>
    <definedName function="false" hidden="true" name="wrn.YTD." vbProcedure="false">{"YTD",#N/A,FALSE,"SUM"}</definedName>
    <definedName function="false" hidden="true" name="wrn.YTD._.PACKAGE." vbProcedure="false">{"YD PACKAGE",#N/A,FALSE,"YTD"}</definedName>
    <definedName function="false" hidden="true" name="wrn.YTD._.PRS." vbProcedure="false">{"YD PRS",#N/A,FALSE,"YTD"}</definedName>
    <definedName function="false" hidden="true" name="wrn.YTDvsBud." vbProcedure="false">{"Pg1",#N/A,FALSE,"OpExYTDvsBud";"Pg2",#N/A,FALSE,"OpExYTDvsBud"}</definedName>
    <definedName function="false" hidden="true" name="wrn.YTDvsPY." vbProcedure="false">{"Pa1",#N/A,FALSE,"OpExYTDvsPY";"Pa2",#N/A,FALSE,"OpExYTDvsPY"}</definedName>
    <definedName function="false" hidden="true" name="wrn.YTD_ALL." vbProcedure="false">{"YD LAPO2",#N/A,FALSE,"YTD";"YD LPH2",#N/A,FALSE,"YTD";"YD LOUISIANA",#N/A,FALSE,"YTD";"YD GENERALH2",#N/A,FALSE,"YTD";"YD PRS",#N/A,FALSE,"YTD";"YD PACKAGE",#N/A,FALSE,"YTD";"YD OTHER",#N/A,FALSE,"YTD"}</definedName>
    <definedName function="false" hidden="true" name="wrn.YTD_GENERALH2." vbProcedure="false">{"YD GENERALH2",#N/A,FALSE,"YTD"}</definedName>
    <definedName function="false" hidden="true" name="wrn.YTD_LAPORTE_O2N2." vbProcedure="false">{"YD LAPO2",#N/A,FALSE,"YTD"}</definedName>
    <definedName function="false" hidden="true" name="wrn.YTD_LOUISIANA." vbProcedure="false">{"YD LOUISIANA",#N/A,FALSE,"YTD"}</definedName>
    <definedName function="false" hidden="true" name="wrn.YTD_OTHER." vbProcedure="false">{"YD OTHER",#N/A,FALSE,"YTD"}</definedName>
    <definedName function="false" hidden="true" name="wrn.YTD_TEXAS._.HYCO." vbProcedure="false">{"YD LPH2",#N/A,FALSE,"YTD"}</definedName>
    <definedName function="false" hidden="true" name="wrn.Y차._.종합." vbProcedure="false">{#N/A,#N/A,TRUE,"Y생산";#N/A,#N/A,TRUE,"Y판매";#N/A,#N/A,TRUE,"Y총물량";#N/A,#N/A,TRUE,"Y능력";#N/A,#N/A,TRUE,"YKD"}</definedName>
    <definedName function="false" hidden="true" name="wrn.zweiseitige." vbProcedure="false">{"frefbe1",#N/A,FALSE,"B";"frefbe2",#N/A,FALSE,"B";"frefbe3",#N/A,FALSE,"B";"bkhv1",#N/A,FALSE,"B";"sbkhv1",#N/A,FALSE,"B";"kd1",#N/A,FALSE,"B";"kd2",#N/A,FALSE,"B";"ao",#N/A,FALSE,"B";"nbl1",#N/A,FALSE,"B"}</definedName>
    <definedName function="false" hidden="true" name="wrn.ку." vbProcedure="false">{#N/A,#N/A,TRUE,"Лист2"}</definedName>
    <definedName function="false" hidden="true" name="wrn.מאזן_בוחן_כללי." vbProcedure="false">{#N/A,#N/A,FALSE,"מאזן בוחן";"כל_מאזן_בוחן",#N/A,FALSE,"מאזן בוחן"}</definedName>
    <definedName function="false" hidden="true" name="wrn.סעיפי_מאזן_בוחן."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function="false" hidden="true" name="wrn.建付ﾁｪｯｸｼｰﾄ." vbProcedure="false">{#N/A,#N/A,FALSE,"建付HOOD";#N/A,#N/A,FALSE,"建付D00R";#N/A,#N/A,FALSE,"建付DOOR (2)";#N/A,#N/A,FALSE,"建付DOOR (3)";#N/A,#N/A,FALSE,"建付BACK DOOR";#N/A,#N/A,FALSE,"建付OK率";#N/A,#N/A,FALSE,"建付OK率 (2)"}</definedName>
    <definedName function="false" hidden="true" name="wrn.신규dep._.full._.set." vbProcedure="false">{#N/A,#N/A,FALSE,"신규dep";#N/A,#N/A,FALSE,"신규dep-금형상각후";#N/A,#N/A,FALSE,"신규dep-연구비상각후";#N/A,#N/A,FALSE,"신규dep-기계,공구상각후"}</definedName>
    <definedName function="false" hidden="true" name="wrn.자판정비._.월간회의자료." vbProcedure="false">{#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function="false" hidden="true" name="wrn.전부인쇄." vbProcedure="false">{#N/A,#N/A,FALSE,"단축1";#N/A,#N/A,FALSE,"단축2";#N/A,#N/A,FALSE,"단축3";#N/A,#N/A,FALSE,"장축";#N/A,#N/A,FALSE,"4WD"}</definedName>
    <definedName function="false" hidden="true" name="wrn.현대정공구매현황." vbProcedure="false">{#N/A,#N/A,FALSE,"정공"}</definedName>
    <definedName function="false" hidden="true" name="wrn.회의0104.XLS." vbProcedure="false">{#N/A,#N/A,TRUE,"매출진척-1";#N/A,#N/A,TRUE,"매출진척-2";#N/A,#N/A,TRUE,"제품실적";#N/A,#N/A,TRUE,"RAC";#N/A,#N/A,TRUE,"PAC ";#N/A,#N/A,TRUE,"재고현황";#N/A,#N/A,TRUE,"공지사항"}</definedName>
    <definedName function="false" hidden="true" name="wrn1.1.1" vbProcedure="false">{#N/A,#N/A,FALSE,"Calc";#N/A,#N/A,FALSE,"Sensitivity";#N/A,#N/A,FALSE,"LT Earn.Dil.";#N/A,#N/A,FALSE,"Dil. AVP"}</definedName>
    <definedName function="false" hidden="true" name="wrn1.Bewegungsbilanz" vbProcedure="false">{#N/A,#N/A,FALSE,"Mittelherkunft";#N/A,#N/A,FALSE,"Mittelverwendung"}</definedName>
    <definedName function="false" hidden="true" name="wrn1.clearing" vbProcedure="false">{"CLEARING",#N/A,FALSE,"clearing"}</definedName>
    <definedName function="false" hidden="true" name="wrn1.Current._.Month._.Everything"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wrn1.history" vbProcedure="false">{#N/A,#N/A,FALSE,"model"}</definedName>
    <definedName function="false" hidden="true" name="wrn1.PRINT." vbProcedure="false">{"DOWNLOAD",#N/A,FALSE,"GLDownload";"UPLOAD",#N/A,FALSE,"GLUpload"}</definedName>
    <definedName function="false" hidden="true" name="wrn1.summary" vbProcedure="false">{#N/A,#N/A,TRUE,"Notes";#N/A,#N/A,TRUE,"Cap Struct";#N/A,#N/A,TRUE,"OBS";#N/A,#N/A,TRUE,"bal Sheet";#N/A,#N/A,TRUE,"Inc stmt";#N/A,#N/A,TRUE,"csh flw";#N/A,#N/A,TRUE,"debt";#N/A,#N/A,TRUE,"detail 96,97";#N/A,#N/A,TRUE,"Covenants"}</definedName>
    <definedName function="false" hidden="true" name="wrn1.supp." vbProcedure="false">{#N/A,#N/A,FALSE,"COVER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function="false" hidden="true" name="wrn2.All." vbProcedure="false">{#N/A,#N/A,FALSE,"Structure";#N/A,#N/A,FALSE,"Shares";#N/A,#N/A,FALSE,"Market";#N/A,#N/A,FALSE,"Proj-Cal";#N/A,#N/A,FALSE,"Margins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function="false" hidden="true" name="wrn2.All_Excl_depr." vbProcedure="false">{"Front_Page",#N/A,TRUE,"Front Page";#N/A,#N/A,TRUE,"Summary";#N/A,#N/A,TRUE,"GenAssump";#N/A,#N/A,TRUE,"Shut-down";"ProdAssump1_2000_2009",#N/A,TRUE,"ProdAssump";"ProdAssump2_2010_2019",#N/A,TRUE,"ProdAssump";"ProdAssump3_2000_2009",#N/A,TRUE,"ProdAssump";"ProdAssump4_2010_2019",#N/A,TRUE,"ProdAssump";"ProdAssump5_2000_2009",#N/A,TRUE,"ProdAssump";"ProdAssump6_2010_2019",#N/A,TRUE,"ProdAssump";"ProdAssump7_2000_2009",#N/A,TRUE,"ProdAssump";"ProdAssump8_2010_2019",#N/A,TRUE,"ProdAssump";"ProdAssump9_2000_2009",#N/A,TRUE,"ProdAssump";"ProdAssump10_2010_2019",#N/A,TRUE,"ProdAssump";"ProdAssump11_2000_2009",#N/A,TRUE,"ProdAssump";"ProdAssump12_2010_2019",#N/A,TRUE,"ProdAssump";"ProdAssump13_2000_2009",#N/A,TRUE,"ProdAssump";"ProdAssump14_2010_2019",#N/A,TRUE,"ProdAssump";"ProdAssump15_2000_2009",#N/A,TRUE,"ProdAssump";"ProdAssump16_2010_2019",#N/A,TRUE,"ProdAssump";"ProdAssumpTotal1",#N/A,TRUE,"ProdAssump";"ProdAssumpTotal2",#N/A,TRUE,"ProdAssump";"ProdQuantities1_2000_2009",#N/A,TRUE,"ProdAssump";"ProdQuantities2_2010_2019",#N/A,TRUE,"ProdAssump";"ProdQuantities3_2000_2009",#N/A,TRUE,"ProdAssump";"ProdQuantities4_2010_2019",#N/A,TRUE,"ProdAssump";"ProdQuantities5_2000_2009",#N/A,TRUE,"ProdAssump";"ProdQuantities6_2010_2019",#N/A,TRUE,"ProdAssump";"ProdQuantities7_2000_2009",#N/A,TRUE,"ProdAssump";"ProdQuantities8_2010_2019",#N/A,TRUE,"ProdAssump";"ProdQuantities9_2000_2009",#N/A,TRUE,"ProdAssump";"ProdQuantities10_2010_2019",#N/A,TRUE,"ProdAssump";"ProdQuantities11_2000_2009",#N/A,TRUE,"ProdAssump";"ProdQuantities12_2010_2019",#N/A,TRUE,"ProdAssump";"ProdQuantitiesTotal2000_2009",#N/A,TRUE,"ProdAssump";"ProdQuantitiesTotal2010_2019",#N/A,TRUE,"ProdAssump";"Capex1",#N/A,TRUE,"ProdAssump";"Capex2",#N/A,TRUE,"ProdAssump";"Capex3",#N/A,TRUE,"ProdAssump";"PLGGAAP1",#N/A,TRUE,"BS US GAAP";"PLGGAAP2",#N/A,TRUE,"BS US GAAP";"PLGGAAP3",#N/A,TRUE,"BS US GAAP";"PLGGAAP4",#N/A,TRUE,"BS US GAAP";"CFGGAAP1a",#N/A,TRUE,"BS US GAAP";"CFGGAAP2a",#N/A,TRUE,"BS US GAAP";"WCGGAAP1",#N/A,TRUE,"BS US GAAP";"WCGGAAP2",#N/A,TRUE,"BS US GAAP";"DebtGGAAP1",#N/A,TRUE,"BS US GAAP";"DebtGGAAP2",#N/A,TRUE,"BS US GAAP";"BSGGAAP1",#N/A,TRUE,"BS G GAAP";"BSGGAAP2",#N/A,TRUE,"BS G GAAP";"PLUSGAAP1",#N/A,TRUE,"P&amp;L US GAAP";"PLUSGAAP2",#N/A,TRUE,"P&amp;L US GAAP";"PLUSGAAP3",#N/A,TRUE,"P&amp;L US GAAP";"PLUSGAAP4",#N/A,TRUE,"P&amp;L US GAAP";"CFUSGAAP1a",#N/A,TRUE,"P&amp;L US GAAP";"CFUSGAAP2a",#N/A,TRUE,"P&amp;L US GAAP";"WCUSGAAP1",#N/A,TRUE,"P&amp;L US GAAP";"WCUSGAAP2",#N/A,TRUE,"P&amp;L US GAAP";"DebtUSGAAP1",#N/A,TRUE,"P&amp;L US GAAP";"DebtUSGAAP2",#N/A,TRUE,"P&amp;L US GAAP";"BSUSGAAP1",#N/A,TRUE,"P&amp;L US GAAP";"BSUSGAAP2",#N/A,TRUE,"P&amp;L US GAAP";"CFUSGAAP1",#N/A,TRUE,"CF US GAAP";"CFUSGAAP2",#N/A,TRUE,"CF US GAAP";"CFGGAAP1",#N/A,TRUE,"CF G GAAP";"CFGGAAP2",#N/A,TRUE,"CF G GAAP"}</definedName>
    <definedName function="false" hidden="true" name="wrn2.Analysis." vbProcedure="false">{"ratios",#N/A,FALSE,"Analyse";"multiples",#N/A,FALSE,"Analyse";"places",#N/A,FALSE,"Analyse"}</definedName>
    <definedName function="false" hidden="true" name="wrn2.Bplan." vbProcedure="false">{#N/A,#N/A,FALSE,"F_Plan";#N/A,#N/A,FALSE,"Parameter"}</definedName>
    <definedName function="false" hidden="true" name="WRN2.Document" vbProcedure="false">{"consolidated",#N/A,FALSE,"Sheet1";"cms",#N/A,FALSE,"Sheet1";"fse",#N/A,FALSE,"Sheet1"}</definedName>
    <definedName function="false" hidden="true" name="wrn2.Ensemble_client." vbProcedure="false">{"ratios",#N/A,FALSE,"Analyse";"multiples",#N/A,FALSE,"Analyse";"places",#N/A,FALSE,"Analyse";"résultats_édition client",#N/A,FALSE,"Résultats";"reg_edition client",#N/A,FALSE,"Regressions";"SYNTHESE",#N/A,FALSE,"Synthese"}</definedName>
    <definedName function="false" hidden="true" name="wrn2.Ensemble_travail." vbProcedure="false">{"données",#N/A,FALSE,"Input";"ratios",#N/A,FALSE,"Analyse";"multiples",#N/A,FALSE,"Analyse";"places",#N/A,FALSE,"Analyse";"res_travail",#N/A,FALSE,"Résultats";"reg_travail",#N/A,FALSE,"Regressions";"SYNTHESE",#N/A,FALSE,"Synthese"}</definedName>
    <definedName function="false" hidden="true" name="wrn2.Input." vbProcedure="false">{"données",#N/A,FALSE,"Input"}</definedName>
    <definedName function="false" hidden="true" name="wrn2.Kenngb." vbProcedure="false">{#N/A,#N/A,FALSE,"SKG_SC";#N/A,#N/A,FALSE,"SKG_KP";#N/A,#N/A,FALSE,"SCG_KC";#N/A,#N/A,FALSE,"SKG_PM";#N/A,#N/A,FALSE,"SKG_Asta";#N/A,#N/A,FALSE,"SKG_DE";#N/A,#N/A,FALSE,"SKG_FA";#N/A,#N/A,FALSE,"SKG_EM";#N/A,#N/A,FALSE,"SKG_AK";#N/A,#N/A,FALSE,"SKG_CER";#N/A,#N/A,FALSE,"SKG_BA";#N/A,#N/A,FALSE,"SKG_KO"}</definedName>
    <definedName function="false" hidden="true" name="wrn2.regression_client." vbProcedure="false">{"reg_edition client",#N/A,FALSE,"Regressions"}</definedName>
    <definedName function="false" hidden="true" name="wrn2.regression_travail." vbProcedure="false">{"reg_travail",#N/A,FALSE,"Regressions"}</definedName>
    <definedName function="false" hidden="true" name="wrn2.resultats_travail." vbProcedure="false">{"res_travail",#N/A,FALSE,"Résultats"}</definedName>
    <definedName function="false" hidden="true" name="wrn2.summary" vbProcedure="false">{#N/A,#N/A,TRUE,"Notes";#N/A,#N/A,TRUE,"Cap Struct";#N/A,#N/A,TRUE,"OBS";#N/A,#N/A,TRUE,"bal Sheet";#N/A,#N/A,TRUE,"Inc stmt";#N/A,#N/A,TRUE,"csh flw";#N/A,#N/A,TRUE,"debt";#N/A,#N/A,TRUE,"detail 96,97";#N/A,#N/A,TRUE,"Covenants"}</definedName>
    <definedName function="false" hidden="true" name="wrn2.Summary." vbProcedure="false">{"SYNTHESE",#N/A,FALSE,"Synthese"}</definedName>
    <definedName function="false" hidden="true" name="wrn2a.summary" vbProcedure="false">{#N/A,#N/A,TRUE,"Notes";#N/A,#N/A,TRUE,"Cap Struct";#N/A,#N/A,TRUE,"OBS";#N/A,#N/A,TRUE,"bal Sheet";#N/A,#N/A,TRUE,"Inc stmt";#N/A,#N/A,TRUE,"csh flw";#N/A,#N/A,TRUE,"debt";#N/A,#N/A,TRUE,"detail 96,97";#N/A,#N/A,TRUE,"Covenants"}</definedName>
    <definedName function="false" hidden="true" name="wrn3.ALL." vbProcedure="false">{#N/A,#N/A,FALSE,"DCF";#N/A,#N/A,FALSE,"WACC";#N/A,#N/A,FALSE,"Sales_EBIT";#N/A,#N/A,FALSE,"Capex_Depreciation";#N/A,#N/A,FALSE,"WC";#N/A,#N/A,FALSE,"Interest";#N/A,#N/A,FALSE,"Assumptions"}</definedName>
    <definedName function="false" hidden="true" name="wrn3.histroic" vbProcedure="false">{#N/A,#N/A,FALSE,"model"}</definedName>
    <definedName function="false" hidden="true" name="wrn3.Kenngb." vbProcedure="false">{#N/A,#N/A,FALSE,"SKG_SC";#N/A,#N/A,FALSE,"SKG_KP";#N/A,#N/A,FALSE,"SCG_KC";#N/A,#N/A,FALSE,"SKG_PM";#N/A,#N/A,FALSE,"SKG_Asta";#N/A,#N/A,FALSE,"SKG_DE";#N/A,#N/A,FALSE,"SKG_FA";#N/A,#N/A,FALSE,"SKG_EM";#N/A,#N/A,FALSE,"SKG_AK";#N/A,#N/A,FALSE,"SKG_CER";#N/A,#N/A,FALSE,"SKG_BA";#N/A,#N/A,FALSE,"SKG_KO"}</definedName>
    <definedName function="false" hidden="true" name="wrna.dave" vbProcedure="false">{"salaried",#N/A,FALSE,"VLD View (2)"}</definedName>
    <definedName function="false" hidden="true" name="wrna.prod" vbProcedure="false">{#N/A,#N/A,FALSE,"1";#N/A,#N/A,FALSE,"2";#N/A,#N/A,FALSE,"16 - 17";#N/A,#N/A,FALSE,"18 - 19";#N/A,#N/A,FALSE,"26";#N/A,#N/A,FALSE,"27";#N/A,#N/A,FALSE,"28"}</definedName>
    <definedName function="false" hidden="true" name="wrnaboth" vbProcedure="false">{"detail",#N/A,FALSE,"mfg";"summary",#N/A,FALSE,"mfg"}</definedName>
    <definedName function="false" hidden="true" name="wrnats"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avboth" vbProcedure="false">{"detail",#N/A,FALSE,"mfg";"summary",#N/A,FALSE,"mfg"}</definedName>
    <definedName function="false" hidden="true" name="wrnavpucspadd" vbProcedure="false">{#N/A,"PURCHM",FALSE,"Business Analysis";#N/A,"SPADD",FALSE,"Business Analysis"}</definedName>
    <definedName function="false" hidden="true" name="wrnb.print" vbProcedure="false">{#N/A,#N/A,FALSE,"Model";#N/A,#N/A,FALSE,"Division"}</definedName>
    <definedName function="false" hidden="true" name="wrnb213" vbProcedure="false">{"detail",#N/A,FALSE,"mfg";"summary",#N/A,FALSE,"mfg"}</definedName>
    <definedName function="false" hidden="true" name="wrnb412" vbProcedure="false">{"detail",#N/A,FALSE,"mfg";"summary",#N/A,FALSE,"mfg"}</definedName>
    <definedName function="false" hidden="true" name="wrnboth14a" vbProcedure="false">{"detail",#N/A,FALSE,"mfg";"summary",#N/A,FALSE,"mfg"}</definedName>
    <definedName function="false" hidden="true" name="wrnc"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rnc.2" vbProcedure="false">{"Cover",#N/A,FALSE,"Cover";"Summary",#N/A,FALSE,"Summarpage";"Assumptions",#N/A,FALSE,"Assumptions";"Earnings",#N/A,FALSE,"Earnings";"CF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function="false" hidden="true" name="wrnfy97" vbProcedure="false">{#N/A,#N/A,FALSE,"FY97";#N/A,#N/A,FALSE,"FY98";#N/A,#N/A,FALSE,"FY99";#N/A,#N/A,FALSE,"FY00";#N/A,#N/A,FALSE,"FY01"}</definedName>
    <definedName function="false" hidden="true" name="wrnn.print" vbProcedure="false">{#N/A,#N/A,FALSE,"Cover Sheet";#N/A,#N/A,FALSE,"BE 13 Fiesta";#N/A,#N/A,FALSE,"New Fiesta";#N/A,#N/A,FALSE,"Escort";#N/A,#N/A,FALSE,"Mondeo";#N/A,#N/A,FALSE,"Scorpio";#N/A,#N/A,FALSE,"Probe";#N/A,#N/A,FALSE,"Maverick";#N/A,#N/A,FALSE,"Galaxy";#N/A,#N/A,FALSE,"Light vans";#N/A,#N/A,FALSE,"Transit"}</definedName>
    <definedName function="false" hidden="true" name="wrnn.print._.Full._.Report" vbProcedure="false">{#N/A,#N/A,TRUE,"Cover Page";#N/A,#N/A,TRUE,"Tracking sheet";#N/A,#N/A,TRUE,"Profit for '95'96'97 at Aug 96 ";#N/A,#N/A,TRUE,"1997 MY Summary PAPP";#N/A,#N/A,TRUE,"Sub Encore v GM";#N/A,#N/A,TRUE,"Encore v GM";#N/A,#N/A,TRUE,"LX 1.3 3dr";#N/A,#N/A,TRUE,"LX 1.25 3dr";#N/A,#N/A,TRUE,"Si 1.25 v Polo";#N/A,#N/A,TRUE,"Si 1.4";#N/A,#N/A,TRUE,"Ghia 1.25";#N/A,#N/A,TRUE,"Ghia 1.4";#N/A,#N/A,TRUE,"Ghia v CDX";#N/A,#N/A,TRUE,"Ghia X v CDX";#N/A,#N/A,TRUE,"WIRING Wholsesale";#N/A,#N/A,TRUE,"WIRING Retail"}</definedName>
    <definedName function="false" hidden="true" name="WRNP41" vbProcedure="false">{#N/A,"PURCHM",FALSE,"Business Analysis";#N/A,"SPADD",FALSE,"Business Analysis"}</definedName>
    <definedName function="false" hidden="true" name="wrnp61" vbProcedure="false">{#N/A,"PURCHM",FALSE,"Business Analysis";#N/A,"SPADD",FALSE,"Business Analysis"}</definedName>
    <definedName function="false" hidden="true" name="wrnpav" vbProcedure="false">{#N/A,"PURCHM",FALSE,"Business Analysis";#N/A,"SPADD",FALSE,"Business Analysis"}</definedName>
    <definedName function="false" hidden="true" name="wrnpuc213" vbProcedure="false">{#N/A,"PURCHM",FALSE,"Business Analysis";#N/A,"SPADD",FALSE,"Business Analysis"}</definedName>
    <definedName function="false" hidden="true" name="wrnpuc2412" vbProcedure="false">{#N/A,"PURCHM",FALSE,"Business Analysis";#N/A,"SPADD",FALSE,"Business Analysis"}</definedName>
    <definedName function="false" hidden="true" name="wrnpuc412" vbProcedure="false">{#N/A,"PURCHM",FALSE,"Business Analysis";#N/A,"SPADD",FALSE,"Business Analysis"}</definedName>
    <definedName function="false" hidden="true" name="wrnpucs213" vbProcedure="false">{#N/A,"PURCHM",FALSE,"Business Analysis";#N/A,"SPADD",FALSE,"Business Analysis"}</definedName>
    <definedName function="false" hidden="true" name="wrnpucspadd32" vbProcedure="false">{#N/A,"PURCHM",FALSE,"Business Analysis";#N/A,"SPADD",FALSE,"Business Analysis"}</definedName>
    <definedName function="false" hidden="true" name="wrnpucspaddza103" vbProcedure="false">{#N/A,"PURCHM",FALSE,"Business Analysis";#N/A,"SPADD",FALSE,"Business Analysis"}</definedName>
    <definedName function="false" hidden="true" name="wrnpucspvd" vbProcedure="false">{#N/A,"PURCHM",FALSE,"Business Analysis";#N/A,"SPADD",FALSE,"Business Analysis"}</definedName>
    <definedName function="false" hidden="true" name="wrnpvcs" vbProcedure="false">{#N/A,"PURCHM",FALSE,"Business Analysis";#N/A,"SPADD",FALSE,"Business Analysis"}</definedName>
    <definedName function="false" hidden="true" name="wrnt51"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61"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71"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41"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412"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l213"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ax"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div213"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totdiv412"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nx01" vbProcedure="false">{#N/A,#N/A,TRUE,"ergebnis"}</definedName>
    <definedName function="false" hidden="true" name="WRR" vbProcedure="false">{#N/A,#N/A,FALSE,"Pharm";#N/A,#N/A,FALSE,"WWCM"}</definedName>
    <definedName function="false" hidden="true" name="wrre" vbProcedure="false">{"Cover",#N/A,FALSE,"Cover";"Key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function="false" hidden="true" name="wrrrrr" vbProcedure="false">{#N/A,#N/A,FALSE,"REPORT"}</definedName>
    <definedName function="false" hidden="true" name="wrwer" vbProcedure="false">{#N/A,#N/A,FALSE,"Umsatz 99";#N/A,#N/A,FALSE,"ER 99 "}</definedName>
    <definedName function="false" hidden="true" name="wrwrwrwr" vbProcedure="false">{"WACC",#N/A,FALSE,"Bewertung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function="false" hidden="true" name="wrxave" vbProcedure="false">{#N/A,"PURADD",FALSE,"Business Analysis";#N/A,"PURSPP",FALSE,"Business Analysis";#N/A,"CTGIND",FALSE,"Business Analysis";#N/A,"PURCHM",FALSE,"Business Analysis";#N/A,"SPADD",FALSE,"Business Analysis";#N/A,"EPOXY",FALSE,"Business Analysis";#N/A,"PURPER",FALSE,"Business Analysis"}</definedName>
    <definedName function="false" hidden="true" name="wry" vbProcedure="false">{"YD LAPO2",#N/A,FALSE,"YTD"}</definedName>
    <definedName function="false" hidden="true" name="ws" vbProcedure="false">{#N/A,#N/A,FALSE,"Aging Summary";#N/A,#N/A,FALSE,"Ratio Analysis";#N/A,#N/A,FALSE,"Test 120 Day Accts";#N/A,#N/A,FALSE,"Tickmarks"}</definedName>
    <definedName function="false" hidden="true" name="wsgf" vbProcedure="false">{"Burden (burden)",#N/A,FALSE,"burden"}</definedName>
    <definedName function="false" hidden="true" name="wss" vbProcedure="false">{"summary1",#N/A,TRUE,"Comps";"summary2",#N/A,TRUE,"Comps";"summary3",#N/A,TRUE,"Comps"}</definedName>
    <definedName function="false" hidden="true" name="wsw" vbProcedure="false">{"'Other IPS'!$A$5","'Other IPS'!$A$4:$K$38"}</definedName>
    <definedName function="false" hidden="true" name="wt" vbProcedure="false">{#N/A,#N/A,FALSE,"FY97";#N/A,#N/A,FALSE,"FY98";#N/A,#N/A,FALSE,"FY99";#N/A,#N/A,FALSE,"FY00";#N/A,#N/A,FALSE,"FY01"}</definedName>
    <definedName function="false" hidden="true" name="wte" vbProcedure="false">{#N/A,#N/A,FALSE,"Aging Summary";#N/A,#N/A,FALSE,"Ratio Analysis";#N/A,#N/A,FALSE,"Test 120 Day Accts";#N/A,#N/A,FALSE,"Tickmarks"}</definedName>
    <definedName function="false" hidden="true" name="wtre" vbProcedure="false">{#N/A,#N/A,FALSE,"Aging Summary";#N/A,#N/A,FALSE,"Ratio Analysis";#N/A,#N/A,FALSE,"Test 120 Day Accts";#N/A,#N/A,FALSE,"Tickmarks"}</definedName>
    <definedName function="false" hidden="true" name="wtvr" vbProcedure="false">{#N/A,#N/A,TRUE,"Hist &amp; Proj BS 98-02";#N/A,#N/A,TRUE,"Hist &amp; Proj IS 98-02";#N/A,#N/A,TRUE,"Hist &amp; Proj Oper Exp 98-02";#N/A,#N/A,TRUE,"Hist &amp; Proj CF 99-02";#N/A,#N/A,TRUE,"Mnthly Cash 99";#N/A,#N/A,TRUE,"Mnthly Cash 00";#N/A,#N/A,TRUE,"Mnthly Cash 01";#N/A,#N/A,TRUE,"Mnthly Cash 02";#N/A,#N/A,TRUE,"Mnthly IS 99";#N/A,#N/A,TRUE,"Mnthly IS 00";#N/A,#N/A,TRUE,"Mnthly IS 01";#N/A,#N/A,TRUE,"Mnthly IS 02"}</definedName>
    <definedName function="false" hidden="true" name="wv" vbProcedure="false">{#N/A,#N/A,FALSE,"Pharm";#N/A,#N/A,FALSE,"WWCM"}</definedName>
    <definedName function="false" hidden="true" name="wvbub"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ebusarea2132"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t.busarea34"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u.ALL."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true" name="wvu.all.2"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true" name="wvu.all2"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true" name="wvu.all3"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true" name="wvu.Alle"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wvu.Alles."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wvu.Analysis1H95." vbProcedure="false">{TRUE,TRUE,-1.25,-15.5,484.5,276.75,FALSE,TRUE,TRUE,TRUE,0,112,#N/A,156,#N/A,14.21875,18.2941176470588,1,FALSE,FALSE,3,TRUE,1,FALSE,100,"Swvu.Analysis1H95.","ACwvu.Analysis1H95.",#N/A,FALSE,FALSE,0.5,0,0,0,2,"","",TRUE,TRUE,FALSE,FALSE,1,#N/A,1,1,"=R130C94:R170C123",FALSE,"Rwvu.Analysis1H95.",#N/A,FALSE,FALSE,FALSE,1,65532,65532,FALSE,FALSE,TRUE,TRUE,TRUE}</definedName>
    <definedName function="false" hidden="true" name="wvu.Analysis1Q95." vbProcedure="false">{TRUE,TRUE,-1.25,-15.5,484.5,276.75,FALSE,TRUE,TRUE,TRUE,0,111,#N/A,58,#N/A,14.21875,18.8888888888889,1,FALSE,FALSE,3,TRUE,1,FALSE,100,"Swvu.Analysis1Q95.","ACwvu.Analysis1Q95.",#N/A,FALSE,FALSE,0.5,0,0,0,2,"","",TRUE,TRUE,FALSE,FALSE,1,#N/A,1,1,"=R130C94:R170C123",FALSE,"Rwvu.Analysis1Q95.",#N/A,FALSE,FALSE,FALSE,1,65532,65532,FALSE,FALSE,TRUE,TRUE,TRUE}</definedName>
    <definedName function="false" hidden="true" name="wvu.Analysis2Q95." vbProcedure="false">{TRUE,TRUE,-1.25,-15.5,484.5,276.75,FALSE,TRUE,TRUE,TRUE,0,111,#N/A,120,#N/A,14.21875,17.9411764705882,1,FALSE,FALSE,3,TRUE,1,FALSE,100,"Swvu.Analysis2Q95.","ACwvu.Analysis2Q95.",#N/A,FALSE,FALSE,0.5,0,0,0,2,"","",TRUE,TRUE,FALSE,FALSE,1,#N/A,1,1,"=R130C94:R170C123",FALSE,"Rwvu.Analysis2Q95.",#N/A,FALSE,FALSE,FALSE,1,65532,65532,FALSE,FALSE,TRUE,TRUE,TRUE}</definedName>
    <definedName function="false" hidden="true" name="wvu.BS." vbProcedure="false">{TRUE,FALSE,-2.6,-18.8,621.6,367.2,FALSE,FALSE,TRUE,TRUE,0,1,61,1,6,1,5,4,TRUE,TRUE,3,TRUE,1,TRUE,100,"Swvu.BS.","ACwvu.BS.",#N/A,FALSE,FALSE,0.5,0.5,0.5,0.5,2,"","",FALSE,FALSE,FALSE,FALSE,1,#N/A,1,1,"=R1C1:R27C73",FALSE,FALSE,FALSE,FALSE,FALSE,FALSE,1,#N/A,#N/A,FALSE,FALSE,TRUE,TRUE,TRUE}</definedName>
    <definedName function="false" hidden="true" name="wvu.Budget_19"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wvu.Budget_199"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wvu.Budget_1996."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wvu.Budget_1997."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wvu.busarea."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u.busarea.2"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u.busareab2"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u.cash." vbProcedure="false">{TRUE,TRUE,-1.25,-15.5,456.75,279.75,FALSE,FALSE,TRUE,TRUE,0,1,18,1,199,6,3,4,TRUE,TRUE,3,TRUE,1,TRUE,100,"Swvu.cash.","ACwvu.cash.",1,FALSE,FALSE,0.511811023622047,0.511811023622047,0.511811023622047,0.511811023622047,1,"","",FALSE,FALSE,FALSE,FALSE,1,#N/A,1,1,#DIV/0!,FALSE,"Rwvu.cash.",#N/A,FALSE,FALSE}</definedName>
    <definedName function="false" hidden="true" name="wvu.Credit._.Active." vbProcedure="false">{TRUE,TRUE,-1.25,-15.5,484.5,276.75,FALSE,TRUE,TRUE,TRUE,0,1,#N/A,1,#N/A,6.91071428571429,18.2941176470588,1,FALSE,FALSE,3,TRUE,1,FALSE,100,"Swvu.Credit._.Active.","ACwvu.Credit._.Active.",#N/A,FALSE,FALSE,0.25,0.25,0.5,0.5,2,"","&amp;L&amp;F&amp;C&amp;A&amp;R&amp;D&amp;T",TRUE,FALSE,FALSE,FALSE,1,#N/A,1,8,"=R8C1:R142C23","=R1:R7",#N/A,"Cwvu.Credit._.Active.",FALSE,FALSE,FALSE,1,65534,65534,FALSE,FALSE,TRUE,TRUE,TRUE}</definedName>
    <definedName function="false" hidden="true" name="wvu.Credit._.Active1." vbProcedure="false">{TRUE,TRUE,-1.25,-15.5,484.5,276.75,FALSE,TRUE,TRUE,TRUE,0,1,#N/A,1,#N/A,6.91071428571429,18.2941176470588,1,FALSE,FALSE,3,TRUE,1,FALSE,100,"Swvu.Credit._.Active.","ACwvu.Credit._.Active.",#N/A,FALSE,FALSE,0.25,0.25,0.5,0.5,2,"","&amp;L&amp;F&amp;C&amp;A&amp;R&amp;D&amp;T",TRUE,FALSE,FALSE,FALSE,1,#N/A,1,8,"=R8C1:R142C23","=R1:R7",#N/A,"Cwvu.Credit._.Active.",FALSE,FALSE,FALSE,1,65534,65534,FALSE,FALSE,TRUE,TRUE,TRUE}</definedName>
    <definedName function="false" hidden="true" name="wvu.Credit._.Additions." vbProcedure="false">{TRUE,TRUE,-1.25,-15.5,484.5,276.75,FALSE,TRUE,TRUE,TRUE,0,1,#N/A,140,#N/A,6.91071428571429,18.1764705882353,1,FALSE,FALSE,3,TRUE,1,FALSE,100,"Swvu.Credit._.Additions.","ACwvu.Credit._.Additions.",#N/A,FALSE,FALSE,0.25,0.25,0.5,0.5,2,"","&amp;L&amp;F&amp;C&amp;A&amp;R&amp;D&amp;T",TRUE,FALSE,FALSE,FALSE,1,#N/A,1,8,"=R155C1:R270C23","=R146:R154",#N/A,"Cwvu.Credit._.Additions.",FALSE,FALSE,FALSE,1,65534,65534,FALSE,FALSE,TRUE,TRUE,TRUE}</definedName>
    <definedName function="false" hidden="true" name="wvu.Credit._.Additions1." vbProcedure="false">{TRUE,TRUE,-1.25,-15.5,484.5,276.75,FALSE,TRUE,TRUE,TRUE,0,1,#N/A,140,#N/A,6.91071428571429,18.1764705882353,1,FALSE,FALSE,3,TRUE,1,FALSE,100,"Swvu.Credit._.Additions.","ACwvu.Credit._.Additions.",#N/A,FALSE,FALSE,0.25,0.25,0.5,0.5,2,"","&amp;L&amp;F&amp;C&amp;A&amp;R&amp;D&amp;T",TRUE,FALSE,FALSE,FALSE,1,#N/A,1,8,"=R155C1:R270C23","=R146:R154",#N/A,"Cwvu.Credit._.Additions.",FALSE,FALSE,FALSE,1,65534,65534,FALSE,FALSE,TRUE,TRUE,TRUE}</definedName>
    <definedName function="false" hidden="true" name="wvu.daily._.update._.global._.sheet." vbProcedure="false">{TRUE,TRUE,-1.25,-15.5,456.75,276.75,FALSE,FALSE,TRUE,TRUE,0,1,2,1,21,1,4,4,TRUE,TRUE,3,TRUE,1,TRUE,100,"Swvu.daily._.update._.global._.sheet.","ACwvu.daily._.update._.global._.sheet.",#N/A,FALSE,FALSE,0.393700787401575,0.393700787401575,0.984251968503937,0.984251968503937,1,"&amp;CUTILITIES : KEY DATA
&amp;A&amp;R&amp;D","&amp;LNB : Lyonnaise, Viag estimates based upon TED&amp;CPage &amp;P&amp;REuropean Yields are Gross",TRUE,FALSE,FALSE,FALSE,1,#N/A,1,1,FALSE,FALSE,#N/A,#N/A,FALSE,FALSE,FALSE,9,65532,65532,FALSE,FALSE,TRUE,TRUE,TRUE}</definedName>
    <definedName function="false" hidden="true" name="wvu.daily._.update._.summary." vbProcedure="false">{TRUE,TRUE,-1.25,-15.5,456.75,276.75,FALSE,FALSE,TRUE,TRUE,0,1,2,1,5,1,4,4,TRUE,TRUE,3,TRUE,1,TRUE,100,"Swvu.daily._.update._.summary.","ACwvu.daily._.update._.summary.",#N/A,FALSE,FALSE,0.393700787401575,0.393700787401575,0.984251968503937,0.984251968503937,2,"&amp;C&amp;A&amp;R&amp;D","&amp;LNB : Lyonnaise, Viag estimates based upon TED&amp;CPage &amp;P&amp;REuropean Yields are Gross",TRUE,FALSE,FALSE,FALSE,1,#N/A,1,1,"=R1C1:R37C16",FALSE,#N/A,#N/A,FALSE,FALSE,FALSE,9,65532,65532,FALSE,FALSE,TRUE,TRUE,TRUE}</definedName>
    <definedName function="false" hidden="true" name="wvu.Ergebnis"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wvu.Ergebnisüberleitung."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wvu.FC_10_Det"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wvu.FC_10_Details."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name="wvu.Margin._.Summary." vbProcedure="false">{TRUE,TRUE,-1.25,-15.5,484.5,276.75,FALSE,TRUE,TRUE,TRUE,0,91,#N/A,33,#N/A,11.575,18.8823529411765,1,FALSE,FALSE,3,TRUE,1,FALSE,100,"Swvu.Margin._.Summary.","ACwvu.Margin._.Summary.",#N/A,FALSE,FALSE,0.5,0,0,0,2,"","",TRUE,TRUE,FALSE,FALSE,1,#N/A,1,1,"=R130C94:R170C123",FALSE,"Rwvu.Margin._.Summary.",#N/A,FALSE,FALSE,FALSE,1,65532,65532,FALSE,FALSE,TRUE,TRUE,TRUE}</definedName>
    <definedName function="false" hidden="true" name="wvu.Page1." vbProcedure="false">{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function="false" hidden="true" name="wvu.Page2." vbProcedure="false">{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function="false" hidden="true" name="wvu.Page3." vbProcedure="false">{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function="false" hidden="true" name="wvu.Page4." vbProcedure="false">{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function="false" hidden="true" name="wvu.profits." vbProcedure="false">{TRUE,TRUE,-1.25,-15.5,456.75,279.75,FALSE,FALSE,TRUE,TRUE,0,1,21,1,127,6,3,4,TRUE,TRUE,3,TRUE,1,TRUE,100,"Swvu.profits.","ACwvu.profits.",1,FALSE,FALSE,0.511811023622047,0.511811023622047,0.511811023622047,0.511811023622047,1,"","",FALSE,FALSE,FALSE,FALSE,1,#N/A,1,1,#DIV/0!,FALSE,"Rwvu.profits.",#N/A,FALSE,FALSE}</definedName>
    <definedName function="false" hidden="true" name="wvu.PRT."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true" name="wvu.prt.2"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true" name="wvu.prt.3"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true" name="wvu.prt2"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true" name="wvu.prt3" vbProcedure="false">{TRUE,TRUE,-2,-16.25,486,278.25,FALSE,TRUE,TRUE,TRUE,0,1,4,4,1,0.973404255319149,0.952380952380952,4,TRUE,TRUE,3,TRUE,1,FALSE,100,"Swvu.PRT.","ACwvu.PRT.",#N/A,FALSE,FALSE,0.01,0.01,0.75,0.1,2,"&amp;R&amp;""Times New Roman,Regular""&amp;6&amp;F
&amp;D   &amp;T","",TRUE,FALSE,FALSE,FALSE,1,#N/A,1,1,"=R1C1:R52C15",FALSE,"Rwvu.PRT.","Cwvu.PRT.",FALSE,FALSE,FALSE,1,65532,65532,FALSE,FALSE,TRUE,TRUE,TRUE}</definedName>
    <definedName function="false" hidden="tru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tru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name="wvu.summary4"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name="wvu.turnover." vbProcedure="false">{TRUE,TRUE,-1.25,-15.5,456.75,279.75,FALSE,FALSE,TRUE,TRUE,0,1,8,1,4,6,3,4,TRUE,TRUE,3,TRUE,1,TRUE,100,"Swvu.turnover.","ACwvu.turnover.",1,FALSE,FALSE,0.511811023622047,0.511811023622047,0.511811023622047,0.511811023622047,1,"","",FALSE,FALSE,FALSE,FALSE,1,#N/A,1,1,#DIV/0!,FALSE,"Rwvu.turnover.",#N/A,FALSE,FALSE}</definedName>
    <definedName function="false" hidden="true" name="wvub412"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ub71"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ubu412"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ubusarea213"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vubusarea35"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ww" vbProcedure="false">{"assumption 50 50",#N/A,TRUE,"Merger";"has gets cash",#N/A,TRUE,"Merger";"accretion dilution",#N/A,TRUE,"Merger";"comparison credit stats",#N/A,TRUE,"Merger";"pf credit stats",#N/A,TRUE,"Merger";"pf sheets",#N/A,TRUE,"Merger"}</definedName>
    <definedName function="false" hidden="true" name="ww.Rele" vbProcedure="false">{#N/A,#N/A,FALSE,"Title Page";#N/A,#N/A,FALSE,"Conclusions";#N/A,#N/A,FALSE,"Assum.";#N/A,#N/A,FALSE,"Sun  DCF-WC-Dep";#N/A,#N/A,FALSE,"MarketValue";#N/A,#N/A,FALSE,"BalSheet";#N/A,#N/A,FALSE,"WACC";#N/A,#N/A,FALSE,"PC+ Info.";#N/A,#N/A,FALSE,"PC+Info_2"}</definedName>
    <definedName function="false" hidden="true" name="wwe" vbProcedure="false">{"graph",#N/A,FALSE,"WWJU";"graph",#N/A,FALSE,"WWSEM";"graph",#N/A,FALSE,"GOMJU";"graph",#N/A,FALSE,"GOMSEM";"graph",#N/A,FALSE,"NSJU";"graph",#N/A,FALSE,"NSSEM";"graph",#N/A,FALSE,"WAJU";"graph",#N/A,FALSE,"STOCKPRI";"graph",#N/A,FALSE,"CFTEV";"graph",#N/A,FALSE,"NAV-RCV";"graph",#N/A,FALSE,"CRUDEWW"}</definedName>
    <definedName function="false" hidden="true" name="wwe.kkjk" vbProcedure="false">{#N/A,#N/A,FALSE,"Umsatz CH";#N/A,#N/A,FALSE,"ER CH";#N/A,#N/A,FALSE,"EA CH (2) ";#N/A,#N/A,FALSE,"EA CH";#N/A,#N/A,FALSE,"EA CH (3) ";#N/A,#N/A,FALSE,"EA CH (4)";#N/A,#N/A,FALSE,"KA CH";#N/A,#N/A,FALSE,"KA CH  (2)";#N/A,#N/A,FALSE,"KA CH  (3)";#N/A,#N/A,FALSE,"KA CH (4)"}</definedName>
    <definedName function="false" hidden="true" name="wwefwefwfe"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wwt" vbProcedure="false">{"YD LAPO2",#N/A,FALSE,"YTD"}</definedName>
    <definedName function="false" hidden="true" name="wwvu.all2" vbProcedure="false">{TRUE,TRUE,-2,-16.25,486,278.25,FALSE,TRUE,TRUE,TRUE,0,1,2,4,1,0.987654320987654,0.952380952380952,3,TRUE,TRUE,3,TRUE,1,FALSE,100,"Swvu.ALL.","ACwvu.ALL.",#N/A,FALSE,FALSE,0.01,0.01,0.5,0.2,2,"&amp;R&amp;""Times New Roman""&amp;F
&amp;D   &amp;T","",TRUE,FALSE,FALSE,FALSE,1,100,#N/A,#N/A,"=R1C1:R53C15",FALSE,#N/A,"Cwvu.ALL.",FALSE,FALSE,TRUE,1,65532,65532,FALSE,FALSE,TRUE,TRUE,TRUE}</definedName>
    <definedName function="false" hidden="true" name="www"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wwww" vbProcedure="false">main.sapf4help()</definedName>
    <definedName function="false" hidden="true" name="wwwww" vbProcedure="false">main.sapf4help()</definedName>
    <definedName function="false" hidden="true" name="wwwwww" vbProcedure="false">main.sapf4help()</definedName>
    <definedName function="false" hidden="true" name="wwwwwwwwwwwww" vbProcedure="false">#REF!</definedName>
    <definedName function="false" hidden="true" name="wwwwwwwwwwwwww" vbProcedure="false">{"detail",#N/A,FALSE,"mfg";"summary",#N/A,FALSE,"mfg"}</definedName>
    <definedName function="false" hidden="true" name="www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1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1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1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1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1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2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2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2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2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2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3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3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3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3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3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4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4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4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4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4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5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5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5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5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ww_5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wx" vbProcedure="false">{#N/A,#N/A,FALSE,"Pharm";#N/A,#N/A,FALSE,"WWCM"}</definedName>
    <definedName function="false" hidden="true" name="wxyz" vbProcedure="false">{#N/A,#N/A,FALSE,"Staffnos &amp; cost"}</definedName>
    <definedName function="false" hidden="true" name="WYU" vbProcedure="false">{#N/A,#N/A,FALSE,"단축1";#N/A,#N/A,FALSE,"단축2";#N/A,#N/A,FALSE,"단축3";#N/A,#N/A,FALSE,"장축";#N/A,#N/A,FALSE,"4WD"}</definedName>
    <definedName function="false" hidden="true" name="w_" vbProcedure="false">{#N/A,#N/A,FALSE,"bel";#N/A,#N/A,FALSE,"neth"}</definedName>
    <definedName function="false" hidden="false" name="x" vbProcedure="false">#REF!</definedName>
    <definedName function="false" hidden="true" name="x.1a" vbProcedure="false">#REF!</definedName>
    <definedName function="false" hidden="true" name="xbbnhb"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xbcb" vbProcedure="false">{#N/A,#N/A,FALSE,"V3 Stab-Geb Index";#N/A,#N/A,FALSE,"Vertrieb";#N/A,#N/A,FALSE,"V Daten";#N/A,#N/A,FALSE,"V-Z-Index";#N/A,#N/A,FALSE,"V-1 Daten";#N/A,#N/A,FALSE,"V-1 Index";#N/A,#N/A,FALSE,"V-2 Index";#N/A,#N/A,FALSE,"V-3 Daten";#N/A,#N/A,FALSE,"V3 Stab-Geb Index";#N/A,#N/A,FALSE,"V-3 VG's Index";#N/A,#N/A,FALSE,"V-4 Index";#N/A,#N/A,FALSE,"V-5 Index"}</definedName>
    <definedName function="false" hidden="true" name="xbdf" vbProcedure="false">{"Aktiva_Gittelde",#N/A,TRUE,"Bilanz-Gittelde";"Liabilities_gittelde",#N/A,TRUE,"Bilanz-Gittelde";"GuV_Gittelde",#N/A,TRUE,"GuV-Gittelde";"Aktiva Dresden",#N/A,TRUE,"Bilanz-Dresden";"Passiva Dresden",#N/A,TRUE,"Bilanz-Dresden";"guv Dresden",#N/A,TRUE,"Guv-Dresden";"FPC_Aktiva_hist",#N/A,TRUE,"Bilanz-FPC-D&amp;Co";"FPC_Passiva_hist",#N/A,TRUE,"Bilanz-FPC-D&amp;Co";"FPC_Aktiva_Plan",#N/A,TRUE,"Bilanz-FPC-D&amp;Co";"FPC_Passiva_Plan",#N/A,TRUE,"Bilanz-FPC-D&amp;Co";"FPC_GuV_hist",#N/A,TRUE,"GuV-FPC";"FPC_GuV_Plan",#N/A,TRUE,"GuV-FPC"}</definedName>
    <definedName function="false" hidden="true" name="xc" vbProcedure="false">main.sapf4help()</definedName>
    <definedName function="false" hidden="true" name="xcbc"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xcbxc" vbProcedure="false">{#N/A,#N/A,FALSE,"bel";#N/A,#N/A,FALSE,"neth"}</definedName>
    <definedName function="false" hidden="true" name="xccvbcbvcb" vbProcedure="false">{"comps2",#N/A,FALSE,"AERO";"footnotes",#N/A,FALSE,"AERO"}</definedName>
    <definedName function="false" hidden="true" name="xchart1" vbProcedure="false">#REF!</definedName>
    <definedName function="false" hidden="true" name="xchart2" vbProcedure="false">#REF!</definedName>
    <definedName function="false" hidden="true" name="xchart3" vbProcedure="false">#REF!</definedName>
    <definedName function="false" hidden="true" name="xchart4" vbProcedure="false">#REF!</definedName>
    <definedName function="false" hidden="true" name="xchart5" vbProcedure="false">#REF!</definedName>
    <definedName function="false" hidden="true" name="xcv" vbProcedure="false">{#N/A,#N/A,FALSE,"Pharm";#N/A,#N/A,FALSE,"WWCM"}</definedName>
    <definedName function="false" hidden="true" name="xcvb" vbProcedure="false">{#N/A,#N/A,FALSE,"Layout Aktiva";#N/A,#N/A,FALSE,"Layout Passiva"}</definedName>
    <definedName function="false" hidden="true" name="xcvbbbbbbbbbbbbbb" vbProcedure="false">main.sapf4help()</definedName>
    <definedName function="false" hidden="true" name="xcvbxcvbcx" vbProcedure="false">{#N/A,#N/A,FALSE,"Umsatz EO BP";#N/A,#N/A,FALSE,"Umsatz EO OP";#N/A,#N/A,FALSE,"ER EO BP";#N/A,#N/A,FALSE,"ER EO OP";#N/A,#N/A,FALSE,"EA EO (2)";#N/A,#N/A,FALSE,"EA EO";#N/A,#N/A,FALSE,"EA EO (3)";#N/A,#N/A,FALSE,"EA EO (4)";#N/A,#N/A,FALSE,"KA EO  (2)";#N/A,#N/A,FALSE,"KA EO";#N/A,#N/A,FALSE,"KA EO  (3)";#N/A,#N/A,FALSE,"KA EO (4)"}</definedName>
    <definedName function="false" hidden="true" name="xcxc"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xde" vbProcedure="false">{"FY97Total",#N/A,FALSE,"FY97 - Total";"FY98Total",#N/A,FALSE,"FY98 - Total"}</definedName>
    <definedName function="false" hidden="true" name="XDS" vbProcedure="false">{#N/A,#N/A,FALSE,"을지 (4)";#N/A,#N/A,FALSE,"을지 (5)";#N/A,#N/A,FALSE,"을지 (6)"}</definedName>
    <definedName function="false" hidden="true" name="XD개선" vbProcedure="false">{#N/A,#N/A,FALSE,"단축1";#N/A,#N/A,FALSE,"단축2";#N/A,#N/A,FALSE,"단축3";#N/A,#N/A,FALSE,"장축";#N/A,#N/A,FALSE,"4WD"}</definedName>
    <definedName function="false" hidden="true" name="XD설문" vbProcedure="false">{#N/A,#N/A,FALSE,"단축1";#N/A,#N/A,FALSE,"단축2";#N/A,#N/A,FALSE,"단축3";#N/A,#N/A,FALSE,"장축";#N/A,#N/A,FALSE,"4WD"}</definedName>
    <definedName function="false" hidden="true" name="xd품확일정" vbProcedure="false">{#N/A,#N/A,FALSE,"단축1";#N/A,#N/A,FALSE,"단축2";#N/A,#N/A,FALSE,"단축3";#N/A,#N/A,FALSE,"장축";#N/A,#N/A,FALSE,"4WD"}</definedName>
    <definedName function="false" hidden="true" name="xf"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XFDG" vbProcedure="false">{TRUE,TRUE,-1.25,-15.5,456.75,279.75,FALSE,FALSE,TRUE,TRUE,0,1,18,1,199,6,3,4,TRUE,TRUE,3,TRUE,1,TRUE,100,"Swvu.cash.","ACwvu.cash.",1,FALSE,FALSE,0.511811023622047,0.511811023622047,0.511811023622047,0.511811023622047,1,"","",FALSE,FALSE,FALSE,FALSE,1,#N/A,1,1,#DIV/0!,FALSE,"Rwvu.cash.",#N/A,FALSE,FALSE}</definedName>
    <definedName function="false" hidden="true" name="xfge45ztg" vbProcedure="false">{#N/A,#N/A,FALSE,"Finanzbedarfsrechnung"}</definedName>
    <definedName function="false" hidden="true" name="XG개" vbProcedure="false">{#N/A,#N/A,FALSE,"단축1";#N/A,#N/A,FALSE,"단축2";#N/A,#N/A,FALSE,"단축3";#N/A,#N/A,FALSE,"장축";#N/A,#N/A,FALSE,"4WD"}</definedName>
    <definedName function="false" hidden="true" name="XG개선" vbProcedure="false">{#N/A,#N/A,FALSE,"단축1";#N/A,#N/A,FALSE,"단축2";#N/A,#N/A,FALSE,"단축3";#N/A,#N/A,FALSE,"장축";#N/A,#N/A,FALSE,"4WD"}</definedName>
    <definedName function="false" hidden="true" name="XLDW_UID" vbProcedure="false">"us318357"</definedName>
    <definedName function="false" hidden="true" name="XLDW_VER" vbProcedure="false">"Office 2000 2.0 with Query Builder"</definedName>
    <definedName function="false" hidden="true" name="XLSIMSIM" vbProcedure="false">{"Sim",1,"Output 1","'Incremental Baxter'!$C$47","1","2","100","0"}</definedName>
    <definedName function="false" hidden="true" name="xlx" vbProcedure="false">{#N/A,#N/A,FALSE,"PMW Gruppe 99_98";#N/A,#N/A,FALSE,"PMW KG 98_99";#N/A,#N/A,FALSE,"PMW Inc. 99_98";#N/A,#N/A,FALSE,"PMW VTECH 99_98";#N/A,#N/A,FALSE,"PMW Thail. 99_98";#N/A,#N/A,FALSE,"PMW Canada 99_98";#N/A,#N/A,FALSE,"Währungsabw. 99_98"}</definedName>
    <definedName function="false" hidden="true" name="xn" vbProcedure="false">{"oct_res_comm",#N/A,FALSE,"VarToBud"}</definedName>
    <definedName function="false" hidden="true" name="xpr" vbProcedure="false">{"Area1",#N/A,FALSE,"OREWACC";"Area2",#N/A,FALSE,"OREWACC"}</definedName>
    <definedName function="false" hidden="true" name="xref" vbProcedure="false">1</definedName>
    <definedName function="false" hidden="true" name="XRefActiveRow" vbProcedure="false">#REF!</definedName>
    <definedName function="false" hidden="true" name="XRefColumnsCount" vbProcedure="false">2</definedName>
    <definedName function="false" hidden="true" name="XRefCopy1" vbProcedure="false">#REF!</definedName>
    <definedName function="false" hidden="true" name="XRefCopy11Row" vbProcedure="false">#REF!</definedName>
    <definedName function="false" hidden="true" name="XRefCopy16" vbProcedure="false">#REF!</definedName>
    <definedName function="false" hidden="true" name="XRefCopy17" vbProcedure="false">#REF!</definedName>
    <definedName function="false" hidden="true" name="XRefCopy17Row" vbProcedure="false">#REF!</definedName>
    <definedName function="false" hidden="true" name="XRefCopy18" vbProcedure="false">#REF!</definedName>
    <definedName function="false" hidden="true" name="XRefCopy18Row" vbProcedure="false">#REF!</definedName>
    <definedName function="false" hidden="true" name="XRefCopy19Row" vbProcedure="false">#REF!</definedName>
    <definedName function="false" hidden="true" name="XRefCopy1Row" vbProcedure="false">#REF!</definedName>
    <definedName function="false" hidden="true" name="XRefCopy2" vbProcedure="false">#REF!</definedName>
    <definedName function="false" hidden="true" name="XRefCopy20Row" vbProcedure="false">#REF!</definedName>
    <definedName function="false" hidden="true" name="XRefCopy21" vbProcedure="false">#REF!</definedName>
    <definedName function="false" hidden="true" name="XRefCopy25" vbProcedure="false">#REF!</definedName>
    <definedName function="false" hidden="true" name="XRefCopy26" vbProcedure="false">#REF!</definedName>
    <definedName function="false" hidden="true" name="XRefCopy2Row" vbProcedure="false">#REF!</definedName>
    <definedName function="false" hidden="true" name="XRefCopy3" vbProcedure="false">#REF!</definedName>
    <definedName function="false" hidden="true" name="XRefCopy3Row" vbProcedure="false">#REF!</definedName>
    <definedName function="false" hidden="true" name="XRefCopy4" vbProcedure="false">#REF!</definedName>
    <definedName function="false" hidden="true" name="XRefCopy4Row" vbProcedure="false">#REF!</definedName>
    <definedName function="false" hidden="true" name="XRefCopy5" vbProcedure="false">#REF!</definedName>
    <definedName function="false" hidden="true" name="XRefCopy5Row" vbProcedure="false">#REF!</definedName>
    <definedName function="false" hidden="true" name="XRefCopy6" vbProcedure="false">#REF!</definedName>
    <definedName function="false" hidden="true" name="XRefCopy6Row" vbProcedure="false">#REF!</definedName>
    <definedName function="false" hidden="true" name="XRefCopy7" vbProcedure="false">#REF!</definedName>
    <definedName function="false" hidden="true" name="XRefCopy7Row" vbProcedure="false">#REF!</definedName>
    <definedName function="false" hidden="true" name="XRefCopy8" vbProcedure="false">#REF!</definedName>
    <definedName function="false" hidden="true" name="XRefCopy8Row" vbProcedure="false">#REF!</definedName>
    <definedName function="false" hidden="true" name="XRefCopyRangeCount" vbProcedure="false">2</definedName>
    <definedName function="false" hidden="true" name="XRefPaste1" vbProcedure="false">#REF!</definedName>
    <definedName function="false" hidden="true" name="XRefPaste16" vbProcedure="false">#REF!</definedName>
    <definedName function="false" hidden="true" name="XRefPaste18Row" vbProcedure="false">#REF!</definedName>
    <definedName function="false" hidden="true" name="XRefPaste19Row" vbProcedure="false">#REF!</definedName>
    <definedName function="false" hidden="true" name="XRefPaste1Row" vbProcedure="false">#REF!</definedName>
    <definedName function="false" hidden="true" name="XRefPaste2" vbProcedure="false">#REF!</definedName>
    <definedName function="false" hidden="true" name="XRefPaste21" vbProcedure="false">#REF!</definedName>
    <definedName function="false" hidden="true" name="XRefPaste21Row" vbProcedure="false">#REF!</definedName>
    <definedName function="false" hidden="true" name="XRefPaste22Row" vbProcedure="false">#REF!</definedName>
    <definedName function="false" hidden="true" name="XRefPaste23" vbProcedure="false">#REF!</definedName>
    <definedName function="false" hidden="true" name="XRefPaste23Row" vbProcedure="false">#REF!</definedName>
    <definedName function="false" hidden="true" name="XRefPaste27Row" vbProcedure="false">#REF!</definedName>
    <definedName function="false" hidden="true" name="XRefPaste2Row" vbProcedure="false">#REF!</definedName>
    <definedName function="false" hidden="true" name="XRefPaste3" vbProcedure="false">#REF!</definedName>
    <definedName function="false" hidden="true" name="XRefPaste4" vbProcedure="false">#REF!</definedName>
    <definedName function="false" hidden="true" name="XRefPaste4Row" vbProcedure="false">#REF!</definedName>
    <definedName function="false" hidden="true" name="XRefPaste5" vbProcedure="false">#REF!</definedName>
    <definedName function="false" hidden="true" name="XRefPaste5Row" vbProcedure="false">#REF!</definedName>
    <definedName function="false" hidden="true" name="XRefPaste6" vbProcedure="false">#REF!</definedName>
    <definedName function="false" hidden="true" name="XRefPaste6Row" vbProcedure="false">#REF!</definedName>
    <definedName function="false" hidden="true" name="XRefPasteRangeCount" vbProcedure="false">2</definedName>
    <definedName function="false" hidden="true" name="XREF_COLUMN_1" vbProcedure="false">#REF!</definedName>
    <definedName function="false" hidden="true" name="XREF_COLUMN_12" vbProcedure="false">#REF!</definedName>
    <definedName function="false" hidden="true" name="XREF_COLUMN_13" vbProcedure="false">#REF!</definedName>
    <definedName function="false" hidden="true" name="XREF_COLUMN_14" vbProcedure="false">#REF!</definedName>
    <definedName function="false" hidden="true" name="XREF_COLUMN_15" vbProcedure="false">#REF!</definedName>
    <definedName function="false" hidden="true" name="XREF_COLUMN_16" vbProcedure="false">#REF!</definedName>
    <definedName function="false" hidden="true" name="XREF_COLUMN_18" vbProcedure="false">#REF!</definedName>
    <definedName function="false" hidden="true" name="XREF_COLUMN_2" vbProcedure="false">#REF!</definedName>
    <definedName function="false" hidden="true" name="XREF_COLUMN_3" vbProcedure="false">#REF!</definedName>
    <definedName function="false" hidden="true" name="XREF_COLUMN_4" vbProcedure="false">#REF!</definedName>
    <definedName function="false" hidden="true" name="XREF_COLUMN_6" vbProcedure="false">#REF!</definedName>
    <definedName function="false" hidden="true" name="XREF_COLUMN_7" vbProcedure="false">#REF!</definedName>
    <definedName function="false" hidden="true" name="XREF_COLUMN_9" vbProcedure="false">#REF!</definedName>
    <definedName function="false" hidden="true" name="xrm" vbProcedure="false">{"vue1",#N/A,FALSE,"synthese";"vue2",#N/A,FALSE,"synthese"}</definedName>
    <definedName function="false" hidden="true" name="xrm2" vbProcedure="false">{"vue1",#N/A,FALSE,"synthese";"vue2",#N/A,FALSE,"synthese"}</definedName>
    <definedName function="false" hidden="true" name="xrttd" vbProcedure="false">{"Total",#N/A,FALSE,"Total Proved + Probable";"PDP",#N/A,FALSE,"Total Proved + Probable";"PNP",#N/A,FALSE,"Total Proved + Probable";"PUD",#N/A,FALSE,"Total Proved + Probable";"Prob",#N/A,FALSE,"Total Proved + Probable"}</definedName>
    <definedName function="false" hidden="true" name="xs" vbProcedure="false">{"TAG1AGMS",#N/A,FALSE,"TAG 1A"}</definedName>
    <definedName function="false" hidden="true" name="xsd" vbProcedure="false">{"detail",#N/A,FALSE,"mfg";"summary",#N/A,FALSE,"mfg"}</definedName>
    <definedName function="false" hidden="true" name="xssq" vbProcedure="false">{"FY97Q1 nvs",#N/A,FALSE,"FY97 - Q1";"FY97Q2 nvs",#N/A,FALSE,"FY97 - Q2";"FY97Q3 nvs",#N/A,FALSE,"FY97 - Q3";"FY97Q4 nvs",#N/A,FALSE,"FY97 - Q4"}</definedName>
    <definedName function="false" hidden="true" name="xthj"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xtjxz" vbProcedure="false">{#N/A,#N/A,FALSE,"bel";#N/A,#N/A,FALSE,"neth"}</definedName>
    <definedName function="false" hidden="true" name="xv" vbProcedure="false">{"Commentary",#N/A,FALSE,"May"}</definedName>
    <definedName function="false" hidden="true" name="xx" vbProcedure="false">#REF!</definedName>
    <definedName function="false" hidden="true" name="xxcxc" vbProcedure="false">{#N/A,#N/A,FALSE,"Umsatz CH";#N/A,#N/A,FALSE,"ER CH";#N/A,#N/A,FALSE,"EA CH (2) ";#N/A,#N/A,FALSE,"EA CH";#N/A,#N/A,FALSE,"EA CH (3) ";#N/A,#N/A,FALSE,"EA CH (4)";#N/A,#N/A,FALSE,"KA CH";#N/A,#N/A,FALSE,"KA CH  (2)";#N/A,#N/A,FALSE,"KA CH  (3)";#N/A,#N/A,FALSE,"KA CH (4)"}</definedName>
    <definedName function="false" hidden="true" name="XXE1" vbProcedure="false">#REF!</definedName>
    <definedName function="false" hidden="true" name="XXE1K" vbProcedure="false">#REF!</definedName>
    <definedName function="false" hidden="true" name="XXE1M" vbProcedure="false">#REF!</definedName>
    <definedName function="false" hidden="true" name="XXE1N" vbProcedure="false">#REF!</definedName>
    <definedName function="false" hidden="true" name="XXE1_" vbProcedure="false">#REF!</definedName>
    <definedName function="false" hidden="true" name="XXE44" vbProcedure="false">#REF!</definedName>
    <definedName function="false" hidden="true" name="XXE44K" vbProcedure="false">#REF!</definedName>
    <definedName function="false" hidden="true" name="XXE44M" vbProcedure="false">#REF!</definedName>
    <definedName function="false" hidden="true" name="XXE44N" vbProcedure="false">#REF!</definedName>
    <definedName function="false" hidden="true" name="XXE44_" vbProcedure="false">#REF!</definedName>
    <definedName function="false" hidden="true" name="XXE47" vbProcedure="false">#REF!</definedName>
    <definedName function="false" hidden="true" name="XXE47K" vbProcedure="false">#REF!</definedName>
    <definedName function="false" hidden="true" name="XXE47M" vbProcedure="false">#REF!</definedName>
    <definedName function="false" hidden="true" name="XXE47N" vbProcedure="false">#REF!</definedName>
    <definedName function="false" hidden="true" name="XXE47_" vbProcedure="false">#REF!</definedName>
    <definedName function="false" hidden="true" name="XXK1" vbProcedure="false">#REF!</definedName>
    <definedName function="false" hidden="true" name="XXK101" vbProcedure="false">#REF!</definedName>
    <definedName function="false" hidden="true" name="XXK101K" vbProcedure="false">#REF!</definedName>
    <definedName function="false" hidden="true" name="XXK101M" vbProcedure="false">#REF!</definedName>
    <definedName function="false" hidden="true" name="XXK101N" vbProcedure="false">#REF!</definedName>
    <definedName function="false" hidden="true" name="XXK101_" vbProcedure="false">#REF!</definedName>
    <definedName function="false" hidden="true" name="XXK127" vbProcedure="false">#REF!</definedName>
    <definedName function="false" hidden="true" name="XXK127K" vbProcedure="false">#REF!</definedName>
    <definedName function="false" hidden="true" name="XXK127M" vbProcedure="false">#REF!</definedName>
    <definedName function="false" hidden="true" name="XXK127N" vbProcedure="false">#REF!</definedName>
    <definedName function="false" hidden="true" name="XXK127_" vbProcedure="false">#REF!</definedName>
    <definedName function="false" hidden="true" name="XXK1K" vbProcedure="false">#REF!</definedName>
    <definedName function="false" hidden="true" name="XXK1M" vbProcedure="false">#REF!</definedName>
    <definedName function="false" hidden="true" name="XXK1N" vbProcedure="false">#REF!</definedName>
    <definedName function="false" hidden="true" name="XXK1_" vbProcedure="false">#REF!</definedName>
    <definedName function="false" hidden="true" name="XXK27" vbProcedure="false">#REF!</definedName>
    <definedName function="false" hidden="true" name="XXK27K" vbProcedure="false">#REF!</definedName>
    <definedName function="false" hidden="true" name="XXK27M" vbProcedure="false">#REF!</definedName>
    <definedName function="false" hidden="true" name="XXK27N" vbProcedure="false">#REF!</definedName>
    <definedName function="false" hidden="true" name="XXK27_" vbProcedure="false">#REF!</definedName>
    <definedName function="false" hidden="true" name="XXK37" vbProcedure="false">#REF!</definedName>
    <definedName function="false" hidden="true" name="XXK37K" vbProcedure="false">#REF!</definedName>
    <definedName function="false" hidden="true" name="XXK37M" vbProcedure="false">#REF!</definedName>
    <definedName function="false" hidden="true" name="XXK37N" vbProcedure="false">#REF!</definedName>
    <definedName function="false" hidden="true" name="XXK37_" vbProcedure="false">#REF!</definedName>
    <definedName function="false" hidden="true" name="XXK45" vbProcedure="false">#REF!</definedName>
    <definedName function="false" hidden="true" name="XXK45K" vbProcedure="false">#REF!</definedName>
    <definedName function="false" hidden="true" name="XXK45M" vbProcedure="false">#REF!</definedName>
    <definedName function="false" hidden="true" name="XXK45N" vbProcedure="false">#REF!</definedName>
    <definedName function="false" hidden="true" name="XXK45_" vbProcedure="false">#REF!</definedName>
    <definedName function="false" hidden="true" name="XXK53" vbProcedure="false">#REF!</definedName>
    <definedName function="false" hidden="true" name="XXK53K" vbProcedure="false">#REF!</definedName>
    <definedName function="false" hidden="true" name="XXK53M" vbProcedure="false">#REF!</definedName>
    <definedName function="false" hidden="true" name="XXK53N" vbProcedure="false">#REF!</definedName>
    <definedName function="false" hidden="true" name="XXK53_" vbProcedure="false">#REF!</definedName>
    <definedName function="false" hidden="true" name="XXK61" vbProcedure="false">#REF!</definedName>
    <definedName function="false" hidden="true" name="XXK61K" vbProcedure="false">#REF!</definedName>
    <definedName function="false" hidden="true" name="XXK61M" vbProcedure="false">#REF!</definedName>
    <definedName function="false" hidden="true" name="XXK61N" vbProcedure="false">#REF!</definedName>
    <definedName function="false" hidden="true" name="XXK61_" vbProcedure="false">#REF!</definedName>
    <definedName function="false" hidden="true" name="XXK69" vbProcedure="false">#REF!</definedName>
    <definedName function="false" hidden="true" name="XXK69K" vbProcedure="false">#REF!</definedName>
    <definedName function="false" hidden="true" name="XXK69M" vbProcedure="false">#REF!</definedName>
    <definedName function="false" hidden="true" name="XXK69N" vbProcedure="false">#REF!</definedName>
    <definedName function="false" hidden="true" name="XXK69_" vbProcedure="false">#REF!</definedName>
    <definedName function="false" hidden="true" name="XXK77" vbProcedure="false">#REF!</definedName>
    <definedName function="false" hidden="true" name="XXK77K" vbProcedure="false">#REF!</definedName>
    <definedName function="false" hidden="true" name="XXK77M" vbProcedure="false">#REF!</definedName>
    <definedName function="false" hidden="true" name="XXK77N" vbProcedure="false">#REF!</definedName>
    <definedName function="false" hidden="true" name="XXK77_" vbProcedure="false">#REF!</definedName>
    <definedName function="false" hidden="true" name="XXK85" vbProcedure="false">#REF!</definedName>
    <definedName function="false" hidden="true" name="XXK85K" vbProcedure="false">#REF!</definedName>
    <definedName function="false" hidden="true" name="XXK85M" vbProcedure="false">#REF!</definedName>
    <definedName function="false" hidden="true" name="XXK85N" vbProcedure="false">#REF!</definedName>
    <definedName function="false" hidden="true" name="XXK85_" vbProcedure="false">#REF!</definedName>
    <definedName function="false" hidden="true" name="XXK93" vbProcedure="false">#REF!</definedName>
    <definedName function="false" hidden="true" name="XXK93K" vbProcedure="false">#REF!</definedName>
    <definedName function="false" hidden="true" name="XXK93M" vbProcedure="false">#REF!</definedName>
    <definedName function="false" hidden="true" name="XXK93N" vbProcedure="false">#REF!</definedName>
    <definedName function="false" hidden="true" name="XXK93_" vbProcedure="false">#REF!</definedName>
    <definedName function="false" hidden="true" name="XXM1" vbProcedure="false">#REF!</definedName>
    <definedName function="false" hidden="true" name="XXM1K" vbProcedure="false">#REF!</definedName>
    <definedName function="false" hidden="true" name="XXM1M" vbProcedure="false">#REF!</definedName>
    <definedName function="false" hidden="true" name="XXM1N" vbProcedure="false">#REF!</definedName>
    <definedName function="false" hidden="true" name="XXM1_" vbProcedure="false">#REF!</definedName>
    <definedName function="false" hidden="true" name="xxx" vbProcedure="false">#REF!</definedName>
    <definedName function="false" hidden="true" name="xxx.gb._Hm." vbProcedure="false">{#N/A,#N/A,FALSE,"Umsatz HM";#N/A,#N/A,FALSE,"ER HM";#N/A,#N/A,FALSE,"EA HM  (2)";#N/A,#N/A,FALSE,"EA HM ";#N/A,#N/A,FALSE,"EA HM  (4)";#N/A,#N/A,FALSE,"EA HM  (3)";#N/A,#N/A,FALSE,"KA HM  (2)";#N/A,#N/A,FALSE,"KA HM";#N/A,#N/A,FALSE,"KA HM  (3)";#N/A,#N/A,FALSE,"KA HM (4)"}</definedName>
    <definedName function="false" hidden="true" name="xxx2" vbProcedure="false">{"oct_res_comm",#N/A,FALSE,"VarToBud"}</definedName>
    <definedName function="false" hidden="true" name="xxxx" vbProcedure="false">{"QTR2PGIBS",#N/A,FALSE,"Qtr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function="false" hidden="true" name="xxxxxx" vbProcedure="false">{#N/A,#N/A,FALSE,"Balance Sheet"}</definedName>
    <definedName function="false" hidden="true" name="xxxxxxx" vbProcedure="false">{#N/A,#N/A,FALSE,"Coating"}</definedName>
    <definedName function="false" hidden="true" name="xxxxxxxx" vbProcedure="false">{"var_page",#N/A,FALSE,"template"}</definedName>
    <definedName function="false" hidden="true" name="xxxxxxxxx" vbProcedure="false">{#N/A,#N/A,FALSE,"Distribution"}</definedName>
    <definedName function="false" hidden="true" name="xxxxxxxxxx" vbProcedure="false">{#N/A,#N/A,FALSE,"Income"}</definedName>
    <definedName function="false" hidden="true" name="xxxxxxxxxxx" vbProcedure="false">{#N/A,#N/A,FALSE,"Main"}</definedName>
    <definedName function="false" hidden="true" name="xxxxxxxxxxxx" vbProcedure="false">{#N/A,#N/A,FALSE,"Misc"}</definedName>
    <definedName function="false" hidden="true" name="xxxxxxxxxxxxx" vbProcedure="false">{#N/A,#N/A,FALSE,"Natural"}</definedName>
    <definedName function="false" hidden="true" name="xxxxxxxxxxxxxx" vbProcedure="false">{#N/A,#N/A,FALSE,"Production"}</definedName>
    <definedName function="false" hidden="true" name="xxxxxxxxxxxxxxx" vbProcedure="false">{#N/A,#N/A,FALSE,"Taxes"}</definedName>
    <definedName function="false" hidden="true" name="xxxxxxxxxxxxxxxxx" vbProcedure="false">{#N/A,#N/A,FALSE,"Total Plant"}</definedName>
    <definedName function="false" hidden="true" name="xxxxxxxxxxxxxxxxxx" vbProcedure="false">{#N/A,#N/A,FALSE,"Trucking"}</definedName>
    <definedName function="false" hidden="true" name="XXXXXXXXXXXXXXXXXXXXXXXXXXXX" vbProcedure="false">{"AR",#N/A,FALSE,"ASMGTSUM";"INV",#N/A,FALSE,"ASMGTSUM";"HCCOMP",#N/A,FALSE,"ASMGTSUM";"cap.depr",#N/A,FALSE,"ASMGTSUM"}</definedName>
    <definedName function="false" hidden="true" name="xxxxxxxxxxxxxxxxxxxxxxxxxxxxxxxxxxxxxxxxxxxxxxxxxx" vbProcedure="false">{#N/A,#N/A,TRUE,"Deckblatt PMS";#N/A,#N/A,TRUE,"Ergebnis und Cash-flow PMS";#N/A,#N/A,TRUE,"Kennzahlen PMS"}</definedName>
    <definedName function="false" hidden="true" name="xxx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1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1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1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1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1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2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2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2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2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2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3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3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3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3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3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4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4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4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4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4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5_1"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5_2"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5_3"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5_4"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xx_5_5" vbProcedure="false">{#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function="false" hidden="true" name="xy" vbProcedure="false">#REF!</definedName>
    <definedName function="false" hidden="true" name="xys" vbProcedure="false">{#N/A,#N/A,TRUE,"Staffnos &amp; cost"}</definedName>
    <definedName function="false" hidden="true" name="xyz" vbProcedure="false">#REF!</definedName>
    <definedName function="false" hidden="true" name="xyzzz" vbProcedure="false">#REF!</definedName>
    <definedName function="false" hidden="true" name="xzbdfghfdgfdx" vbProcedure="false">{#N/A,#N/A,TRUE,"Historicals";#N/A,#N/A,TRUE,"Charts";#N/A,#N/A,TRUE,"Forecasts"}</definedName>
    <definedName function="false" hidden="true" name="xzxz" vbProcedure="false">{#N/A,"PURCHM",FALSE,"Business Analysis";#N/A,"SPADD",FALSE,"Business Analysis"}</definedName>
    <definedName function="false" hidden="true" name="xzxzx" vbProcedure="false">{#N/A,#N/A,FALSE,"Performance Flash Report"}</definedName>
    <definedName function="false" hidden="true" name="xzzx" vbProcedure="false">{#N/A,#N/A,FALSE,"Performance Flash Report"}</definedName>
    <definedName function="false" hidden="true" name="xzzzdvdvd" vbProcedure="false">{#N/A,#N/A,FALSE,"Performance Flash Report"}</definedName>
    <definedName function="false" hidden="true" name="y" vbProcedure="false">{#N/A,#N/A,FALSE,"Sheet1"}</definedName>
    <definedName function="false" hidden="true" name="y0" vbProcedure="false">{"'Demand Units'!$Z$2:$AF$53"}</definedName>
    <definedName function="false" hidden="true" name="ya" vbProcedure="false">{#N/A,#N/A,FALSE,"1. PTI Ziele";#N/A,#N/A,FALSE,"2. Zielkatalog ";#N/A,#N/A,FALSE,"3. Masterterminplan"}</definedName>
    <definedName function="false" hidden="true" name="Yarim"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ybd" vbProcedure="false">{#N/A,#N/A,FALSE,"Naming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function="false" hidden="true" name="ycssd" vbProcedure="false">{"GuVGmbH",#N/A,FALSE,"ratios";"BilanzGmbH",#N/A,FALSE,"ratios";"BilanzKG",#N/A,FALSE,"ratios";"GuVKG",#N/A,FALSE,"ratios"}</definedName>
    <definedName function="false" hidden="true" name="YEAH"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YEAHRIGHT"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YEARHIGH" vbProcedure="false">"YEARHIGH"</definedName>
    <definedName function="false" hidden="true" name="YEARLOW" vbProcedure="false">"YEARLOW"</definedName>
    <definedName function="false" hidden="true" name="yfsjk" vbProcedure="false">{#N/A,#N/A,FALSE,"단축1";#N/A,#N/A,FALSE,"단축2";#N/A,#N/A,FALSE,"단축3";#N/A,#N/A,FALSE,"장축";#N/A,#N/A,FALSE,"4WD"}</definedName>
    <definedName function="false" hidden="true" name="yg" vbProcedure="false">{"Polymers Details",#N/A,FALSE,"Current Yr";"Polymer Details",#N/A,FALSE,"Budget";"Polymer Details",#N/A,FALSE,"Prior Year"}</definedName>
    <definedName function="false" hidden="true" name="yh" vbProcedure="false">{"Polymers Details",#N/A,FALSE,"Current Yr";"Polymer Details",#N/A,FALSE,"Budget";"Polymer Details",#N/A,FALSE,"Prior Year"}</definedName>
    <definedName function="false" hidden="true" name="yhg" vbProcedure="false">2</definedName>
    <definedName function="false" hidden="true" name="yhjhj" vbProcedure="false">{"cred comp",#N/A,FALSE,"Comparable Credit Analysis";"IS",#N/A,FALSE,"IS";"Sensitivity",#N/A,FALSE,"Sensitivity";"BS",#N/A,FALSE,"BS";"Bond Summary",#N/A,FALSE,"B Summary";"AD",#N/A,FALSE,"Accretion";"NAV",#N/A,FALSE,"NAV";"SU",#N/A,FALSE,"S&amp;U";"acq. study",#N/A,FALSE,"Acq. Study";"F Charges",#N/A,FALSE,"Fixed Charges"}</definedName>
    <definedName function="false" hidden="true" name="yhn" vbProcedure="false">{#N/A,#N/A,FALSE,"Model";#N/A,#N/A,FALSE,"Division"}</definedName>
    <definedName function="false" hidden="true" name="yiopy" vbProcedure="false">{"EVA",#N/A,FALSE,"EVA";"WACC",#N/A,FALSE,"WACC"}</definedName>
    <definedName function="false" hidden="true" name="YJYTIUK" vbProcedure="false">{"'Demand Units'!$X$11:$AD$45"}</definedName>
    <definedName function="false" hidden="true" name="ym" vbProcedure="false">{#N/A,"PURCHM",FALSE,"Business Analysis";#N/A,"SPADD",FALSE,"Business Analysis"}</definedName>
    <definedName function="false" hidden="true" name="yn" vbProcedure="false">{"AS REP",#N/A,FALSE,"EEFSNAP2";"PROP",#N/A,FALSE,"EEFSNAP2";"RISKS",#N/A,FALSE,"EEFSNAP2";"VIEW ALL",#N/A,FALSE,"EEFSNAP2"}</definedName>
    <definedName function="false" hidden="true" name="yoi" vbProcedure="false">{"sales",#N/A,FALSE,"Sales";"sales existing",#N/A,FALSE,"Sales";"sales rd1",#N/A,FALSE,"Sales";"sales rd2",#N/A,FALSE,"Sales"}</definedName>
    <definedName function="false" hidden="true" name="yop" vbProcedure="false">{"vi1",#N/A,FALSE,"Financial Statements";"vi2",#N/A,FALSE,"Financial Statements";#N/A,#N/A,FALSE,"DCF"}</definedName>
    <definedName function="false" hidden="true" name="yp" vbProcedure="false">{#N/A,"PURADD",FALSE,"Business Analysis";#N/A,"PURSPP",FALSE,"Business Analysis";#N/A,"CTGIND",FALSE,"Business Analysis";#N/A,"PURCHM",FALSE,"Business Analysis";#N/A,"SPADD",FALSE,"Business Analysis";#N/A,"EPOXY",FALSE,"Business Analysis";#N/A,"PURPER",FALSE,"Business Analysis"}</definedName>
    <definedName function="false" hidden="true" name="yq"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yre" vbProcedure="false">{"FY97Q1 nvs",#N/A,FALSE,"FY97 - Q1";"FY97Q2 nvs",#N/A,FALSE,"FY97 - Q2";"FY97Q3 nvs",#N/A,FALSE,"FY97 - Q3";"FY97Q4 nvs",#N/A,FALSE,"FY97 - Q4"}</definedName>
    <definedName function="false" hidden="true" name="yry" vbProcedure="false">{"consolidated",#N/A,FALSE,"Sheet1";"cms",#N/A,FALSE,"Sheet1";"fse",#N/A,FALSE,"Sheet1"}</definedName>
    <definedName function="false" hidden="true" name="yt"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yteytey" vbProcedure="false">{#N/A,#N/A,TRUE,"Historicals";#N/A,#N/A,TRUE,"Charts";#N/A,#N/A,TRUE,"Forecasts"}</definedName>
    <definedName function="false" hidden="true" name="YTGFDF" vbProcedure="false">{"'Demand Units'!$X$11:$AD$45"}</definedName>
    <definedName function="false" hidden="true" name="ythfd" vbProcedure="false">{#N/A,#N/A,TRUE,"Historicals";#N/A,#N/A,TRUE,"Charts";#N/A,#N/A,TRUE,"Forecasts"}</definedName>
    <definedName function="false" hidden="true" name="ytre" vbProcedure="false">{#N/A,#N/A,TRUE,"Historicals";#N/A,#N/A,TRUE,"Charts";#N/A,#N/A,TRUE,"Forecasts"}</definedName>
    <definedName function="false" hidden="true" name="ytrh" vbProcedure="false">{#N/A,#N/A,TRUE,"Historicals";#N/A,#N/A,TRUE,"Charts";#N/A,#N/A,TRUE,"Forecasts"}</definedName>
    <definedName function="false" hidden="true" name="ytus" vbProcedure="false">{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function="false" hidden="true" name="yty" vbProcedure="false">{#N/A,#N/A,FALSE,"Sheet2"}</definedName>
    <definedName function="false" hidden="true" name="ytytyt" vbProcedure="false">{"mgmt forecast",#N/A,FALSE,"Mgmt Forecast";"dcf table",#N/A,FALSE,"Mgmt Forecast";"sensitivity",#N/A,FALSE,"Mgmt Forecast";"table inputs",#N/A,FALSE,"Mgmt Forecast";"calculations",#N/A,FALSE,"Mgmt Forecast"}</definedName>
    <definedName function="false" hidden="true" name="yu" vbProcedure="false">{#N/A,#N/A,TRUE,"Cover";#N/A,#N/A,TRUE,"Input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function="false" hidden="true" name="yue" vbProcedure="false">{"targetdcf",#N/A,FALSE,"Merger consequences";"TARGETASSU",#N/A,FALSE,"Merger consequences";"TERMINAL VALUE",#N/A,FALSE,"Merger consequences"}</definedName>
    <definedName function="false" hidden="true" name="yui" vbProcedure="false">{"Total",#N/A,FALSE,"Six Fields";"PDP",#N/A,FALSE,"Six Fields";"PNP",#N/A,FALSE,"Six Fields";"PUD",#N/A,FALSE,"Six Fields";"Prob",#N/A,FALSE,"Six Fields"}</definedName>
    <definedName function="false" hidden="true" name="yuio" vbProcedure="false">{"oct_res_comm",#N/A,FALSE,"VarToBud"}</definedName>
    <definedName function="false" hidden="true" name="yuop" vbProcedure="false">{"OTHER",#N/A,FALSE,"CM"}</definedName>
    <definedName function="false" hidden="true" name="yus" vbProcedure="false">{"qchm_dcf",#N/A,FALSE,"QCHMDCF2";"qchm_terminal",#N/A,FALSE,"QCHMDCF2"}</definedName>
    <definedName function="false" hidden="true" name="yuuiyiu" vbProcedure="false">{"scrap",#N/A,FALSE,"scrap"}</definedName>
    <definedName function="false" hidden="true" name="yuuuuuuu" vbProcedure="false">{"ratios",#N/A,FALSE,"Summary Accounts"}</definedName>
    <definedName function="false" hidden="true" name="yuy" vbProcedure="false">{"Str Model",#N/A,TRUE,"Store Model";"RevProj By QTR",#N/A,TRUE,"Rev Proj";"RevProj By Yr",#N/A,TRUE,"Rev Proj";"Qtr Model",#N/A,TRUE,"Model";"Bal Sheet",#N/A,TRUE,"Bal Sheet";"Cash Flow",#N/A,TRUE,"Cash Flow";"Yrly Model",#N/A,TRUE,"Income Year"}</definedName>
    <definedName function="false" hidden="true" name="yuyuyuyuyuk" vbProcedure="false">{"'Other IPS'!$A$5","'Other IPS'!$A$4:$K$38"}</definedName>
    <definedName function="false" hidden="true" name="yv" vbProcedure="false">{"sales growth",#N/A,FALSE,"summary";"oper income",#N/A,FALSE,"summary";"oros rank",#N/A,FALSE,"summary";"net assets",#N/A,FALSE,"summary";"asset turnover",#N/A,FALSE,"summary";"orona",#N/A,FALSE,"summary"}</definedName>
    <definedName function="false" hidden="true" name="yvyf" vbProcedure="false">{#N/A,#N/A,FALSE,"Layout Aktiva";#N/A,#N/A,FALSE,"Layout Passiva";#N/A,#N/A,FALSE,"Layout GuV";#N/A,#N/A,FALSE,"Layout Cash Flow";#N/A,#N/A,FALSE,"Mittelherkunft";#N/A,#N/A,FALSE,"Mittelverwendung";#N/A,#N/A,FALSE,"Finanzbedarfsrechnung"}</definedName>
    <definedName function="false" hidden="true" name="yw" vbProcedure="false">{#VALUE!,#N/A,FALSE,0}</definedName>
    <definedName function="false" hidden="true" name="yws" vbProcedure="false">{#N/A,#N/A,FALSE,"Cover Page";#N/A,#N/A,FALSE,"Facing Page";#N/A,#N/A,FALSE,"Main Page";#N/A,#N/A,FALSE,"Risk-Adjusted";#N/A,#N/A,FALSE,"Profit Improvement"}</definedName>
    <definedName function="false" hidden="true" name="yx" vbProcedure="false">{#N/A,#N/A,FALSE,"Profit Status";#N/A,#N/A,FALSE,"Invest";#N/A,#N/A,FALSE,"Revenue";#N/A,#N/A,FALSE,"Variable Cost";#N/A,#N/A,FALSE,"Options &amp; Series"}</definedName>
    <definedName function="false" hidden="true" name="yxcxycxy" vbProcedure="false">{#N/A,#N/A,FALSE,"Umsatz 99";#N/A,#N/A,FALSE,"ER 99 "}</definedName>
    <definedName function="false" hidden="true" name="yxf"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yxkcylkxc" vbProcedure="false">{#N/A,#N/A,TRUE,"Cont_Stell";#N/A,#N/A,TRUE,"BTG";#N/A,#N/A,TRUE,"SH";#N/A,#N/A,TRUE,"GUV";#N/A,#N/A,TRUE,"Bilanz";#N/A,#N/A,TRUE,"WC";#N/A,#N/A,TRUE,"Beweg_bil";#N/A,#N/A,TRUE,"Kap_fluß";#N/A,#N/A,TRUE,"KENNZ";#N/A,#N/A,TRUE,"ANALYSE"}</definedName>
    <definedName function="false" hidden="true" name="yy" vbProcedure="false">#REF!</definedName>
    <definedName function="false" hidden="true" name="yy.7" vbProcedure="false">{#N/A,#N/A,FALSE,"PMW Gruppe 00_99";#N/A,#N/A,FALSE,"PMW KG 00_99";#N/A,#N/A,FALSE,"PMW Inc. 00_99";#N/A,#N/A,FALSE,"PMW VTECH 00_99";#N/A,#N/A,FALSE,"PMW Thail. 00_99";#N/A,#N/A,FALSE,"PMW Canada 00_99";#N/A,#N/A,FALSE,"Währungsabw. 00_99"}</definedName>
    <definedName function="false" hidden="true" name="YYHY" vbProcedure="false">{#N/A,#N/A,FALSE,"단축1";#N/A,#N/A,FALSE,"단축2";#N/A,#N/A,FALSE,"단축3";#N/A,#N/A,FALSE,"장축";#N/A,#N/A,FALSE,"4WD"}</definedName>
    <definedName function="false" hidden="true" name="yyy" vbProcedure="false">{#N/A,#N/A,FALSE,"Other";#N/A,#N/A,FALSE,"Ace";#N/A,#N/A,FALSE,"Derm"}</definedName>
    <definedName function="false" hidden="true" name="yyyy" vbProcedure="false">{#N/A,#N/A,FALSE,"Fluktuation TSI"}</definedName>
    <definedName function="false" hidden="true" name="YYYYY" vbProcedure="false">{#N/A,#N/A,FALSE,"단축1";#N/A,#N/A,FALSE,"단축2";#N/A,#N/A,FALSE,"단축3";#N/A,#N/A,FALSE,"장축";#N/A,#N/A,FALSE,"4WD"}</definedName>
    <definedName function="false" hidden="true" name="yyyyyuyuy" vbProcedure="false">{"'Other IPS'!$A$5","'Other IPS'!$A$4:$K$38"}</definedName>
    <definedName function="false" hidden="true" name="yyyyyy" vbProcedure="false">{"p_l",#N/A,FALSE,"Summary Accounts"}</definedName>
    <definedName function="false" hidden="true" name="yyyyyyyyyyyyyyyy" vbProcedure="false">{"Summary",#N/A,FALSE,"Summary";"A&amp;A's",#N/A,FALSE,"Aids &amp; A's";"MajorWorks",#N/A,FALSE,"Major Works";"EstateImps",#N/A,FALSE,"Estate Imps";"CatC",#N/A,FALSE,"Cat C Voids";"CycProg",#N/A,FALSE,"Cyclical Prog inc MR"}</definedName>
    <definedName function="false" hidden="true" name="z.l" vbProcedure="false">{#N/A,#N/A,FALSE,"KA CH  (2)"}</definedName>
    <definedName function="false" hidden="true" name="za" vbProcedure="false">{#N/A,#N/A,FALSE,"Model";#N/A,#N/A,FALSE,"Division"}</definedName>
    <definedName function="false" hidden="true" name="zaCQW" vbProcedure="false">{"turnover",#N/A,FALSE;"profits",#N/A,FALSE;"cash",#N/A,FALSE}</definedName>
    <definedName function="false" hidden="true" name="zahlungswVeraenderungen" vbProcedure="false">#REF!</definedName>
    <definedName function="false" hidden="true" name="zahlungswVeraenderungenN" vbProcedure="false">#REF!</definedName>
    <definedName function="false" hidden="true" name="zahlungswVeraenderungen_" vbProcedure="false">#REF!</definedName>
    <definedName function="false" hidden="true" name="zaq" vbProcedure="false">{#N/A,#N/A,FALSE,"Calc";#N/A,#N/A,FALSE,"Sensitivity";#N/A,#N/A,FALSE,"LT Earn.Dil.";#N/A,#N/A,FALSE,"Dil. AVP"}</definedName>
    <definedName function="false" hidden="true" name="zaz" vbProcedure="false">{#N/A,"PURCHM",FALSE,"Business Analysis";#N/A,"SPADD",FALSE,"Business Analysis"}</definedName>
    <definedName function="false" hidden="true" name="ZDHGKSDLG" vbProcedure="false">{#N/A,#N/A,FALSE,"인원";#N/A,#N/A,FALSE,"비용2";#N/A,#N/A,FALSE,"비용1";#N/A,#N/A,FALSE,"비용";#N/A,#N/A,FALSE,"보증2";#N/A,#N/A,FALSE,"보증1";#N/A,#N/A,FALSE,"보증";#N/A,#N/A,FALSE,"손익1";#N/A,#N/A,FALSE,"손익";#N/A,#N/A,FALSE,"부서별매출";#N/A,#N/A,FALSE,"매출"}</definedName>
    <definedName function="false" hidden="true" name="zer" vbProcedure="false">{#N/A,#N/A,FALSE,"Calc";#N/A,#N/A,FALSE,"Sensitivity";#N/A,#N/A,FALSE,"LT Earn.Dil.";#N/A,#N/A,FALSE,"Dil. AVP"}</definedName>
    <definedName function="false" hidden="true" name="zezrzrzerz" vbProcedure="false">{"equity comps",#N/A,FALSE,"CS Comps";"equity comps",#N/A,FALSE,"PS Comps";"equity comps",#N/A,FALSE,"GIC_Comps";"equity comps",#N/A,FALSE,"GIC2_Comps"}</definedName>
    <definedName function="false" hidden="true" name="zfill" vbProcedure="false">#REF!</definedName>
    <definedName function="false" hidden="true" name="zflufu"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zhguz" vbProcedure="false">{"DCF","UPSIDE CASE",FALSE,"Sheet1";"DCF","BASE CASE",FALSE,"Sheet1";"DCF","DOWNSIDE CASE",FALSE,"Sheet1"}</definedName>
    <definedName function="false" hidden="true" name="zhj" vbProcedure="false">1/eurextopte</definedName>
    <definedName function="false" hidden="true" name="zhu" vbProcedure="false">{#N/A,#N/A,FALSE,"REPORT"}</definedName>
    <definedName function="false" hidden="true" name="zhutr" vbProcedure="false">{#N/A,#N/A,FALSE,"REPORT"}</definedName>
    <definedName function="false" hidden="true" name="Ziele"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Zinsaufwand" vbProcedure="false">#REF!</definedName>
    <definedName function="false" hidden="true" name="ZinsaufwandK" vbProcedure="false">#REF!</definedName>
    <definedName function="false" hidden="true" name="ZinsaufwandM" vbProcedure="false">#REF!</definedName>
    <definedName function="false" hidden="true" name="ZinsaufwandN" vbProcedure="false">#REF!</definedName>
    <definedName function="false" hidden="true" name="Zinsaufwand_" vbProcedure="false">#REF!</definedName>
    <definedName function="false" hidden="true" name="ZinsertraegeUndAe" vbProcedure="false">#REF!</definedName>
    <definedName function="false" hidden="true" name="ZinsertraegeUndAeK" vbProcedure="false">#REF!</definedName>
    <definedName function="false" hidden="true" name="ZinsertraegeUndAeM" vbProcedure="false">#REF!</definedName>
    <definedName function="false" hidden="true" name="ZinsertraegeUndAeN" vbProcedure="false">#REF!</definedName>
    <definedName function="false" hidden="true" name="ZinsertraegeUndAe_" vbProcedure="false">#REF!</definedName>
    <definedName function="false" hidden="true" name="ZIO" vbProcedure="false">{"FY98Q1 var",#N/A,FALSE,"FY98 - Q1";"FY98Q2 var",#N/A,FALSE,"FY98 - Q2";"FY98Q3 var",#N/A,FALSE,"FY98 - Q3";"FY98Q4 var",#N/A,FALSE,"FY98 - Q4"}</definedName>
    <definedName function="false" hidden="true" name="zioio" vbProcedure="false">{#N/A,#N/A,FALSE,"Umsatz CH";#N/A,#N/A,FALSE,"ER CH";#N/A,#N/A,FALSE,"EA CH (2) ";#N/A,#N/A,FALSE,"EA CH";#N/A,#N/A,FALSE,"EA CH (3) ";#N/A,#N/A,FALSE,"EA CH (4)";#N/A,#N/A,FALSE,"KA CH";#N/A,#N/A,FALSE,"KA CH  (2)";#N/A,#N/A,FALSE,"KA CH  (3)";#N/A,#N/A,FALSE,"KA CH (4)"}</definedName>
    <definedName function="false" hidden="true" name="zl" vbProcedure="false">{#N/A,"PURCHM",FALSE,"Business Analysis";#N/A,"SPADD",FALSE,"Business Analysis"}</definedName>
    <definedName function="false" hidden="true" name="zluz"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zm" vbProcedure="false">{"page1",#N/A,FALSE,"GIRLBO";"page2",#N/A,FALSE,"GIRLBO";"page3",#N/A,FALSE,"GIRLBO";"page4",#N/A,FALSE,"GIRLBO";"page5",#N/A,FALSE,"GIRLBO"}</definedName>
    <definedName function="false" hidden="true" name="zoiz"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zPack" vbProcedure="false">{"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function="false" hidden="true" name="zrr" vbProcedure="false">{"FY97Q1 var",#N/A,FALSE,"FY97 - Q1";"FY97Q2 var",#N/A,FALSE,"FY97 - Q2";"FY97Q3 var",#N/A,FALSE,"FY97 - Q3";"FY97Q4 var",#N/A,FALSE,"FY97 - Q4"}</definedName>
    <definedName function="false" hidden="true" name="ZSZ" vbProcedure="false">{#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function="false" hidden="true" name="zt" vbProcedure="false">{"weichwaren",#N/A,FALSE,"Liste 1";"hartwaren",#N/A,FALSE,"Liste 1";"food",#N/A,FALSE,"Liste 1";"fleisch",#N/A,FALSE,"Liste 1"}</definedName>
    <definedName function="false" hidden="true" name="ztax" vbProcedure="false">{"Tax01a",#N/A,FALSE,"4";"Tax01b",#N/A,FALSE,"4";"Tax02",#N/A,FALSE,"4";"Tax03",#N/A,FALSE,"4";"Tax04",#N/A,FALSE,"4";"Tax05",#N/A,FALSE,"4";"Tax06",#N/A,FALSE,"4";"Tax07",#N/A,FALSE,"4";"Tax08",#N/A,FALSE,"4";"Tax09",#N/A,FALSE,"4";"Tax10",#N/A,FALSE,"4";"Tax11",#N/A,FALSE,"4";"Tax12",#N/A,FALSE,"4";"Tax13",#N/A,FALSE,"4";"Tax14",#N/A,FALSE,"4";"Tax15",#N/A,FALSE,"4";"Tax16",#N/A,FALSE,"4";"Tax17",#N/A,FALSE,"4";"Tax18",#N/A,FALSE,"4"}</definedName>
    <definedName function="false" hidden="true" name="ztu" vbProcedure="false">{"GuVGmbH",#N/A,FALSE,"ratios";"BilanzGmbH",#N/A,FALSE,"ratios";"BilanzKG",#N/A,FALSE,"ratios";"GuVKG",#N/A,FALSE,"ratios"}</definedName>
    <definedName function="false" hidden="true" name="zu" vbProcedure="false">{"zweis 1",#N/A,FALSE,"B";"zweis2",#N/A,FALSE,"B";"zweis3",#N/A,FALSE,"B";"zweis4",#N/A,FALSE,"B";"zweis5",#N/A,FALSE,"B";"zweis6",#N/A,FALSE,"B";"zweis7",#N/A,FALSE,"B";"zweis8",#N/A,FALSE,"B";"zweis9",#N/A,FALSE,"B"}</definedName>
    <definedName function="false" hidden="true" name="zuioitzzu" vbProcedure="false">{#N/A,#N/A,FALSE,"Layout Cash Flow"}</definedName>
    <definedName function="false" hidden="true" name="zuizu" vbProcedure="false">{#N/A,#N/A,FALSE,"Layout Cash Flow"}</definedName>
    <definedName function="false" hidden="true" name="zuizui" vbProcedure="false">{#N/A,#N/A,FALSE,"Mittelherkunft";#N/A,#N/A,FALSE,"Mittelverwendung"}</definedName>
    <definedName function="false" hidden="true" name="zuizuizu" vbProcedure="false">{#N/A,#N/A,FALSE,"Layout Aktiva";#N/A,#N/A,FALSE,"Layout Passiva";#N/A,#N/A,FALSE,"Layout GuV";#N/A,#N/A,FALSE,"Layout Cash Flow";#N/A,#N/A,FALSE,"Mittelherkunft";#N/A,#N/A,FALSE,"Mittelverwendung";#N/A,#N/A,FALSE,"Finanzbedarfsrechnung"}</definedName>
    <definedName function="false" hidden="true" name="zulizlizil" vbProcedure="false">{"Ebit GuV",#N/A,FALSE,"EBIT";"Finanzbedarf1",#N/A,FALSE,"Finanzbedarf";"GuV",#N/A,FALSE,"1.GUV";"GuV Hist. 2",#N/A,FALSE,"1.GUV";"GuV Plan3",#N/A,FALSE,"1.GUV";"Bilanz Aktiva Hist",#N/A,FALSE,"2.Bilanz ";"Bilanz Passiva Hist",#N/A,FALSE,"2.Bilanz ";"Bilanz Aktiva Plan",#N/A,FALSE,"2.Bilanz ";"Bilanz Passiva Plan",#N/A,FALSE,"2.Bilanz ";"Personal Hist",#N/A,FALSE,"1.1.2. Personal";"Personal Plan",#N/A,FALSE,"1.1.2. Personal";"Umschalter AV",#N/A,FALSE,"2.2.Umschalter Anlagevermögen";"AV 93 95",#N/A,FALSE,"2.2.1.Anlagevermögen (Hist.)";"AV Plan 97 98",#N/A,FALSE,"2.2.2.AV Plan";"AV 95 97",#N/A,FALSE,"2.2.1.Anlagevermögen (Hist.)";"AV Plan 98 00",#N/A,FALSE,"2.2.2.AV Plan";"AV Plan 00 01",#N/A,FALSE,"2.2.2.AV Plan"}</definedName>
    <definedName function="false" hidden="true" name="zulzulzul" vbProcedure="false">{"WACC",#N/A,FALSE,"Bewertung D&amp;Co";"DCF",#N/A,FALSE,"Bewertung D&amp;Co";"Wert",#N/A,FALSE,"Bewertung D&amp;Co";"Investitionen",#N/A,FALSE,"Cash D&amp;Co";"EBIT",#N/A,FALSE,"Cash D&amp;Co";"Cash Flow",#N/A,FALSE,"Cash D&amp;Co";"FCF",#N/A,FALSE,"Cash D&amp;Co";"EBIT Multiplier",#N/A,FALSE,"EBIT-Multiplier";"Branchen Beta",#N/A,FALSE,"Branchen-Beta";"Dax Rendite",#N/A,FALSE,"DAX-Rendite";"Bu Rendite",#N/A,FALSE,"Bu-Anl-Rendite"}</definedName>
    <definedName function="false" hidden="true" name="zut" vbProcedure="false">{#N/A,#N/A,FALSE,"Mittelherkunft";#N/A,#N/A,FALSE,"Mittelverwendung"}</definedName>
    <definedName function="false" hidden="true" name="ZX" vbProcedure="false">{#N/A,#N/A,FALSE,"초도품";#N/A,#N/A,FALSE,"초도품 (2)";#N/A,#N/A,FALSE,"초도품 (3)";#N/A,#N/A,FALSE,"초도품 (4)";#N/A,#N/A,FALSE,"초도품 (5)";#N/A,#N/A,FALSE,"초도품 (6)"}</definedName>
    <definedName function="false" hidden="true" name="zxc" vbProcedure="false">{"MATERIAL",#N/A,FALSE,"material"}</definedName>
    <definedName function="false" hidden="true" name="zxcvb" vbProcedure="false">{#N/A,#N/A,TRUE,"Historicals";#N/A,#N/A,TRUE,"Charts";#N/A,#N/A,TRUE,"Forecasts"}</definedName>
    <definedName function="false" hidden="true" name="zxzx" vbProcedure="false">{"oct_res_comm",#N/A,FALSE,"VarToBud"}</definedName>
    <definedName function="false" hidden="true" name="zza4pg" vbProcedure="false">{#N/A,#N/A,FALSE,"REPORT"}</definedName>
    <definedName function="false" hidden="true" name="zzaxz" vbProcedure="false">{"detail",#N/A,FALSE,"mfg";"summary",#N/A,FALSE,"mfg"}</definedName>
    <definedName function="false" hidden="true" name="zzee" vbProcedure="false">{#N/A,#N/A,FALSE,"Pharm";#N/A,#N/A,FALSE,"WWCM"}</definedName>
    <definedName function="false" hidden="true" name="zzi.7"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zzioö" vbProcedure="false">{#N/A,#N/A,FALSE,"Layout Cash Flow"}</definedName>
    <definedName function="false" hidden="true" name="zzz" vbProcedure="false">{"'Form'!$A$2:$J$81"}</definedName>
    <definedName function="false" hidden="true" name="zzz.com" vbProcedure="false">{#N/A,#N/A,FALSE,"Title Page";#N/A,#N/A,FALSE,"Conclusions";#N/A,#N/A,FALSE,"Assum.";#N/A,#N/A,FALSE,"Sun  DCF-WC-Dep";#N/A,#N/A,FALSE,"MarketValue";#N/A,#N/A,FALSE,"BalSheet";#N/A,#N/A,FALSE,"WACC";#N/A,#N/A,FALSE,"PC+ Info.";#N/A,#N/A,FALSE,"PC+Info_2"}</definedName>
    <definedName function="false" hidden="true" name="zzzz" vbProcedure="false">main.sapf4help()</definedName>
    <definedName function="false" hidden="true" name="zzzzz" vbProcedure="false">{"TAG1AGMS",#N/A,FALSE,"TAG 1A"}</definedName>
    <definedName function="false" hidden="true" name="zzzzzz" vbProcedure="false">{"var_page",#N/A,FALSE,"template"}</definedName>
    <definedName function="false" hidden="true" name="ZZZZZZDELETEME22" vbProcedure="false">{0,0,0,0;0,0,0,0;0,0,0,0;0,0,0,0;0,0,0,0;0,0,0,0;0,0,0,0;0,0,0,0;0,0,0,0;0,0,0,0;0,0,0,0;0,0,0,0;0,0,0,0;0,0,0,0;0,0,0,0;0,0,0,0;0,0,0,0;0,0,TRUE,0}</definedName>
    <definedName function="false" hidden="true" name="ZZZZZZDELETEME26" vbProcedure="false">{0,0,0,0;0,0,0,0;0,0,0,0;0,0,0,0;0,0,0,0;0,0,0,0;0,0,0,0;0,0,0,0;0,0,0,0;0,0,0,0;0,0,0,0;0,0,0,0;0,0,0,0;0,0,0,0;0,0,0,0;0,0,0,0;0,0,0,0;0,0,TRUE,0}</definedName>
    <definedName function="false" hidden="true" name="zzzzzzz" vbProcedure="false">main.sapf4help()</definedName>
    <definedName function="false" hidden="true" name="ZZ_EVCOMOPTS" vbProcedure="false">10</definedName>
    <definedName function="false" hidden="true" name="Z_030BCFA9_A76B_11D1_B759_08000E21FF8D_.wvu.Cols" vbProcedure="false">#N/A</definedName>
    <definedName function="false" hidden="true" name="Z_030BCFA9_A76B_11D1_B759_08000E21FF8D_.wvu.FilterData" vbProcedure="false">#N/A</definedName>
    <definedName function="false" hidden="true" name="Z_030BCFA9_A76B_11D1_B759_08000E21FF8D_.wvu.PrintArea" vbProcedure="false">#N/A</definedName>
    <definedName function="false" hidden="true" name="Z_030BCFA9_A76B_11D1_B759_08000E21FF8D_.wvu.PrintTitles" vbProcedure="false">#N/A</definedName>
    <definedName function="false" hidden="true" name="Z_06AC9F35_FA76_11D3_94DD_00C04FA0B046_.wvu.PrintArea" vbProcedure="false">#REF!</definedName>
    <definedName function="false" hidden="true" name="Z_06AF62AE_3F63_11D3_8C95_000000000000_.wvu.PrintArea" vbProcedure="false">#REF!</definedName>
    <definedName function="false" hidden="true" name="Z_09C6908F_308D_4EE5_97E9_68B17D542BEF_.wvu.FilterData" vbProcedure="false">#REF!</definedName>
    <definedName function="false" hidden="true" name="Z_09C6908F_308D_4EE5_97E9_68B17D542BEF_.wvu.PrintArea" vbProcedure="false">#REF!</definedName>
    <definedName function="false" hidden="true" name="Z_09C6908F_308D_4EE5_97E9_68B17D542BEF_.wvu.Rows" vbProcedure="false">#REF!</definedName>
    <definedName function="false" hidden="true" name="Z_0B432A8C_F278_11D2_9169_0060B01A6EB2_.wvu.PrintArea" vbProcedure="false">#REF!</definedName>
    <definedName function="false" hidden="true" name="Z_0B432DE3_F278_11D2_9169_0060B01A6EB2_.wvu.PrintArea" vbProcedure="false">#REF!</definedName>
    <definedName function="false" hidden="true" name="Z_0B432F66_F278_11D2_9169_0060B01A6EB2_.wvu.PrintArea" vbProcedure="false">#REF!</definedName>
    <definedName function="false" hidden="true" name="Z_0BDE109E_8E44_11D6_8F2A_0010B588A0E3_.wvu.PrintArea" vbProcedure="false">#REF!</definedName>
    <definedName function="false" hidden="true" name="Z_0BDE109E_8E44_11D6_8F2A_0010B588A0E3_.wvu.PrintTitles" vbProcedure="false">#REF!</definedName>
    <definedName function="false" hidden="true" name="Z_0BDE109E_8E44_11D6_8F2A_0010B588A0E3_.wvu.Rows" vbProcedure="false">#REF!</definedName>
    <definedName function="false" hidden="true" name="Z_0CCEA51C_6B5A_492A_905D_2F185A7C043A_.wvu.PrintArea" vbProcedure="false">#REF!</definedName>
    <definedName function="false" hidden="true" name="Z_0CDA9083_E5EE_41FB_B6BD_E03FFF683C40_.wvu.FilterData" vbProcedure="false">#REF!</definedName>
    <definedName function="false" hidden="true" name="Z_0E86059D_B79D_11D3_94E0_00C04F602AEF_.wvu.PrintArea" vbProcedure="false">#REF!</definedName>
    <definedName function="false" hidden="true" name="Z_0EF37FB7_DAF6_11D3_94D7_00C04FA0B046_.wvu.PrintArea" vbProcedure="false">#REF!</definedName>
    <definedName function="false" hidden="true" name="Z_108943D4_F1C1_11D2_806D_00105A0ACAB3_.wvu.Cols" vbProcedure="false">#REF!,#REF!</definedName>
    <definedName function="false" hidden="true" name="Z_108943D4_F1C1_11D2_806D_00105A0ACAB3_.wvu.Rows" vbProcedure="false">#REF!,#REF!,#REF!,#REF!,#REF!,#REF!,#REF!,#REF!,#REF!,#REF!</definedName>
    <definedName function="false" hidden="true" name="Z_11E42F02_8116_47C6_A60D_8C2FB4F4AE5D_.wvu.Cols" vbProcedure="false">#REF!,#REF!,#REF!</definedName>
    <definedName function="false" hidden="true" name="Z_128D8F34_9864_4F93_98E2_12587B58B6EC_.wvu.Cols" vbProcedure="false">#REF!,#REF!,#REF!,#REF!,#REF!</definedName>
    <definedName function="false" hidden="true" name="Z_128D8F34_9864_4F93_98E2_12587B58B6EC_.wvu.Rows" vbProcedure="false">#REF!,#REF!,#REF!,#REF!,#REF!,#REF!,#REF!,#REF!,#REF!,#REF!,#REF!,#REF!,#REF!,#REF!,#REF!,#REF!,#REF!,#REF!,#REF!,#REF!,#REF!,#REF!,#REF!,#REF!,#REF!</definedName>
    <definedName function="false" hidden="true" name="Z_138E77AE_F8DF_11D3_94E9_00C04F612D61_.wvu.PrintArea" vbProcedure="false">#REF!</definedName>
    <definedName function="false" hidden="true" name="Z_138E77CA_F8DF_11D3_94E9_00C04F612D61_.wvu.PrintArea" vbProcedure="false">#REF!</definedName>
    <definedName function="false" hidden="true" name="Z_138E7870_F8DF_11D3_94E9_00C04F612D61_.wvu.PrintArea" vbProcedure="false">#REF!</definedName>
    <definedName function="false" hidden="true" name="Z_138E7890_F8DF_11D3_94E9_00C04F612D61_.wvu.PrintArea" vbProcedure="false">#REF!</definedName>
    <definedName function="false" hidden="true" name="Z_14CF0AE7_82DD_11D2_8012_0060B01A6EB2_.wvu.PrintArea" vbProcedure="false">#REF!</definedName>
    <definedName function="false" hidden="true" name="Z_1ACDB192_F033_11D3_94F1_00C04F602AEF_.wvu.PrintArea" vbProcedure="false">#REF!</definedName>
    <definedName function="false" hidden="true" name="Z_1CCDDD74_3AAE_11D3_8C8A_000000000000_.wvu.PrintArea" vbProcedure="false">#REF!</definedName>
    <definedName function="false" hidden="true" name="Z_2E7403B0_7396_11D2_8061_00105A03258D_.wvu.Cols" vbProcedure="false">#REF!,#REF!</definedName>
    <definedName function="false" hidden="true" name="Z_336250C7_C772_11D3_94E8_00C04F602AEF_.wvu.PrintArea" vbProcedure="false">#REF!</definedName>
    <definedName function="false" hidden="true" name="Z_3374E370_4024_11D3_8C96_000000000000_.wvu.PrintArea" vbProcedure="false">#REF!</definedName>
    <definedName function="false" hidden="true" name="Z_36C1D6DA_94EC_11D2_801D_0060B01A6EB2_.wvu.PrintArea" vbProcedure="false">#REF!</definedName>
    <definedName function="false" hidden="true" name="Z_38F40303_FE58_11D3_94DE_00C04FA0B046_.wvu.PrintArea" vbProcedure="false">#REF!</definedName>
    <definedName function="false" hidden="true" name="Z_390E4561_86E6_11D3_94D7_00C04F612D61_.wvu.PrintArea" vbProcedure="false">#REF!</definedName>
    <definedName function="false" hidden="true" name="Z_39BC5E81_0594_11D1_8C74_006097B34275_.wvu.FilterData" vbProcedure="false">#REF!</definedName>
    <definedName function="false" hidden="true" name="Z_39BC5E82_0594_11D1_8C74_006097B34275_.wvu.FilterData" vbProcedure="false">#REF!</definedName>
    <definedName function="false" hidden="true" name="Z_3B46133C_A773_4E04_B6B4_47050AB13554_.wvu.Cols" vbProcedure="false">#REF!,#REF!,#REF!</definedName>
    <definedName function="false" hidden="true" name="Z_3B46133C_A773_4E04_B6B4_47050AB13554_.wvu.Rows" vbProcedure="false">#REF!</definedName>
    <definedName function="false" hidden="true" name="Z_3EE9B1F1_964A_11D3_94D2_00C04F602AEF_.wvu.PrintArea" vbProcedure="false">#REF!</definedName>
    <definedName function="false" hidden="true" name="Z_3EE9B283_964A_11D3_94D2_00C04F602AEF_.wvu.PrintArea" vbProcedure="false">#REF!</definedName>
    <definedName function="false" hidden="true" name="Z_3EE9B315_964A_11D3_94D2_00C04F602AEF_.wvu.PrintArea" vbProcedure="false">#REF!</definedName>
    <definedName function="false" hidden="true" name="Z_3FA1C490_192D_11D3_802B_0060B01A6EB2_.wvu.PrintArea" vbProcedure="false">#REF!</definedName>
    <definedName function="false" hidden="true" name="Z_3FA1C663_192D_11D3_802B_0060B01A6EB2_.wvu.PrintArea" vbProcedure="false">#REF!</definedName>
    <definedName function="false" hidden="true" name="Z_45C4ADC6_6DE9_11D3_8CD4_006097940621_.wvu.PrintArea" vbProcedure="false">#REF!</definedName>
    <definedName function="false" hidden="true" name="Z_47939A2C_A55D_46B4_84FB_3CD5372CD5C0_.wvu.Cols" vbProcedure="false">#REF!,#REF!,#REF!</definedName>
    <definedName function="false" hidden="true" name="Z_47939A2C_A55D_46B4_84FB_3CD5372CD5C0_.wvu.Rows" vbProcedure="false">#REF!,#REF!,#REF!,#REF!,#REF!,#REF!,#REF!,#REF!,#REF!,#REF!,#REF!,#REF!,#REF!,#REF!,#REF!,#REF!,#REF!,#REF!,#REF!,#REF!,#REF!,#REF!,#REF!,#REF!,#REF!</definedName>
    <definedName function="false" hidden="true" name="Z_4980F475_BD39_11D3_8C84_000000000000_.wvu.PrintArea" vbProcedure="false">#REF!</definedName>
    <definedName function="false" hidden="true" name="Z_4B4009D6_E3A8_11D3_94EE_00C04F602AEF_.wvu.PrintArea" vbProcedure="false">#REF!</definedName>
    <definedName function="false" hidden="true" name="Z_4B5573A2_25FD_11D1_8C74_006097B34275_.wvu.FilterData" vbProcedure="false">#REF!</definedName>
    <definedName function="false" hidden="true" name="Z_4B5573A3_25FD_11D1_8C74_006097B34275_.wvu.FilterData" vbProcedure="false">#REF!</definedName>
    <definedName function="false" hidden="true" name="Z_4C289101_0FD6_11D1_A510_006097B38048_.wvu.FilterData" vbProcedure="false">#REF!</definedName>
    <definedName function="false" hidden="true" name="Z_4C6401EE_68F1_11D2_800E_0060B01A6EB2_.wvu.PrintArea" vbProcedure="false">#REF!</definedName>
    <definedName function="false" hidden="true" name="Z_4C854AA2_3991_11D1_8C74_006097B34275_.wvu.FilterData" vbProcedure="false">#REF!</definedName>
    <definedName function="false" hidden="true" name="Z_4E9FC601_CB8F_11D0_8C74_006097B34275_.wvu.FilterData" vbProcedure="false">#REF!</definedName>
    <definedName function="false" hidden="true" name="Z_4ECFD528_4B7B_451F_A1A4_7B24AB7E23C9_.wvu.FilterData" vbProcedure="false">#REF!</definedName>
    <definedName function="false" hidden="true" name="Z_526D3161_71B2_11D3_94D5_00C04F612D61_.wvu.PrintArea" vbProcedure="false">#REF!</definedName>
    <definedName function="false" hidden="true" name="Z_55752DE4_DAF1_11D2_8029_0060B01A6EB2_.wvu.PrintArea" vbProcedure="false">#REF!</definedName>
    <definedName function="false" hidden="true" name="Z_55752FF6_DAF1_11D2_8029_0060B01A6EB2_.wvu.PrintArea" vbProcedure="false">#REF!</definedName>
    <definedName function="false" hidden="true" name="Z_557F7523_1502_11D2_8B95_00A0C9B6775A_.wvu.Cols" vbProcedure="false">#REF!</definedName>
    <definedName function="false" hidden="true" name="Z_557F7524_1502_11D2_8B95_00A0C9B6775A_.wvu.Cols" vbProcedure="false">#REF!</definedName>
    <definedName function="false" hidden="true" name="Z_59DC2A9C_3DF3_11D3_8C92_000000000000_.wvu.PrintArea" vbProcedure="false">#REF!</definedName>
    <definedName function="false" hidden="true" name="Z_5C525311_F45E_11D3_A510_64E98A000000_.wvu.Cols" vbProcedure="false">#REF!</definedName>
    <definedName function="false" hidden="true" name="Z_5C525311_F45E_11D3_A510_64E98A000000_.wvu.Rows" vbProcedure="false">#REF!</definedName>
    <definedName function="false" hidden="true" name="Z_5C712547_8854_11D2_8012_0060B01A6EB2_.wvu.PrintArea" vbProcedure="false">#REF!</definedName>
    <definedName function="false" hidden="true" name="Z_5F5BFFB3_BAF2_456B_BC73_9B3894AE395A_.wvu.Rows" vbProcedure="false">#REF!,#REF!,#REF!,#REF!,#REF!,#REF!,#REF!,#REF!</definedName>
    <definedName function="false" hidden="true" name="Z_60FA13F0_C7AB_11D5_82BE_0060B0F04987_.wvu.Rows" vbProcedure="false">#REF!</definedName>
    <definedName function="false" hidden="true" name="Z_610866E5_E713_11D6_8FBD_0010B588A0E3_.wvu.FilterData" vbProcedure="false">#REF!</definedName>
    <definedName function="false" hidden="true" name="Z_61BCD568_73D2_11D6_9A49_00105AE12B1C_.wvu.Rows" vbProcedure="false">#REF!</definedName>
    <definedName function="false" hidden="true" name="Z_630A7C8D_C852_11D3_94E8_00C04F602AEF_.wvu.PrintArea" vbProcedure="false">#REF!</definedName>
    <definedName function="false" hidden="true" name="Z_658CB600_AA26_498D_A80D_487116058C40_.wvu.Rows" vbProcedure="false">#REF!</definedName>
    <definedName function="false" hidden="true" name="Z_6A7F2E18_D622_11D2_96AB_00A024DF258F_.wvu.Rows" vbProcedure="false">#REF!,#REF!,#REF!</definedName>
    <definedName function="false" hidden="true" name="Z_6C937EB6_FE55_4850_B615_E11663DDF43A_.wvu.PrintArea" vbProcedure="false">#REF!</definedName>
    <definedName function="false" hidden="true" name="Z_6C937EB6_FE55_4850_B615_E11663DDF43A_.wvu.PrintTitles" vbProcedure="false">#REF!,#REF!</definedName>
    <definedName function="false" hidden="true" name="Z_6C937EB6_FE55_4850_B615_E11663DDF43A_.wvu.Rows" vbProcedure="false">#REF!,#REF!</definedName>
    <definedName function="false" hidden="true" name="Z_6D9C2270_ADC3_11D6_B914_00105AFBA2A2_.wvu.FilterData" vbProcedure="false">#REF!</definedName>
    <definedName function="false" hidden="true" name="Z_6D9C2270_ADC3_11D6_B914_00105AFBA2A2_.wvu.PrintTitles" vbProcedure="false">#REF!</definedName>
    <definedName function="false" hidden="true" name="Z_6E0ADC42_F22D_11D0_8C74_006097B34275_.wvu.FilterData" vbProcedure="false">#REF!</definedName>
    <definedName function="false" hidden="true" name="Z_6F2D40DB_9E62_11D2_801D_0060B01A6EB2_.wvu.PrintArea" vbProcedure="false">#REF!</definedName>
    <definedName function="false" hidden="true" name="Z_70D354D2_2FAA_11D3_8C7E_000000000000_.wvu.PrintArea" vbProcedure="false">#REF!</definedName>
    <definedName function="false" hidden="true" name="Z_722C8872_BC62_11D3_94DF_00C04F612D61_.wvu.PrintArea" vbProcedure="false">#REF!</definedName>
    <definedName function="false" hidden="true" name="Z_722C8A68_BC62_11D3_94DF_00C04F612D61_.wvu.PrintArea" vbProcedure="false">#REF!</definedName>
    <definedName function="false" hidden="true" name="Z_722C8C5E_BC62_11D3_94DF_00C04F612D61_.wvu.PrintArea" vbProcedure="false">#REF!</definedName>
    <definedName function="false" hidden="true" name="Z_722C8CF0_BC62_11D3_94DF_00C04F612D61_.wvu.PrintArea" vbProcedure="false">#REF!</definedName>
    <definedName function="false" hidden="true" name="Z_722C8D93_BC62_11D3_94DF_00C04F612D61_.wvu.PrintArea" vbProcedure="false">#REF!</definedName>
    <definedName function="false" hidden="true" name="Z_722C8E2B_BC62_11D3_94DF_00C04F612D61_.wvu.PrintArea" vbProcedure="false">#REF!</definedName>
    <definedName function="false" hidden="true" name="Z_722C92F7_BC62_11D3_94DF_00C04F612D61_.wvu.PrintArea" vbProcedure="false">#REF!</definedName>
    <definedName function="false" hidden="true" name="Z_76C6FCFC_0459_11D3_8245_00A0C99A3F6C_.wvu.Rows" vbProcedure="false">#REF!</definedName>
    <definedName function="false" hidden="true" name="Z_781D38AD_00AD_11D3_916C_0060B01A6EB2_.wvu.PrintArea" vbProcedure="false">#REF!</definedName>
    <definedName function="false" hidden="true" name="Z_781D3F23_00AD_11D3_916C_0060B01A6EB2_.wvu.PrintArea" vbProcedure="false">#REF!</definedName>
    <definedName function="false" hidden="true" name="Z_795B27E2_B3C0_11D2_801F_0060B01A6EB2_.wvu.PrintArea" vbProcedure="false">#REF!</definedName>
    <definedName function="false" hidden="true" name="Z_795B28D1_B3C0_11D2_801F_0060B01A6EB2_.wvu.PrintArea" vbProcedure="false">#REF!</definedName>
    <definedName function="false" hidden="true" name="Z_795B2974_B3C0_11D2_801F_0060B01A6EB2_.wvu.PrintArea" vbProcedure="false">#REF!</definedName>
    <definedName function="false" hidden="true" name="Z_795B2A17_B3C0_11D2_801F_0060B01A6EB2_.wvu.PrintArea" vbProcedure="false">#REF!</definedName>
    <definedName function="false" hidden="true" name="Z_79F71445_F256_11D1_B7A1_006097337DE3_.wvu.Cols" vbProcedure="false">#REF!,#REF!,#REF!,#REF!,#REF!,#REF!,#REF!,#REF!,#REF!,#REF!,#REF!,#REF!</definedName>
    <definedName function="false" hidden="true" name="Z_7B1B3191_D02E_4275_8DEC_AC1813D2E4C7_.wvu.Rows" vbProcedure="false">#REF!</definedName>
    <definedName function="false" hidden="true" name="Z_7C4D4874_67AD_11D4_B818_0050DA5BC25B_.wvu.Cols" vbProcedure="false">#REF!</definedName>
    <definedName function="false" hidden="true" name="Z_7C4D4874_67AD_11D4_B818_0050DA5BC25B_.wvu.Rows" vbProcedure="false">#REF!,#REF!,#REF!,#REF!,#REF!,#REF!,#REF!,#REF!,#REF!,#REF!,#REF!,#REF!</definedName>
    <definedName function="false" hidden="true" name="Z_7E0A45E1_0993_11D1_8C74_006097B34275_.wvu.FilterData" vbProcedure="false">#REF!</definedName>
    <definedName function="false" hidden="true" name="Z_82212322_246D_11D1_8C74_006097B34275_.wvu.FilterData" vbProcedure="false">#REF!</definedName>
    <definedName function="false" hidden="true" name="Z_875F1EBE_BC71_11D3_8C83_000000000000_.wvu.PrintArea" vbProcedure="false">#REF!</definedName>
    <definedName function="false" hidden="true" name="Z_87755D72_2DD6_4DE4_B85E_16D559F8F984_.wvu.Cols" vbProcedure="false">#REF!,#REF!,#REF!</definedName>
    <definedName function="false" hidden="true" name="Z_87755D72_2DD6_4DE4_B85E_16D559F8F984_.wvu.Rows" vbProcedure="false">#REF!</definedName>
    <definedName function="false" hidden="true" name="Z_88CF5AE2_9425_11D2_801C_0060B01A6EB2_.wvu.PrintArea" vbProcedure="false">#REF!</definedName>
    <definedName function="false" hidden="true" name="Z_89196099_EBAD_11D3_94DA_00C04FA0B046_.wvu.PrintArea" vbProcedure="false">#REF!</definedName>
    <definedName function="false" hidden="true" name="Z_89481651_D00D_11D3_94E3_00C04F612D61_.wvu.PrintArea" vbProcedure="false">#REF!</definedName>
    <definedName function="false" hidden="true" name="Z_89A6267D_7FD1_11D2_8012_0060B01A6EB2_.wvu.PrintArea" vbProcedure="false">#REF!</definedName>
    <definedName function="false" hidden="true" name="Z_8A9C8C59_0D13_11D3_8026_0060B01A6EB2_.wvu.PrintArea" vbProcedure="false">#REF!</definedName>
    <definedName function="false" hidden="true" name="Z_8A9C8F32_0D13_11D3_8026_0060B01A6EB2_.wvu.PrintArea" vbProcedure="false">#REF!</definedName>
    <definedName function="false" hidden="true" name="Z_8CF2B6A4_F3B2_11D1_B7A1_006097337DE3_.wvu.Cols" vbProcedure="false">#REF!,#REF!,#REF!,#REF!,#REF!,#REF!,#REF!,#REF!,#REF!,#REF!,#REF!,#REF!</definedName>
    <definedName function="false" hidden="true" name="Z_8CF2B6A5_F3B2_11D1_B7A1_006097337DE3_.wvu.Cols" vbProcedure="false">#REF!,#REF!,#REF!,#REF!,#REF!,#REF!,#REF!,#REF!,#REF!,#REF!,#REF!,#REF!</definedName>
    <definedName function="false" hidden="true" name="Z_8CF2B6A6_F3B2_11D1_B7A1_006097337DE3_.wvu.Cols" vbProcedure="false">#REF!,#REF!,#REF!,#REF!,#REF!,#REF!,#REF!,#REF!,#REF!,#REF!,#REF!,#REF!</definedName>
    <definedName function="false" hidden="true" name="Z_8CF2B6A7_F3B2_11D1_B7A1_006097337DE3_.wvu.Cols" vbProcedure="false">#REF!,#REF!,#REF!,#REF!,#REF!,#REF!,#REF!,#REF!,#REF!,#REF!,#REF!,#REF!</definedName>
    <definedName function="false" hidden="true" name="Z_8DE117E5_DE02_11D2_8029_0060B01A6EB2_.wvu.PrintArea" vbProcedure="false">#REF!</definedName>
    <definedName function="false" hidden="true" name="Z_9118CF73_A0E0_408F_82FC_D7B84F445576_.wvu.Cols" vbProcedure="false">#REF!</definedName>
    <definedName function="false" hidden="true" name="Z_9118CF73_A0E0_408F_82FC_D7B84F445576_.wvu.PrintArea" vbProcedure="false">#REF!</definedName>
    <definedName function="false" hidden="true" name="Z_9118CF73_A0E0_408F_82FC_D7B84F445576_.wvu.Rows" vbProcedure="false">#REF!,#REF!</definedName>
    <definedName function="false" hidden="true" name="Z_9AB953AD_3105_11D2_8B95_00A0C9B6775A_.wvu.Cols" vbProcedure="false">#REF!</definedName>
    <definedName function="false" hidden="true" name="Z_9AB953AD_3105_11D2_8B95_00A0C9B6775A_.wvu.PrintArea" vbProcedure="false">#REF!</definedName>
    <definedName function="false" hidden="true" name="Z_9AB953AD_3105_11D2_8B95_00A0C9B6775A_.wvu.PrintTitles" vbProcedure="false">#REF!</definedName>
    <definedName function="false" hidden="true" name="Z_9AB953AE_3105_11D2_8B95_00A0C9B6775A_.wvu.Cols" vbProcedure="false">#REF!</definedName>
    <definedName function="false" hidden="true" name="Z_9AB953AE_3105_11D2_8B95_00A0C9B6775A_.wvu.PrintArea" vbProcedure="false">#REF!</definedName>
    <definedName function="false" hidden="true" name="Z_9AB953AE_3105_11D2_8B95_00A0C9B6775A_.wvu.PrintTitles" vbProcedure="false">#REF!</definedName>
    <definedName function="false" hidden="true" name="Z_9AB953AE_3105_11D2_8B95_00A0C9B6775A_.wvu.Rows" vbProcedure="false">#REF!,#REF!,#REF!,#REF!,#REF!,#REF!,#REF!,#REF!,#REF!,#REF!,#REF!,#REF!,#REF!,#REF!,#REF!,#REF!,#REF!,#REF!,#REF!,#REF!,#REF!,#REF!,#REF!,#REF!,#REF!,#REF!,#REF!,#REF!,#REF!,#REF!,#REF!</definedName>
    <definedName function="false" hidden="true" name="Z_9AB953AF_3105_11D2_8B95_00A0C9B6775A_.wvu.Cols" vbProcedure="false">#REF!</definedName>
    <definedName function="false" hidden="true" name="Z_9AB953AF_3105_11D2_8B95_00A0C9B6775A_.wvu.PrintArea" vbProcedure="false">#REF!</definedName>
    <definedName function="false" hidden="true" name="Z_9AB953AF_3105_11D2_8B95_00A0C9B6775A_.wvu.PrintTitles" vbProcedure="false">#REF!</definedName>
    <definedName function="false" hidden="true" name="Z_9AB953AF_3105_11D2_8B95_00A0C9B6775A_.wvu.Rows" vbProcedure="false">#REF!,#REF!,#REF!,#REF!,#REF!,#REF!,#REF!,#REF!,#REF!,#REF!,#REF!,#REF!,#REF!,#REF!,#REF!,#REF!,#REF!,#REF!,#REF!,#REF!,#REF!,#REF!,#REF!,#REF!,#REF!,#REF!,#REF!,#REF!,#REF!,#REF!,#REF!</definedName>
    <definedName function="false" hidden="true" name="Z_9B6F4435_ABB4_11D2_801F_0060B01A6EB2_.wvu.PrintArea" vbProcedure="false">#REF!</definedName>
    <definedName function="false" hidden="true" name="Z_9BE98507_F126_11D3_94E7_00C04F612D61_.wvu.PrintArea" vbProcedure="false">#REF!</definedName>
    <definedName function="false" hidden="true" name="Z_A06D4791_FE5D_11D3_94EA_00C04F612D61_.wvu.PrintArea" vbProcedure="false">#REF!</definedName>
    <definedName function="false" hidden="true" name="Z_A06D480D_FE5D_11D3_94EA_00C04F612D61_.wvu.PrintArea" vbProcedure="false">#REF!</definedName>
    <definedName function="false" hidden="true" name="Z_A06D49B4_FE5D_11D3_94EA_00C04F612D61_.wvu.PrintArea" vbProcedure="false">#REF!</definedName>
    <definedName function="false" hidden="true" name="Z_A06D49D0_FE5D_11D3_94EA_00C04F612D61_.wvu.PrintArea" vbProcedure="false">#REF!</definedName>
    <definedName function="false" hidden="true" name="Z_A18F811F_B263_11D3_94DE_00C04F602AEF_.wvu.PrintArea" vbProcedure="false">#REF!</definedName>
    <definedName function="false" hidden="true" name="Z_A18F8547_B263_11D3_94DE_00C04F602AEF_.wvu.PrintArea" vbProcedure="false">#REF!</definedName>
    <definedName function="false" hidden="true" name="Z_A1CC2EEB_9D38_11D3_94D4_00C04F602AEF_.wvu.PrintArea" vbProcedure="false">#REF!</definedName>
    <definedName function="false" hidden="true" name="Z_A2860F0F_949B_11D3_94D2_00C04F602AEF_.wvu.PrintArea" vbProcedure="false">#REF!</definedName>
    <definedName function="false" hidden="true" name="Z_A2860FA1_949B_11D3_94D2_00C04F602AEF_.wvu.PrintArea" vbProcedure="false">#REF!</definedName>
    <definedName function="false" hidden="true" name="Z_A516D8F4_7068_404F_9C19_A1B991EB319C_.wvu.Cols" vbProcedure="false">#REF!,#REF!,#REF!,#REF!,#REF!</definedName>
    <definedName function="false" hidden="true" name="Z_AB004A4F_858A_4AC9_ADF0_FD624C01378E_.wvu.PrintArea" vbProcedure="false">#REF!</definedName>
    <definedName function="false" hidden="true" name="Z_AB004A4F_858A_4AC9_ADF0_FD624C01378E_.wvu.Rows" vbProcedure="false">#REF!,#REF!,#REF!</definedName>
    <definedName function="false" hidden="true" name="Z_ABB84380_5919_11D2_BBB7_00104B2ACF13_.wvu.Rows" vbProcedure="false">#REF!,#REF!,#REF!,#REF!</definedName>
    <definedName function="false" hidden="true" name="Z_AEFAD2E8_D55C_11D2_8027_0060B01A6EB2_.wvu.PrintArea" vbProcedure="false">#REF!</definedName>
    <definedName function="false" hidden="true" name="Z_AEFAD4A3_D55C_11D2_8027_0060B01A6EB2_.wvu.PrintArea" vbProcedure="false">#REF!</definedName>
    <definedName function="false" hidden="true" name="Z_B4680705_EDD3_11D3_94DB_00C04FA0B046_.wvu.PrintArea" vbProcedure="false">#REF!</definedName>
    <definedName function="false" hidden="true" name="Z_B468079E_EDD3_11D3_94DB_00C04FA0B046_.wvu.PrintArea" vbProcedure="false">#REF!</definedName>
    <definedName function="false" hidden="true" name="Z_B49E3C17_C2B6_11D3_94E0_00C04F612D61_.wvu.PrintArea" vbProcedure="false">#REF!</definedName>
    <definedName function="false" hidden="true" name="Z_B8175DE2_E97C_11D0_8C74_006097B34275_.wvu.FilterData" vbProcedure="false">#REF!</definedName>
    <definedName function="false" hidden="true" name="Z_B8DFAC8E_92C4_11D3_94D1_00C04F602AEF_.wvu.PrintArea" vbProcedure="false">#REF!</definedName>
    <definedName function="false" hidden="true" name="Z_BB3B8A5D_F8E8_11D3_94DC_00C04FA0B046_.wvu.PrintArea" vbProcedure="false">#REF!</definedName>
    <definedName function="false" hidden="true" name="Z_BBDA1A24_3814_11D2_8B95_00A0C9B6775A_.wvu.Cols" vbProcedure="false">#REF!</definedName>
    <definedName function="false" hidden="true" name="Z_C2023587_E7DF_11D6_8FC0_0010B588A0E3_.wvu.FilterData" vbProcedure="false">#REF!</definedName>
    <definedName function="false" hidden="true" name="Z_C20235A6_E7DF_11D6_8FC0_0010B588A0E3_.wvu.FilterData" vbProcedure="false">#REF!</definedName>
    <definedName function="false" hidden="true" name="Z_C20235AA_E7DF_11D6_8FC0_0010B588A0E3_.wvu.FilterData" vbProcedure="false">#REF!</definedName>
    <definedName function="false" hidden="true" name="Z_C20235B1_E7DF_11D6_8FC0_0010B588A0E3_.wvu.FilterData" vbProcedure="false">#REF!</definedName>
    <definedName function="false" hidden="true" name="Z_C20235D8_E7DF_11D6_8FC0_0010B588A0E3_.wvu.FilterData" vbProcedure="false">#REF!</definedName>
    <definedName function="false" hidden="true" name="Z_C4E24F0A_F692_11D3_94DB_00C04FA0B046_.wvu.PrintArea" vbProcedure="false">#REF!</definedName>
    <definedName function="false" hidden="true" name="Z_CA9BF89C_7273_11D3_94D6_00C04F612D61_.wvu.PrintArea" vbProcedure="false">#REF!</definedName>
    <definedName function="false" hidden="true" name="Z_CAFB083F_9067_11D3_94D0_00C04F602AEF_.wvu.PrintArea" vbProcedure="false">#REF!</definedName>
    <definedName function="false" hidden="true" name="Z_CAFB08CF_9067_11D3_94D0_00C04F602AEF_.wvu.PrintArea" vbProcedure="false">#REF!</definedName>
    <definedName function="false" hidden="true" name="Z_CAFB0A43_9067_11D3_94D0_00C04F602AEF_.wvu.PrintArea" vbProcedure="false">#REF!</definedName>
    <definedName function="false" hidden="true" name="Z_D638BD64_F476_11D3_9808_00902750E8D4_.wvu.Rows" vbProcedure="false">#REF!,#REF!,#REF!,#REF!,#REF!,#REF!,#REF!,#REF!,#REF!,#REF!</definedName>
    <definedName function="false" hidden="true" name="Z_D6A399A1_3411_11D2_88B3_A98C263D353B_.wvu.Rows" vbProcedure="false">#REF!,#REF!,#REF!,#REF!,#REF!</definedName>
    <definedName function="false" hidden="true" name="Z_D6A399A2_3411_11D2_88B3_A98C263D353B_.wvu.Cols" vbProcedure="false">#REF!</definedName>
    <definedName function="false" hidden="true" name="Z_D6A399A2_3411_11D2_88B3_A98C263D353B_.wvu.Rows" vbProcedure="false">#REF!,#REF!,#REF!,#REF!,#REF!</definedName>
    <definedName function="false" hidden="true" name="Z_D6A399A3_3411_11D2_88B3_A98C263D353B_.wvu.Cols" vbProcedure="false">#REF!,#REF!</definedName>
    <definedName function="false" hidden="true" name="Z_D6A399A3_3411_11D2_88B3_A98C263D353B_.wvu.Rows" vbProcedure="false">#REF!,#REF!,#REF!,#REF!,#REF!</definedName>
    <definedName function="false" hidden="true" name="Z_D6A399AF_3411_11D2_88B3_A98C263D353B_.wvu.Cols" vbProcedure="false">#REF!</definedName>
    <definedName function="false" hidden="true" name="Z_D6A399AF_3411_11D2_88B3_A98C263D353B_.wvu.Rows" vbProcedure="false">#REF!,#REF!,#REF!,#REF!,#REF!</definedName>
    <definedName function="false" hidden="true" name="Z_D6A399B0_3411_11D2_88B3_A98C263D353B_.wvu.Cols" vbProcedure="false">#REF!</definedName>
    <definedName function="false" hidden="true" name="Z_D74C6D72_E604_11D3_94E6_00C04F612D61_.wvu.PrintArea" vbProcedure="false">#REF!</definedName>
    <definedName function="false" hidden="true" name="Z_D74C6F25_E604_11D3_94E6_00C04F612D61_.wvu.PrintArea" vbProcedure="false">#REF!</definedName>
    <definedName function="false" hidden="true" name="Z_D74C736A_E604_11D3_94E6_00C04F612D61_.wvu.PrintArea" vbProcedure="false">#REF!</definedName>
    <definedName function="false" hidden="true" name="Z_D74C7645_E604_11D3_94E6_00C04F612D61_.wvu.PrintArea" vbProcedure="false">#REF!</definedName>
    <definedName function="false" hidden="true" name="Z_D74C777D_E604_11D3_94E6_00C04F612D61_.wvu.PrintArea" vbProcedure="false">#REF!</definedName>
    <definedName function="false" hidden="true" name="Z_D74C787B_E604_11D3_94E6_00C04F612D61_.wvu.PrintArea" vbProcedure="false">#REF!</definedName>
    <definedName function="false" hidden="true" name="Z_D74C790F_E604_11D3_94E6_00C04F612D61_.wvu.PrintArea" vbProcedure="false">#REF!</definedName>
    <definedName function="false" hidden="true" name="Z_D74C7ACD_E604_11D3_94E6_00C04F612D61_.wvu.PrintArea" vbProcedure="false">#REF!</definedName>
    <definedName function="false" hidden="true" name="Z_DB425CD1_773A_11D3_94D6_00C04F612D61_.wvu.PrintArea" vbProcedure="false">#REF!</definedName>
    <definedName function="false" hidden="true" name="Z_DC9D1C40_07A5_43AB_A11B_52757B1D7BD1_.wvu.Cols" vbProcedure="false">#REF!,#REF!,#REF!</definedName>
    <definedName function="false" hidden="true" name="Z_DCA8D884_2605_11D1_A510_006097B38048_.wvu.FilterData" vbProcedure="false">#REF!</definedName>
    <definedName function="false" hidden="true" name="Z_DD27408C_6785_11D2_800D_0060B01A6EB2_.wvu.PrintArea" vbProcedure="false">#REF!</definedName>
    <definedName function="false" hidden="true" name="Z_E10DD71A_42CC_11D3_8C99_000000000000_.wvu.PrintArea" vbProcedure="false">#REF!</definedName>
    <definedName function="false" hidden="true" name="Z_E2699901_D040_11D0_A510_006097B38048_.wvu.FilterData" vbProcedure="false">#REF!</definedName>
    <definedName function="false" hidden="true" name="Z_E3359E54_F4E5_11D3_94DB_00C04FA0B046_.wvu.PrintArea" vbProcedure="false">#REF!</definedName>
    <definedName function="false" hidden="true" name="Z_E499C1FA_EA01_11D3_94D9_00C04FA0B046_.wvu.PrintArea" vbProcedure="false">#REF!</definedName>
    <definedName function="false" hidden="true" name="Z_E8179140_DD91_11D3_94ED_00C04F602AEF_.wvu.PrintArea" vbProcedure="false">#REF!</definedName>
    <definedName function="false" hidden="true" name="Z_EEDCBCAC_8399_11D2_8016_0060B01AC4B2_.wvu.PrintArea" vbProcedure="false">#REF!</definedName>
    <definedName function="false" hidden="true" name="Z_F2884976_0A0D_11D3_916D_0060B01A6EB2_.wvu.PrintArea" vbProcedure="false">#REF!</definedName>
    <definedName function="false" hidden="true" name="Z_FB37AAA2_E08C_11D2_8029_0060B01A6EB2_.wvu.PrintArea" vbProcedure="false">#REF!</definedName>
    <definedName function="false" hidden="true" name="Z_FB37B214_E08C_11D2_8029_0060B01A6EB2_.wvu.PrintArea" vbProcedure="false">#REF!</definedName>
    <definedName function="false" hidden="true" name="Z_FC0AB258_AC5F_11D3_94DB_00C04F602AEF_.wvu.PrintArea" vbProcedure="false">#REF!</definedName>
    <definedName function="false" hidden="true" name="Z_FC0AB2EA_AC5F_11D3_94DB_00C04F602AEF_.wvu.PrintArea" vbProcedure="false">#REF!</definedName>
    <definedName function="false" hidden="true" name="Z_FFD9B7F5_04F7_11D6_992D_00104BD16E42_.wvu.Rows" vbProcedure="false">#REF!</definedName>
    <definedName function="false" hidden="true" name="\" vbProcedure="false">{"detail",#N/A,FALSE,"mfg";"summary",#N/A,FALSE,"mfg"}</definedName>
    <definedName function="false" hidden="true" name="_100__123Graph_DCHART_4" vbProcedure="false">#N/A</definedName>
    <definedName function="false" hidden="true" name="_100__123Graph_Dｸﾞﾗﾌ_2" vbProcedure="false">#REF!</definedName>
    <definedName function="false" hidden="true" name="_100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1013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014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015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016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017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018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019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01__123Graph_DCHART_6" vbProcedure="false">#N/A</definedName>
    <definedName function="false" hidden="true" name="_101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1020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021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022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023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024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025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026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027__FDSAUDITLINK__" vbProcedure="false">{"fdsup://Directions/FactSet Auditing Viewer?action=AUDIT_VALUE&amp;DB=129&amp;ID1=69037010&amp;VALUEID=03501&amp;SDATE=2009&amp;PERIODTYPE=ANN_STD&amp;window=popup_no_bar&amp;width=385&amp;height=120&amp;START_MAXIMIZED=FALSE&amp;creator=factset&amp;display_string=Audit"}</definedName>
    <definedName function="false" hidden="true" name="_1028__FDSAUDITLINK__" vbProcedure="false">{"fdsup://Directions/FactSet Auditing Viewer?action=AUDIT_VALUE&amp;DB=129&amp;ID1=49918410&amp;VALUEID=03501&amp;SDATE=2009&amp;PERIODTYPE=ANN_STD&amp;window=popup_no_bar&amp;width=385&amp;height=120&amp;START_MAXIMIZED=FALSE&amp;creator=factset&amp;display_string=Audit"}</definedName>
    <definedName function="false" hidden="true" name="_1029__FDSAUDITLINK__" vbProcedure="false">{"fdsup://Directions/FactSet Auditing Viewer?action=AUDIT_VALUE&amp;DB=129&amp;ID1=26224110&amp;VALUEID=03501&amp;SDATE=2009&amp;PERIODTYPE=ANN_STD&amp;window=popup_no_bar&amp;width=385&amp;height=120&amp;START_MAXIMIZED=FALSE&amp;creator=factset&amp;display_string=Audit"}</definedName>
    <definedName function="false" hidden="true" name="_102__123Graph_DCHART_7" vbProcedure="false">#N/A</definedName>
    <definedName function="false" hidden="true" name="_102__123Graph_Dｸﾞﾗﾌ_3" vbProcedure="false">#REF!</definedName>
    <definedName function="false" hidden="true" name="_102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1030__FDSAUDITLINK__" vbProcedure="false">{"fdsup://Directions/FactSet Auditing Viewer?action=AUDIT_VALUE&amp;DB=129&amp;ID1=B1G3JK&amp;VALUEID=03501&amp;SDATE=2009&amp;PERIODTYPE=ANN_STD&amp;window=popup_no_bar&amp;width=385&amp;height=120&amp;START_MAXIMIZED=FALSE&amp;creator=factset&amp;display_string=Audit"}</definedName>
    <definedName function="false" hidden="true" name="_1031__FDSAUDITLINK__" vbProcedure="false">{"fdsup://Directions/FactSet Auditing Viewer?action=AUDIT_VALUE&amp;DB=129&amp;ID1=09578R10&amp;VALUEID=03501&amp;SDATE=2009&amp;PERIODTYPE=ANN_STD&amp;window=popup_no_bar&amp;width=385&amp;height=120&amp;START_MAXIMIZED=FALSE&amp;creator=factset&amp;display_string=Audit"}</definedName>
    <definedName function="false" hidden="true" name="_1032__FDSAUDITLINK__" vbProcedure="false">{"fdsup://Directions/FactSet Auditing Viewer?action=AUDIT_VALUE&amp;DB=129&amp;ID1=B4YC9W&amp;VALUEID=03501&amp;SDATE=2009&amp;PERIODTYPE=ANN_STD&amp;window=popup_no_bar&amp;width=385&amp;height=120&amp;START_MAXIMIZED=FALSE&amp;creator=factset&amp;display_string=Audit"}</definedName>
    <definedName function="false" hidden="true" name="_1033__FDSAUDITLINK__" vbProcedure="false">{"fdsup://Directions/FactSet Auditing Viewer?action=AUDIT_VALUE&amp;DB=129&amp;ID1=B292RC&amp;VALUEID=03501&amp;SDATE=2009&amp;PERIODTYPE=ANN_STD&amp;window=popup_no_bar&amp;width=385&amp;height=120&amp;START_MAXIMIZED=FALSE&amp;creator=factset&amp;display_string=Audit"}</definedName>
    <definedName function="false" hidden="true" name="_1034__FDSAUDITLINK__" vbProcedure="false">{"fdsup://Directions/FactSet Auditing Viewer?action=AUDIT_VALUE&amp;DB=129&amp;ID1=309272&amp;VALUEID=03501&amp;SDATE=2009&amp;PERIODTYPE=ANN_STD&amp;window=popup_no_bar&amp;width=385&amp;height=120&amp;START_MAXIMIZED=FALSE&amp;creator=factset&amp;display_string=Audit"}</definedName>
    <definedName function="false" hidden="true" name="_1035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036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037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038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039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03__123Graph_DCHART_8" vbProcedure="false">#N/A</definedName>
    <definedName function="false" hidden="true" name="_103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1040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04__123Graph_DCHART_9" vbProcedure="false">#N/A</definedName>
    <definedName function="false" hidden="true" name="_104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105__123Graph_DINVAR_A" vbProcedure="false">#N/A</definedName>
    <definedName function="false" hidden="true" name="_105__123Graph_LBL_ACHART_4" vbProcedure="false">#REF!</definedName>
    <definedName function="false" hidden="true" name="_105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106__123Graph_DSS5_A" vbProcedure="false">#N/A</definedName>
    <definedName function="false" hidden="true" name="_106__123Graph_Dｸﾞﾗﾌ_4" vbProcedure="false">#REF!</definedName>
    <definedName function="false" hidden="true" name="_106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107__123Graph_DSS6_B" vbProcedure="false">#N/A</definedName>
    <definedName function="false" hidden="true" name="_107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108__123Graph_DSS7_A" vbProcedure="false">#N/A</definedName>
    <definedName function="false" hidden="true" name="_108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109__123Graph_E_Chart_1A" vbProcedure="false">#N/A</definedName>
    <definedName function="false" hidden="true" name="_109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10ALA642C761" vbProcedure="false">#N/A</definedName>
    <definedName function="false" hidden="true" name="_10IQ_FHLB_DUE_CY" vbProcedure="false">"c2082"</definedName>
    <definedName function="false" hidden="true" name="_10wrn.²Ä1­Ó¤ë1_Ü20¤H." vbProcedure="false">{#N/A,#N/A,FALSE,"²Ä1­Ó¤ë"}</definedName>
    <definedName function="false" hidden="true" name="_10__123Graph_ACHART_1" vbProcedure="false">#N/A</definedName>
    <definedName function="false" hidden="true" name="_10__123Graph_BCAPITAL_BY_OEM" vbProcedure="false">#REF!</definedName>
    <definedName function="false" hidden="true" name="_10__123Graph_BCHART_2" vbProcedure="false">#REF!</definedName>
    <definedName function="false" hidden="true" name="_10__123Graph_BCHART_3" vbProcedure="false">#REF!</definedName>
    <definedName function="false" hidden="true" name="_10__123Graph_BCHART_4" vbProcedure="false">#REF!</definedName>
    <definedName function="false" hidden="true" name="_10__123Graph_CCHART_1" vbProcedure="false">#REF!</definedName>
    <definedName function="false" hidden="true" name="_10__123Graph_CCHART_3" vbProcedure="false">#REF!</definedName>
    <definedName function="false" hidden="true" name="_10__123Graph_DChart_2A" vbProcedure="false">#REF!</definedName>
    <definedName function="false" hidden="true" name="_10__123Graph_LBL_ACHART_2" vbProcedure="false">#REF!</definedName>
    <definedName function="false" hidden="true" name="_10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110__123Graph_ECHART_10" vbProcedure="false">#N/A</definedName>
    <definedName function="false" hidden="true" name="_110__123Graph_Eｸﾞﾗﾌ_1" vbProcedure="false">#REF!</definedName>
    <definedName function="false" hidden="true" name="_110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111__123Graph_ECHART_11" vbProcedure="false">#N/A</definedName>
    <definedName function="false" hidden="true" name="_111__123Graph_Eｸﾞﾗﾌ_2" vbProcedure="false">#REF!</definedName>
    <definedName function="false" hidden="true" name="_111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112__123Graph_ECHART_12" vbProcedure="false">#N/A</definedName>
    <definedName function="false" hidden="true" name="_112__123Graph_LBL_BCHART_3" vbProcedure="false">#REF!</definedName>
    <definedName function="false" hidden="true" name="_112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113__123Graph_ECHART_13" vbProcedure="false">#N/A</definedName>
    <definedName function="false" hidden="true" name="_113__123Graph_Eｸﾞﾗﾌ_3" vbProcedure="false">#REF!</definedName>
    <definedName function="false" hidden="true" name="_113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114__123Graph_ECHART_14" vbProcedure="false">#N/A</definedName>
    <definedName function="false" hidden="true" name="_114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1155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156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157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158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159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15__123Graph_ECHART_15" vbProcedure="false">#N/A</definedName>
    <definedName function="false" hidden="true" name="_115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1160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161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162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163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164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165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166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167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168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169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16__123Graph_ECHART_16" vbProcedure="false">#N/A</definedName>
    <definedName function="false" hidden="true" name="_116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1170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171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172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173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174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175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176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177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178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179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17__123Graph_ECHART_17" vbProcedure="false">#N/A</definedName>
    <definedName function="false" hidden="true" name="_117__123Graph_Eｸﾞﾗﾌ_4" vbProcedure="false">#REF!</definedName>
    <definedName function="false" hidden="true" name="_117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1180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181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182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183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184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185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186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187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188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189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18__123Graph_ECHART_18" vbProcedure="false">#N/A</definedName>
    <definedName function="false" hidden="true" name="_118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1190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19__123Graph_ECHART_4" vbProcedure="false">#N/A</definedName>
    <definedName function="false" hidden="true" name="_119__123Graph_LBL_BCHART_4" vbProcedure="false">#REF!</definedName>
    <definedName function="false" hidden="true" name="_119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11ALA642C761" vbProcedure="false">#N/A</definedName>
    <definedName function="false" hidden="true" name="_11__123Graph_ACHART_1" vbProcedure="false">#REF!</definedName>
    <definedName function="false" hidden="true" name="_11__123Graph_ACHART_2" vbProcedure="false">#REF!</definedName>
    <definedName function="false" hidden="true" name="_11__123Graph_Aｸﾞﾗﾌ_1" vbProcedure="false">#REF!</definedName>
    <definedName function="false" hidden="true" name="_11__123Graph_BCHART_5" vbProcedure="false">#REF!</definedName>
    <definedName function="false" hidden="true" name="_11__123Graph_BHR_BY_OEM" vbProcedure="false">#REF!</definedName>
    <definedName function="false" hidden="true" name="_11__123Graph_CCHART_8" vbProcedure="false">#REF!</definedName>
    <definedName function="false" hidden="true" name="_11__123Graph_DCHART_2" vbProcedure="false">#REF!</definedName>
    <definedName function="false" hidden="true" name="_11__123Graph_LBL_ACHART_3" vbProcedure="false">#REF!</definedName>
    <definedName function="false" hidden="true" name="_11__123Graph_XCHART_1" vbProcedure="false">#REF!</definedName>
    <definedName function="false" hidden="true" name="_11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120__123Graph_ECHART_6" vbProcedure="false">#N/A</definedName>
    <definedName function="false" hidden="true" name="_120__123Graph_Fｸﾞﾗﾌ_3" vbProcedure="false">#REF!</definedName>
    <definedName function="false" hidden="true" name="_120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121__123Graph_ECHART_7" vbProcedure="false">#N/A</definedName>
    <definedName function="false" hidden="true" name="_121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122__123Graph_ECHART_8" vbProcedure="false">#N/A</definedName>
    <definedName function="false" hidden="true" name="_122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123Graph" vbProcedure="false">#REF!</definedName>
    <definedName function="false" hidden="true" name="_123Graph_C" vbProcedure="false">#REF!</definedName>
    <definedName function="false" hidden="true" name="_123Graph_Eグラフ4" vbProcedure="false">#REF!</definedName>
    <definedName function="false" hidden="true" name="_123__123Graph_ECHART_9" vbProcedure="false">#N/A</definedName>
    <definedName function="false" hidden="true" name="_123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124__123Graph_F_Chart_1A" vbProcedure="false">#N/A</definedName>
    <definedName function="false" hidden="true" name="_124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125__123Graph_FCHART_10" vbProcedure="false">#N/A</definedName>
    <definedName function="false" hidden="true" name="_125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126__123Graph_FCHART_11" vbProcedure="false">#N/A</definedName>
    <definedName function="false" hidden="true" name="_126__123Graph_LBL_CCHART_3" vbProcedure="false">#REF!</definedName>
    <definedName function="false" hidden="true" name="_126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127__123Graph_FCHART_12" vbProcedure="false">#N/A</definedName>
    <definedName function="false" hidden="true" name="_127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127____S" vbProcedure="false">#REF!</definedName>
    <definedName function="false" hidden="true" name="_128__123Graph_FCHART_13" vbProcedure="false">#N/A</definedName>
    <definedName function="false" hidden="true" name="_128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128__0_S" vbProcedure="false">#N/A</definedName>
    <definedName function="false" hidden="true" name="_129__123Graph_FCHART_14" vbProcedure="false">#N/A</definedName>
    <definedName function="false" hidden="true" name="_129__FDSAUDITLINK__" vbProcedure="false">{"fdsup://directions/FAT Viewer?action=UPDATE&amp;creator=factset&amp;DYN_ARGS=TRUE&amp;DOC_NAME=FAT:FQL_AUDITING_CLIENT_TEMPLATE.FAT&amp;display_string=Audit&amp;VAR:KEY=PMZSNUXCRE&amp;VAR:QUERY=RkZfRUJJVERBX0lCKEFOTiwyMDA3LCwsUkYsRVVSKQ==&amp;WINDOW=FIRST_POPUP&amp;HEIGHT=450&amp;WIDTH=450&amp;","START_MAXIMIZED=FALSE&amp;VAR:CALENDAR=FIVEDAY&amp;VAR:SYMBOL=471279&amp;VAR:INDEX=0"}</definedName>
    <definedName function="false" hidden="true" name="_12ALA642C761" vbProcedure="false">#N/A</definedName>
    <definedName function="false" hidden="true" name="_12__123Graph_AC04C_ALL_T1" vbProcedure="false">#REF!</definedName>
    <definedName function="false" hidden="true" name="_12__123Graph_ACHART_2" vbProcedure="false">#REF!</definedName>
    <definedName function="false" hidden="true" name="_12__123Graph_ACHART_3" vbProcedure="false">#REF!</definedName>
    <definedName function="false" hidden="true" name="_12__123Graph_Aｸﾞﾗﾌ_2" vbProcedure="false">#REF!</definedName>
    <definedName function="false" hidden="true" name="_12__123Graph_BCHART_3" vbProcedure="false">#REF!</definedName>
    <definedName function="false" hidden="true" name="_12__123Graph_BCHART_8" vbProcedure="false">#REF!</definedName>
    <definedName function="false" hidden="true" name="_12__123Graph_BUNIT_BY_OEM" vbProcedure="false">#REF!</definedName>
    <definedName function="false" hidden="true" name="_12__123Graph_CCHART_2" vbProcedure="false">#REF!</definedName>
    <definedName function="false" hidden="true" name="_12__123Graph_DCHART_1" vbProcedure="false">#REF!</definedName>
    <definedName function="false" hidden="true" name="_12__123Graph_DCHART_3" vbProcedure="false">#REF!</definedName>
    <definedName function="false" hidden="true" name="_12__123Graph_LBL_DCHART_1" vbProcedure="false">#REF!</definedName>
    <definedName function="false" hidden="true" name="_12__123Graph_XChart_1A" vbProcedure="false">#REF!</definedName>
    <definedName function="false" hidden="true" name="_12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130__123Graph_FCHART_15" vbProcedure="false">#N/A</definedName>
    <definedName function="false" hidden="true" name="_130__FDSAUDITLINK__" vbProcedure="false">{"fdsup://directions/FAT Viewer?action=UPDATE&amp;creator=factset&amp;DYN_ARGS=TRUE&amp;DOC_NAME=FAT:FQL_AUDITING_CLIENT_TEMPLATE.FAT&amp;display_string=Audit&amp;VAR:KEY=XYVCRARQJI&amp;VAR:QUERY=RkZfRUJJVERBX0lCKEFOTiwyMDA5LCwsUkYsRVVSKQ==&amp;WINDOW=FIRST_POPUP&amp;HEIGHT=450&amp;WIDTH=450&amp;","START_MAXIMIZED=FALSE&amp;VAR:CALENDAR=FIVEDAY&amp;VAR:SYMBOL=549710&amp;VAR:INDEX=0"}</definedName>
    <definedName function="false" hidden="true" name="_131__123Graph_FCHART_16" vbProcedure="false">#N/A</definedName>
    <definedName function="false" hidden="true" name="_131__FDSAUDITLINK__" vbProcedure="false">{"fdsup://directions/FAT Viewer?action=UPDATE&amp;creator=factset&amp;DYN_ARGS=TRUE&amp;DOC_NAME=FAT:FQL_AUDITING_CLIENT_TEMPLATE.FAT&amp;display_string=Audit&amp;VAR:KEY=LGVQVYXIFQ&amp;VAR:QUERY=RkZfRUJJVERBX0lCKEFOTiwyMDA4LCwsUkYsRVVSKQ==&amp;WINDOW=FIRST_POPUP&amp;HEIGHT=450&amp;WIDTH=450&amp;","START_MAXIMIZED=FALSE&amp;VAR:CALENDAR=FIVEDAY&amp;VAR:SYMBOL=549710&amp;VAR:INDEX=0"}</definedName>
    <definedName function="false" hidden="true" name="_132__123Graph_FCHART_4" vbProcedure="false">#N/A</definedName>
    <definedName function="false" hidden="true" name="_132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132__0_S" vbProcedure="false">#REF!</definedName>
    <definedName function="false" hidden="true" name="_133__123Graph_FCHART_6" vbProcedure="false">#N/A</definedName>
    <definedName function="false" hidden="true" name="_133__123Graph_LBL_Aｸﾞﾗﾌ_1" vbProcedure="false">#REF!</definedName>
    <definedName function="false" hidden="true" name="_133__123Graph_XCHART_1" vbProcedure="false">#REF!</definedName>
    <definedName function="false" hidden="true" name="_133__FDSAUDITLINK__" vbProcedure="false">{"fdsup://directions/FAT Viewer?action=UPDATE&amp;creator=factset&amp;DYN_ARGS=TRUE&amp;DOC_NAME=FAT:FQL_AUDITING_CLIENT_TEMPLATE.FAT&amp;display_string=Audit&amp;VAR:KEY=BMFCFMJCHW&amp;VAR:QUERY=RkZfRUJJVERBX0lCKEFOTiwyMDA3LCwsUkYsRVVSKQ==&amp;WINDOW=FIRST_POPUP&amp;HEIGHT=450&amp;WIDTH=450&amp;","START_MAXIMIZED=FALSE&amp;VAR:CALENDAR=FIVEDAY&amp;VAR:SYMBOL=549710&amp;VAR:INDEX=0"}</definedName>
    <definedName function="false" hidden="true" name="_134__123Graph_FCHART_7" vbProcedure="false">#N/A</definedName>
    <definedName function="false" hidden="true" name="_134__FDSAUDITLINK__" vbProcedure="false">{"fdsup://directions/FAT Viewer?action=UPDATE&amp;creator=factset&amp;DYN_ARGS=TRUE&amp;DOC_NAME=FAT:FQL_AUDITING_CLIENT_TEMPLATE.FAT&amp;display_string=Audit&amp;VAR:KEY=XSVSNOVCPI&amp;VAR:QUERY=RkZfRUJJVERBX0lCKEFOTiwyMDA5LCwsUkYsRVVSKQ==&amp;WINDOW=FIRST_POPUP&amp;HEIGHT=450&amp;WIDTH=450&amp;","START_MAXIMIZED=FALSE&amp;VAR:CALENDAR=FIVEDAY&amp;VAR:SYMBOL=574852&amp;VAR:INDEX=0"}</definedName>
    <definedName function="false" hidden="true" name="_135__123Graph_FCHART_8" vbProcedure="false">#N/A</definedName>
    <definedName function="false" hidden="true" name="_135__FDSAUDITLINK__" vbProcedure="false">{"fdsup://directions/FAT Viewer?action=UPDATE&amp;creator=factset&amp;DYN_ARGS=TRUE&amp;DOC_NAME=FAT:FQL_AUDITING_CLIENT_TEMPLATE.FAT&amp;display_string=Audit&amp;VAR:KEY=BEPGLIVMBO&amp;VAR:QUERY=RkZfRUJJVERBX0lCKEFOTiwyMDA4LCwsUkYsRVVSKQ==&amp;WINDOW=FIRST_POPUP&amp;HEIGHT=450&amp;WIDTH=450&amp;","START_MAXIMIZED=FALSE&amp;VAR:CALENDAR=FIVEDAY&amp;VAR:SYMBOL=574852&amp;VAR:INDEX=0"}</definedName>
    <definedName function="false" hidden="true" name="_136__123Graph_FCHART_9" vbProcedure="false">#N/A</definedName>
    <definedName function="false" hidden="true" name="_136__FDSAUDITLINK__" vbProcedure="false">{"fdsup://directions/FAT Viewer?action=UPDATE&amp;creator=factset&amp;DYN_ARGS=TRUE&amp;DOC_NAME=FAT:FQL_AUDITING_CLIENT_TEMPLATE.FAT&amp;display_string=Audit&amp;VAR:KEY=FYHMHEZYDI&amp;VAR:QUERY=RkZfRUJJVERBX0lCKEFOTiwyMDA3LCwsUkYsRVVSKQ==&amp;WINDOW=FIRST_POPUP&amp;HEIGHT=450&amp;WIDTH=450&amp;","START_MAXIMIZED=FALSE&amp;VAR:CALENDAR=FIVEDAY&amp;VAR:SYMBOL=574852&amp;VAR:INDEX=0"}</definedName>
    <definedName function="false" hidden="true" name="_137__123Graph_X_Chart_1A" vbProcedure="false">#N/A</definedName>
    <definedName function="false" hidden="true" name="_137__FDSAUDITLINK__" vbProcedure="false">{"fdsup://directions/FAT Viewer?action=UPDATE&amp;creator=factset&amp;DYN_ARGS=TRUE&amp;DOC_NAME=FAT:FQL_AUDITING_CLIENT_TEMPLATE.FAT&amp;display_string=Audit&amp;VAR:KEY=DGNSZQZYZE&amp;VAR:QUERY=RkZfRUJJVERBX0lCKEFOTiwyMDA5LCwsUkYsRVVSKQ==&amp;WINDOW=FIRST_POPUP&amp;HEIGHT=450&amp;WIDTH=450&amp;","START_MAXIMIZED=FALSE&amp;VAR:CALENDAR=FIVEDAY&amp;VAR:SYMBOL=34537086&amp;VAR:INDEX=0"}</definedName>
    <definedName function="false" hidden="true" name="_138__123Graph_XChart_1" vbProcedure="false">#N/A</definedName>
    <definedName function="false" hidden="true" name="_138__FDSAUDITLINK__" vbProcedure="false">{"fdsup://directions/FAT Viewer?action=UPDATE&amp;creator=factset&amp;DYN_ARGS=TRUE&amp;DOC_NAME=FAT:FQL_AUDITING_CLIENT_TEMPLATE.FAT&amp;display_string=Audit&amp;VAR:KEY=HEBWRMPARS&amp;VAR:QUERY=RkZfRUJJVERBX0lCKEFOTiwyMDA4LCwsUkYsRVVSKQ==&amp;WINDOW=FIRST_POPUP&amp;HEIGHT=450&amp;WIDTH=450&amp;","START_MAXIMIZED=FALSE&amp;VAR:CALENDAR=FIVEDAY&amp;VAR:SYMBOL=34537086&amp;VAR:INDEX=0"}</definedName>
    <definedName function="false" hidden="true" name="_139__123Graph_XChart_2" vbProcedure="false">#N/A</definedName>
    <definedName function="false" hidden="true" name="_139__FDSAUDITLINK__" vbProcedure="false">{"fdsup://directions/FAT Viewer?action=UPDATE&amp;creator=factset&amp;DYN_ARGS=TRUE&amp;DOC_NAME=FAT:FQL_AUDITING_CLIENT_TEMPLATE.FAT&amp;display_string=Audit&amp;VAR:KEY=PYHIXQNANM&amp;VAR:QUERY=RkZfRUJJVERBX0lCKEFOTiwyMDA3LCwsUkYsRVVSKQ==&amp;WINDOW=FIRST_POPUP&amp;HEIGHT=450&amp;WIDTH=450&amp;","START_MAXIMIZED=FALSE&amp;VAR:CALENDAR=FIVEDAY&amp;VAR:SYMBOL=34537086&amp;VAR:INDEX=0"}</definedName>
    <definedName function="false" hidden="true" name="_13ALA642C761" vbProcedure="false">#N/A</definedName>
    <definedName function="false" hidden="true" name="_13__123Graph_AC04C_ALL_L1" vbProcedure="false">#REF!</definedName>
    <definedName function="false" hidden="true" name="_13__123Graph_ACHART_3" vbProcedure="false">#REF!</definedName>
    <definedName function="false" hidden="true" name="_13__123Graph_BCHART_1" vbProcedure="false">#N/A</definedName>
    <definedName function="false" hidden="true" name="_13__123Graph_Bｸﾞﾗﾌ_1" vbProcedure="false">#REF!</definedName>
    <definedName function="false" hidden="true" name="_13__123Graph_CCAPITAL_BY_OEM" vbProcedure="false">#REF!</definedName>
    <definedName function="false" hidden="true" name="_13__123Graph_CCHART_3" vbProcedure="false">#REF!</definedName>
    <definedName function="false" hidden="true" name="_13__123Graph_DCHART_8" vbProcedure="false">#REF!</definedName>
    <definedName function="false" hidden="true" name="_13__123Graph_LBL_ACHART_3" vbProcedure="false">#REF!</definedName>
    <definedName function="false" hidden="true" name="_13__123Graph_LBL_DCHART_2" vbProcedure="false">#REF!</definedName>
    <definedName function="false" hidden="true" name="_13__123Graph_XCHART_2" vbProcedure="false">#REF!</definedName>
    <definedName function="false" hidden="true" name="_13__123Graph_XChart_2A" vbProcedure="false">#REF!</definedName>
    <definedName function="false" hidden="true" name="_13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140__123Graph_XCHART_20" vbProcedure="false">#N/A</definedName>
    <definedName function="false" hidden="true" name="_140__123Graph_XCHART_3" vbProcedure="false">#REF!</definedName>
    <definedName function="false" hidden="true" name="_140__FDSAUDITLINK__" vbProcedure="false">{"fdsup://directions/FAT Viewer?action=UPDATE&amp;creator=factset&amp;DYN_ARGS=TRUE&amp;DOC_NAME=FAT:FQL_AUDITING_CLIENT_TEMPLATE.FAT&amp;display_string=Audit&amp;VAR:KEY=TCJIXMNKRY&amp;VAR:QUERY=RkZfRUJJVERBX0lCKEFOTiwyMDA5LCwsUkYsRVVSKQ==&amp;WINDOW=FIRST_POPUP&amp;HEIGHT=450&amp;WIDTH=450&amp;","START_MAXIMIZED=FALSE&amp;VAR:CALENDAR=FIVEDAY&amp;VAR:SYMBOL=575602&amp;VAR:INDEX=0"}</definedName>
    <definedName function="false" hidden="true" name="_141__123Graph_XCHART_23" vbProcedure="false">#N/A</definedName>
    <definedName function="false" hidden="true" name="_141__FDSAUDITLINK__" vbProcedure="false">{"fdsup://directions/FAT Viewer?action=UPDATE&amp;creator=factset&amp;DYN_ARGS=TRUE&amp;DOC_NAME=FAT:FQL_AUDITING_CLIENT_TEMPLATE.FAT&amp;display_string=Audit&amp;VAR:KEY=DCHGFIVKXQ&amp;VAR:QUERY=RkZfRUJJVERBX0lCKEFOTiwyMDA4LCwsUkYsRVVSKQ==&amp;WINDOW=FIRST_POPUP&amp;HEIGHT=450&amp;WIDTH=450&amp;","START_MAXIMIZED=FALSE&amp;VAR:CALENDAR=FIVEDAY&amp;VAR:SYMBOL=575602&amp;VAR:INDEX=0"}</definedName>
    <definedName function="false" hidden="true" name="_142__123Graph_XChart_3" vbProcedure="false">#N/A</definedName>
    <definedName function="false" hidden="true" name="_142__FDSAUDITLINK__" vbProcedure="false">{"fdsup://directions/FAT Viewer?action=UPDATE&amp;creator=factset&amp;DYN_ARGS=TRUE&amp;DOC_NAME=FAT:FQL_AUDITING_CLIENT_TEMPLATE.FAT&amp;display_string=Audit&amp;VAR:KEY=PYRULAPETI&amp;VAR:QUERY=RkZfRUJJVERBX0lCKEFOTiwyMDA3LCwsUkYsRVVSKQ==&amp;WINDOW=FIRST_POPUP&amp;HEIGHT=450&amp;WIDTH=450&amp;","START_MAXIMIZED=FALSE&amp;VAR:CALENDAR=FIVEDAY&amp;VAR:SYMBOL=575602&amp;VAR:INDEX=0"}</definedName>
    <definedName function="false" hidden="true" name="_143__123Graph_XChart_4" vbProcedure="false">#N/A</definedName>
    <definedName function="false" hidden="true" name="_143__FDSAUDITLINK__" vbProcedure="false">{"fdsup://directions/FAT Viewer?action=UPDATE&amp;creator=factset&amp;DYN_ARGS=TRUE&amp;DOC_NAME=FAT:FQL_AUDITING_CLIENT_TEMPLATE.FAT&amp;display_string=Audit&amp;VAR:KEY=BOBADSLIRO&amp;VAR:QUERY=RkZfRUJJVERBX0lCKEFOTiwyMDA5LCwsUkYsRVVSKQ==&amp;WINDOW=FIRST_POPUP&amp;HEIGHT=450&amp;WIDTH=450&amp;","START_MAXIMIZED=FALSE&amp;VAR:CALENDAR=FIVEDAY&amp;VAR:SYMBOL=552902&amp;VAR:INDEX=0"}</definedName>
    <definedName function="false" hidden="true" name="_144__123Graph_XChart_5" vbProcedure="false">#N/A</definedName>
    <definedName function="false" hidden="true" name="_144__FDSAUDITLINK__" vbProcedure="false">{"fdsup://directions/FAT Viewer?action=UPDATE&amp;creator=factset&amp;DYN_ARGS=TRUE&amp;DOC_NAME=FAT:FQL_AUDITING_CLIENT_TEMPLATE.FAT&amp;display_string=Audit&amp;VAR:KEY=FSPGTSFQRA&amp;VAR:QUERY=RkZfRUJJVERBX0lCKEFOTiwyMDA4LCwsUkYsRVVSKQ==&amp;WINDOW=FIRST_POPUP&amp;HEIGHT=450&amp;WIDTH=450&amp;","START_MAXIMIZED=FALSE&amp;VAR:CALENDAR=FIVEDAY&amp;VAR:SYMBOL=552902&amp;VAR:INDEX=0"}</definedName>
    <definedName function="false" hidden="true" name="_145__123Graph_XChart_6" vbProcedure="false">#N/A</definedName>
    <definedName function="false" hidden="true" name="_145__FDSAUDITLINK__" vbProcedure="false">{"fdsup://directions/FAT Viewer?action=UPDATE&amp;creator=factset&amp;DYN_ARGS=TRUE&amp;DOC_NAME=FAT:FQL_AUDITING_CLIENT_TEMPLATE.FAT&amp;display_string=Audit&amp;VAR:KEY=RIHKFQHENC&amp;VAR:QUERY=RkZfRUJJVERBX0lCKEFOTiwyMDA3LCwsUkYsRVVSKQ==&amp;WINDOW=FIRST_POPUP&amp;HEIGHT=450&amp;WIDTH=450&amp;","START_MAXIMIZED=FALSE&amp;VAR:CALENDAR=FIVEDAY&amp;VAR:SYMBOL=552902&amp;VAR:INDEX=0"}</definedName>
    <definedName function="false" hidden="true" name="_146__FDSAUDITLINK__" vbProcedure="false">{"fdsup://Directions/FactSet Auditing Viewer?action=AUDIT_VALUE&amp;DB=129&amp;ID1=710352&amp;VALUEID=01001&amp;SDATE=2009&amp;PERIODTYPE=ANN_STD&amp;window=popup_no_bar&amp;width=385&amp;height=120&amp;START_MAXIMIZED=FALSE&amp;creator=factset&amp;display_string=Audit"}</definedName>
    <definedName function="false" hidden="true" name="_147__123Graph_XCHART_4" vbProcedure="false">#REF!</definedName>
    <definedName function="false" hidden="true" name="_147__FDSAUDITLINK__" vbProcedure="false">{"fdsup://Directions/FactSet Auditing Viewer?action=AUDIT_VALUE&amp;DB=129&amp;ID1=471279&amp;VALUEID=01001&amp;SDATE=2009&amp;PERIODTYPE=ANN_STD&amp;window=popup_no_bar&amp;width=385&amp;height=120&amp;START_MAXIMIZED=FALSE&amp;creator=factset&amp;display_string=Audit"}</definedName>
    <definedName function="false" hidden="true" name="_148__FDSAUDITLINK__" vbProcedure="false">{"fdsup://Directions/FactSet Auditing Viewer?action=AUDIT_VALUE&amp;DB=129&amp;ID1=471279&amp;VALUEID=01001&amp;SDATE=2007&amp;PERIODTYPE=ANN_STD&amp;window=popup_no_bar&amp;width=385&amp;height=120&amp;START_MAXIMIZED=FALSE&amp;creator=factset&amp;display_string=Audit"}</definedName>
    <definedName function="false" hidden="true" name="_149__FDSAUDITLINK__" vbProcedure="false">{"fdsup://Directions/FactSet Auditing Viewer?action=AUDIT_VALUE&amp;DB=129&amp;ID1=549710&amp;VALUEID=01001&amp;SDATE=2009&amp;PERIODTYPE=ANN_STD&amp;window=popup_no_bar&amp;width=385&amp;height=120&amp;START_MAXIMIZED=FALSE&amp;creator=factset&amp;display_string=Audit"}</definedName>
    <definedName function="false" hidden="true" name="_149__0_S" vbProcedure="false">#REF!</definedName>
    <definedName function="false" hidden="true" name="_14ALA642C761" vbProcedure="false">#N/A</definedName>
    <definedName function="false" hidden="true" name="_14__123Graph_AC04C_ALL_L2" vbProcedure="false">#REF!</definedName>
    <definedName function="false" hidden="true" name="_14__123Graph_ACHART_3" vbProcedure="false">#REF!</definedName>
    <definedName function="false" hidden="true" name="_14__123Graph_BCHART_1" vbProcedure="false">#REF!</definedName>
    <definedName function="false" hidden="true" name="_14__123Graph_BCHART_2" vbProcedure="false">#REF!</definedName>
    <definedName function="false" hidden="true" name="_14__123Graph_Bｸﾞﾗﾌ_2" vbProcedure="false">#REF!</definedName>
    <definedName function="false" hidden="true" name="_14__123Graph_CCHART_4" vbProcedure="false">#REF!</definedName>
    <definedName function="false" hidden="true" name="_14__123Graph_CHR_BY_OEM" vbProcedure="false">#REF!</definedName>
    <definedName function="false" hidden="true" name="_14__123Graph_DCHART_1" vbProcedure="false">#REF!</definedName>
    <definedName function="false" hidden="true" name="_14__123Graph_LBL_ACHART_3" vbProcedure="false">#REF!</definedName>
    <definedName function="false" hidden="true" name="_14__123Graph_XCHART_2" vbProcedure="false">#REF!</definedName>
    <definedName function="false" hidden="true" name="_14__123Graph_XCHART_3" vbProcedure="false">#REF!</definedName>
    <definedName function="false" hidden="true" name="_14__123Graph_XChart_3B" vbProcedure="false">#REF!</definedName>
    <definedName function="false" hidden="true" name="_14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150__123Graph_Xｸﾞﾗﾌ_ጻ" vbProcedure="false">#REF!</definedName>
    <definedName function="false" hidden="true" name="_150__FDSAUDITLINK__" vbProcedure="false">{"fdsup://Directions/FactSet Auditing Viewer?action=AUDIT_VALUE&amp;DB=129&amp;ID1=549710&amp;VALUEID=01001&amp;SDATE=2007&amp;PERIODTYPE=ANN_STD&amp;window=popup_no_bar&amp;width=385&amp;height=120&amp;START_MAXIMIZED=FALSE&amp;creator=factset&amp;display_string=Audit"}</definedName>
    <definedName function="false" hidden="true" name="_151__123Graph_Xｸﾞﾗﾌ_1" vbProcedure="false">#REF!</definedName>
    <definedName function="false" hidden="true" name="_151__FDSAUDITLINK__" vbProcedure="false">{"fdsup://directions/FAT Viewer?action=UPDATE&amp;creator=factset&amp;DYN_ARGS=TRUE&amp;DOC_NAME=FAT:FQL_AUDITING_CLIENT_TEMPLATE.FAT&amp;display_string=Audit&amp;VAR:KEY=LSVAZKXEJQ&amp;VAR:QUERY=RkZfRUJJVF9JQihBTk4sMjAwOSwsLFJGLEVVUik=&amp;WINDOW=FIRST_POPUP&amp;HEIGHT=450&amp;WIDTH=450&amp;STAR","T_MAXIMIZED=FALSE&amp;VAR:CALENDAR=FIVEDAY&amp;VAR:SYMBOL=710352&amp;VAR:INDEX=0"}</definedName>
    <definedName function="false" hidden="true" name="_152__FDSAUDITLINK__" vbProcedure="false">{"fdsup://directions/FAT Viewer?action=UPDATE&amp;creator=factset&amp;DYN_ARGS=TRUE&amp;DOC_NAME=FAT:FQL_AUDITING_CLIENT_TEMPLATE.FAT&amp;display_string=Audit&amp;VAR:KEY=VOZABONUJC&amp;VAR:QUERY=RkZfRUJJVF9JQihBTk4sMjAwOCwsLFJGLEVVUik=&amp;WINDOW=FIRST_POPUP&amp;HEIGHT=450&amp;WIDTH=450&amp;STAR","T_MAXIMIZED=FALSE&amp;VAR:CALENDAR=FIVEDAY&amp;VAR:SYMBOL=710352&amp;VAR:INDEX=0"}</definedName>
    <definedName function="false" hidden="true" name="_153__FDSAUDITLINK__" vbProcedure="false">{"fdsup://directions/FAT Viewer?action=UPDATE&amp;creator=factset&amp;DYN_ARGS=TRUE&amp;DOC_NAME=FAT:FQL_AUDITING_CLIENT_TEMPLATE.FAT&amp;display_string=Audit&amp;VAR:KEY=XYZGVOXQPW&amp;VAR:QUERY=RkZfRUJJVF9JQihBTk4sMjAwNywsLFJGLEVVUik=&amp;WINDOW=FIRST_POPUP&amp;HEIGHT=450&amp;WIDTH=450&amp;STAR","T_MAXIMIZED=FALSE&amp;VAR:CALENDAR=FIVEDAY&amp;VAR:SYMBOL=710352&amp;VAR:INDEX=0"}</definedName>
    <definedName function="false" hidden="true" name="_154__123Graph_XCHART_8" vbProcedure="false">#REF!</definedName>
    <definedName function="false" hidden="true" name="_154__FDSAUDITLINK__" vbProcedure="false">{"fdsup://directions/FAT Viewer?action=UPDATE&amp;creator=factset&amp;DYN_ARGS=TRUE&amp;DOC_NAME=FAT:FQL_AUDITING_CLIENT_TEMPLATE.FAT&amp;display_string=Audit&amp;VAR:KEY=CHSJKJSTIN&amp;VAR:QUERY=KChGRl9ERUJUKFFUUiwwLCwsUkYsRVVSKUBGRl9ERUJUKFNFTUksMCwsLFJGLEVVUikpQEZGX0RFQlQoQU5OL","DAsLCxSRixFVVIpKQ==&amp;WINDOW=FIRST_POPUP&amp;HEIGHT=450&amp;WIDTH=450&amp;START_MAXIMIZED=FALSE&amp;VAR:CALENDAR=FIVEDAY&amp;VAR:INDEX=0"}</definedName>
    <definedName function="false" hidden="true" name="_156__FDSAUDITLINK__" vbProcedure="false">{"fdsup://directions/FAT Viewer?action=UPDATE&amp;creator=factset&amp;DYN_ARGS=TRUE&amp;DOC_NAME=FAT:FQL_AUDITING_CLIENT_TEMPLATE.FAT&amp;display_string=Audit&amp;VAR:KEY=GFEFSPONSX&amp;VAR:QUERY=RkZfTkVUX0lOQyhBTk4sMCwsLFJGKQ==&amp;WINDOW=FIRST_POPUP&amp;HEIGHT=450&amp;WIDTH=450&amp;START_MAXIMI","ZED=FALSE&amp;VAR:CALENDAR=FIVEDAY&amp;VAR:SYMBOL=93114210&amp;VAR:INDEX=0"}</definedName>
    <definedName function="false" hidden="true" name="_157__FDSAUDITLINK__" vbProcedure="false">{"fdsup://Directions/FactSet Auditing Viewer?action=AUDIT_VALUE&amp;DB=129&amp;ID1=574852&amp;VALUEID=01001&amp;SDATE=2007&amp;PERIODTYPE=ANN_STD&amp;window=popup_no_bar&amp;width=385&amp;height=120&amp;START_MAXIMIZED=FALSE&amp;creator=factset&amp;display_string=Audit"}</definedName>
    <definedName function="false" hidden="true" name="_1583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584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585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586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587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588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589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158__FDSAUDITLINK__" vbProcedure="false">{"fdsup://Directions/FactSet Auditing Viewer?action=AUDIT_VALUE&amp;DB=129&amp;ID1=34537086&amp;VALUEID=01001&amp;SDATE=2009&amp;PERIODTYPE=ANN_STD&amp;window=popup_no_bar&amp;width=385&amp;height=120&amp;START_MAXIMIZED=FALSE&amp;creator=factset&amp;display_string=Audit"}</definedName>
    <definedName function="false" hidden="true" name="_1590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1591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1592__FDSAUDITLINK__" vbProcedure="false">{"fdsup://directions/FAT Viewer?action=UPDATE&amp;creator=factset&amp;DYN_ARGS=TRUE&amp;DOC_NAME=FAT:FQL_AUDITING_CLIENT_TEMPLATE.FAT&amp;display_string=Audit&amp;VAR:KEY=WDQHINMTUT&amp;VAR:QUERY=RkZfQ0FQRVgoQ0FMLDIwMDksLCwsRVVSKQ==&amp;WINDOW=FIRST_POPUP&amp;HEIGHT=450&amp;WIDTH=450&amp;START_MA","XIMIZED=FALSE&amp;VAR:CALENDAR=FIVEDAY&amp;VAR:SYMBOL=07588710&amp;VAR:INDEX=0"}</definedName>
    <definedName function="false" hidden="true" name="_1593__FDSAUDITLINK__" vbProcedure="false">{"fdsup://directions/FAT Viewer?action=UPDATE&amp;creator=factset&amp;DYN_ARGS=TRUE&amp;DOC_NAME=FAT:FQL_AUDITING_CLIENT_TEMPLATE.FAT&amp;display_string=Audit&amp;VAR:KEY=SDCPUZODCN&amp;VAR:QUERY=RkZfRUJJVERBKENBTCwyMDA5LCwsLEVVUik=&amp;WINDOW=FIRST_POPUP&amp;HEIGHT=450&amp;WIDTH=450&amp;START_MA","XIMIZED=FALSE&amp;VAR:CALENDAR=FIVEDAY&amp;VAR:SYMBOL=GLW&amp;VAR:INDEX=0"}</definedName>
    <definedName function="false" hidden="true" name="_1594__FDSAUDITLINK__" vbProcedure="false">{"fdsup://directions/FAT Viewer?action=UPDATE&amp;creator=factset&amp;DYN_ARGS=TRUE&amp;DOC_NAME=FAT:FQL_AUDITING_CLIENT_TEMPLATE.FAT&amp;display_string=Audit&amp;VAR:KEY=KRQTWRYNGJ&amp;VAR:QUERY=RkZfRUJJVChDQUwsMjAwNywsLCxFVVIp&amp;WINDOW=FIRST_POPUP&amp;HEIGHT=450&amp;WIDTH=450&amp;START_MAXIMI","ZED=FALSE&amp;VAR:CALENDAR=FIVEDAY&amp;VAR:SYMBOL=07588710&amp;VAR:INDEX=0"}</definedName>
    <definedName function="false" hidden="true" name="_1595__FDSAUDITLINK__" vbProcedure="false">{"fdsup://directions/FAT Viewer?action=UPDATE&amp;creator=factset&amp;DYN_ARGS=TRUE&amp;DOC_NAME=FAT:FQL_AUDITING_CLIENT_TEMPLATE.FAT&amp;display_string=Audit&amp;VAR:KEY=SPWTUHWFIF&amp;VAR:QUERY=RkZfRUJJVChDQUwsMjAwOSwsLCxFVVIp&amp;WINDOW=FIRST_POPUP&amp;HEIGHT=450&amp;WIDTH=450&amp;START_MAXIMI","ZED=FALSE&amp;VAR:CALENDAR=FIVEDAY&amp;VAR:SYMBOL=07588710&amp;VAR:INDEX=0"}</definedName>
    <definedName function="false" hidden="true" name="_1596__FDSAUDITLINK__" vbProcedure="false">{"fdsup://directions/FAT Viewer?action=UPDATE&amp;creator=factset&amp;DYN_ARGS=TRUE&amp;DOC_NAME=FAT:FQL_AUDITING_CLIENT_TEMPLATE.FAT&amp;display_string=Audit&amp;VAR:KEY=EPABEHABAZ&amp;VAR:QUERY=RkZfQ0FQRVgoQ0FMLDIwMDcsLCwsRVVSKQ==&amp;WINDOW=FIRST_POPUP&amp;HEIGHT=450&amp;WIDTH=450&amp;START_MA","XIMIZED=FALSE&amp;VAR:CALENDAR=FIVEDAY&amp;VAR:SYMBOL=698534&amp;VAR:INDEX=0"}</definedName>
    <definedName function="false" hidden="true" name="_1597__FDSAUDITLINK__" vbProcedure="false">{"fdsup://directions/FAT Viewer?action=UPDATE&amp;creator=factset&amp;DYN_ARGS=TRUE&amp;DOC_NAME=FAT:FQL_AUDITING_CLIENT_TEMPLATE.FAT&amp;display_string=Audit&amp;VAR:KEY=NYTEDEXURM&amp;VAR:QUERY=RkZfQ0FQRVgoQ0FMLDIwMDgsLCwsRVVSKQ==&amp;WINDOW=FIRST_POPUP&amp;HEIGHT=450&amp;WIDTH=450&amp;START_MA","XIMIZED=FALSE&amp;VAR:CALENDAR=FIVEDAY&amp;VAR:SYMBOL=B0KS38&amp;VAR:INDEX=0"}</definedName>
    <definedName function="false" hidden="true" name="_1598__FDSAUDITLINK__" vbProcedure="false">{"fdsup://directions/FAT Viewer?action=UPDATE&amp;creator=factset&amp;DYN_ARGS=TRUE&amp;DOC_NAME=FAT:FQL_AUDITING_CLIENT_TEMPLATE.FAT&amp;display_string=Audit&amp;VAR:KEY=FQZKHKLWVW&amp;VAR:QUERY=RkZfRUJJVChDQUwsMjAwOSwsLCxFVVIp&amp;WINDOW=FIRST_POPUP&amp;HEIGHT=450&amp;WIDTH=450&amp;START_MAXIMI","ZED=FALSE&amp;VAR:CALENDAR=FIVEDAY&amp;VAR:SYMBOL=516606&amp;VAR:INDEX=0"}</definedName>
    <definedName function="false" hidden="true" name="_1599__FDSAUDITLINK__" vbProcedure="false">{"fdsup://directions/FAT Viewer?action=UPDATE&amp;creator=factset&amp;DYN_ARGS=TRUE&amp;DOC_NAME=FAT:FQL_AUDITING_CLIENT_TEMPLATE.FAT&amp;display_string=Audit&amp;VAR:KEY=AVWFKHWLCH&amp;VAR:QUERY=RkZfQ0FQRVgoQ0FMLDIwMDcsLCwsRVVSKQ==&amp;WINDOW=FIRST_POPUP&amp;HEIGHT=450&amp;WIDTH=450&amp;START_MA","XIMIZED=FALSE&amp;VAR:CALENDAR=FIVEDAY&amp;VAR:SYMBOL=605520&amp;VAR:INDEX=0"}</definedName>
    <definedName function="false" hidden="true" name="_159__FDSAUDITLINK__" vbProcedure="false">{"fdsup://Directions/FactSet Auditing Viewer?action=AUDIT_VALUE&amp;DB=129&amp;ID1=574852&amp;VALUEID=01001&amp;SDATE=2009&amp;PERIODTYPE=ANN_STD&amp;window=popup_no_bar&amp;width=385&amp;height=120&amp;START_MAXIMIZED=FALSE&amp;creator=factset&amp;display_string=Audit"}</definedName>
    <definedName function="false" hidden="true" name="_15ALA642C761" vbProcedure="false">#N/A</definedName>
    <definedName function="false" hidden="true" name="_15__123Graph_AC04C_ALL_T1" vbProcedure="false">#REF!</definedName>
    <definedName function="false" hidden="true" name="_15__123Graph_BCHART_2" vbProcedure="false">#REF!</definedName>
    <definedName function="false" hidden="true" name="_15__123Graph_BCHART_3" vbProcedure="false">#REF!</definedName>
    <definedName function="false" hidden="true" name="_15__123Graph_CCHART_5" vbProcedure="false">#REF!</definedName>
    <definedName function="false" hidden="true" name="_15__123Graph_CUNIT_BY_OEM" vbProcedure="false">#REF!</definedName>
    <definedName function="false" hidden="true" name="_15__123Graph_LBL_ACHART_4" vbProcedure="false">#REF!</definedName>
    <definedName function="false" hidden="true" name="_15__123Graph_XCHART_4" vbProcedure="false">#REF!</definedName>
    <definedName function="false" hidden="true" name="_15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1600__FDSAUDITLINK__" vbProcedure="false">{"fdsup://directions/FAT Viewer?action=UPDATE&amp;creator=factset&amp;DYN_ARGS=TRUE&amp;DOC_NAME=FAT:FQL_AUDITING_CLIENT_TEMPLATE.FAT&amp;display_string=Audit&amp;VAR:KEY=PSFSRORCHS&amp;VAR:QUERY=RkZfQ0FQRVgoQ0FMLDIwMDksLCwsRVVSKQ==&amp;WINDOW=FIRST_POPUP&amp;HEIGHT=450&amp;WIDTH=450&amp;START_MA","XIMIZED=FALSE&amp;VAR:CALENDAR=FIVEDAY&amp;VAR:SYMBOL=516606&amp;VAR:INDEX=0"}</definedName>
    <definedName function="false" hidden="true" name="_1601__FDSAUDITLINK__" vbProcedure="false">{"fdsup://Directions/FactSet Auditing Viewer?action=AUDIT_VALUE&amp;DB=129&amp;ID1=516606&amp;VALUEID=P05202&amp;SDATE=2007&amp;PERIODTYPE=ANN_STD&amp;window=popup_no_bar&amp;width=385&amp;height=120&amp;START_MAXIMIZED=FALSE&amp;creator=factset&amp;display_string=Audit"}</definedName>
    <definedName function="false" hidden="true" name="_1602__FDSAUDITLINK__" vbProcedure="false">{"fdsup://directions/FAT Viewer?action=UPDATE&amp;creator=factset&amp;DYN_ARGS=TRUE&amp;DOC_NAME=FAT:FQL_AUDITING_CLIENT_TEMPLATE.FAT&amp;display_string=Audit&amp;VAR:KEY=ARWFITULYD&amp;VAR:QUERY=RkZfREVCVF9MVChNT04sMCwsLCxFVVIp&amp;WINDOW=FIRST_POPUP&amp;HEIGHT=450&amp;WIDTH=450&amp;START_MAXIMI","ZED=FALSE&amp;VAR:CALENDAR=FIVEDAY&amp;VAR:SYMBOL=MTD&amp;VAR:INDEX=0"}</definedName>
    <definedName function="false" hidden="true" name="_1603__FDSAUDITLINK__" vbProcedure="false">{"fdsup://directions/FAT Viewer?action=UPDATE&amp;creator=factset&amp;DYN_ARGS=TRUE&amp;DOC_NAME=FAT:FQL_AUDITING_CLIENT_TEMPLATE.FAT&amp;display_string=Audit&amp;VAR:KEY=AXANIRKNEB&amp;VAR:QUERY=RkZfREVCVF9MVChNT04sMCwsLCxFVVIp&amp;WINDOW=FIRST_POPUP&amp;HEIGHT=450&amp;WIDTH=450&amp;START_MAXIMI","ZED=FALSE&amp;VAR:CALENDAR=FIVEDAY&amp;VAR:SYMBOL=698534&amp;VAR:INDEX=0"}</definedName>
    <definedName function="false" hidden="true" name="_1604__FDSAUDITLINK__" vbProcedure="false">{"fdsup://directions/FAT Viewer?action=UPDATE&amp;creator=factset&amp;DYN_ARGS=TRUE&amp;DOC_NAME=FAT:FQL_AUDITING_CLIENT_TEMPLATE.FAT&amp;display_string=Audit&amp;VAR:KEY=ULKDCHEVOF&amp;VAR:QUERY=RkZfRUJJVChDQUwsMjAwNywsLCxFVVIp&amp;WINDOW=FIRST_POPUP&amp;HEIGHT=450&amp;WIDTH=450&amp;START_MAXIMI","ZED=FALSE&amp;VAR:CALENDAR=FIVEDAY&amp;VAR:SYMBOL=646706&amp;VAR:INDEX=0"}</definedName>
    <definedName function="false" hidden="true" name="_1605__FDSAUDITLINK__" vbProcedure="false">{"fdsup://directions/FAT Viewer?action=UPDATE&amp;creator=factset&amp;DYN_ARGS=TRUE&amp;DOC_NAME=FAT:FQL_AUDITING_CLIENT_TEMPLATE.FAT&amp;display_string=Audit&amp;VAR:KEY=QRQBSTIHOF&amp;VAR:QUERY=RkZfRUJJVChDQUwsMjAwOSwsLCxFVVIp&amp;WINDOW=FIRST_POPUP&amp;HEIGHT=450&amp;WIDTH=450&amp;START_MAXIMI","ZED=FALSE&amp;VAR:CALENDAR=FIVEDAY&amp;VAR:SYMBOL=223350&amp;VAR:INDEX=0"}</definedName>
    <definedName function="false" hidden="true" name="_1606__FDSAUDITLINK__" vbProcedure="false">{"fdsup://directions/FAT Viewer?action=UPDATE&amp;creator=factset&amp;DYN_ARGS=TRUE&amp;DOC_NAME=FAT:FQL_AUDITING_CLIENT_TEMPLATE.FAT&amp;display_string=Audit&amp;VAR:KEY=UHABOTOTQJ&amp;VAR:QUERY=RkZfRUJJVChDQUwsMjAwOCwsLCxFVVIp&amp;WINDOW=FIRST_POPUP&amp;HEIGHT=450&amp;WIDTH=450&amp;START_MAXIMI","ZED=FALSE&amp;VAR:CALENDAR=FIVEDAY&amp;VAR:SYMBOL=223350&amp;VAR:INDEX=0"}</definedName>
    <definedName function="false" hidden="true" name="_1607__FDSAUDITLINK__" vbProcedure="false">{"fdsup://directions/FAT Viewer?action=UPDATE&amp;creator=factset&amp;DYN_ARGS=TRUE&amp;DOC_NAME=FAT:FQL_AUDITING_CLIENT_TEMPLATE.FAT&amp;display_string=Audit&amp;VAR:KEY=YNIZYDSZYZ&amp;VAR:QUERY=RkZfRUJJVChDQUwsMjAwNywsLCxFVVIp&amp;WINDOW=FIRST_POPUP&amp;HEIGHT=450&amp;WIDTH=450&amp;START_MAXIMI","ZED=FALSE&amp;VAR:CALENDAR=FIVEDAY&amp;VAR:SYMBOL=223350&amp;VAR:INDEX=0"}</definedName>
    <definedName function="false" hidden="true" name="_1608__FDSAUDITLINK__" vbProcedure="false">{"fdsup://directions/FAT Viewer?action=UPDATE&amp;creator=factset&amp;DYN_ARGS=TRUE&amp;DOC_NAME=FAT:FQL_AUDITING_CLIENT_TEMPLATE.FAT&amp;display_string=Audit&amp;VAR:KEY=SNSJUXGLON&amp;VAR:QUERY=RkZfRUJJVChDQUwsMjAwNywsLCxFVVIp&amp;WINDOW=FIRST_POPUP&amp;HEIGHT=450&amp;WIDTH=450&amp;START_MAXIMI","ZED=FALSE&amp;VAR:CALENDAR=FIVEDAY&amp;VAR:SYMBOL=FOE&amp;VAR:INDEX=0"}</definedName>
    <definedName function="false" hidden="true" name="_1609__FDSAUDITLINK__" vbProcedure="false">{"fdsup://directions/FAT Viewer?action=UPDATE&amp;creator=factset&amp;DYN_ARGS=TRUE&amp;DOC_NAME=FAT:FQL_AUDITING_CLIENT_TEMPLATE.FAT&amp;display_string=Audit&amp;VAR:KEY=QDOJAZWVOP&amp;VAR:QUERY=RkZfRUJJVChDQUwsMjAwOCwsLCxFVVIp&amp;WINDOW=FIRST_POPUP&amp;HEIGHT=450&amp;WIDTH=450&amp;START_MAXIMI","ZED=FALSE&amp;VAR:CALENDAR=FIVEDAY&amp;VAR:SYMBOL=FOE&amp;VAR:INDEX=0"}</definedName>
    <definedName function="false" hidden="true" name="_160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1610__FDSAUDITLINK__" vbProcedure="false">{"fdsup://Directions/FactSet Auditing Viewer?action=AUDIT_VALUE&amp;DB=129&amp;ID1=69076840&amp;VALUEID=01001&amp;SDATE=2008&amp;PERIODTYPE=ANN_STD&amp;window=popup_no_bar&amp;width=385&amp;height=120&amp;START_MAXIMIZED=FALSE&amp;creator=factset&amp;display_string=Audit"}</definedName>
    <definedName function="false" hidden="true" name="_1611__FDSAUDITLINK__" vbProcedure="false">{"fdsup://directions/FAT Viewer?action=UPDATE&amp;creator=factset&amp;DYN_ARGS=TRUE&amp;DOC_NAME=FAT:FQL_AUDITING_CLIENT_TEMPLATE.FAT&amp;display_string=Audit&amp;VAR:KEY=UZALCLMDUB&amp;VAR:QUERY=RkZfRUJJVERBKENBTCwyMDA3LCwsLEVVUik=&amp;WINDOW=FIRST_POPUP&amp;HEIGHT=450&amp;WIDTH=450&amp;START_MA","XIMIZED=FALSE&amp;VAR:CALENDAR=FIVEDAY&amp;VAR:SYMBOL=602129&amp;VAR:INDEX=0"}</definedName>
    <definedName function="false" hidden="true" name="_1612__FDSAUDITLINK__" vbProcedure="false">{"fdsup://directions/FAT Viewer?action=UPDATE&amp;creator=factset&amp;DYN_ARGS=TRUE&amp;DOC_NAME=FAT:FQL_AUDITING_CLIENT_TEMPLATE.FAT&amp;display_string=Audit&amp;VAR:KEY=KLGBQXSRGD&amp;VAR:QUERY=RkZfRUJJVERBKENBTCwyMDA5LCwsLEVVUik=&amp;WINDOW=FIRST_POPUP&amp;HEIGHT=450&amp;WIDTH=450&amp;START_MA","XIMIZED=FALSE&amp;VAR:CALENDAR=FIVEDAY&amp;VAR:SYMBOL=698534&amp;VAR:INDEX=0"}</definedName>
    <definedName function="false" hidden="true" name="_1613__FDSAUDITLINK__" vbProcedure="false">{"fdsup://directions/FAT Viewer?action=UPDATE&amp;creator=factset&amp;DYN_ARGS=TRUE&amp;DOC_NAME=FAT:FQL_AUDITING_CLIENT_TEMPLATE.FAT&amp;display_string=Audit&amp;VAR:KEY=CNIPYNWTMP&amp;VAR:QUERY=RkZfRUJJVERBKENBTCwyMDA3LCwsLEVVUik=&amp;WINDOW=FIRST_POPUP&amp;HEIGHT=450&amp;WIDTH=450&amp;START_MA","XIMIZED=FALSE&amp;VAR:CALENDAR=FIVEDAY&amp;VAR:SYMBOL=677120&amp;VAR:INDEX=0"}</definedName>
    <definedName function="false" hidden="true" name="_1614__FDSAUDITLINK__" vbProcedure="false">{"fdsup://directions/FAT Viewer?action=UPDATE&amp;creator=factset&amp;DYN_ARGS=TRUE&amp;DOC_NAME=FAT:FQL_AUDITING_CLIENT_TEMPLATE.FAT&amp;display_string=Audit&amp;VAR:KEY=IZEPMVUNKN&amp;VAR:QUERY=RkZfRUJJVERBKENBTCwyMDA4LCwsLEVVUik=&amp;WINDOW=FIRST_POPUP&amp;HEIGHT=450&amp;WIDTH=450&amp;START_MA","XIMIZED=FALSE&amp;VAR:CALENDAR=FIVEDAY&amp;VAR:SYMBOL=571062&amp;VAR:INDEX=0"}</definedName>
    <definedName function="false" hidden="true" name="_1615__FDSAUDITLINK__" vbProcedure="false">{"fdsup://directions/FAT Viewer?action=UPDATE&amp;creator=factset&amp;DYN_ARGS=TRUE&amp;DOC_NAME=FAT:FQL_AUDITING_CLIENT_TEMPLATE.FAT&amp;display_string=Audit&amp;VAR:KEY=GDMNUBAJWF&amp;VAR:QUERY=RkZfQ0FQRVgoQ0FMLDIwMDksLCwsRVVSKQ==&amp;WINDOW=FIRST_POPUP&amp;HEIGHT=450&amp;WIDTH=450&amp;START_MA","XIMIZED=FALSE&amp;VAR:CALENDAR=FIVEDAY&amp;VAR:SYMBOL=SIAL&amp;VAR:INDEX=0"}</definedName>
    <definedName function="false" hidden="true" name="_1616__FDSAUDITLINK__" vbProcedure="false">{"fdsup://directions/FAT Viewer?action=UPDATE&amp;creator=factset&amp;DYN_ARGS=TRUE&amp;DOC_NAME=FAT:FQL_AUDITING_CLIENT_TEMPLATE.FAT&amp;display_string=Audit&amp;VAR:KEY=SNMHSXQPEX&amp;VAR:QUERY=RkZfQ0FQRVgoQ0FMLDIwMDgsLCwsRVVSKQ==&amp;WINDOW=FIRST_POPUP&amp;HEIGHT=450&amp;WIDTH=450&amp;START_MA","XIMIZED=FALSE&amp;VAR:CALENDAR=FIVEDAY&amp;VAR:SYMBOL=602129&amp;VAR:INDEX=0"}</definedName>
    <definedName function="false" hidden="true" name="_1617__FDSAUDITLINK__" vbProcedure="false">{"fdsup://directions/FAT Viewer?action=UPDATE&amp;creator=factset&amp;DYN_ARGS=TRUE&amp;DOC_NAME=FAT:FQL_AUDITING_CLIENT_TEMPLATE.FAT&amp;display_string=Audit&amp;VAR:KEY=SRSNYZAPIH&amp;VAR:QUERY=RkZfRUJJVERBKENBTCwyMDA3LCwsLEVVUik=&amp;WINDOW=FIRST_POPUP&amp;HEIGHT=450&amp;WIDTH=450&amp;START_MA","XIMIZED=FALSE&amp;VAR:CALENDAR=FIVEDAY&amp;VAR:SYMBOL=667984&amp;VAR:INDEX=0"}</definedName>
    <definedName function="false" hidden="true" name="_1618__FDSAUDITLINK__" vbProcedure="false">{"fdsup://directions/FAT Viewer?action=UPDATE&amp;creator=factset&amp;DYN_ARGS=TRUE&amp;DOC_NAME=FAT:FQL_AUDITING_CLIENT_TEMPLATE.FAT&amp;display_string=Audit&amp;VAR:KEY=VITWXAVYXW&amp;VAR:QUERY=RkZfRUJJVERBKENBTCwyMDA3LCwsLEVVUik=&amp;WINDOW=FIRST_POPUP&amp;HEIGHT=450&amp;WIDTH=450&amp;START_MA","XIMIZED=FALSE&amp;VAR:CALENDAR=FIVEDAY&amp;VAR:SYMBOL=605520&amp;VAR:INDEX=0"}</definedName>
    <definedName function="false" hidden="true" name="_1619__FDSAUDITLINK__" vbProcedure="false">{"fdsup://directions/FAT Viewer?action=UPDATE&amp;creator=factset&amp;DYN_ARGS=TRUE&amp;DOC_NAME=FAT:FQL_AUDITING_CLIENT_TEMPLATE.FAT&amp;display_string=Audit&amp;VAR:KEY=SPURCFWNOR&amp;VAR:QUERY=RkZfRUJJVERBKENBTCwyMDA4LCwsLEVVUik=&amp;WINDOW=FIRST_POPUP&amp;HEIGHT=450&amp;WIDTH=450&amp;START_MA","XIMIZED=FALSE&amp;VAR:CALENDAR=FIVEDAY&amp;VAR:SYMBOL=667984&amp;VAR:INDEX=0"}</definedName>
    <definedName function="false" hidden="true" name="_161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1620__FDSAUDITLINK__" vbProcedure="false">{"fdsup://directions/FAT Viewer?action=UPDATE&amp;creator=factset&amp;DYN_ARGS=TRUE&amp;DOC_NAME=FAT:FQL_AUDITING_CLIENT_TEMPLATE.FAT&amp;display_string=Audit&amp;VAR:KEY=KFEBQVSLKR&amp;VAR:QUERY=RkZfRUJJVERBKENBTCwyMDA4LCwsLEVVUik=&amp;WINDOW=FIRST_POPUP&amp;HEIGHT=450&amp;WIDTH=450&amp;START_MA","XIMIZED=FALSE&amp;VAR:CALENDAR=FIVEDAY&amp;VAR:SYMBOL=677120&amp;VAR:INDEX=0"}</definedName>
    <definedName function="false" hidden="true" name="_1621__FDSAUDITLINK__" vbProcedure="false">{"fdsup://directions/FAT Viewer?action=UPDATE&amp;creator=factset&amp;DYN_ARGS=TRUE&amp;DOC_NAME=FAT:FQL_AUDITING_CLIENT_TEMPLATE.FAT&amp;display_string=Audit&amp;VAR:KEY=KVMTUXKTSP&amp;VAR:QUERY=RkZfREVCVF9MVChNT04sMCwsLCxFVVIp&amp;WINDOW=FIRST_POPUP&amp;HEIGHT=450&amp;WIDTH=450&amp;START_MAXIMI","ZED=FALSE&amp;VAR:CALENDAR=FIVEDAY&amp;VAR:SYMBOL=677120&amp;VAR:INDEX=0"}</definedName>
    <definedName function="false" hidden="true" name="_1622__FDSAUDITLINK__" vbProcedure="false">{"fdsup://directions/FAT Viewer?action=UPDATE&amp;creator=factset&amp;DYN_ARGS=TRUE&amp;DOC_NAME=FAT:FQL_AUDITING_CLIENT_TEMPLATE.FAT&amp;display_string=Audit&amp;VAR:KEY=YNQJIFUFKN&amp;VAR:QUERY=RkZfQ0FQRVgoQ0FMLDIwMDcsLCwsRVVSKQ==&amp;WINDOW=FIRST_POPUP&amp;HEIGHT=450&amp;WIDTH=450&amp;START_MA","XIMIZED=FALSE&amp;VAR:CALENDAR=FIVEDAY&amp;VAR:SYMBOL=667984&amp;VAR:INDEX=0"}</definedName>
    <definedName function="false" hidden="true" name="_1623__FDSAUDITLINK__" vbProcedure="false">{"fdsup://directions/FAT Viewer?action=UPDATE&amp;creator=factset&amp;DYN_ARGS=TRUE&amp;DOC_NAME=FAT:FQL_AUDITING_CLIENT_TEMPLATE.FAT&amp;display_string=Audit&amp;VAR:KEY=IDKTOZEFSB&amp;VAR:QUERY=RkZfRUJJVERBKENBTCwyMDA5LCwsLEVVUik=&amp;WINDOW=FIRST_POPUP&amp;HEIGHT=450&amp;WIDTH=450&amp;START_MA","XIMIZED=FALSE&amp;VAR:CALENDAR=FIVEDAY&amp;VAR:SYMBOL=B0KS38&amp;VAR:INDEX=0"}</definedName>
    <definedName function="false" hidden="true" name="_1624__FDSAUDITLINK__" vbProcedure="false">{"fdsup://directions/FAT Viewer?action=UPDATE&amp;creator=factset&amp;DYN_ARGS=TRUE&amp;DOC_NAME=FAT:FQL_AUDITING_CLIENT_TEMPLATE.FAT&amp;display_string=Audit&amp;VAR:KEY=KJUBKNMDMZ&amp;VAR:QUERY=RkZfRUJJVERBKENBTCwyMDA5LCwsLEVVUik=&amp;WINDOW=FIRST_POPUP&amp;HEIGHT=450&amp;WIDTH=450&amp;START_MA","XIMIZED=FALSE&amp;VAR:CALENDAR=FIVEDAY&amp;VAR:SYMBOL=B1Y47Y&amp;VAR:INDEX=0"}</definedName>
    <definedName function="false" hidden="true" name="_1625__FDSAUDITLINK__" vbProcedure="false">{"fdsup://directions/FAT Viewer?action=UPDATE&amp;creator=factset&amp;DYN_ARGS=TRUE&amp;DOC_NAME=FAT:FQL_AUDITING_CLIENT_TEMPLATE.FAT&amp;display_string=Audit&amp;VAR:KEY=OVGFAJURAL&amp;VAR:QUERY=RkZfQ0FQRVgoQ0FMLDIwMDcsLCwsRVVSKQ==&amp;WINDOW=FIRST_POPUP&amp;HEIGHT=450&amp;WIDTH=450&amp;START_MA","XIMIZED=FALSE&amp;VAR:CALENDAR=FIVEDAY&amp;VAR:SYMBOL=07588710&amp;VAR:INDEX=0"}</definedName>
    <definedName function="false" hidden="true" name="_1626__FDSAUDITLINK__" vbProcedure="false">{"fdsup://directions/FAT Viewer?action=UPDATE&amp;creator=factset&amp;DYN_ARGS=TRUE&amp;DOC_NAME=FAT:FQL_AUDITING_CLIENT_TEMPLATE.FAT&amp;display_string=Audit&amp;VAR:KEY=EHSHYFYJEJ&amp;VAR:QUERY=RkZfRUJJVChDQUwsMjAwNywsLCxFVVIp&amp;WINDOW=FIRST_POPUP&amp;HEIGHT=450&amp;WIDTH=450&amp;START_MAXIMI","ZED=FALSE&amp;VAR:CALENDAR=FIVEDAY&amp;VAR:SYMBOL=GLW&amp;VAR:INDEX=0"}</definedName>
    <definedName function="false" hidden="true" name="_1627__FDSAUDITLINK__" vbProcedure="false">{"fdsup://directions/FAT Viewer?action=UPDATE&amp;creator=factset&amp;DYN_ARGS=TRUE&amp;DOC_NAME=FAT:FQL_AUDITING_CLIENT_TEMPLATE.FAT&amp;display_string=Audit&amp;VAR:KEY=KBIXWTKBWB&amp;VAR:QUERY=RkZfRUJJVERBKENBTCwyMDA4LCwsLEVVUik=&amp;WINDOW=FIRST_POPUP&amp;HEIGHT=450&amp;WIDTH=450&amp;START_MA","XIMIZED=FALSE&amp;VAR:CALENDAR=FIVEDAY&amp;VAR:SYMBOL=605520&amp;VAR:INDEX=0"}</definedName>
    <definedName function="false" hidden="true" name="_1628__FDSAUDITLINK__" vbProcedure="false">{"fdsup://directions/FAT Viewer?action=UPDATE&amp;creator=factset&amp;DYN_ARGS=TRUE&amp;DOC_NAME=FAT:FQL_AUDITING_CLIENT_TEMPLATE.FAT&amp;display_string=Audit&amp;VAR:KEY=STOBITSZSH&amp;VAR:QUERY=RkZfRUJJVERBKENBTCwyMDA3LCwsLEVVUik=&amp;WINDOW=FIRST_POPUP&amp;HEIGHT=450&amp;WIDTH=450&amp;START_MA","XIMIZED=FALSE&amp;VAR:CALENDAR=FIVEDAY&amp;VAR:SYMBOL=605520&amp;VAR:INDEX=0"}</definedName>
    <definedName function="false" hidden="true" name="_1629__FDSAUDITLINK__" vbProcedure="false">{"fdsup://directions/FAT Viewer?action=UPDATE&amp;creator=factset&amp;DYN_ARGS=TRUE&amp;DOC_NAME=FAT:FQL_AUDITING_CLIENT_TEMPLATE.FAT&amp;display_string=Audit&amp;VAR:KEY=QBCFYXALYL&amp;VAR:QUERY=RkZfRUJJVERBKENBTCwyMDA3LCwsLEVVUik=&amp;WINDOW=FIRST_POPUP&amp;HEIGHT=450&amp;WIDTH=450&amp;START_MA","XIMIZED=FALSE&amp;VAR:CALENDAR=FIVEDAY&amp;VAR:SYMBOL=07588710&amp;VAR:INDEX=0"}</definedName>
    <definedName function="false" hidden="true" name="_162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1630__FDSAUDITLINK__" vbProcedure="false">{"fdsup://directions/FAT Viewer?action=UPDATE&amp;creator=factset&amp;DYN_ARGS=TRUE&amp;DOC_NAME=FAT:FQL_AUDITING_CLIENT_TEMPLATE.FAT&amp;display_string=Audit&amp;VAR:KEY=MNMHYHYZMR&amp;VAR:QUERY=RkZfREVCVF9MVChNT04sMCwsLCxFVVIp&amp;WINDOW=FIRST_POPUP&amp;HEIGHT=450&amp;WIDTH=450&amp;START_MAXIMI","ZED=FALSE&amp;VAR:CALENDAR=FIVEDAY&amp;VAR:SYMBOL=TMO&amp;VAR:INDEX=0"}</definedName>
    <definedName function="false" hidden="true" name="_1631__FDSAUDITLINK__" vbProcedure="false">{"fdsup://directions/FAT Viewer?action=UPDATE&amp;creator=factset&amp;DYN_ARGS=TRUE&amp;DOC_NAME=FAT:FQL_AUDITING_CLIENT_TEMPLATE.FAT&amp;display_string=Audit&amp;VAR:KEY=SPKVWHAPKB&amp;VAR:QUERY=RkZfREVCVF9MVChNT04sMCwsLCxFVVIp&amp;WINDOW=FIRST_POPUP&amp;HEIGHT=450&amp;WIDTH=450&amp;START_MAXIMI","ZED=FALSE&amp;VAR:CALENDAR=FIVEDAY&amp;VAR:SYMBOL=667984&amp;VAR:INDEX=0"}</definedName>
    <definedName function="false" hidden="true" name="_1632__FDSAUDITLINK__" vbProcedure="false">{"fdsup://Directions/FactSet Auditing Viewer?action=AUDIT_VALUE&amp;DB=129&amp;ID1=571062&amp;VALUEID=01001&amp;SDATE=2007&amp;PERIODTYPE=ANN_STD&amp;window=popup_no_bar&amp;width=385&amp;height=120&amp;START_MAXIMIZED=FALSE&amp;creator=factset&amp;display_string=Audit"}</definedName>
    <definedName function="false" hidden="true" name="_1633__FDSAUDITLINK__" vbProcedure="false">{"fdsup://Directions/FactSet Auditing Viewer?action=AUDIT_VALUE&amp;DB=129&amp;ID1=571062&amp;VALUEID=01001&amp;SDATE=2009&amp;PERIODTYPE=ANN_STD&amp;window=popup_no_bar&amp;width=385&amp;height=120&amp;START_MAXIMIZED=FALSE&amp;creator=factset&amp;display_string=Audit"}</definedName>
    <definedName function="false" hidden="true" name="_1634__FDSAUDITLINK__" vbProcedure="false">{"fdsup://Directions/FactSet Auditing Viewer?action=AUDIT_VALUE&amp;DB=129&amp;ID1=571062&amp;VALUEID=P05202&amp;SDATE=2007&amp;PERIODTYPE=ANN_STD&amp;window=popup_no_bar&amp;width=385&amp;height=120&amp;START_MAXIMIZED=FALSE&amp;creator=factset&amp;display_string=Audit"}</definedName>
    <definedName function="false" hidden="true" name="_1635__FDSAUDITLINK__" vbProcedure="false">{"fdsup://Directions/FactSet Auditing Viewer?action=AUDIT_VALUE&amp;DB=129&amp;ID1=571062&amp;VALUEID=P05202&amp;SDATE=2009&amp;PERIODTYPE=ANN_STD&amp;window=popup_no_bar&amp;width=385&amp;height=120&amp;START_MAXIMIZED=FALSE&amp;creator=factset&amp;display_string=Audit"}</definedName>
    <definedName function="false" hidden="true" name="_1636__FDSAUDITLINK__" vbProcedure="false">{"fdsup://directions/FAT Viewer?action=UPDATE&amp;creator=factset&amp;DYN_ARGS=TRUE&amp;DOC_NAME=FAT:FQL_AUDITING_CLIENT_TEMPLATE.FAT&amp;display_string=Audit&amp;VAR:KEY=CZKZWTGVAP&amp;VAR:QUERY=RkZfQ0FQRVgoQ0FMLDIwMDgsLCwsRVVSKQ==&amp;WINDOW=FIRST_POPUP&amp;HEIGHT=450&amp;WIDTH=450&amp;START_MA","XIMIZED=FALSE&amp;VAR:CALENDAR=FIVEDAY&amp;VAR:SYMBOL=653031&amp;VAR:INDEX=0"}</definedName>
    <definedName function="false" hidden="true" name="_1637__FDSAUDITLINK__" vbProcedure="false">{"fdsup://Directions/FactSet Auditing Viewer?action=AUDIT_VALUE&amp;DB=129&amp;ID1=88355610&amp;VALUEID=01001&amp;SDATE=2007&amp;PERIODTYPE=ANN_STD&amp;window=popup_no_bar&amp;width=385&amp;height=120&amp;START_MAXIMIZED=FALSE&amp;creator=factset&amp;display_string=Audit"}</definedName>
    <definedName function="false" hidden="true" name="_1638__FDSAUDITLINK__" vbProcedure="false">{"fdsup://directions/FAT Viewer?action=UPDATE&amp;creator=factset&amp;DYN_ARGS=TRUE&amp;DOC_NAME=FAT:FQL_AUDITING_CLIENT_TEMPLATE.FAT&amp;display_string=Audit&amp;VAR:KEY=QVCZITCPEX&amp;VAR:QUERY=RkZfRUJJVChDQUwsMjAwNywsLCxFVVIp&amp;WINDOW=FIRST_POPUP&amp;HEIGHT=450&amp;WIDTH=450&amp;START_MAXIMI","ZED=FALSE&amp;VAR:CALENDAR=FIVEDAY&amp;VAR:SYMBOL=571062&amp;VAR:INDEX=0"}</definedName>
    <definedName function="false" hidden="true" name="_1639__FDSAUDITLINK__" vbProcedure="false">{"fdsup://directions/FAT Viewer?action=UPDATE&amp;creator=factset&amp;DYN_ARGS=TRUE&amp;DOC_NAME=FAT:FQL_AUDITING_CLIENT_TEMPLATE.FAT&amp;display_string=Audit&amp;VAR:KEY=EPIZMREBKV&amp;VAR:QUERY=RkZfQ0FQRVgoQ0FMLDIwMDksLCwsRVVSKQ==&amp;WINDOW=FIRST_POPUP&amp;HEIGHT=450&amp;WIDTH=450&amp;START_MA","XIMIZED=FALSE&amp;VAR:CALENDAR=FIVEDAY&amp;VAR:SYMBOL=516606&amp;VAR:INDEX=0"}</definedName>
    <definedName function="false" hidden="true" name="_163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1640__FDSAUDITLINK__" vbProcedure="false">{"fdsup://directions/FAT Viewer?action=UPDATE&amp;creator=factset&amp;DYN_ARGS=TRUE&amp;DOC_NAME=FAT:FQL_AUDITING_CLIENT_TEMPLATE.FAT&amp;display_string=Audit&amp;VAR:KEY=QTUZMNKTSF&amp;VAR:QUERY=RkZfRUJJVChDQUwsMjAwOCwsLCxFVVIp&amp;WINDOW=FIRST_POPUP&amp;HEIGHT=450&amp;WIDTH=450&amp;START_MAXIMI","ZED=FALSE&amp;VAR:CALENDAR=FIVEDAY&amp;VAR:SYMBOL=602129&amp;VAR:INDEX=0"}</definedName>
    <definedName function="false" hidden="true" name="_1641__FDSAUDITLINK__" vbProcedure="false">{"fdsup://directions/FAT Viewer?action=UPDATE&amp;creator=factset&amp;DYN_ARGS=TRUE&amp;DOC_NAME=FAT:FQL_AUDITING_CLIENT_TEMPLATE.FAT&amp;display_string=Audit&amp;VAR:KEY=ABOZEXUJSB&amp;VAR:QUERY=RkZfRUJJVERBKENBTCwyMDA5LCwsLEVVUik=&amp;WINDOW=FIRST_POPUP&amp;HEIGHT=450&amp;WIDTH=450&amp;START_MA","XIMIZED=FALSE&amp;VAR:CALENDAR=FIVEDAY&amp;VAR:SYMBOL=571062&amp;VAR:INDEX=0"}</definedName>
    <definedName function="false" hidden="true" name="_1642__FDSAUDITLINK__" vbProcedure="false">{"fdsup://directions/FAT Viewer?action=UPDATE&amp;creator=factset&amp;DYN_ARGS=TRUE&amp;DOC_NAME=FAT:FQL_AUDITING_CLIENT_TEMPLATE.FAT&amp;display_string=Audit&amp;VAR:KEY=IZEXYTSDUT&amp;VAR:QUERY=RkZfRUJJVChDQUwsMjAwOSwsLCxFVVIp&amp;WINDOW=FIRST_POPUP&amp;HEIGHT=450&amp;WIDTH=450&amp;START_MAXIMI","ZED=FALSE&amp;VAR:CALENDAR=FIVEDAY&amp;VAR:SYMBOL=602129&amp;VAR:INDEX=0"}</definedName>
    <definedName function="false" hidden="true" name="_1643__FDSAUDITLINK__" vbProcedure="false">{"fdsup://directions/FAT Viewer?action=UPDATE&amp;creator=factset&amp;DYN_ARGS=TRUE&amp;DOC_NAME=FAT:FQL_AUDITING_CLIENT_TEMPLATE.FAT&amp;display_string=Audit&amp;VAR:KEY=WVETSVGNWP&amp;VAR:QUERY=RkZfRUJJVChDQUwsMjAwNywsLCxFVVIp&amp;WINDOW=FIRST_POPUP&amp;HEIGHT=450&amp;WIDTH=450&amp;START_MAXIMI","ZED=FALSE&amp;VAR:CALENDAR=FIVEDAY&amp;VAR:SYMBOL=B0KS38&amp;VAR:INDEX=0"}</definedName>
    <definedName function="false" hidden="true" name="_1644__FDSAUDITLINK__" vbProcedure="false">{"fdsup://directions/FAT Viewer?action=UPDATE&amp;creator=factset&amp;DYN_ARGS=TRUE&amp;DOC_NAME=FAT:FQL_AUDITING_CLIENT_TEMPLATE.FAT&amp;display_string=Audit&amp;VAR:KEY=UBINQBWJOB&amp;VAR:QUERY=RkZfRUJJVERBKENBTCwyMDA4LCwsLEVVUik=&amp;WINDOW=FIRST_POPUP&amp;HEIGHT=450&amp;WIDTH=450&amp;START_MA","XIMIZED=FALSE&amp;VAR:CALENDAR=FIVEDAY&amp;VAR:SYMBOL=B1Y47Y&amp;VAR:INDEX=0"}</definedName>
    <definedName function="false" hidden="true" name="_1645__FDSAUDITLINK__" vbProcedure="false">{"fdsup://directions/FAT Viewer?action=UPDATE&amp;creator=factset&amp;DYN_ARGS=TRUE&amp;DOC_NAME=FAT:FQL_AUDITING_CLIENT_TEMPLATE.FAT&amp;display_string=Audit&amp;VAR:KEY=GDWZKRMHYB&amp;VAR:QUERY=RkZfRUJJVERBKENBTCwyMDA5LCwsLEVVUik=&amp;WINDOW=FIRST_POPUP&amp;HEIGHT=450&amp;WIDTH=450&amp;START_MA","XIMIZED=FALSE&amp;VAR:CALENDAR=FIVEDAY&amp;VAR:SYMBOL=602129&amp;VAR:INDEX=0"}</definedName>
    <definedName function="false" hidden="true" name="_1646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647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648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649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64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1650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651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652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653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654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655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656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657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658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659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65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1660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661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662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663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664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665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666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667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668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669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66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1670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671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672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673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674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675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676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677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678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679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67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1680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681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682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683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684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685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686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687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688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689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68__123Graph_Xｸﾞﾗﾌ_4" vbProcedure="false">#REF!</definedName>
    <definedName function="false" hidden="true" name="_168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1690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691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692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693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694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695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696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697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698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699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69__123Graph_Xｸﾞﾗﾌ_5" vbProcedure="false">#REF!</definedName>
    <definedName function="false" hidden="true" name="_169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16ALA642C761" vbProcedure="false">#N/A</definedName>
    <definedName function="false" hidden="true" name="_16__123Graph_AC04C_ALL_L1" vbProcedure="false">#REF!</definedName>
    <definedName function="false" hidden="true" name="_16__123Graph_AC04C_ALL_T2" vbProcedure="false">#REF!</definedName>
    <definedName function="false" hidden="true" name="_16__123Graph_BCHART_2" vbProcedure="false">#REF!</definedName>
    <definedName function="false" hidden="true" name="_16__123Graph_BCHART_3" vbProcedure="false">#REF!</definedName>
    <definedName function="false" hidden="true" name="_16__123Graph_DCHART_1" vbProcedure="false">#N/A</definedName>
    <definedName function="false" hidden="true" name="_16__123Graph_DCHART_2" vbProcedure="false">#REF!</definedName>
    <definedName function="false" hidden="true" name="_16__123Graph_ECAPITAL_BY_OEM" vbProcedure="false">#REF!</definedName>
    <definedName function="false" hidden="true" name="_16__123Graph_LBL_BCHART_3" vbProcedure="false">#REF!</definedName>
    <definedName function="false" hidden="true" name="_16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1700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701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702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703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704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705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706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707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708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709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70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1710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711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712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713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714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715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716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717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718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719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71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1720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721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722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723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724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725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726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727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728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729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72__FDSAUDITLINK__" vbProcedure="false">{"fdsup://directions/FAT Viewer?action=UPDATE&amp;creator=factset&amp;DYN_ARGS=TRUE&amp;DOC_NAME=FAT:FQL_AUDITING_CLIENT_TEMPLATE.FAT&amp;display_string=Audit&amp;VAR:KEY=HGNCRQBMJG&amp;VAR:QUERY=RkZfRUJJVF9JQihBTk4sMjAwNywsLFJGLEVVUik=&amp;WINDOW=FIRST_POPUP&amp;HEIGHT=450&amp;WIDTH=450&amp;STAR","T_MAXIMIZED=FALSE&amp;VAR:CALENDAR=FIVEDAY&amp;VAR:SYMBOL=552902&amp;VAR:INDEX=0"}</definedName>
    <definedName function="false" hidden="true" name="_1730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731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732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733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734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735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736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737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738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739__FDSAUDITLINK__" vbProcedure="false">{"fdsup://directions/FAT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function="false" hidden="true" name="_173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1740__FDSAUDITLINK__" vbProcedure="false">{"fdsup://directions/FAT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function="false" hidden="true" name="_1741__FDSAUDITLINK__" vbProcedure="false">{"fdsup://directions/FAT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function="false" hidden="true" name="_1742__FDSAUDITLINK__" vbProcedure="false">{"fdsup://directions/FAT Viewer?action=UPDATE&amp;creator=factset&amp;DYN_ARGS=TRUE&amp;DOC_NAME=FAT:FQL_AUDITING_CLIENT_TEMPLATE.FAT&amp;display_string=Audit&amp;VAR:KEY=SFCBSNUDIJ&amp;VAR:QUERY=RkZfQ0FQRVgoQ0FMLDIwMDksLCwsRVVSKQ==&amp;WINDOW=FIRST_POPUP&amp;HEIGHT=450&amp;WIDTH=450&amp;START_MA","XIMIZED=FALSE&amp;VAR:CALENDAR=FIVEDAY&amp;VAR:SYMBOL=TMO&amp;VAR:INDEX=0"}</definedName>
    <definedName function="false" hidden="true" name="_1743__FDSAUDITLINK__" vbProcedure="false">{"fdsup://directions/FAT Viewer?action=UPDATE&amp;creator=factset&amp;DYN_ARGS=TRUE&amp;DOC_NAME=FAT:FQL_AUDITING_CLIENT_TEMPLATE.FAT&amp;display_string=Audit&amp;VAR:KEY=MNCBSPSHMD&amp;VAR:QUERY=RkZfREVCVF9MVChNT04sMCwsLCxFVVIp&amp;WINDOW=FIRST_POPUP&amp;HEIGHT=450&amp;WIDTH=450&amp;START_MAXIMI","ZED=FALSE&amp;VAR:CALENDAR=FIVEDAY&amp;VAR:SYMBOL=653031&amp;VAR:INDEX=0"}</definedName>
    <definedName function="false" hidden="true" name="_1744__FDSAUDITLINK__" vbProcedure="false">{"fdsup://directions/FAT Viewer?action=UPDATE&amp;creator=factset&amp;DYN_ARGS=TRUE&amp;DOC_NAME=FAT:FQL_AUDITING_CLIENT_TEMPLATE.FAT&amp;display_string=Audit&amp;VAR:KEY=CXQRONKDGJ&amp;VAR:QUERY=RkZfREVCVF9MVChNT04sMCwsLCxFVVIp&amp;WINDOW=FIRST_POPUP&amp;HEIGHT=450&amp;WIDTH=450&amp;START_MAXIMI","ZED=FALSE&amp;VAR:CALENDAR=FIVEDAY&amp;VAR:SYMBOL=571062&amp;VAR:INDEX=0"}</definedName>
    <definedName function="false" hidden="true" name="_1745__FDSAUDITLINK__" vbProcedure="false">{"fdsup://directions/FAT Viewer?action=UPDATE&amp;creator=factset&amp;DYN_ARGS=TRUE&amp;DOC_NAME=FAT:FQL_AUDITING_CLIENT_TEMPLATE.FAT&amp;display_string=Audit&amp;VAR:KEY=QJEDUTEDIT&amp;VAR:QUERY=RkZfRUJJVERBKENBTCwyMDA4LCwsLEVVUik=&amp;WINDOW=FIRST_POPUP&amp;HEIGHT=450&amp;WIDTH=450&amp;START_MA","XIMIZED=FALSE&amp;VAR:CALENDAR=FIVEDAY&amp;VAR:SYMBOL=FOE&amp;VAR:INDEX=0"}</definedName>
    <definedName function="false" hidden="true" name="_1746__FDSAUDITLINK__" vbProcedure="false">{"fdsup://directions/FAT Viewer?action=UPDATE&amp;creator=factset&amp;DYN_ARGS=TRUE&amp;DOC_NAME=FAT:FQL_AUDITING_CLIENT_TEMPLATE.FAT&amp;display_string=Audit&amp;VAR:KEY=WTIFGXGDKH&amp;VAR:QUERY=RkZfQ0FQRVgoQ0FMLDIwMDcsLCwsRVVSKQ==&amp;WINDOW=FIRST_POPUP&amp;HEIGHT=450&amp;WIDTH=450&amp;START_MA","XIMIZED=FALSE&amp;VAR:CALENDAR=FIVEDAY&amp;VAR:SYMBOL=OI&amp;VAR:INDEX=0"}</definedName>
    <definedName function="false" hidden="true" name="_1747__FDSAUDITLINK__" vbProcedure="false">{"fdsup://directions/FAT Viewer?action=UPDATE&amp;creator=factset&amp;DYN_ARGS=TRUE&amp;DOC_NAME=FAT:FQL_AUDITING_CLIENT_TEMPLATE.FAT&amp;display_string=Audit&amp;VAR:KEY=SVGBYTUDIF&amp;VAR:QUERY=RkZfRUJJVChDQUwsMjAwOCwsLCxFVVIp&amp;WINDOW=FIRST_POPUP&amp;HEIGHT=450&amp;WIDTH=450&amp;START_MAXIMI","ZED=FALSE&amp;VAR:CALENDAR=FIVEDAY&amp;VAR:SYMBOL=646706&amp;VAR:INDEX=0"}</definedName>
    <definedName function="false" hidden="true" name="_1748__FDSAUDITLINK__" vbProcedure="false">{"fdsup://directions/FAT Viewer?action=UPDATE&amp;creator=factset&amp;DYN_ARGS=TRUE&amp;DOC_NAME=FAT:FQL_AUDITING_CLIENT_TEMPLATE.FAT&amp;display_string=Audit&amp;VAR:KEY=HCBUTCRKZM&amp;VAR:QUERY=RkZfRUJJVERBKENBTCwyMDA4LCwsLEVVUik=&amp;WINDOW=FIRST_POPUP&amp;HEIGHT=450&amp;WIDTH=450&amp;START_MA","XIMIZED=FALSE&amp;VAR:CALENDAR=FIVEDAY&amp;VAR:SYMBOL=646706&amp;VAR:INDEX=0"}</definedName>
    <definedName function="false" hidden="true" name="_1749__FDSAUDITLINK__" vbProcedure="false">{"fdsup://directions/FAT Viewer?action=UPDATE&amp;creator=factset&amp;DYN_ARGS=TRUE&amp;DOC_NAME=FAT:FQL_AUDITING_CLIENT_TEMPLATE.FAT&amp;display_string=Audit&amp;VAR:KEY=HGJYLWTQRM&amp;VAR:QUERY=RkZfRUJJVChDQUwsMjAwOCwsLCxFVVIp&amp;WINDOW=FIRST_POPUP&amp;HEIGHT=450&amp;WIDTH=450&amp;START_MAXIMI","ZED=FALSE&amp;VAR:CALENDAR=FIVEDAY&amp;VAR:SYMBOL=516606&amp;VAR:INDEX=0"}</definedName>
    <definedName function="false" hidden="true" name="_174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1750__FDSAUDITLINK__" vbProcedure="false">{"fdsup://directions/FAT Viewer?action=UPDATE&amp;creator=factset&amp;DYN_ARGS=TRUE&amp;DOC_NAME=FAT:FQL_AUDITING_CLIENT_TEMPLATE.FAT&amp;display_string=Audit&amp;VAR:KEY=VEPIXEVKBW&amp;VAR:QUERY=RkZfRUJJVERBKENBTCwyMDA5LCwsLEVVUik=&amp;WINDOW=FIRST_POPUP&amp;HEIGHT=450&amp;WIDTH=450&amp;START_MA","XIMIZED=FALSE&amp;VAR:CALENDAR=FIVEDAY&amp;VAR:SYMBOL=677120&amp;VAR:INDEX=0"}</definedName>
    <definedName function="false" hidden="true" name="_1751__FDSAUDITLINK__" vbProcedure="false">{"fdsup://directions/FAT Viewer?action=UPDATE&amp;creator=factset&amp;DYN_ARGS=TRUE&amp;DOC_NAME=FAT:FQL_AUDITING_CLIENT_TEMPLATE.FAT&amp;display_string=Audit&amp;VAR:KEY=DWDYLWNCXM&amp;VAR:QUERY=RkZfRUJJVChDQUwsMjAwOCwsLCxFVVIp&amp;WINDOW=FIRST_POPUP&amp;HEIGHT=450&amp;WIDTH=450&amp;START_MAXIMI","ZED=FALSE&amp;VAR:CALENDAR=FIVEDAY&amp;VAR:SYMBOL=677120&amp;VAR:INDEX=0"}</definedName>
    <definedName function="false" hidden="true" name="_1752__FDSAUDITLINK__" vbProcedure="false">{"fdsup://directions/FAT Viewer?action=UPDATE&amp;creator=factset&amp;DYN_ARGS=TRUE&amp;DOC_NAME=FAT:FQL_AUDITING_CLIENT_TEMPLATE.FAT&amp;display_string=Audit&amp;VAR:KEY=ATGJKRWVEP&amp;VAR:QUERY=RkZfRUJJVERBKENBTCwyMDA3LCwsLEVVUik=&amp;WINDOW=FIRST_POPUP&amp;HEIGHT=450&amp;WIDTH=450&amp;START_MA","XIMIZED=FALSE&amp;VAR:CALENDAR=FIVEDAY&amp;VAR:SYMBOL=FOE&amp;VAR:INDEX=0"}</definedName>
    <definedName function="false" hidden="true" name="_1753__FDSAUDITLINK__" vbProcedure="false">{"fdsup://directions/FAT Viewer?action=UPDATE&amp;creator=factset&amp;DYN_ARGS=TRUE&amp;DOC_NAME=FAT:FQL_AUDITING_CLIENT_TEMPLATE.FAT&amp;display_string=Audit&amp;VAR:KEY=FCHUPMHYFE&amp;VAR:QUERY=RkZfRUJJVChDQUwsMjAwOSwsLCxFVVIp&amp;WINDOW=FIRST_POPUP&amp;HEIGHT=450&amp;WIDTH=450&amp;START_MAXIMI","ZED=FALSE&amp;VAR:CALENDAR=FIVEDAY&amp;VAR:SYMBOL=646706&amp;VAR:INDEX=0"}</definedName>
    <definedName function="false" hidden="true" name="_1754__FDSAUDITLINK__" vbProcedure="false">{"fdsup://directions/FAT Viewer?action=UPDATE&amp;creator=factset&amp;DYN_ARGS=TRUE&amp;DOC_NAME=FAT:FQL_AUDITING_CLIENT_TEMPLATE.FAT&amp;display_string=Audit&amp;VAR:KEY=FYBMDQJAPE&amp;VAR:QUERY=RkZfQ0FQRVgoQ0FMLDIwMDksLCwsRVVSKQ==&amp;WINDOW=FIRST_POPUP&amp;HEIGHT=450&amp;WIDTH=450&amp;START_MA","XIMIZED=FALSE&amp;VAR:CALENDAR=FIVEDAY&amp;VAR:SYMBOL=677120&amp;VAR:INDEX=0"}</definedName>
    <definedName function="false" hidden="true" name="_1755__FDSAUDITLINK__" vbProcedure="false">{"fdsup://directions/FAT Viewer?action=UPDATE&amp;creator=factset&amp;DYN_ARGS=TRUE&amp;DOC_NAME=FAT:FQL_AUDITING_CLIENT_TEMPLATE.FAT&amp;display_string=Audit&amp;VAR:KEY=UTCPGRWTYZ&amp;VAR:QUERY=RkZfRUJJVChDQUwsMjAwOSwsLCxFVVIp&amp;WINDOW=FIRST_POPUP&amp;HEIGHT=450&amp;WIDTH=450&amp;START_MAXIMI","ZED=FALSE&amp;VAR:CALENDAR=FIVEDAY&amp;VAR:SYMBOL=SIAL&amp;VAR:INDEX=0"}</definedName>
    <definedName function="false" hidden="true" name="_1756__FDSAUDITLINK__" vbProcedure="false">{"fdsup://directions/FAT Viewer?action=UPDATE&amp;creator=factset&amp;DYN_ARGS=TRUE&amp;DOC_NAME=FAT:FQL_AUDITING_CLIENT_TEMPLATE.FAT&amp;display_string=Audit&amp;VAR:KEY=GFCNKRUVQH&amp;VAR:QUERY=RkZfRUJJVChDQUwsMjAwNywsLCxFVVIp&amp;WINDOW=FIRST_POPUP&amp;HEIGHT=450&amp;WIDTH=450&amp;START_MAXIMI","ZED=FALSE&amp;VAR:CALENDAR=FIVEDAY&amp;VAR:SYMBOL=SIAL&amp;VAR:INDEX=0"}</definedName>
    <definedName function="false" hidden="true" name="_1757__FDSAUDITLINK__" vbProcedure="false">{"fdsup://directions/FAT Viewer?action=UPDATE&amp;creator=factset&amp;DYN_ARGS=TRUE&amp;DOC_NAME=FAT:FQL_AUDITING_CLIENT_TEMPLATE.FAT&amp;display_string=Audit&amp;VAR:KEY=IRIJEPYNKB&amp;VAR:QUERY=RkZfRUJJVChDQUwsMjAwNywsLCxFVVIp&amp;WINDOW=FIRST_POPUP&amp;HEIGHT=450&amp;WIDTH=450&amp;START_MAXIMI","ZED=FALSE&amp;VAR:CALENDAR=FIVEDAY&amp;VAR:SYMBOL=653031&amp;VAR:INDEX=0"}</definedName>
    <definedName function="false" hidden="true" name="_1758__FDSAUDITLINK__" vbProcedure="false">{"fdsup://directions/FAT Viewer?action=UPDATE&amp;creator=factset&amp;DYN_ARGS=TRUE&amp;DOC_NAME=FAT:FQL_AUDITING_CLIENT_TEMPLATE.FAT&amp;display_string=Audit&amp;VAR:KEY=FKHIBWDQXU&amp;VAR:QUERY=RkZfRUJJVChDQUwsMjAwOSwsLCxFVVIp&amp;WINDOW=FIRST_POPUP&amp;HEIGHT=450&amp;WIDTH=450&amp;START_MAXIMI","ZED=FALSE&amp;VAR:CALENDAR=FIVEDAY&amp;VAR:SYMBOL=667984&amp;VAR:INDEX=0"}</definedName>
    <definedName function="false" hidden="true" name="_1759__FDSAUDITLINK__" vbProcedure="false">{"fdsup://directions/FAT Viewer?action=UPDATE&amp;creator=factset&amp;DYN_ARGS=TRUE&amp;DOC_NAME=FAT:FQL_AUDITING_CLIENT_TEMPLATE.FAT&amp;display_string=Audit&amp;VAR:KEY=XORAVGRQPK&amp;VAR:QUERY=RkZfRUJJVERBKENBTCwyMDA4LCwsLEVVUik=&amp;WINDOW=FIRST_POPUP&amp;HEIGHT=450&amp;WIDTH=450&amp;START_MA","XIMIZED=FALSE&amp;VAR:CALENDAR=FIVEDAY&amp;VAR:SYMBOL=677120&amp;VAR:INDEX=0"}</definedName>
    <definedName function="false" hidden="true" name="_175_0Rwvu.Pag" vbProcedure="false">#N/A</definedName>
    <definedName function="false" hidden="true" name="_175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1760__FDSAUDITLINK__" vbProcedure="false">{"fdsup://directions/FAT Viewer?action=UPDATE&amp;creator=factset&amp;DYN_ARGS=TRUE&amp;DOC_NAME=FAT:FQL_AUDITING_CLIENT_TEMPLATE.FAT&amp;display_string=Audit&amp;VAR:KEY=WNGZOXEFIV&amp;VAR:QUERY=RkZfRUJJVERBKENBTCwyMDA4LCwsLEVVUik=&amp;WINDOW=FIRST_POPUP&amp;HEIGHT=450&amp;WIDTH=450&amp;START_MA","XIMIZED=FALSE&amp;VAR:CALENDAR=FIVEDAY&amp;VAR:SYMBOL=653031&amp;VAR:INDEX=0"}</definedName>
    <definedName function="false" hidden="true" name="_1761__FDSAUDITLINK__" vbProcedure="false">{"fdsup://directions/FAT Viewer?action=UPDATE&amp;creator=factset&amp;DYN_ARGS=TRUE&amp;DOC_NAME=FAT:FQL_AUDITING_CLIENT_TEMPLATE.FAT&amp;display_string=Audit&amp;VAR:KEY=IPKXAJCDYL&amp;VAR:QUERY=RkZfRUJJVChDQUwsMjAwNywsLCxFVVIp&amp;WINDOW=FIRST_POPUP&amp;HEIGHT=450&amp;WIDTH=450&amp;START_MAXIMI","ZED=FALSE&amp;VAR:CALENDAR=FIVEDAY&amp;VAR:SYMBOL=677120&amp;VAR:INDEX=0"}</definedName>
    <definedName function="false" hidden="true" name="_1762__FDSAUDITLINK__" vbProcedure="false">{"fdsup://directions/FAT Viewer?action=UPDATE&amp;creator=factset&amp;DYN_ARGS=TRUE&amp;DOC_NAME=FAT:FQL_AUDITING_CLIENT_TEMPLATE.FAT&amp;display_string=Audit&amp;VAR:KEY=WXATAJGLWV&amp;VAR:QUERY=RkZfRUJJVChDQUwsMjAwOSwsLCxFVVIp&amp;WINDOW=FIRST_POPUP&amp;HEIGHT=450&amp;WIDTH=450&amp;START_MAXIMI","ZED=FALSE&amp;VAR:CALENDAR=FIVEDAY&amp;VAR:SYMBOL=677120&amp;VAR:INDEX=0"}</definedName>
    <definedName function="false" hidden="true" name="_1763__FDSAUDITLINK__" vbProcedure="false">{"fdsup://Directions/FactSet Auditing Viewer?action=AUDIT_VALUE&amp;DB=129&amp;ID1=59268810&amp;VALUEID=01001&amp;SDATE=2009&amp;PERIODTYPE=ANN_STD&amp;window=popup_no_bar&amp;width=385&amp;height=120&amp;START_MAXIMIZED=FALSE&amp;creator=factset&amp;display_string=Audit"}</definedName>
    <definedName function="false" hidden="true" name="_1764__FDSAUDITLINK__" vbProcedure="false">{"fdsup://directions/FAT Viewer?action=UPDATE&amp;creator=factset&amp;DYN_ARGS=TRUE&amp;DOC_NAME=FAT:FQL_AUDITING_CLIENT_TEMPLATE.FAT&amp;display_string=Audit&amp;VAR:KEY=VCHWFIVWDM&amp;VAR:QUERY=RkZfQ0FQRVgoQ0FMLDIwMDgsLCwsRVVSKQ==&amp;WINDOW=FIRST_POPUP&amp;HEIGHT=450&amp;WIDTH=450&amp;START_MA","XIMIZED=FALSE&amp;VAR:CALENDAR=FIVEDAY&amp;VAR:SYMBOL=677120&amp;VAR:INDEX=0"}</definedName>
    <definedName function="false" hidden="true" name="_1765__FDSAUDITLINK__" vbProcedure="false">{"fdsup://directions/FAT Viewer?action=UPDATE&amp;creator=factset&amp;DYN_ARGS=TRUE&amp;DOC_NAME=FAT:FQL_AUDITING_CLIENT_TEMPLATE.FAT&amp;display_string=Audit&amp;VAR:KEY=WRWDSHCHOP&amp;VAR:QUERY=RkZfRUJJVERBKENBTCwyMDA3LCwsLEVVUik=&amp;WINDOW=FIRST_POPUP&amp;HEIGHT=450&amp;WIDTH=450&amp;START_MA","XIMIZED=FALSE&amp;VAR:CALENDAR=FIVEDAY&amp;VAR:SYMBOL=606660&amp;VAR:INDEX=0"}</definedName>
    <definedName function="false" hidden="true" name="_1766__FDSAUDITLINK__" vbProcedure="false">{"fdsup://directions/FAT Viewer?action=UPDATE&amp;creator=factset&amp;DYN_ARGS=TRUE&amp;DOC_NAME=FAT:FQL_AUDITING_CLIENT_TEMPLATE.FAT&amp;display_string=Audit&amp;VAR:KEY=WJQTSZOFYL&amp;VAR:QUERY=RkZfRUJJVChDQUwsMjAwOSwsLCxFVVIp&amp;WINDOW=FIRST_POPUP&amp;HEIGHT=450&amp;WIDTH=450&amp;START_MAXIMI","ZED=FALSE&amp;VAR:CALENDAR=FIVEDAY&amp;VAR:SYMBOL=B1Y47Y&amp;VAR:INDEX=0"}</definedName>
    <definedName function="false" hidden="true" name="_1767__FDSAUDITLINK__" vbProcedure="false">{"fdsup://directions/FAT Viewer?action=UPDATE&amp;creator=factset&amp;DYN_ARGS=TRUE&amp;DOC_NAME=FAT:FQL_AUDITING_CLIENT_TEMPLATE.FAT&amp;display_string=Audit&amp;VAR:KEY=SBCPWVCRAF&amp;VAR:QUERY=RkZfQ0FQRVgoQ0FMLDIwMDcsLCwsRVVSKQ==&amp;WINDOW=FIRST_POPUP&amp;HEIGHT=450&amp;WIDTH=450&amp;START_MA","XIMIZED=FALSE&amp;VAR:CALENDAR=FIVEDAY&amp;VAR:SYMBOL=646706&amp;VAR:INDEX=0"}</definedName>
    <definedName function="false" hidden="true" name="_1768__FDSAUDITLINK__" vbProcedure="false">{"fdsup://directions/FAT Viewer?action=UPDATE&amp;creator=factset&amp;DYN_ARGS=TRUE&amp;DOC_NAME=FAT:FQL_AUDITING_CLIENT_TEMPLATE.FAT&amp;display_string=Audit&amp;VAR:KEY=GJMPYHSNWL&amp;VAR:QUERY=RkZfREVCVF9MVChNT04sMCwsLCxFVVIp&amp;WINDOW=FIRST_POPUP&amp;HEIGHT=450&amp;WIDTH=450&amp;START_MAXIMI","ZED=FALSE&amp;VAR:CALENDAR=FIVEDAY&amp;VAR:SYMBOL=B0KS38&amp;VAR:INDEX=0"}</definedName>
    <definedName function="false" hidden="true" name="_1769__FDSAUDITLINK__" vbProcedure="false">{"fdsup://directions/FAT Viewer?action=UPDATE&amp;creator=factset&amp;DYN_ARGS=TRUE&amp;DOC_NAME=FAT:FQL_AUDITING_CLIENT_TEMPLATE.FAT&amp;display_string=Audit&amp;VAR:KEY=CPWJGREBCV&amp;VAR:QUERY=RkZfREVCVF9MVChNT04sMCwsLCxFVVIp&amp;WINDOW=FIRST_POPUP&amp;HEIGHT=450&amp;WIDTH=450&amp;START_MAXIMI","ZED=FALSE&amp;VAR:CALENDAR=FIVEDAY&amp;VAR:SYMBOL=516606&amp;VAR:INDEX=0"}</definedName>
    <definedName function="false" hidden="true" name="_176__FDSAUDITLINK__" vbProcedure="false">{"fdsup://directions/FAT Viewer?action=UPDATE&amp;creator=factset&amp;DYN_ARGS=TRUE&amp;DOC_NAME=FAT:FQL_AUDITING_CLIENT_TEMPLATE.FAT&amp;display_string=Audit&amp;VAR:KEY=HIRCZMXORK&amp;VAR:QUERY=RkZfRUJJVF9JQihBTk4sMjAwOCwsLFJGLEVVUik=&amp;WINDOW=FIRST_POPUP&amp;HEIGHT=450&amp;WIDTH=450&amp;STAR","T_MAXIMIZED=FALSE&amp;VAR:CALENDAR=FIVEDAY&amp;VAR:SYMBOL=575602&amp;VAR:INDEX=0"}</definedName>
    <definedName function="false" hidden="true" name="_1770__FDSAUDITLINK__" vbProcedure="false">{"fdsup://Directions/FactSet Auditing Viewer?action=AUDIT_VALUE&amp;DB=129&amp;ID1=69076840&amp;VALUEID=01001&amp;SDATE=2008&amp;PERIODTYPE=ANN_STD&amp;window=popup_no_bar&amp;width=385&amp;height=120&amp;START_MAXIMIZED=FALSE&amp;creator=factset&amp;display_string=Audit"}</definedName>
    <definedName function="false" hidden="true" name="_1771__FDSAUDITLINK__" vbProcedure="false">{"fdsup://directions/FAT Viewer?action=UPDATE&amp;creator=factset&amp;DYN_ARGS=TRUE&amp;DOC_NAME=FAT:FQL_AUDITING_CLIENT_TEMPLATE.FAT&amp;display_string=Audit&amp;VAR:KEY=ONYLGHKNYF&amp;VAR:QUERY=RkZfQ0FQRVgoQ0FMLDIwMDcsLCwsRVVSKQ==&amp;WINDOW=FIRST_POPUP&amp;HEIGHT=450&amp;WIDTH=450&amp;START_MA","XIMIZED=FALSE&amp;VAR:CALENDAR=FIVEDAY&amp;VAR:SYMBOL=B1Y47Y&amp;VAR:INDEX=0"}</definedName>
    <definedName function="false" hidden="true" name="_1772__FDSAUDITLINK__" vbProcedure="false">{"fdsup://directions/FAT Viewer?action=UPDATE&amp;creator=factset&amp;DYN_ARGS=TRUE&amp;DOC_NAME=FAT:FQL_AUDITING_CLIENT_TEMPLATE.FAT&amp;display_string=Audit&amp;VAR:KEY=YVQBGFGPIF&amp;VAR:QUERY=RkZfREVCVF9MVChNT04sMCwsLCxFVVIp&amp;WINDOW=FIRST_POPUP&amp;HEIGHT=450&amp;WIDTH=450&amp;START_MAXIMI","ZED=FALSE&amp;VAR:CALENDAR=FIVEDAY&amp;VAR:SYMBOL=646706&amp;VAR:INDEX=0"}</definedName>
    <definedName function="false" hidden="true" name="_1773__FDSAUDITLINK__" vbProcedure="false">{"fdsup://directions/FAT Viewer?action=UPDATE&amp;creator=factset&amp;DYN_ARGS=TRUE&amp;DOC_NAME=FAT:FQL_AUDITING_CLIENT_TEMPLATE.FAT&amp;display_string=Audit&amp;VAR:KEY=GHAVQTGFWJ&amp;VAR:QUERY=RkZfQ0FQRVgoQ0FMLDIwMDksLCwsRVVSKQ==&amp;WINDOW=FIRST_POPUP&amp;HEIGHT=450&amp;WIDTH=450&amp;START_MA","XIMIZED=FALSE&amp;VAR:CALENDAR=FIVEDAY&amp;VAR:SYMBOL=223350&amp;VAR:INDEX=0"}</definedName>
    <definedName function="false" hidden="true" name="_1774__FDSAUDITLINK__" vbProcedure="false">{"fdsup://Directions/FactSet Auditing Viewer?action=AUDIT_VALUE&amp;DB=129&amp;ID1=88355610&amp;VALUEID=01001&amp;SDATE=2009&amp;PERIODTYPE=ANN_STD&amp;window=popup_no_bar&amp;width=385&amp;height=120&amp;START_MAXIMIZED=FALSE&amp;creator=factset&amp;display_string=Audit"}</definedName>
    <definedName function="false" hidden="true" name="_1775__FDSAUDITLINK__" vbProcedure="false">{"fdsup://directions/FAT Viewer?action=UPDATE&amp;creator=factset&amp;DYN_ARGS=TRUE&amp;DOC_NAME=FAT:FQL_AUDITING_CLIENT_TEMPLATE.FAT&amp;display_string=Audit&amp;VAR:KEY=LGPQHAXWXW&amp;VAR:QUERY=RkZfQ0FQRVgoQ0FMLDIwMDcsLCwsRVVSKQ==&amp;WINDOW=FIRST_POPUP&amp;HEIGHT=450&amp;WIDTH=450&amp;START_MA","XIMIZED=FALSE&amp;VAR:CALENDAR=FIVEDAY&amp;VAR:SYMBOL=516606&amp;VAR:INDEX=0"}</definedName>
    <definedName function="false" hidden="true" name="_1776__FDSAUDITLINK__" vbProcedure="false">{"fdsup://directions/FAT Viewer?action=UPDATE&amp;creator=factset&amp;DYN_ARGS=TRUE&amp;DOC_NAME=FAT:FQL_AUDITING_CLIENT_TEMPLATE.FAT&amp;display_string=Audit&amp;VAR:KEY=MRUXMXORIZ&amp;VAR:QUERY=RkZfRUJJVERBKENBTCwyMDA3LCwsLEVVUik=&amp;WINDOW=FIRST_POPUP&amp;HEIGHT=450&amp;WIDTH=450&amp;START_MA","XIMIZED=FALSE&amp;VAR:CALENDAR=FIVEDAY&amp;VAR:SYMBOL=571062&amp;VAR:INDEX=0"}</definedName>
    <definedName function="false" hidden="true" name="_1777__FDSAUDITLINK__" vbProcedure="false">{"fdsup://directions/FAT Viewer?action=UPDATE&amp;creator=factset&amp;DYN_ARGS=TRUE&amp;DOC_NAME=FAT:FQL_AUDITING_CLIENT_TEMPLATE.FAT&amp;display_string=Audit&amp;VAR:KEY=IZQRCVIHEF&amp;VAR:QUERY=RkZfREVCVF9MVChNT04sMCwsLCxFVVIp&amp;WINDOW=FIRST_POPUP&amp;HEIGHT=450&amp;WIDTH=450&amp;START_MAXIMI","ZED=FALSE&amp;VAR:CALENDAR=FIVEDAY&amp;VAR:SYMBOL=GLW&amp;VAR:INDEX=0"}</definedName>
    <definedName function="false" hidden="true" name="_1778__FDSAUDITLINK__" vbProcedure="false">{"fdsup://directions/FAT Viewer?action=UPDATE&amp;creator=factset&amp;DYN_ARGS=TRUE&amp;DOC_NAME=FAT:FQL_AUDITING_CLIENT_TEMPLATE.FAT&amp;display_string=Audit&amp;VAR:KEY=FAPSJIPMPK&amp;VAR:QUERY=RkZfRUJJVERBKENBTCwyMDA3LCwsLEVVUik=&amp;WINDOW=FIRST_POPUP&amp;HEIGHT=450&amp;WIDTH=450&amp;START_MA","XIMIZED=FALSE&amp;VAR:CALENDAR=FIVEDAY&amp;VAR:SYMBOL=516606&amp;VAR:INDEX=0"}</definedName>
    <definedName function="false" hidden="true" name="_1779__FDSAUDITLINK__" vbProcedure="false">{"fdsup://directions/FAT Viewer?action=UPDATE&amp;creator=factset&amp;DYN_ARGS=TRUE&amp;DOC_NAME=FAT:FQL_AUDITING_CLIENT_TEMPLATE.FAT&amp;display_string=Audit&amp;VAR:KEY=QPEBKTADIT&amp;VAR:QUERY=RkZfREVCVF9MVChNT04sMCwsLCxFVVIp&amp;WINDOW=FIRST_POPUP&amp;HEIGHT=450&amp;WIDTH=450&amp;START_MAXIMI","ZED=FALSE&amp;VAR:CALENDAR=FIVEDAY&amp;VAR:SYMBOL=B1Y47Y&amp;VAR:INDEX=0"}</definedName>
    <definedName function="false" hidden="true" name="_177__FDSAUDITLINK__" vbProcedure="false">{"fdsup://directions/FAT Viewer?action=UPDATE&amp;creator=factset&amp;DYN_ARGS=TRUE&amp;DOC_NAME=FAT:FQL_AUDITING_CLIENT_TEMPLATE.FAT&amp;display_string=Audit&amp;VAR:KEY=XYJQXOFCFW&amp;VAR:QUERY=RkZfRUJJVF9JQihBTk4sMjAwNywsLFJGLEVVUik=&amp;WINDOW=FIRST_POPUP&amp;HEIGHT=450&amp;WIDTH=450&amp;STAR","T_MAXIMIZED=FALSE&amp;VAR:CALENDAR=FIVEDAY&amp;VAR:SYMBOL=575602&amp;VAR:INDEX=0"}</definedName>
    <definedName function="false" hidden="true" name="_1780__FDSAUDITLINK__" vbProcedure="false">{"fdsup://directions/FAT Viewer?action=UPDATE&amp;creator=factset&amp;DYN_ARGS=TRUE&amp;DOC_NAME=FAT:FQL_AUDITING_CLIENT_TEMPLATE.FAT&amp;display_string=Audit&amp;VAR:KEY=AVURCLCPEF&amp;VAR:QUERY=RkZfRUJJVChDQUwsMjAwOCwsLCxFVVIp&amp;WINDOW=FIRST_POPUP&amp;HEIGHT=450&amp;WIDTH=450&amp;START_MAXIMI","ZED=FALSE&amp;VAR:CALENDAR=FIVEDAY&amp;VAR:SYMBOL=GLW&amp;VAR:INDEX=0"}</definedName>
    <definedName function="false" hidden="true" name="_1781__FDSAUDITLINK__" vbProcedure="false">{"fdsup://directions/FAT Viewer?action=UPDATE&amp;creator=factset&amp;DYN_ARGS=TRUE&amp;DOC_NAME=FAT:FQL_AUDITING_CLIENT_TEMPLATE.FAT&amp;display_string=Audit&amp;VAR:KEY=CPCTCHUDQV&amp;VAR:QUERY=RkZfREVCVF9MVChNT04sMCwsLCxFVVIp&amp;WINDOW=FIRST_POPUP&amp;HEIGHT=450&amp;WIDTH=450&amp;START_MAXIMI","ZED=FALSE&amp;VAR:CALENDAR=FIVEDAY&amp;VAR:SYMBOL=OI&amp;VAR:INDEX=0"}</definedName>
    <definedName function="false" hidden="true" name="_1782__FDSAUDITLINK__" vbProcedure="false">{"fdsup://directions/FAT Viewer?action=UPDATE&amp;creator=factset&amp;DYN_ARGS=TRUE&amp;DOC_NAME=FAT:FQL_AUDITING_CLIENT_TEMPLATE.FAT&amp;display_string=Audit&amp;VAR:KEY=QZUDGXYFYT&amp;VAR:QUERY=RkZfRUJJVERBKENBTCwyMDA5LCwsLEVVUik=&amp;WINDOW=FIRST_POPUP&amp;HEIGHT=450&amp;WIDTH=450&amp;START_MA","XIMIZED=FALSE&amp;VAR:CALENDAR=FIVEDAY&amp;VAR:SYMBOL=667984&amp;VAR:INDEX=0"}</definedName>
    <definedName function="false" hidden="true" name="_1783__FDSAUDITLINK__" vbProcedure="false">{"fdsup://directions/FAT Viewer?action=UPDATE&amp;creator=factset&amp;DYN_ARGS=TRUE&amp;DOC_NAME=FAT:FQL_AUDITING_CLIENT_TEMPLATE.FAT&amp;display_string=Audit&amp;VAR:KEY=HSXADONGTG&amp;VAR:QUERY=RkZfRUJJVChDQUwsMjAwNywsLCxFVVIp&amp;WINDOW=FIRST_POPUP&amp;HEIGHT=450&amp;WIDTH=450&amp;START_MAXIMI","ZED=FALSE&amp;VAR:CALENDAR=FIVEDAY&amp;VAR:SYMBOL=646706&amp;VAR:INDEX=0"}</definedName>
    <definedName function="false" hidden="true" name="_1784__FDSAUDITLINK__" vbProcedure="false">{"fdsup://directions/FAT Viewer?action=UPDATE&amp;creator=factset&amp;DYN_ARGS=TRUE&amp;DOC_NAME=FAT:FQL_AUDITING_CLIENT_TEMPLATE.FAT&amp;display_string=Audit&amp;VAR:KEY=GXWZUROVED&amp;VAR:QUERY=RkZfQ0FQRVgoQ0FMLDIwMDgsLCwsRVVSKQ==&amp;WINDOW=FIRST_POPUP&amp;HEIGHT=450&amp;WIDTH=450&amp;START_MA","XIMIZED=FALSE&amp;VAR:CALENDAR=FIVEDAY&amp;VAR:SYMBOL=07588710&amp;VAR:INDEX=0"}</definedName>
    <definedName function="false" hidden="true" name="_1785__FDSAUDITLINK__" vbProcedure="false">{"fdsup://directions/FAT Viewer?action=UPDATE&amp;creator=factset&amp;DYN_ARGS=TRUE&amp;DOC_NAME=FAT:FQL_AUDITING_CLIENT_TEMPLATE.FAT&amp;display_string=Audit&amp;VAR:KEY=SBMLSDGPKH&amp;VAR:QUERY=RkZfRUJJVERBKENBTCwyMDA5LCwsLEVVUik=&amp;WINDOW=FIRST_POPUP&amp;HEIGHT=450&amp;WIDTH=450&amp;START_MA","XIMIZED=FALSE&amp;VAR:CALENDAR=FIVEDAY&amp;VAR:SYMBOL=646706&amp;VAR:INDEX=0"}</definedName>
    <definedName function="false" hidden="true" name="_1786__FDSAUDITLINK__" vbProcedure="false">{"fdsup://directions/FAT Viewer?action=UPDATE&amp;creator=factset&amp;DYN_ARGS=TRUE&amp;DOC_NAME=FAT:FQL_AUDITING_CLIENT_TEMPLATE.FAT&amp;display_string=Audit&amp;VAR:KEY=INGFOPAPKF&amp;VAR:QUERY=RkZfRUJJVERBKENBTCwyMDA4LCwsLEVVUik=&amp;WINDOW=FIRST_POPUP&amp;HEIGHT=450&amp;WIDTH=450&amp;START_MA","XIMIZED=FALSE&amp;VAR:CALENDAR=FIVEDAY&amp;VAR:SYMBOL=TMO&amp;VAR:INDEX=0"}</definedName>
    <definedName function="false" hidden="true" name="_1787__FDSAUDITLINK__" vbProcedure="false">{"fdsup://directions/FAT Viewer?action=UPDATE&amp;creator=factset&amp;DYN_ARGS=TRUE&amp;DOC_NAME=FAT:FQL_AUDITING_CLIENT_TEMPLATE.FAT&amp;display_string=Audit&amp;VAR:KEY=TAZMVIZGTQ&amp;VAR:QUERY=RkZfRUJJVERBKENBTCwyMDA5LCwsLEVVUik=&amp;WINDOW=FIRST_POPUP&amp;HEIGHT=450&amp;WIDTH=450&amp;START_MA","XIMIZED=FALSE&amp;VAR:CALENDAR=FIVEDAY&amp;VAR:SYMBOL=B1XHN3&amp;VAR:INDEX=0"}</definedName>
    <definedName function="false" hidden="true" name="_1788__FDSAUDITLINK__" vbProcedure="false">{"fdsup://directions/FAT Viewer?action=UPDATE&amp;creator=factset&amp;DYN_ARGS=TRUE&amp;DOC_NAME=FAT:FQL_AUDITING_CLIENT_TEMPLATE.FAT&amp;display_string=Audit&amp;VAR:KEY=WBYVKBALEF&amp;VAR:QUERY=RkZfQ0FQRVgoQ0FMLDIwMDcsLCwsRVVSKQ==&amp;WINDOW=FIRST_POPUP&amp;HEIGHT=450&amp;WIDTH=450&amp;START_MA","XIMIZED=FALSE&amp;VAR:CALENDAR=FIVEDAY&amp;VAR:SYMBOL=B0KS38&amp;VAR:INDEX=0"}</definedName>
    <definedName function="false" hidden="true" name="_1789__FDSAUDITLINK__" vbProcedure="false">{"fdsup://directions/FAT Viewer?action=UPDATE&amp;creator=factset&amp;DYN_ARGS=TRUE&amp;DOC_NAME=FAT:FQL_AUDITING_CLIENT_TEMPLATE.FAT&amp;display_string=Audit&amp;VAR:KEY=TGHOHYTEBM&amp;VAR:QUERY=RkZfRUJJVChDQUwsMjAwOCwsLCxFVVIp&amp;WINDOW=FIRST_POPUP&amp;HEIGHT=450&amp;WIDTH=450&amp;START_MAXIMI","ZED=FALSE&amp;VAR:CALENDAR=FIVEDAY&amp;VAR:SYMBOL=OI&amp;VAR:INDEX=0"}</definedName>
    <definedName function="false" hidden="true" name="_178__FDSAUDITLINK__" vbProcedure="false">{"fdsup://directions/FAT Viewer?action=UPDATE&amp;creator=factset&amp;DYN_ARGS=TRUE&amp;DOC_NAME=FAT:FQL_AUDITING_CLIENT_TEMPLATE.FAT&amp;display_string=Audit&amp;VAR:KEY=PYJIBGXONK&amp;VAR:QUERY=RkZfRUJJVF9JQihBTk4sMjAwOSwsLFJGLEVVUik=&amp;WINDOW=FIRST_POPUP&amp;HEIGHT=450&amp;WIDTH=450&amp;STAR","T_MAXIMIZED=FALSE&amp;VAR:CALENDAR=FIVEDAY&amp;VAR:SYMBOL=552902&amp;VAR:INDEX=0"}</definedName>
    <definedName function="false" hidden="true" name="_1790__FDSAUDITLINK__" vbProcedure="false">{"fdsup://directions/FAT Viewer?action=UPDATE&amp;creator=factset&amp;DYN_ARGS=TRUE&amp;DOC_NAME=FAT:FQL_AUDITING_CLIENT_TEMPLATE.FAT&amp;display_string=Audit&amp;VAR:KEY=LKVKFIFYTS&amp;VAR:QUERY=RkZfRUJJVERBKENBTCwyMDA4LCwsLEVVUik=&amp;WINDOW=FIRST_POPUP&amp;HEIGHT=450&amp;WIDTH=450&amp;START_MA","XIMIZED=FALSE&amp;VAR:CALENDAR=FIVEDAY&amp;VAR:SYMBOL=B1XHN3&amp;VAR:INDEX=0"}</definedName>
    <definedName function="false" hidden="true" name="_1791__FDSAUDITLINK__" vbProcedure="false">{"fdsup://Directions/FactSet Auditing Viewer?action=AUDIT_VALUE&amp;DB=129&amp;ID1=677120&amp;VALUEID=01001&amp;SDATE=2009&amp;PERIODTYPE=ANN_STD&amp;window=popup_no_bar&amp;width=385&amp;height=120&amp;START_MAXIMIZED=FALSE&amp;creator=factset&amp;display_string=Audit"}</definedName>
    <definedName function="false" hidden="true" name="_1792__FDSAUDITLINK__" vbProcedure="false">{"fdsup://directions/FAT Viewer?action=UPDATE&amp;creator=factset&amp;DYN_ARGS=TRUE&amp;DOC_NAME=FAT:FQL_AUDITING_CLIENT_TEMPLATE.FAT&amp;display_string=Audit&amp;VAR:KEY=JKZABSVAZC&amp;VAR:QUERY=RkZfQ0FQRVgoQ0FMLDIwMDgsLCwsRVVSKQ==&amp;WINDOW=FIRST_POPUP&amp;HEIGHT=450&amp;WIDTH=450&amp;START_MA","XIMIZED=FALSE&amp;VAR:CALENDAR=FIVEDAY&amp;VAR:SYMBOL=516606&amp;VAR:INDEX=0"}</definedName>
    <definedName function="false" hidden="true" name="_1793__FDSAUDITLINK__" vbProcedure="false">{"fdsup://directions/FAT Viewer?action=UPDATE&amp;creator=factset&amp;DYN_ARGS=TRUE&amp;DOC_NAME=FAT:FQL_AUDITING_CLIENT_TEMPLATE.FAT&amp;display_string=Audit&amp;VAR:KEY=SBCPWVCRAF&amp;VAR:QUERY=RkZfQ0FQRVgoQ0FMLDIwMDcsLCwsRVVSKQ==&amp;WINDOW=FIRST_POPUP&amp;HEIGHT=450&amp;WIDTH=450&amp;START_MA","XIMIZED=FALSE&amp;VAR:CALENDAR=FIVEDAY&amp;VAR:SYMBOL=646706&amp;VAR:INDEX=0"}</definedName>
    <definedName function="false" hidden="true" name="_1794__FDSAUDITLINK__" vbProcedure="false">{"fdsup://Directions/FactSet Auditing Viewer?action=AUDIT_VALUE&amp;DB=129&amp;ID1=69076840&amp;VALUEID=01001&amp;SDATE=2009&amp;PERIODTYPE=ANN_STD&amp;window=popup_no_bar&amp;width=385&amp;height=120&amp;START_MAXIMIZED=FALSE&amp;creator=factset&amp;display_string=Audit"}</definedName>
    <definedName function="false" hidden="true" name="_1795__FDSAUDITLINK__" vbProcedure="false">{"fdsup://directions/FAT Viewer?action=UPDATE&amp;creator=factset&amp;DYN_ARGS=TRUE&amp;DOC_NAME=FAT:FQL_AUDITING_CLIENT_TEMPLATE.FAT&amp;display_string=Audit&amp;VAR:KEY=MXEJYJAZAD&amp;VAR:QUERY=RkZfRUJJVChDQUwsMjAwOCwsLCxFVVIp&amp;WINDOW=FIRST_POPUP&amp;HEIGHT=450&amp;WIDTH=450&amp;START_MAXIMI","ZED=FALSE&amp;VAR:CALENDAR=FIVEDAY&amp;VAR:SYMBOL=SIAL&amp;VAR:INDEX=0"}</definedName>
    <definedName function="false" hidden="true" name="_1796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797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798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799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79__FDSAUDITLINK__" vbProcedure="false">{"fdsup://directions/FAT Viewer?action=UPDATE&amp;creator=factset&amp;DYN_ARGS=TRUE&amp;DOC_NAME=FAT:FQL_AUDITING_CLIENT_TEMPLATE.FAT&amp;display_string=Audit&amp;VAR:KEY=HINYVWDOLC&amp;VAR:QUERY=RkZfRUJJVF9JQihBTk4sMjAwOCwsLFJGLEVVUik=&amp;WINDOW=FIRST_POPUP&amp;HEIGHT=450&amp;WIDTH=450&amp;STAR","T_MAXIMIZED=FALSE&amp;VAR:CALENDAR=FIVEDAY&amp;VAR:SYMBOL=552902&amp;VAR:INDEX=0"}</definedName>
    <definedName function="false" hidden="true" name="_17ALA642C761" vbProcedure="false">#N/A</definedName>
    <definedName function="false" hidden="true" name="_17__123Graph_AC04C_ALL_L2" vbProcedure="false">#REF!</definedName>
    <definedName function="false" hidden="true" name="_17__123Graph_AC04C_FF_L" vbProcedure="false">#REF!</definedName>
    <definedName function="false" hidden="true" name="_17__123Graph_DCHART_1" vbProcedure="false">#REF!</definedName>
    <definedName function="false" hidden="true" name="_17__123Graph_DCHART_2" vbProcedure="false">#REF!</definedName>
    <definedName function="false" hidden="true" name="_17__123Graph_DCHART_3" vbProcedure="false">#REF!</definedName>
    <definedName function="false" hidden="true" name="_17__123Graph_EHR_BY_OEM" vbProcedure="false">#REF!</definedName>
    <definedName function="false" hidden="true" name="_17__123Graph_LBL_BCHART_4" vbProcedure="false">#REF!</definedName>
    <definedName function="false" hidden="true" name="_17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1800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01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02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03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04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05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06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07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08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09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0__FDSAUDITLINK__" vbProcedure="false">{"fdsup://directions/FAT Viewer?action=UPDATE&amp;creator=factset&amp;DYN_ARGS=TRUE&amp;DOC_NAME=FAT:FQL_AUDITING_CLIENT_TEMPLATE.FAT&amp;display_string=Audit&amp;VAR:KEY=LWROTGFMRS&amp;VAR:QUERY=RkZfRUJJVF9JQihBTk4sMjAwNywsLFJGLEVVUik=&amp;WINDOW=FIRST_POPUP&amp;HEIGHT=450&amp;WIDTH=450&amp;STAR","T_MAXIMIZED=FALSE&amp;VAR:CALENDAR=FIVEDAY&amp;VAR:SYMBOL=471279&amp;VAR:INDEX=0"}</definedName>
    <definedName function="false" hidden="true" name="_1810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11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12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13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14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15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16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17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18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19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1__FDSAUDITLINK__" vbProcedure="false">{"fdsup://directions/FAT Viewer?action=UPDATE&amp;creator=factset&amp;DYN_ARGS=TRUE&amp;DOC_NAME=FAT:FQL_AUDITING_CLIENT_TEMPLATE.FAT&amp;display_string=Audit&amp;VAR:KEY=ZODWHUVGVW&amp;VAR:QUERY=RkZfRUJJVF9JQihBTk4sMjAwOSwsLFJGLEVVUik=&amp;WINDOW=FIRST_POPUP&amp;HEIGHT=450&amp;WIDTH=450&amp;STAR","T_MAXIMIZED=FALSE&amp;VAR:CALENDAR=FIVEDAY&amp;VAR:SYMBOL=549710&amp;VAR:INDEX=0"}</definedName>
    <definedName function="false" hidden="true" name="_1820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21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22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23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24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25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26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27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28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29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2__FDSAUDITLINK__" vbProcedure="false">{"fdsup://directions/FAT Viewer?action=UPDATE&amp;creator=factset&amp;DYN_ARGS=TRUE&amp;DOC_NAME=FAT:FQL_AUDITING_CLIENT_TEMPLATE.FAT&amp;display_string=Audit&amp;VAR:KEY=JGHURQPYNM&amp;VAR:QUERY=RkZfRUJJVF9JQihBTk4sMjAwOCwsLFJGLEVVUik=&amp;WINDOW=FIRST_POPUP&amp;HEIGHT=450&amp;WIDTH=450&amp;STAR","T_MAXIMIZED=FALSE&amp;VAR:CALENDAR=FIVEDAY&amp;VAR:SYMBOL=549710&amp;VAR:INDEX=0"}</definedName>
    <definedName function="false" hidden="true" name="_1830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31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32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33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34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35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36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37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38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39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3__FDSAUDITLINK__" vbProcedure="false">{"fdsup://directions/FAT Viewer?action=UPDATE&amp;creator=factset&amp;DYN_ARGS=TRUE&amp;DOC_NAME=FAT:FQL_AUDITING_CLIENT_TEMPLATE.FAT&amp;display_string=Audit&amp;VAR:KEY=JSLWTABADM&amp;VAR:QUERY=RkZfRUJJVF9JQihBTk4sMjAwNywsLFJGLEVVUik=&amp;WINDOW=FIRST_POPUP&amp;HEIGHT=450&amp;WIDTH=450&amp;STAR","T_MAXIMIZED=FALSE&amp;VAR:CALENDAR=FIVEDAY&amp;VAR:SYMBOL=549710&amp;VAR:INDEX=0"}</definedName>
    <definedName function="false" hidden="true" name="_1840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41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42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43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44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45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46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47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48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49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4__FDSAUDITLINK__" vbProcedure="false">{"fdsup://directions/FAT Viewer?action=UPDATE&amp;creator=factset&amp;DYN_ARGS=TRUE&amp;DOC_NAME=FAT:FQL_AUDITING_CLIENT_TEMPLATE.FAT&amp;display_string=Audit&amp;VAR:KEY=PMPANYXIRE&amp;VAR:QUERY=RkZfRUJJVF9JQihBTk4sMjAwOSwsLFJGLEVVUik=&amp;WINDOW=FIRST_POPUP&amp;HEIGHT=450&amp;WIDTH=450&amp;STAR","T_MAXIMIZED=FALSE&amp;VAR:CALENDAR=FIVEDAY&amp;VAR:SYMBOL=574852&amp;VAR:INDEX=0"}</definedName>
    <definedName function="false" hidden="true" name="_1850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51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52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53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54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55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56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57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58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59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5__FDSAUDITLINK__" vbProcedure="false">{"fdsup://directions/FAT Viewer?action=UPDATE&amp;creator=factset&amp;DYN_ARGS=TRUE&amp;DOC_NAME=FAT:FQL_AUDITING_CLIENT_TEMPLATE.FAT&amp;display_string=Audit&amp;VAR:KEY=LGZQXGNOFI&amp;VAR:QUERY=RkZfRUJJVF9JQihBTk4sMjAwOCwsLFJGLEVVUik=&amp;WINDOW=FIRST_POPUP&amp;HEIGHT=450&amp;WIDTH=450&amp;STAR","T_MAXIMIZED=FALSE&amp;VAR:CALENDAR=FIVEDAY&amp;VAR:SYMBOL=574852&amp;VAR:INDEX=0"}</definedName>
    <definedName function="false" hidden="true" name="_1860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61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62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63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64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65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66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67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68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69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6__FDSAUDITLINK__" vbProcedure="false">{"fdsup://directions/FAT Viewer?action=UPDATE&amp;creator=factset&amp;DYN_ARGS=TRUE&amp;DOC_NAME=FAT:FQL_AUDITING_CLIENT_TEMPLATE.FAT&amp;display_string=Audit&amp;VAR:KEY=TCNOHKJMVQ&amp;VAR:QUERY=RkZfRUJJVF9JQihBTk4sMjAwNywsLFJGLEVVUik=&amp;WINDOW=FIRST_POPUP&amp;HEIGHT=450&amp;WIDTH=450&amp;STAR","T_MAXIMIZED=FALSE&amp;VAR:CALENDAR=FIVEDAY&amp;VAR:SYMBOL=574852&amp;VAR:INDEX=0"}</definedName>
    <definedName function="false" hidden="true" name="_1870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71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72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73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74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75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76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77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78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79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7__FDSAUDITLINK__" vbProcedure="false">{"fdsup://directions/FAT Viewer?action=UPDATE&amp;creator=factset&amp;DYN_ARGS=TRUE&amp;DOC_NAME=FAT:FQL_AUDITING_CLIENT_TEMPLATE.FAT&amp;display_string=Audit&amp;VAR:KEY=NGFUXOXKVW&amp;VAR:QUERY=RkZfRUJJVF9JQihBTk4sMjAwOSwsLFJGLEVVUik=&amp;WINDOW=FIRST_POPUP&amp;HEIGHT=450&amp;WIDTH=450&amp;STAR","T_MAXIMIZED=FALSE&amp;VAR:CALENDAR=FIVEDAY&amp;VAR:SYMBOL=34537086&amp;VAR:INDEX=0"}</definedName>
    <definedName function="false" hidden="true" name="_1880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81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82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83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84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85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86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87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88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89__FDSAUDITLINK__" vbProcedure="false">{"fdsup://directions/FAT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function="false" hidden="true" name="_188__FDSAUDITLINK__" vbProcedure="false">{"fdsup://directions/FAT Viewer?action=UPDATE&amp;creator=factset&amp;DYN_ARGS=TRUE&amp;DOC_NAME=FAT:FQL_AUDITING_CLIENT_TEMPLATE.FAT&amp;display_string=Audit&amp;VAR:KEY=BYFIROHARE&amp;VAR:QUERY=RkZfRUJJVF9JQihBTk4sMjAwOCwsLFJGLEVVUik=&amp;WINDOW=FIRST_POPUP&amp;HEIGHT=450&amp;WIDTH=450&amp;STAR","T_MAXIMIZED=FALSE&amp;VAR:CALENDAR=FIVEDAY&amp;VAR:SYMBOL=34537086&amp;VAR:INDEX=0"}</definedName>
    <definedName function="false" hidden="true" name="_1890__FDSAUDITLINK__" vbProcedure="false">{"fdsup://directions/FAT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function="false" hidden="true" name="_1891__FDSAUDITLINK__" vbProcedure="false">{"fdsup://directions/FAT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function="false" hidden="true" name="_1892__FDSAUDITLINK__" vbProcedure="false">{"fdsup://directions/FAT Viewer?action=UPDATE&amp;creator=factset&amp;DYN_ARGS=TRUE&amp;DOC_NAME=FAT:FQL_AUDITING_CLIENT_TEMPLATE.FAT&amp;display_string=Audit&amp;VAR:KEY=MVUJGHYNAR&amp;VAR:QUERY=RkZfRUJJVChDQUwsMjAwNywsLCxFVVIp&amp;WINDOW=FIRST_POPUP&amp;HEIGHT=450&amp;WIDTH=450&amp;START_MAXIMI","ZED=FALSE&amp;VAR:CALENDAR=FIVEDAY&amp;VAR:SYMBOL=602129&amp;VAR:INDEX=0"}</definedName>
    <definedName function="false" hidden="true" name="_1893__FDSAUDITLINK__" vbProcedure="false">{"fdsup://directions/FAT Viewer?action=UPDATE&amp;creator=factset&amp;DYN_ARGS=TRUE&amp;DOC_NAME=FAT:FQL_AUDITING_CLIENT_TEMPLATE.FAT&amp;display_string=Audit&amp;VAR:KEY=MPUDWRIVKR&amp;VAR:QUERY=RkZfRUJJVERBKENBTCwyMDA5LCwsLEVVUik=&amp;WINDOW=FIRST_POPUP&amp;HEIGHT=450&amp;WIDTH=450&amp;START_MA","XIMIZED=FALSE&amp;VAR:CALENDAR=FIVEDAY&amp;VAR:SYMBOL=SIAL&amp;VAR:INDEX=0"}</definedName>
    <definedName function="false" hidden="true" name="_1894__FDSAUDITLINK__" vbProcedure="false">{"fdsup://directions/FAT Viewer?action=UPDATE&amp;creator=factset&amp;DYN_ARGS=TRUE&amp;DOC_NAME=FAT:FQL_AUDITING_CLIENT_TEMPLATE.FAT&amp;display_string=Audit&amp;VAR:KEY=SNITCRIDKV&amp;VAR:QUERY=RkZfREVCVF9MVChNT04sMCwsLCxFVVIp&amp;WINDOW=FIRST_POPUP&amp;HEIGHT=450&amp;WIDTH=450&amp;START_MAXIMI","ZED=FALSE&amp;VAR:CALENDAR=FIVEDAY&amp;VAR:SYMBOL=546672&amp;VAR:INDEX=0"}</definedName>
    <definedName function="false" hidden="true" name="_1895__FDSAUDITLINK__" vbProcedure="false">{"fdsup://directions/FAT Viewer?action=UPDATE&amp;creator=factset&amp;DYN_ARGS=TRUE&amp;DOC_NAME=FAT:FQL_AUDITING_CLIENT_TEMPLATE.FAT&amp;display_string=Audit&amp;VAR:KEY=OVYHKVERKP&amp;VAR:QUERY=RkZfREVCVF9MVChNT04sMCwsLCxFVVIp&amp;WINDOW=FIRST_POPUP&amp;HEIGHT=450&amp;WIDTH=450&amp;START_MAXIMI","ZED=FALSE&amp;VAR:CALENDAR=FIVEDAY&amp;VAR:SYMBOL=606660&amp;VAR:INDEX=0"}</definedName>
    <definedName function="false" hidden="true" name="_1896__FDSAUDITLINK__" vbProcedure="false">{"fdsup://directions/FAT Viewer?action=UPDATE&amp;creator=factset&amp;DYN_ARGS=TRUE&amp;DOC_NAME=FAT:FQL_AUDITING_CLIENT_TEMPLATE.FAT&amp;display_string=Audit&amp;VAR:KEY=WDKTOZMFSZ&amp;VAR:QUERY=RkZfRUJJVERBKENBTCwyMDA5LCwsLEVVUik=&amp;WINDOW=FIRST_POPUP&amp;HEIGHT=450&amp;WIDTH=450&amp;START_MA","XIMIZED=FALSE&amp;VAR:CALENDAR=FIVEDAY&amp;VAR:SYMBOL=FOE&amp;VAR:INDEX=0"}</definedName>
    <definedName function="false" hidden="true" name="_1897__FDSAUDITLINK__" vbProcedure="false">{"fdsup://directions/FAT Viewer?action=UPDATE&amp;creator=factset&amp;DYN_ARGS=TRUE&amp;DOC_NAME=FAT:FQL_AUDITING_CLIENT_TEMPLATE.FAT&amp;display_string=Audit&amp;VAR:KEY=GLMFCZQXEN&amp;VAR:QUERY=RkZfRUJJVChDQUwsMjAwOSwsLCxFVVIp&amp;WINDOW=FIRST_POPUP&amp;HEIGHT=450&amp;WIDTH=450&amp;START_MAXIMI","ZED=FALSE&amp;VAR:CALENDAR=FIVEDAY&amp;VAR:SYMBOL=GLW&amp;VAR:INDEX=0"}</definedName>
    <definedName function="false" hidden="true" name="_1898__FDSAUDITLINK__" vbProcedure="false">{"fdsup://directions/FAT Viewer?action=UPDATE&amp;creator=factset&amp;DYN_ARGS=TRUE&amp;DOC_NAME=FAT:FQL_AUDITING_CLIENT_TEMPLATE.FAT&amp;display_string=Audit&amp;VAR:KEY=HWNWPEVANU&amp;VAR:QUERY=RkZfRUJJVERBKENBTCwyMDA3LCwsLEVVUik=&amp;WINDOW=FIRST_POPUP&amp;HEIGHT=450&amp;WIDTH=450&amp;START_MA","XIMIZED=FALSE&amp;VAR:CALENDAR=FIVEDAY&amp;VAR:SYMBOL=B0KS38&amp;VAR:INDEX=0"}</definedName>
    <definedName function="false" hidden="true" name="_1899__FDSAUDITLINK__" vbProcedure="false">{"fdsup://directions/FAT Viewer?action=UPDATE&amp;creator=factset&amp;DYN_ARGS=TRUE&amp;DOC_NAME=FAT:FQL_AUDITING_CLIENT_TEMPLATE.FAT&amp;display_string=Audit&amp;VAR:KEY=YFEFUXIJIH&amp;VAR:QUERY=RkZfQ0FQRVgoQ0FMLDIwMDgsLCwsRVVSKQ==&amp;WINDOW=FIRST_POPUP&amp;HEIGHT=450&amp;WIDTH=450&amp;START_MA","XIMIZED=FALSE&amp;VAR:CALENDAR=FIVEDAY&amp;VAR:SYMBOL=667984&amp;VAR:INDEX=0"}</definedName>
    <definedName function="false" hidden="true" name="_189__FDSAUDITLINK__" vbProcedure="false">{"fdsup://directions/FAT Viewer?action=UPDATE&amp;creator=factset&amp;DYN_ARGS=TRUE&amp;DOC_NAME=FAT:FQL_AUDITING_CLIENT_TEMPLATE.FAT&amp;display_string=Audit&amp;VAR:KEY=DOFKVKJMDI&amp;VAR:QUERY=RkZfRUJJVF9JQihBTk4sMjAwNywsLFJGLEVVUik=&amp;WINDOW=FIRST_POPUP&amp;HEIGHT=450&amp;WIDTH=450&amp;STAR","T_MAXIMIZED=FALSE&amp;VAR:CALENDAR=FIVEDAY&amp;VAR:SYMBOL=34537086&amp;VAR:INDEX=0"}</definedName>
    <definedName function="false" hidden="true" name="_18ALA642C761" vbProcedure="false">#N/A</definedName>
    <definedName function="false" hidden="true" name="_18_123Grap" vbProcedure="false">#REF!</definedName>
    <definedName function="false" hidden="true" name="_18__123Graph_AC04C_ALL_T1" vbProcedure="false">#REF!</definedName>
    <definedName function="false" hidden="true" name="_18__123Graph_AC04C_FF_T" vbProcedure="false">#REF!</definedName>
    <definedName function="false" hidden="true" name="_18__123Graph_DCHART_2" vbProcedure="false">#REF!</definedName>
    <definedName function="false" hidden="true" name="_18__123Graph_DCHART_4" vbProcedure="false">#REF!</definedName>
    <definedName function="false" hidden="true" name="_18__123Graph_EUNIT_BY_OEM" vbProcedure="false">#REF!</definedName>
    <definedName function="false" hidden="true" name="_18__123Graph_LBL_ACHART_1" vbProcedure="false">#N/A</definedName>
    <definedName function="false" hidden="true" name="_18__123Graph_LBL_CCHART_3" vbProcedure="false">#REF!</definedName>
    <definedName function="false" hidden="true" name="_18__123Graph_XCHART_1" vbProcedure="false">#REF!</definedName>
    <definedName function="false" hidden="true" name="_18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1900__FDSAUDITLINK__" vbProcedure="false">{"fdsup://directions/FAT Viewer?action=UPDATE&amp;creator=factset&amp;DYN_ARGS=TRUE&amp;DOC_NAME=FAT:FQL_AUDITING_CLIENT_TEMPLATE.FAT&amp;display_string=Audit&amp;VAR:KEY=WBOXYVWPYR&amp;VAR:QUERY=RkZfRUJJVChDQUwsMjAwNywsLCxFVVIp&amp;WINDOW=FIRST_POPUP&amp;HEIGHT=450&amp;WIDTH=450&amp;START_MAXIMI","ZED=FALSE&amp;VAR:CALENDAR=FIVEDAY&amp;VAR:SYMBOL=698534&amp;VAR:INDEX=0"}</definedName>
    <definedName function="false" hidden="true" name="_1901__FDSAUDITLINK__" vbProcedure="false">{"fdsup://directions/FAT Viewer?action=UPDATE&amp;creator=factset&amp;DYN_ARGS=TRUE&amp;DOC_NAME=FAT:FQL_AUDITING_CLIENT_TEMPLATE.FAT&amp;display_string=Audit&amp;VAR:KEY=KZOVUNUHGN&amp;VAR:QUERY=RkZfRUJJVERBKENBTCwyMDA3LCwsLEVVUik=&amp;WINDOW=FIRST_POPUP&amp;HEIGHT=450&amp;WIDTH=450&amp;START_MA","XIMIZED=FALSE&amp;VAR:CALENDAR=FIVEDAY&amp;VAR:SYMBOL=B1Y47Y&amp;VAR:INDEX=0"}</definedName>
    <definedName function="false" hidden="true" name="_1902__FDSAUDITLINK__" vbProcedure="false">{"fdsup://Directions/FactSet Auditing Viewer?action=AUDIT_VALUE&amp;DB=129&amp;ID1=516606&amp;VALUEID=01001&amp;SDATE=2008&amp;PERIODTYPE=ANN_STD&amp;window=popup_no_bar&amp;width=385&amp;height=120&amp;START_MAXIMIZED=FALSE&amp;creator=factset&amp;display_string=Audit"}</definedName>
    <definedName function="false" hidden="true" name="_1903__FDSAUDITLINK__" vbProcedure="false">{"fdsup://directions/FAT Viewer?action=UPDATE&amp;creator=factset&amp;DYN_ARGS=TRUE&amp;DOC_NAME=FAT:FQL_AUDITING_CLIENT_TEMPLATE.FAT&amp;display_string=Audit&amp;VAR:KEY=DOJWXMBMLW&amp;VAR:QUERY=RkZfRUJJVChDQUwsMjAwNywsLCxFVVIp&amp;WINDOW=FIRST_POPUP&amp;HEIGHT=450&amp;WIDTH=450&amp;START_MAXIMI","ZED=FALSE&amp;VAR:CALENDAR=FIVEDAY&amp;VAR:SYMBOL=516606&amp;VAR:INDEX=0"}</definedName>
    <definedName function="false" hidden="true" name="_1904__FDSAUDITLINK__" vbProcedure="false">{"fdsup://directions/FAT Viewer?action=UPDATE&amp;creator=factset&amp;DYN_ARGS=TRUE&amp;DOC_NAME=FAT:FQL_AUDITING_CLIENT_TEMPLATE.FAT&amp;display_string=Audit&amp;VAR:KEY=TSTGPIXWNY&amp;VAR:QUERY=RkZfRUJJVChDQUwsMjAwNywsLCxFVVIp&amp;WINDOW=FIRST_POPUP&amp;HEIGHT=450&amp;WIDTH=450&amp;START_MAXIMI","ZED=FALSE&amp;VAR:CALENDAR=FIVEDAY&amp;VAR:SYMBOL=677120&amp;VAR:INDEX=0"}</definedName>
    <definedName function="false" hidden="true" name="_1905__FDSAUDITLINK__" vbProcedure="false">{"fdsup://Directions/FactSet Auditing Viewer?action=AUDIT_VALUE&amp;DB=129&amp;ID1=677120&amp;VALUEID=01001&amp;SDATE=2009&amp;PERIODTYPE=ANN_STD&amp;window=popup_no_bar&amp;width=385&amp;height=120&amp;START_MAXIMIZED=FALSE&amp;creator=factset&amp;display_string=Audit"}</definedName>
    <definedName function="false" hidden="true" name="_1906__FDSAUDITLINK__" vbProcedure="false">{"fdsup://directions/FAT Viewer?action=UPDATE&amp;creator=factset&amp;DYN_ARGS=TRUE&amp;DOC_NAME=FAT:FQL_AUDITING_CLIENT_TEMPLATE.FAT&amp;display_string=Audit&amp;VAR:KEY=CVAPSRIFWR&amp;VAR:QUERY=RkZfRUJJVChDQUwsMjAwOCwsLCxFVVIp&amp;WINDOW=FIRST_POPUP&amp;HEIGHT=450&amp;WIDTH=450&amp;START_MAXIMI","ZED=FALSE&amp;VAR:CALENDAR=FIVEDAY&amp;VAR:SYMBOL=677120&amp;VAR:INDEX=0"}</definedName>
    <definedName function="false" hidden="true" name="_1907__FDSAUDITLINK__" vbProcedure="false">{"fdsup://directions/FAT Viewer?action=UPDATE&amp;creator=factset&amp;DYN_ARGS=TRUE&amp;DOC_NAME=FAT:FQL_AUDITING_CLIENT_TEMPLATE.FAT&amp;display_string=Audit&amp;VAR:KEY=CHMXORKZOF&amp;VAR:QUERY=RkZfRUJJVERBKENBTCwyMDA4LCwsLEVVUik=&amp;WINDOW=FIRST_POPUP&amp;HEIGHT=450&amp;WIDTH=450&amp;START_MA","XIMIZED=FALSE&amp;VAR:CALENDAR=FIVEDAY&amp;VAR:SYMBOL=OI&amp;VAR:INDEX=0"}</definedName>
    <definedName function="false" hidden="true" name="_1908__FDSAUDITLINK__" vbProcedure="false">{"fdsup://directions/FAT Viewer?action=UPDATE&amp;creator=factset&amp;DYN_ARGS=TRUE&amp;DOC_NAME=FAT:FQL_AUDITING_CLIENT_TEMPLATE.FAT&amp;display_string=Audit&amp;VAR:KEY=SXYDSBWNUL&amp;VAR:QUERY=RkZfQ0FQRVgoQ0FMLDIwMDksLCwsRVVSKQ==&amp;WINDOW=FIRST_POPUP&amp;HEIGHT=450&amp;WIDTH=450&amp;START_MA","XIMIZED=FALSE&amp;VAR:CALENDAR=FIVEDAY&amp;VAR:SYMBOL=OI&amp;VAR:INDEX=0"}</definedName>
    <definedName function="false" hidden="true" name="_1909__FDSAUDITLINK__" vbProcedure="false">{"fdsup://directions/FAT Viewer?action=UPDATE&amp;creator=factset&amp;DYN_ARGS=TRUE&amp;DOC_NAME=FAT:FQL_AUDITING_CLIENT_TEMPLATE.FAT&amp;display_string=Audit&amp;VAR:KEY=EHANQFGJYX&amp;VAR:QUERY=RkZfQ0FQRVgoQ0FMLDIwMDgsLCwsRVVSKQ==&amp;WINDOW=FIRST_POPUP&amp;HEIGHT=450&amp;WIDTH=450&amp;START_MA","XIMIZED=FALSE&amp;VAR:CALENDAR=FIVEDAY&amp;VAR:SYMBOL=646706&amp;VAR:INDEX=0"}</definedName>
    <definedName function="false" hidden="true" name="_190__FDSAUDITLINK__" vbProcedure="false">{"fdsup://directions/FAT Viewer?action=UPDATE&amp;creator=factset&amp;DYN_ARGS=TRUE&amp;DOC_NAME=FAT:FQL_AUDITING_CLIENT_TEMPLATE.FAT&amp;display_string=Audit&amp;VAR:KEY=LAPGNMFODU&amp;VAR:QUERY=RkZfRUJJVF9JQihBTk4sMjAwOSwsLFJGLEVVUik=&amp;WINDOW=FIRST_POPUP&amp;HEIGHT=450&amp;WIDTH=450&amp;STAR","T_MAXIMIZED=FALSE&amp;VAR:CALENDAR=FIVEDAY&amp;VAR:SYMBOL=575602&amp;VAR:INDEX=0"}</definedName>
    <definedName function="false" hidden="true" name="_1910__FDSAUDITLINK__" vbProcedure="false">{"fdsup://directions/FAT Viewer?action=UPDATE&amp;creator=factset&amp;DYN_ARGS=TRUE&amp;DOC_NAME=FAT:FQL_AUDITING_CLIENT_TEMPLATE.FAT&amp;display_string=Audit&amp;VAR:KEY=QVOTSDWTYB&amp;VAR:QUERY=RkZfRUJJVERBKENBTCwyMDA5LCwsLEVVUik=&amp;WINDOW=FIRST_POPUP&amp;HEIGHT=450&amp;WIDTH=450&amp;START_MA","XIMIZED=FALSE&amp;VAR:CALENDAR=FIVEDAY&amp;VAR:SYMBOL=OI&amp;VAR:INDEX=0"}</definedName>
    <definedName function="false" hidden="true" name="_1911__FDSAUDITLINK__" vbProcedure="false">{"fdsup://directions/FAT Viewer?action=UPDATE&amp;creator=factset&amp;DYN_ARGS=TRUE&amp;DOC_NAME=FAT:FQL_AUDITING_CLIENT_TEMPLATE.FAT&amp;display_string=Audit&amp;VAR:KEY=WFYVMVEDML&amp;VAR:QUERY=RkZfRUJJVChDQUwsMjAwOCwsLCxFVVIp&amp;WINDOW=FIRST_POPUP&amp;HEIGHT=450&amp;WIDTH=450&amp;START_MAXIMI","ZED=FALSE&amp;VAR:CALENDAR=FIVEDAY&amp;VAR:SYMBOL=653031&amp;VAR:INDEX=0"}</definedName>
    <definedName function="false" hidden="true" name="_1912__FDSAUDITLINK__" vbProcedure="false">{"fdsup://directions/FAT Viewer?action=UPDATE&amp;creator=factset&amp;DYN_ARGS=TRUE&amp;DOC_NAME=FAT:FQL_AUDITING_CLIENT_TEMPLATE.FAT&amp;display_string=Audit&amp;VAR:KEY=ITINAJYVWN&amp;VAR:QUERY=RkZfQ0FQRVgoQ0FMLDIwMDksLCwsRVVSKQ==&amp;WINDOW=FIRST_POPUP&amp;HEIGHT=450&amp;WIDTH=450&amp;START_MA","XIMIZED=FALSE&amp;VAR:CALENDAR=FIVEDAY&amp;VAR:SYMBOL=646706&amp;VAR:INDEX=0"}</definedName>
    <definedName function="false" hidden="true" name="_1913__FDSAUDITLINK__" vbProcedure="false">{"fdsup://directions/FAT Viewer?action=UPDATE&amp;creator=factset&amp;DYN_ARGS=TRUE&amp;DOC_NAME=FAT:FQL_AUDITING_CLIENT_TEMPLATE.FAT&amp;display_string=Audit&amp;VAR:KEY=QRETYVYRQD&amp;VAR:QUERY=RkZfQ0FQRVgoQ0FMLDIwMDcsLCwsRVVSKQ==&amp;WINDOW=FIRST_POPUP&amp;HEIGHT=450&amp;WIDTH=450&amp;START_MA","XIMIZED=FALSE&amp;VAR:CALENDAR=FIVEDAY&amp;VAR:SYMBOL=TMO&amp;VAR:INDEX=0"}</definedName>
    <definedName function="false" hidden="true" name="_1914__FDSAUDITLINK__" vbProcedure="false">{"fdsup://directions/FAT Viewer?action=UPDATE&amp;creator=factset&amp;DYN_ARGS=TRUE&amp;DOC_NAME=FAT:FQL_AUDITING_CLIENT_TEMPLATE.FAT&amp;display_string=Audit&amp;VAR:KEY=SJAJQFMVEF&amp;VAR:QUERY=RkZfRUJJVERBKENBTCwyMDA4LCwsLEVVUik=&amp;WINDOW=FIRST_POPUP&amp;HEIGHT=450&amp;WIDTH=450&amp;START_MA","XIMIZED=FALSE&amp;VAR:CALENDAR=FIVEDAY&amp;VAR:SYMBOL=602129&amp;VAR:INDEX=0"}</definedName>
    <definedName function="false" hidden="true" name="_1915__FDSAUDITLINK__" vbProcedure="false">{"fdsup://directions/FAT Viewer?action=UPDATE&amp;creator=factset&amp;DYN_ARGS=TRUE&amp;DOC_NAME=FAT:FQL_AUDITING_CLIENT_TEMPLATE.FAT&amp;display_string=Audit&amp;VAR:KEY=WLWTKVOVEL&amp;VAR:QUERY=RkZfREVCVF9MVChNT04sMCwsLCxFVVIp&amp;WINDOW=FIRST_POPUP&amp;HEIGHT=450&amp;WIDTH=450&amp;START_MAXIMI","ZED=FALSE&amp;VAR:CALENDAR=FIVEDAY&amp;VAR:SYMBOL=FOE&amp;VAR:INDEX=0"}</definedName>
    <definedName function="false" hidden="true" name="_1916__FDSAUDITLINK__" vbProcedure="false">{"fdsup://Directions/FactSet Auditing Viewer?action=AUDIT_VALUE&amp;DB=129&amp;ID1=59268810&amp;VALUEID=01001&amp;SDATE=2007&amp;PERIODTYPE=ANN_STD&amp;window=popup_no_bar&amp;width=385&amp;height=120&amp;START_MAXIMIZED=FALSE&amp;creator=factset&amp;display_string=Audit"}</definedName>
    <definedName function="false" hidden="true" name="_1917__FDSAUDITLINK__" vbProcedure="false">{"fdsup://directions/FAT Viewer?action=UPDATE&amp;creator=factset&amp;DYN_ARGS=TRUE&amp;DOC_NAME=FAT:FQL_AUDITING_CLIENT_TEMPLATE.FAT&amp;display_string=Audit&amp;VAR:KEY=OJKLYRGTST&amp;VAR:QUERY=RkZfRUJJVChDQUwsMjAwNywsLCxFVVIp&amp;WINDOW=FIRST_POPUP&amp;HEIGHT=450&amp;WIDTH=450&amp;START_MAXIMI","ZED=FALSE&amp;VAR:CALENDAR=FIVEDAY&amp;VAR:SYMBOL=667984&amp;VAR:INDEX=0"}</definedName>
    <definedName function="false" hidden="true" name="_1918__FDSAUDITLINK__" vbProcedure="false">{"fdsup://Directions/FactSet Auditing Viewer?action=AUDIT_VALUE&amp;DB=129&amp;ID1=516606&amp;VALUEID=01001&amp;SDATE=2007&amp;PERIODTYPE=ANN_STD&amp;window=popup_no_bar&amp;width=385&amp;height=120&amp;START_MAXIMIZED=FALSE&amp;creator=factset&amp;display_string=Audit"}</definedName>
    <definedName function="false" hidden="true" name="_1919__FDSAUDITLINK__" vbProcedure="false">{"fdsup://directions/FAT Viewer?action=UPDATE&amp;creator=factset&amp;DYN_ARGS=TRUE&amp;DOC_NAME=FAT:FQL_AUDITING_CLIENT_TEMPLATE.FAT&amp;display_string=Audit&amp;VAR:KEY=ELGLADKPGF&amp;VAR:QUERY=RkZfQ0FQRVgoQ0FMLDIwMDksLCwsRVVSKQ==&amp;WINDOW=FIRST_POPUP&amp;HEIGHT=450&amp;WIDTH=450&amp;START_MA","XIMIZED=FALSE&amp;VAR:CALENDAR=FIVEDAY&amp;VAR:SYMBOL=667984&amp;VAR:INDEX=0"}</definedName>
    <definedName function="false" hidden="true" name="_191__FDSAUDITLINK__" vbProcedure="false">{"fdsup://directions/FAT Viewer?action=UPDATE&amp;creator=factset&amp;DYN_ARGS=TRUE&amp;DOC_NAME=FAT:FQL_AUDITING_CLIENT_TEMPLATE.FAT&amp;display_string=Audit&amp;VAR:KEY=BERKFGVWTU&amp;VAR:QUERY=RkZfRUJJVF9JQihBTk4sMjAwOSwsLFJGLEVVUik=&amp;WINDOW=FIRST_POPUP&amp;HEIGHT=450&amp;WIDTH=450&amp;STAR","T_MAXIMIZED=FALSE&amp;VAR:CALENDAR=FIVEDAY&amp;VAR:SYMBOL=471279&amp;VAR:INDEX=0"}</definedName>
    <definedName function="false" hidden="true" name="_1920__FDSAUDITLINK__" vbProcedure="false">{"fdsup://directions/FAT Viewer?action=UPDATE&amp;creator=factset&amp;DYN_ARGS=TRUE&amp;DOC_NAME=FAT:FQL_AUDITING_CLIENT_TEMPLATE.FAT&amp;display_string=Audit&amp;VAR:KEY=CNGBOLCDMP&amp;VAR:QUERY=RkZfQ0FQRVgoQ0FMLDIwMDksLCwsRVVSKQ==&amp;WINDOW=FIRST_POPUP&amp;HEIGHT=450&amp;WIDTH=450&amp;START_MA","XIMIZED=FALSE&amp;VAR:CALENDAR=FIVEDAY&amp;VAR:SYMBOL=546672&amp;VAR:INDEX=0"}</definedName>
    <definedName function="false" hidden="true" name="_1921__FDSAUDITLINK__" vbProcedure="false">{"fdsup://directions/FAT Viewer?action=UPDATE&amp;creator=factset&amp;DYN_ARGS=TRUE&amp;DOC_NAME=FAT:FQL_AUDITING_CLIENT_TEMPLATE.FAT&amp;display_string=Audit&amp;VAR:KEY=ETIVSFAJMT&amp;VAR:QUERY=RkZfREVCVF9MVChNT04sMCwsLCxFVVIp&amp;WINDOW=FIRST_POPUP&amp;HEIGHT=450&amp;WIDTH=450&amp;START_MAXIMI","ZED=FALSE&amp;VAR:CALENDAR=FIVEDAY&amp;VAR:SYMBOL=602129&amp;VAR:INDEX=0"}</definedName>
    <definedName function="false" hidden="true" name="_1922__FDSAUDITLINK__" vbProcedure="false">{"fdsup://directions/FAT Viewer?action=UPDATE&amp;creator=factset&amp;DYN_ARGS=TRUE&amp;DOC_NAME=FAT:FQL_AUDITING_CLIENT_TEMPLATE.FAT&amp;display_string=Audit&amp;VAR:KEY=IHEJKRAPIN&amp;VAR:QUERY=RkZfREVCVF9MVChNT04sMCwsLCxFVVIp&amp;WINDOW=FIRST_POPUP&amp;HEIGHT=450&amp;WIDTH=450&amp;START_MAXIMI","ZED=FALSE&amp;VAR:CALENDAR=FIVEDAY&amp;VAR:SYMBOL=605520&amp;VAR:INDEX=0"}</definedName>
    <definedName function="false" hidden="true" name="_1923__FDSAUDITLINK__" vbProcedure="false">{"fdsup://directions/FAT Viewer?action=UPDATE&amp;creator=factset&amp;DYN_ARGS=TRUE&amp;DOC_NAME=FAT:FQL_AUDITING_CLIENT_TEMPLATE.FAT&amp;display_string=Audit&amp;VAR:KEY=KXYTYDKBQF&amp;VAR:QUERY=RkZfQ0FQRVgoQ0FMLDIwMDksLCwsRVVSKQ==&amp;WINDOW=FIRST_POPUP&amp;HEIGHT=450&amp;WIDTH=450&amp;START_MA","XIMIZED=FALSE&amp;VAR:CALENDAR=FIVEDAY&amp;VAR:SYMBOL=605520&amp;VAR:INDEX=0"}</definedName>
    <definedName function="false" hidden="true" name="_1924__FDSAUDITLINK__" vbProcedure="false">{"fdsup://directions/FAT Viewer?action=UPDATE&amp;creator=factset&amp;DYN_ARGS=TRUE&amp;DOC_NAME=FAT:FQL_AUDITING_CLIENT_TEMPLATE.FAT&amp;display_string=Audit&amp;VAR:KEY=GFUBQPYTMJ&amp;VAR:QUERY=RkZfRUJJVChDQUwsMjAwOSwsLCxFVVIp&amp;WINDOW=FIRST_POPUP&amp;HEIGHT=450&amp;WIDTH=450&amp;START_MAXIMI","ZED=FALSE&amp;VAR:CALENDAR=FIVEDAY&amp;VAR:SYMBOL=546672&amp;VAR:INDEX=0"}</definedName>
    <definedName function="false" hidden="true" name="_1925__FDSAUDITLINK__" vbProcedure="false">{"fdsup://directions/FAT Viewer?action=UPDATE&amp;creator=factset&amp;DYN_ARGS=TRUE&amp;DOC_NAME=FAT:FQL_AUDITING_CLIENT_TEMPLATE.FAT&amp;display_string=Audit&amp;VAR:KEY=ELCXIRUHEV&amp;VAR:QUERY=RkZfREVCVF9MVChNT04sMCwsLCxFVVIp&amp;WINDOW=FIRST_POPUP&amp;HEIGHT=450&amp;WIDTH=450&amp;START_MAXIMI","ZED=FALSE&amp;VAR:CALENDAR=FIVEDAY&amp;VAR:SYMBOL=07588710&amp;VAR:INDEX=0"}</definedName>
    <definedName function="false" hidden="true" name="_1926__FDSAUDITLINK__" vbProcedure="false">{"fdsup://directions/FAT Viewer?action=UPDATE&amp;creator=factset&amp;DYN_ARGS=TRUE&amp;DOC_NAME=FAT:FQL_AUDITING_CLIENT_TEMPLATE.FAT&amp;display_string=Audit&amp;VAR:KEY=WBSDGDOJWH&amp;VAR:QUERY=RkZfRUJJVChDQUwsMjAwOSwsLCxFVVIp&amp;WINDOW=FIRST_POPUP&amp;HEIGHT=450&amp;WIDTH=450&amp;START_MAXIMI","ZED=FALSE&amp;VAR:CALENDAR=FIVEDAY&amp;VAR:SYMBOL=653031&amp;VAR:INDEX=0"}</definedName>
    <definedName function="false" hidden="true" name="_1927__FDSAUDITLINK__" vbProcedure="false">{"fdsup://directions/FAT Viewer?action=UPDATE&amp;creator=factset&amp;DYN_ARGS=TRUE&amp;DOC_NAME=FAT:FQL_AUDITING_CLIENT_TEMPLATE.FAT&amp;display_string=Audit&amp;VAR:KEY=KFMFYXENCZ&amp;VAR:QUERY=RkZfRUJJVChDQUwsMjAwOCwsLCxFVVIp&amp;WINDOW=FIRST_POPUP&amp;HEIGHT=450&amp;WIDTH=450&amp;START_MAXIMI","ZED=FALSE&amp;VAR:CALENDAR=FIVEDAY&amp;VAR:SYMBOL=571062&amp;VAR:INDEX=0"}</definedName>
    <definedName function="false" hidden="true" name="_1928__FDSAUDITLINK__" vbProcedure="false">{"fdsup://directions/FAT Viewer?action=UPDATE&amp;creator=factset&amp;DYN_ARGS=TRUE&amp;DOC_NAME=FAT:FQL_AUDITING_CLIENT_TEMPLATE.FAT&amp;display_string=Audit&amp;VAR:KEY=FQBQVCBUJK&amp;VAR:QUERY=RkZfQ0FQRVgoQ0FMLDIwMDksLCwsRVVSKQ==&amp;WINDOW=FIRST_POPUP&amp;HEIGHT=450&amp;WIDTH=450&amp;START_MA","XIMIZED=FALSE&amp;VAR:CALENDAR=FIVEDAY&amp;VAR:SYMBOL=B1XHN3&amp;VAR:INDEX=0"}</definedName>
    <definedName function="false" hidden="true" name="_1929__FDSAUDITLINK__" vbProcedure="false">{"fdsup://directions/FAT Viewer?action=UPDATE&amp;creator=factset&amp;DYN_ARGS=TRUE&amp;DOC_NAME=FAT:FQL_AUDITING_CLIENT_TEMPLATE.FAT&amp;display_string=Audit&amp;VAR:KEY=QLSTGZOJYV&amp;VAR:QUERY=RkZfQ0FQRVgoQ0FMLDIwMDksLCwsRVVSKQ==&amp;WINDOW=FIRST_POPUP&amp;HEIGHT=450&amp;WIDTH=450&amp;START_MA","XIMIZED=FALSE&amp;VAR:CALENDAR=FIVEDAY&amp;VAR:SYMBOL=653031&amp;VAR:INDEX=0"}</definedName>
    <definedName function="false" hidden="true" name="_192__FDSAUDITLINK__" vbProcedure="false">{"fdsup://directions/FAT Viewer?action=UPDATE&amp;creator=factset&amp;DYN_ARGS=TRUE&amp;DOC_NAME=FAT:FQL_AUDITING_CLIENT_TEMPLATE.FAT&amp;display_string=Audit&amp;VAR:KEY=VINIDOPCJW&amp;VAR:QUERY=RkZfRUJJVF9JQihBTk4sMjAwOCwsLFJGLEVVUik=&amp;WINDOW=FIRST_POPUP&amp;HEIGHT=450&amp;WIDTH=450&amp;STAR","T_MAXIMIZED=FALSE&amp;VAR:CALENDAR=FIVEDAY&amp;VAR:SYMBOL=471279&amp;VAR:INDEX=0"}</definedName>
    <definedName function="false" hidden="true" name="_1930__FDSAUDITLINK__" vbProcedure="false">{"fdsup://Directions/FactSet Auditing Viewer?action=AUDIT_VALUE&amp;DB=129&amp;ID1=571062&amp;VALUEID=P05202&amp;SDATE=2008&amp;PERIODTYPE=ANN_STD&amp;window=popup_no_bar&amp;width=385&amp;height=120&amp;START_MAXIMIZED=FALSE&amp;creator=factset&amp;display_string=Audit"}</definedName>
    <definedName function="false" hidden="true" name="_1931__FDSAUDITLINK__" vbProcedure="false">{"fdsup://directions/FAT Viewer?action=UPDATE&amp;creator=factset&amp;DYN_ARGS=TRUE&amp;DOC_NAME=FAT:FQL_AUDITING_CLIENT_TEMPLATE.FAT&amp;display_string=Audit&amp;VAR:KEY=YBYXULYHCH&amp;VAR:QUERY=RkZfRUJJVChDQUwsMjAwOSwsLCxFVVIp&amp;WINDOW=FIRST_POPUP&amp;HEIGHT=450&amp;WIDTH=450&amp;START_MAXIMI","ZED=FALSE&amp;VAR:CALENDAR=FIVEDAY&amp;VAR:SYMBOL=605520&amp;VAR:INDEX=0"}</definedName>
    <definedName function="false" hidden="true" name="_1932__FDSAUDITLINK__" vbProcedure="false">{"fdsup://Directions/FactSet Auditing Viewer?action=AUDIT_VALUE&amp;DB=129&amp;ID1=571062&amp;VALUEID=01001&amp;SDATE=2008&amp;PERIODTYPE=ANN_STD&amp;window=popup_no_bar&amp;width=385&amp;height=120&amp;START_MAXIMIZED=FALSE&amp;creator=factset&amp;display_string=Audit"}</definedName>
    <definedName function="false" hidden="true" name="_1933__FDSAUDITLINK__" vbProcedure="false">{"fdsup://directions/FAT Viewer?action=UPDATE&amp;creator=factset&amp;DYN_ARGS=TRUE&amp;DOC_NAME=FAT:FQL_AUDITING_CLIENT_TEMPLATE.FAT&amp;display_string=Audit&amp;VAR:KEY=RSJMXARUPM&amp;VAR:QUERY=RkZfRUJJVERBKENBTCwyMDA5LCwsLEVVUik=&amp;WINDOW=FIRST_POPUP&amp;HEIGHT=450&amp;WIDTH=450&amp;START_MA","XIMIZED=FALSE&amp;VAR:CALENDAR=FIVEDAY&amp;VAR:SYMBOL=646706&amp;VAR:INDEX=0"}</definedName>
    <definedName function="false" hidden="true" name="_1934__FDSAUDITLINK__" vbProcedure="false">{"fdsup://directions/FAT Viewer?action=UPDATE&amp;creator=factset&amp;DYN_ARGS=TRUE&amp;DOC_NAME=FAT:FQL_AUDITING_CLIENT_TEMPLATE.FAT&amp;display_string=Audit&amp;VAR:KEY=UXGBOTQDAX&amp;VAR:QUERY=RkZfQ0FQRVgoQ0FMLDIwMDcsLCwsRVVSKQ==&amp;WINDOW=FIRST_POPUP&amp;HEIGHT=450&amp;WIDTH=450&amp;START_MA","XIMIZED=FALSE&amp;VAR:CALENDAR=FIVEDAY&amp;VAR:SYMBOL=653031&amp;VAR:INDEX=0"}</definedName>
    <definedName function="false" hidden="true" name="_1935__FDSAUDITLINK__" vbProcedure="false">{"fdsup://Directions/FactSet Auditing Viewer?action=AUDIT_VALUE&amp;DB=129&amp;ID1=88355610&amp;VALUEID=01001&amp;SDATE=2008&amp;PERIODTYPE=ANN_STD&amp;window=popup_no_bar&amp;width=385&amp;height=120&amp;START_MAXIMIZED=FALSE&amp;creator=factset&amp;display_string=Audit"}</definedName>
    <definedName function="false" hidden="true" name="_1936__FDSAUDITLINK__" vbProcedure="false">{"fdsup://directions/FAT Viewer?action=UPDATE&amp;creator=factset&amp;DYN_ARGS=TRUE&amp;DOC_NAME=FAT:FQL_AUDITING_CLIENT_TEMPLATE.FAT&amp;display_string=Audit&amp;VAR:KEY=MBMNUZOTGP&amp;VAR:QUERY=RkZfQ0FQRVgoQ0FMLDIwMDgsLCwsRVVSKQ==&amp;WINDOW=FIRST_POPUP&amp;HEIGHT=450&amp;WIDTH=450&amp;START_MA","XIMIZED=FALSE&amp;VAR:CALENDAR=FIVEDAY&amp;VAR:SYMBOL=TMO&amp;VAR:INDEX=0"}</definedName>
    <definedName function="false" hidden="true" name="_1937__FDSAUDITLINK__" vbProcedure="false">{"fdsup://directions/FAT Viewer?action=UPDATE&amp;creator=factset&amp;DYN_ARGS=TRUE&amp;DOC_NAME=FAT:FQL_AUDITING_CLIENT_TEMPLATE.FAT&amp;display_string=Audit&amp;VAR:KEY=OHYVELQJYJ&amp;VAR:QUERY=RkZfRUJJVChDQUwsMjAwOCwsLCxFVVIp&amp;WINDOW=FIRST_POPUP&amp;HEIGHT=450&amp;WIDTH=450&amp;START_MAXIMI","ZED=FALSE&amp;VAR:CALENDAR=FIVEDAY&amp;VAR:SYMBOL=667984&amp;VAR:INDEX=0"}</definedName>
    <definedName function="false" hidden="true" name="_1938__FDSAUDITLINK__" vbProcedure="false">{"fdsup://directions/FAT Viewer?action=UPDATE&amp;creator=factset&amp;DYN_ARGS=TRUE&amp;DOC_NAME=FAT:FQL_AUDITING_CLIENT_TEMPLATE.FAT&amp;display_string=Audit&amp;VAR:KEY=ZUFIJGVWTI&amp;VAR:QUERY=RkZfRUJJVERBKENBTCwyMDA4LCwsLEVVUik=&amp;WINDOW=FIRST_POPUP&amp;HEIGHT=450&amp;WIDTH=450&amp;START_MA","XIMIZED=FALSE&amp;VAR:CALENDAR=FIVEDAY&amp;VAR:SYMBOL=605520&amp;VAR:INDEX=0"}</definedName>
    <definedName function="false" hidden="true" name="_1939__FDSAUDITLINK__" vbProcedure="false">{"fdsup://directions/FAT Viewer?action=UPDATE&amp;creator=factset&amp;DYN_ARGS=TRUE&amp;DOC_NAME=FAT:FQL_AUDITING_CLIENT_TEMPLATE.FAT&amp;display_string=Audit&amp;VAR:KEY=QNUXSNSLGF&amp;VAR:QUERY=RkZfQ0FQRVgoQ0FMLDIwMDksLCwsRVVSKQ==&amp;WINDOW=FIRST_POPUP&amp;HEIGHT=450&amp;WIDTH=450&amp;START_MA","XIMIZED=FALSE&amp;VAR:CALENDAR=FIVEDAY&amp;VAR:SYMBOL=602129&amp;VAR:INDEX=0"}</definedName>
    <definedName function="false" hidden="true" name="_193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1940__FDSAUDITLINK__" vbProcedure="false">{"fdsup://directions/FAT Viewer?action=UPDATE&amp;creator=factset&amp;DYN_ARGS=TRUE&amp;DOC_NAME=FAT:FQL_AUDITING_CLIENT_TEMPLATE.FAT&amp;display_string=Audit&amp;VAR:KEY=SHCPCLGXAD&amp;VAR:QUERY=RkZfRUJJVChDQUwsMjAwNywsLCxFVVIp&amp;WINDOW=FIRST_POPUP&amp;HEIGHT=450&amp;WIDTH=450&amp;START_MAXIMI","ZED=FALSE&amp;VAR:CALENDAR=FIVEDAY&amp;VAR:SYMBOL=605520&amp;VAR:INDEX=0"}</definedName>
    <definedName function="false" hidden="true" name="_1941__FDSAUDITLINK__" vbProcedure="false">{"fdsup://directions/FAT Viewer?action=UPDATE&amp;creator=factset&amp;DYN_ARGS=TRUE&amp;DOC_NAME=FAT:FQL_AUDITING_CLIENT_TEMPLATE.FAT&amp;display_string=Audit&amp;VAR:KEY=LSNKZIFYZE&amp;VAR:QUERY=RkZfRUJJVChDQUwsMjAwOCwsLCxFVVIp&amp;WINDOW=FIRST_POPUP&amp;HEIGHT=450&amp;WIDTH=450&amp;START_MAXIMI","ZED=FALSE&amp;VAR:CALENDAR=FIVEDAY&amp;VAR:SYMBOL=646706&amp;VAR:INDEX=0"}</definedName>
    <definedName function="false" hidden="true" name="_1942__FDSAUDITLINK__" vbProcedure="false">{"fdsup://directions/FAT Viewer?action=UPDATE&amp;creator=factset&amp;DYN_ARGS=TRUE&amp;DOC_NAME=FAT:FQL_AUDITING_CLIENT_TEMPLATE.FAT&amp;display_string=Audit&amp;VAR:KEY=ULUTQRWTAX&amp;VAR:QUERY=RkZfREVCVF9MVChNT04sMCwsLCxFVVIp&amp;WINDOW=FIRST_POPUP&amp;HEIGHT=450&amp;WIDTH=450&amp;START_MAXIMI","ZED=FALSE&amp;VAR:CALENDAR=FIVEDAY&amp;VAR:SYMBOL=B1XHN3&amp;VAR:INDEX=0"}</definedName>
    <definedName function="false" hidden="true" name="_1943__FDSAUDITLINK__" vbProcedure="false">{"fdsup://Directions/FactSet Auditing Viewer?action=AUDIT_VALUE&amp;DB=129&amp;ID1=546672&amp;VALUEID=01001&amp;SDATE=2009&amp;PERIODTYPE=ANN_STD&amp;window=popup_no_bar&amp;width=385&amp;height=120&amp;START_MAXIMIZED=FALSE&amp;creator=factset&amp;display_string=Audit"}</definedName>
    <definedName function="false" hidden="true" name="_1944__FDSAUDITLINK__" vbProcedure="false">{"fdsup://directions/FAT Viewer?action=UPDATE&amp;creator=factset&amp;DYN_ARGS=TRUE&amp;DOC_NAME=FAT:FQL_AUDITING_CLIENT_TEMPLATE.FAT&amp;display_string=Audit&amp;VAR:KEY=IVIRIJYDYV&amp;VAR:QUERY=RkZfQ0FQRVgoQ0FMLDIwMDksLCwsRVVSKQ==&amp;WINDOW=FIRST_POPUP&amp;HEIGHT=450&amp;WIDTH=450&amp;START_MA","XIMIZED=FALSE&amp;VAR:CALENDAR=FIVEDAY&amp;VAR:SYMBOL=698534&amp;VAR:INDEX=0"}</definedName>
    <definedName function="false" hidden="true" name="_1945__FDSAUDITLINK__" vbProcedure="false">{"fdsup://directions/FAT Viewer?action=UPDATE&amp;creator=factset&amp;DYN_ARGS=TRUE&amp;DOC_NAME=FAT:FQL_AUDITING_CLIENT_TEMPLATE.FAT&amp;display_string=Audit&amp;VAR:KEY=QPCXEDCHOF&amp;VAR:QUERY=RkZfQ0FQRVgoQ0FMLDIwMDgsLCwsRVVSKQ==&amp;WINDOW=FIRST_POPUP&amp;HEIGHT=450&amp;WIDTH=450&amp;START_MA","XIMIZED=FALSE&amp;VAR:CALENDAR=FIVEDAY&amp;VAR:SYMBOL=698534&amp;VAR:INDEX=0"}</definedName>
    <definedName function="false" hidden="true" name="_1946__FDSAUDITLINK__" vbProcedure="false">{"fdsup://Directions/FactSet Auditing Viewer?action=AUDIT_VALUE&amp;DB=129&amp;ID1=516606&amp;VALUEID=P05202&amp;SDATE=2008&amp;PERIODTYPE=ANN_STD&amp;window=popup_no_bar&amp;width=385&amp;height=120&amp;START_MAXIMIZED=FALSE&amp;creator=factset&amp;display_string=Audit"}</definedName>
    <definedName function="false" hidden="true" name="_1947__FDSAUDITLINK__" vbProcedure="false">{"fdsup://directions/FAT Viewer?action=UPDATE&amp;creator=factset&amp;DYN_ARGS=TRUE&amp;DOC_NAME=FAT:FQL_AUDITING_CLIENT_TEMPLATE.FAT&amp;display_string=Audit&amp;VAR:KEY=KXMLQDCTQF&amp;VAR:QUERY=RkZfREVCVF9MVChNT04sMCwsLCxFVVIp&amp;WINDOW=FIRST_POPUP&amp;HEIGHT=450&amp;WIDTH=450&amp;START_MAXIMI","ZED=FALSE&amp;VAR:CALENDAR=FIVEDAY&amp;VAR:SYMBOL=223350&amp;VAR:INDEX=0"}</definedName>
    <definedName function="false" hidden="true" name="_1948__FDSAUDITLINK__" vbProcedure="false">{"fdsup://directions/FAT Viewer?action=UPDATE&amp;creator=factset&amp;DYN_ARGS=TRUE&amp;DOC_NAME=FAT:FQL_AUDITING_CLIENT_TEMPLATE.FAT&amp;display_string=Audit&amp;VAR:KEY=CRYNQRGRKH&amp;VAR:QUERY=RkZfQ0FQRVgoQ0FMLDIwMDcsLCwsRVVSKQ==&amp;WINDOW=FIRST_POPUP&amp;HEIGHT=450&amp;WIDTH=450&amp;START_MA","XIMIZED=FALSE&amp;VAR:CALENDAR=FIVEDAY&amp;VAR:SYMBOL=GLW&amp;VAR:INDEX=0"}</definedName>
    <definedName function="false" hidden="true" name="_1949__FDSAUDITLINK__" vbProcedure="false">{"fdsup://Directions/FactSet Auditing Viewer?action=AUDIT_VALUE&amp;DB=129&amp;ID1=516606&amp;VALUEID=P05202&amp;SDATE=2007&amp;PERIODTYPE=ANN_STD&amp;window=popup_no_bar&amp;width=385&amp;height=120&amp;START_MAXIMIZED=FALSE&amp;creator=factset&amp;display_string=Audit"}</definedName>
    <definedName function="false" hidden="true" name="_194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1950__FDSAUDITLINK__" vbProcedure="false">{"fdsup://directions/FAT Viewer?action=UPDATE&amp;creator=factset&amp;DYN_ARGS=TRUE&amp;DOC_NAME=FAT:FQL_AUDITING_CLIENT_TEMPLATE.FAT&amp;display_string=Audit&amp;VAR:KEY=QFEJUDYHWJ&amp;VAR:QUERY=RkZfQ0FQRVgoQ0FMLDIwMDgsLCwsRVVSKQ==&amp;WINDOW=FIRST_POPUP&amp;HEIGHT=450&amp;WIDTH=450&amp;START_MA","XIMIZED=FALSE&amp;VAR:CALENDAR=FIVEDAY&amp;VAR:SYMBOL=GLW&amp;VAR:INDEX=0"}</definedName>
    <definedName function="false" hidden="true" name="_1951__FDSAUDITLINK__" vbProcedure="false">{"fdsup://directions/FAT Viewer?action=UPDATE&amp;creator=factset&amp;DYN_ARGS=TRUE&amp;DOC_NAME=FAT:FQL_AUDITING_CLIENT_TEMPLATE.FAT&amp;display_string=Audit&amp;VAR:KEY=SZODQZCBWJ&amp;VAR:QUERY=RkZfRUJJVChDQUwsMjAwOSwsLCxFVVIp&amp;WINDOW=FIRST_POPUP&amp;HEIGHT=450&amp;WIDTH=450&amp;START_MAXIMI","ZED=FALSE&amp;VAR:CALENDAR=FIVEDAY&amp;VAR:SYMBOL=667984&amp;VAR:INDEX=0"}</definedName>
    <definedName function="false" hidden="true" name="_1952__FDSAUDITLINK__" vbProcedure="false">{"fdsup://directions/FAT Viewer?action=UPDATE&amp;creator=factset&amp;DYN_ARGS=TRUE&amp;DOC_NAME=FAT:FQL_AUDITING_CLIENT_TEMPLATE.FAT&amp;display_string=Audit&amp;VAR:KEY=WVETSVGNWP&amp;VAR:QUERY=RkZfRUJJVChDQUwsMjAwNywsLCxFVVIp&amp;WINDOW=FIRST_POPUP&amp;HEIGHT=450&amp;WIDTH=450&amp;START_MAXIMI","ZED=FALSE&amp;VAR:CALENDAR=FIVEDAY&amp;VAR:SYMBOL=B0KS38&amp;VAR:INDEX=0"}</definedName>
    <definedName function="false" hidden="true" name="_1953__FDSAUDITLINK__" vbProcedure="false">{"fdsup://directions/FAT Viewer?action=UPDATE&amp;creator=factset&amp;DYN_ARGS=TRUE&amp;DOC_NAME=FAT:FQL_AUDITING_CLIENT_TEMPLATE.FAT&amp;display_string=Audit&amp;VAR:KEY=GRSNKPOXQX&amp;VAR:QUERY=RkZfRUJJVERBKENBTCwyMDA3LCwsLEVVUik=&amp;WINDOW=FIRST_POPUP&amp;HEIGHT=450&amp;WIDTH=450&amp;START_MA","XIMIZED=FALSE&amp;VAR:CALENDAR=FIVEDAY&amp;VAR:SYMBOL=223350&amp;VAR:INDEX=0"}</definedName>
    <definedName function="false" hidden="true" name="_1954__FDSAUDITLINK__" vbProcedure="false">{"fdsup://directions/FAT Viewer?action=UPDATE&amp;creator=factset&amp;DYN_ARGS=TRUE&amp;DOC_NAME=FAT:FQL_AUDITING_CLIENT_TEMPLATE.FAT&amp;display_string=Audit&amp;VAR:KEY=EZIFCDAFQZ&amp;VAR:QUERY=RkZfRUJJVERBKENBTCwyMDA4LCwsLEVVUik=&amp;WINDOW=FIRST_POPUP&amp;HEIGHT=450&amp;WIDTH=450&amp;START_MA","XIMIZED=FALSE&amp;VAR:CALENDAR=FIVEDAY&amp;VAR:SYMBOL=223350&amp;VAR:INDEX=0"}</definedName>
    <definedName function="false" hidden="true" name="_1955__FDSAUDITLINK__" vbProcedure="false">{"fdsup://directions/FAT Viewer?action=UPDATE&amp;creator=factset&amp;DYN_ARGS=TRUE&amp;DOC_NAME=FAT:FQL_AUDITING_CLIENT_TEMPLATE.FAT&amp;display_string=Audit&amp;VAR:KEY=XOLKVWVYXC&amp;VAR:QUERY=RkZfRUJJVChDQUwsMjAwOCwsLCxFVVIp&amp;WINDOW=FIRST_POPUP&amp;HEIGHT=450&amp;WIDTH=450&amp;START_MAXIMI","ZED=FALSE&amp;VAR:CALENDAR=FIVEDAY&amp;VAR:SYMBOL=B1XHN3&amp;VAR:INDEX=0"}</definedName>
    <definedName function="false" hidden="true" name="_1956__FDSAUDITLINK__" vbProcedure="false">{"fdsup://directions/FAT Viewer?action=UPDATE&amp;creator=factset&amp;DYN_ARGS=TRUE&amp;DOC_NAME=FAT:FQL_AUDITING_CLIENT_TEMPLATE.FAT&amp;display_string=Audit&amp;VAR:KEY=ATOHMVQTYH&amp;VAR:QUERY=RkZfRUJJVERBKENBTCwyMDA5LCwsLEVVUik=&amp;WINDOW=FIRST_POPUP&amp;HEIGHT=450&amp;WIDTH=450&amp;START_MA","XIMIZED=FALSE&amp;VAR:CALENDAR=FIVEDAY&amp;VAR:SYMBOL=223350&amp;VAR:INDEX=0"}</definedName>
    <definedName function="false" hidden="true" name="_1957__FDSAUDITLINK__" vbProcedure="false">{"fdsup://directions/FAT Viewer?action=UPDATE&amp;creator=factset&amp;DYN_ARGS=TRUE&amp;DOC_NAME=FAT:FQL_AUDITING_CLIENT_TEMPLATE.FAT&amp;display_string=Audit&amp;VAR:KEY=QNEDUNQLKT&amp;VAR:QUERY=RkZfRUJJVERBKENBTCwyMDA3LCwsLEVVUik=&amp;WINDOW=FIRST_POPUP&amp;HEIGHT=450&amp;WIDTH=450&amp;START_MA","XIMIZED=FALSE&amp;VAR:CALENDAR=FIVEDAY&amp;VAR:SYMBOL=OI&amp;VAR:INDEX=0"}</definedName>
    <definedName function="false" hidden="true" name="_1958__FDSAUDITLINK__" vbProcedure="false">{"fdsup://directions/FAT Viewer?action=UPDATE&amp;creator=factset&amp;DYN_ARGS=TRUE&amp;DOC_NAME=FAT:FQL_AUDITING_CLIENT_TEMPLATE.FAT&amp;display_string=Audit&amp;VAR:KEY=GVUFOZOFOJ&amp;VAR:QUERY=RkZfQ0FQRVgoQ0FMLDIwMDgsLCwsRVVSKQ==&amp;WINDOW=FIRST_POPUP&amp;HEIGHT=450&amp;WIDTH=450&amp;START_MA","XIMIZED=FALSE&amp;VAR:CALENDAR=FIVEDAY&amp;VAR:SYMBOL=B1Y47Y&amp;VAR:INDEX=0"}</definedName>
    <definedName function="false" hidden="true" name="_1959__FDSAUDITLINK__" vbProcedure="false">{"fdsup://directions/FAT Viewer?action=UPDATE&amp;creator=factset&amp;DYN_ARGS=TRUE&amp;DOC_NAME=FAT:FQL_AUDITING_CLIENT_TEMPLATE.FAT&amp;display_string=Audit&amp;VAR:KEY=QNYFEVMTML&amp;VAR:QUERY=RkZfRUJJVERBKENBTCwyMDA3LCwsLEVVUik=&amp;WINDOW=FIRST_POPUP&amp;HEIGHT=450&amp;WIDTH=450&amp;START_MA","XIMIZED=FALSE&amp;VAR:CALENDAR=FIVEDAY&amp;VAR:SYMBOL=B0KS38&amp;VAR:INDEX=0"}</definedName>
    <definedName function="false" hidden="true" name="_195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196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197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198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199__FDSAUDITLINK__" vbProcedure="false">{"fdsup://Directions/FactSet Auditing Viewer?action=AUDIT_VALUE&amp;DB=129&amp;ID1=575602&amp;VALUEID=01001&amp;SDATE=2009&amp;PERIODTYPE=ANN_STD&amp;window=popup_no_bar&amp;width=385&amp;height=120&amp;START_MAXIMIZED=FALSE&amp;creator=factset&amp;display_string=Audit"}</definedName>
    <definedName function="false" hidden="true" name="_19ALA642C761" vbProcedure="false">#N/A</definedName>
    <definedName function="false" hidden="true" name="_19__123Graph_AC04C_ALL_T2" vbProcedure="false">#REF!</definedName>
    <definedName function="false" hidden="true" name="_19__123Graph_AC04C_FR_L1" vbProcedure="false">#REF!</definedName>
    <definedName function="false" hidden="true" name="_19__123Graph_DCHART_5" vbProcedure="false">#REF!</definedName>
    <definedName function="false" hidden="true" name="_19__123Graph_FCAPITAL_BY_OEM" vbProcedure="false">#REF!</definedName>
    <definedName function="false" hidden="true" name="_19__123Graph_LBL_ACHART_1" vbProcedure="false">#REF!</definedName>
    <definedName function="false" hidden="true" name="_19__123Graph_LBL_ACHART_2" vbProcedure="false">#REF!</definedName>
    <definedName function="false" hidden="true" name="_19__123Graph_XCHART_1" vbProcedure="false">#REF!</definedName>
    <definedName function="false" hidden="true" name="_19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1ALA642C761" vbProcedure="false">#N/A</definedName>
    <definedName function="false" hidden="true" name="_1IQ_AVG_REAL_PRICE塅䕃_塅ETREAT_REFINING_IRON" vbProcedure="false">"c9417"</definedName>
    <definedName function="false" hidden="true" name="_1IQ_GA___INVEST_INS" vbProcedure="false">"c1466"</definedName>
    <definedName function="false" hidden="true" name="_1_0_0_K" vbProcedure="false">#REF!</definedName>
    <definedName function="false" hidden="true" name="_1__123Graph_ACHART_1" vbProcedure="false">#REF!</definedName>
    <definedName function="false" hidden="true" name="_1__123Graph_AChart_1A" vbProcedure="false">#REF!</definedName>
    <definedName function="false" hidden="true" name="_1__123Graph_A__MW_VS_HR" vbProcedure="false">#REF!</definedName>
    <definedName function="false" hidden="true" name="_1__FDSAUDITLINK__" vbProcedure="false">{"fdsup://directions/FAT Viewer?action=UPDATE&amp;creator=factset&amp;DYN_ARGS=TRUE&amp;DOC_NAME=FAT:FQL_AUDITING_CLIENT_TEMPLATE.FAT&amp;display_string=Audit&amp;VAR:KEY=RUVWZSXWJY&amp;VAR:QUERY=RkZfRU5UUlBSX1ZBTF9EQUlMWSgtNkFNLC02QU0sLCwsJ0RJTCcp&amp;WINDOW=FIRST_POPUP&amp;HEIGHT=450&amp;WI","DTH=450&amp;START_MAXIMIZED=FALSE&amp;VAR:CALENDAR=FIVEDAY&amp;VAR:SYMBOL=B1HMC7&amp;VAR:INDEX=0"}</definedName>
    <definedName function="false" hidden="true" name="_200__FDSAUDITLINK__" vbProcedure="false">{"fdsup://Directions/FactSet Auditing Viewer?action=AUDIT_VALUE&amp;DB=129&amp;ID1=552902&amp;VALUEID=01001&amp;SDATE=2009&amp;PERIODTYPE=ANN_STD&amp;window=popup_no_bar&amp;width=385&amp;height=120&amp;START_MAXIMIZED=FALSE&amp;creator=factset&amp;display_string=Audit"}</definedName>
    <definedName function="false" hidden="true" name="_201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02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030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33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2034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2035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2036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2037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2038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2039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203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040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2041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2042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2043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2044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2045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2046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2047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2048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2049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204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050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2051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2052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2053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2054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2055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2056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2057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2058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2059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205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060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2061__FDSAUDITLINK__" vbProcedure="false">{"fdsup://directions/FAT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function="false" hidden="true" name="_2062__FDSAUDITLINK__" vbProcedure="false">{"fdsup://directions/FAT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function="false" hidden="true" name="_2063__FDSAUDITLINK__" vbProcedure="false">{"fdsup://directions/FAT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function="false" hidden="true" name="_2064__FDSAUDITLINK__" vbProcedure="false">{"fdsup://directions/FAT Viewer?action=UPDATE&amp;creator=factset&amp;DYN_ARGS=TRUE&amp;DOC_NAME=FAT:FQL_AUDITING_CLIENT_TEMPLATE.FAT&amp;display_string=Audit&amp;VAR:KEY=EDEJOJITQZ&amp;VAR:QUERY=RkZfRUJJVERBKENBTCwyMDA4LCwsLEVVUik=&amp;WINDOW=FIRST_POPUP&amp;HEIGHT=450&amp;WIDTH=450&amp;START_MA","XIMIZED=FALSE&amp;VAR:CALENDAR=FIVEDAY&amp;VAR:SYMBOL=B0KS38&amp;VAR:INDEX=0"}</definedName>
    <definedName function="false" hidden="true" name="_2065__FDSAUDITLINK__" vbProcedure="false">{"fdsup://directions/FAT Viewer?action=UPDATE&amp;creator=factset&amp;DYN_ARGS=TRUE&amp;DOC_NAME=FAT:FQL_AUDITING_CLIENT_TEMPLATE.FAT&amp;display_string=Audit&amp;VAR:KEY=RININCXYPE&amp;VAR:QUERY=RkZfQ0FQRVgoQ0FMLDIwMDksLCwsRVVSKQ==&amp;WINDOW=FIRST_POPUP&amp;HEIGHT=450&amp;WIDTH=450&amp;START_MA","XIMIZED=FALSE&amp;VAR:CALENDAR=FIVEDAY&amp;VAR:SYMBOL=OI&amp;VAR:INDEX=0"}</definedName>
    <definedName function="false" hidden="true" name="_2066__FDSAUDITLINK__" vbProcedure="false">{"fdsup://directions/FAT Viewer?action=UPDATE&amp;creator=factset&amp;DYN_ARGS=TRUE&amp;DOC_NAME=FAT:FQL_AUDITING_CLIENT_TEMPLATE.FAT&amp;display_string=Audit&amp;VAR:KEY=DETARMLUHM&amp;VAR:QUERY=RkZfRUJJVChDQUwsMjAwOSwsLCxFVVIp&amp;WINDOW=FIRST_POPUP&amp;HEIGHT=450&amp;WIDTH=450&amp;START_MAXIMI","ZED=FALSE&amp;VAR:CALENDAR=FIVEDAY&amp;VAR:SYMBOL=B1XHN3&amp;VAR:INDEX=0"}</definedName>
    <definedName function="false" hidden="true" name="_2067__FDSAUDITLINK__" vbProcedure="false">{"fdsup://directions/FAT Viewer?action=UPDATE&amp;creator=factset&amp;DYN_ARGS=TRUE&amp;DOC_NAME=FAT:FQL_AUDITING_CLIENT_TEMPLATE.FAT&amp;display_string=Audit&amp;VAR:KEY=KTIZELYTAH&amp;VAR:QUERY=RkZfRUJJVERBKENBTCwyMDA4LCwsLEVVUik=&amp;WINDOW=FIRST_POPUP&amp;HEIGHT=450&amp;WIDTH=450&amp;START_MA","XIMIZED=FALSE&amp;VAR:CALENDAR=FIVEDAY&amp;VAR:SYMBOL=SIAL&amp;VAR:INDEX=0"}</definedName>
    <definedName function="false" hidden="true" name="_2068__FDSAUDITLINK__" vbProcedure="false">{"fdsup://directions/FAT Viewer?action=UPDATE&amp;creator=factset&amp;DYN_ARGS=TRUE&amp;DOC_NAME=FAT:FQL_AUDITING_CLIENT_TEMPLATE.FAT&amp;display_string=Audit&amp;VAR:KEY=OXKBSDEBAP&amp;VAR:QUERY=RkZfRUJJVERBKENBTCwyMDA3LCwsLEVVUik=&amp;WINDOW=FIRST_POPUP&amp;HEIGHT=450&amp;WIDTH=450&amp;START_MA","XIMIZED=FALSE&amp;VAR:CALENDAR=FIVEDAY&amp;VAR:SYMBOL=SIAL&amp;VAR:INDEX=0"}</definedName>
    <definedName function="false" hidden="true" name="_2069__FDSAUDITLINK__" vbProcedure="false">{"fdsup://directions/FAT Viewer?action=UPDATE&amp;creator=factset&amp;DYN_ARGS=TRUE&amp;DOC_NAME=FAT:FQL_AUDITING_CLIENT_TEMPLATE.FAT&amp;display_string=Audit&amp;VAR:KEY=UBSZKJINWP&amp;VAR:QUERY=RkZfQ0FQRVgoQ0FMLDIwMDksLCwsRVVSKQ==&amp;WINDOW=FIRST_POPUP&amp;HEIGHT=450&amp;WIDTH=450&amp;START_MA","XIMIZED=FALSE&amp;VAR:CALENDAR=FIVEDAY&amp;VAR:SYMBOL=B1Y47Y&amp;VAR:INDEX=0"}</definedName>
    <definedName function="false" hidden="true" name="_206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070__FDSAUDITLINK__" vbProcedure="false">{"fdsup://directions/FAT Viewer?action=UPDATE&amp;creator=factset&amp;DYN_ARGS=TRUE&amp;DOC_NAME=FAT:FQL_AUDITING_CLIENT_TEMPLATE.FAT&amp;display_string=Audit&amp;VAR:KEY=ODGBQXYTKD&amp;VAR:QUERY=RkZfRUJJVChDQUwsMjAwNywsLCxFVVIp&amp;WINDOW=FIRST_POPUP&amp;HEIGHT=450&amp;WIDTH=450&amp;START_MAXIMI","ZED=FALSE&amp;VAR:CALENDAR=FIVEDAY&amp;VAR:SYMBOL=B1Y47Y&amp;VAR:INDEX=0"}</definedName>
    <definedName function="false" hidden="true" name="_2071__FDSAUDITLINK__" vbProcedure="false">{"fdsup://Directions/FactSet Auditing Viewer?action=AUDIT_VALUE&amp;DB=129&amp;ID1=59268810&amp;VALUEID=01001&amp;SDATE=2008&amp;PERIODTYPE=ANN_STD&amp;window=popup_no_bar&amp;width=385&amp;height=120&amp;START_MAXIMIZED=FALSE&amp;creator=factset&amp;display_string=Audit"}</definedName>
    <definedName function="false" hidden="true" name="_2072__FDSAUDITLINK__" vbProcedure="false">{"fdsup://directions/FAT Viewer?action=UPDATE&amp;creator=factset&amp;DYN_ARGS=TRUE&amp;DOC_NAME=FAT:FQL_AUDITING_CLIENT_TEMPLATE.FAT&amp;display_string=Audit&amp;VAR:KEY=YPAPMHCTAP&amp;VAR:QUERY=RkZfRUJJVERBKENBTCwyMDA4LCwsLEVVUik=&amp;WINDOW=FIRST_POPUP&amp;HEIGHT=450&amp;WIDTH=450&amp;START_MA","XIMIZED=FALSE&amp;VAR:CALENDAR=FIVEDAY&amp;VAR:SYMBOL=GLW&amp;VAR:INDEX=0"}</definedName>
    <definedName function="false" hidden="true" name="_2073__FDSAUDITLINK__" vbProcedure="false">{"fdsup://directions/FAT Viewer?action=UPDATE&amp;creator=factset&amp;DYN_ARGS=TRUE&amp;DOC_NAME=FAT:FQL_AUDITING_CLIENT_TEMPLATE.FAT&amp;display_string=Audit&amp;VAR:KEY=AREVWPQTQD&amp;VAR:QUERY=RkZfRUJJVERBKENBTCwyMDA3LCwsLEVVUik=&amp;WINDOW=FIRST_POPUP&amp;HEIGHT=450&amp;WIDTH=450&amp;START_MA","XIMIZED=FALSE&amp;VAR:CALENDAR=FIVEDAY&amp;VAR:SYMBOL=653031&amp;VAR:INDEX=0"}</definedName>
    <definedName function="false" hidden="true" name="_2074__FDSAUDITLINK__" vbProcedure="false">{"fdsup://directions/FAT Viewer?action=UPDATE&amp;creator=factset&amp;DYN_ARGS=TRUE&amp;DOC_NAME=FAT:FQL_AUDITING_CLIENT_TEMPLATE.FAT&amp;display_string=Audit&amp;VAR:KEY=ABYZIBKJWT&amp;VAR:QUERY=RkZfRUJJVERBKENBTCwyMDA5LCwsLEVVUik=&amp;WINDOW=FIRST_POPUP&amp;HEIGHT=450&amp;WIDTH=450&amp;START_MA","XIMIZED=FALSE&amp;VAR:CALENDAR=FIVEDAY&amp;VAR:SYMBOL=653031&amp;VAR:INDEX=0"}</definedName>
    <definedName function="false" hidden="true" name="_2075__FDSAUDITLINK__" vbProcedure="false">{"fdsup://Directions/FactSet Auditing Viewer?action=AUDIT_VALUE&amp;DB=129&amp;ID1=69076840&amp;VALUEID=01001&amp;SDATE=2007&amp;PERIODTYPE=ANN_STD&amp;window=popup_no_bar&amp;width=385&amp;height=120&amp;START_MAXIMIZED=FALSE&amp;creator=factset&amp;display_string=Audit"}</definedName>
    <definedName function="false" hidden="true" name="_2076__FDSAUDITLINK__" vbProcedure="false">{"fdsup://directions/FAT Viewer?action=UPDATE&amp;creator=factset&amp;DYN_ARGS=TRUE&amp;DOC_NAME=FAT:FQL_AUDITING_CLIENT_TEMPLATE.FAT&amp;display_string=Audit&amp;VAR:KEY=WFARCLYZGZ&amp;VAR:QUERY=RkZfRUJJVChDQUwsMjAwOCwsLCxFVVIp&amp;WINDOW=FIRST_POPUP&amp;HEIGHT=450&amp;WIDTH=450&amp;START_MAXIMI","ZED=FALSE&amp;VAR:CALENDAR=FIVEDAY&amp;VAR:SYMBOL=605520&amp;VAR:INDEX=0"}</definedName>
    <definedName function="false" hidden="true" name="_2077__FDSAUDITLINK__" vbProcedure="false">{"fdsup://directions/FAT Viewer?action=UPDATE&amp;creator=factset&amp;DYN_ARGS=TRUE&amp;DOC_NAME=FAT:FQL_AUDITING_CLIENT_TEMPLATE.FAT&amp;display_string=Audit&amp;VAR:KEY=XYPYVAFWVA&amp;VAR:QUERY=RkZfQ0FQRVgoQ0FMLDIwMDcsLCwsRVVSKQ==&amp;WINDOW=FIRST_POPUP&amp;HEIGHT=450&amp;WIDTH=450&amp;START_MA","XIMIZED=FALSE&amp;VAR:CALENDAR=FIVEDAY&amp;VAR:SYMBOL=606660&amp;VAR:INDEX=0"}</definedName>
    <definedName function="false" hidden="true" name="_2078__FDSAUDITLINK__" vbProcedure="false">{"fdsup://directions/FAT Viewer?action=UPDATE&amp;creator=factset&amp;DYN_ARGS=TRUE&amp;DOC_NAME=FAT:FQL_AUDITING_CLIENT_TEMPLATE.FAT&amp;display_string=Audit&amp;VAR:KEY=SZGZAXCTUJ&amp;VAR:QUERY=RkZfRUJJVERBKENBTCwyMDA4LCwsLEVVUik=&amp;WINDOW=FIRST_POPUP&amp;HEIGHT=450&amp;WIDTH=450&amp;START_MA","XIMIZED=FALSE&amp;VAR:CALENDAR=FIVEDAY&amp;VAR:SYMBOL=07588710&amp;VAR:INDEX=0"}</definedName>
    <definedName function="false" hidden="true" name="_2079__FDSAUDITLINK__" vbProcedure="false">{"fdsup://directions/FAT Viewer?action=UPDATE&amp;creator=factset&amp;DYN_ARGS=TRUE&amp;DOC_NAME=FAT:FQL_AUDITING_CLIENT_TEMPLATE.FAT&amp;display_string=Audit&amp;VAR:KEY=CHGDMNMFIJ&amp;VAR:QUERY=RkZfRUJJVChDQUwsMjAwOCwsLCxFVVIp&amp;WINDOW=FIRST_POPUP&amp;HEIGHT=450&amp;WIDTH=450&amp;START_MAXIMI","ZED=FALSE&amp;VAR:CALENDAR=FIVEDAY&amp;VAR:SYMBOL=07588710&amp;VAR:INDEX=0"}</definedName>
    <definedName function="false" hidden="true" name="_207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080__FDSAUDITLINK__" vbProcedure="false">{"fdsup://directions/FAT Viewer?action=UPDATE&amp;creator=factset&amp;DYN_ARGS=TRUE&amp;DOC_NAME=FAT:FQL_AUDITING_CLIENT_TEMPLATE.FAT&amp;display_string=Audit&amp;VAR:KEY=VQTYRIVGHQ&amp;VAR:QUERY=RkZfRUJJVERBKENBTCwyMDA3LCwsLEVVUik=&amp;WINDOW=FIRST_POPUP&amp;HEIGHT=450&amp;WIDTH=450&amp;START_MA","XIMIZED=FALSE&amp;VAR:CALENDAR=FIVEDAY&amp;VAR:SYMBOL=646706&amp;VAR:INDEX=0"}</definedName>
    <definedName function="false" hidden="true" name="_2081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82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83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84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85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86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87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88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89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8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090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91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92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93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94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95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96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97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98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99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09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0ALA642C761" vbProcedure="false">#N/A</definedName>
    <definedName function="false" hidden="true" name="_20__123Graph_AC04C_FF_L" vbProcedure="false">#REF!</definedName>
    <definedName function="false" hidden="true" name="_20__123Graph_AC04C_FR_L2" vbProcedure="false">#REF!</definedName>
    <definedName function="false" hidden="true" name="_20__123Graph_ECHART_2" vbProcedure="false">#REF!</definedName>
    <definedName function="false" hidden="true" name="_20__123Graph_FHR_BY_OEM" vbProcedure="false">#REF!</definedName>
    <definedName function="false" hidden="true" name="_20__123Graph_LBL_ACHART_2" vbProcedure="false">#REF!</definedName>
    <definedName function="false" hidden="true" name="_20__123Graph_LBL_ACHART_3" vbProcedure="false">#REF!</definedName>
    <definedName function="false" hidden="true" name="_20__123Graph_XCHART_2" vbProcedure="false">#REF!</definedName>
    <definedName function="false" hidden="true" name="_20__123Graph_XCHART_3" vbProcedure="false">#REF!</definedName>
    <definedName function="false" hidden="true" name="_20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2100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101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102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103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104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105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106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107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108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109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10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110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111__FDSAUDITLINK__" vbProcedure="false">{"fdsup://directions/FAT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function="false" hidden="true" name="_2112__FDSAUDITLINK__" vbProcedure="false">{"fdsup://directions/FAT Viewer?action=UPDATE&amp;creator=factset&amp;DYN_ARGS=TRUE&amp;DOC_NAME=FAT:FQL_AUDITING_CLIENT_TEMPLATE.FAT&amp;display_string=Audit&amp;VAR:KEY=CBGXUJWVMR&amp;VAR:QUERY=RkZfQ0FQRVgoQ0FMLDIwMDksLCwsRVVSKQ==&amp;WINDOW=FIRST_POPUP&amp;HEIGHT=450&amp;WIDTH=450&amp;START_MA","XIMIZED=FALSE&amp;VAR:CALENDAR=FIVEDAY&amp;VAR:SYMBOL=B0KS38&amp;VAR:INDEX=0"}</definedName>
    <definedName function="false" hidden="true" name="_2113__FDSAUDITLINK__" vbProcedure="false">{"fdsup://directions/FAT Viewer?action=UPDATE&amp;creator=factset&amp;DYN_ARGS=TRUE&amp;DOC_NAME=FAT:FQL_AUDITING_CLIENT_TEMPLATE.FAT&amp;display_string=Audit&amp;VAR:KEY=ITQFGZMFML&amp;VAR:QUERY=RkZfRUJJVERBKENBTCwyMDA5LCwsLEVVUik=&amp;WINDOW=FIRST_POPUP&amp;HEIGHT=450&amp;WIDTH=450&amp;START_MA","XIMIZED=FALSE&amp;VAR:CALENDAR=FIVEDAY&amp;VAR:SYMBOL=605520&amp;VAR:INDEX=0"}</definedName>
    <definedName function="false" hidden="true" name="_2114__FDSAUDITLINK__" vbProcedure="false">{"fdsup://directions/FAT Viewer?action=UPDATE&amp;creator=factset&amp;DYN_ARGS=TRUE&amp;DOC_NAME=FAT:FQL_AUDITING_CLIENT_TEMPLATE.FAT&amp;display_string=Audit&amp;VAR:KEY=CLEVULKVWT&amp;VAR:QUERY=RkZfRUJJVERBKENBTCwyMDA5LCwsLEVVUik=&amp;WINDOW=FIRST_POPUP&amp;HEIGHT=450&amp;WIDTH=450&amp;START_MA","XIMIZED=FALSE&amp;VAR:CALENDAR=FIVEDAY&amp;VAR:SYMBOL=07588710&amp;VAR:INDEX=0"}</definedName>
    <definedName function="false" hidden="true" name="_2115__FDSAUDITLINK__" vbProcedure="false">{"fdsup://directions/FAT Viewer?action=UPDATE&amp;creator=factset&amp;DYN_ARGS=TRUE&amp;DOC_NAME=FAT:FQL_AUDITING_CLIENT_TEMPLATE.FAT&amp;display_string=Audit&amp;VAR:KEY=GXITQFCNQX&amp;VAR:QUERY=RkZfREVCVF9MVChNT04sMCwsLCxFVVIp&amp;WINDOW=FIRST_POPUP&amp;HEIGHT=450&amp;WIDTH=450&amp;START_MAXIMI","ZED=FALSE&amp;VAR:CALENDAR=FIVEDAY&amp;VAR:SYMBOL=SIAL&amp;VAR:INDEX=0"}</definedName>
    <definedName function="false" hidden="true" name="_2116__FDSAUDITLINK__" vbProcedure="false">{"fdsup://Directions/FactSet Auditing Viewer?action=AUDIT_VALUE&amp;DB=129&amp;ID1=516606&amp;VALUEID=P05202&amp;SDATE=2008&amp;PERIODTYPE=ANN_STD&amp;window=popup_no_bar&amp;width=385&amp;height=120&amp;START_MAXIMIZED=FALSE&amp;creator=factset&amp;display_string=Audit"}</definedName>
    <definedName function="false" hidden="true" name="_2117__FDSAUDITLINK__" vbProcedure="false">{"fdsup://directions/FAT Viewer?action=UPDATE&amp;creator=factset&amp;DYN_ARGS=TRUE&amp;DOC_NAME=FAT:FQL_AUDITING_CLIENT_TEMPLATE.FAT&amp;display_string=Audit&amp;VAR:KEY=FWPQJURQRS&amp;VAR:QUERY=RkZfRUJJVERBKENBTCwyMDA3LCwsLEVVUik=&amp;WINDOW=FIRST_POPUP&amp;HEIGHT=450&amp;WIDTH=450&amp;START_MA","XIMIZED=FALSE&amp;VAR:CALENDAR=FIVEDAY&amp;VAR:SYMBOL=B1XHN3&amp;VAR:INDEX=0"}</definedName>
    <definedName function="false" hidden="true" name="_2118__FDSAUDITLINK__" vbProcedure="false">{"fdsup://directions/FAT Viewer?action=UPDATE&amp;creator=factset&amp;DYN_ARGS=TRUE&amp;DOC_NAME=FAT:FQL_AUDITING_CLIENT_TEMPLATE.FAT&amp;display_string=Audit&amp;VAR:KEY=ZKZQPUHITE&amp;VAR:QUERY=RkZfQ0FQRVgoQ0FMLDIwMDgsLCwsRVVSKQ==&amp;WINDOW=FIRST_POPUP&amp;HEIGHT=450&amp;WIDTH=450&amp;START_MA","XIMIZED=FALSE&amp;VAR:CALENDAR=FIVEDAY&amp;VAR:SYMBOL=646706&amp;VAR:INDEX=0"}</definedName>
    <definedName function="false" hidden="true" name="_2119__FDSAUDITLINK__" vbProcedure="false">{"fdsup://directions/FAT Viewer?action=UPDATE&amp;creator=factset&amp;DYN_ARGS=TRUE&amp;DOC_NAME=FAT:FQL_AUDITING_CLIENT_TEMPLATE.FAT&amp;display_string=Audit&amp;VAR:KEY=PENYPKXMVQ&amp;VAR:QUERY=RkZfQ0FQRVgoQ0FMLDIwMDksLCwsRVVSKQ==&amp;WINDOW=FIRST_POPUP&amp;HEIGHT=450&amp;WIDTH=450&amp;START_MA","XIMIZED=FALSE&amp;VAR:CALENDAR=FIVEDAY&amp;VAR:SYMBOL=646706&amp;VAR:INDEX=0"}</definedName>
    <definedName function="false" hidden="true" name="_211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120__FDSAUDITLINK__" vbProcedure="false">{"fdsup://directions/FAT Viewer?action=UPDATE&amp;creator=factset&amp;DYN_ARGS=TRUE&amp;DOC_NAME=FAT:FQL_AUDITING_CLIENT_TEMPLATE.FAT&amp;display_string=Audit&amp;VAR:KEY=VUNYBCJMPO&amp;VAR:QUERY=RkZfRUJJVERBKENBTCwyMDA4LCwsLEVVUik=&amp;WINDOW=FIRST_POPUP&amp;HEIGHT=450&amp;WIDTH=450&amp;START_MA","XIMIZED=FALSE&amp;VAR:CALENDAR=FIVEDAY&amp;VAR:SYMBOL=516606&amp;VAR:INDEX=0"}</definedName>
    <definedName function="false" hidden="true" name="_2121__FDSAUDITLINK__" vbProcedure="false">{"fdsup://directions/FAT Viewer?action=UPDATE&amp;creator=factset&amp;DYN_ARGS=TRUE&amp;DOC_NAME=FAT:FQL_AUDITING_CLIENT_TEMPLATE.FAT&amp;display_string=Audit&amp;VAR:KEY=HQRMBUVMFS&amp;VAR:QUERY=RkZfRUJJVChDQUwsMjAwNywsLCxFVVIp&amp;WINDOW=FIRST_POPUP&amp;HEIGHT=450&amp;WIDTH=450&amp;START_MAXIMI","ZED=FALSE&amp;VAR:CALENDAR=FIVEDAY&amp;VAR:SYMBOL=B1XHN3&amp;VAR:INDEX=0"}</definedName>
    <definedName function="false" hidden="true" name="_2122__FDSAUDITLINK__" vbProcedure="false">{"fdsup://directions/FAT Viewer?action=UPDATE&amp;creator=factset&amp;DYN_ARGS=TRUE&amp;DOC_NAME=FAT:FQL_AUDITING_CLIENT_TEMPLATE.FAT&amp;display_string=Audit&amp;VAR:KEY=TGPWZMVARY&amp;VAR:QUERY=RkZfQ0FQRVgoQ0FMLDIwMDcsLCwsRVVSKQ==&amp;WINDOW=FIRST_POPUP&amp;HEIGHT=450&amp;WIDTH=450&amp;START_MA","XIMIZED=FALSE&amp;VAR:CALENDAR=FIVEDAY&amp;VAR:SYMBOL=B1XHN3&amp;VAR:INDEX=0"}</definedName>
    <definedName function="false" hidden="true" name="_2123__FDSAUDITLINK__" vbProcedure="false">{"fdsup://directions/FAT Viewer?action=UPDATE&amp;creator=factset&amp;DYN_ARGS=TRUE&amp;DOC_NAME=FAT:FQL_AUDITING_CLIENT_TEMPLATE.FAT&amp;display_string=Audit&amp;VAR:KEY=HYVANETUVK&amp;VAR:QUERY=RkZfQ0FQRVgoQ0FMLDIwMDgsLCwsRVVSKQ==&amp;WINDOW=FIRST_POPUP&amp;HEIGHT=450&amp;WIDTH=450&amp;START_MA","XIMIZED=FALSE&amp;VAR:CALENDAR=FIVEDAY&amp;VAR:SYMBOL=B1XHN3&amp;VAR:INDEX=0"}</definedName>
    <definedName function="false" hidden="true" name="_2124__FDSAUDITLINK__" vbProcedure="false">{"fdsup://directions/FAT Viewer?action=UPDATE&amp;creator=factset&amp;DYN_ARGS=TRUE&amp;DOC_NAME=FAT:FQL_AUDITING_CLIENT_TEMPLATE.FAT&amp;display_string=Audit&amp;VAR:KEY=UFUBMLITKB&amp;VAR:QUERY=RkZfRUJJVERBKENBTCwyMDA5LCwsLEVVUik=&amp;WINDOW=FIRST_POPUP&amp;HEIGHT=450&amp;WIDTH=450&amp;START_MA","XIMIZED=FALSE&amp;VAR:CALENDAR=FIVEDAY&amp;VAR:SYMBOL=546672&amp;VAR:INDEX=0"}</definedName>
    <definedName function="false" hidden="true" name="_2125__FDSAUDITLINK__" vbProcedure="false">{"fdsup://directions/FAT Viewer?action=UPDATE&amp;creator=factset&amp;DYN_ARGS=TRUE&amp;DOC_NAME=FAT:FQL_AUDITING_CLIENT_TEMPLATE.FAT&amp;display_string=Audit&amp;VAR:KEY=VWLMPKPQBK&amp;VAR:QUERY=RkZfQ0FQRVgoQ0FMLDIwMDcsLCwsRVVSKQ==&amp;WINDOW=FIRST_POPUP&amp;HEIGHT=450&amp;WIDTH=450&amp;START_MA","XIMIZED=FALSE&amp;VAR:CALENDAR=FIVEDAY&amp;VAR:SYMBOL=646706&amp;VAR:INDEX=0"}</definedName>
    <definedName function="false" hidden="true" name="_2126__FDSAUDITLINK__" vbProcedure="false">{"fdsup://directions/FAT Viewer?action=UPDATE&amp;creator=factset&amp;DYN_ARGS=TRUE&amp;DOC_NAME=FAT:FQL_AUDITING_CLIENT_TEMPLATE.FAT&amp;display_string=Audit&amp;VAR:KEY=LUVKJWZKBE&amp;VAR:QUERY=RkZfQ0FQRVgoQ0FMLDIwMDksLCwsRVVSKQ==&amp;WINDOW=FIRST_POPUP&amp;HEIGHT=450&amp;WIDTH=450&amp;START_MA","XIMIZED=FALSE&amp;VAR:CALENDAR=FIVEDAY&amp;VAR:SYMBOL=B0KS38&amp;VAR:INDEX=0"}</definedName>
    <definedName function="false" hidden="true" name="_2127__FDSAUDITLINK__" vbProcedure="false">{"fdsup://directions/FAT Viewer?action=UPDATE&amp;creator=factset&amp;DYN_ARGS=TRUE&amp;DOC_NAME=FAT:FQL_AUDITING_CLIENT_TEMPLATE.FAT&amp;display_string=Audit&amp;VAR:KEY=HYVANETUVK&amp;VAR:QUERY=RkZfQ0FQRVgoQ0FMLDIwMDgsLCwsRVVSKQ==&amp;WINDOW=FIRST_POPUP&amp;HEIGHT=450&amp;WIDTH=450&amp;START_MA","XIMIZED=FALSE&amp;VAR:CALENDAR=FIVEDAY&amp;VAR:SYMBOL=B1XHN3&amp;VAR:INDEX=0"}</definedName>
    <definedName function="false" hidden="true" name="_2128__FDSAUDITLINK__" vbProcedure="false">{"fdsup://directions/FAT Viewer?action=UPDATE&amp;creator=factset&amp;DYN_ARGS=TRUE&amp;DOC_NAME=FAT:FQL_AUDITING_CLIENT_TEMPLATE.FAT&amp;display_string=Audit&amp;VAR:KEY=KBYDKRKTUN&amp;VAR:QUERY=RkZfRUJJVERBKENBTCwyMDA3LCwsLEVVUik=&amp;WINDOW=FIRST_POPUP&amp;HEIGHT=450&amp;WIDTH=450&amp;START_MA","XIMIZED=FALSE&amp;VAR:CALENDAR=FIVEDAY&amp;VAR:SYMBOL=GLW&amp;VAR:INDEX=0"}</definedName>
    <definedName function="false" hidden="true" name="_2129__FDSAUDITLINK__" vbProcedure="false">{"fdsup://directions/FAT Viewer?action=UPDATE&amp;creator=factset&amp;DYN_ARGS=TRUE&amp;DOC_NAME=FAT:FQL_AUDITING_CLIENT_TEMPLATE.FAT&amp;display_string=Audit&amp;VAR:KEY=YRGFKZWTOP&amp;VAR:QUERY=RkZfQ0FQRVgoQ0FMLDIwMDksLCwsRVVSKQ==&amp;WINDOW=FIRST_POPUP&amp;HEIGHT=450&amp;WIDTH=450&amp;START_MA","XIMIZED=FALSE&amp;VAR:CALENDAR=FIVEDAY&amp;VAR:SYMBOL=GLW&amp;VAR:INDEX=0"}</definedName>
    <definedName function="false" hidden="true" name="_212IQ_OPER塅䕃_塅EMEDIAN_EST_CIQ" vbProcedure="false">"c12011"</definedName>
    <definedName function="false" hidden="true" name="_212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130__FDSAUDITLINK__" vbProcedure="false">{"fdsup://Directions/FactSet Auditing Viewer?action=AUDIT_VALUE&amp;DB=129&amp;ID1=58733R10&amp;VALUEID=03501&amp;SDATE=2009&amp;PERIODTYPE=ANN_STD&amp;window=popup_no_bar&amp;width=385&amp;height=120&amp;START_MAXIMIZED=FALSE&amp;creator=factset&amp;display_string=Audit"}</definedName>
    <definedName function="false" hidden="true" name="_2131__FDSAUDITLINK__" vbProcedure="false">{"fdsup://Directions/FactSet Auditing Viewer?action=AUDIT_VALUE&amp;DB=129&amp;ID1=36238G10&amp;VALUEID=03501&amp;SDATE=2009&amp;PERIODTYPE=ANN_STD&amp;window=popup_no_bar&amp;width=385&amp;height=120&amp;START_MAXIMIZED=FALSE&amp;creator=factset&amp;display_string=Audit"}</definedName>
    <definedName function="false" hidden="true" name="_2132__FDSAUDITLINK__" vbProcedure="false">{"fdsup://Directions/FactSet Auditing Viewer?action=AUDIT_VALUE&amp;DB=129&amp;ID1=27864210&amp;VALUEID=03501&amp;SDATE=2009&amp;PERIODTYPE=ANN_STD&amp;window=popup_no_bar&amp;width=385&amp;height=120&amp;START_MAXIMIZED=FALSE&amp;creator=factset&amp;display_string=Audit"}</definedName>
    <definedName function="false" hidden="true" name="_2133__FDSAUDITLINK__" vbProcedure="false">{"fdsup://Directions/FactSet Auditing Viewer?action=AUDIT_VALUE&amp;DB=129&amp;ID1=02313510&amp;VALUEID=03501&amp;SDATE=2009&amp;PERIODTYPE=ANN_STD&amp;window=popup_no_bar&amp;width=385&amp;height=120&amp;START_MAXIMIZED=FALSE&amp;creator=factset&amp;display_string=Audit"}</definedName>
    <definedName function="false" hidden="true" name="_2134__FDSAUDITLINK__" vbProcedure="false">{"fdsup://Directions/FactSet Auditing Viewer?action=AUDIT_VALUE&amp;DB=129&amp;ID1=B2R9XL&amp;VALUEID=03501&amp;SDATE=2009&amp;PERIODTYPE=ANN_STD&amp;window=popup_no_bar&amp;width=385&amp;height=120&amp;START_MAXIMIZED=FALSE&amp;creator=factset&amp;display_string=Audit"}</definedName>
    <definedName function="false" hidden="true" name="_2135__FDSAUDITLINK__" vbProcedure="false">{"fdsup://Directions/FactSet Auditing Viewer?action=AUDIT_VALUE&amp;DB=129&amp;ID1=622959&amp;VALUEID=03501&amp;SDATE=2009&amp;PERIODTYPE=ANN_STD&amp;window=popup_no_bar&amp;width=385&amp;height=120&amp;START_MAXIMIZED=FALSE&amp;creator=factset&amp;display_string=Audit"}</definedName>
    <definedName function="false" hidden="true" name="_2136__FDSAUDITLINK__" vbProcedure="false">{"fdsup://directions/FAT Viewer?action=UPDATE&amp;creator=factset&amp;DYN_ARGS=TRUE&amp;DOC_NAME=FAT:FQL_AUDITING_CLIENT_TEMPLATE.FAT&amp;display_string=Audit&amp;VAR:KEY=ILKFQXAPGL&amp;VAR:QUERY=RkZfRUJJVERBKENBTCwyMDA4LCwsLEVVUik=&amp;WINDOW=FIRST_POPUP&amp;HEIGHT=450&amp;WIDTH=450&amp;START_MA","XIMIZED=FALSE&amp;VAR:CALENDAR=FIVEDAY&amp;VAR:SYMBOL=516606&amp;VAR:INDEX=0"}</definedName>
    <definedName function="false" hidden="true" name="_2137__FDSAUDITLINK__" vbProcedure="false">{"fdsup://directions/FAT Viewer?action=UPDATE&amp;creator=factset&amp;DYN_ARGS=TRUE&amp;DOC_NAME=FAT:FQL_AUDITING_CLIENT_TEMPLATE.FAT&amp;display_string=Audit&amp;VAR:KEY=CBQPCBOFMT&amp;VAR:QUERY=RkZfRUJJVERBKENBTCwyMDA5LCwsLEVVUik=&amp;WINDOW=FIRST_POPUP&amp;HEIGHT=450&amp;WIDTH=450&amp;START_MA","XIMIZED=FALSE&amp;VAR:CALENDAR=FIVEDAY&amp;VAR:SYMBOL=516606&amp;VAR:INDEX=0"}</definedName>
    <definedName function="false" hidden="true" name="_2138__FDSAUDITLINK__" vbProcedure="false">{"fdsup://directions/FAT Viewer?action=UPDATE&amp;creator=factset&amp;DYN_ARGS=TRUE&amp;DOC_NAME=FAT:FQL_AUDITING_CLIENT_TEMPLATE.FAT&amp;display_string=Audit&amp;VAR:KEY=GPOFEBCRMJ&amp;VAR:QUERY=RkZfRUJJVChDQUwsMjAwNywsLCxFVVIp&amp;WINDOW=FIRST_POPUP&amp;HEIGHT=450&amp;WIDTH=450&amp;START_MAXIMI","ZED=FALSE&amp;VAR:CALENDAR=FIVEDAY&amp;VAR:SYMBOL=516606&amp;VAR:INDEX=0"}</definedName>
    <definedName function="false" hidden="true" name="_2139__FDSAUDITLINK__" vbProcedure="false">{"fdsup://directions/FAT Viewer?action=UPDATE&amp;creator=factset&amp;DYN_ARGS=TRUE&amp;DOC_NAME=FAT:FQL_AUDITING_CLIENT_TEMPLATE.FAT&amp;display_string=Audit&amp;VAR:KEY=GPKJWHKTWZ&amp;VAR:QUERY=RkZfQ0FQRVgoQ0FMLDIwMDgsLCwsRVVSKQ==&amp;WINDOW=FIRST_POPUP&amp;HEIGHT=450&amp;WIDTH=450&amp;START_MA","XIMIZED=FALSE&amp;VAR:CALENDAR=FIVEDAY&amp;VAR:SYMBOL=B0KS38&amp;VAR:INDEX=0"}</definedName>
    <definedName function="false" hidden="true" name="_213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140__FDSAUDITLINK__" vbProcedure="false">{"fdsup://directions/FAT Viewer?action=UPDATE&amp;creator=factset&amp;DYN_ARGS=TRUE&amp;DOC_NAME=FAT:FQL_AUDITING_CLIENT_TEMPLATE.FAT&amp;display_string=Audit&amp;VAR:KEY=SDYZOJYHCP&amp;VAR:QUERY=RkZfRUJJVERBKENBTCwyMDA3LCwsLEVVUik=&amp;WINDOW=FIRST_POPUP&amp;HEIGHT=450&amp;WIDTH=450&amp;START_MA","XIMIZED=FALSE&amp;VAR:CALENDAR=FIVEDAY&amp;VAR:SYMBOL=516606&amp;VAR:INDEX=0"}</definedName>
    <definedName function="false" hidden="true" name="_2141__FDSAUDITLINK__" vbProcedure="false">{"fdsup://directions/FAT Viewer?action=UPDATE&amp;creator=factset&amp;DYN_ARGS=TRUE&amp;DOC_NAME=FAT:FQL_AUDITING_CLIENT_TEMPLATE.FAT&amp;display_string=Audit&amp;VAR:KEY=MLUVGJADMD&amp;VAR:QUERY=RkZfRUJJVERBKENBTCwyMDA5LCwsLEVVUik=&amp;WINDOW=FIRST_POPUP&amp;HEIGHT=450&amp;WIDTH=450&amp;START_MA","XIMIZED=FALSE&amp;VAR:CALENDAR=FIVEDAY&amp;VAR:SYMBOL=TMO&amp;VAR:INDEX=0"}</definedName>
    <definedName function="false" hidden="true" name="_2142__FDSAUDITLINK__" vbProcedure="false">{"fdsup://directions/FAT Viewer?action=UPDATE&amp;creator=factset&amp;DYN_ARGS=TRUE&amp;DOC_NAME=FAT:FQL_AUDITING_CLIENT_TEMPLATE.FAT&amp;display_string=Audit&amp;VAR:KEY=WVAHOVMFWR&amp;VAR:QUERY=RkZfRUJJVChDQUwsMjAwOSwsLCxFVVIp&amp;WINDOW=FIRST_POPUP&amp;HEIGHT=450&amp;WIDTH=450&amp;START_MAXIMI","ZED=FALSE&amp;VAR:CALENDAR=FIVEDAY&amp;VAR:SYMBOL=646706&amp;VAR:INDEX=0"}</definedName>
    <definedName function="false" hidden="true" name="_2143__FDSAUDITLINK__" vbProcedure="false">{"fdsup://Directions/FactSet Auditing Viewer?action=AUDIT_VALUE&amp;DB=129&amp;ID1=31540510&amp;VALUEID=01001&amp;SDATE=2009&amp;PERIODTYPE=ANN_STD&amp;window=popup_no_bar&amp;width=385&amp;height=120&amp;START_MAXIMIZED=FALSE&amp;creator=factset&amp;display_string=Audit"}</definedName>
    <definedName function="false" hidden="true" name="_2144__FDSAUDITLINK__" vbProcedure="false">{"fdsup://Directions/FactSet Auditing Viewer?action=AUDIT_VALUE&amp;DB=129&amp;ID1=31540510&amp;VALUEID=01001&amp;SDATE=2008&amp;PERIODTYPE=ANN_STD&amp;window=popup_no_bar&amp;width=385&amp;height=120&amp;START_MAXIMIZED=FALSE&amp;creator=factset&amp;display_string=Audit"}</definedName>
    <definedName function="false" hidden="true" name="_2145__FDSAUDITLINK__" vbProcedure="false">{"fdsup://Directions/FactSet Auditing Viewer?action=AUDIT_VALUE&amp;DB=129&amp;ID1=31540510&amp;VALUEID=01001&amp;SDATE=2007&amp;PERIODTYPE=ANN_STD&amp;window=popup_no_bar&amp;width=385&amp;height=120&amp;START_MAXIMIZED=FALSE&amp;creator=factset&amp;display_string=Audit"}</definedName>
    <definedName function="false" hidden="true" name="_2146__FDSAUDITLINK__" vbProcedure="false">{"fdsup://Directions/FactSet Auditing Viewer?action=AUDIT_VALUE&amp;DB=129&amp;ID1=21935010&amp;VALUEID=01001&amp;SDATE=2009&amp;PERIODTYPE=ANN_STD&amp;window=popup_no_bar&amp;width=385&amp;height=120&amp;START_MAXIMIZED=FALSE&amp;creator=factset&amp;display_string=Audit"}</definedName>
    <definedName function="false" hidden="true" name="_2147__FDSAUDITLINK__" vbProcedure="false">{"fdsup://Directions/FactSet Auditing Viewer?action=AUDIT_VALUE&amp;DB=129&amp;ID1=21935010&amp;VALUEID=01001&amp;SDATE=2008&amp;PERIODTYPE=ANN_STD&amp;window=popup_no_bar&amp;width=385&amp;height=120&amp;START_MAXIMIZED=FALSE&amp;creator=factset&amp;display_string=Audit"}</definedName>
    <definedName function="false" hidden="true" name="_2148__FDSAUDITLINK__" vbProcedure="false">{"fdsup://Directions/FactSet Auditing Viewer?action=AUDIT_VALUE&amp;DB=129&amp;ID1=21935010&amp;VALUEID=01001&amp;SDATE=2007&amp;PERIODTYPE=ANN_STD&amp;window=popup_no_bar&amp;width=385&amp;height=120&amp;START_MAXIMIZED=FALSE&amp;creator=factset&amp;display_string=Audit"}</definedName>
    <definedName function="false" hidden="true" name="_2149__FDSAUDITLINK__" vbProcedure="false">{"fdsup://Directions/FactSet Auditing Viewer?action=AUDIT_VALUE&amp;DB=129&amp;ID1=82655210&amp;VALUEID=01001&amp;SDATE=2009&amp;PERIODTYPE=ANN_STD&amp;window=popup_no_bar&amp;width=385&amp;height=120&amp;START_MAXIMIZED=FALSE&amp;creator=factset&amp;display_string=Audit"}</definedName>
    <definedName function="false" hidden="true" name="_214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150__FDSAUDITLINK__" vbProcedure="false">{"fdsup://Directions/FactSet Auditing Viewer?action=AUDIT_VALUE&amp;DB=129&amp;ID1=82655210&amp;VALUEID=01001&amp;SDATE=2008&amp;PERIODTYPE=ANN_STD&amp;window=popup_no_bar&amp;width=385&amp;height=120&amp;START_MAXIMIZED=FALSE&amp;creator=factset&amp;display_string=Audit"}</definedName>
    <definedName function="false" hidden="true" name="_2151__FDSAUDITLINK__" vbProcedure="false">{"fdsup://Directions/FactSet Auditing Viewer?action=AUDIT_VALUE&amp;DB=129&amp;ID1=82655210&amp;VALUEID=01001&amp;SDATE=2007&amp;PERIODTYPE=ANN_STD&amp;window=popup_no_bar&amp;width=385&amp;height=120&amp;START_MAXIMIZED=FALSE&amp;creator=factset&amp;display_string=Audit"}</definedName>
    <definedName function="false" hidden="true" name="_2152__FDSAUDITLINK__" vbProcedure="false">{"fdsup://directions/FAT Viewer?action=UPDATE&amp;creator=factset&amp;DYN_ARGS=TRUE&amp;DOC_NAME=FAT:FQL_AUDITING_CLIENT_TEMPLATE.FAT&amp;display_string=Audit&amp;VAR:KEY=UNWZQNEHSZ&amp;VAR:QUERY=RkZfQ0FQRVgoQ0FMLDIwMDksLCwsRVVSKQ==&amp;WINDOW=FIRST_POPUP&amp;HEIGHT=450&amp;WIDTH=450&amp;START_MA","XIMIZED=FALSE&amp;VAR:CALENDAR=FIVEDAY&amp;VAR:SYMBOL=MTD&amp;VAR:INDEX=0"}</definedName>
    <definedName function="false" hidden="true" name="_2153__FDSAUDITLINK__" vbProcedure="false">{"fdsup://directions/FAT Viewer?action=UPDATE&amp;creator=factset&amp;DYN_ARGS=TRUE&amp;DOC_NAME=FAT:FQL_AUDITING_CLIENT_TEMPLATE.FAT&amp;display_string=Audit&amp;VAR:KEY=SFAVCBIPYH&amp;VAR:QUERY=RkZfQ0FQRVgoQ0FMLDIwMDgsLCwsRVVSKQ==&amp;WINDOW=FIRST_POPUP&amp;HEIGHT=450&amp;WIDTH=450&amp;START_MA","XIMIZED=FALSE&amp;VAR:CALENDAR=FIVEDAY&amp;VAR:SYMBOL=MTD&amp;VAR:INDEX=0"}</definedName>
    <definedName function="false" hidden="true" name="_2154__FDSAUDITLINK__" vbProcedure="false">{"fdsup://directions/FAT Viewer?action=UPDATE&amp;creator=factset&amp;DYN_ARGS=TRUE&amp;DOC_NAME=FAT:FQL_AUDITING_CLIENT_TEMPLATE.FAT&amp;display_string=Audit&amp;VAR:KEY=SNIJETGTYJ&amp;VAR:QUERY=RkZfQ0FQRVgoQ0FMLDIwMDcsLCwsRVVSKQ==&amp;WINDOW=FIRST_POPUP&amp;HEIGHT=450&amp;WIDTH=450&amp;START_MA","XIMIZED=FALSE&amp;VAR:CALENDAR=FIVEDAY&amp;VAR:SYMBOL=MTD&amp;VAR:INDEX=0"}</definedName>
    <definedName function="false" hidden="true" name="_2155__FDSAUDITLINK__" vbProcedure="false">{"fdsup://directions/FAT Viewer?action=UPDATE&amp;creator=factset&amp;DYN_ARGS=TRUE&amp;DOC_NAME=FAT:FQL_AUDITING_CLIENT_TEMPLATE.FAT&amp;display_string=Audit&amp;VAR:KEY=SBMHGZGZGJ&amp;VAR:QUERY=RkZfRUJJVChDQUwsMjAwOSwsLCxFVVIp&amp;WINDOW=FIRST_POPUP&amp;HEIGHT=450&amp;WIDTH=450&amp;START_MAXIMI","ZED=FALSE&amp;VAR:CALENDAR=FIVEDAY&amp;VAR:SYMBOL=MTD&amp;VAR:INDEX=0"}</definedName>
    <definedName function="false" hidden="true" name="_2156__FDSAUDITLINK__" vbProcedure="false">{"fdsup://directions/FAT Viewer?action=UPDATE&amp;creator=factset&amp;DYN_ARGS=TRUE&amp;DOC_NAME=FAT:FQL_AUDITING_CLIENT_TEMPLATE.FAT&amp;display_string=Audit&amp;VAR:KEY=QFMJSRGVGT&amp;VAR:QUERY=RkZfRUJJVChDQUwsMjAwOCwsLCxFVVIp&amp;WINDOW=FIRST_POPUP&amp;HEIGHT=450&amp;WIDTH=450&amp;START_MAXIMI","ZED=FALSE&amp;VAR:CALENDAR=FIVEDAY&amp;VAR:SYMBOL=MTD&amp;VAR:INDEX=0"}</definedName>
    <definedName function="false" hidden="true" name="_2157__FDSAUDITLINK__" vbProcedure="false">{"fdsup://directions/FAT Viewer?action=UPDATE&amp;creator=factset&amp;DYN_ARGS=TRUE&amp;DOC_NAME=FAT:FQL_AUDITING_CLIENT_TEMPLATE.FAT&amp;display_string=Audit&amp;VAR:KEY=UZSDUBEXED&amp;VAR:QUERY=RkZfRUJJVChDQUwsMjAwNywsLCxFVVIp&amp;WINDOW=FIRST_POPUP&amp;HEIGHT=450&amp;WIDTH=450&amp;START_MAXIMI","ZED=FALSE&amp;VAR:CALENDAR=FIVEDAY&amp;VAR:SYMBOL=MTD&amp;VAR:INDEX=0"}</definedName>
    <definedName function="false" hidden="true" name="_2158__FDSAUDITLINK__" vbProcedure="false">{"fdsup://directions/FAT Viewer?action=UPDATE&amp;creator=factset&amp;DYN_ARGS=TRUE&amp;DOC_NAME=FAT:FQL_AUDITING_CLIENT_TEMPLATE.FAT&amp;display_string=Audit&amp;VAR:KEY=SPADQLMRGJ&amp;VAR:QUERY=RkZfRUJJVERBKENBTCwyMDA5LCwsLEVVUik=&amp;WINDOW=FIRST_POPUP&amp;HEIGHT=450&amp;WIDTH=450&amp;START_MA","XIMIZED=FALSE&amp;VAR:CALENDAR=FIVEDAY&amp;VAR:SYMBOL=MTD&amp;VAR:INDEX=0"}</definedName>
    <definedName function="false" hidden="true" name="_2159__FDSAUDITLINK__" vbProcedure="false">{"fdsup://directions/FAT Viewer?action=UPDATE&amp;creator=factset&amp;DYN_ARGS=TRUE&amp;DOC_NAME=FAT:FQL_AUDITING_CLIENT_TEMPLATE.FAT&amp;display_string=Audit&amp;VAR:KEY=AHYXAJKVMN&amp;VAR:QUERY=RkZfRUJJVERBKENBTCwyMDA4LCwsLEVVUik=&amp;WINDOW=FIRST_POPUP&amp;HEIGHT=450&amp;WIDTH=450&amp;START_MA","XIMIZED=FALSE&amp;VAR:CALENDAR=FIVEDAY&amp;VAR:SYMBOL=MTD&amp;VAR:INDEX=0"}</definedName>
    <definedName function="false" hidden="true" name="_215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160__FDSAUDITLINK__" vbProcedure="false">{"fdsup://directions/FAT Viewer?action=UPDATE&amp;creator=factset&amp;DYN_ARGS=TRUE&amp;DOC_NAME=FAT:FQL_AUDITING_CLIENT_TEMPLATE.FAT&amp;display_string=Audit&amp;VAR:KEY=EDOXCROLQB&amp;VAR:QUERY=RkZfRUJJVERBKENBTCwyMDA3LCwsLEVVUik=&amp;WINDOW=FIRST_POPUP&amp;HEIGHT=450&amp;WIDTH=450&amp;START_MA","XIMIZED=FALSE&amp;VAR:CALENDAR=FIVEDAY&amp;VAR:SYMBOL=MTD&amp;VAR:INDEX=0"}</definedName>
    <definedName function="false" hidden="true" name="_2161__FDSAUDITLINK__" vbProcedure="false">{"fdsup://Directions/FactSet Auditing Viewer?action=AUDIT_VALUE&amp;DB=129&amp;ID1=59268810&amp;VALUEID=01001&amp;SDATE=2009&amp;PERIODTYPE=ANN_STD&amp;window=popup_no_bar&amp;width=385&amp;height=120&amp;START_MAXIMIZED=FALSE&amp;creator=factset&amp;display_string=Audit"}</definedName>
    <definedName function="false" hidden="true" name="_2162__FDSAUDITLINK__" vbProcedure="false">{"fdsup://Directions/FactSet Auditing Viewer?action=AUDIT_VALUE&amp;DB=129&amp;ID1=59268810&amp;VALUEID=01001&amp;SDATE=2008&amp;PERIODTYPE=ANN_STD&amp;window=popup_no_bar&amp;width=385&amp;height=120&amp;START_MAXIMIZED=FALSE&amp;creator=factset&amp;display_string=Audit"}</definedName>
    <definedName function="false" hidden="true" name="_2163__FDSAUDITLINK__" vbProcedure="false">{"fdsup://Directions/FactSet Auditing Viewer?action=AUDIT_VALUE&amp;DB=129&amp;ID1=59268810&amp;VALUEID=01001&amp;SDATE=2007&amp;PERIODTYPE=ANN_STD&amp;window=popup_no_bar&amp;width=385&amp;height=120&amp;START_MAXIMIZED=FALSE&amp;creator=factset&amp;display_string=Audit"}</definedName>
    <definedName function="false" hidden="true" name="_2164__FDSAUDITLINK__" vbProcedure="false">{"fdsup://Directions/FactSet Auditing Viewer?action=AUDIT_VALUE&amp;DB=129&amp;ID1=571062&amp;VALUEID=P05202&amp;SDATE=2009&amp;PERIODTYPE=ANN_STD&amp;window=popup_no_bar&amp;width=385&amp;height=120&amp;START_MAXIMIZED=FALSE&amp;creator=factset&amp;display_string=Audit"}</definedName>
    <definedName function="false" hidden="true" name="_2165__FDSAUDITLINK__" vbProcedure="false">{"fdsup://Directions/FactSet Auditing Viewer?action=AUDIT_VALUE&amp;DB=129&amp;ID1=571062&amp;VALUEID=P05202&amp;SDATE=2008&amp;PERIODTYPE=ANN_STD&amp;window=popup_no_bar&amp;width=385&amp;height=120&amp;START_MAXIMIZED=FALSE&amp;creator=factset&amp;display_string=Audit"}</definedName>
    <definedName function="false" hidden="true" name="_2166__FDSAUDITLINK__" vbProcedure="false">{"fdsup://Directions/FactSet Auditing Viewer?action=AUDIT_VALUE&amp;DB=129&amp;ID1=571062&amp;VALUEID=P05202&amp;SDATE=2007&amp;PERIODTYPE=ANN_STD&amp;window=popup_no_bar&amp;width=385&amp;height=120&amp;START_MAXIMIZED=FALSE&amp;creator=factset&amp;display_string=Audit"}</definedName>
    <definedName function="false" hidden="true" name="_2167__FDSAUDITLINK__" vbProcedure="false">{"fdsup://directions/FAT Viewer?action=UPDATE&amp;creator=factset&amp;DYN_ARGS=TRUE&amp;DOC_NAME=FAT:FQL_AUDITING_CLIENT_TEMPLATE.FAT&amp;display_string=Audit&amp;VAR:KEY=ETEVKFWNIB&amp;VAR:QUERY=RkZfQ0FQRVgoQ0FMLDIwMDksLCwsRVVSKQ==&amp;WINDOW=FIRST_POPUP&amp;HEIGHT=450&amp;WIDTH=450&amp;START_MA","XIMIZED=FALSE&amp;VAR:CALENDAR=FIVEDAY&amp;VAR:SYMBOL=571062&amp;VAR:INDEX=0"}</definedName>
    <definedName function="false" hidden="true" name="_2168__FDSAUDITLINK__" vbProcedure="false">{"fdsup://directions/FAT Viewer?action=UPDATE&amp;creator=factset&amp;DYN_ARGS=TRUE&amp;DOC_NAME=FAT:FQL_AUDITING_CLIENT_TEMPLATE.FAT&amp;display_string=Audit&amp;VAR:KEY=SXQRANMDSJ&amp;VAR:QUERY=RkZfQ0FQRVgoQ0FMLDIwMDgsLCwsRVVSKQ==&amp;WINDOW=FIRST_POPUP&amp;HEIGHT=450&amp;WIDTH=450&amp;START_MA","XIMIZED=FALSE&amp;VAR:CALENDAR=FIVEDAY&amp;VAR:SYMBOL=571062&amp;VAR:INDEX=0"}</definedName>
    <definedName function="false" hidden="true" name="_2169__FDSAUDITLINK__" vbProcedure="false">{"fdsup://directions/FAT Viewer?action=UPDATE&amp;creator=factset&amp;DYN_ARGS=TRUE&amp;DOC_NAME=FAT:FQL_AUDITING_CLIENT_TEMPLATE.FAT&amp;display_string=Audit&amp;VAR:KEY=IDGVYRUJIH&amp;VAR:QUERY=RkZfQ0FQRVgoQ0FMLDIwMDcsLCwsRVVSKQ==&amp;WINDOW=FIRST_POPUP&amp;HEIGHT=450&amp;WIDTH=450&amp;START_MA","XIMIZED=FALSE&amp;VAR:CALENDAR=FIVEDAY&amp;VAR:SYMBOL=571062&amp;VAR:INDEX=0"}</definedName>
    <definedName function="false" hidden="true" name="_216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170__FDSAUDITLINK__" vbProcedure="false">{"fdsup://directions/FAT Viewer?action=UPDATE&amp;creator=factset&amp;DYN_ARGS=TRUE&amp;DOC_NAME=FAT:FQL_AUDITING_CLIENT_TEMPLATE.FAT&amp;display_string=Audit&amp;VAR:KEY=ADCRKLSJEF&amp;VAR:QUERY=RkZfRUJJVChDQUwsMjAwOSwsLCxFVVIp&amp;WINDOW=FIRST_POPUP&amp;HEIGHT=450&amp;WIDTH=450&amp;START_MAXIMI","ZED=FALSE&amp;VAR:CALENDAR=FIVEDAY&amp;VAR:SYMBOL=571062&amp;VAR:INDEX=0"}</definedName>
    <definedName function="false" hidden="true" name="_2171__FDSAUDITLINK__" vbProcedure="false">{"fdsup://directions/FAT Viewer?action=UPDATE&amp;creator=factset&amp;DYN_ARGS=TRUE&amp;DOC_NAME=FAT:FQL_AUDITING_CLIENT_TEMPLATE.FAT&amp;display_string=Audit&amp;VAR:KEY=KFMFYXENCZ&amp;VAR:QUERY=RkZfRUJJVChDQUwsMjAwOCwsLCxFVVIp&amp;WINDOW=FIRST_POPUP&amp;HEIGHT=450&amp;WIDTH=450&amp;START_MAXIMI","ZED=FALSE&amp;VAR:CALENDAR=FIVEDAY&amp;VAR:SYMBOL=571062&amp;VAR:INDEX=0"}</definedName>
    <definedName function="false" hidden="true" name="_2172__FDSAUDITLINK__" vbProcedure="false">{"fdsup://directions/FAT Viewer?action=UPDATE&amp;creator=factset&amp;DYN_ARGS=TRUE&amp;DOC_NAME=FAT:FQL_AUDITING_CLIENT_TEMPLATE.FAT&amp;display_string=Audit&amp;VAR:KEY=QVCZITCPEX&amp;VAR:QUERY=RkZfRUJJVChDQUwsMjAwNywsLCxFVVIp&amp;WINDOW=FIRST_POPUP&amp;HEIGHT=450&amp;WIDTH=450&amp;START_MAXIMI","ZED=FALSE&amp;VAR:CALENDAR=FIVEDAY&amp;VAR:SYMBOL=571062&amp;VAR:INDEX=0"}</definedName>
    <definedName function="false" hidden="true" name="_2173__FDSAUDITLINK__" vbProcedure="false">{"fdsup://directions/FAT Viewer?action=UPDATE&amp;creator=factset&amp;DYN_ARGS=TRUE&amp;DOC_NAME=FAT:FQL_AUDITING_CLIENT_TEMPLATE.FAT&amp;display_string=Audit&amp;VAR:KEY=ABOZEXUJSB&amp;VAR:QUERY=RkZfRUJJVERBKENBTCwyMDA5LCwsLEVVUik=&amp;WINDOW=FIRST_POPUP&amp;HEIGHT=450&amp;WIDTH=450&amp;START_MA","XIMIZED=FALSE&amp;VAR:CALENDAR=FIVEDAY&amp;VAR:SYMBOL=571062&amp;VAR:INDEX=0"}</definedName>
    <definedName function="false" hidden="true" name="_2174__FDSAUDITLINK__" vbProcedure="false">{"fdsup://directions/FAT Viewer?action=UPDATE&amp;creator=factset&amp;DYN_ARGS=TRUE&amp;DOC_NAME=FAT:FQL_AUDITING_CLIENT_TEMPLATE.FAT&amp;display_string=Audit&amp;VAR:KEY=IZEPMVUNKN&amp;VAR:QUERY=RkZfRUJJVERBKENBTCwyMDA4LCwsLEVVUik=&amp;WINDOW=FIRST_POPUP&amp;HEIGHT=450&amp;WIDTH=450&amp;START_MA","XIMIZED=FALSE&amp;VAR:CALENDAR=FIVEDAY&amp;VAR:SYMBOL=571062&amp;VAR:INDEX=0"}</definedName>
    <definedName function="false" hidden="true" name="_2175__FDSAUDITLINK__" vbProcedure="false">{"fdsup://directions/FAT Viewer?action=UPDATE&amp;creator=factset&amp;DYN_ARGS=TRUE&amp;DOC_NAME=FAT:FQL_AUDITING_CLIENT_TEMPLATE.FAT&amp;display_string=Audit&amp;VAR:KEY=MRUXMXORIZ&amp;VAR:QUERY=RkZfRUJJVERBKENBTCwyMDA3LCwsLEVVUik=&amp;WINDOW=FIRST_POPUP&amp;HEIGHT=450&amp;WIDTH=450&amp;START_MA","XIMIZED=FALSE&amp;VAR:CALENDAR=FIVEDAY&amp;VAR:SYMBOL=571062&amp;VAR:INDEX=0"}</definedName>
    <definedName function="false" hidden="true" name="_2176__FDSAUDITLINK__" vbProcedure="false">{"fdsup://Directions/FactSet Auditing Viewer?action=AUDIT_VALUE&amp;DB=129&amp;ID1=571062&amp;VALUEID=01001&amp;SDATE=2009&amp;PERIODTYPE=ANN_STD&amp;window=popup_no_bar&amp;width=385&amp;height=120&amp;START_MAXIMIZED=FALSE&amp;creator=factset&amp;display_string=Audit"}</definedName>
    <definedName function="false" hidden="true" name="_2177__FDSAUDITLINK__" vbProcedure="false">{"fdsup://Directions/FactSet Auditing Viewer?action=AUDIT_VALUE&amp;DB=129&amp;ID1=571062&amp;VALUEID=01001&amp;SDATE=2008&amp;PERIODTYPE=ANN_STD&amp;window=popup_no_bar&amp;width=385&amp;height=120&amp;START_MAXIMIZED=FALSE&amp;creator=factset&amp;display_string=Audit"}</definedName>
    <definedName function="false" hidden="true" name="_2178__FDSAUDITLINK__" vbProcedure="false">{"fdsup://Directions/FactSet Auditing Viewer?action=AUDIT_VALUE&amp;DB=129&amp;ID1=571062&amp;VALUEID=01001&amp;SDATE=2007&amp;PERIODTYPE=ANN_STD&amp;window=popup_no_bar&amp;width=385&amp;height=120&amp;START_MAXIMIZED=FALSE&amp;creator=factset&amp;display_string=Audit"}</definedName>
    <definedName function="false" hidden="true" name="_2179__FDSAUDITLINK__" vbProcedure="false">{"fdsup://directions/FAT Viewer?action=UPDATE&amp;creator=factset&amp;DYN_ARGS=TRUE&amp;DOC_NAME=FAT:FQL_AUDITING_CLIENT_TEMPLATE.FAT&amp;display_string=Audit&amp;VAR:KEY=ARWFITULYD&amp;VAR:QUERY=RkZfREVCVF9MVChNT04sMCwsLCxFVVIp&amp;WINDOW=FIRST_POPUP&amp;HEIGHT=450&amp;WIDTH=450&amp;START_MAXIMI","ZED=FALSE&amp;VAR:CALENDAR=FIVEDAY&amp;VAR:SYMBOL=MTD&amp;VAR:INDEX=0"}</definedName>
    <definedName function="false" hidden="true" name="_217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180__FDSAUDITLINK__" vbProcedure="false">{"fdsup://directions/FAT Viewer?action=UPDATE&amp;creator=factset&amp;DYN_ARGS=TRUE&amp;DOC_NAME=FAT:FQL_AUDITING_CLIENT_TEMPLATE.FAT&amp;display_string=Audit&amp;VAR:KEY=CXQRONKDGJ&amp;VAR:QUERY=RkZfREVCVF9MVChNT04sMCwsLCxFVVIp&amp;WINDOW=FIRST_POPUP&amp;HEIGHT=450&amp;WIDTH=450&amp;START_MAXIMI","ZED=FALSE&amp;VAR:CALENDAR=FIVEDAY&amp;VAR:SYMBOL=571062&amp;VAR:INDEX=0"}</definedName>
    <definedName function="false" hidden="true" name="_2181__FDSAUDITLINK__" vbProcedure="false">{"fdsup://directions/FAT Viewer?action=UPDATE&amp;creator=factset&amp;DYN_ARGS=TRUE&amp;DOC_NAME=FAT:FQL_AUDITING_CLIENT_TEMPLATE.FAT&amp;display_string=Audit&amp;VAR:KEY=GRSVMRWHSV&amp;VAR:QUERY=RkZfRUJJVChDQUwsMjAwNywsLCxFVVIp&amp;WINDOW=FIRST_POPUP&amp;HEIGHT=450&amp;WIDTH=450&amp;START_MAXIMI","ZED=FALSE&amp;VAR:CALENDAR=FIVEDAY&amp;VAR:SYMBOL=OI&amp;VAR:INDEX=0"}</definedName>
    <definedName function="false" hidden="true" name="_2182__FDSAUDITLINK__" vbProcedure="false">{"fdsup://directions/FAT Viewer?action=UPDATE&amp;creator=factset&amp;DYN_ARGS=TRUE&amp;DOC_NAME=FAT:FQL_AUDITING_CLIENT_TEMPLATE.FAT&amp;display_string=Audit&amp;VAR:KEY=MLODSVETER&amp;VAR:QUERY=RkZfRUJJVChDQUwsMjAwOCwsLCxFVVIp&amp;WINDOW=FIRST_POPUP&amp;HEIGHT=450&amp;WIDTH=450&amp;START_MAXIMI","ZED=FALSE&amp;VAR:CALENDAR=FIVEDAY&amp;VAR:SYMBOL=OI&amp;VAR:INDEX=0"}</definedName>
    <definedName function="false" hidden="true" name="_2183__FDSAUDITLINK__" vbProcedure="false">{"fdsup://directions/FAT Viewer?action=UPDATE&amp;creator=factset&amp;DYN_ARGS=TRUE&amp;DOC_NAME=FAT:FQL_AUDITING_CLIENT_TEMPLATE.FAT&amp;display_string=Audit&amp;VAR:KEY=SFUPWXINMF&amp;VAR:QUERY=RkZfRUJJVChDQUwsMjAwOSwsLCxFVVIp&amp;WINDOW=FIRST_POPUP&amp;HEIGHT=450&amp;WIDTH=450&amp;START_MAXIMI","ZED=FALSE&amp;VAR:CALENDAR=FIVEDAY&amp;VAR:SYMBOL=OI&amp;VAR:INDEX=0"}</definedName>
    <definedName function="false" hidden="true" name="_2184__FDSAUDITLINK__" vbProcedure="false">{"fdsup://Directions/FactSet Auditing Viewer?action=AUDIT_VALUE&amp;DB=129&amp;ID1=69076840&amp;VALUEID=01001&amp;SDATE=2007&amp;PERIODTYPE=ANN_STD&amp;window=popup_no_bar&amp;width=385&amp;height=120&amp;START_MAXIMIZED=FALSE&amp;creator=factset&amp;display_string=Audit"}</definedName>
    <definedName function="false" hidden="true" name="_2185__FDSAUDITLINK__" vbProcedure="false">{"fdsup://directions/FAT Viewer?action=UPDATE&amp;creator=factset&amp;DYN_ARGS=TRUE&amp;DOC_NAME=FAT:FQL_AUDITING_CLIENT_TEMPLATE.FAT&amp;display_string=Audit&amp;VAR:KEY=EHANQFGJYX&amp;VAR:QUERY=RkZfQ0FQRVgoQ0FMLDIwMDgsLCwsRVVSKQ==&amp;WINDOW=FIRST_POPUP&amp;HEIGHT=450&amp;WIDTH=450&amp;START_MA","XIMIZED=FALSE&amp;VAR:CALENDAR=FIVEDAY&amp;VAR:SYMBOL=646706&amp;VAR:INDEX=0"}</definedName>
    <definedName function="false" hidden="true" name="_2186__FDSAUDITLINK__" vbProcedure="false">{"fdsup://directions/FAT Viewer?action=UPDATE&amp;creator=factset&amp;DYN_ARGS=TRUE&amp;DOC_NAME=FAT:FQL_AUDITING_CLIENT_TEMPLATE.FAT&amp;display_string=Audit&amp;VAR:KEY=MTUBWHYHKT&amp;VAR:QUERY=RkZfTkVUX0RFQlQoQU5OLDAp&amp;WINDOW=FIRST_POPUP&amp;HEIGHT=450&amp;WIDTH=450&amp;START_MAXIMIZED=FALS","E&amp;VAR:CALENDAR=FIVEDAY&amp;VAR:SYMBOL=606660&amp;VAR:INDEX=0"}</definedName>
    <definedName function="false" hidden="true" name="_2187__FDSAUDITLINK__" vbProcedure="false">{"fdsup://directions/FAT Viewer?action=UPDATE&amp;creator=factset&amp;DYN_ARGS=TRUE&amp;DOC_NAME=FAT:FQL_AUDITING_CLIENT_TEMPLATE.FAT&amp;display_string=Audit&amp;VAR:KEY=ANMJOBCVAF&amp;VAR:QUERY=RkZfRUJJVChDQUwsMjAwOCwsLCxFVVIp&amp;WINDOW=FIRST_POPUP&amp;HEIGHT=450&amp;WIDTH=450&amp;START_MAXIMI","ZED=FALSE&amp;VAR:CALENDAR=FIVEDAY&amp;VAR:SYMBOL=TMO&amp;VAR:INDEX=0"}</definedName>
    <definedName function="false" hidden="true" name="_2188__FDSAUDITLINK__" vbProcedure="false">{"fdsup://directions/FAT Viewer?action=UPDATE&amp;creator=factset&amp;DYN_ARGS=TRUE&amp;DOC_NAME=FAT:FQL_AUDITING_CLIENT_TEMPLATE.FAT&amp;display_string=Audit&amp;VAR:KEY=QBCFYXALYL&amp;VAR:QUERY=RkZfRUJJVERBKENBTCwyMDA3LCwsLEVVUik=&amp;WINDOW=FIRST_POPUP&amp;HEIGHT=450&amp;WIDTH=450&amp;START_MA","XIMIZED=FALSE&amp;VAR:CALENDAR=FIVEDAY&amp;VAR:SYMBOL=07588710&amp;VAR:INDEX=0"}</definedName>
    <definedName function="false" hidden="true" name="_2189__FDSAUDITLINK__" vbProcedure="false">{"fdsup://directions/FAT Viewer?action=UPDATE&amp;creator=factset&amp;DYN_ARGS=TRUE&amp;DOC_NAME=FAT:FQL_AUDITING_CLIENT_TEMPLATE.FAT&amp;display_string=Audit&amp;VAR:KEY=ELCXIRUHEV&amp;VAR:QUERY=RkZfREVCVF9MVChNT04sMCwsLCxFVVIp&amp;WINDOW=FIRST_POPUP&amp;HEIGHT=450&amp;WIDTH=450&amp;START_MAXIMI","ZED=FALSE&amp;VAR:CALENDAR=FIVEDAY&amp;VAR:SYMBOL=07588710&amp;VAR:INDEX=0"}</definedName>
    <definedName function="false" hidden="true" name="_218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190__FDSAUDITLINK__" vbProcedure="false">{"fdsup://directions/FAT Viewer?action=UPDATE&amp;creator=factset&amp;DYN_ARGS=TRUE&amp;DOC_NAME=FAT:FQL_AUDITING_CLIENT_TEMPLATE.FAT&amp;display_string=Audit&amp;VAR:KEY=GZGTAJGFAX&amp;VAR:QUERY=RkZfQ0FQRVgoQ0FMLDIwMDgsLCwsRVVSKQ==&amp;WINDOW=FIRST_POPUP&amp;HEIGHT=450&amp;WIDTH=450&amp;START_MA","XIMIZED=FALSE&amp;VAR:CALENDAR=FIVEDAY&amp;VAR:SYMBOL=605520&amp;VAR:INDEX=0"}</definedName>
    <definedName function="false" hidden="true" name="_2191__FDSAUDITLINK__" vbProcedure="false">{"fdsup://directions/FAT Viewer?action=UPDATE&amp;creator=factset&amp;DYN_ARGS=TRUE&amp;DOC_NAME=FAT:FQL_AUDITING_CLIENT_TEMPLATE.FAT&amp;display_string=Audit&amp;VAR:KEY=ALQBYZUPWP&amp;VAR:QUERY=RkZfRUJJVERBKENBTCwyMDA4LCwsLEVVUik=&amp;WINDOW=FIRST_POPUP&amp;HEIGHT=450&amp;WIDTH=450&amp;START_MA","XIMIZED=FALSE&amp;VAR:CALENDAR=FIVEDAY&amp;VAR:SYMBOL=B1XHN3&amp;VAR:INDEX=0"}</definedName>
    <definedName function="false" hidden="true" name="_219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1ALA642C761" vbProcedure="false">#N/A</definedName>
    <definedName function="false" hidden="true" name="_21__123Graph_AC04C_FF_T" vbProcedure="false">#REF!</definedName>
    <definedName function="false" hidden="true" name="_21__123Graph_AC04C_FR_T1" vbProcedure="false">#REF!</definedName>
    <definedName function="false" hidden="true" name="_21__123Graph_ACHART_1" vbProcedure="false">#REF!</definedName>
    <definedName function="false" hidden="true" name="_21__123Graph_ACHART_4" vbProcedure="false">#REF!</definedName>
    <definedName function="false" hidden="true" name="_21__123Graph_ECHART_3" vbProcedure="false">#REF!</definedName>
    <definedName function="false" hidden="true" name="_21__123Graph_LBL_ACHART_3" vbProcedure="false">#REF!</definedName>
    <definedName function="false" hidden="true" name="_21__123Graph_LBL_DCHART_1" vbProcedure="false">#N/A</definedName>
    <definedName function="false" hidden="true" name="_21__123Graph_XCAP_PWR_93___95" vbProcedure="false">#REF!</definedName>
    <definedName function="false" hidden="true" name="_21__123Graph_XCHART_4" vbProcedure="false">#REF!</definedName>
    <definedName function="false" hidden="true" name="_21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220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21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22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23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24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25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26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27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28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29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2ALA642C761" vbProcedure="false">#N/A</definedName>
    <definedName function="false" hidden="true" name="_22__123Graph_AC04C_FR_L1" vbProcedure="false">#REF!</definedName>
    <definedName function="false" hidden="true" name="_22__123Graph_AC04C_FR_T2" vbProcedure="false">#REF!</definedName>
    <definedName function="false" hidden="true" name="_22__123Graph_ACHART_2" vbProcedure="false">#REF!</definedName>
    <definedName function="false" hidden="true" name="_22__123Graph_ECHART_4" vbProcedure="false">#REF!</definedName>
    <definedName function="false" hidden="true" name="_22__123Graph_LBL_ACHART_3" vbProcedure="false">#REF!</definedName>
    <definedName function="false" hidden="true" name="_22__123Graph_LBL_DCHART_1" vbProcedure="false">#REF!</definedName>
    <definedName function="false" hidden="true" name="_22__123Graph_LBL_DCHART_2" vbProcedure="false">#REF!</definedName>
    <definedName function="false" hidden="true" name="_22__123Graph_XCAPITAL_ALL" vbProcedure="false">#REF!</definedName>
    <definedName function="false" hidden="true" name="_22__123Graph_XCHART_8" vbProcedure="false">#REF!</definedName>
    <definedName function="false" hidden="true" name="_22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230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31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32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33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34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35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36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37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38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39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3ALA642C761" vbProcedure="false">#N/A</definedName>
    <definedName function="false" hidden="true" name="_23__123Graph_AC04C_FR_L2" vbProcedure="false">#REF!</definedName>
    <definedName function="false" hidden="true" name="_23__123Graph_ACHART_2" vbProcedure="false">#REF!</definedName>
    <definedName function="false" hidden="true" name="_23__123Graph_ACHART_3" vbProcedure="false">#REF!</definedName>
    <definedName function="false" hidden="true" name="_23__123Graph_ECHART_5" vbProcedure="false">#REF!</definedName>
    <definedName function="false" hidden="true" name="_23__123Graph_LBL_AC04C_FF_L" vbProcedure="false">#REF!</definedName>
    <definedName function="false" hidden="true" name="_23__123Graph_LBL_DCHART_2" vbProcedure="false">#REF!</definedName>
    <definedName function="false" hidden="true" name="_23__123Graph_XCAPITAL_BY_OEM" vbProcedure="false">#REF!</definedName>
    <definedName function="false" hidden="true" name="_23__123Graph_XCHART_2" vbProcedure="false">#REF!</definedName>
    <definedName function="false" hidden="true" name="_23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240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41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42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43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44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45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46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47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48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49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4ALA642C761" vbProcedure="false">#N/A</definedName>
    <definedName function="false" hidden="true" name="_24__123Graph_AC04C_FF_T" vbProcedure="false">#REF!</definedName>
    <definedName function="false" hidden="true" name="_24__123Graph_AC04C_FR_T1" vbProcedure="false">#REF!</definedName>
    <definedName function="false" hidden="true" name="_24__123Graph_BCHART_1" vbProcedure="false">#REF!</definedName>
    <definedName function="false" hidden="true" name="_24__123Graph_FCHART_2" vbProcedure="false">#REF!</definedName>
    <definedName function="false" hidden="true" name="_24__123Graph_LBL_AC04C_FF_T" vbProcedure="false">#REF!</definedName>
    <definedName function="false" hidden="true" name="_24__123Graph_LBL_DCHART_1" vbProcedure="false">#REF!</definedName>
    <definedName function="false" hidden="true" name="_24__123Graph_XCHART_2" vbProcedure="false">#REF!</definedName>
    <definedName function="false" hidden="true" name="_24__123Graph_XHR_BY_OEM" vbProcedure="false">#REF!</definedName>
    <definedName function="false" hidden="true" name="_24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250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51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52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53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54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55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56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57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58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59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5ALA642C761" vbProcedure="false">#N/A</definedName>
    <definedName function="false" hidden="true" name="_25__123Graph_AC04C_FR_T2" vbProcedure="false">#REF!</definedName>
    <definedName function="false" hidden="true" name="_25__123Graph_BCHART_2" vbProcedure="false">#REF!</definedName>
    <definedName function="false" hidden="true" name="_25__123Graph_FCHART_3" vbProcedure="false">#REF!</definedName>
    <definedName function="false" hidden="true" name="_25__123Graph_LBL_AC04C_FR_L1" vbProcedure="false">#REF!</definedName>
    <definedName function="false" hidden="true" name="_25__123Graph_XUNIT_BY_OEM" vbProcedure="false">#REF!</definedName>
    <definedName function="false" hidden="true" name="_25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260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61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62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63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64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65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66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67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68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69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6ALA642C761" vbProcedure="false">#N/A</definedName>
    <definedName function="false" hidden="true" name="_26__123Graph_Aｸﾞﾗﾌ_ጻ" vbProcedure="false">#REF!</definedName>
    <definedName function="false" hidden="true" name="_26__123Graph_BCHART_3" vbProcedure="false">#REF!</definedName>
    <definedName function="false" hidden="true" name="_26__123Graph_FCHART_4" vbProcedure="false">#REF!</definedName>
    <definedName function="false" hidden="true" name="_26__123Graph_LBL_AC04C_FF_L" vbProcedure="false">#REF!</definedName>
    <definedName function="false" hidden="true" name="_26__123Graph_LBL_AC04C_FR_L2" vbProcedure="false">#REF!</definedName>
    <definedName function="false" hidden="true" name="_26__123Graph_LBL_DCHART_2" vbProcedure="false">#REF!</definedName>
    <definedName function="false" hidden="true" name="_26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270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71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72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73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74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75__FDSAUDITLINK__" vbProcedure="false">{"fdsup://Directions/FactSet Auditing Viewer?action=AUDIT_VALUE&amp;DB=129&amp;ID1=552902&amp;VALUEID=01001&amp;SDATE=2007&amp;PERIODTYPE=ANN_STD&amp;window=popup_no_bar&amp;width=385&amp;height=120&amp;START_MAXIMIZED=FALSE&amp;creator=factset&amp;display_string=Audit"}</definedName>
    <definedName function="false" hidden="true" name="_276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277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278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279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27ALA642C761" vbProcedure="false">#N/A</definedName>
    <definedName function="false" hidden="true" name="_27wrn.²Ä1­Ó¤ë1_Ü20¤H." vbProcedure="false">{#N/A,#N/A,FALSE,"²Ä1­Ó¤ë"}</definedName>
    <definedName function="false" hidden="true" name="_27__123Graph_Aｸﾞﾗﾌ_1" vbProcedure="false">#REF!</definedName>
    <definedName function="false" hidden="true" name="_27__123Graph_DCHART_1" vbProcedure="false">#REF!</definedName>
    <definedName function="false" hidden="true" name="_27__123Graph_FCHART_5" vbProcedure="false">#REF!</definedName>
    <definedName function="false" hidden="true" name="_27__123Graph_LBL_AC04C_FF_T" vbProcedure="false">#REF!</definedName>
    <definedName function="false" hidden="true" name="_27__123Graph_LBL_AC04C_FR_T1" vbProcedure="false">#REF!</definedName>
    <definedName function="false" hidden="true" name="_27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280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281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282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283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84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85__FDSAUDITLINK__" vbProcedure="false">{"fdsup://Directions/FactSet Auditing Viewer?action=AUDIT_VALUE&amp;DB=129&amp;ID1=34537086&amp;VALUEID=01001&amp;SDATE=2007&amp;PERIODTYPE=ANN_STD&amp;window=popup_no_bar&amp;width=385&amp;height=120&amp;START_MAXIMIZED=FALSE&amp;creator=factset&amp;display_string=Audit"}</definedName>
    <definedName function="false" hidden="true" name="_286__FDSAUDITLINK__" vbProcedure="false">{"fdsup://Directions/FactSet Auditing Viewer?action=AUDIT_VALUE&amp;DB=129&amp;ID1=93114210&amp;VALUEID=03040&amp;SDATE=2011&amp;PERIODTYPE=ANN_STD&amp;SCFT=3&amp;window=popup_no_bar&amp;width=385&amp;height=120&amp;START_MAXIMIZED=FALSE&amp;creator=factset&amp;display_string=Audit"}</definedName>
    <definedName function="false" hidden="true" name="_287__FDSAUDITLINK__" vbProcedure="false">{"fdsup://Directions/FactSet Auditing Viewer?action=AUDIT_VALUE&amp;DB=129&amp;ID1=93114210&amp;VALUEID=02051&amp;SDATE=2011&amp;PERIODTYPE=ANN_STD&amp;SCFT=3&amp;window=popup_no_bar&amp;width=385&amp;height=120&amp;START_MAXIMIZED=FALSE&amp;creator=factset&amp;display_string=Audit"}</definedName>
    <definedName function="false" hidden="true" name="_288__FDSAUDITLINK__" vbProcedure="false">{"fdsup://Directions/FactSet Auditing Viewer?action=AUDIT_VALUE&amp;DB=129&amp;ID1=93114210&amp;VALUEID=02101&amp;SDATE=2011&amp;PERIODTYPE=ANN_STD&amp;SCFT=3&amp;window=popup_no_bar&amp;width=385&amp;height=120&amp;START_MAXIMIZED=FALSE&amp;creator=factset&amp;display_string=Audit"}</definedName>
    <definedName function="false" hidden="true" name="_289__FDSAUDITLINK__" vbProcedure="false">{"fdsup://Directions/FactSet Auditing Viewer?action=AUDIT_VALUE&amp;DB=129&amp;ID1=93114210&amp;VALUEID=02501&amp;SDATE=2011&amp;PERIODTYPE=ANN_STD&amp;SCFT=3&amp;window=popup_no_bar&amp;width=385&amp;height=120&amp;START_MAXIMIZED=FALSE&amp;creator=factset&amp;display_string=Audit"}</definedName>
    <definedName function="false" hidden="true" name="_28wrn.²Ä1­Ó¤ë1_Ü20¤H." vbProcedure="false">{#N/A,#N/A,FALSE,"²Ä1­Ó¤ë"}</definedName>
    <definedName function="false" hidden="true" name="_28__123Graph_AC04C_FR_L1" vbProcedure="false">#REF!</definedName>
    <definedName function="false" hidden="true" name="_28__123Graph_ACHART_8" vbProcedure="false">#REF!</definedName>
    <definedName function="false" hidden="true" name="_28__123Graph_DCHART_2" vbProcedure="false">#REF!</definedName>
    <definedName function="false" hidden="true" name="_28__123Graph_LBL_AC04C_FR_L1" vbProcedure="false">#REF!</definedName>
    <definedName function="false" hidden="true" name="_28__123Graph_LBL_AC04C_FR_T2" vbProcedure="false">#REF!</definedName>
    <definedName function="false" hidden="true" name="_28__123Graph_XCHART_2" vbProcedure="false">#REF!</definedName>
    <definedName function="false" hidden="true" name="_28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28__0_S" vbProcedure="false">#REF!</definedName>
    <definedName function="false" hidden="true" name="_290__FDSAUDITLINK__" vbProcedure="false">{"fdsup://Directions/FactSet Auditing Viewer?action=AUDIT_VALUE&amp;DB=129&amp;ID1=93114210&amp;VALUEID=03426&amp;SDATE=2011&amp;PERIODTYPE=ANN_STD&amp;SCFT=3&amp;window=popup_no_bar&amp;width=385&amp;height=120&amp;START_MAXIMIZED=FALSE&amp;creator=factset&amp;display_string=Audit"}</definedName>
    <definedName function="false" hidden="true" name="_291__FDSAUDITLINK__" vbProcedure="false">{"fdsup://Directions/FactSet Auditing Viewer?action=AUDIT_VALUE&amp;DB=129&amp;ID1=93114210&amp;VALUEID=02001&amp;SDATE=2011&amp;PERIODTYPE=ANN_STD&amp;SCFT=3&amp;window=popup_no_bar&amp;width=385&amp;height=120&amp;START_MAXIMIZED=FALSE&amp;creator=factset&amp;display_string=Audit"}</definedName>
    <definedName function="false" hidden="true" name="_292__FDSAUDITLINK__" vbProcedure="false">{"fdsup://Directions/FactSet Auditing Viewer?action=AUDIT_VALUE&amp;DB=129&amp;ID1=564156&amp;VALUEID=01401&amp;SDATE=2011&amp;PERIODTYPE=ANN_STD&amp;SCFT=3&amp;window=popup_no_bar&amp;width=385&amp;height=120&amp;START_MAXIMIZED=FALSE&amp;creator=factset&amp;display_string=Audit"}</definedName>
    <definedName function="false" hidden="true" name="_293__FDSAUDITLINK__" vbProcedure="false">{"fdsup://Directions/FactSet Auditing Viewer?action=AUDIT_VALUE&amp;DB=129&amp;ID1=564156&amp;VALUEID=01401&amp;SDATE=2010&amp;PERIODTYPE=ANN_STD&amp;SCFT=3&amp;window=popup_no_bar&amp;width=385&amp;height=120&amp;START_MAXIMIZED=FALSE&amp;creator=factset&amp;display_string=Audit"}</definedName>
    <definedName function="false" hidden="true" name="_294__FDSAUDITLINK__" vbProcedure="false">{"fdsup://directions/FAT Viewer?action=UPDATE&amp;creator=factset&amp;DYN_ARGS=TRUE&amp;DOC_NAME=FAT:FQL_AUDITING_CLIENT_TEMPLATE.FAT&amp;display_string=Audit&amp;VAR:KEY=TKZKJQDOVA&amp;VAR:QUERY=RkZfRVBTX0RJTChBTk4sMCwsLFJGKQ==&amp;WINDOW=FIRST_POPUP&amp;HEIGHT=450&amp;WIDTH=450&amp;START_MAXIMI","ZED=FALSE&amp;VAR:CALENDAR=FIVEDAY&amp;VAR:SYMBOL=564156&amp;VAR:INDEX=0"}</definedName>
    <definedName function="false" hidden="true" name="_295__FDSAUDITLINK__" vbProcedure="false">{"fdsup://directions/FAT Viewer?action=UPDATE&amp;creator=factset&amp;DYN_ARGS=TRUE&amp;DOC_NAME=FAT:FQL_AUDITING_CLIENT_TEMPLATE.FAT&amp;display_string=Audit&amp;VAR:KEY=XQTIZSXKZG&amp;VAR:QUERY=RkZfRVBTX0RJTChBTk4sLTEsLCxSRik=&amp;WINDOW=FIRST_POPUP&amp;HEIGHT=450&amp;WIDTH=450&amp;START_MAXIMI","ZED=FALSE&amp;VAR:CALENDAR=FIVEDAY&amp;VAR:SYMBOL=564156&amp;VAR:INDEX=0"}</definedName>
    <definedName function="false" hidden="true" name="_296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97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298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299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29__123Graph_LBL_AC04C_FR_L2" vbProcedure="false">#REF!</definedName>
    <definedName function="false" hidden="true" name="_29__123Graph_LBL_ACHART_1" vbProcedure="false">#REF!</definedName>
    <definedName function="false" hidden="true" name="_29__123Graph_x005F_XC04C_ALL_T1" vbProcedure="false">#REF!</definedName>
    <definedName function="false" hidden="true" name="_29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29__0_S" vbProcedure="false">#REF!</definedName>
    <definedName function="false" hidden="true" name="_2ALA642C761" vbProcedure="false">#N/A</definedName>
    <definedName function="false" hidden="true" name="_2_0_0_S" vbProcedure="false">#REF!</definedName>
    <definedName function="false" hidden="true" name="_2_123Grap" vbProcedure="false">#REF!</definedName>
    <definedName function="false" hidden="true" name="_2__123Graph_ACHART_1" vbProcedure="false">#REF!</definedName>
    <definedName function="false" hidden="true" name="_2__123Graph_ACHART_2" vbProcedure="false">#REF!</definedName>
    <definedName function="false" hidden="true" name="_2__123Graph_AChart_2A" vbProcedure="false">#REF!</definedName>
    <definedName function="false" hidden="true" name="_2__123Graph_ACHART_3" vbProcedure="false">#REF!</definedName>
    <definedName function="false" hidden="true" name="_2__123Graph_A__MW_VS_POWER" vbProcedure="false">#REF!</definedName>
    <definedName function="false" hidden="true" name="_2__123Graph_BCHART_5" vbProcedure="false">#REF!</definedName>
    <definedName function="false" hidden="true" name="_2__0_S" vbProcedure="false">#REF!</definedName>
    <definedName function="false" hidden="true" name="_300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301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302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303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304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305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306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307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308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309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30__123Graph_LBL_AC04C_FR_T1" vbProcedure="false">#REF!</definedName>
    <definedName function="false" hidden="true" name="_30__123Graph_LBL_ACHART_2" vbProcedure="false">#REF!</definedName>
    <definedName function="false" hidden="true" name="_30__123Graph_x005F_XC04C_ALL_T2" vbProcedure="false">#REF!</definedName>
    <definedName function="false" hidden="true" name="_30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310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311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312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313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314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315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316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317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318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319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31__123Graph_LBL_AC04C_FR_T2" vbProcedure="false">#REF!</definedName>
    <definedName function="false" hidden="true" name="_31__123Graph_LBL_ACHART_3" vbProcedure="false">#REF!</definedName>
    <definedName function="false" hidden="true" name="_31__123Graph_x005F_XC04C_FF_L" vbProcedure="false">#REF!</definedName>
    <definedName function="false" hidden="true" name="_31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320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321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322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323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324__FDSAUDITLINK__" vbProcedure="false">{"fdsup://directions/FAT Viewer?action=UPDATE&amp;creator=factset&amp;DYN_ARGS=TRUE&amp;DOC_NAME=FAT:FQL_AUDITING_CLIENT_TEMPLATE.FAT&amp;display_string=Audit&amp;VAR:KEY=RGTATIHCRA&amp;VAR:QUERY=RkZfRUJJVERBX0lCKEFOTiwyMDA5LCwsUkYsRVVSKQ==&amp;WINDOW=FIRST_POPUP&amp;HEIGHT=450&amp;WIDTH=450&amp;","START_MAXIMIZED=FALSE&amp;VAR:CALENDAR=FIVEDAY&amp;VAR:SYMBOL=710352&amp;VAR:INDEX=0"}</definedName>
    <definedName function="false" hidden="true" name="_325__FDSAUDITLINK__" vbProcedure="false">{"fdsup://directions/FAT Viewer?action=UPDATE&amp;creator=factset&amp;DYN_ARGS=TRUE&amp;DOC_NAME=FAT:FQL_AUDITING_CLIENT_TEMPLATE.FAT&amp;display_string=Audit&amp;VAR:KEY=VCJSLOVMZS&amp;VAR:QUERY=RkZfRUJJVERBX0lCKEFOTiwyMDA4LCwsUkYsRVVSKQ==&amp;WINDOW=FIRST_POPUP&amp;HEIGHT=450&amp;WIDTH=450&amp;","START_MAXIMIZED=FALSE&amp;VAR:CALENDAR=FIVEDAY&amp;VAR:SYMBOL=710352&amp;VAR:INDEX=0"}</definedName>
    <definedName function="false" hidden="true" name="_326__FDSAUDITLINK__" vbProcedure="false">{"fdsup://directions/FAT Viewer?action=UPDATE&amp;creator=factset&amp;DYN_ARGS=TRUE&amp;DOC_NAME=FAT:FQL_AUDITING_CLIENT_TEMPLATE.FAT&amp;display_string=Audit&amp;VAR:KEY=NSVCTETUDA&amp;VAR:QUERY=RkZfRUJJVERBX0lCKEFOTiwyMDA3LCwsUkYsRVVSKQ==&amp;WINDOW=FIRST_POPUP&amp;HEIGHT=450&amp;WIDTH=450&amp;","START_MAXIMIZED=FALSE&amp;VAR:CALENDAR=FIVEDAY&amp;VAR:SYMBOL=710352&amp;VAR:INDEX=0"}</definedName>
    <definedName function="false" hidden="true" name="_327__FDSAUDITLINK__" vbProcedure="false">{"fdsup://directions/FAT Viewer?action=UPDATE&amp;creator=factset&amp;DYN_ARGS=TRUE&amp;DOC_NAME=FAT:FQL_AUDITING_CLIENT_TEMPLATE.FAT&amp;display_string=Audit&amp;VAR:KEY=FKRCBODIFW&amp;VAR:QUERY=RkZfRUJJVERBX0lCKEFOTiwyMDA5LCwsUkYsRVVSKQ==&amp;WINDOW=FIRST_POPUP&amp;HEIGHT=450&amp;WIDTH=450&amp;","START_MAXIMIZED=FALSE&amp;VAR:CALENDAR=FIVEDAY&amp;VAR:SYMBOL=471279&amp;VAR:INDEX=0"}</definedName>
    <definedName function="false" hidden="true" name="_328__FDSAUDITLINK__" vbProcedure="false">{"fdsup://directions/FAT Viewer?action=UPDATE&amp;creator=factset&amp;DYN_ARGS=TRUE&amp;DOC_NAME=FAT:FQL_AUDITING_CLIENT_TEMPLATE.FAT&amp;display_string=Audit&amp;VAR:KEY=FEJALWXQLW&amp;VAR:QUERY=RkZfRUJJVERBX0lCKEFOTiwyMDA4LCwsUkYsRVVSKQ==&amp;WINDOW=FIRST_POPUP&amp;HEIGHT=450&amp;WIDTH=450&amp;","START_MAXIMIZED=FALSE&amp;VAR:CALENDAR=FIVEDAY&amp;VAR:SYMBOL=471279&amp;VAR:INDEX=0"}</definedName>
    <definedName function="false" hidden="true" name="_329__FDSAUDITLINK__" vbProcedure="false">{"fdsup://Directions/FactSet Auditing Viewer?action=AUDIT_VALUE&amp;DB=129&amp;ID1=710352&amp;VALUEID=01001&amp;SDATE=2008&amp;PERIODTYPE=ANN_STD&amp;window=popup_no_bar&amp;width=385&amp;height=120&amp;START_MAXIMIZED=FALSE&amp;creator=factset&amp;display_string=Audit"}</definedName>
    <definedName function="false" hidden="true" name="_32__123Graph_AC04C_FR_L2" vbProcedure="false">#REF!</definedName>
    <definedName function="false" hidden="true" name="_32__123Graph_LBL_DCHART_1" vbProcedure="false">#REF!</definedName>
    <definedName function="false" hidden="true" name="_32__123Graph_x005F_XC04C_ALL_T1" vbProcedure="false">#REF!</definedName>
    <definedName function="false" hidden="true" name="_32__123Graph_x005F_XC04C_FF_T" vbProcedure="false">#REF!</definedName>
    <definedName function="false" hidden="true" name="_32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330__FDSAUDITLINK__" vbProcedure="false">{"fdsup://Directions/FactSet Auditing Viewer?action=AUDIT_VALUE&amp;DB=129&amp;ID1=710352&amp;VALUEID=01001&amp;SDATE=2007&amp;PERIODTYPE=ANN_STD&amp;window=popup_no_bar&amp;width=385&amp;height=120&amp;START_MAXIMIZED=FALSE&amp;creator=factset&amp;display_string=Audit"}</definedName>
    <definedName function="false" hidden="true" name="_331__FDSAUDITLINK__" vbProcedure="false">{"fdsup://Directions/FactSet Auditing Viewer?action=AUDIT_VALUE&amp;DB=129&amp;ID1=549710&amp;VALUEID=01001&amp;SDATE=2008&amp;PERIODTYPE=ANN_STD&amp;window=popup_no_bar&amp;width=385&amp;height=120&amp;START_MAXIMIZED=FALSE&amp;creator=factset&amp;display_string=Audit"}</definedName>
    <definedName function="false" hidden="true" name="_332__FDSAUDITLINK__" vbProcedure="false">{"fdsup://Directions/FactSet Auditing Viewer?action=AUDIT_VALUE&amp;DB=129&amp;ID1=34537086&amp;VALUEID=01001&amp;SDATE=2008&amp;PERIODTYPE=ANN_STD&amp;window=popup_no_bar&amp;width=385&amp;height=120&amp;START_MAXIMIZED=FALSE&amp;creator=factset&amp;display_string=Audit"}</definedName>
    <definedName function="false" hidden="true" name="_333__FDSAUDITLINK__" vbProcedure="false">{"fdsup://Directions/FactSet Auditing Viewer?action=AUDIT_VALUE&amp;DB=129&amp;ID1=575602&amp;VALUEID=01001&amp;SDATE=2008&amp;PERIODTYPE=ANN_STD&amp;window=popup_no_bar&amp;width=385&amp;height=120&amp;START_MAXIMIZED=FALSE&amp;creator=factset&amp;display_string=Audit"}</definedName>
    <definedName function="false" hidden="true" name="_334__FDSAUDITLINK__" vbProcedure="false">{"fdsup://Directions/FactSet Auditing Viewer?action=AUDIT_VALUE&amp;DB=129&amp;ID1=575602&amp;VALUEID=01001&amp;SDATE=2007&amp;PERIODTYPE=ANN_STD&amp;window=popup_no_bar&amp;width=385&amp;height=120&amp;START_MAXIMIZED=FALSE&amp;creator=factset&amp;display_string=Audit"}</definedName>
    <definedName function="false" hidden="true" name="_335__FDSAUDITLINK__" vbProcedure="false">{"fdsup://Directions/FactSet Auditing Viewer?action=AUDIT_VALUE&amp;DB=129&amp;ID1=710352&amp;VALUEID=18352&amp;SDATE=2009&amp;PERIODTYPE=ANN_STD&amp;window=popup_no_bar&amp;width=385&amp;height=120&amp;START_MAXIMIZED=FALSE&amp;creator=factset&amp;display_string=Audit"}</definedName>
    <definedName function="false" hidden="true" name="_336__FDSAUDITLINK__" vbProcedure="false">{"fdsup://Directions/FactSet Auditing Viewer?action=AUDIT_VALUE&amp;DB=129&amp;ID1=710352&amp;VALUEID=18352&amp;SDATE=2008&amp;PERIODTYPE=ANN_STD&amp;window=popup_no_bar&amp;width=385&amp;height=120&amp;START_MAXIMIZED=FALSE&amp;creator=factset&amp;display_string=Audit"}</definedName>
    <definedName function="false" hidden="true" name="_337__FDSAUDITLINK__" vbProcedure="false">{"fdsup://Directions/FactSet Auditing Viewer?action=AUDIT_VALUE&amp;DB=129&amp;ID1=710352&amp;VALUEID=18352&amp;SDATE=2007&amp;PERIODTYPE=ANN_STD&amp;window=popup_no_bar&amp;width=385&amp;height=120&amp;START_MAXIMIZED=FALSE&amp;creator=factset&amp;display_string=Audit"}</definedName>
    <definedName function="false" hidden="true" name="_338__FDSAUDITLINK__" vbProcedure="false">{"fdsup://Directions/FactSet Auditing Viewer?action=AUDIT_VALUE&amp;DB=129&amp;ID1=471279&amp;VALUEID=18352&amp;SDATE=2009&amp;PERIODTYPE=ANN_STD&amp;window=popup_no_bar&amp;width=385&amp;height=120&amp;START_MAXIMIZED=FALSE&amp;creator=factset&amp;display_string=Audit"}</definedName>
    <definedName function="false" hidden="true" name="_339__FDSAUDITLINK__" vbProcedure="false">{"fdsup://Directions/FactSet Auditing Viewer?action=AUDIT_VALUE&amp;DB=129&amp;ID1=471279&amp;VALUEID=18352&amp;SDATE=2007&amp;PERIODTYPE=ANN_STD&amp;window=popup_no_bar&amp;width=385&amp;height=120&amp;START_MAXIMIZED=FALSE&amp;creator=factset&amp;display_string=Audit"}</definedName>
    <definedName function="false" hidden="true" name="_33__123Graph_LBL_DCHART_2" vbProcedure="false">#REF!</definedName>
    <definedName function="false" hidden="true" name="_33__123Graph_x005F_XC04C_ALL_T2" vbProcedure="false">#REF!</definedName>
    <definedName function="false" hidden="true" name="_33__123Graph_x005F_XC04C_FR_L1" vbProcedure="false">#REF!</definedName>
    <definedName function="false" hidden="true" name="_33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340__FDSAUDITLINK__" vbProcedure="false">{"fdsup://Directions/FactSet Auditing Viewer?action=AUDIT_VALUE&amp;DB=129&amp;ID1=549710&amp;VALUEID=18352&amp;SDATE=2009&amp;PERIODTYPE=ANN_STD&amp;window=popup_no_bar&amp;width=385&amp;height=120&amp;START_MAXIMIZED=FALSE&amp;creator=factset&amp;display_string=Audit"}</definedName>
    <definedName function="false" hidden="true" name="_341__FDSAUDITLINK__" vbProcedure="false">{"fdsup://Directions/FactSet Auditing Viewer?action=AUDIT_VALUE&amp;DB=129&amp;ID1=549710&amp;VALUEID=18352&amp;SDATE=2008&amp;PERIODTYPE=ANN_STD&amp;window=popup_no_bar&amp;width=385&amp;height=120&amp;START_MAXIMIZED=FALSE&amp;creator=factset&amp;display_string=Audit"}</definedName>
    <definedName function="false" hidden="true" name="_342__FDSAUDITLINK__" vbProcedure="false">{"fdsup://Directions/FactSet Auditing Viewer?action=AUDIT_VALUE&amp;DB=129&amp;ID1=549710&amp;VALUEID=18352&amp;SDATE=2007&amp;PERIODTYPE=ANN_STD&amp;window=popup_no_bar&amp;width=385&amp;height=120&amp;START_MAXIMIZED=FALSE&amp;creator=factset&amp;display_string=Audit"}</definedName>
    <definedName function="false" hidden="true" name="_343__FDSAUDITLINK__" vbProcedure="false">{"fdsup://Directions/FactSet Auditing Viewer?action=AUDIT_VALUE&amp;DB=129&amp;ID1=574852&amp;VALUEID=18352&amp;SDATE=2009&amp;PERIODTYPE=ANN_STD&amp;window=popup_no_bar&amp;width=385&amp;height=120&amp;START_MAXIMIZED=FALSE&amp;creator=factset&amp;display_string=Audit"}</definedName>
    <definedName function="false" hidden="true" name="_344__FDSAUDITLINK__" vbProcedure="false">{"fdsup://Directions/FactSet Auditing Viewer?action=AUDIT_VALUE&amp;DB=129&amp;ID1=574852&amp;VALUEID=18352&amp;SDATE=2007&amp;PERIODTYPE=ANN_STD&amp;window=popup_no_bar&amp;width=385&amp;height=120&amp;START_MAXIMIZED=FALSE&amp;creator=factset&amp;display_string=Audit"}</definedName>
    <definedName function="false" hidden="true" name="_345__FDSAUDITLINK__" vbProcedure="false">{"fdsup://Directions/FactSet Auditing Viewer?action=AUDIT_VALUE&amp;DB=129&amp;ID1=34537086&amp;VALUEID=18352&amp;SDATE=2009&amp;PERIODTYPE=ANN_STD&amp;window=popup_no_bar&amp;width=385&amp;height=120&amp;START_MAXIMIZED=FALSE&amp;creator=factset&amp;display_string=Audit"}</definedName>
    <definedName function="false" hidden="true" name="_346__FDSAUDITLINK__" vbProcedure="false">{"fdsup://Directions/FactSet Auditing Viewer?action=AUDIT_VALUE&amp;DB=129&amp;ID1=34537086&amp;VALUEID=18352&amp;SDATE=2008&amp;PERIODTYPE=ANN_STD&amp;window=popup_no_bar&amp;width=385&amp;height=120&amp;START_MAXIMIZED=FALSE&amp;creator=factset&amp;display_string=Audit"}</definedName>
    <definedName function="false" hidden="true" name="_347__FDSAUDITLINK__" vbProcedure="false">{"fdsup://Directions/FactSet Auditing Viewer?action=AUDIT_VALUE&amp;DB=129&amp;ID1=34537086&amp;VALUEID=18352&amp;SDATE=2007&amp;PERIODTYPE=ANN_STD&amp;window=popup_no_bar&amp;width=385&amp;height=120&amp;START_MAXIMIZED=FALSE&amp;creator=factset&amp;display_string=Audit"}</definedName>
    <definedName function="false" hidden="true" name="_348__FDSAUDITLINK__" vbProcedure="false">{"fdsup://Directions/FactSet Auditing Viewer?action=AUDIT_VALUE&amp;DB=129&amp;ID1=575602&amp;VALUEID=18352&amp;SDATE=2009&amp;PERIODTYPE=ANN_STD&amp;window=popup_no_bar&amp;width=385&amp;height=120&amp;START_MAXIMIZED=FALSE&amp;creator=factset&amp;display_string=Audit"}</definedName>
    <definedName function="false" hidden="true" name="_349__FDSAUDITLINK__" vbProcedure="false">{"fdsup://Directions/FactSet Auditing Viewer?action=AUDIT_VALUE&amp;DB=129&amp;ID1=575602&amp;VALUEID=18352&amp;SDATE=2008&amp;PERIODTYPE=ANN_STD&amp;window=popup_no_bar&amp;width=385&amp;height=120&amp;START_MAXIMIZED=FALSE&amp;creator=factset&amp;display_string=Audit"}</definedName>
    <definedName function="false" hidden="true" name="_34__123Graph_x005F_XC04C_FF_L" vbProcedure="false">#REF!</definedName>
    <definedName function="false" hidden="true" name="_34__123Graph_x005F_XC04C_FR_L2" vbProcedure="false">#REF!</definedName>
    <definedName function="false" hidden="true" name="_34__123Graph_XCHART_2" vbProcedure="false">#REF!</definedName>
    <definedName function="false" hidden="true" name="_34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350__FDSAUDITLINK__" vbProcedure="false">{"fdsup://Directions/FactSet Auditing Viewer?action=AUDIT_VALUE&amp;DB=129&amp;ID1=575602&amp;VALUEID=18352&amp;SDATE=2007&amp;PERIODTYPE=ANN_STD&amp;window=popup_no_bar&amp;width=385&amp;height=120&amp;START_MAXIMIZED=FALSE&amp;creator=factset&amp;display_string=Audit"}</definedName>
    <definedName function="false" hidden="true" name="_351__FDSAUDITLINK__" vbProcedure="false">{"fdsup://Directions/FactSet Auditing Viewer?action=AUDIT_VALUE&amp;DB=129&amp;ID1=710352&amp;VALUEID=18813&amp;SDATE=2009&amp;PERIODTYPE=ANN_STD&amp;window=popup_no_bar&amp;width=385&amp;height=120&amp;START_MAXIMIZED=FALSE&amp;creator=factset&amp;display_string=Audit"}</definedName>
    <definedName function="false" hidden="true" name="_352__FDSAUDITLINK__" vbProcedure="false">{"fdsup://Directions/FactSet Auditing Viewer?action=AUDIT_VALUE&amp;DB=129&amp;ID1=564156&amp;VALUEID=04049&amp;SDATE=2011&amp;PERIODTYPE=ANN_STD&amp;SCFT=3&amp;window=popup_no_bar&amp;width=385&amp;height=120&amp;START_MAXIMIZED=FALSE&amp;creator=factset&amp;display_string=Audit"}</definedName>
    <definedName function="false" hidden="true" name="_353__FDSAUDITLINK__" vbProcedure="false">{"fdsup://Directions/FactSet Auditing Viewer?action=AUDIT_VALUE&amp;DB=129&amp;ID1=710352&amp;VALUEID=18813&amp;SDATE=2008&amp;PERIODTYPE=ANN_STD&amp;window=popup_no_bar&amp;width=385&amp;height=120&amp;START_MAXIMIZED=FALSE&amp;creator=factset&amp;display_string=Audit"}</definedName>
    <definedName function="false" hidden="true" name="_354__FDSAUDITLINK__" vbProcedure="false">{"fdsup://Directions/FactSet Auditing Viewer?action=AUDIT_VALUE&amp;DB=129&amp;ID1=549710&amp;VALUEID=18813&amp;SDATE=2009&amp;PERIODTYPE=ANN_STD&amp;window=popup_no_bar&amp;width=385&amp;height=120&amp;START_MAXIMIZED=FALSE&amp;creator=factset&amp;display_string=Audit"}</definedName>
    <definedName function="false" hidden="true" name="_355__FDSAUDITLINK__" vbProcedure="false">{"fdsup://Directions/FactSet Auditing Viewer?action=AUDIT_VALUE&amp;DB=129&amp;ID1=549710&amp;VALUEID=18813&amp;SDATE=2008&amp;PERIODTYPE=ANN_STD&amp;window=popup_no_bar&amp;width=385&amp;height=120&amp;START_MAXIMIZED=FALSE&amp;creator=factset&amp;display_string=Audit"}</definedName>
    <definedName function="false" hidden="true" name="_356__FDSAUDITLINK__" vbProcedure="false">{"fdsup://Directions/FactSet Auditing Viewer?action=AUDIT_VALUE&amp;DB=129&amp;ID1=549710&amp;VALUEID=18813&amp;SDATE=2007&amp;PERIODTYPE=ANN_STD&amp;window=popup_no_bar&amp;width=385&amp;height=120&amp;START_MAXIMIZED=FALSE&amp;creator=factset&amp;display_string=Audit"}</definedName>
    <definedName function="false" hidden="true" name="_357__FDSAUDITLINK__" vbProcedure="false">{"fdsup://Directions/FactSet Auditing Viewer?action=AUDIT_VALUE&amp;DB=129&amp;ID1=574852&amp;VALUEID=18813&amp;SDATE=2009&amp;PERIODTYPE=ANN_STD&amp;window=popup_no_bar&amp;width=385&amp;height=120&amp;START_MAXIMIZED=FALSE&amp;creator=factset&amp;display_string=Audit"}</definedName>
    <definedName function="false" hidden="true" name="_358__FDSAUDITLINK__" vbProcedure="false">{"fdsup://Directions/FactSet Auditing Viewer?action=AUDIT_VALUE&amp;DB=129&amp;ID1=574852&amp;VALUEID=18813&amp;SDATE=2007&amp;PERIODTYPE=ANN_STD&amp;window=popup_no_bar&amp;width=385&amp;height=120&amp;START_MAXIMIZED=FALSE&amp;creator=factset&amp;display_string=Audit"}</definedName>
    <definedName function="false" hidden="true" name="_359__FDSAUDITLINK__" vbProcedure="false">{"fdsup://Directions/FactSet Auditing Viewer?action=AUDIT_VALUE&amp;DB=129&amp;ID1=34537086&amp;VALUEID=18813&amp;SDATE=2009&amp;PERIODTYPE=ANN_STD&amp;window=popup_no_bar&amp;width=385&amp;height=120&amp;START_MAXIMIZED=FALSE&amp;creator=factset&amp;display_string=Audit"}</definedName>
    <definedName function="false" hidden="true" name="_35__123Graph_BCHART_1" vbProcedure="false">#REF!</definedName>
    <definedName function="false" hidden="true" name="_35__123Graph_x005F_XC04C_FF_T" vbProcedure="false">#REF!</definedName>
    <definedName function="false" hidden="true" name="_35__123Graph_x005F_XC04C_FR_T1" vbProcedure="false">#REF!</definedName>
    <definedName function="false" hidden="true" name="_35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360__FDSAUDITLINK__" vbProcedure="false">{"fdsup://Directions/FactSet Auditing Viewer?action=AUDIT_VALUE&amp;DB=129&amp;ID1=34537086&amp;VALUEID=18813&amp;SDATE=2008&amp;PERIODTYPE=ANN_STD&amp;window=popup_no_bar&amp;width=385&amp;height=120&amp;START_MAXIMIZED=FALSE&amp;creator=factset&amp;display_string=Audit"}</definedName>
    <definedName function="false" hidden="true" name="_361__FDSAUDITLINK__" vbProcedure="false">{"fdsup://Directions/FactSet Auditing Viewer?action=AUDIT_VALUE&amp;DB=129&amp;ID1=34537086&amp;VALUEID=18813&amp;SDATE=2007&amp;PERIODTYPE=ANN_STD&amp;window=popup_no_bar&amp;width=385&amp;height=120&amp;START_MAXIMIZED=FALSE&amp;creator=factset&amp;display_string=Audit"}</definedName>
    <definedName function="false" hidden="true" name="_362__FDSAUDITLINK__" vbProcedure="false">{"fdsup://Directions/FactSet Auditing Viewer?action=AUDIT_VALUE&amp;DB=129&amp;ID1=552902&amp;VALUEID=18813&amp;SDATE=2009&amp;PERIODTYPE=ANN_STD&amp;window=popup_no_bar&amp;width=385&amp;height=120&amp;START_MAXIMIZED=FALSE&amp;creator=factset&amp;display_string=Audit"}</definedName>
    <definedName function="false" hidden="true" name="_363__FDSAUDITLINK__" vbProcedure="false">{"fdsup://Directions/FactSet Auditing Viewer?action=AUDIT_VALUE&amp;DB=129&amp;ID1=564156&amp;VALUEID=02001&amp;SDATE=2011&amp;PERIODTYPE=ANN_STD&amp;SCFT=3&amp;window=popup_no_bar&amp;width=385&amp;height=120&amp;START_MAXIMIZED=FALSE&amp;creator=factset&amp;display_string=Audit"}</definedName>
    <definedName function="false" hidden="true" name="_364__FDSAUDITLINK__" vbProcedure="false">{"fdsup://Directions/FactSet Auditing Viewer?action=AUDIT_VALUE&amp;DB=129&amp;ID1=471279&amp;VALUEID=18140&amp;SDATE=2007&amp;PERIODTYPE=ANN_STD&amp;window=popup_no_bar&amp;width=385&amp;height=120&amp;START_MAXIMIZED=FALSE&amp;creator=factset&amp;display_string=Audit"}</definedName>
    <definedName function="false" hidden="true" name="_365__FDSAUDITLINK__" vbProcedure="false">{"fdsup://Directions/FactSet Auditing Viewer?action=AUDIT_VALUE&amp;DB=129&amp;ID1=549710&amp;VALUEID=18140&amp;SDATE=2009&amp;PERIODTYPE=ANN_STD&amp;window=popup_no_bar&amp;width=385&amp;height=120&amp;START_MAXIMIZED=FALSE&amp;creator=factset&amp;display_string=Audit"}</definedName>
    <definedName function="false" hidden="true" name="_366__FDSAUDITLINK__" vbProcedure="false">{"fdsup://Directions/FactSet Auditing Viewer?action=AUDIT_VALUE&amp;DB=129&amp;ID1=549710&amp;VALUEID=18140&amp;SDATE=2008&amp;PERIODTYPE=ANN_STD&amp;window=popup_no_bar&amp;width=385&amp;height=120&amp;START_MAXIMIZED=FALSE&amp;creator=factset&amp;display_string=Audit"}</definedName>
    <definedName function="false" hidden="true" name="_367__FDSAUDITLINK__" vbProcedure="false">{"fdsup://Directions/FactSet Auditing Viewer?action=AUDIT_VALUE&amp;DB=129&amp;ID1=549710&amp;VALUEID=18140&amp;SDATE=2007&amp;PERIODTYPE=ANN_STD&amp;window=popup_no_bar&amp;width=385&amp;height=120&amp;START_MAXIMIZED=FALSE&amp;creator=factset&amp;display_string=Audit"}</definedName>
    <definedName function="false" hidden="true" name="_368__FDSAUDITLINK__" vbProcedure="false">{"fdsup://Directions/FactSet Auditing Viewer?action=AUDIT_VALUE&amp;DB=129&amp;ID1=574852&amp;VALUEID=18140&amp;SDATE=2009&amp;PERIODTYPE=ANN_STD&amp;window=popup_no_bar&amp;width=385&amp;height=120&amp;START_MAXIMIZED=FALSE&amp;creator=factset&amp;display_string=Audit"}</definedName>
    <definedName function="false" hidden="true" name="_369__FDSAUDITLINK__" vbProcedure="false">{"fdsup://Directions/FactSet Auditing Viewer?action=AUDIT_VALUE&amp;DB=129&amp;ID1=574852&amp;VALUEID=18140&amp;SDATE=2007&amp;PERIODTYPE=ANN_STD&amp;window=popup_no_bar&amp;width=385&amp;height=120&amp;START_MAXIMIZED=FALSE&amp;creator=factset&amp;display_string=Audit"}</definedName>
    <definedName function="false" hidden="true" name="_36_0__123Grap" vbProcedure="false">#REF!</definedName>
    <definedName function="false" hidden="true" name="_36__123Graph_AC04C_FR_T1" vbProcedure="false">#REF!</definedName>
    <definedName function="false" hidden="true" name="_36__123Graph_x005F_XC04C_FR_L1" vbProcedure="false">#REF!</definedName>
    <definedName function="false" hidden="true" name="_36__123Graph_x005F_XC04C_FR_T2" vbProcedure="false">#REF!</definedName>
    <definedName function="false" hidden="true" name="_36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370__FDSAUDITLINK__" vbProcedure="false">{"fdsup://Directions/FactSet Auditing Viewer?action=AUDIT_VALUE&amp;DB=129&amp;ID1=34537086&amp;VALUEID=18140&amp;SDATE=2009&amp;PERIODTYPE=ANN_STD&amp;window=popup_no_bar&amp;width=385&amp;height=120&amp;START_MAXIMIZED=FALSE&amp;creator=factset&amp;display_string=Audit"}</definedName>
    <definedName function="false" hidden="true" name="_371__FDSAUDITLINK__" vbProcedure="false">{"fdsup://Directions/FactSet Auditing Viewer?action=AUDIT_VALUE&amp;DB=129&amp;ID1=34537086&amp;VALUEID=18140&amp;SDATE=2008&amp;PERIODTYPE=ANN_STD&amp;window=popup_no_bar&amp;width=385&amp;height=120&amp;START_MAXIMIZED=FALSE&amp;creator=factset&amp;display_string=Audit"}</definedName>
    <definedName function="false" hidden="true" name="_372__FDSAUDITLINK__" vbProcedure="false">{"fdsup://Directions/FactSet Auditing Viewer?action=AUDIT_VALUE&amp;DB=129&amp;ID1=34537086&amp;VALUEID=18140&amp;SDATE=2007&amp;PERIODTYPE=ANN_STD&amp;window=popup_no_bar&amp;width=385&amp;height=120&amp;START_MAXIMIZED=FALSE&amp;creator=factset&amp;display_string=Audit"}</definedName>
    <definedName function="false" hidden="true" name="_373__FDSAUDITLINK__" vbProcedure="false">{"fdsup://Directions/FactSet Auditing Viewer?action=AUDIT_VALUE&amp;DB=129&amp;ID1=575602&amp;VALUEID=18140&amp;SDATE=2007&amp;PERIODTYPE=ANN_STD&amp;window=popup_no_bar&amp;width=385&amp;height=120&amp;START_MAXIMIZED=FALSE&amp;creator=factset&amp;display_string=Audit"}</definedName>
    <definedName function="false" hidden="true" name="_374__FDSAUDITLINK__" vbProcedure="false">{"fdsup://Directions/FactSet Auditing Viewer?action=AUDIT_VALUE&amp;DB=129&amp;ID1=552902&amp;VALUEID=18140&amp;SDATE=2009&amp;PERIODTYPE=ANN_STD&amp;window=popup_no_bar&amp;width=385&amp;height=120&amp;START_MAXIMIZED=FALSE&amp;creator=factset&amp;display_string=Audit"}</definedName>
    <definedName function="false" hidden="true" name="_375__FDSAUDITLINK__" vbProcedure="false">{"fdsup://Directions/FactSet Auditing Viewer?action=AUDIT_VALUE&amp;DB=129&amp;ID1=088470&amp;VALUEID=01001&amp;SDATE=2010&amp;PERIODTYPE=ANN_STD&amp;SCFT=3&amp;window=popup_no_bar&amp;width=385&amp;height=120&amp;START_MAXIMIZED=FALSE&amp;creator=factset&amp;display_string=Audit"}</definedName>
    <definedName function="false" hidden="true" name="_376__FDSAUDITLINK__" vbProcedure="false">{"fdsup://directions/FAT Viewer?action=UPDATE&amp;creator=factset&amp;DYN_ARGS=TRUE&amp;DOC_NAME=FAT:FQL_AUDITING_CLIENT_TEMPLATE.FAT&amp;display_string=Audit&amp;VAR:KEY=IRCLOZKZCH&amp;VAR:QUERY=RkZfRU5UUlBSX1ZBTF9EQUlMWSgwLCwsLCwnRElMJyk=&amp;WINDOW=FIRST_POPUP&amp;HEIGHT=450&amp;WIDTH=450&amp;","START_MAXIMIZED=FALSE&amp;VAR:CALENDAR=US&amp;VAR:SYMBOL=710352&amp;VAR:INDEX=0"}</definedName>
    <definedName function="false" hidden="true" name="_377__FDSAUDITLINK__" vbProcedure="false">{"fdsup://directions/FAT Viewer?action=UPDATE&amp;creator=factset&amp;DYN_ARGS=TRUE&amp;DOC_NAME=FAT:FQL_AUDITING_CLIENT_TEMPLATE.FAT&amp;display_string=Audit&amp;VAR:KEY=UPYVONUTKJ&amp;VAR:QUERY=RkZfRU5UUlBSX1ZBTF9EQUlMWSgwLCwsLCwnRElMJyk=&amp;WINDOW=FIRST_POPUP&amp;HEIGHT=450&amp;WIDTH=450&amp;","START_MAXIMIZED=FALSE&amp;VAR:CALENDAR=US&amp;VAR:SYMBOL=471279&amp;VAR:INDEX=0"}</definedName>
    <definedName function="false" hidden="true" name="_378__FDSAUDITLINK__" vbProcedure="false">{"fdsup://directions/FAT Viewer?action=UPDATE&amp;creator=factset&amp;DYN_ARGS=TRUE&amp;DOC_NAME=FAT:FQL_AUDITING_CLIENT_TEMPLATE.FAT&amp;display_string=Audit&amp;VAR:KEY=OLKFUDSDCP&amp;VAR:QUERY=RkZfRU5UUlBSX1ZBTF9EQUlMWSgwLCwsLCwnRElMJyk=&amp;WINDOW=FIRST_POPUP&amp;HEIGHT=450&amp;WIDTH=450&amp;","START_MAXIMIZED=FALSE&amp;VAR:CALENDAR=US&amp;VAR:SYMBOL=549710&amp;VAR:INDEX=0"}</definedName>
    <definedName function="false" hidden="true" name="_379__FDSAUDITLINK__" vbProcedure="false">{"fdsup://directions/FAT Viewer?action=UPDATE&amp;creator=factset&amp;DYN_ARGS=TRUE&amp;DOC_NAME=FAT:FQL_AUDITING_CLIENT_TEMPLATE.FAT&amp;display_string=Audit&amp;VAR:KEY=ARWJQDQDIH&amp;VAR:QUERY=RkZfRU5UUlBSX1ZBTF9EQUlMWSgwLCwsLCwnRElMJyk=&amp;WINDOW=FIRST_POPUP&amp;HEIGHT=450&amp;WIDTH=450&amp;","START_MAXIMIZED=FALSE&amp;VAR:CALENDAR=US&amp;VAR:SYMBOL=574852&amp;VAR:INDEX=0"}</definedName>
    <definedName function="false" hidden="true" name="_37__123Graph_x005F_XC04C_FR_L2" vbProcedure="false">#REF!</definedName>
    <definedName function="false" hidden="true" name="_37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380__FDSAUDITLINK__" vbProcedure="false">{"fdsup://directions/FAT Viewer?action=UPDATE&amp;creator=factset&amp;DYN_ARGS=TRUE&amp;DOC_NAME=FAT:FQL_AUDITING_CLIENT_TEMPLATE.FAT&amp;display_string=Audit&amp;VAR:KEY=CLIFCJUPKV&amp;VAR:QUERY=RkZfRU5UUlBSX1ZBTF9EQUlMWSgwLCwsLCwnRElMJyk=&amp;WINDOW=FIRST_POPUP&amp;HEIGHT=450&amp;WIDTH=450&amp;","START_MAXIMIZED=FALSE&amp;VAR:CALENDAR=US&amp;VAR:SYMBOL=34537086&amp;VAR:INDEX=0"}</definedName>
    <definedName function="false" hidden="true" name="_381__FDSAUDITLINK__" vbProcedure="false">{"fdsup://directions/FAT Viewer?action=UPDATE&amp;creator=factset&amp;DYN_ARGS=TRUE&amp;DOC_NAME=FAT:FQL_AUDITING_CLIENT_TEMPLATE.FAT&amp;display_string=Audit&amp;VAR:KEY=CBSNUFKZIH&amp;VAR:QUERY=RkZfRU5UUlBSX1ZBTF9EQUlMWSgwLCwsLCwnRElMJyk=&amp;WINDOW=FIRST_POPUP&amp;HEIGHT=450&amp;WIDTH=450&amp;","START_MAXIMIZED=FALSE&amp;VAR:CALENDAR=US&amp;VAR:SYMBOL=575602&amp;VAR:INDEX=0"}</definedName>
    <definedName function="false" hidden="true" name="_382__FDSAUDITLINK__" vbProcedure="false">{"fdsup://directions/FAT Viewer?action=UPDATE&amp;creator=factset&amp;DYN_ARGS=TRUE&amp;DOC_NAME=FAT:FQL_AUDITING_CLIENT_TEMPLATE.FAT&amp;display_string=Audit&amp;VAR:KEY=SJGFWHORAL&amp;VAR:QUERY=RkZfRU5UUlBSX1ZBTF9EQUlMWSgwLCwsLCwnRElMJyk=&amp;WINDOW=FIRST_POPUP&amp;HEIGHT=450&amp;WIDTH=450&amp;","START_MAXIMIZED=FALSE&amp;VAR:CALENDAR=US&amp;VAR:SYMBOL=552902&amp;VAR:INDEX=0"}</definedName>
    <definedName function="false" hidden="true" name="_383__FDSAUDITLINK__" vbProcedure="false">{"fdsup://directions/FAT Viewer?action=UPDATE&amp;creator=factset&amp;DYN_ARGS=TRUE&amp;DOC_NAME=FAT:FQL_AUDITING_CLIENT_TEMPLATE.FAT&amp;display_string=Audit&amp;VAR:KEY=JKXKXARYZY&amp;VAR:QUERY=RkZfRUJJVF9PUEVSKEFOTiwtMSwsLFJGKQ==&amp;WINDOW=FIRST_POPUP&amp;HEIGHT=450&amp;WIDTH=450&amp;START_MA","XIMIZED=FALSE&amp;VAR:CALENDAR=FIVEDAY&amp;VAR:SYMBOL=93114210&amp;VAR:INDEX=0"}</definedName>
    <definedName function="false" hidden="true" name="_384__FDSAUDITLINK__" vbProcedure="false">{"fdsup://Directions/FactSet Auditing Viewer?action=AUDIT_VALUE&amp;DB=129&amp;ID1=93114210&amp;VALUEID=01151&amp;SDATE=2011&amp;PERIODTYPE=ANN_STD&amp;SCFT=3&amp;window=popup_no_bar&amp;width=385&amp;height=120&amp;START_MAXIMIZED=FALSE&amp;creator=factset&amp;display_string=Audit"}</definedName>
    <definedName function="false" hidden="true" name="_385__FDSAUDITLINK__" vbProcedure="false">{"fdsup://Directions/FactSet Auditing Viewer?action=AUDIT_VALUE&amp;DB=129&amp;ID1=93114210&amp;VALUEID=01151&amp;SDATE=2010&amp;PERIODTYPE=ANN_STD&amp;SCFT=3&amp;window=popup_no_bar&amp;width=385&amp;height=120&amp;START_MAXIMIZED=FALSE&amp;creator=factset&amp;display_string=Audit"}</definedName>
    <definedName function="false" hidden="true" name="_386__FDSAUDITLINK__" vbProcedure="false">{"fdsup://Directions/FactSet Auditing Viewer?action=AUDIT_VALUE&amp;DB=129&amp;ID1=93114210&amp;VALUEID=04049&amp;SDATE=2011&amp;PERIODTYPE=ANN_STD&amp;SCFT=3&amp;window=popup_no_bar&amp;width=385&amp;height=120&amp;START_MAXIMIZED=FALSE&amp;creator=factset&amp;display_string=Audit"}</definedName>
    <definedName function="false" hidden="true" name="_387__FDSAUDITLINK__" vbProcedure="false">{"fdsup://Directions/FactSet Auditing Viewer?action=AUDIT_VALUE&amp;DB=129&amp;ID1=93114210&amp;VALUEID=04049&amp;SDATE=2010&amp;PERIODTYPE=ANN_STD&amp;SCFT=3&amp;window=popup_no_bar&amp;width=385&amp;height=120&amp;START_MAXIMIZED=FALSE&amp;creator=factset&amp;display_string=Audit"}</definedName>
    <definedName function="false" hidden="true" name="_388__FDSAUDITLINK__" vbProcedure="false">{"fdsup://Directions/FactSet Auditing Viewer?action=AUDIT_VALUE&amp;DB=129&amp;ID1=93114210&amp;VALUEID=18140&amp;SDATE=2011&amp;PERIODTYPE=ANN_STD&amp;SCFT=3&amp;window=popup_no_bar&amp;width=385&amp;height=120&amp;START_MAXIMIZED=FALSE&amp;creator=factset&amp;display_string=Audit"}</definedName>
    <definedName function="false" hidden="true" name="_389__FDSAUDITLINK__" vbProcedure="false">{"fdsup://Directions/FactSet Auditing Viewer?action=AUDIT_VALUE&amp;DB=129&amp;ID1=93114210&amp;VALUEID=18140&amp;SDATE=2010&amp;PERIODTYPE=ANN_STD&amp;SCFT=3&amp;window=popup_no_bar&amp;width=385&amp;height=120&amp;START_MAXIMIZED=FALSE&amp;creator=factset&amp;display_string=Audit"}</definedName>
    <definedName function="false" hidden="true" name="_38__123Graph_x005F_XC04C_FR_T1" vbProcedure="false">#REF!</definedName>
    <definedName function="false" hidden="true" name="_38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390__FDSAUDITLINK__" vbProcedure="false">{"fdsup://Directions/FactSet Auditing Viewer?action=AUDIT_VALUE&amp;DB=129&amp;ID1=710352&amp;VALUEID=01001&amp;SDATE=2009&amp;PERIODTYPE=ANN_STD&amp;window=popup_no_bar&amp;width=385&amp;height=120&amp;START_MAXIMIZED=FALSE&amp;creator=factset&amp;display_string=Audit"}</definedName>
    <definedName function="false" hidden="true" name="_391__FDSAUDITLINK__" vbProcedure="false">{"fdsup://Directions/FactSet Auditing Viewer?action=AUDIT_VALUE&amp;DB=129&amp;ID1=710352&amp;VALUEID=01001&amp;SDATE=2008&amp;PERIODTYPE=ANN_STD&amp;window=popup_no_bar&amp;width=385&amp;height=120&amp;START_MAXIMIZED=FALSE&amp;creator=factset&amp;display_string=Audit"}</definedName>
    <definedName function="false" hidden="true" name="_392__FDSAUDITLINK__" vbProcedure="false">{"fdsup://Directions/FactSet Auditing Viewer?action=AUDIT_VALUE&amp;DB=129&amp;ID1=710352&amp;VALUEID=01001&amp;SDATE=2007&amp;PERIODTYPE=ANN_STD&amp;window=popup_no_bar&amp;width=385&amp;height=120&amp;START_MAXIMIZED=FALSE&amp;creator=factset&amp;display_string=Audit"}</definedName>
    <definedName function="false" hidden="true" name="_393__FDSAUDITLINK__" vbProcedure="false">{"fdsup://Directions/FactSet Auditing Viewer?action=AUDIT_VALUE&amp;DB=129&amp;ID1=471279&amp;VALUEID=01001&amp;SDATE=2009&amp;PERIODTYPE=ANN_STD&amp;window=popup_no_bar&amp;width=385&amp;height=120&amp;START_MAXIMIZED=FALSE&amp;creator=factset&amp;display_string=Audit"}</definedName>
    <definedName function="false" hidden="true" name="_394__FDSAUDITLINK__" vbProcedure="false">{"fdsup://Directions/FactSet Auditing Viewer?action=AUDIT_VALUE&amp;DB=129&amp;ID1=549710&amp;VALUEID=01001&amp;SDATE=2009&amp;PERIODTYPE=ANN_STD&amp;window=popup_no_bar&amp;width=385&amp;height=120&amp;START_MAXIMIZED=FALSE&amp;creator=factset&amp;display_string=Audit"}</definedName>
    <definedName function="false" hidden="true" name="_395__FDSAUDITLINK__" vbProcedure="false">{"fdsup://Directions/FactSet Auditing Viewer?action=AUDIT_VALUE&amp;DB=129&amp;ID1=549710&amp;VALUEID=01001&amp;SDATE=2008&amp;PERIODTYPE=ANN_STD&amp;window=popup_no_bar&amp;width=385&amp;height=120&amp;START_MAXIMIZED=FALSE&amp;creator=factset&amp;display_string=Audit"}</definedName>
    <definedName function="false" hidden="true" name="_396__FDSAUDITLINK__" vbProcedure="false">{"fdsup://Directions/FactSet Auditing Viewer?action=AUDIT_VALUE&amp;DB=129&amp;ID1=549710&amp;VALUEID=01001&amp;SDATE=2007&amp;PERIODTYPE=ANN_STD&amp;window=popup_no_bar&amp;width=385&amp;height=120&amp;START_MAXIMIZED=FALSE&amp;creator=factset&amp;display_string=Audit"}</definedName>
    <definedName function="false" hidden="true" name="_397__FDSAUDITLINK__" vbProcedure="false">{"fdsup://Directions/FactSet Auditing Viewer?action=AUDIT_VALUE&amp;DB=129&amp;ID1=574852&amp;VALUEID=01001&amp;SDATE=2009&amp;PERIODTYPE=ANN_STD&amp;window=popup_no_bar&amp;width=385&amp;height=120&amp;START_MAXIMIZED=FALSE&amp;creator=factset&amp;display_string=Audit"}</definedName>
    <definedName function="false" hidden="true" name="_398__FDSAUDITLINK__" vbProcedure="false">{"fdsup://Directions/FactSet Auditing Viewer?action=AUDIT_VALUE&amp;DB=129&amp;ID1=574852&amp;VALUEID=01001&amp;SDATE=2007&amp;PERIODTYPE=ANN_STD&amp;window=popup_no_bar&amp;width=385&amp;height=120&amp;START_MAXIMIZED=FALSE&amp;creator=factset&amp;display_string=Audit"}</definedName>
    <definedName function="false" hidden="true" name="_399__FDSAUDITLINK__" vbProcedure="false">{"fdsup://Directions/FactSet Auditing Viewer?action=AUDIT_VALUE&amp;DB=129&amp;ID1=34537086&amp;VALUEID=01001&amp;SDATE=2009&amp;PERIODTYPE=ANN_STD&amp;window=popup_no_bar&amp;width=385&amp;height=120&amp;START_MAXIMIZED=FALSE&amp;creator=factset&amp;display_string=Audit"}</definedName>
    <definedName function="false" hidden="true" name="_39__123Graph_x005F_XC04C_FR_T2" vbProcedure="false">#REF!</definedName>
    <definedName function="false" hidden="true" name="_39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3ALA642C761" vbProcedure="false">#N/A</definedName>
    <definedName function="false" hidden="true" name="_3_0__123Grap" vbProcedure="false">#REF!</definedName>
    <definedName function="false" hidden="true" name="_3__123Graph_A50_HERTZ" vbProcedure="false">#REF!</definedName>
    <definedName function="false" hidden="true" name="_3__123Graph_ACHART_2" vbProcedure="false">#REF!</definedName>
    <definedName function="false" hidden="true" name="_3__123Graph_ACHART_3" vbProcedure="false">#REF!</definedName>
    <definedName function="false" hidden="true" name="_3__123Graph_AChart_3B" vbProcedure="false">#REF!</definedName>
    <definedName function="false" hidden="true" name="_3__123Graph_ACHART_4" vbProcedure="false">#REF!</definedName>
    <definedName function="false" hidden="true" name="_3__123Graph_BCHART_1" vbProcedure="false">#REF!</definedName>
    <definedName function="false" hidden="true" name="_400__FDSAUDITLINK__" vbProcedure="false">{"fdsup://Directions/FactSet Auditing Viewer?action=AUDIT_VALUE&amp;DB=129&amp;ID1=34537086&amp;VALUEID=01001&amp;SDATE=2008&amp;PERIODTYPE=ANN_STD&amp;window=popup_no_bar&amp;width=385&amp;height=120&amp;START_MAXIMIZED=FALSE&amp;creator=factset&amp;display_string=Audit"}</definedName>
    <definedName function="false" hidden="true" name="_401__FDSAUDITLINK__" vbProcedure="false">{"fdsup://Directions/FactSet Auditing Viewer?action=AUDIT_VALUE&amp;DB=129&amp;ID1=34537086&amp;VALUEID=01001&amp;SDATE=2007&amp;PERIODTYPE=ANN_STD&amp;window=popup_no_bar&amp;width=385&amp;height=120&amp;START_MAXIMIZED=FALSE&amp;creator=factset&amp;display_string=Audit"}</definedName>
    <definedName function="false" hidden="true" name="_402__FDSAUDITLINK__" vbProcedure="false">{"fdsup://Directions/FactSet Auditing Viewer?action=AUDIT_VALUE&amp;DB=129&amp;ID1=575602&amp;VALUEID=01001&amp;SDATE=2009&amp;PERIODTYPE=ANN_STD&amp;window=popup_no_bar&amp;width=385&amp;height=120&amp;START_MAXIMIZED=FALSE&amp;creator=factset&amp;display_string=Audit"}</definedName>
    <definedName function="false" hidden="true" name="_403__FDSAUDITLINK__" vbProcedure="false">{"fdsup://Directions/FactSet Auditing Viewer?action=AUDIT_VALUE&amp;DB=129&amp;ID1=575602&amp;VALUEID=01001&amp;SDATE=2008&amp;PERIODTYPE=ANN_STD&amp;window=popup_no_bar&amp;width=385&amp;height=120&amp;START_MAXIMIZED=FALSE&amp;creator=factset&amp;display_string=Audit"}</definedName>
    <definedName function="false" hidden="true" name="_404__FDSAUDITLINK__" vbProcedure="false">{"fdsup://Directions/FactSet Auditing Viewer?action=AUDIT_VALUE&amp;DB=129&amp;ID1=575602&amp;VALUEID=01001&amp;SDATE=2007&amp;PERIODTYPE=ANN_STD&amp;window=popup_no_bar&amp;width=385&amp;height=120&amp;START_MAXIMIZED=FALSE&amp;creator=factset&amp;display_string=Audit"}</definedName>
    <definedName function="false" hidden="true" name="_405__FDSAUDITLINK__" vbProcedure="false">{"fdsup://Directions/FactSet Auditing Viewer?action=AUDIT_VALUE&amp;DB=129&amp;ID1=552902&amp;VALUEID=01001&amp;SDATE=2009&amp;PERIODTYPE=ANN_STD&amp;window=popup_no_bar&amp;width=385&amp;height=120&amp;START_MAXIMIZED=FALSE&amp;creator=factset&amp;display_string=Audit"}</definedName>
    <definedName function="false" hidden="true" name="_406__FDSAUDITLINK__" vbProcedure="false">{"fdsup://Directions/FactSet Auditing Viewer?action=AUDIT_VALUE&amp;DB=129&amp;ID1=552902&amp;VALUEID=01001&amp;SDATE=2007&amp;PERIODTYPE=ANN_STD&amp;window=popup_no_bar&amp;width=385&amp;height=120&amp;START_MAXIMIZED=FALSE&amp;creator=factset&amp;display_string=Audit"}</definedName>
    <definedName function="false" hidden="true" name="_407__FDSAUDITLINK__" vbProcedure="false">{"fdsup://Directions/FactSet Auditing Viewer?action=AUDIT_VALUE&amp;DB=129&amp;ID1=564156&amp;VALUEID=04049&amp;SDATE=2010&amp;PERIODTYPE=ANN_STD&amp;SCFT=3&amp;window=popup_no_bar&amp;width=385&amp;height=120&amp;START_MAXIMIZED=FALSE&amp;creator=factset&amp;display_string=Audit"}</definedName>
    <definedName function="false" hidden="true" name="_408__FDSAUDITLINK__" vbProcedure="false">{"fdsup://Directions/FactSet Auditing Viewer?action=AUDIT_VALUE&amp;DB=129&amp;ID1=564156&amp;VALUEID=18140&amp;SDATE=2011&amp;PERIODTYPE=ANN_STD&amp;SCFT=3&amp;window=popup_no_bar&amp;width=385&amp;height=120&amp;START_MAXIMIZED=FALSE&amp;creator=factset&amp;display_string=Audit"}</definedName>
    <definedName function="false" hidden="true" name="_409__FDSAUDITLINK__" vbProcedure="false">{"fdsup://Directions/FactSet Auditing Viewer?action=AUDIT_VALUE&amp;DB=129&amp;ID1=564156&amp;VALUEID=18140&amp;SDATE=2010&amp;PERIODTYPE=ANN_STD&amp;SCFT=3&amp;window=popup_no_bar&amp;width=385&amp;height=120&amp;START_MAXIMIZED=FALSE&amp;creator=factset&amp;display_string=Audit"}</definedName>
    <definedName function="false" hidden="true" name="_40__123Graph_AC04C_FR_T2" vbProcedure="false">#REF!</definedName>
    <definedName function="false" hidden="true" name="_40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410__FDSAUDITLINK__" vbProcedure="false">{"fdsup://Directions/FactSet Auditing Viewer?action=AUDIT_VALUE&amp;DB=129&amp;ID1=564156&amp;VALUEID=01001&amp;SDATE=2011&amp;PERIODTYPE=ANN_STD&amp;SCFT=3&amp;window=popup_no_bar&amp;width=385&amp;height=120&amp;START_MAXIMIZED=FALSE&amp;creator=factset&amp;display_string=Audit"}</definedName>
    <definedName function="false" hidden="true" name="_411__FDSAUDITLINK__" vbProcedure="false">{"fdsup://Directions/FactSet Auditing Viewer?action=AUDIT_VALUE&amp;DB=129&amp;ID1=564156&amp;VALUEID=01001&amp;SDATE=2010&amp;PERIODTYPE=ANN_STD&amp;SCFT=3&amp;window=popup_no_bar&amp;width=385&amp;height=120&amp;START_MAXIMIZED=FALSE&amp;creator=factset&amp;display_string=Audit"}</definedName>
    <definedName function="false" hidden="true" name="_412__FDSAUDITLINK__" vbProcedure="false">{"fdsup://Directions/FactSet Auditing Viewer?action=AUDIT_VALUE&amp;DB=129&amp;ID1=710352&amp;VALUEID=01001&amp;SDATE=2009&amp;PERIODTYPE=ANN_STD&amp;window=popup_no_bar&amp;width=385&amp;height=120&amp;START_MAXIMIZED=FALSE&amp;creator=factset&amp;display_string=Audit"}</definedName>
    <definedName function="false" hidden="true" name="_413__FDSAUDITLINK__" vbProcedure="false">{"fdsup://Directions/FactSet Auditing Viewer?action=AUDIT_VALUE&amp;DB=129&amp;ID1=471279&amp;VALUEID=01001&amp;SDATE=2009&amp;PERIODTYPE=ANN_STD&amp;window=popup_no_bar&amp;width=385&amp;height=120&amp;START_MAXIMIZED=FALSE&amp;creator=factset&amp;display_string=Audit"}</definedName>
    <definedName function="false" hidden="true" name="_414__FDSAUDITLINK__" vbProcedure="false">{"fdsup://Directions/FactSet Auditing Viewer?action=AUDIT_VALUE&amp;DB=129&amp;ID1=549710&amp;VALUEID=01001&amp;SDATE=2009&amp;PERIODTYPE=ANN_STD&amp;window=popup_no_bar&amp;width=385&amp;height=120&amp;START_MAXIMIZED=FALSE&amp;creator=factset&amp;display_string=Audit"}</definedName>
    <definedName function="false" hidden="true" name="_415__FDSAUDITLINK__" vbProcedure="false">{"fdsup://Directions/FactSet Auditing Viewer?action=AUDIT_VALUE&amp;DB=129&amp;ID1=575602&amp;VALUEID=01001&amp;SDATE=2009&amp;PERIODTYPE=ANN_STD&amp;window=popup_no_bar&amp;width=385&amp;height=120&amp;START_MAXIMIZED=FALSE&amp;creator=factset&amp;display_string=Audit"}</definedName>
    <definedName function="false" hidden="true" name="_416__FDSAUDITLINK__" vbProcedure="false">{"fdsup://Directions/FactSet Auditing Viewer?action=AUDIT_VALUE&amp;DB=129&amp;ID1=564156&amp;VALUEID=03426&amp;SDATE=2011&amp;PERIODTYPE=ANN_STD&amp;SCFT=3&amp;window=popup_no_bar&amp;width=385&amp;height=120&amp;START_MAXIMIZED=FALSE&amp;creator=factset&amp;display_string=Audit"}</definedName>
    <definedName function="false" hidden="true" name="_417__FDSAUDITLINK__" vbProcedure="false">{"fdsup://Directions/FactSet Auditing Viewer?action=AUDIT_VALUE&amp;DB=129&amp;ID1=564156&amp;VALUEID=02001&amp;SDATE=2011&amp;PERIODTYPE=ANN_STD&amp;SCFT=3&amp;window=popup_no_bar&amp;width=385&amp;height=120&amp;START_MAXIMIZED=FALSE&amp;creator=factset&amp;display_string=Audit"}</definedName>
    <definedName function="false" hidden="true" name="_418__FDSAUDITLINK__" vbProcedure="false">{"fdsup://Directions/FactSet Auditing Viewer?action=AUDIT_VALUE&amp;DB=129&amp;ID1=471279&amp;VALUEID=01001&amp;SDATE=2007&amp;PERIODTYPE=ANN_STD&amp;window=popup_no_bar&amp;width=385&amp;height=120&amp;START_MAXIMIZED=FALSE&amp;creator=factset&amp;display_string=Audit"}</definedName>
    <definedName function="false" hidden="true" name="_419__FDSAUDITLINK__" vbProcedure="false">{"fdsup://Directions/FactSet Auditing Viewer?action=AUDIT_VALUE&amp;DB=129&amp;ID1=088470&amp;VALUEID=01401&amp;SDATE=2009&amp;PERIODTYPE=ANN_STD&amp;SCFT=3&amp;window=popup_no_bar&amp;width=385&amp;height=120&amp;START_MAXIMIZED=FALSE&amp;creator=factset&amp;display_string=Audit"}</definedName>
    <definedName function="false" hidden="true" name="_41__123Graph_Aｸﾞﾗﾌ_1" vbProcedure="false">#REF!</definedName>
    <definedName function="false" hidden="true" name="_41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420__FDSAUDITLINK__" vbProcedure="false">{"fdsup://Directions/FactSet Auditing Viewer?action=AUDIT_VALUE&amp;DB=129&amp;ID1=549710&amp;VALUEID=01001&amp;SDATE=2007&amp;PERIODTYPE=ANN_STD&amp;window=popup_no_bar&amp;width=385&amp;height=120&amp;START_MAXIMIZED=FALSE&amp;creator=factset&amp;display_string=Audit"}</definedName>
    <definedName function="false" hidden="true" name="_421__FDSAUDITLINK__" vbProcedure="false">{"fdsup://directions/FAT Viewer?action=UPDATE&amp;creator=factset&amp;DYN_ARGS=TRUE&amp;DOC_NAME=FAT:FQL_AUDITING_CLIENT_TEMPLATE.FAT&amp;display_string=Audit&amp;VAR:KEY=LOLKLQHEHO&amp;VAR:QUERY=RkZfRVBTX0RJTChBTk4sLTEsLCxSRik=&amp;WINDOW=FIRST_POPUP&amp;HEIGHT=450&amp;WIDTH=450&amp;START_MAXIMI","ZED=FALSE&amp;VAR:CALENDAR=FIVEDAY&amp;VAR:SYMBOL=088470&amp;VAR:INDEX=0"}</definedName>
    <definedName function="false" hidden="true" name="_422__FDSAUDITLINK__" vbProcedure="false">{"fdsup://Directions/FactSet Auditing Viewer?action=AUDIT_VALUE&amp;DB=129&amp;ID1=574852&amp;VALUEID=01001&amp;SDATE=2007&amp;PERIODTYPE=ANN_STD&amp;window=popup_no_bar&amp;width=385&amp;height=120&amp;START_MAXIMIZED=FALSE&amp;creator=factset&amp;display_string=Audit"}</definedName>
    <definedName function="false" hidden="true" name="_423__FDSAUDITLINK__" vbProcedure="false">{"fdsup://directions/FAT Viewer?action=UPDATE&amp;creator=factset&amp;DYN_ARGS=TRUE&amp;DOC_NAME=FAT:FQL_AUDITING_CLIENT_TEMPLATE.FAT&amp;display_string=Audit&amp;VAR:KEY=HEVCVEZQZK&amp;VAR:QUERY=RkZfRUJJVF9PUEVSKEFOTiwtMSwsLFJGKQ==&amp;WINDOW=FIRST_POPUP&amp;HEIGHT=450&amp;WIDTH=450&amp;START_MA","XIMIZED=FALSE&amp;VAR:CALENDAR=FIVEDAY&amp;VAR:SYMBOL=088470&amp;VAR:INDEX=0"}</definedName>
    <definedName function="false" hidden="true" name="_424__FDSAUDITLINK__" vbProcedure="false">{"fdsup://Directions/FactSet Auditing Viewer?action=AUDIT_VALUE&amp;DB=129&amp;ID1=34537086&amp;VALUEID=01001&amp;SDATE=2007&amp;PERIODTYPE=ANN_STD&amp;window=popup_no_bar&amp;width=385&amp;height=120&amp;START_MAXIMIZED=FALSE&amp;creator=factset&amp;display_string=Audit"}</definedName>
    <definedName function="false" hidden="true" name="_425__FDSAUDITLINK__" vbProcedure="false">{"fdsup://Directions/FactSet Auditing Viewer?action=AUDIT_VALUE&amp;DB=129&amp;ID1=088470&amp;VALUEID=01151&amp;SDATE=2010&amp;PERIODTYPE=ANN_STD&amp;SCFT=3&amp;window=popup_no_bar&amp;width=385&amp;height=120&amp;START_MAXIMIZED=FALSE&amp;creator=factset&amp;display_string=Audit"}</definedName>
    <definedName function="false" hidden="true" name="_426__FDSAUDITLINK__" vbProcedure="false">{"fdsup://Directions/FactSet Auditing Viewer?action=AUDIT_VALUE&amp;DB=129&amp;ID1=575602&amp;VALUEID=01001&amp;SDATE=2007&amp;PERIODTYPE=ANN_STD&amp;window=popup_no_bar&amp;width=385&amp;height=120&amp;START_MAXIMIZED=FALSE&amp;creator=factset&amp;display_string=Audit"}</definedName>
    <definedName function="false" hidden="true" name="_427__FDSAUDITLINK__" vbProcedure="false">{"fdsup://Directions/FactSet Auditing Viewer?action=AUDIT_VALUE&amp;DB=129&amp;ID1=088470&amp;VALUEID=18140&amp;SDATE=2010&amp;PERIODTYPE=ANN_STD&amp;SCFT=3&amp;window=popup_no_bar&amp;width=385&amp;height=120&amp;START_MAXIMIZED=FALSE&amp;creator=factset&amp;display_string=Audit"}</definedName>
    <definedName function="false" hidden="true" name="_428__FDSAUDITLINK__" vbProcedure="false">{"fdsup://Directions/FactSet Auditing Viewer?action=AUDIT_VALUE&amp;DB=129&amp;ID1=088470&amp;VALUEID=18140&amp;SDATE=2009&amp;PERIODTYPE=ANN_STD&amp;SCFT=3&amp;window=popup_no_bar&amp;width=385&amp;height=120&amp;START_MAXIMIZED=FALSE&amp;creator=factset&amp;display_string=Audit"}</definedName>
    <definedName function="false" hidden="true" name="_429__FDSAUDITLINK__" vbProcedure="false">{"fdsup://Directions/FactSet Auditing Viewer?action=AUDIT_VALUE&amp;DB=129&amp;ID1=088470&amp;VALUEID=01001&amp;SDATE=2010&amp;PERIODTYPE=ANN_STD&amp;SCFT=3&amp;window=popup_no_bar&amp;width=385&amp;height=120&amp;START_MAXIMIZED=FALSE&amp;creator=factset&amp;display_string=Audit"}</definedName>
    <definedName function="false" hidden="true" name="_42wrn.²Ä1­Ó¤ë1_Ü20¤H." vbProcedure="false">{#N/A,#N/A,FALSE,"²Ä1­Ó¤ë"}</definedName>
    <definedName function="false" hidden="true" name="_42__123Graph_ACHART_1" vbProcedure="false">#REF!</definedName>
    <definedName function="false" hidden="true" name="_42__123Graph_BCHART_3" vbProcedure="false">#REF!</definedName>
    <definedName function="false" hidden="true" name="_42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430__FDSAUDITLINK__" vbProcedure="false">{"fdsup://Directions/FactSet Auditing Viewer?action=AUDIT_VALUE&amp;DB=129&amp;ID1=088470&amp;VALUEID=01001&amp;SDATE=2009&amp;PERIODTYPE=ANN_STD&amp;SCFT=3&amp;window=popup_no_bar&amp;width=385&amp;height=120&amp;START_MAXIMIZED=FALSE&amp;creator=factset&amp;display_string=Audit"}</definedName>
    <definedName function="false" hidden="true" name="_431__FDSAUDITLINK__" vbProcedure="false">{"fdsup://Directions/FactSet Auditing Viewer?action=AUDIT_VALUE&amp;DB=129&amp;ID1=088470&amp;VALUEID=02501&amp;SDATE=2011&amp;PERIODTYPE=ANN_STD&amp;SCFT=3&amp;window=popup_no_bar&amp;width=385&amp;height=120&amp;START_MAXIMIZED=FALSE&amp;creator=factset&amp;display_string=Audit"}</definedName>
    <definedName function="false" hidden="true" name="_432__FDSAUDITLINK__" vbProcedure="false">{"fdsup://Directions/FactSet Auditing Viewer?action=AUDIT_VALUE&amp;DB=129&amp;ID1=93114210&amp;VALUEID=01401&amp;SDATE=2011&amp;PERIODTYPE=ANN_STD&amp;SCFT=3&amp;window=popup_no_bar&amp;width=385&amp;height=120&amp;START_MAXIMIZED=FALSE&amp;creator=factset&amp;display_string=Audit"}</definedName>
    <definedName function="false" hidden="true" name="_433__FDSAUDITLINK__" vbProcedure="false">{"fdsup://Directions/FactSet Auditing Viewer?action=AUDIT_VALUE&amp;DB=129&amp;ID1=93114210&amp;VALUEID=01401&amp;SDATE=2010&amp;PERIODTYPE=ANN_STD&amp;SCFT=3&amp;window=popup_no_bar&amp;width=385&amp;height=120&amp;START_MAXIMIZED=FALSE&amp;creator=factset&amp;display_string=Audit"}</definedName>
    <definedName function="false" hidden="true" name="_434__FDSAUDITLINK__" vbProcedure="false">{"fdsup://directions/FAT Viewer?action=UPDATE&amp;creator=factset&amp;DYN_ARGS=TRUE&amp;DOC_NAME=FAT:FQL_AUDITING_CLIENT_TEMPLATE.FAT&amp;display_string=Audit&amp;VAR:KEY=JOLQXYJAPA&amp;VAR:QUERY=RkZfRVBTX0RJTChBTk4sMCwsLFJGKQ==&amp;WINDOW=FIRST_POPUP&amp;HEIGHT=450&amp;WIDTH=450&amp;START_MAXIMI","ZED=FALSE&amp;VAR:CALENDAR=FIVEDAY&amp;VAR:SYMBOL=93114210&amp;VAR:INDEX=0"}</definedName>
    <definedName function="false" hidden="true" name="_435__FDSAUDITLINK__" vbProcedure="false">{"fdsup://directions/FAT Viewer?action=UPDATE&amp;creator=factset&amp;DYN_ARGS=TRUE&amp;DOC_NAME=FAT:FQL_AUDITING_CLIENT_TEMPLATE.FAT&amp;display_string=Audit&amp;VAR:KEY=NYXMRQTMBE&amp;VAR:QUERY=RkZfRVBTX0RJTChBTk4sLTEsLCxSRik=&amp;WINDOW=FIRST_POPUP&amp;HEIGHT=450&amp;WIDTH=450&amp;START_MAXIMI","ZED=FALSE&amp;VAR:CALENDAR=FIVEDAY&amp;VAR:SYMBOL=93114210&amp;VAR:INDEX=0"}</definedName>
    <definedName function="false" hidden="true" name="_436__FDSAUDITLINK__" vbProcedure="false">{"fdsup://directions/FAT Viewer?action=UPDATE&amp;creator=factset&amp;DYN_ARGS=TRUE&amp;DOC_NAME=FAT:FQL_AUDITING_CLIENT_TEMPLATE.FAT&amp;display_string=Audit&amp;VAR:KEY=ZAVWJGDARM&amp;VAR:QUERY=RkZfRUJJVF9PUEVSKEFOTiwwLCwsUkYp&amp;WINDOW=FIRST_POPUP&amp;HEIGHT=450&amp;WIDTH=450&amp;START_MAXIMI","ZED=FALSE&amp;VAR:CALENDAR=FIVEDAY&amp;VAR:SYMBOL=93114210&amp;VAR:INDEX=0"}</definedName>
    <definedName function="false" hidden="true" name="_437__FDSAUDITLINK__" vbProcedure="false">{"fdsup://directions/FAT Viewer?action=UPDATE&amp;creator=factset&amp;DYN_ARGS=TRUE&amp;DOC_NAME=FAT:FQL_AUDITING_CLIENT_TEMPLATE.FAT&amp;display_string=Audit&amp;VAR:KEY=DUBOVCJMRM&amp;VAR:QUERY=RkZfRUJJVF9PUEVSKEFOTiwtMSwsLFJGKQ==&amp;WINDOW=FIRST_POPUP&amp;HEIGHT=450&amp;WIDTH=450&amp;START_MA","XIMIZED=FALSE&amp;VAR:CALENDAR=FIVEDAY&amp;VAR:SYMBOL=93114210&amp;VAR:INDEX=0"}</definedName>
    <definedName function="false" hidden="true" name="_438__FDSAUDITLINK__" vbProcedure="false">{"fdsup://Directions/FactSet Auditing Viewer?action=AUDIT_VALUE&amp;DB=129&amp;ID1=93114210&amp;VALUEID=01151&amp;SDATE=2011&amp;PERIODTYPE=ANN_STD&amp;SCFT=3&amp;window=popup_no_bar&amp;width=385&amp;height=120&amp;START_MAXIMIZED=FALSE&amp;creator=factset&amp;display_string=Audit"}</definedName>
    <definedName function="false" hidden="true" name="_439__FDSAUDITLINK__" vbProcedure="false">{"fdsup://Directions/FactSet Auditing Viewer?action=AUDIT_VALUE&amp;DB=129&amp;ID1=93114210&amp;VALUEID=01151&amp;SDATE=2010&amp;PERIODTYPE=ANN_STD&amp;SCFT=3&amp;window=popup_no_bar&amp;width=385&amp;height=120&amp;START_MAXIMIZED=FALSE&amp;creator=factset&amp;display_string=Audit"}</definedName>
    <definedName function="false" hidden="true" name="_43__123Graph_ACHART_2" vbProcedure="false">#REF!</definedName>
    <definedName function="false" hidden="true" name="_43__123Graph_Aｸﾞﾗﾌ_2" vbProcedure="false">#REF!</definedName>
    <definedName function="false" hidden="true" name="_43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440__FDSAUDITLINK__" vbProcedure="false">{"fdsup://Directions/FactSet Auditing Viewer?action=AUDIT_VALUE&amp;DB=129&amp;ID1=93114210&amp;VALUEID=04049&amp;SDATE=2011&amp;PERIODTYPE=ANN_STD&amp;SCFT=3&amp;window=popup_no_bar&amp;width=385&amp;height=120&amp;START_MAXIMIZED=FALSE&amp;creator=factset&amp;display_string=Audit"}</definedName>
    <definedName function="false" hidden="true" name="_441__FDSAUDITLINK__" vbProcedure="false">{"fdsup://Directions/FactSet Auditing Viewer?action=AUDIT_VALUE&amp;DB=129&amp;ID1=93114210&amp;VALUEID=04049&amp;SDATE=2010&amp;PERIODTYPE=ANN_STD&amp;SCFT=3&amp;window=popup_no_bar&amp;width=385&amp;height=120&amp;START_MAXIMIZED=FALSE&amp;creator=factset&amp;display_string=Audit"}</definedName>
    <definedName function="false" hidden="true" name="_442__FDSAUDITLINK__" vbProcedure="false">{"fdsup://Directions/FactSet Auditing Viewer?action=AUDIT_VALUE&amp;DB=129&amp;ID1=93114210&amp;VALUEID=18140&amp;SDATE=2011&amp;PERIODTYPE=ANN_STD&amp;SCFT=3&amp;window=popup_no_bar&amp;width=385&amp;height=120&amp;START_MAXIMIZED=FALSE&amp;creator=factset&amp;display_string=Audit"}</definedName>
    <definedName function="false" hidden="true" name="_443__FDSAUDITLINK__" vbProcedure="false">{"fdsup://Directions/FactSet Auditing Viewer?action=AUDIT_VALUE&amp;DB=129&amp;ID1=93114210&amp;VALUEID=18140&amp;SDATE=2010&amp;PERIODTYPE=ANN_STD&amp;SCFT=3&amp;window=popup_no_bar&amp;width=385&amp;height=120&amp;START_MAXIMIZED=FALSE&amp;creator=factset&amp;display_string=Audit"}</definedName>
    <definedName function="false" hidden="true" name="_444__FDSAUDITLINK__" vbProcedure="false">{"fdsup://Directions/FactSet Auditing Viewer?action=AUDIT_VALUE&amp;DB=129&amp;ID1=93114210&amp;VALUEID=01001&amp;SDATE=2011&amp;PERIODTYPE=ANN_STD&amp;SCFT=3&amp;window=popup_no_bar&amp;width=385&amp;height=120&amp;START_MAXIMIZED=FALSE&amp;creator=factset&amp;display_string=Audit"}</definedName>
    <definedName function="false" hidden="true" name="_445__FDSAUDITLINK__" vbProcedure="false">{"fdsup://Directions/FactSet Auditing Viewer?action=AUDIT_VALUE&amp;DB=129&amp;ID1=93114210&amp;VALUEID=01001&amp;SDATE=2010&amp;PERIODTYPE=ANN_STD&amp;SCFT=3&amp;window=popup_no_bar&amp;width=385&amp;height=120&amp;START_MAXIMIZED=FALSE&amp;creator=factset&amp;display_string=Audit"}</definedName>
    <definedName function="false" hidden="true" name="_446__FDSAUDITLINK__" vbProcedure="false">{"fdsup://Directions/FactSet Auditing Viewer?action=AUDIT_VALUE&amp;DB=129&amp;ID1=93114210&amp;VALUEID=03040&amp;SDATE=2011&amp;PERIODTYPE=ANN_STD&amp;SCFT=3&amp;window=popup_no_bar&amp;width=385&amp;height=120&amp;START_MAXIMIZED=FALSE&amp;creator=factset&amp;display_string=Audit"}</definedName>
    <definedName function="false" hidden="true" name="_447__FDSAUDITLINK__" vbProcedure="false">{"fdsup://Directions/FactSet Auditing Viewer?action=AUDIT_VALUE&amp;DB=129&amp;ID1=93114210&amp;VALUEID=02051&amp;SDATE=2011&amp;PERIODTYPE=ANN_STD&amp;SCFT=3&amp;window=popup_no_bar&amp;width=385&amp;height=120&amp;START_MAXIMIZED=FALSE&amp;creator=factset&amp;display_string=Audit"}</definedName>
    <definedName function="false" hidden="true" name="_448__FDSAUDITLINK__" vbProcedure="false">{"fdsup://Directions/FactSet Auditing Viewer?action=AUDIT_VALUE&amp;DB=129&amp;ID1=93114210&amp;VALUEID=02101&amp;SDATE=2011&amp;PERIODTYPE=ANN_STD&amp;SCFT=3&amp;window=popup_no_bar&amp;width=385&amp;height=120&amp;START_MAXIMIZED=FALSE&amp;creator=factset&amp;display_string=Audit"}</definedName>
    <definedName function="false" hidden="true" name="_449__FDSAUDITLINK__" vbProcedure="false">{"fdsup://Directions/FactSet Auditing Viewer?action=AUDIT_VALUE&amp;DB=129&amp;ID1=93114210&amp;VALUEID=02501&amp;SDATE=2011&amp;PERIODTYPE=ANN_STD&amp;SCFT=3&amp;window=popup_no_bar&amp;width=385&amp;height=120&amp;START_MAXIMIZED=FALSE&amp;creator=factset&amp;display_string=Audit"}</definedName>
    <definedName function="false" hidden="true" name="_44__123Graph_ACHART_3" vbProcedure="false">#REF!</definedName>
    <definedName function="false" hidden="true" name="_44__123Graph_Bｸﾞﾗﾌ_1" vbProcedure="false">#REF!</definedName>
    <definedName function="false" hidden="true" name="_44__123Graph_LBL_AC04C_FF_L" vbProcedure="false">#REF!</definedName>
    <definedName function="false" hidden="true" name="_44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450__FDSAUDITLINK__" vbProcedure="false">{"fdsup://Directions/FactSet Auditing Viewer?action=AUDIT_VALUE&amp;DB=129&amp;ID1=93114210&amp;VALUEID=03426&amp;SDATE=2011&amp;PERIODTYPE=ANN_STD&amp;SCFT=3&amp;window=popup_no_bar&amp;width=385&amp;height=120&amp;START_MAXIMIZED=FALSE&amp;creator=factset&amp;display_string=Audit"}</definedName>
    <definedName function="false" hidden="true" name="_451__FDSAUDITLINK__" vbProcedure="false">{"fdsup://Directions/FactSet Auditing Viewer?action=AUDIT_VALUE&amp;DB=129&amp;ID1=93114210&amp;VALUEID=02001&amp;SDATE=2011&amp;PERIODTYPE=ANN_STD&amp;SCFT=3&amp;window=popup_no_bar&amp;width=385&amp;height=120&amp;START_MAXIMIZED=FALSE&amp;creator=factset&amp;display_string=Audit"}</definedName>
    <definedName function="false" hidden="true" name="_452__FDSAUDITLINK__" vbProcedure="false">{"fdsup://Directions/FactSet Auditing Viewer?action=AUDIT_VALUE&amp;DB=129&amp;ID1=564156&amp;VALUEID=01401&amp;SDATE=2011&amp;PERIODTYPE=ANN_STD&amp;SCFT=3&amp;window=popup_no_bar&amp;width=385&amp;height=120&amp;START_MAXIMIZED=FALSE&amp;creator=factset&amp;display_string=Audit"}</definedName>
    <definedName function="false" hidden="true" name="_453__FDSAUDITLINK__" vbProcedure="false">{"fdsup://Directions/FactSet Auditing Viewer?action=AUDIT_VALUE&amp;DB=129&amp;ID1=564156&amp;VALUEID=01401&amp;SDATE=2010&amp;PERIODTYPE=ANN_STD&amp;SCFT=3&amp;window=popup_no_bar&amp;width=385&amp;height=120&amp;START_MAXIMIZED=FALSE&amp;creator=factset&amp;display_string=Audit"}</definedName>
    <definedName function="false" hidden="true" name="_454__FDSAUDITLINK__" vbProcedure="false">{"fdsup://directions/FAT Viewer?action=UPDATE&amp;creator=factset&amp;DYN_ARGS=TRUE&amp;DOC_NAME=FAT:FQL_AUDITING_CLIENT_TEMPLATE.FAT&amp;display_string=Audit&amp;VAR:KEY=FMVQLGFCXC&amp;VAR:QUERY=RkZfRVBTX0RJTChBTk4sMCwsLFJGKQ==&amp;WINDOW=FIRST_POPUP&amp;HEIGHT=450&amp;WIDTH=450&amp;START_MAXIMI","ZED=FALSE&amp;VAR:CALENDAR=FIVEDAY&amp;VAR:SYMBOL=564156&amp;VAR:INDEX=0"}</definedName>
    <definedName function="false" hidden="true" name="_455__FDSAUDITLINK__" vbProcedure="false">{"fdsup://directions/FAT Viewer?action=UPDATE&amp;creator=factset&amp;DYN_ARGS=TRUE&amp;DOC_NAME=FAT:FQL_AUDITING_CLIENT_TEMPLATE.FAT&amp;display_string=Audit&amp;VAR:KEY=HGJYPGBMRS&amp;VAR:QUERY=RkZfRVBTX0RJTChBTk4sLTEsLCxSRik=&amp;WINDOW=FIRST_POPUP&amp;HEIGHT=450&amp;WIDTH=450&amp;START_MAXIMI","ZED=FALSE&amp;VAR:CALENDAR=FIVEDAY&amp;VAR:SYMBOL=564156&amp;VAR:INDEX=0"}</definedName>
    <definedName function="false" hidden="true" name="_456__FDSAUDITLINK__" vbProcedure="false">{"fdsup://directions/FAT Viewer?action=UPDATE&amp;creator=factset&amp;DYN_ARGS=TRUE&amp;DOC_NAME=FAT:FQL_AUDITING_CLIENT_TEMPLATE.FAT&amp;display_string=Audit&amp;VAR:KEY=BGJEJEFGFC&amp;VAR:QUERY=RkZfRUJJVF9PUEVSKEFOTiwwLCwsUkYp&amp;WINDOW=FIRST_POPUP&amp;HEIGHT=450&amp;WIDTH=450&amp;START_MAXIMI","ZED=FALSE&amp;VAR:CALENDAR=FIVEDAY&amp;VAR:SYMBOL=564156&amp;VAR:INDEX=0"}</definedName>
    <definedName function="false" hidden="true" name="_457__FDSAUDITLINK__" vbProcedure="false">{"fdsup://directions/FAT Viewer?action=UPDATE&amp;creator=factset&amp;DYN_ARGS=TRUE&amp;DOC_NAME=FAT:FQL_AUDITING_CLIENT_TEMPLATE.FAT&amp;display_string=Audit&amp;VAR:KEY=PIHULWDABO&amp;VAR:QUERY=RkZfRUJJVF9PUEVSKEFOTiwtMSwsLFJGKQ==&amp;WINDOW=FIRST_POPUP&amp;HEIGHT=450&amp;WIDTH=450&amp;START_MA","XIMIZED=FALSE&amp;VAR:CALENDAR=FIVEDAY&amp;VAR:SYMBOL=564156&amp;VAR:INDEX=0"}</definedName>
    <definedName function="false" hidden="true" name="_458__FDSAUDITLINK__" vbProcedure="false">{"fdsup://Directions/FactSet Auditing Viewer?action=AUDIT_VALUE&amp;DB=129&amp;ID1=564156&amp;VALUEID=01151&amp;SDATE=2011&amp;PERIODTYPE=ANN_STD&amp;SCFT=3&amp;window=popup_no_bar&amp;width=385&amp;height=120&amp;START_MAXIMIZED=FALSE&amp;creator=factset&amp;display_string=Audit"}</definedName>
    <definedName function="false" hidden="true" name="_459__FDSAUDITLINK__" vbProcedure="false">{"fdsup://Directions/FactSet Auditing Viewer?action=AUDIT_VALUE&amp;DB=129&amp;ID1=564156&amp;VALUEID=01151&amp;SDATE=2010&amp;PERIODTYPE=ANN_STD&amp;SCFT=3&amp;window=popup_no_bar&amp;width=385&amp;height=120&amp;START_MAXIMIZED=FALSE&amp;creator=factset&amp;display_string=Audit"}</definedName>
    <definedName function="false" hidden="true" name="_45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460__FDSAUDITLINK__" vbProcedure="false">{"fdsup://Directions/FactSet Auditing Viewer?action=AUDIT_VALUE&amp;DB=129&amp;ID1=564156&amp;VALUEID=04049&amp;SDATE=2011&amp;PERIODTYPE=ANN_STD&amp;SCFT=3&amp;window=popup_no_bar&amp;width=385&amp;height=120&amp;START_MAXIMIZED=FALSE&amp;creator=factset&amp;display_string=Audit"}</definedName>
    <definedName function="false" hidden="true" name="_461__FDSAUDITLINK__" vbProcedure="false">{"fdsup://Directions/FactSet Auditing Viewer?action=AUDIT_VALUE&amp;DB=129&amp;ID1=564156&amp;VALUEID=04049&amp;SDATE=2010&amp;PERIODTYPE=ANN_STD&amp;SCFT=3&amp;window=popup_no_bar&amp;width=385&amp;height=120&amp;START_MAXIMIZED=FALSE&amp;creator=factset&amp;display_string=Audit"}</definedName>
    <definedName function="false" hidden="true" name="_462__FDSAUDITLINK__" vbProcedure="false">{"fdsup://Directions/FactSet Auditing Viewer?action=AUDIT_VALUE&amp;DB=129&amp;ID1=564156&amp;VALUEID=18140&amp;SDATE=2011&amp;PERIODTYPE=ANN_STD&amp;SCFT=3&amp;window=popup_no_bar&amp;width=385&amp;height=120&amp;START_MAXIMIZED=FALSE&amp;creator=factset&amp;display_string=Audit"}</definedName>
    <definedName function="false" hidden="true" name="_463__FDSAUDITLINK__" vbProcedure="false">{"fdsup://Directions/FactSet Auditing Viewer?action=AUDIT_VALUE&amp;DB=129&amp;ID1=564156&amp;VALUEID=18140&amp;SDATE=2010&amp;PERIODTYPE=ANN_STD&amp;SCFT=3&amp;window=popup_no_bar&amp;width=385&amp;height=120&amp;START_MAXIMIZED=FALSE&amp;creator=factset&amp;display_string=Audit"}</definedName>
    <definedName function="false" hidden="true" name="_464__FDSAUDITLINK__" vbProcedure="false">{"fdsup://Directions/FactSet Auditing Viewer?action=AUDIT_VALUE&amp;DB=129&amp;ID1=564156&amp;VALUEID=01001&amp;SDATE=2011&amp;PERIODTYPE=ANN_STD&amp;SCFT=3&amp;window=popup_no_bar&amp;width=385&amp;height=120&amp;START_MAXIMIZED=FALSE&amp;creator=factset&amp;display_string=Audit"}</definedName>
    <definedName function="false" hidden="true" name="_465__FDSAUDITLINK__" vbProcedure="false">{"fdsup://Directions/FactSet Auditing Viewer?action=AUDIT_VALUE&amp;DB=129&amp;ID1=564156&amp;VALUEID=01001&amp;SDATE=2010&amp;PERIODTYPE=ANN_STD&amp;SCFT=3&amp;window=popup_no_bar&amp;width=385&amp;height=120&amp;START_MAXIMIZED=FALSE&amp;creator=factset&amp;display_string=Audit"}</definedName>
    <definedName function="false" hidden="true" name="_466__FDSAUDITLINK__" vbProcedure="false">{"fdsup://Directions/FactSet Auditing Viewer?action=AUDIT_VALUE&amp;DB=129&amp;ID1=564156&amp;VALUEID=03040&amp;SDATE=2011&amp;PERIODTYPE=ANN_STD&amp;SCFT=3&amp;window=popup_no_bar&amp;width=385&amp;height=120&amp;START_MAXIMIZED=FALSE&amp;creator=factset&amp;display_string=Audit"}</definedName>
    <definedName function="false" hidden="true" name="_467__FDSAUDITLINK__" vbProcedure="false">{"fdsup://Directions/FactSet Auditing Viewer?action=AUDIT_VALUE&amp;DB=129&amp;ID1=564156&amp;VALUEID=02051&amp;SDATE=2011&amp;PERIODTYPE=ANN_STD&amp;SCFT=3&amp;window=popup_no_bar&amp;width=385&amp;height=120&amp;START_MAXIMIZED=FALSE&amp;creator=factset&amp;display_string=Audit"}</definedName>
    <definedName function="false" hidden="true" name="_468__FDSAUDITLINK__" vbProcedure="false">{"fdsup://Directions/FactSet Auditing Viewer?action=AUDIT_VALUE&amp;DB=129&amp;ID1=564156&amp;VALUEID=02101&amp;SDATE=2011&amp;PERIODTYPE=ANN_STD&amp;SCFT=3&amp;window=popup_no_bar&amp;width=385&amp;height=120&amp;START_MAXIMIZED=FALSE&amp;creator=factset&amp;display_string=Audit"}</definedName>
    <definedName function="false" hidden="true" name="_469__FDSAUDITLINK__" vbProcedure="false">{"fdsup://Directions/FactSet Auditing Viewer?action=AUDIT_VALUE&amp;DB=129&amp;ID1=564156&amp;VALUEID=02501&amp;SDATE=2011&amp;PERIODTYPE=ANN_STD&amp;SCFT=3&amp;window=popup_no_bar&amp;width=385&amp;height=120&amp;START_MAXIMIZED=FALSE&amp;creator=factset&amp;display_string=Audit"}</definedName>
    <definedName function="false" hidden="true" name="_46__123Graph_Aｸﾞﾗﾌ_3" vbProcedure="false">#REF!</definedName>
    <definedName function="false" hidden="true" name="_46__123Graph_BCHART_1" vbProcedure="false">#REF!</definedName>
    <definedName function="false" hidden="true" name="_46__123Graph_BCHART_2" vbProcedure="false">#REF!</definedName>
    <definedName function="false" hidden="true" name="_46__123Graph_Bｸﾞﾗﾌ_2" vbProcedure="false">#REF!</definedName>
    <definedName function="false" hidden="true" name="_46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470__FDSAUDITLINK__" vbProcedure="false">{"fdsup://Directions/FactSet Auditing Viewer?action=AUDIT_VALUE&amp;DB=129&amp;ID1=564156&amp;VALUEID=03426&amp;SDATE=2011&amp;PERIODTYPE=ANN_STD&amp;SCFT=3&amp;window=popup_no_bar&amp;width=385&amp;height=120&amp;START_MAXIMIZED=FALSE&amp;creator=factset&amp;display_string=Audit"}</definedName>
    <definedName function="false" hidden="true" name="_471__FDSAUDITLINK__" vbProcedure="false">{"fdsup://Directions/FactSet Auditing Viewer?action=AUDIT_VALUE&amp;DB=129&amp;ID1=564156&amp;VALUEID=02001&amp;SDATE=2011&amp;PERIODTYPE=ANN_STD&amp;SCFT=3&amp;window=popup_no_bar&amp;width=385&amp;height=120&amp;START_MAXIMIZED=FALSE&amp;creator=factset&amp;display_string=Audit"}</definedName>
    <definedName function="false" hidden="true" name="_472__FDSAUDITLINK__" vbProcedure="false">{"fdsup://Directions/FactSet Auditing Viewer?action=AUDIT_VALUE&amp;DB=129&amp;ID1=088470&amp;VALUEID=01401&amp;SDATE=2010&amp;PERIODTYPE=ANN_STD&amp;SCFT=3&amp;window=popup_no_bar&amp;width=385&amp;height=120&amp;START_MAXIMIZED=FALSE&amp;creator=factset&amp;display_string=Audit"}</definedName>
    <definedName function="false" hidden="true" name="_473__FDSAUDITLINK__" vbProcedure="false">{"fdsup://Directions/FactSet Auditing Viewer?action=AUDIT_VALUE&amp;DB=129&amp;ID1=088470&amp;VALUEID=01401&amp;SDATE=2009&amp;PERIODTYPE=ANN_STD&amp;SCFT=3&amp;window=popup_no_bar&amp;width=385&amp;height=120&amp;START_MAXIMIZED=FALSE&amp;creator=factset&amp;display_string=Audit"}</definedName>
    <definedName function="false" hidden="true" name="_474__FDSAUDITLINK__" vbProcedure="false">{"fdsup://directions/FAT Viewer?action=UPDATE&amp;creator=factset&amp;DYN_ARGS=TRUE&amp;DOC_NAME=FAT:FQL_AUDITING_CLIENT_TEMPLATE.FAT&amp;display_string=Audit&amp;VAR:KEY=IJGVQLETSP&amp;VAR:QUERY=RkZfRVBTX0RJTChBTk4sMCwsLFJGKQ==&amp;WINDOW=FIRST_POPUP&amp;HEIGHT=450&amp;WIDTH=450&amp;START_MAXIMI","ZED=FALSE&amp;VAR:CALENDAR=FIVEDAY&amp;VAR:SYMBOL=088470&amp;VAR:INDEX=0"}</definedName>
    <definedName function="false" hidden="true" name="_475__FDSAUDITLINK__" vbProcedure="false">{"fdsup://directions/FAT Viewer?action=UPDATE&amp;creator=factset&amp;DYN_ARGS=TRUE&amp;DOC_NAME=FAT:FQL_AUDITING_CLIENT_TEMPLATE.FAT&amp;display_string=Audit&amp;VAR:KEY=ERGLUDAZMX&amp;VAR:QUERY=RkZfRVBTX0RJTChBTk4sLTEsLCxSRik=&amp;WINDOW=FIRST_POPUP&amp;HEIGHT=450&amp;WIDTH=450&amp;START_MAXIMI","ZED=FALSE&amp;VAR:CALENDAR=FIVEDAY&amp;VAR:SYMBOL=088470&amp;VAR:INDEX=0"}</definedName>
    <definedName function="false" hidden="true" name="_476__FDSAUDITLINK__" vbProcedure="false">{"fdsup://directions/FAT Viewer?action=UPDATE&amp;creator=factset&amp;DYN_ARGS=TRUE&amp;DOC_NAME=FAT:FQL_AUDITING_CLIENT_TEMPLATE.FAT&amp;display_string=Audit&amp;VAR:KEY=YBOXMJGVYD&amp;VAR:QUERY=RkZfRUJJVF9PUEVSKEFOTiwwLCwsUkYp&amp;WINDOW=FIRST_POPUP&amp;HEIGHT=450&amp;WIDTH=450&amp;START_MAXIMI","ZED=FALSE&amp;VAR:CALENDAR=FIVEDAY&amp;VAR:SYMBOL=088470&amp;VAR:INDEX=0"}</definedName>
    <definedName function="false" hidden="true" name="_477__FDSAUDITLINK__" vbProcedure="false">{"fdsup://directions/FAT Viewer?action=UPDATE&amp;creator=factset&amp;DYN_ARGS=TRUE&amp;DOC_NAME=FAT:FQL_AUDITING_CLIENT_TEMPLATE.FAT&amp;display_string=Audit&amp;VAR:KEY=AXIFARGXCJ&amp;VAR:QUERY=RkZfRUJJVF9PUEVSKEFOTiwtMSwsLFJGKQ==&amp;WINDOW=FIRST_POPUP&amp;HEIGHT=450&amp;WIDTH=450&amp;START_MA","XIMIZED=FALSE&amp;VAR:CALENDAR=FIVEDAY&amp;VAR:SYMBOL=088470&amp;VAR:INDEX=0"}</definedName>
    <definedName function="false" hidden="true" name="_478__FDSAUDITLINK__" vbProcedure="false">{"fdsup://Directions/FactSet Auditing Viewer?action=AUDIT_VALUE&amp;DB=129&amp;ID1=088470&amp;VALUEID=01151&amp;SDATE=2011&amp;PERIODTYPE=ANN_STD&amp;SCFT=3&amp;window=popup_no_bar&amp;width=385&amp;height=120&amp;START_MAXIMIZED=FALSE&amp;creator=factset&amp;display_string=Audit"}</definedName>
    <definedName function="false" hidden="true" name="_479__FDSAUDITLINK__" vbProcedure="false">{"fdsup://Directions/FactSet Auditing Viewer?action=AUDIT_VALUE&amp;DB=129&amp;ID1=088470&amp;VALUEID=01151&amp;SDATE=2010&amp;PERIODTYPE=ANN_STD&amp;SCFT=3&amp;window=popup_no_bar&amp;width=385&amp;height=120&amp;START_MAXIMIZED=FALSE&amp;creator=factset&amp;display_string=Audit"}</definedName>
    <definedName function="false" hidden="true" name="_47_0ACwvu.Pag" vbProcedure="false">#N/A</definedName>
    <definedName function="false" hidden="true" name="_47__123Graph_BCHART_2" vbProcedure="false">#REF!</definedName>
    <definedName function="false" hidden="true" name="_47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480__FDSAUDITLINK__" vbProcedure="false">{"fdsup://Directions/FactSet Auditing Viewer?action=AUDIT_VALUE&amp;DB=129&amp;ID1=088470&amp;VALUEID=04049&amp;SDATE=2010&amp;PERIODTYPE=ANN_STD&amp;SCFT=3&amp;window=popup_no_bar&amp;width=385&amp;height=120&amp;START_MAXIMIZED=FALSE&amp;creator=factset&amp;display_string=Audit"}</definedName>
    <definedName function="false" hidden="true" name="_481__FDSAUDITLINK__" vbProcedure="false">{"fdsup://Directions/FactSet Auditing Viewer?action=AUDIT_VALUE&amp;DB=129&amp;ID1=088470&amp;VALUEID=18140&amp;SDATE=2010&amp;PERIODTYPE=ANN_STD&amp;SCFT=3&amp;window=popup_no_bar&amp;width=385&amp;height=120&amp;START_MAXIMIZED=FALSE&amp;creator=factset&amp;display_string=Audit"}</definedName>
    <definedName function="false" hidden="true" name="_482__FDSAUDITLINK__" vbProcedure="false">{"fdsup://Directions/FactSet Auditing Viewer?action=AUDIT_VALUE&amp;DB=129&amp;ID1=088470&amp;VALUEID=18140&amp;SDATE=2009&amp;PERIODTYPE=ANN_STD&amp;SCFT=3&amp;window=popup_no_bar&amp;width=385&amp;height=120&amp;START_MAXIMIZED=FALSE&amp;creator=factset&amp;display_string=Audit"}</definedName>
    <definedName function="false" hidden="true" name="_483__FDSAUDITLINK__" vbProcedure="false">{"fdsup://Directions/FactSet Auditing Viewer?action=AUDIT_VALUE&amp;DB=129&amp;ID1=088470&amp;VALUEID=01001&amp;SDATE=2010&amp;PERIODTYPE=ANN_STD&amp;SCFT=3&amp;window=popup_no_bar&amp;width=385&amp;height=120&amp;START_MAXIMIZED=FALSE&amp;creator=factset&amp;display_string=Audit"}</definedName>
    <definedName function="false" hidden="true" name="_484__FDSAUDITLINK__" vbProcedure="false">{"fdsup://Directions/FactSet Auditing Viewer?action=AUDIT_VALUE&amp;DB=129&amp;ID1=088470&amp;VALUEID=01001&amp;SDATE=2009&amp;PERIODTYPE=ANN_STD&amp;SCFT=3&amp;window=popup_no_bar&amp;width=385&amp;height=120&amp;START_MAXIMIZED=FALSE&amp;creator=factset&amp;display_string=Audit"}</definedName>
    <definedName function="false" hidden="true" name="_485__FDSAUDITLINK__" vbProcedure="false">{"fdsup://directions/FAT Viewer?action=UPDATE&amp;creator=factset&amp;DYN_ARGS=TRUE&amp;DOC_NAME=FAT:FQL_AUDITING_CLIENT_TEMPLATE.FAT&amp;display_string=Audit&amp;VAR:KEY=QTMBGLWHEP&amp;VAR:QUERY=MzE5NzIuMTYyMTA5L0ZGX0VCSVQoQ0FMLDIwMDksLCwsRVVSKQ==&amp;WINDOW=FIRST_POPUP&amp;HEIGHT=450&amp;WI","DTH=450&amp;START_MAXIMIZED=FALSE&amp;VAR:CALENDAR=FIVEDAY&amp;VAR:SYMBOL=471279&amp;VAR:INDEX=0"}</definedName>
    <definedName function="false" hidden="true" name="_486__FDSAUDITLINK__" vbProcedure="false">{"fdsup://directions/FAT Viewer?action=UPDATE&amp;creator=factset&amp;DYN_ARGS=TRUE&amp;DOC_NAME=FAT:FQL_AUDITING_CLIENT_TEMPLATE.FAT&amp;display_string=Audit&amp;VAR:KEY=YHWBUVONAH&amp;VAR:QUERY=ODY0NzcuNzU3ODEyL0ZGX0VCSVQoQ0FMLDIwMDksLCwsRVVSKQ==&amp;WINDOW=FIRST_POPUP&amp;HEIGHT=450&amp;WI","DTH=450&amp;START_MAXIMIZED=FALSE&amp;VAR:CALENDAR=FIVEDAY&amp;VAR:SYMBOL=549710&amp;VAR:INDEX=0"}</definedName>
    <definedName function="false" hidden="true" name="_487__FDSAUDITLINK__" vbProcedure="false">{"fdsup://Directions/FactSet Auditing Viewer?action=AUDIT_VALUE&amp;DB=129&amp;ID1=93114210&amp;VALUEID=01401&amp;SDATE=2010&amp;PERIODTYPE=ANN_STD&amp;SCFT=3&amp;window=popup_no_bar&amp;width=385&amp;height=120&amp;START_MAXIMIZED=FALSE&amp;creator=factset&amp;display_string=Audit"}</definedName>
    <definedName function="false" hidden="true" name="_488__FDSAUDITLINK__" vbProcedure="false">{"fdsup://directions/FAT Viewer?action=UPDATE&amp;creator=factset&amp;DYN_ARGS=TRUE&amp;DOC_NAME=FAT:FQL_AUDITING_CLIENT_TEMPLATE.FAT&amp;display_string=Audit&amp;VAR:KEY=QVGBKHSJWH&amp;VAR:QUERY=RkZfRVBTX0RJTChBTk4sMCwsLFJGKQ==&amp;WINDOW=FIRST_POPUP&amp;HEIGHT=450&amp;WIDTH=450&amp;START_MAXIMI","ZED=FALSE&amp;VAR:CALENDAR=FIVEDAY&amp;VAR:SYMBOL=93114210&amp;VAR:INDEX=0"}</definedName>
    <definedName function="false" hidden="true" name="_489__FDSAUDITLINK__" vbProcedure="false">{"fdsup://directions/FAT Viewer?action=UPDATE&amp;creator=factset&amp;DYN_ARGS=TRUE&amp;DOC_NAME=FAT:FQL_AUDITING_CLIENT_TEMPLATE.FAT&amp;display_string=Audit&amp;VAR:KEY=MXGNOVUNUT&amp;VAR:QUERY=RkZfRVBTX0RJTChBTk4sLTEsLCxSRik=&amp;WINDOW=FIRST_POPUP&amp;HEIGHT=450&amp;WIDTH=450&amp;START_MAXIMI","ZED=FALSE&amp;VAR:CALENDAR=FIVEDAY&amp;VAR:SYMBOL=93114210&amp;VAR:INDEX=0"}</definedName>
    <definedName function="false" hidden="true" name="_48_0Swvu.Pag" vbProcedure="false">#N/A</definedName>
    <definedName function="false" hidden="true" name="_48__123Graph_BCHART_3" vbProcedure="false">#REF!</definedName>
    <definedName function="false" hidden="true" name="_48__123Graph_LBL_AC04C_FF_T" vbProcedure="false">#REF!</definedName>
    <definedName function="false" hidden="true" name="_48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490__FDSAUDITLINK__" vbProcedure="false">{"fdsup://directions/FAT Viewer?action=UPDATE&amp;creator=factset&amp;DYN_ARGS=TRUE&amp;DOC_NAME=FAT:FQL_AUDITING_CLIENT_TEMPLATE.FAT&amp;display_string=Audit&amp;VAR:KEY=QHOBULIZOX&amp;VAR:QUERY=RkZfRUJJVF9PUEVSKEFOTiwwLCwsUkYp&amp;WINDOW=FIRST_POPUP&amp;HEIGHT=450&amp;WIDTH=450&amp;START_MAXIMI","ZED=FALSE&amp;VAR:CALENDAR=FIVEDAY&amp;VAR:SYMBOL=93114210&amp;VAR:INDEX=0"}</definedName>
    <definedName function="false" hidden="true" name="_491__FDSAUDITLINK__" vbProcedure="false">{"fdsup://directions/FAT Viewer?action=UPDATE&amp;creator=factset&amp;DYN_ARGS=TRUE&amp;DOC_NAME=FAT:FQL_AUDITING_CLIENT_TEMPLATE.FAT&amp;display_string=Audit&amp;VAR:KEY=UVYJCBGJQZ&amp;VAR:QUERY=MjcxNDguNDY2Nzk3L0ZGX0VCSVREQShDQUwsMjAwOSwsLCxFVVIp&amp;WINDOW=FIRST_POPUP&amp;HEIGHT=450&amp;WI","DTH=450&amp;START_MAXIMIZED=FALSE&amp;VAR:CALENDAR=FIVEDAY&amp;VAR:SYMBOL=710352&amp;VAR:INDEX=0"}</definedName>
    <definedName function="false" hidden="true" name="_492__FDSAUDITLINK__" vbProcedure="false">{"fdsup://directions/FAT Viewer?action=UPDATE&amp;creator=factset&amp;DYN_ARGS=TRUE&amp;DOC_NAME=FAT:FQL_AUDITING_CLIENT_TEMPLATE.FAT&amp;display_string=Audit&amp;VAR:KEY=GVUZWFGLQL&amp;VAR:QUERY=MzE5NzIuMTYyMTA5L0ZGX0VCSVREQShDQUwsMjAwOSwsLCxFVVIp&amp;WINDOW=FIRST_POPUP&amp;HEIGHT=450&amp;WI","DTH=450&amp;START_MAXIMIZED=FALSE&amp;VAR:CALENDAR=FIVEDAY&amp;VAR:SYMBOL=471279&amp;VAR:INDEX=0"}</definedName>
    <definedName function="false" hidden="true" name="_493__FDSAUDITLINK__" vbProcedure="false">{"fdsup://directions/FAT Viewer?action=UPDATE&amp;creator=factset&amp;DYN_ARGS=TRUE&amp;DOC_NAME=FAT:FQL_AUDITING_CLIENT_TEMPLATE.FAT&amp;display_string=Audit&amp;VAR:KEY=YROXULQPAD&amp;VAR:QUERY=ODY0NzcuNzU3ODEyL0ZGX0VCSVREQShDQUwsMjAwOSwsLCxFVVIp&amp;WINDOW=FIRST_POPUP&amp;HEIGHT=450&amp;WI","DTH=450&amp;START_MAXIMIZED=FALSE&amp;VAR:CALENDAR=FIVEDAY&amp;VAR:SYMBOL=549710&amp;VAR:INDEX=0"}</definedName>
    <definedName function="false" hidden="true" name="_494__FDSAUDITLINK__" vbProcedure="false">{"fdsup://Directions/FactSet Auditing Viewer?action=AUDIT_VALUE&amp;DB=129&amp;ID1=93114210&amp;VALUEID=04049&amp;SDATE=2011&amp;PERIODTYPE=ANN_STD&amp;SCFT=3&amp;window=popup_no_bar&amp;width=385&amp;height=120&amp;START_MAXIMIZED=FALSE&amp;creator=factset&amp;display_string=Audit"}</definedName>
    <definedName function="false" hidden="true" name="_495__FDSAUDITLINK__" vbProcedure="false">{"fdsup://Directions/FactSet Auditing Viewer?action=AUDIT_VALUE&amp;DB=129&amp;ID1=93114210&amp;VALUEID=04049&amp;SDATE=2010&amp;PERIODTYPE=ANN_STD&amp;SCFT=3&amp;window=popup_no_bar&amp;width=385&amp;height=120&amp;START_MAXIMIZED=FALSE&amp;creator=factset&amp;display_string=Audit"}</definedName>
    <definedName function="false" hidden="true" name="_496__FDSAUDITLINK__" vbProcedure="false">{"fdsup://Directions/FactSet Auditing Viewer?action=AUDIT_VALUE&amp;DB=129&amp;ID1=93114210&amp;VALUEID=18140&amp;SDATE=2011&amp;PERIODTYPE=ANN_STD&amp;SCFT=3&amp;window=popup_no_bar&amp;width=385&amp;height=120&amp;START_MAXIMIZED=FALSE&amp;creator=factset&amp;display_string=Audit"}</definedName>
    <definedName function="false" hidden="true" name="_497__FDSAUDITLINK__" vbProcedure="false">{"fdsup://Directions/FactSet Auditing Viewer?action=AUDIT_VALUE&amp;DB=129&amp;ID1=93114210&amp;VALUEID=18140&amp;SDATE=2010&amp;PERIODTYPE=ANN_STD&amp;SCFT=3&amp;window=popup_no_bar&amp;width=385&amp;height=120&amp;START_MAXIMIZED=FALSE&amp;creator=factset&amp;display_string=Audit"}</definedName>
    <definedName function="false" hidden="true" name="_498__FDSAUDITLINK__" vbProcedure="false">{"fdsup://Directions/FactSet Auditing Viewer?action=AUDIT_VALUE&amp;DB=129&amp;ID1=93114210&amp;VALUEID=01001&amp;SDATE=2011&amp;PERIODTYPE=ANN_STD&amp;SCFT=3&amp;window=popup_no_bar&amp;width=385&amp;height=120&amp;START_MAXIMIZED=FALSE&amp;creator=factset&amp;display_string=Audit"}</definedName>
    <definedName function="false" hidden="true" name="_499__FDSAUDITLINK__" vbProcedure="false">{"fdsup://Directions/FactSet Auditing Viewer?action=AUDIT_VALUE&amp;DB=129&amp;ID1=93114210&amp;VALUEID=01001&amp;SDATE=2010&amp;PERIODTYPE=ANN_STD&amp;SCFT=3&amp;window=popup_no_bar&amp;width=385&amp;height=120&amp;START_MAXIMIZED=FALSE&amp;creator=factset&amp;display_string=Audit"}</definedName>
    <definedName function="false" hidden="true" name="_49__123Graph_A_Chart_1A" vbProcedure="false">#N/A</definedName>
    <definedName function="false" hidden="true" name="_49__123Graph_BCHART_4" vbProcedure="false">#REF!</definedName>
    <definedName function="false" hidden="true" name="_49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4ALA642C761" vbProcedure="false">#N/A</definedName>
    <definedName function="false" hidden="true" name="_4_0_0_K" vbProcedure="false">#REF!</definedName>
    <definedName function="false" hidden="true" name="_4_123Grap" vbProcedure="false">#REF!</definedName>
    <definedName function="false" hidden="true" name="_4__123Graph_AC04C_ALL_L1" vbProcedure="false">#REF!</definedName>
    <definedName function="false" hidden="true" name="_4__123Graph_ACAPITAL_ALL" vbProcedure="false">#REF!</definedName>
    <definedName function="false" hidden="true" name="_4__123Graph_ACHART_2" vbProcedure="false">#REF!</definedName>
    <definedName function="false" hidden="true" name="_4__123Graph_ACHART_4" vbProcedure="false">#REF!</definedName>
    <definedName function="false" hidden="true" name="_4__123Graph_ACHART_8" vbProcedure="false">#REF!</definedName>
    <definedName function="false" hidden="true" name="_4__123Graph_BCHART_1" vbProcedure="false">#REF!</definedName>
    <definedName function="false" hidden="true" name="_4__123Graph_BChart_1A" vbProcedure="false">#REF!</definedName>
    <definedName function="false" hidden="true" name="_4__123Graph_BCHART_2" vbProcedure="false">#REF!</definedName>
    <definedName function="false" hidden="true" name="_4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4__0_S" vbProcedure="false">#REF!</definedName>
    <definedName function="false" hidden="true" name="_500__FDSAUDITLINK__" vbProcedure="false">{"fdsup://Directions/FactSet Auditing Viewer?action=AUDIT_VALUE&amp;DB=129&amp;ID1=93114210&amp;VALUEID=03040&amp;SDATE=2011&amp;PERIODTYPE=ANN_STD&amp;SCFT=3&amp;window=popup_no_bar&amp;width=385&amp;height=120&amp;START_MAXIMIZED=FALSE&amp;creator=factset&amp;display_string=Audit"}</definedName>
    <definedName function="false" hidden="true" name="_501__FDSAUDITLINK__" vbProcedure="false">{"fdsup://Directions/FactSet Auditing Viewer?action=AUDIT_VALUE&amp;DB=129&amp;ID1=93114210&amp;VALUEID=02051&amp;SDATE=2011&amp;PERIODTYPE=ANN_STD&amp;SCFT=3&amp;window=popup_no_bar&amp;width=385&amp;height=120&amp;START_MAXIMIZED=FALSE&amp;creator=factset&amp;display_string=Audit"}</definedName>
    <definedName function="false" hidden="true" name="_502__FDSAUDITLINK__" vbProcedure="false">{"fdsup://Directions/FactSet Auditing Viewer?action=AUDIT_VALUE&amp;DB=129&amp;ID1=93114210&amp;VALUEID=02101&amp;SDATE=2011&amp;PERIODTYPE=ANN_STD&amp;SCFT=3&amp;window=popup_no_bar&amp;width=385&amp;height=120&amp;START_MAXIMIZED=FALSE&amp;creator=factset&amp;display_string=Audit"}</definedName>
    <definedName function="false" hidden="true" name="_503__FDSAUDITLINK__" vbProcedure="false">{"fdsup://Directions/FactSet Auditing Viewer?action=AUDIT_VALUE&amp;DB=129&amp;ID1=93114210&amp;VALUEID=02501&amp;SDATE=2011&amp;PERIODTYPE=ANN_STD&amp;SCFT=3&amp;window=popup_no_bar&amp;width=385&amp;height=120&amp;START_MAXIMIZED=FALSE&amp;creator=factset&amp;display_string=Audit"}</definedName>
    <definedName function="false" hidden="true" name="_504__FDSAUDITLINK__" vbProcedure="false">{"fdsup://Directions/FactSet Auditing Viewer?action=AUDIT_VALUE&amp;DB=129&amp;ID1=93114210&amp;VALUEID=03426&amp;SDATE=2011&amp;PERIODTYPE=ANN_STD&amp;SCFT=3&amp;window=popup_no_bar&amp;width=385&amp;height=120&amp;START_MAXIMIZED=FALSE&amp;creator=factset&amp;display_string=Audit"}</definedName>
    <definedName function="false" hidden="true" name="_505__FDSAUDITLINK__" vbProcedure="false">{"fdsup://Directions/FactSet Auditing Viewer?action=AUDIT_VALUE&amp;DB=129&amp;ID1=93114210&amp;VALUEID=02001&amp;SDATE=2011&amp;PERIODTYPE=ANN_STD&amp;SCFT=3&amp;window=popup_no_bar&amp;width=385&amp;height=120&amp;START_MAXIMIZED=FALSE&amp;creator=factset&amp;display_string=Audit"}</definedName>
    <definedName function="false" hidden="true" name="_506__FDSAUDITLINK__" vbProcedure="false">{"fdsup://Directions/FactSet Auditing Viewer?action=AUDIT_VALUE&amp;DB=129&amp;ID1=564156&amp;VALUEID=01401&amp;SDATE=2011&amp;PERIODTYPE=ANN_STD&amp;SCFT=3&amp;window=popup_no_bar&amp;width=385&amp;height=120&amp;START_MAXIMIZED=FALSE&amp;creator=factset&amp;display_string=Audit"}</definedName>
    <definedName function="false" hidden="true" name="_507__FDSAUDITLINK__" vbProcedure="false">{"fdsup://Directions/FactSet Auditing Viewer?action=AUDIT_VALUE&amp;DB=129&amp;ID1=564156&amp;VALUEID=01401&amp;SDATE=2010&amp;PERIODTYPE=ANN_STD&amp;SCFT=3&amp;window=popup_no_bar&amp;width=385&amp;height=120&amp;START_MAXIMIZED=FALSE&amp;creator=factset&amp;display_string=Audit"}</definedName>
    <definedName function="false" hidden="true" name="_508__FDSAUDITLINK__" vbProcedure="false">{"fdsup://directions/FAT Viewer?action=UPDATE&amp;creator=factset&amp;DYN_ARGS=TRUE&amp;DOC_NAME=FAT:FQL_AUDITING_CLIENT_TEMPLATE.FAT&amp;display_string=Audit&amp;VAR:KEY=WXIXYLEPIN&amp;VAR:QUERY=NzkzLjE2NDY3My9GRl9FQklUKENBTCwyMDA5LCwsLEVVUik=&amp;WINDOW=FIRST_POPUP&amp;HEIGHT=450&amp;WIDTH=","450&amp;START_MAXIMIZED=FALSE&amp;VAR:CALENDAR=FIVEDAY&amp;VAR:SYMBOL=B0P9M7&amp;VAR:INDEX=0"}</definedName>
    <definedName function="false" hidden="true" name="_509__FDSAUDITLINK__" vbProcedure="false">{"fdsup://directions/FAT Viewer?action=UPDATE&amp;creator=factset&amp;DYN_ARGS=TRUE&amp;DOC_NAME=FAT:FQL_AUDITING_CLIENT_TEMPLATE.FAT&amp;display_string=Audit&amp;VAR:KEY=SVWLURQXSH&amp;VAR:QUERY=NzkzLjE2NDY3My9GRl9FQklUREEoQ0FMLDIwMDksLCwsRVVSKQ==&amp;WINDOW=FIRST_POPUP&amp;HEIGHT=450&amp;WI","DTH=450&amp;START_MAXIMIZED=FALSE&amp;VAR:CALENDAR=FIVEDAY&amp;VAR:SYMBOL=B0P9M7&amp;VAR:INDEX=0"}</definedName>
    <definedName function="false" hidden="true" name="_50__123Graph_AChart_1" vbProcedure="false">#N/A</definedName>
    <definedName function="false" hidden="true" name="_50__123Graph_Aｸﾞﾗﾌ_4" vbProcedure="false">#REF!</definedName>
    <definedName function="false" hidden="true" name="_50__123Graph_DCHART_1" vbProcedure="false">#REF!</definedName>
    <definedName function="false" hidden="true" name="_50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510__FDSAUDITLINK__" vbProcedure="false">{"fdsup://directions/FAT Viewer?action=UPDATE&amp;creator=factset&amp;DYN_ARGS=TRUE&amp;DOC_NAME=FAT:FQL_AUDITING_CLIENT_TEMPLATE.FAT&amp;display_string=Audit&amp;VAR:KEY=UXAPOXYPST&amp;VAR:QUERY=RkZfRUJJVF9PUEVSKEFOTiwwLCwsUkYp&amp;WINDOW=FIRST_POPUP&amp;HEIGHT=450&amp;WIDTH=450&amp;START_MAXIMI","ZED=FALSE&amp;VAR:CALENDAR=FIVEDAY&amp;VAR:SYMBOL=564156&amp;VAR:INDEX=0"}</definedName>
    <definedName function="false" hidden="true" name="_511__FDSAUDITLINK__" vbProcedure="false">{"fdsup://directions/FAT Viewer?action=UPDATE&amp;creator=factset&amp;DYN_ARGS=TRUE&amp;DOC_NAME=FAT:FQL_AUDITING_CLIENT_TEMPLATE.FAT&amp;display_string=Audit&amp;VAR:KEY=EPQBSVAZAV&amp;VAR:QUERY=RkZfRUJJVF9PUEVSKEFOTiwtMSwsLFJGKQ==&amp;WINDOW=FIRST_POPUP&amp;HEIGHT=450&amp;WIDTH=450&amp;START_MA","XIMIZED=FALSE&amp;VAR:CALENDAR=FIVEDAY&amp;VAR:SYMBOL=564156&amp;VAR:INDEX=0"}</definedName>
    <definedName function="false" hidden="true" name="_512__FDSAUDITLINK__" vbProcedure="false">{"fdsup://Directions/FactSet Auditing Viewer?action=AUDIT_VALUE&amp;DB=129&amp;ID1=564156&amp;VALUEID=01151&amp;SDATE=2011&amp;PERIODTYPE=ANN_STD&amp;SCFT=3&amp;window=popup_no_bar&amp;width=385&amp;height=120&amp;START_MAXIMIZED=FALSE&amp;creator=factset&amp;display_string=Audit"}</definedName>
    <definedName function="false" hidden="true" name="_513__FDSAUDITLINK__" vbProcedure="false">{"fdsup://Directions/FactSet Auditing Viewer?action=AUDIT_VALUE&amp;DB=129&amp;ID1=564156&amp;VALUEID=01151&amp;SDATE=2010&amp;PERIODTYPE=ANN_STD&amp;SCFT=3&amp;window=popup_no_bar&amp;width=385&amp;height=120&amp;START_MAXIMIZED=FALSE&amp;creator=factset&amp;display_string=Audit"}</definedName>
    <definedName function="false" hidden="true" name="_514__FDSAUDITLINK__" vbProcedure="false">{"fdsup://Directions/FactSet Auditing Viewer?action=AUDIT_VALUE&amp;DB=129&amp;ID1=564156&amp;VALUEID=04049&amp;SDATE=2011&amp;PERIODTYPE=ANN_STD&amp;SCFT=3&amp;window=popup_no_bar&amp;width=385&amp;height=120&amp;START_MAXIMIZED=FALSE&amp;creator=factset&amp;display_string=Audit"}</definedName>
    <definedName function="false" hidden="true" name="_515__FDSAUDITLINK__" vbProcedure="false">{"fdsup://Directions/FactSet Auditing Viewer?action=AUDIT_VALUE&amp;DB=129&amp;ID1=564156&amp;VALUEID=04049&amp;SDATE=2010&amp;PERIODTYPE=ANN_STD&amp;SCFT=3&amp;window=popup_no_bar&amp;width=385&amp;height=120&amp;START_MAXIMIZED=FALSE&amp;creator=factset&amp;display_string=Audit"}</definedName>
    <definedName function="false" hidden="true" name="_516__FDSAUDITLINK__" vbProcedure="false">{"fdsup://Directions/FactSet Auditing Viewer?action=AUDIT_VALUE&amp;DB=129&amp;ID1=564156&amp;VALUEID=18140&amp;SDATE=2011&amp;PERIODTYPE=ANN_STD&amp;SCFT=3&amp;window=popup_no_bar&amp;width=385&amp;height=120&amp;START_MAXIMIZED=FALSE&amp;creator=factset&amp;display_string=Audit"}</definedName>
    <definedName function="false" hidden="true" name="_517__FDSAUDITLINK__" vbProcedure="false">{"fdsup://Directions/FactSet Auditing Viewer?action=AUDIT_VALUE&amp;DB=129&amp;ID1=564156&amp;VALUEID=18140&amp;SDATE=2010&amp;PERIODTYPE=ANN_STD&amp;SCFT=3&amp;window=popup_no_bar&amp;width=385&amp;height=120&amp;START_MAXIMIZED=FALSE&amp;creator=factset&amp;display_string=Audit"}</definedName>
    <definedName function="false" hidden="true" name="_518__FDSAUDITLINK__" vbProcedure="false">{"fdsup://Directions/FactSet Auditing Viewer?action=AUDIT_VALUE&amp;DB=129&amp;ID1=564156&amp;VALUEID=01001&amp;SDATE=2011&amp;PERIODTYPE=ANN_STD&amp;SCFT=3&amp;window=popup_no_bar&amp;width=385&amp;height=120&amp;START_MAXIMIZED=FALSE&amp;creator=factset&amp;display_string=Audit"}</definedName>
    <definedName function="false" hidden="true" name="_519__FDSAUDITLINK__" vbProcedure="false">{"fdsup://Directions/FactSet Auditing Viewer?action=AUDIT_VALUE&amp;DB=129&amp;ID1=564156&amp;VALUEID=01001&amp;SDATE=2010&amp;PERIODTYPE=ANN_STD&amp;SCFT=3&amp;window=popup_no_bar&amp;width=385&amp;height=120&amp;START_MAXIMIZED=FALSE&amp;creator=factset&amp;display_string=Audit"}</definedName>
    <definedName function="false" hidden="true" name="_51__123Graph_ACHART_19" vbProcedure="false">#N/A</definedName>
    <definedName function="false" hidden="true" name="_51__123Graph_Aｸﾞﾗﾌ_5" vbProcedure="false">#REF!</definedName>
    <definedName function="false" hidden="true" name="_51__123Graph_DCHART_2" vbProcedure="false">#REF!</definedName>
    <definedName function="false" hidden="true" name="_51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520__FDSAUDITLINK__" vbProcedure="false">{"fdsup://Directions/FactSet Auditing Viewer?action=AUDIT_VALUE&amp;DB=129&amp;ID1=564156&amp;VALUEID=03040&amp;SDATE=2011&amp;PERIODTYPE=ANN_STD&amp;SCFT=3&amp;window=popup_no_bar&amp;width=385&amp;height=120&amp;START_MAXIMIZED=FALSE&amp;creator=factset&amp;display_string=Audit"}</definedName>
    <definedName function="false" hidden="true" name="_521__FDSAUDITLINK__" vbProcedure="false">{"fdsup://Directions/FactSet Auditing Viewer?action=AUDIT_VALUE&amp;DB=129&amp;ID1=564156&amp;VALUEID=02051&amp;SDATE=2011&amp;PERIODTYPE=ANN_STD&amp;SCFT=3&amp;window=popup_no_bar&amp;width=385&amp;height=120&amp;START_MAXIMIZED=FALSE&amp;creator=factset&amp;display_string=Audit"}</definedName>
    <definedName function="false" hidden="true" name="_522__FDSAUDITLINK__" vbProcedure="false">{"fdsup://Directions/FactSet Auditing Viewer?action=AUDIT_VALUE&amp;DB=129&amp;ID1=564156&amp;VALUEID=02101&amp;SDATE=2011&amp;PERIODTYPE=ANN_STD&amp;SCFT=3&amp;window=popup_no_bar&amp;width=385&amp;height=120&amp;START_MAXIMIZED=FALSE&amp;creator=factset&amp;display_string=Audit"}</definedName>
    <definedName function="false" hidden="true" name="_523__FDSAUDITLINK__" vbProcedure="false">{"fdsup://Directions/FactSet Auditing Viewer?action=AUDIT_VALUE&amp;DB=129&amp;ID1=564156&amp;VALUEID=02501&amp;SDATE=2011&amp;PERIODTYPE=ANN_STD&amp;SCFT=3&amp;window=popup_no_bar&amp;width=385&amp;height=120&amp;START_MAXIMIZED=FALSE&amp;creator=factset&amp;display_string=Audit"}</definedName>
    <definedName function="false" hidden="true" name="_524__FDSAUDITLINK__" vbProcedure="false">{"fdsup://Directions/FactSet Auditing Viewer?action=AUDIT_VALUE&amp;DB=129&amp;ID1=564156&amp;VALUEID=03426&amp;SDATE=2011&amp;PERIODTYPE=ANN_STD&amp;SCFT=3&amp;window=popup_no_bar&amp;width=385&amp;height=120&amp;START_MAXIMIZED=FALSE&amp;creator=factset&amp;display_string=Audit"}</definedName>
    <definedName function="false" hidden="true" name="_525__FDSAUDITLINK__" vbProcedure="false">{"fdsup://Directions/FactSet Auditing Viewer?action=AUDIT_VALUE&amp;DB=129&amp;ID1=564156&amp;VALUEID=02001&amp;SDATE=2011&amp;PERIODTYPE=ANN_STD&amp;SCFT=3&amp;window=popup_no_bar&amp;width=385&amp;height=120&amp;START_MAXIMIZED=FALSE&amp;creator=factset&amp;display_string=Audit"}</definedName>
    <definedName function="false" hidden="true" name="_526__FDSAUDITLINK__" vbProcedure="false">{"fdsup://Directions/FactSet Auditing Viewer?action=AUDIT_VALUE&amp;DB=129&amp;ID1=93114210&amp;VALUEID=01001&amp;SDATE=2010&amp;PERIODTYPE=ANN_STD&amp;SCFT=3&amp;window=popup_no_bar&amp;width=385&amp;height=120&amp;START_MAXIMIZED=FALSE&amp;creator=factset&amp;display_string=Audit"}</definedName>
    <definedName function="false" hidden="true" name="_527__FDSAUDITLINK__" vbProcedure="false">{"fdsup://Directions/FactSet Auditing Viewer?action=AUDIT_VALUE&amp;DB=129&amp;ID1=088470&amp;VALUEID=02501&amp;SDATE=2011&amp;PERIODTYPE=ANN_STD&amp;SCFT=3&amp;window=popup_no_bar&amp;width=385&amp;height=120&amp;START_MAXIMIZED=FALSE&amp;creator=factset&amp;display_string=Audit"}</definedName>
    <definedName function="false" hidden="true" name="_528__FDSAUDITLINK__" vbProcedure="false">{"fdsup://Directions/FactSet Auditing Viewer?action=AUDIT_VALUE&amp;DB=129&amp;ID1=088470&amp;VALUEID=18140&amp;SDATE=2009&amp;PERIODTYPE=ANN_STD&amp;SCFT=3&amp;window=popup_no_bar&amp;width=385&amp;height=120&amp;START_MAXIMIZED=FALSE&amp;creator=factset&amp;display_string=Audit"}</definedName>
    <definedName function="false" hidden="true" name="_529__FDSAUDITLINK__" vbProcedure="false">{"fdsup://Directions/FactSet Auditing Viewer?action=AUDIT_VALUE&amp;DB=129&amp;ID1=088470&amp;VALUEID=01151&amp;SDATE=2011&amp;PERIODTYPE=ANN_STD&amp;SCFT=3&amp;window=popup_no_bar&amp;width=385&amp;height=120&amp;START_MAXIMIZED=FALSE&amp;creator=factset&amp;display_string=Audit"}</definedName>
    <definedName function="false" hidden="true" name="_52__123Graph_AChart_2" vbProcedure="false">#N/A</definedName>
    <definedName function="false" hidden="true" name="_52__123Graph_Aｸﾞﾗﾌ_6" vbProcedure="false">#REF!</definedName>
    <definedName function="false" hidden="true" name="_52__123Graph_LBL_AC04C_FR_L1" vbProcedure="false">#REF!</definedName>
    <definedName function="false" hidden="true" name="_52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530__FDSAUDITLINK__" vbProcedure="false">{"fdsup://Directions/FactSet Auditing Viewer?action=AUDIT_VALUE&amp;DB=129&amp;ID1=088470&amp;VALUEID=01001&amp;SDATE=2009&amp;PERIODTYPE=ANN_STD&amp;SCFT=3&amp;window=popup_no_bar&amp;width=385&amp;height=120&amp;START_MAXIMIZED=FALSE&amp;creator=factset&amp;display_string=Audit"}</definedName>
    <definedName function="false" hidden="true" name="_531__FDSAUDITLINK__" vbProcedure="false">{"fdsup://Directions/FactSet Auditing Viewer?action=AUDIT_VALUE&amp;DB=129&amp;ID1=088470&amp;VALUEID=18140&amp;SDATE=2010&amp;PERIODTYPE=ANN_STD&amp;SCFT=3&amp;window=popup_no_bar&amp;width=385&amp;height=120&amp;START_MAXIMIZED=FALSE&amp;creator=factset&amp;display_string=Audit"}</definedName>
    <definedName function="false" hidden="true" name="_532__FDSAUDITLINK__" vbProcedure="false">{"fdsup://Directions/FactSet Auditing Viewer?action=AUDIT_VALUE&amp;DB=129&amp;ID1=088470&amp;VALUEID=04049&amp;SDATE=2010&amp;PERIODTYPE=ANN_STD&amp;SCFT=3&amp;window=popup_no_bar&amp;width=385&amp;height=120&amp;START_MAXIMIZED=FALSE&amp;creator=factset&amp;display_string=Audit"}</definedName>
    <definedName function="false" hidden="true" name="_533__FDSAUDITLINK__" vbProcedure="false">{"fdsup://directions/FAT Viewer?action=UPDATE&amp;creator=factset&amp;DYN_ARGS=TRUE&amp;DOC_NAME=FAT:FQL_AUDITING_CLIENT_TEMPLATE.FAT&amp;display_string=Audit&amp;VAR:KEY=YBOXMJGVYD&amp;VAR:QUERY=RkZfRUJJVF9PUEVSKEFOTiwwLCwsUkYp&amp;WINDOW=FIRST_POPUP&amp;HEIGHT=450&amp;WIDTH=450&amp;START_MAXIMI","ZED=FALSE&amp;VAR:CALENDAR=FIVEDAY&amp;VAR:SYMBOL=088470&amp;VAR:INDEX=0"}</definedName>
    <definedName function="false" hidden="true" name="_534__FDSAUDITLINK__" vbProcedure="false">{"fdsup://directions/FAT Viewer?action=UPDATE&amp;creator=factset&amp;DYN_ARGS=TRUE&amp;DOC_NAME=FAT:FQL_AUDITING_CLIENT_TEMPLATE.FAT&amp;display_string=Audit&amp;VAR:KEY=IJGVQLETSP&amp;VAR:QUERY=RkZfRVBTX0RJTChBTk4sMCwsLFJGKQ==&amp;WINDOW=FIRST_POPUP&amp;HEIGHT=450&amp;WIDTH=450&amp;START_MAXIMI","ZED=FALSE&amp;VAR:CALENDAR=FIVEDAY&amp;VAR:SYMBOL=088470&amp;VAR:INDEX=0"}</definedName>
    <definedName function="false" hidden="true" name="_535__FDSAUDITLINK__" vbProcedure="false">{"fdsup://Directions/FactSet Auditing Viewer?action=AUDIT_VALUE&amp;DB=129&amp;ID1=088470&amp;VALUEID=01401&amp;SDATE=2010&amp;PERIODTYPE=ANN_STD&amp;SCFT=3&amp;window=popup_no_bar&amp;width=385&amp;height=120&amp;START_MAXIMIZED=FALSE&amp;creator=factset&amp;display_string=Audit"}</definedName>
    <definedName function="false" hidden="true" name="_536__FDSAUDITLINK__" vbProcedure="false">{"fdsup://Directions/FactSet Auditing Viewer?action=AUDIT_VALUE&amp;DB=129&amp;ID1=088470&amp;VALUEID=01001&amp;SDATE=2010&amp;PERIODTYPE=ANN_STD&amp;SCFT=3&amp;window=popup_no_bar&amp;width=385&amp;height=120&amp;START_MAXIMIZED=FALSE&amp;creator=factset&amp;display_string=Audit"}</definedName>
    <definedName function="false" hidden="true" name="_537__FDSAUDITLINK__" vbProcedure="false">{"fdsup://Directions/FactSet Auditing Viewer?action=AUDIT_VALUE&amp;DB=129&amp;ID1=088470&amp;VALUEID=01151&amp;SDATE=2010&amp;PERIODTYPE=ANN_STD&amp;SCFT=3&amp;window=popup_no_bar&amp;width=385&amp;height=120&amp;START_MAXIMIZED=FALSE&amp;creator=factset&amp;display_string=Audit"}</definedName>
    <definedName function="false" hidden="true" name="_538__FDSAUDITLINK__" vbProcedure="false">{"fdsup://Directions/FactSet Auditing Viewer?action=AUDIT_VALUE&amp;DB=129&amp;ID1=93114210&amp;VALUEID=02051&amp;SDATE=2011&amp;PERIODTYPE=ANN_STD&amp;SCFT=3&amp;window=popup_no_bar&amp;width=385&amp;height=120&amp;START_MAXIMIZED=FALSE&amp;creator=factset&amp;display_string=Audit"}</definedName>
    <definedName function="false" hidden="true" name="_539__FDSAUDITLINK__" vbProcedure="false">{"fdsup://Directions/FactSet Auditing Viewer?action=AUDIT_VALUE&amp;DB=129&amp;ID1=93114210&amp;VALUEID=18140&amp;SDATE=2011&amp;PERIODTYPE=ANN_STD&amp;SCFT=3&amp;window=popup_no_bar&amp;width=385&amp;height=120&amp;START_MAXIMIZED=FALSE&amp;creator=factset&amp;display_string=Audit"}</definedName>
    <definedName function="false" hidden="true" name="_53__123Graph_ACHART_20" vbProcedure="false">#N/A</definedName>
    <definedName function="false" hidden="true" name="_53__123Graph_LBL_ACHART_1" vbProcedure="false">#REF!</definedName>
    <definedName function="false" hidden="true" name="_53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540__FDSAUDITLINK__" vbProcedure="false">{"fdsup://Directions/FactSet Auditing Viewer?action=AUDIT_VALUE&amp;DB=129&amp;ID1=93114210&amp;VALUEID=04049&amp;SDATE=2011&amp;PERIODTYPE=ANN_STD&amp;SCFT=3&amp;window=popup_no_bar&amp;width=385&amp;height=120&amp;START_MAXIMIZED=FALSE&amp;creator=factset&amp;display_string=Audit"}</definedName>
    <definedName function="false" hidden="true" name="_541__FDSAUDITLINK__" vbProcedure="false">{"fdsup://Directions/FactSet Auditing Viewer?action=AUDIT_VALUE&amp;DB=129&amp;ID1=93114210&amp;VALUEID=02001&amp;SDATE=2011&amp;PERIODTYPE=ANN_STD&amp;SCFT=3&amp;window=popup_no_bar&amp;width=385&amp;height=120&amp;START_MAXIMIZED=FALSE&amp;creator=factset&amp;display_string=Audit"}</definedName>
    <definedName function="false" hidden="true" name="_542__FDSAUDITLINK__" vbProcedure="false">{"fdsup://Directions/FactSet Auditing Viewer?action=AUDIT_VALUE&amp;DB=129&amp;ID1=93114210&amp;VALUEID=03040&amp;SDATE=2011&amp;PERIODTYPE=ANN_STD&amp;SCFT=3&amp;window=popup_no_bar&amp;width=385&amp;height=120&amp;START_MAXIMIZED=FALSE&amp;creator=factset&amp;display_string=Audit"}</definedName>
    <definedName function="false" hidden="true" name="_543__FDSAUDITLINK__" vbProcedure="false">{"fdsup://directions/FAT Viewer?action=UPDATE&amp;creator=factset&amp;DYN_ARGS=TRUE&amp;DOC_NAME=FAT:FQL_AUDITING_CLIENT_TEMPLATE.FAT&amp;display_string=Audit&amp;VAR:KEY=MBKRYDOVWZ&amp;VAR:QUERY=RkZfRUJJVF9PUEVSKEFOTiwtMSwsLFJGKQ==&amp;WINDOW=FIRST_POPUP&amp;HEIGHT=450&amp;WIDTH=450&amp;START_MA","XIMIZED=FALSE&amp;VAR:CALENDAR=FIVEDAY&amp;VAR:SYMBOL=93114210&amp;VAR:INDEX=0"}</definedName>
    <definedName function="false" hidden="true" name="_544__FDSAUDITLINK__" vbProcedure="false">{"fdsup://directions/FAT Viewer?action=UPDATE&amp;creator=factset&amp;DYN_ARGS=TRUE&amp;DOC_NAME=FAT:FQL_AUDITING_CLIENT_TEMPLATE.FAT&amp;display_string=Audit&amp;VAR:KEY=AXIFARGXCJ&amp;VAR:QUERY=RkZfRUJJVF9PUEVSKEFOTiwtMSwsLFJGKQ==&amp;WINDOW=FIRST_POPUP&amp;HEIGHT=450&amp;WIDTH=450&amp;START_MA","XIMIZED=FALSE&amp;VAR:CALENDAR=FIVEDAY&amp;VAR:SYMBOL=088470&amp;VAR:INDEX=0"}</definedName>
    <definedName function="false" hidden="true" name="_545__FDSAUDITLINK__" vbProcedure="false">{"fdsup://directions/FAT Viewer?action=UPDATE&amp;creator=factset&amp;DYN_ARGS=TRUE&amp;DOC_NAME=FAT:FQL_AUDITING_CLIENT_TEMPLATE.FAT&amp;display_string=Audit&amp;VAR:KEY=ERGLUDAZMX&amp;VAR:QUERY=RkZfRVBTX0RJTChBTk4sLTEsLCxSRik=&amp;WINDOW=FIRST_POPUP&amp;HEIGHT=450&amp;WIDTH=450&amp;START_MAXIMI","ZED=FALSE&amp;VAR:CALENDAR=FIVEDAY&amp;VAR:SYMBOL=088470&amp;VAR:INDEX=0"}</definedName>
    <definedName function="false" hidden="true" name="_546__FDSAUDITLINK__" vbProcedure="false">{"fdsup://Directions/FactSet Auditing Viewer?action=AUDIT_VALUE&amp;DB=129&amp;ID1=088470&amp;VALUEID=01401&amp;SDATE=2009&amp;PERIODTYPE=ANN_STD&amp;SCFT=3&amp;window=popup_no_bar&amp;width=385&amp;height=120&amp;START_MAXIMIZED=FALSE&amp;creator=factset&amp;display_string=Audit"}</definedName>
    <definedName function="false" hidden="true" name="_547__FDSAUDITLINK__" vbProcedure="false">{"fdsup://Directions/FactSet Auditing Viewer?action=AUDIT_VALUE&amp;DB=129&amp;ID1=93114210&amp;VALUEID=03426&amp;SDATE=2011&amp;PERIODTYPE=ANN_STD&amp;SCFT=3&amp;window=popup_no_bar&amp;width=385&amp;height=120&amp;START_MAXIMIZED=FALSE&amp;creator=factset&amp;display_string=Audit"}</definedName>
    <definedName function="false" hidden="true" name="_548__FDSAUDITLINK__" vbProcedure="false">{"fdsup://Directions/FactSet Auditing Viewer?action=AUDIT_VALUE&amp;DB=129&amp;ID1=93114210&amp;VALUEID=02101&amp;SDATE=2011&amp;PERIODTYPE=ANN_STD&amp;SCFT=3&amp;window=popup_no_bar&amp;width=385&amp;height=120&amp;START_MAXIMIZED=FALSE&amp;creator=factset&amp;display_string=Audit"}</definedName>
    <definedName function="false" hidden="true" name="_549__FDSAUDITLINK__" vbProcedure="false">{"fdsup://Directions/FactSet Auditing Viewer?action=AUDIT_VALUE&amp;DB=129&amp;ID1=93114210&amp;VALUEID=01001&amp;SDATE=2011&amp;PERIODTYPE=ANN_STD&amp;SCFT=3&amp;window=popup_no_bar&amp;width=385&amp;height=120&amp;START_MAXIMIZED=FALSE&amp;creator=factset&amp;display_string=Audit"}</definedName>
    <definedName function="false" hidden="true" name="_54__123Graph_ACHART_22" vbProcedure="false">#N/A</definedName>
    <definedName function="false" hidden="true" name="_54__123Graph_LBL_ACHART_2" vbProcedure="false">#REF!</definedName>
    <definedName function="false" hidden="true" name="_54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550__FDSAUDITLINK__" vbProcedure="false">{"fdsup://Directions/FactSet Auditing Viewer?action=AUDIT_VALUE&amp;DB=129&amp;ID1=93114210&amp;VALUEID=01151&amp;SDATE=2010&amp;PERIODTYPE=ANN_STD&amp;SCFT=3&amp;window=popup_no_bar&amp;width=385&amp;height=120&amp;START_MAXIMIZED=FALSE&amp;creator=factset&amp;display_string=Audit"}</definedName>
    <definedName function="false" hidden="true" name="_551__FDSAUDITLINK__" vbProcedure="false">{"fdsup://directions/FAT Viewer?action=UPDATE&amp;creator=factset&amp;DYN_ARGS=TRUE&amp;DOC_NAME=FAT:FQL_AUDITING_CLIENT_TEMPLATE.FAT&amp;display_string=Audit&amp;VAR:KEY=QHOBULIZOX&amp;VAR:QUERY=RkZfRUJJVF9PUEVSKEFOTiwwLCwsUkYp&amp;WINDOW=FIRST_POPUP&amp;HEIGHT=450&amp;WIDTH=450&amp;START_MAXIMI","ZED=FALSE&amp;VAR:CALENDAR=FIVEDAY&amp;VAR:SYMBOL=93114210&amp;VAR:INDEX=0"}</definedName>
    <definedName function="false" hidden="true" name="_552__FDSAUDITLINK__" vbProcedure="false">{"fdsup://Directions/FactSet Auditing Viewer?action=AUDIT_VALUE&amp;DB=129&amp;ID1=93114210&amp;VALUEID=01151&amp;SDATE=2011&amp;PERIODTYPE=ANN_STD&amp;SCFT=3&amp;window=popup_no_bar&amp;width=385&amp;height=120&amp;START_MAXIMIZED=FALSE&amp;creator=factset&amp;display_string=Audit"}</definedName>
    <definedName function="false" hidden="true" name="_553__FDSAUDITLINK__" vbProcedure="false">{"fdsup://Directions/FactSet Auditing Viewer?action=AUDIT_VALUE&amp;DB=129&amp;ID1=93114210&amp;VALUEID=02501&amp;SDATE=2011&amp;PERIODTYPE=ANN_STD&amp;SCFT=3&amp;window=popup_no_bar&amp;width=385&amp;height=120&amp;START_MAXIMIZED=FALSE&amp;creator=factset&amp;display_string=Audit"}</definedName>
    <definedName function="false" hidden="true" name="_554__FDSAUDITLINK__" vbProcedure="false">{"fdsup://Directions/FactSet Auditing Viewer?action=AUDIT_VALUE&amp;DB=129&amp;ID1=93114210&amp;VALUEID=18140&amp;SDATE=2010&amp;PERIODTYPE=ANN_STD&amp;SCFT=3&amp;window=popup_no_bar&amp;width=385&amp;height=120&amp;START_MAXIMIZED=FALSE&amp;creator=factset&amp;display_string=Audit"}</definedName>
    <definedName function="false" hidden="true" name="_555__FDSAUDITLINK__" vbProcedure="false">{"fdsup://Directions/FactSet Auditing Viewer?action=AUDIT_VALUE&amp;DB=129&amp;ID1=93114210&amp;VALUEID=04049&amp;SDATE=2010&amp;PERIODTYPE=ANN_STD&amp;SCFT=3&amp;window=popup_no_bar&amp;width=385&amp;height=120&amp;START_MAXIMIZED=FALSE&amp;creator=factset&amp;display_string=Audit"}</definedName>
    <definedName function="false" hidden="true" name="_556__FDSAUDITLINK__" vbProcedure="false">{"fdsup://directions/FAT Viewer?action=UPDATE&amp;creator=factset&amp;DYN_ARGS=TRUE&amp;DOC_NAME=FAT:FQL_AUDITING_CLIENT_TEMPLATE.FAT&amp;display_string=Audit&amp;VAR:KEY=MXGNOVUNUT&amp;VAR:QUERY=RkZfRVBTX0RJTChBTk4sLTEsLCxSRik=&amp;WINDOW=FIRST_POPUP&amp;HEIGHT=450&amp;WIDTH=450&amp;START_MAXIMI","ZED=FALSE&amp;VAR:CALENDAR=FIVEDAY&amp;VAR:SYMBOL=93114210&amp;VAR:INDEX=0"}</definedName>
    <definedName function="false" hidden="true" name="_557__FDSAUDITLINK__" vbProcedure="false">{"fdsup://Directions/FactSet Auditing Viewer?action=AUDIT_VALUE&amp;DB=129&amp;ID1=93114210&amp;VALUEID=01401&amp;SDATE=2010&amp;PERIODTYPE=ANN_STD&amp;SCFT=3&amp;window=popup_no_bar&amp;width=385&amp;height=120&amp;START_MAXIMIZED=FALSE&amp;creator=factset&amp;display_string=Audit"}</definedName>
    <definedName function="false" hidden="true" name="_558__FDSAUDITLINK__" vbProcedure="false">{"fdsup://Directions/FactSet Auditing Viewer?action=AUDIT_VALUE&amp;DB=129&amp;ID1=564156&amp;VALUEID=02101&amp;SDATE=2011&amp;PERIODTYPE=ANN_STD&amp;SCFT=3&amp;window=popup_no_bar&amp;width=385&amp;height=120&amp;START_MAXIMIZED=FALSE&amp;creator=factset&amp;display_string=Audit"}</definedName>
    <definedName function="false" hidden="true" name="_559__FDSAUDITLINK__" vbProcedure="false">{"fdsup://directions/FAT Viewer?action=UPDATE&amp;creator=factset&amp;DYN_ARGS=TRUE&amp;DOC_NAME=FAT:FQL_AUDITING_CLIENT_TEMPLATE.FAT&amp;display_string=Audit&amp;VAR:KEY=QVGBKHSJWH&amp;VAR:QUERY=RkZfRVBTX0RJTChBTk4sMCwsLFJGKQ==&amp;WINDOW=FIRST_POPUP&amp;HEIGHT=450&amp;WIDTH=450&amp;START_MAXIMI","ZED=FALSE&amp;VAR:CALENDAR=FIVEDAY&amp;VAR:SYMBOL=93114210&amp;VAR:INDEX=0"}</definedName>
    <definedName function="false" hidden="true" name="_55__123Graph_ACHART_23" vbProcedure="false">#N/A</definedName>
    <definedName function="false" hidden="true" name="_55__123Graph_LBL_ACHART_3" vbProcedure="false">#REF!</definedName>
    <definedName function="false" hidden="true" name="_55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560__FDSAUDITLINK__" vbProcedure="false">{"fdsup://Directions/FactSet Auditing Viewer?action=AUDIT_VALUE&amp;DB=129&amp;ID1=93114210&amp;VALUEID=01401&amp;SDATE=2011&amp;PERIODTYPE=ANN_STD&amp;SCFT=3&amp;window=popup_no_bar&amp;width=385&amp;height=120&amp;START_MAXIMIZED=FALSE&amp;creator=factset&amp;display_string=Audit"}</definedName>
    <definedName function="false" hidden="true" name="_561__FDSAUDITLINK__" vbProcedure="false">{"fdsup://Directions/FactSet Auditing Viewer?action=AUDIT_VALUE&amp;DB=129&amp;ID1=564156&amp;VALUEID=03426&amp;SDATE=2011&amp;PERIODTYPE=ANN_STD&amp;SCFT=3&amp;window=popup_no_bar&amp;width=385&amp;height=120&amp;START_MAXIMIZED=FALSE&amp;creator=factset&amp;display_string=Audit"}</definedName>
    <definedName function="false" hidden="true" name="_562__FDSAUDITLINK__" vbProcedure="false">{"fdsup://Directions/FactSet Auditing Viewer?action=AUDIT_VALUE&amp;DB=129&amp;ID1=564156&amp;VALUEID=01001&amp;SDATE=2011&amp;PERIODTYPE=ANN_STD&amp;SCFT=3&amp;window=popup_no_bar&amp;width=385&amp;height=120&amp;START_MAXIMIZED=FALSE&amp;creator=factset&amp;display_string=Audit"}</definedName>
    <definedName function="false" hidden="true" name="_563__FDSAUDITLINK__" vbProcedure="false">{"fdsup://Directions/FactSet Auditing Viewer?action=AUDIT_VALUE&amp;DB=129&amp;ID1=564156&amp;VALUEID=01151&amp;SDATE=2010&amp;PERIODTYPE=ANN_STD&amp;SCFT=3&amp;window=popup_no_bar&amp;width=385&amp;height=120&amp;START_MAXIMIZED=FALSE&amp;creator=factset&amp;display_string=Audit"}</definedName>
    <definedName function="false" hidden="true" name="_564__FDSAUDITLINK__" vbProcedure="false">{"fdsup://Directions/FactSet Auditing Viewer?action=AUDIT_VALUE&amp;DB=129&amp;ID1=564156&amp;VALUEID=02001&amp;SDATE=2011&amp;PERIODTYPE=ANN_STD&amp;SCFT=3&amp;window=popup_no_bar&amp;width=385&amp;height=120&amp;START_MAXIMIZED=FALSE&amp;creator=factset&amp;display_string=Audit"}</definedName>
    <definedName function="false" hidden="true" name="_565__FDSAUDITLINK__" vbProcedure="false">{"fdsup://Directions/FactSet Auditing Viewer?action=AUDIT_VALUE&amp;DB=129&amp;ID1=564156&amp;VALUEID=03040&amp;SDATE=2011&amp;PERIODTYPE=ANN_STD&amp;SCFT=3&amp;window=popup_no_bar&amp;width=385&amp;height=120&amp;START_MAXIMIZED=FALSE&amp;creator=factset&amp;display_string=Audit"}</definedName>
    <definedName function="false" hidden="true" name="_566__FDSAUDITLINK__" vbProcedure="false">{"fdsup://Directions/FactSet Auditing Viewer?action=AUDIT_VALUE&amp;DB=129&amp;ID1=564156&amp;VALUEID=02051&amp;SDATE=2011&amp;PERIODTYPE=ANN_STD&amp;SCFT=3&amp;window=popup_no_bar&amp;width=385&amp;height=120&amp;START_MAXIMIZED=FALSE&amp;creator=factset&amp;display_string=Audit"}</definedName>
    <definedName function="false" hidden="true" name="_567__FDSAUDITLINK__" vbProcedure="false">{"fdsup://Directions/FactSet Auditing Viewer?action=AUDIT_VALUE&amp;DB=129&amp;ID1=564156&amp;VALUEID=01001&amp;SDATE=2010&amp;PERIODTYPE=ANN_STD&amp;SCFT=3&amp;window=popup_no_bar&amp;width=385&amp;height=120&amp;START_MAXIMIZED=FALSE&amp;creator=factset&amp;display_string=Audit"}</definedName>
    <definedName function="false" hidden="true" name="_568__FDSAUDITLINK__" vbProcedure="false">{"fdsup://Directions/FactSet Auditing Viewer?action=AUDIT_VALUE&amp;DB=129&amp;ID1=564156&amp;VALUEID=18140&amp;SDATE=2011&amp;PERIODTYPE=ANN_STD&amp;SCFT=3&amp;window=popup_no_bar&amp;width=385&amp;height=120&amp;START_MAXIMIZED=FALSE&amp;creator=factset&amp;display_string=Audit"}</definedName>
    <definedName function="false" hidden="true" name="_569__FDSAUDITLINK__" vbProcedure="false">{"fdsup://Directions/FactSet Auditing Viewer?action=AUDIT_VALUE&amp;DB=129&amp;ID1=564156&amp;VALUEID=02501&amp;SDATE=2011&amp;PERIODTYPE=ANN_STD&amp;SCFT=3&amp;window=popup_no_bar&amp;width=385&amp;height=120&amp;START_MAXIMIZED=FALSE&amp;creator=factset&amp;display_string=Audit"}</definedName>
    <definedName function="false" hidden="true" name="_56__123Graph_AChart_3" vbProcedure="false">#N/A</definedName>
    <definedName function="false" hidden="true" name="_56__123Graph_BCHART_8" vbProcedure="false">#REF!</definedName>
    <definedName function="false" hidden="true" name="_56__123Graph_Bｸﾞﾗﾌ_1" vbProcedure="false">#REF!</definedName>
    <definedName function="false" hidden="true" name="_56__123Graph_LBL_AC04C_FR_L2" vbProcedure="false">#REF!</definedName>
    <definedName function="false" hidden="true" name="_56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570__FDSAUDITLINK__" vbProcedure="false">{"fdsup://Directions/FactSet Auditing Viewer?action=AUDIT_VALUE&amp;DB=129&amp;ID1=564156&amp;VALUEID=18140&amp;SDATE=2010&amp;PERIODTYPE=ANN_STD&amp;SCFT=3&amp;window=popup_no_bar&amp;width=385&amp;height=120&amp;START_MAXIMIZED=FALSE&amp;creator=factset&amp;display_string=Audit"}</definedName>
    <definedName function="false" hidden="true" name="_571__FDSAUDITLINK__" vbProcedure="false">{"fdsup://Directions/FactSet Auditing Viewer?action=AUDIT_VALUE&amp;DB=129&amp;ID1=564156&amp;VALUEID=04049&amp;SDATE=2010&amp;PERIODTYPE=ANN_STD&amp;SCFT=3&amp;window=popup_no_bar&amp;width=385&amp;height=120&amp;START_MAXIMIZED=FALSE&amp;creator=factset&amp;display_string=Audit"}</definedName>
    <definedName function="false" hidden="true" name="_572__FDSAUDITLINK__" vbProcedure="false">{"fdsup://Directions/FactSet Auditing Viewer?action=AUDIT_VALUE&amp;DB=129&amp;ID1=564156&amp;VALUEID=01151&amp;SDATE=2011&amp;PERIODTYPE=ANN_STD&amp;SCFT=3&amp;window=popup_no_bar&amp;width=385&amp;height=120&amp;START_MAXIMIZED=FALSE&amp;creator=factset&amp;display_string=Audit"}</definedName>
    <definedName function="false" hidden="true" name="_573__FDSAUDITLINK__" vbProcedure="false">{"fdsup://directions/FAT Viewer?action=UPDATE&amp;creator=factset&amp;DYN_ARGS=TRUE&amp;DOC_NAME=FAT:FQL_AUDITING_CLIENT_TEMPLATE.FAT&amp;display_string=Audit&amp;VAR:KEY=EPQBSVAZAV&amp;VAR:QUERY=RkZfRUJJVF9PUEVSKEFOTiwtMSwsLFJGKQ==&amp;WINDOW=FIRST_POPUP&amp;HEIGHT=450&amp;WIDTH=450&amp;START_MA","XIMIZED=FALSE&amp;VAR:CALENDAR=FIVEDAY&amp;VAR:SYMBOL=564156&amp;VAR:INDEX=0"}</definedName>
    <definedName function="false" hidden="true" name="_574__FDSAUDITLINK__" vbProcedure="false">{"fdsup://directions/FAT Viewer?action=UPDATE&amp;creator=factset&amp;DYN_ARGS=TRUE&amp;DOC_NAME=FAT:FQL_AUDITING_CLIENT_TEMPLATE.FAT&amp;display_string=Audit&amp;VAR:KEY=KJGTQBYDOV&amp;VAR:QUERY=RkZfRVBTX0RJTChBTk4sLTEsLCxSRik=&amp;WINDOW=FIRST_POPUP&amp;HEIGHT=450&amp;WIDTH=450&amp;START_MAXIMI","ZED=FALSE&amp;VAR:CALENDAR=FIVEDAY&amp;VAR:SYMBOL=564156&amp;VAR:INDEX=0"}</definedName>
    <definedName function="false" hidden="true" name="_575__FDSAUDITLINK__" vbProcedure="false">{"fdsup://directions/FAT Viewer?action=UPDATE&amp;creator=factset&amp;DYN_ARGS=TRUE&amp;DOC_NAME=FAT:FQL_AUDITING_CLIENT_TEMPLATE.FAT&amp;display_string=Audit&amp;VAR:KEY=CZWPORSTUB&amp;VAR:QUERY=ODMzNTguODEyNTAwL0ZGX0VCSVREQShDQUwsMjAwOSwsLCxFVVIp&amp;WINDOW=FIRST_POPUP&amp;HEIGHT=450&amp;WI","DTH=450&amp;START_MAXIMIZED=FALSE&amp;VAR:CALENDAR=FIVEDAY&amp;VAR:SYMBOL=552902&amp;VAR:INDEX=0"}</definedName>
    <definedName function="false" hidden="true" name="_576__FDSAUDITLINK__" vbProcedure="false">{"fdsup://Directions/FactSet Auditing Viewer?action=AUDIT_VALUE&amp;DB=129&amp;ID1=564156&amp;VALUEID=04049&amp;SDATE=2011&amp;PERIODTYPE=ANN_STD&amp;SCFT=3&amp;window=popup_no_bar&amp;width=385&amp;height=120&amp;START_MAXIMIZED=FALSE&amp;creator=factset&amp;display_string=Audit"}</definedName>
    <definedName function="false" hidden="true" name="_577__FDSAUDITLINK__" vbProcedure="false">{"fdsup://directions/FAT Viewer?action=UPDATE&amp;creator=factset&amp;DYN_ARGS=TRUE&amp;DOC_NAME=FAT:FQL_AUDITING_CLIENT_TEMPLATE.FAT&amp;display_string=Audit&amp;VAR:KEY=UXAPOXYPST&amp;VAR:QUERY=RkZfRUJJVF9PUEVSKEFOTiwwLCwsUkYp&amp;WINDOW=FIRST_POPUP&amp;HEIGHT=450&amp;WIDTH=450&amp;START_MAXIMI","ZED=FALSE&amp;VAR:CALENDAR=FIVEDAY&amp;VAR:SYMBOL=564156&amp;VAR:INDEX=0"}</definedName>
    <definedName function="false" hidden="true" name="_578__FDSAUDITLINK__" vbProcedure="false">{"fdsup://directions/FAT Viewer?action=UPDATE&amp;creator=factset&amp;DYN_ARGS=TRUE&amp;DOC_NAME=FAT:FQL_AUDITING_CLIENT_TEMPLATE.FAT&amp;display_string=Audit&amp;VAR:KEY=ILSFYDIXYL&amp;VAR:QUERY=RkZfRVBTX0RJTChBTk4sMCwsLFJGKQ==&amp;WINDOW=FIRST_POPUP&amp;HEIGHT=450&amp;WIDTH=450&amp;START_MAXIMI","ZED=FALSE&amp;VAR:CALENDAR=FIVEDAY&amp;VAR:SYMBOL=564156&amp;VAR:INDEX=0"}</definedName>
    <definedName function="false" hidden="true" name="_579__FDSAUDITLINK__" vbProcedure="false">{"fdsup://Directions/FactSet Auditing Viewer?action=AUDIT_VALUE&amp;DB=129&amp;ID1=564156&amp;VALUEID=01401&amp;SDATE=2011&amp;PERIODTYPE=ANN_STD&amp;SCFT=3&amp;window=popup_no_bar&amp;width=385&amp;height=120&amp;START_MAXIMIZED=FALSE&amp;creator=factset&amp;display_string=Audit"}</definedName>
    <definedName function="false" hidden="true" name="_57__123Graph_AChart_4" vbProcedure="false">#N/A</definedName>
    <definedName function="false" hidden="true" name="_57__123Graph_LBL_DCHART_1" vbProcedure="false">#REF!</definedName>
    <definedName function="false" hidden="true" name="_57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580__FDSAUDITLINK__" vbProcedure="false">{"fdsup://Directions/FactSet Auditing Viewer?action=AUDIT_VALUE&amp;DB=129&amp;ID1=088470&amp;VALUEID=01401&amp;SDATE=2010&amp;PERIODTYPE=ANN_STD&amp;SCFT=3&amp;window=popup_no_bar&amp;width=385&amp;height=120&amp;START_MAXIMIZED=FALSE&amp;creator=factset&amp;display_string=Audit"}</definedName>
    <definedName function="false" hidden="true" name="_581__FDSAUDITLINK__" vbProcedure="false">{"fdsup://Directions/FactSet Auditing Viewer?action=AUDIT_VALUE&amp;DB=129&amp;ID1=088470&amp;VALUEID=01401&amp;SDATE=2009&amp;PERIODTYPE=ANN_STD&amp;SCFT=3&amp;window=popup_no_bar&amp;width=385&amp;height=120&amp;START_MAXIMIZED=FALSE&amp;creator=factset&amp;display_string=Audit"}</definedName>
    <definedName function="false" hidden="true" name="_582__FDSAUDITLINK__" vbProcedure="false">{"fdsup://directions/FAT Viewer?action=UPDATE&amp;creator=factset&amp;DYN_ARGS=TRUE&amp;DOC_NAME=FAT:FQL_AUDITING_CLIENT_TEMPLATE.FAT&amp;display_string=Audit&amp;VAR:KEY=WZADQZSDQH&amp;VAR:QUERY=RkZfRVBTX0RJTChBTk4sMCwsLFJGKQ==&amp;WINDOW=FIRST_POPUP&amp;HEIGHT=450&amp;WIDTH=450&amp;START_MAXIMI","ZED=FALSE&amp;VAR:CALENDAR=FIVEDAY&amp;VAR:SYMBOL=088470&amp;VAR:INDEX=0"}</definedName>
    <definedName function="false" hidden="true" name="_583IQ___SET_WRITEDOWN_INS" vbProcedure="false">"c59"</definedName>
    <definedName function="false" hidden="true" name="_583__FDSAUDITLINK__" vbProcedure="false">{"fdsup://directions/FAT Viewer?action=UPDATE&amp;creator=factset&amp;DYN_ARGS=TRUE&amp;DOC_NAME=FAT:FQL_AUDITING_CLIENT_TEMPLATE.FAT&amp;display_string=Audit&amp;VAR:KEY=EJCBYZWHOV&amp;VAR:QUERY=RkZfRVBTX0RJTChBTk4sLTEsLCxSRik=&amp;WINDOW=FIRST_POPUP&amp;HEIGHT=450&amp;WIDTH=450&amp;START_MAXIMI","ZED=FALSE&amp;VAR:CALENDAR=FIVEDAY&amp;VAR:SYMBOL=088470&amp;VAR:INDEX=0"}</definedName>
    <definedName function="false" hidden="true" name="_584__FDSAUDITLINK__" vbProcedure="false">{"fdsup://directions/FAT Viewer?action=UPDATE&amp;creator=factset&amp;DYN_ARGS=TRUE&amp;DOC_NAME=FAT:FQL_AUDITING_CLIENT_TEMPLATE.FAT&amp;display_string=Audit&amp;VAR:KEY=WZOXADSLSZ&amp;VAR:QUERY=RkZfRUJJVF9PUEVSKEFOTiwwLCwsUkYp&amp;WINDOW=FIRST_POPUP&amp;HEIGHT=450&amp;WIDTH=450&amp;START_MAXIMI","ZED=FALSE&amp;VAR:CALENDAR=FIVEDAY&amp;VAR:SYMBOL=088470&amp;VAR:INDEX=0"}</definedName>
    <definedName function="false" hidden="true" name="_585__FDSAUDITLINK__" vbProcedure="false">{"fdsup://directions/FAT Viewer?action=UPDATE&amp;creator=factset&amp;DYN_ARGS=TRUE&amp;DOC_NAME=FAT:FQL_AUDITING_CLIENT_TEMPLATE.FAT&amp;display_string=Audit&amp;VAR:KEY=KFSHGTMHEH&amp;VAR:QUERY=RkZfRUJJVF9PUEVSKEFOTiwtMSwsLFJGKQ==&amp;WINDOW=FIRST_POPUP&amp;HEIGHT=450&amp;WIDTH=450&amp;START_MA","XIMIZED=FALSE&amp;VAR:CALENDAR=FIVEDAY&amp;VAR:SYMBOL=088470&amp;VAR:INDEX=0"}</definedName>
    <definedName function="false" hidden="true" name="_586__FDSAUDITLINK__" vbProcedure="false">{"fdsup://Directions/FactSet Auditing Viewer?action=AUDIT_VALUE&amp;DB=129&amp;ID1=088470&amp;VALUEID=01151&amp;SDATE=2011&amp;PERIODTYPE=ANN_STD&amp;SCFT=3&amp;window=popup_no_bar&amp;width=385&amp;height=120&amp;START_MAXIMIZED=FALSE&amp;creator=factset&amp;display_string=Audit"}</definedName>
    <definedName function="false" hidden="true" name="_587__FDSAUDITLINK__" vbProcedure="false">{"fdsup://Directions/FactSet Auditing Viewer?action=AUDIT_VALUE&amp;DB=129&amp;ID1=088470&amp;VALUEID=01151&amp;SDATE=2010&amp;PERIODTYPE=ANN_STD&amp;SCFT=3&amp;window=popup_no_bar&amp;width=385&amp;height=120&amp;START_MAXIMIZED=FALSE&amp;creator=factset&amp;display_string=Audit"}</definedName>
    <definedName function="false" hidden="true" name="_588__FDSAUDITLINK__" vbProcedure="false">{"fdsup://Directions/FactSet Auditing Viewer?action=AUDIT_VALUE&amp;DB=129&amp;ID1=088470&amp;VALUEID=04049&amp;SDATE=2010&amp;PERIODTYPE=ANN_STD&amp;SCFT=3&amp;window=popup_no_bar&amp;width=385&amp;height=120&amp;START_MAXIMIZED=FALSE&amp;creator=factset&amp;display_string=Audit"}</definedName>
    <definedName function="false" hidden="true" name="_589__FDSAUDITLINK__" vbProcedure="false">{"fdsup://Directions/FactSet Auditing Viewer?action=AUDIT_VALUE&amp;DB=129&amp;ID1=088470&amp;VALUEID=18140&amp;SDATE=2010&amp;PERIODTYPE=ANN_STD&amp;SCFT=3&amp;window=popup_no_bar&amp;width=385&amp;height=120&amp;START_MAXIMIZED=FALSE&amp;creator=factset&amp;display_string=Audit"}</definedName>
    <definedName function="false" hidden="true" name="_58__123Graph_AChart_5" vbProcedure="false">#N/A</definedName>
    <definedName function="false" hidden="true" name="_58__123Graph_LBL_DCHART_2" vbProcedure="false">#REF!</definedName>
    <definedName function="false" hidden="true" name="_58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590__FDSAUDITLINK__" vbProcedure="false">{"fdsup://Directions/FactSet Auditing Viewer?action=AUDIT_VALUE&amp;DB=129&amp;ID1=088470&amp;VALUEID=18140&amp;SDATE=2009&amp;PERIODTYPE=ANN_STD&amp;SCFT=3&amp;window=popup_no_bar&amp;width=385&amp;height=120&amp;START_MAXIMIZED=FALSE&amp;creator=factset&amp;display_string=Audit"}</definedName>
    <definedName function="false" hidden="true" name="_591__FDSAUDITLINK__" vbProcedure="false">{"fdsup://directions/FAT Viewer?action=UPDATE&amp;creator=factset&amp;DYN_ARGS=TRUE&amp;DOC_NAME=FAT:FQL_AUDITING_CLIENT_TEMPLATE.FAT&amp;display_string=Audit&amp;VAR:KEY=EPARIVMLMT&amp;VAR:QUERY=MTAxMC4yMjk0OTIvRkZfRUJJVChDQUwsMjAwOSwsLCxFVVIp&amp;WINDOW=FIRST_POPUP&amp;HEIGHT=450&amp;WIDTH=","450&amp;START_MAXIMIZED=FALSE&amp;VAR:CALENDAR=FIVEDAY&amp;VAR:SYMBOL=509233&amp;VAR:INDEX=0"}</definedName>
    <definedName function="false" hidden="true" name="_592__FDSAUDITLINK__" vbProcedure="false">{"fdsup://directions/FAT Viewer?action=UPDATE&amp;creator=factset&amp;DYN_ARGS=TRUE&amp;DOC_NAME=FAT:FQL_AUDITING_CLIENT_TEMPLATE.FAT&amp;display_string=Audit&amp;VAR:KEY=WRCXAZKNUV&amp;VAR:QUERY=MTAxMC4yMjk0OTIvRkZfRUJJVERBKENBTCwyMDA5LCwsLEVVUik=&amp;WINDOW=FIRST_POPUP&amp;HEIGHT=450&amp;WI","DTH=450&amp;START_MAXIMIZED=FALSE&amp;VAR:CALENDAR=FIVEDAY&amp;VAR:SYMBOL=509233&amp;VAR:INDEX=0"}</definedName>
    <definedName function="false" hidden="true" name="_593__FDSAUDITLINK__" vbProcedure="false">{"fdsup://Directions/FactSet Auditing Viewer?action=AUDIT_VALUE&amp;DB=129&amp;ID1=088470&amp;VALUEID=02501&amp;SDATE=2011&amp;PERIODTYPE=ANN_STD&amp;SCFT=3&amp;window=popup_no_bar&amp;width=385&amp;height=120&amp;START_MAXIMIZED=FALSE&amp;creator=factset&amp;display_string=Audit"}</definedName>
    <definedName function="false" hidden="true" name="_594__FDSAUDITLINK__" vbProcedure="false">{"fdsup://Directions/FactSet Auditing Viewer?action=AUDIT_VALUE&amp;DB=129&amp;ID1=088470&amp;VALUEID=03426&amp;SDATE=2011&amp;PERIODTYPE=ANN_STD&amp;SCFT=3&amp;window=popup_no_bar&amp;width=385&amp;height=120&amp;START_MAXIMIZED=FALSE&amp;creator=factset&amp;display_string=Audit"}</definedName>
    <definedName function="false" hidden="true" name="_595__FDSAUDITLINK__" vbProcedure="false">{"fdsup://Directions/FactSet Auditing Viewer?action=AUDIT_VALUE&amp;DB=129&amp;ID1=088470&amp;VALUEID=02001&amp;SDATE=2011&amp;PERIODTYPE=ANN_STD&amp;SCFT=3&amp;window=popup_no_bar&amp;width=385&amp;height=120&amp;START_MAXIMIZED=FALSE&amp;creator=factset&amp;display_string=Audit"}</definedName>
    <definedName function="false" hidden="true" name="_596__FDSAUDITLINK__" vbProcedure="false">{"fdsup://Directions/FactSet Auditing Viewer?action=AUDIT_VALUE&amp;DB=129&amp;ID1=93114210&amp;VALUEID=01401&amp;SDATE=2011&amp;PERIODTYPE=ANN_STD&amp;SCFT=3&amp;window=popup_no_bar&amp;width=385&amp;height=120&amp;START_MAXIMIZED=FALSE&amp;creator=factset&amp;display_string=Audit"}</definedName>
    <definedName function="false" hidden="true" name="_597__FDSAUDITLINK__" vbProcedure="false">{"fdsup://Directions/FactSet Auditing Viewer?action=AUDIT_VALUE&amp;DB=129&amp;ID1=93114210&amp;VALUEID=01401&amp;SDATE=2010&amp;PERIODTYPE=ANN_STD&amp;SCFT=3&amp;window=popup_no_bar&amp;width=385&amp;height=120&amp;START_MAXIMIZED=FALSE&amp;creator=factset&amp;display_string=Audit"}</definedName>
    <definedName function="false" hidden="true" name="_598__FDSAUDITLINK__" vbProcedure="false">{"fdsup://directions/FAT Viewer?action=UPDATE&amp;creator=factset&amp;DYN_ARGS=TRUE&amp;DOC_NAME=FAT:FQL_AUDITING_CLIENT_TEMPLATE.FAT&amp;display_string=Audit&amp;VAR:KEY=YJSJWHMNOZ&amp;VAR:QUERY=RkZfRVBTX0RJTChBTk4sMCwsLFJGKQ==&amp;WINDOW=FIRST_POPUP&amp;HEIGHT=450&amp;WIDTH=450&amp;START_MAXIMI","ZED=FALSE&amp;VAR:CALENDAR=FIVEDAY&amp;VAR:SYMBOL=93114210&amp;VAR:INDEX=0"}</definedName>
    <definedName function="false" hidden="true" name="_599__FDSAUDITLINK__" vbProcedure="false">{"fdsup://directions/FAT Viewer?action=UPDATE&amp;creator=factset&amp;DYN_ARGS=TRUE&amp;DOC_NAME=FAT:FQL_AUDITING_CLIENT_TEMPLATE.FAT&amp;display_string=Audit&amp;VAR:KEY=WVGVONSVSN&amp;VAR:QUERY=RkZfRVBTX0RJTChBTk4sLTEsLCxSRik=&amp;WINDOW=FIRST_POPUP&amp;HEIGHT=450&amp;WIDTH=450&amp;START_MAXIMI","ZED=FALSE&amp;VAR:CALENDAR=FIVEDAY&amp;VAR:SYMBOL=93114210&amp;VAR:INDEX=0"}</definedName>
    <definedName function="false" hidden="true" name="_59__123Graph_AChart_6" vbProcedure="false">#N/A</definedName>
    <definedName function="false" hidden="true" name="_59__123Graph_XCHART_2" vbProcedure="false">#REF!</definedName>
    <definedName function="false" hidden="true" name="_59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5ALA642C761" vbProcedure="false">#N/A</definedName>
    <definedName function="false" hidden="true" name="_5__123Graph_ACAPITAL_BY_OEM" vbProcedure="false">#REF!</definedName>
    <definedName function="false" hidden="true" name="_5__123Graph_ACHART_3" vbProcedure="false">#REF!</definedName>
    <definedName function="false" hidden="true" name="_5__123Graph_BCHART_1" vbProcedure="false">#REF!</definedName>
    <definedName function="false" hidden="true" name="_5__123Graph_BCHART_2" vbProcedure="false">#REF!</definedName>
    <definedName function="false" hidden="true" name="_5__123Graph_BChart_2A" vbProcedure="false">#REF!</definedName>
    <definedName function="false" hidden="true" name="_5__123Graph_CCHART_2" vbProcedure="false">#REF!</definedName>
    <definedName function="false" hidden="true" name="_5__FDSAUDITLINK__" vbProcedure="false">{"fdsup://directions/FAT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function="false" hidden="true" name="_600__FDSAUDITLINK__" vbProcedure="false">{"fdsup://directions/FAT Viewer?action=UPDATE&amp;creator=factset&amp;DYN_ARGS=TRUE&amp;DOC_NAME=FAT:FQL_AUDITING_CLIENT_TEMPLATE.FAT&amp;display_string=Audit&amp;VAR:KEY=OLYTIBILUR&amp;VAR:QUERY=RkZfRUJJVF9PUEVSKEFOTiwwLCwsUkYp&amp;WINDOW=FIRST_POPUP&amp;HEIGHT=450&amp;WIDTH=450&amp;START_MAXIMI","ZED=FALSE&amp;VAR:CALENDAR=FIVEDAY&amp;VAR:SYMBOL=93114210&amp;VAR:INDEX=0"}</definedName>
    <definedName function="false" hidden="true" name="_601__FDSAUDITLINK__" vbProcedure="false">{"fdsup://directions/FAT Viewer?action=UPDATE&amp;creator=factset&amp;DYN_ARGS=TRUE&amp;DOC_NAME=FAT:FQL_AUDITING_CLIENT_TEMPLATE.FAT&amp;display_string=Audit&amp;VAR:KEY=IJURSPOXER&amp;VAR:QUERY=NTQyMjAuMDE1NjI1L0ZGX0VCSVQoQ0FMLDIwMDksLCwsRVVSKQ==&amp;WINDOW=FIRST_POPUP&amp;HEIGHT=450&amp;WI","DTH=450&amp;START_MAXIMIZED=FALSE&amp;VAR:CALENDAR=FIVEDAY&amp;VAR:SYMBOL=659678&amp;VAR:INDEX=0"}</definedName>
    <definedName function="false" hidden="true" name="_602__FDSAUDITLINK__" vbProcedure="false">{"fdsup://directions/FAT Viewer?action=UPDATE&amp;creator=factset&amp;DYN_ARGS=TRUE&amp;DOC_NAME=FAT:FQL_AUDITING_CLIENT_TEMPLATE.FAT&amp;display_string=Audit&amp;VAR:KEY=CFQFCNIRAL&amp;VAR:QUERY=NTQyMjAuMDE1NjI1L0ZGX0VCSVREQShDQUwsMjAwOSwsLCxFVVIp&amp;WINDOW=FIRST_POPUP&amp;HEIGHT=450&amp;WI","DTH=450&amp;START_MAXIMIZED=FALSE&amp;VAR:CALENDAR=FIVEDAY&amp;VAR:SYMBOL=659678&amp;VAR:INDEX=0"}</definedName>
    <definedName function="false" hidden="true" name="_603__FDSAUDITLINK__" vbProcedure="false">{"fdsup://Directions/FactSet Auditing Viewer?action=AUDIT_VALUE&amp;DB=129&amp;ID1=93114210&amp;VALUEID=01151&amp;SDATE=2010&amp;PERIODTYPE=ANN_STD&amp;SCFT=3&amp;window=popup_no_bar&amp;width=385&amp;height=120&amp;START_MAXIMIZED=FALSE&amp;creator=factset&amp;display_string=Audit"}</definedName>
    <definedName function="false" hidden="true" name="_604__FDSAUDITLINK__" vbProcedure="false">{"fdsup://Directions/FactSet Auditing Viewer?action=AUDIT_VALUE&amp;DB=129&amp;ID1=93114210&amp;VALUEID=04049&amp;SDATE=2011&amp;PERIODTYPE=ANN_STD&amp;SCFT=3&amp;window=popup_no_bar&amp;width=385&amp;height=120&amp;START_MAXIMIZED=FALSE&amp;creator=factset&amp;display_string=Audit"}</definedName>
    <definedName function="false" hidden="true" name="_605__FDSAUDITLINK__" vbProcedure="false">{"fdsup://Directions/FactSet Auditing Viewer?action=AUDIT_VALUE&amp;DB=129&amp;ID1=93114210&amp;VALUEID=04049&amp;SDATE=2010&amp;PERIODTYPE=ANN_STD&amp;SCFT=3&amp;window=popup_no_bar&amp;width=385&amp;height=120&amp;START_MAXIMIZED=FALSE&amp;creator=factset&amp;display_string=Audit"}</definedName>
    <definedName function="false" hidden="true" name="_606__FDSAUDITLINK__" vbProcedure="false">{"fdsup://Directions/FactSet Auditing Viewer?action=AUDIT_VALUE&amp;DB=129&amp;ID1=93114210&amp;VALUEID=18140&amp;SDATE=2011&amp;PERIODTYPE=ANN_STD&amp;SCFT=3&amp;window=popup_no_bar&amp;width=385&amp;height=120&amp;START_MAXIMIZED=FALSE&amp;creator=factset&amp;display_string=Audit"}</definedName>
    <definedName function="false" hidden="true" name="_607__FDSAUDITLINK__" vbProcedure="false">{"fdsup://Directions/FactSet Auditing Viewer?action=AUDIT_VALUE&amp;DB=129&amp;ID1=93114210&amp;VALUEID=18140&amp;SDATE=2010&amp;PERIODTYPE=ANN_STD&amp;SCFT=3&amp;window=popup_no_bar&amp;width=385&amp;height=120&amp;START_MAXIMIZED=FALSE&amp;creator=factset&amp;display_string=Audit"}</definedName>
    <definedName function="false" hidden="true" name="_608__FDSAUDITLINK__" vbProcedure="false">{"fdsup://Directions/FactSet Auditing Viewer?action=AUDIT_VALUE&amp;DB=129&amp;ID1=93114210&amp;VALUEID=01001&amp;SDATE=2011&amp;PERIODTYPE=ANN_STD&amp;SCFT=3&amp;window=popup_no_bar&amp;width=385&amp;height=120&amp;START_MAXIMIZED=FALSE&amp;creator=factset&amp;display_string=Audit"}</definedName>
    <definedName function="false" hidden="true" name="_609__FDSAUDITLINK__" vbProcedure="false">{"fdsup://Directions/FactSet Auditing Viewer?action=AUDIT_VALUE&amp;DB=129&amp;ID1=93114210&amp;VALUEID=01001&amp;SDATE=2010&amp;PERIODTYPE=ANN_STD&amp;SCFT=3&amp;window=popup_no_bar&amp;width=385&amp;height=120&amp;START_MAXIMIZED=FALSE&amp;creator=factset&amp;display_string=Audit"}</definedName>
    <definedName function="false" hidden="true" name="_60__123Graph_AINVAR_A" vbProcedure="false">#N/A</definedName>
    <definedName function="false" hidden="true" name="_60__123Graph_LBL_AC04C_FR_T1" vbProcedure="false">#REF!</definedName>
    <definedName function="false" hidden="true" name="_60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610__FDSAUDITLINK__" vbProcedure="false">{"fdsup://Directions/FactSet Auditing Viewer?action=AUDIT_VALUE&amp;DB=129&amp;ID1=93114210&amp;VALUEID=03040&amp;SDATE=2011&amp;PERIODTYPE=ANN_STD&amp;SCFT=3&amp;window=popup_no_bar&amp;width=385&amp;height=120&amp;START_MAXIMIZED=FALSE&amp;creator=factset&amp;display_string=Audit"}</definedName>
    <definedName function="false" hidden="true" name="_611__FDSAUDITLINK__" vbProcedure="false">{"fdsup://Directions/FactSet Auditing Viewer?action=AUDIT_VALUE&amp;DB=129&amp;ID1=93114210&amp;VALUEID=02051&amp;SDATE=2011&amp;PERIODTYPE=ANN_STD&amp;SCFT=3&amp;window=popup_no_bar&amp;width=385&amp;height=120&amp;START_MAXIMIZED=FALSE&amp;creator=factset&amp;display_string=Audit"}</definedName>
    <definedName function="false" hidden="true" name="_612__FDSAUDITLINK__" vbProcedure="false">{"fdsup://Directions/FactSet Auditing Viewer?action=AUDIT_VALUE&amp;DB=129&amp;ID1=93114210&amp;VALUEID=02101&amp;SDATE=2011&amp;PERIODTYPE=ANN_STD&amp;SCFT=3&amp;window=popup_no_bar&amp;width=385&amp;height=120&amp;START_MAXIMIZED=FALSE&amp;creator=factset&amp;display_string=Audit"}</definedName>
    <definedName function="false" hidden="true" name="_613__FDSAUDITLINK__" vbProcedure="false">{"fdsup://Directions/FactSet Auditing Viewer?action=AUDIT_VALUE&amp;DB=129&amp;ID1=93114210&amp;VALUEID=02501&amp;SDATE=2011&amp;PERIODTYPE=ANN_STD&amp;SCFT=3&amp;window=popup_no_bar&amp;width=385&amp;height=120&amp;START_MAXIMIZED=FALSE&amp;creator=factset&amp;display_string=Audit"}</definedName>
    <definedName function="false" hidden="true" name="_614__FDSAUDITLINK__" vbProcedure="false">{"fdsup://Directions/FactSet Auditing Viewer?action=AUDIT_VALUE&amp;DB=129&amp;ID1=93114210&amp;VALUEID=03426&amp;SDATE=2011&amp;PERIODTYPE=ANN_STD&amp;SCFT=3&amp;window=popup_no_bar&amp;width=385&amp;height=120&amp;START_MAXIMIZED=FALSE&amp;creator=factset&amp;display_string=Audit"}</definedName>
    <definedName function="false" hidden="true" name="_615__FDSAUDITLINK__" vbProcedure="false">{"fdsup://Directions/FactSet Auditing Viewer?action=AUDIT_VALUE&amp;DB=129&amp;ID1=93114210&amp;VALUEID=02001&amp;SDATE=2011&amp;PERIODTYPE=ANN_STD&amp;SCFT=3&amp;window=popup_no_bar&amp;width=385&amp;height=120&amp;START_MAXIMIZED=FALSE&amp;creator=factset&amp;display_string=Audit"}</definedName>
    <definedName function="false" hidden="true" name="_616__FDSAUDITLINK__" vbProcedure="false">{"fdsup://Directions/FactSet Auditing Viewer?action=AUDIT_VALUE&amp;DB=129&amp;ID1=564156&amp;VALUEID=01401&amp;SDATE=2011&amp;PERIODTYPE=ANN_STD&amp;SCFT=3&amp;window=popup_no_bar&amp;width=385&amp;height=120&amp;START_MAXIMIZED=FALSE&amp;creator=factset&amp;display_string=Audit"}</definedName>
    <definedName function="false" hidden="true" name="_617__FDSAUDITLINK__" vbProcedure="false">{"fdsup://Directions/FactSet Auditing Viewer?action=AUDIT_VALUE&amp;DB=129&amp;ID1=564156&amp;VALUEID=01401&amp;SDATE=2010&amp;PERIODTYPE=ANN_STD&amp;SCFT=3&amp;window=popup_no_bar&amp;width=385&amp;height=120&amp;START_MAXIMIZED=FALSE&amp;creator=factset&amp;display_string=Audit"}</definedName>
    <definedName function="false" hidden="true" name="_618__FDSAUDITLINK__" vbProcedure="false">{"fdsup://directions/FAT Viewer?action=UPDATE&amp;creator=factset&amp;DYN_ARGS=TRUE&amp;DOC_NAME=FAT:FQL_AUDITING_CLIENT_TEMPLATE.FAT&amp;display_string=Audit&amp;VAR:KEY=EDCFUXORCH&amp;VAR:QUERY=RkZfRVBTX0RJTChBTk4sMCwsLFJGKQ==&amp;WINDOW=FIRST_POPUP&amp;HEIGHT=450&amp;WIDTH=450&amp;START_MAXIMI","ZED=FALSE&amp;VAR:CALENDAR=FIVEDAY&amp;VAR:SYMBOL=564156&amp;VAR:INDEX=0"}</definedName>
    <definedName function="false" hidden="true" name="_619__FDSAUDITLINK__" vbProcedure="false">{"fdsup://directions/FAT Viewer?action=UPDATE&amp;creator=factset&amp;DYN_ARGS=TRUE&amp;DOC_NAME=FAT:FQL_AUDITING_CLIENT_TEMPLATE.FAT&amp;display_string=Audit&amp;VAR:KEY=QXQRCJGTUH&amp;VAR:QUERY=RkZfRVBTX0RJTChBTk4sLTEsLCxSRik=&amp;WINDOW=FIRST_POPUP&amp;HEIGHT=450&amp;WIDTH=450&amp;START_MAXIMI","ZED=FALSE&amp;VAR:CALENDAR=FIVEDAY&amp;VAR:SYMBOL=564156&amp;VAR:INDEX=0"}</definedName>
    <definedName function="false" hidden="true" name="_61__123Graph_ASS6_A" vbProcedure="false">#N/A</definedName>
    <definedName function="false" hidden="true" name="_61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61__0_S" vbProcedure="false">#REF!</definedName>
    <definedName function="false" hidden="true" name="_620__FDSAUDITLINK__" vbProcedure="false">{"fdsup://directions/FAT Viewer?action=UPDATE&amp;creator=factset&amp;DYN_ARGS=TRUE&amp;DOC_NAME=FAT:FQL_AUDITING_CLIENT_TEMPLATE.FAT&amp;display_string=Audit&amp;VAR:KEY=YXKJSDUVIZ&amp;VAR:QUERY=RkZfRUJJVF9PUEVSKEFOTiwwLCwsUkYp&amp;WINDOW=FIRST_POPUP&amp;HEIGHT=450&amp;WIDTH=450&amp;START_MAXIMI","ZED=FALSE&amp;VAR:CALENDAR=FIVEDAY&amp;VAR:SYMBOL=564156&amp;VAR:INDEX=0"}</definedName>
    <definedName function="false" hidden="true" name="_621__FDSAUDITLINK__" vbProcedure="false">{"fdsup://directions/FAT Viewer?action=UPDATE&amp;creator=factset&amp;DYN_ARGS=TRUE&amp;DOC_NAME=FAT:FQL_AUDITING_CLIENT_TEMPLATE.FAT&amp;display_string=Audit&amp;VAR:KEY=UHQVAZIXYN&amp;VAR:QUERY=RkZfRUJJVF9PUEVSKEFOTiwtMSwsLFJGKQ==&amp;WINDOW=FIRST_POPUP&amp;HEIGHT=450&amp;WIDTH=450&amp;START_MA","XIMIZED=FALSE&amp;VAR:CALENDAR=FIVEDAY&amp;VAR:SYMBOL=564156&amp;VAR:INDEX=0"}</definedName>
    <definedName function="false" hidden="true" name="_622__FDSAUDITLINK__" vbProcedure="false">{"fdsup://Directions/FactSet Auditing Viewer?action=AUDIT_VALUE&amp;DB=129&amp;ID1=564156&amp;VALUEID=01151&amp;SDATE=2011&amp;PERIODTYPE=ANN_STD&amp;SCFT=3&amp;window=popup_no_bar&amp;width=385&amp;height=120&amp;START_MAXIMIZED=FALSE&amp;creator=factset&amp;display_string=Audit"}</definedName>
    <definedName function="false" hidden="true" name="_623__FDSAUDITLINK__" vbProcedure="false">{"fdsup://Directions/FactSet Auditing Viewer?action=AUDIT_VALUE&amp;DB=129&amp;ID1=564156&amp;VALUEID=01151&amp;SDATE=2010&amp;PERIODTYPE=ANN_STD&amp;SCFT=3&amp;window=popup_no_bar&amp;width=385&amp;height=120&amp;START_MAXIMIZED=FALSE&amp;creator=factset&amp;display_string=Audit"}</definedName>
    <definedName function="false" hidden="true" name="_624__FDSAUDITLINK__" vbProcedure="false">{"fdsup://Directions/FactSet Auditing Viewer?action=AUDIT_VALUE&amp;DB=129&amp;ID1=564156&amp;VALUEID=04049&amp;SDATE=2011&amp;PERIODTYPE=ANN_STD&amp;SCFT=3&amp;window=popup_no_bar&amp;width=385&amp;height=120&amp;START_MAXIMIZED=FALSE&amp;creator=factset&amp;display_string=Audit"}</definedName>
    <definedName function="false" hidden="true" name="_625__FDSAUDITLINK__" vbProcedure="false">{"fdsup://Directions/FactSet Auditing Viewer?action=AUDIT_VALUE&amp;DB=129&amp;ID1=564156&amp;VALUEID=04049&amp;SDATE=2010&amp;PERIODTYPE=ANN_STD&amp;SCFT=3&amp;window=popup_no_bar&amp;width=385&amp;height=120&amp;START_MAXIMIZED=FALSE&amp;creator=factset&amp;display_string=Audit"}</definedName>
    <definedName function="false" hidden="true" name="_626__FDSAUDITLINK__" vbProcedure="false">{"fdsup://Directions/FactSet Auditing Viewer?action=AUDIT_VALUE&amp;DB=129&amp;ID1=564156&amp;VALUEID=18140&amp;SDATE=2011&amp;PERIODTYPE=ANN_STD&amp;SCFT=3&amp;window=popup_no_bar&amp;width=385&amp;height=120&amp;START_MAXIMIZED=FALSE&amp;creator=factset&amp;display_string=Audit"}</definedName>
    <definedName function="false" hidden="true" name="_627__FDSAUDITLINK__" vbProcedure="false">{"fdsup://Directions/FactSet Auditing Viewer?action=AUDIT_VALUE&amp;DB=129&amp;ID1=564156&amp;VALUEID=18140&amp;SDATE=2010&amp;PERIODTYPE=ANN_STD&amp;SCFT=3&amp;window=popup_no_bar&amp;width=385&amp;height=120&amp;START_MAXIMIZED=FALSE&amp;creator=factset&amp;display_string=Audit"}</definedName>
    <definedName function="false" hidden="true" name="_628__FDSAUDITLINK__" vbProcedure="false">{"fdsup://Directions/FactSet Auditing Viewer?action=AUDIT_VALUE&amp;DB=129&amp;ID1=564156&amp;VALUEID=01001&amp;SDATE=2011&amp;PERIODTYPE=ANN_STD&amp;SCFT=3&amp;window=popup_no_bar&amp;width=385&amp;height=120&amp;START_MAXIMIZED=FALSE&amp;creator=factset&amp;display_string=Audit"}</definedName>
    <definedName function="false" hidden="true" name="_629__FDSAUDITLINK__" vbProcedure="false">{"fdsup://Directions/FactSet Auditing Viewer?action=AUDIT_VALUE&amp;DB=129&amp;ID1=564156&amp;VALUEID=01001&amp;SDATE=2010&amp;PERIODTYPE=ANN_STD&amp;SCFT=3&amp;window=popup_no_bar&amp;width=385&amp;height=120&amp;START_MAXIMIZED=FALSE&amp;creator=factset&amp;display_string=Audit"}</definedName>
    <definedName function="false" hidden="true" name="_62__123Graph_ASTD_A" vbProcedure="false">#N/A</definedName>
    <definedName function="false" hidden="true" name="_62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630__FDSAUDITLINK__" vbProcedure="false">{"fdsup://Directions/FactSet Auditing Viewer?action=AUDIT_VALUE&amp;DB=129&amp;ID1=564156&amp;VALUEID=03040&amp;SDATE=2011&amp;PERIODTYPE=ANN_STD&amp;SCFT=3&amp;window=popup_no_bar&amp;width=385&amp;height=120&amp;START_MAXIMIZED=FALSE&amp;creator=factset&amp;display_string=Audit"}</definedName>
    <definedName function="false" hidden="true" name="_631__FDSAUDITLINK__" vbProcedure="false">{"fdsup://Directions/FactSet Auditing Viewer?action=AUDIT_VALUE&amp;DB=129&amp;ID1=564156&amp;VALUEID=02051&amp;SDATE=2011&amp;PERIODTYPE=ANN_STD&amp;SCFT=3&amp;window=popup_no_bar&amp;width=385&amp;height=120&amp;START_MAXIMIZED=FALSE&amp;creator=factset&amp;display_string=Audit"}</definedName>
    <definedName function="false" hidden="true" name="_632__FDSAUDITLINK__" vbProcedure="false">{"fdsup://Directions/FactSet Auditing Viewer?action=AUDIT_VALUE&amp;DB=129&amp;ID1=564156&amp;VALUEID=02101&amp;SDATE=2011&amp;PERIODTYPE=ANN_STD&amp;SCFT=3&amp;window=popup_no_bar&amp;width=385&amp;height=120&amp;START_MAXIMIZED=FALSE&amp;creator=factset&amp;display_string=Audit"}</definedName>
    <definedName function="false" hidden="true" name="_633__FDSAUDITLINK__" vbProcedure="false">{"fdsup://Directions/FactSet Auditing Viewer?action=AUDIT_VALUE&amp;DB=129&amp;ID1=564156&amp;VALUEID=02501&amp;SDATE=2011&amp;PERIODTYPE=ANN_STD&amp;SCFT=3&amp;window=popup_no_bar&amp;width=385&amp;height=120&amp;START_MAXIMIZED=FALSE&amp;creator=factset&amp;display_string=Audit"}</definedName>
    <definedName function="false" hidden="true" name="_634__FDSAUDITLINK__" vbProcedure="false">{"fdsup://Directions/FactSet Auditing Viewer?action=AUDIT_VALUE&amp;DB=129&amp;ID1=564156&amp;VALUEID=03426&amp;SDATE=2011&amp;PERIODTYPE=ANN_STD&amp;SCFT=3&amp;window=popup_no_bar&amp;width=385&amp;height=120&amp;START_MAXIMIZED=FALSE&amp;creator=factset&amp;display_string=Audit"}</definedName>
    <definedName function="false" hidden="true" name="_635__FDSAUDITLINK__" vbProcedure="false">{"fdsup://Directions/FactSet Auditing Viewer?action=AUDIT_VALUE&amp;DB=129&amp;ID1=564156&amp;VALUEID=02001&amp;SDATE=2011&amp;PERIODTYPE=ANN_STD&amp;SCFT=3&amp;window=popup_no_bar&amp;width=385&amp;height=120&amp;START_MAXIMIZED=FALSE&amp;creator=factset&amp;display_string=Audit"}</definedName>
    <definedName function="false" hidden="true" name="_636__FDSAUDITLINK__" vbProcedure="false">{"fdsup://Directions/FactSet Auditing Viewer?action=AUDIT_VALUE&amp;DB=129&amp;ID1=088470&amp;VALUEID=01401&amp;SDATE=2010&amp;PERIODTYPE=ANN_STD&amp;SCFT=3&amp;window=popup_no_bar&amp;width=385&amp;height=120&amp;START_MAXIMIZED=FALSE&amp;creator=factset&amp;display_string=Audit"}</definedName>
    <definedName function="false" hidden="true" name="_637__FDSAUDITLINK__" vbProcedure="false">{"fdsup://Directions/FactSet Auditing Viewer?action=AUDIT_VALUE&amp;DB=129&amp;ID1=088470&amp;VALUEID=01401&amp;SDATE=2009&amp;PERIODTYPE=ANN_STD&amp;SCFT=3&amp;window=popup_no_bar&amp;width=385&amp;height=120&amp;START_MAXIMIZED=FALSE&amp;creator=factset&amp;display_string=Audit"}</definedName>
    <definedName function="false" hidden="true" name="_638__FDSAUDITLINK__" vbProcedure="false">{"fdsup://directions/FAT Viewer?action=UPDATE&amp;creator=factset&amp;DYN_ARGS=TRUE&amp;DOC_NAME=FAT:FQL_AUDITING_CLIENT_TEMPLATE.FAT&amp;display_string=Audit&amp;VAR:KEY=RWNQFETUNC&amp;VAR:QUERY=RkZfRVBTX0RJTChBTk4sMCwsLFJGKQ==&amp;WINDOW=FIRST_POPUP&amp;HEIGHT=450&amp;WIDTH=450&amp;START_MAXIMI","ZED=FALSE&amp;VAR:CALENDAR=FIVEDAY&amp;VAR:SYMBOL=088470&amp;VAR:INDEX=0"}</definedName>
    <definedName function="false" hidden="true" name="_639__FDSAUDITLINK__" vbProcedure="false">{"fdsup://directions/FAT Viewer?action=UPDATE&amp;creator=factset&amp;DYN_ARGS=TRUE&amp;DOC_NAME=FAT:FQL_AUDITING_CLIENT_TEMPLATE.FAT&amp;display_string=Audit&amp;VAR:KEY=VKFAPGZIPY&amp;VAR:QUERY=RkZfRVBTX0RJTChBTk4sLTEsLCxSRik=&amp;WINDOW=FIRST_POPUP&amp;HEIGHT=450&amp;WIDTH=450&amp;START_MAXIMI","ZED=FALSE&amp;VAR:CALENDAR=FIVEDAY&amp;VAR:SYMBOL=088470&amp;VAR:INDEX=0"}</definedName>
    <definedName function="false" hidden="true" name="_63__123Graph_B_Chart_1A" vbProcedure="false">#N/A</definedName>
    <definedName function="false" hidden="true" name="_63__123Graph_CCHART_1" vbProcedure="false">#REF!</definedName>
    <definedName function="false" hidden="true" name="_63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640__FDSAUDITLINK__" vbProcedure="false">{"fdsup://directions/FAT Viewer?action=UPDATE&amp;creator=factset&amp;DYN_ARGS=TRUE&amp;DOC_NAME=FAT:FQL_AUDITING_CLIENT_TEMPLATE.FAT&amp;display_string=Audit&amp;VAR:KEY=BMBYPWDMXG&amp;VAR:QUERY=RkZfRUJJVF9PUEVSKEFOTiwwLCwsUkYp&amp;WINDOW=FIRST_POPUP&amp;HEIGHT=450&amp;WIDTH=450&amp;START_MAXIMI","ZED=FALSE&amp;VAR:CALENDAR=FIVEDAY&amp;VAR:SYMBOL=088470&amp;VAR:INDEX=0"}</definedName>
    <definedName function="false" hidden="true" name="_641__FDSAUDITLINK__" vbProcedure="false">{"fdsup://directions/FAT Viewer?action=UPDATE&amp;creator=factset&amp;DYN_ARGS=TRUE&amp;DOC_NAME=FAT:FQL_AUDITING_CLIENT_TEMPLATE.FAT&amp;display_string=Audit&amp;VAR:KEY=FANGHMHGXG&amp;VAR:QUERY=RkZfRUJJVF9PUEVSKEFOTiwtMSwsLFJGKQ==&amp;WINDOW=FIRST_POPUP&amp;HEIGHT=450&amp;WIDTH=450&amp;START_MA","XIMIZED=FALSE&amp;VAR:CALENDAR=FIVEDAY&amp;VAR:SYMBOL=088470&amp;VAR:INDEX=0"}</definedName>
    <definedName function="false" hidden="true" name="_642__FDSAUDITLINK__" vbProcedure="false">{"fdsup://Directions/FactSet Auditing Viewer?action=AUDIT_VALUE&amp;DB=129&amp;ID1=088470&amp;VALUEID=01151&amp;SDATE=2011&amp;PERIODTYPE=ANN_STD&amp;SCFT=3&amp;window=popup_no_bar&amp;width=385&amp;height=120&amp;START_MAXIMIZED=FALSE&amp;creator=factset&amp;display_string=Audit"}</definedName>
    <definedName function="false" hidden="true" name="_643__FDSAUDITLINK__" vbProcedure="false">{"fdsup://Directions/FactSet Auditing Viewer?action=AUDIT_VALUE&amp;DB=129&amp;ID1=088470&amp;VALUEID=01151&amp;SDATE=2010&amp;PERIODTYPE=ANN_STD&amp;SCFT=3&amp;window=popup_no_bar&amp;width=385&amp;height=120&amp;START_MAXIMIZED=FALSE&amp;creator=factset&amp;display_string=Audit"}</definedName>
    <definedName function="false" hidden="true" name="_644__FDSAUDITLINK__" vbProcedure="false">{"fdsup://Directions/FactSet Auditing Viewer?action=AUDIT_VALUE&amp;DB=129&amp;ID1=088470&amp;VALUEID=04049&amp;SDATE=2010&amp;PERIODTYPE=ANN_STD&amp;SCFT=3&amp;window=popup_no_bar&amp;width=385&amp;height=120&amp;START_MAXIMIZED=FALSE&amp;creator=factset&amp;display_string=Audit"}</definedName>
    <definedName function="false" hidden="true" name="_645__FDSAUDITLINK__" vbProcedure="false">{"fdsup://Directions/FactSet Auditing Viewer?action=AUDIT_VALUE&amp;DB=129&amp;ID1=088470&amp;VALUEID=18140&amp;SDATE=2010&amp;PERIODTYPE=ANN_STD&amp;SCFT=3&amp;window=popup_no_bar&amp;width=385&amp;height=120&amp;START_MAXIMIZED=FALSE&amp;creator=factset&amp;display_string=Audit"}</definedName>
    <definedName function="false" hidden="true" name="_646__FDSAUDITLINK__" vbProcedure="false">{"fdsup://Directions/FactSet Auditing Viewer?action=AUDIT_VALUE&amp;DB=129&amp;ID1=088470&amp;VALUEID=18140&amp;SDATE=2009&amp;PERIODTYPE=ANN_STD&amp;SCFT=3&amp;window=popup_no_bar&amp;width=385&amp;height=120&amp;START_MAXIMIZED=FALSE&amp;creator=factset&amp;display_string=Audit"}</definedName>
    <definedName function="false" hidden="true" name="_647__FDSAUDITLINK__" vbProcedure="false">{"fdsup://Directions/FactSet Auditing Viewer?action=AUDIT_VALUE&amp;DB=129&amp;ID1=088470&amp;VALUEID=01001&amp;SDATE=2010&amp;PERIODTYPE=ANN_STD&amp;SCFT=3&amp;window=popup_no_bar&amp;width=385&amp;height=120&amp;START_MAXIMIZED=FALSE&amp;creator=factset&amp;display_string=Audit"}</definedName>
    <definedName function="false" hidden="true" name="_648__FDSAUDITLINK__" vbProcedure="false">{"fdsup://Directions/FactSet Auditing Viewer?action=AUDIT_VALUE&amp;DB=129&amp;ID1=088470&amp;VALUEID=01001&amp;SDATE=2009&amp;PERIODTYPE=ANN_STD&amp;SCFT=3&amp;window=popup_no_bar&amp;width=385&amp;height=120&amp;START_MAXIMIZED=FALSE&amp;creator=factset&amp;display_string=Audit"}</definedName>
    <definedName function="false" hidden="true" name="_649__FDSAUDITLINK__" vbProcedure="false">{"fdsup://Directions/FactSet Auditing Viewer?action=AUDIT_VALUE&amp;DB=129&amp;ID1=088470&amp;VALUEID=02501&amp;SDATE=2011&amp;PERIODTYPE=ANN_STD&amp;SCFT=3&amp;window=popup_no_bar&amp;width=385&amp;height=120&amp;START_MAXIMIZED=FALSE&amp;creator=factset&amp;display_string=Audit"}</definedName>
    <definedName function="false" hidden="true" name="_64__123Graph_BCHART_12" vbProcedure="false">#N/A</definedName>
    <definedName function="false" hidden="true" name="_64__123Graph_LBL_AC04C_FR_T2" vbProcedure="false">#REF!</definedName>
    <definedName function="false" hidden="true" name="_64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650__FDSAUDITLINK__" vbProcedure="false">{"fdsup://Directions/FactSet Auditing Viewer?action=AUDIT_VALUE&amp;DB=129&amp;ID1=088470&amp;VALUEID=03426&amp;SDATE=2011&amp;PERIODTYPE=ANN_STD&amp;SCFT=3&amp;window=popup_no_bar&amp;width=385&amp;height=120&amp;START_MAXIMIZED=FALSE&amp;creator=factset&amp;display_string=Audit"}</definedName>
    <definedName function="false" hidden="true" name="_651__FDSAUDITLINK__" vbProcedure="false">{"fdsup://Directions/FactSet Auditing Viewer?action=AUDIT_VALUE&amp;DB=129&amp;ID1=088470&amp;VALUEID=02001&amp;SDATE=2011&amp;PERIODTYPE=ANN_STD&amp;SCFT=3&amp;window=popup_no_bar&amp;width=385&amp;height=120&amp;START_MAXIMIZED=FALSE&amp;creator=factset&amp;display_string=Audit"}</definedName>
    <definedName function="false" hidden="true" name="_652__FDSAUDITLINK__" vbProcedure="false">{"fdsup://directions/FAT Viewer?action=UPDATE&amp;creator=factset&amp;DYN_ARGS=TRUE&amp;DOC_NAME=FAT:FQL_AUDITING_CLIENT_TEMPLATE.FAT&amp;display_string=Audit&amp;VAR:KEY=FKRWBWPYJQ&amp;VAR:QUERY=RkZfSExUSF9GVU5ERURfU1RBVFVTKEFOTiw0MDk1NSwtMTBBWSxXLCxFVVIp&amp;WINDOW=FIRST_POPUP&amp;HEIGH","T=450&amp;WIDTH=450&amp;START_MAXIMIZED=FALSE&amp;VAR:CALENDAR=FIVEDAY&amp;VAR:SYMBOL=572797&amp;VAR:INDEX=520"}</definedName>
    <definedName function="false" hidden="true" name="_653__FDSAUDITLINK__" vbProcedure="false">{"fdsup://Directions/FactSet Auditing Viewer?action=AUDIT_VALUE&amp;DB=129&amp;ID1=93114210&amp;VALUEID=01401&amp;SDATE=2010&amp;PERIODTYPE=ANN_STD&amp;SCFT=3&amp;window=popup_no_bar&amp;width=385&amp;height=120&amp;START_MAXIMIZED=FALSE&amp;creator=factset&amp;display_string=Audit"}</definedName>
    <definedName function="false" hidden="true" name="_654__FDSAUDITLINK__" vbProcedure="false">{"fdsup://directions/FAT Viewer?action=UPDATE&amp;creator=factset&amp;DYN_ARGS=TRUE&amp;DOC_NAME=FAT:FQL_AUDITING_CLIENT_TEMPLATE.FAT&amp;display_string=Audit&amp;VAR:KEY=VCPYHUXYRQ&amp;VAR:QUERY=RkZfRVBTX0RJTChBTk4sMCwsLFJGKQ==&amp;WINDOW=FIRST_POPUP&amp;HEIGHT=450&amp;WIDTH=450&amp;START_MAXIMI","ZED=FALSE&amp;VAR:CALENDAR=FIVEDAY&amp;VAR:SYMBOL=93114210&amp;VAR:INDEX=0"}</definedName>
    <definedName function="false" hidden="true" name="_655__FDSAUDITLINK__" vbProcedure="false">{"fdsup://directions/FAT Viewer?action=UPDATE&amp;creator=factset&amp;DYN_ARGS=TRUE&amp;DOC_NAME=FAT:FQL_AUDITING_CLIENT_TEMPLATE.FAT&amp;display_string=Audit&amp;VAR:KEY=LELYZKPUJA&amp;VAR:QUERY=RkZfRVBTX0RJTChBTk4sLTEsLCxSRik=&amp;WINDOW=FIRST_POPUP&amp;HEIGHT=450&amp;WIDTH=450&amp;START_MAXIMI","ZED=FALSE&amp;VAR:CALENDAR=FIVEDAY&amp;VAR:SYMBOL=93114210&amp;VAR:INDEX=0"}</definedName>
    <definedName function="false" hidden="true" name="_656__FDSAUDITLINK__" vbProcedure="false">{"fdsup://directions/FAT Viewer?action=UPDATE&amp;creator=factset&amp;DYN_ARGS=TRUE&amp;DOC_NAME=FAT:FQL_AUDITING_CLIENT_TEMPLATE.FAT&amp;display_string=Audit&amp;VAR:KEY=ZCVIJUHUJK&amp;VAR:QUERY=RkZfRUJJVF9PUEVSKEFOTiwwLCwsUkYp&amp;WINDOW=FIRST_POPUP&amp;HEIGHT=450&amp;WIDTH=450&amp;START_MAXIMI","ZED=FALSE&amp;VAR:CALENDAR=FIVEDAY&amp;VAR:SYMBOL=93114210&amp;VAR:INDEX=0"}</definedName>
    <definedName function="false" hidden="true" name="_657__FDSAUDITLINK__" vbProcedure="false">{"fdsup://directions/FAT Viewer?action=UPDATE&amp;creator=factset&amp;DYN_ARGS=TRUE&amp;DOC_NAME=FAT:FQL_AUDITING_CLIENT_TEMPLATE.FAT&amp;display_string=Audit&amp;VAR:KEY=XUZUVGFSFO&amp;VAR:QUERY=RkZfRUJJVF9PUEVSKEFOTiwtMSwsLFJGKQ==&amp;WINDOW=FIRST_POPUP&amp;HEIGHT=450&amp;WIDTH=450&amp;START_MA","XIMIZED=FALSE&amp;VAR:CALENDAR=FIVEDAY&amp;VAR:SYMBOL=93114210&amp;VAR:INDEX=0"}</definedName>
    <definedName function="false" hidden="true" name="_658__FDSAUDITLINK__" vbProcedure="false">{"fdsup://Directions/FactSet Auditing Viewer?action=AUDIT_VALUE&amp;DB=129&amp;ID1=93114210&amp;VALUEID=01151&amp;SDATE=2011&amp;PERIODTYPE=ANN_STD&amp;SCFT=3&amp;window=popup_no_bar&amp;width=385&amp;height=120&amp;START_MAXIMIZED=FALSE&amp;creator=factset&amp;display_string=Audit"}</definedName>
    <definedName function="false" hidden="true" name="_659__FDSAUDITLINK__" vbProcedure="false">{"fdsup://Directions/FactSet Auditing Viewer?action=AUDIT_VALUE&amp;DB=129&amp;ID1=93114210&amp;VALUEID=01151&amp;SDATE=2010&amp;PERIODTYPE=ANN_STD&amp;SCFT=3&amp;window=popup_no_bar&amp;width=385&amp;height=120&amp;START_MAXIMIZED=FALSE&amp;creator=factset&amp;display_string=Audit"}</definedName>
    <definedName function="false" hidden="true" name="_65__123Graph_BINVAR_A" vbProcedure="false">#N/A</definedName>
    <definedName function="false" hidden="true" name="_65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660__FDSAUDITLINK__" vbProcedure="false">{"fdsup://Directions/FactSet Auditing Viewer?action=AUDIT_VALUE&amp;DB=129&amp;ID1=93114210&amp;VALUEID=04049&amp;SDATE=2011&amp;PERIODTYPE=ANN_STD&amp;SCFT=3&amp;window=popup_no_bar&amp;width=385&amp;height=120&amp;START_MAXIMIZED=FALSE&amp;creator=factset&amp;display_string=Audit"}</definedName>
    <definedName function="false" hidden="true" name="_661__FDSAUDITLINK__" vbProcedure="false">{"fdsup://Directions/FactSet Auditing Viewer?action=AUDIT_VALUE&amp;DB=129&amp;ID1=93114210&amp;VALUEID=04049&amp;SDATE=2010&amp;PERIODTYPE=ANN_STD&amp;SCFT=3&amp;window=popup_no_bar&amp;width=385&amp;height=120&amp;START_MAXIMIZED=FALSE&amp;creator=factset&amp;display_string=Audit"}</definedName>
    <definedName function="false" hidden="true" name="_662__FDSAUDITLINK__" vbProcedure="false">{"fdsup://Directions/FactSet Auditing Viewer?action=AUDIT_VALUE&amp;DB=129&amp;ID1=93114210&amp;VALUEID=18140&amp;SDATE=2011&amp;PERIODTYPE=ANN_STD&amp;SCFT=3&amp;window=popup_no_bar&amp;width=385&amp;height=120&amp;START_MAXIMIZED=FALSE&amp;creator=factset&amp;display_string=Audit"}</definedName>
    <definedName function="false" hidden="true" name="_663__FDSAUDITLINK__" vbProcedure="false">{"fdsup://Directions/FactSet Auditing Viewer?action=AUDIT_VALUE&amp;DB=129&amp;ID1=93114210&amp;VALUEID=18140&amp;SDATE=2010&amp;PERIODTYPE=ANN_STD&amp;SCFT=3&amp;window=popup_no_bar&amp;width=385&amp;height=120&amp;START_MAXIMIZED=FALSE&amp;creator=factset&amp;display_string=Audit"}</definedName>
    <definedName function="false" hidden="true" name="_664__FDSAUDITLINK__" vbProcedure="false">{"fdsup://Directions/FactSet Auditing Viewer?action=AUDIT_VALUE&amp;DB=129&amp;ID1=93114210&amp;VALUEID=01001&amp;SDATE=2011&amp;PERIODTYPE=ANN_STD&amp;SCFT=3&amp;window=popup_no_bar&amp;width=385&amp;height=120&amp;START_MAXIMIZED=FALSE&amp;creator=factset&amp;display_string=Audit"}</definedName>
    <definedName function="false" hidden="true" name="_665__FDSAUDITLINK__" vbProcedure="false">{"fdsup://Directions/FactSet Auditing Viewer?action=AUDIT_VALUE&amp;DB=129&amp;ID1=93114210&amp;VALUEID=01001&amp;SDATE=2010&amp;PERIODTYPE=ANN_STD&amp;SCFT=3&amp;window=popup_no_bar&amp;width=385&amp;height=120&amp;START_MAXIMIZED=FALSE&amp;creator=factset&amp;display_string=Audit"}</definedName>
    <definedName function="false" hidden="true" name="_666__FDSAUDITLINK__" vbProcedure="false">{"fdsup://Directions/FactSet Auditing Viewer?action=AUDIT_VALUE&amp;DB=129&amp;ID1=93114210&amp;VALUEID=03040&amp;SDATE=2011&amp;PERIODTYPE=ANN_STD&amp;SCFT=3&amp;window=popup_no_bar&amp;width=385&amp;height=120&amp;START_MAXIMIZED=FALSE&amp;creator=factset&amp;display_string=Audit"}</definedName>
    <definedName function="false" hidden="true" name="_667__FDSAUDITLINK__" vbProcedure="false">{"fdsup://Directions/FactSet Auditing Viewer?action=AUDIT_VALUE&amp;DB=129&amp;ID1=93114210&amp;VALUEID=02051&amp;SDATE=2011&amp;PERIODTYPE=ANN_STD&amp;SCFT=3&amp;window=popup_no_bar&amp;width=385&amp;height=120&amp;START_MAXIMIZED=FALSE&amp;creator=factset&amp;display_string=Audit"}</definedName>
    <definedName function="false" hidden="true" name="_668__FDSAUDITLINK__" vbProcedure="false">{"fdsup://Directions/FactSet Auditing Viewer?action=AUDIT_VALUE&amp;DB=129&amp;ID1=93114210&amp;VALUEID=02101&amp;SDATE=2011&amp;PERIODTYPE=ANN_STD&amp;SCFT=3&amp;window=popup_no_bar&amp;width=385&amp;height=120&amp;START_MAXIMIZED=FALSE&amp;creator=factset&amp;display_string=Audit"}</definedName>
    <definedName function="false" hidden="true" name="_669__FDSAUDITLINK__" vbProcedure="false">{"fdsup://Directions/FactSet Auditing Viewer?action=AUDIT_VALUE&amp;DB=129&amp;ID1=93114210&amp;VALUEID=02501&amp;SDATE=2011&amp;PERIODTYPE=ANN_STD&amp;SCFT=3&amp;window=popup_no_bar&amp;width=385&amp;height=120&amp;START_MAXIMIZED=FALSE&amp;creator=factset&amp;display_string=Audit"}</definedName>
    <definedName function="false" hidden="true" name="_66__123Graph_BSS5_A" vbProcedure="false">#N/A</definedName>
    <definedName function="false" hidden="true" name="_66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670__FDSAUDITLINK__" vbProcedure="false">{"fdsup://Directions/FactSet Auditing Viewer?action=AUDIT_VALUE&amp;DB=129&amp;ID1=93114210&amp;VALUEID=03426&amp;SDATE=2011&amp;PERIODTYPE=ANN_STD&amp;SCFT=3&amp;window=popup_no_bar&amp;width=385&amp;height=120&amp;START_MAXIMIZED=FALSE&amp;creator=factset&amp;display_string=Audit"}</definedName>
    <definedName function="false" hidden="true" name="_671__FDSAUDITLINK__" vbProcedure="false">{"fdsup://Directions/FactSet Auditing Viewer?action=AUDIT_VALUE&amp;DB=129&amp;ID1=93114210&amp;VALUEID=02001&amp;SDATE=2011&amp;PERIODTYPE=ANN_STD&amp;SCFT=3&amp;window=popup_no_bar&amp;width=385&amp;height=120&amp;START_MAXIMIZED=FALSE&amp;creator=factset&amp;display_string=Audit"}</definedName>
    <definedName function="false" hidden="true" name="_672__FDSAUDITLINK__" vbProcedure="false">{"fdsup://Directions/FactSet Auditing Viewer?action=AUDIT_VALUE&amp;DB=129&amp;ID1=564156&amp;VALUEID=01401&amp;SDATE=2011&amp;PERIODTYPE=ANN_STD&amp;SCFT=3&amp;window=popup_no_bar&amp;width=385&amp;height=120&amp;START_MAXIMIZED=FALSE&amp;creator=factset&amp;display_string=Audit"}</definedName>
    <definedName function="false" hidden="true" name="_673__FDSAUDITLINK__" vbProcedure="false">{"fdsup://Directions/FactSet Auditing Viewer?action=AUDIT_VALUE&amp;DB=129&amp;ID1=564156&amp;VALUEID=01401&amp;SDATE=2010&amp;PERIODTYPE=ANN_STD&amp;SCFT=3&amp;window=popup_no_bar&amp;width=385&amp;height=120&amp;START_MAXIMIZED=FALSE&amp;creator=factset&amp;display_string=Audit"}</definedName>
    <definedName function="false" hidden="true" name="_674__FDSAUDITLINK__" vbProcedure="false">{"fdsup://directions/FAT Viewer?action=UPDATE&amp;creator=factset&amp;DYN_ARGS=TRUE&amp;DOC_NAME=FAT:FQL_AUDITING_CLIENT_TEMPLATE.FAT&amp;display_string=Audit&amp;VAR:KEY=NQHABSFYPG&amp;VAR:QUERY=RkZfRVBTX0RJTChBTk4sMCwsLFJGKQ==&amp;WINDOW=FIRST_POPUP&amp;HEIGHT=450&amp;WIDTH=450&amp;START_MAXIMI","ZED=FALSE&amp;VAR:CALENDAR=FIVEDAY&amp;VAR:SYMBOL=564156&amp;VAR:INDEX=0"}</definedName>
    <definedName function="false" hidden="true" name="_675__FDSAUDITLINK__" vbProcedure="false">{"fdsup://directions/FAT Viewer?action=UPDATE&amp;creator=factset&amp;DYN_ARGS=TRUE&amp;DOC_NAME=FAT:FQL_AUDITING_CLIENT_TEMPLATE.FAT&amp;display_string=Audit&amp;VAR:KEY=FKFKNCZSDO&amp;VAR:QUERY=RkZfRVBTX0RJTChBTk4sLTEsLCxSRik=&amp;WINDOW=FIRST_POPUP&amp;HEIGHT=450&amp;WIDTH=450&amp;START_MAXIMI","ZED=FALSE&amp;VAR:CALENDAR=FIVEDAY&amp;VAR:SYMBOL=564156&amp;VAR:INDEX=0"}</definedName>
    <definedName function="false" hidden="true" name="_676__FDSAUDITLINK__" vbProcedure="false">{"fdsup://directions/FAT Viewer?action=UPDATE&amp;creator=factset&amp;DYN_ARGS=TRUE&amp;DOC_NAME=FAT:FQL_AUDITING_CLIENT_TEMPLATE.FAT&amp;display_string=Audit&amp;VAR:KEY=VGLSPWVGPM&amp;VAR:QUERY=RkZfRUJJVF9PUEVSKEFOTiwwLCwsUkYp&amp;WINDOW=FIRST_POPUP&amp;HEIGHT=450&amp;WIDTH=450&amp;START_MAXIMI","ZED=FALSE&amp;VAR:CALENDAR=FIVEDAY&amp;VAR:SYMBOL=564156&amp;VAR:INDEX=0"}</definedName>
    <definedName function="false" hidden="true" name="_677__FDSAUDITLINK__" vbProcedure="false">{"fdsup://directions/FAT Viewer?action=UPDATE&amp;creator=factset&amp;DYN_ARGS=TRUE&amp;DOC_NAME=FAT:FQL_AUDITING_CLIENT_TEMPLATE.FAT&amp;display_string=Audit&amp;VAR:KEY=NCZODYPIBS&amp;VAR:QUERY=RkZfRUJJVF9PUEVSKEFOTiwtMSwsLFJGKQ==&amp;WINDOW=FIRST_POPUP&amp;HEIGHT=450&amp;WIDTH=450&amp;START_MA","XIMIZED=FALSE&amp;VAR:CALENDAR=FIVEDAY&amp;VAR:SYMBOL=564156&amp;VAR:INDEX=0"}</definedName>
    <definedName function="false" hidden="true" name="_678__FDSAUDITLINK__" vbProcedure="false">{"fdsup://Directions/FactSet Auditing Viewer?action=AUDIT_VALUE&amp;DB=129&amp;ID1=564156&amp;VALUEID=01151&amp;SDATE=2011&amp;PERIODTYPE=ANN_STD&amp;SCFT=3&amp;window=popup_no_bar&amp;width=385&amp;height=120&amp;START_MAXIMIZED=FALSE&amp;creator=factset&amp;display_string=Audit"}</definedName>
    <definedName function="false" hidden="true" name="_679__FDSAUDITLINK__" vbProcedure="false">{"fdsup://Directions/FactSet Auditing Viewer?action=AUDIT_VALUE&amp;DB=129&amp;ID1=564156&amp;VALUEID=01151&amp;SDATE=2010&amp;PERIODTYPE=ANN_STD&amp;SCFT=3&amp;window=popup_no_bar&amp;width=385&amp;height=120&amp;START_MAXIMIZED=FALSE&amp;creator=factset&amp;display_string=Audit"}</definedName>
    <definedName function="false" hidden="true" name="_67__123Graph_BSS6_A" vbProcedure="false">#N/A</definedName>
    <definedName function="false" hidden="true" name="_67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680__FDSAUDITLINK__" vbProcedure="false">{"fdsup://Directions/FactSet Auditing Viewer?action=AUDIT_VALUE&amp;DB=129&amp;ID1=564156&amp;VALUEID=04049&amp;SDATE=2011&amp;PERIODTYPE=ANN_STD&amp;SCFT=3&amp;window=popup_no_bar&amp;width=385&amp;height=120&amp;START_MAXIMIZED=FALSE&amp;creator=factset&amp;display_string=Audit"}</definedName>
    <definedName function="false" hidden="true" name="_681__FDSAUDITLINK__" vbProcedure="false">{"fdsup://Directions/FactSet Auditing Viewer?action=AUDIT_VALUE&amp;DB=129&amp;ID1=564156&amp;VALUEID=04049&amp;SDATE=2010&amp;PERIODTYPE=ANN_STD&amp;SCFT=3&amp;window=popup_no_bar&amp;width=385&amp;height=120&amp;START_MAXIMIZED=FALSE&amp;creator=factset&amp;display_string=Audit"}</definedName>
    <definedName function="false" hidden="true" name="_682__FDSAUDITLINK__" vbProcedure="false">{"fdsup://Directions/FactSet Auditing Viewer?action=AUDIT_VALUE&amp;DB=129&amp;ID1=564156&amp;VALUEID=18140&amp;SDATE=2011&amp;PERIODTYPE=ANN_STD&amp;SCFT=3&amp;window=popup_no_bar&amp;width=385&amp;height=120&amp;START_MAXIMIZED=FALSE&amp;creator=factset&amp;display_string=Audit"}</definedName>
    <definedName function="false" hidden="true" name="_683__FDSAUDITLINK__" vbProcedure="false">{"fdsup://Directions/FactSet Auditing Viewer?action=AUDIT_VALUE&amp;DB=129&amp;ID1=564156&amp;VALUEID=18140&amp;SDATE=2010&amp;PERIODTYPE=ANN_STD&amp;SCFT=3&amp;window=popup_no_bar&amp;width=385&amp;height=120&amp;START_MAXIMIZED=FALSE&amp;creator=factset&amp;display_string=Audit"}</definedName>
    <definedName function="false" hidden="true" name="_684__FDSAUDITLINK__" vbProcedure="false">{"fdsup://Directions/FactSet Auditing Viewer?action=AUDIT_VALUE&amp;DB=129&amp;ID1=564156&amp;VALUEID=01001&amp;SDATE=2011&amp;PERIODTYPE=ANN_STD&amp;SCFT=3&amp;window=popup_no_bar&amp;width=385&amp;height=120&amp;START_MAXIMIZED=FALSE&amp;creator=factset&amp;display_string=Audit"}</definedName>
    <definedName function="false" hidden="true" name="_685__FDSAUDITLINK__" vbProcedure="false">{"fdsup://Directions/FactSet Auditing Viewer?action=AUDIT_VALUE&amp;DB=129&amp;ID1=564156&amp;VALUEID=01001&amp;SDATE=2010&amp;PERIODTYPE=ANN_STD&amp;SCFT=3&amp;window=popup_no_bar&amp;width=385&amp;height=120&amp;START_MAXIMIZED=FALSE&amp;creator=factset&amp;display_string=Audit"}</definedName>
    <definedName function="false" hidden="true" name="_686__FDSAUDITLINK__" vbProcedure="false">{"fdsup://Directions/FactSet Auditing Viewer?action=AUDIT_VALUE&amp;DB=129&amp;ID1=564156&amp;VALUEID=03040&amp;SDATE=2011&amp;PERIODTYPE=ANN_STD&amp;SCFT=3&amp;window=popup_no_bar&amp;width=385&amp;height=120&amp;START_MAXIMIZED=FALSE&amp;creator=factset&amp;display_string=Audit"}</definedName>
    <definedName function="false" hidden="true" name="_687__FDSAUDITLINK__" vbProcedure="false">{"fdsup://Directions/FactSet Auditing Viewer?action=AUDIT_VALUE&amp;DB=129&amp;ID1=564156&amp;VALUEID=02051&amp;SDATE=2011&amp;PERIODTYPE=ANN_STD&amp;SCFT=3&amp;window=popup_no_bar&amp;width=385&amp;height=120&amp;START_MAXIMIZED=FALSE&amp;creator=factset&amp;display_string=Audit"}</definedName>
    <definedName function="false" hidden="true" name="_688__FDSAUDITLINK__" vbProcedure="false">{"fdsup://Directions/FactSet Auditing Viewer?action=AUDIT_VALUE&amp;DB=129&amp;ID1=564156&amp;VALUEID=02101&amp;SDATE=2011&amp;PERIODTYPE=ANN_STD&amp;SCFT=3&amp;window=popup_no_bar&amp;width=385&amp;height=120&amp;START_MAXIMIZED=FALSE&amp;creator=factset&amp;display_string=Audit"}</definedName>
    <definedName function="false" hidden="true" name="_689__FDSAUDITLINK__" vbProcedure="false">{"fdsup://Directions/FactSet Auditing Viewer?action=AUDIT_VALUE&amp;DB=129&amp;ID1=564156&amp;VALUEID=02501&amp;SDATE=2011&amp;PERIODTYPE=ANN_STD&amp;SCFT=3&amp;window=popup_no_bar&amp;width=385&amp;height=120&amp;START_MAXIMIZED=FALSE&amp;creator=factset&amp;display_string=Audit"}</definedName>
    <definedName function="false" hidden="true" name="_68__123Graph_BSS6_B" vbProcedure="false">#N/A</definedName>
    <definedName function="false" hidden="true" name="_68__123Graph_x005F_XC04C_ALL_T1" vbProcedure="false">#REF!</definedName>
    <definedName function="false" hidden="true" name="_68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690__FDSAUDITLINK__" vbProcedure="false">{"fdsup://Directions/FactSet Auditing Viewer?action=AUDIT_VALUE&amp;DB=129&amp;ID1=564156&amp;VALUEID=03426&amp;SDATE=2011&amp;PERIODTYPE=ANN_STD&amp;SCFT=3&amp;window=popup_no_bar&amp;width=385&amp;height=120&amp;START_MAXIMIZED=FALSE&amp;creator=factset&amp;display_string=Audit"}</definedName>
    <definedName function="false" hidden="true" name="_691__FDSAUDITLINK__" vbProcedure="false">{"fdsup://Directions/FactSet Auditing Viewer?action=AUDIT_VALUE&amp;DB=129&amp;ID1=564156&amp;VALUEID=02001&amp;SDATE=2011&amp;PERIODTYPE=ANN_STD&amp;SCFT=3&amp;window=popup_no_bar&amp;width=385&amp;height=120&amp;START_MAXIMIZED=FALSE&amp;creator=factset&amp;display_string=Audit"}</definedName>
    <definedName function="false" hidden="true" name="_692__FDSAUDITLINK__" vbProcedure="false">{"fdsup://Directions/FactSet Auditing Viewer?action=AUDIT_VALUE&amp;DB=129&amp;ID1=088470&amp;VALUEID=01401&amp;SDATE=2010&amp;PERIODTYPE=ANN_STD&amp;SCFT=3&amp;window=popup_no_bar&amp;width=385&amp;height=120&amp;START_MAXIMIZED=FALSE&amp;creator=factset&amp;display_string=Audit"}</definedName>
    <definedName function="false" hidden="true" name="_693__FDSAUDITLINK__" vbProcedure="false">{"fdsup://Directions/FactSet Auditing Viewer?action=AUDIT_VALUE&amp;DB=129&amp;ID1=088470&amp;VALUEID=01401&amp;SDATE=2009&amp;PERIODTYPE=ANN_STD&amp;SCFT=3&amp;window=popup_no_bar&amp;width=385&amp;height=120&amp;START_MAXIMIZED=FALSE&amp;creator=factset&amp;display_string=Audit"}</definedName>
    <definedName function="false" hidden="true" name="_694__FDSAUDITLINK__" vbProcedure="false">{"fdsup://directions/FAT Viewer?action=UPDATE&amp;creator=factset&amp;DYN_ARGS=TRUE&amp;DOC_NAME=FAT:FQL_AUDITING_CLIENT_TEMPLATE.FAT&amp;display_string=Audit&amp;VAR:KEY=ZMHERWHUXQ&amp;VAR:QUERY=RkZfRVBTX0RJTChBTk4sMCwsLFJGKQ==&amp;WINDOW=FIRST_POPUP&amp;HEIGHT=450&amp;WIDTH=450&amp;START_MAXIMI","ZED=FALSE&amp;VAR:CALENDAR=FIVEDAY&amp;VAR:SYMBOL=088470&amp;VAR:INDEX=0"}</definedName>
    <definedName function="false" hidden="true" name="_695__FDSAUDITLINK__" vbProcedure="false">{"fdsup://directions/FAT Viewer?action=UPDATE&amp;creator=factset&amp;DYN_ARGS=TRUE&amp;DOC_NAME=FAT:FQL_AUDITING_CLIENT_TEMPLATE.FAT&amp;display_string=Audit&amp;VAR:KEY=LODANYLONW&amp;VAR:QUERY=RkZfRVBTX0RJTChBTk4sLTEsLCxSRik=&amp;WINDOW=FIRST_POPUP&amp;HEIGHT=450&amp;WIDTH=450&amp;START_MAXIMI","ZED=FALSE&amp;VAR:CALENDAR=FIVEDAY&amp;VAR:SYMBOL=088470&amp;VAR:INDEX=0"}</definedName>
    <definedName function="false" hidden="true" name="_696__FDSAUDITLINK__" vbProcedure="false">{"fdsup://directions/FAT Viewer?action=UPDATE&amp;creator=factset&amp;DYN_ARGS=TRUE&amp;DOC_NAME=FAT:FQL_AUDITING_CLIENT_TEMPLATE.FAT&amp;display_string=Audit&amp;VAR:KEY=BOLEFSDQDY&amp;VAR:QUERY=RkZfRUJJVF9PUEVSKEFOTiwwLCwsUkYp&amp;WINDOW=FIRST_POPUP&amp;HEIGHT=450&amp;WIDTH=450&amp;START_MAXIMI","ZED=FALSE&amp;VAR:CALENDAR=FIVEDAY&amp;VAR:SYMBOL=088470&amp;VAR:INDEX=0"}</definedName>
    <definedName function="false" hidden="true" name="_697__FDSAUDITLINK__" vbProcedure="false">{"fdsup://directions/FAT Viewer?action=UPDATE&amp;creator=factset&amp;DYN_ARGS=TRUE&amp;DOC_NAME=FAT:FQL_AUDITING_CLIENT_TEMPLATE.FAT&amp;display_string=Audit&amp;VAR:KEY=DIVIFWJURE&amp;VAR:QUERY=RkZfRUJJVF9PUEVSKEFOTiwtMSwsLFJGKQ==&amp;WINDOW=FIRST_POPUP&amp;HEIGHT=450&amp;WIDTH=450&amp;START_MA","XIMIZED=FALSE&amp;VAR:CALENDAR=FIVEDAY&amp;VAR:SYMBOL=088470&amp;VAR:INDEX=0"}</definedName>
    <definedName function="false" hidden="true" name="_698__FDSAUDITLINK__" vbProcedure="false">{"fdsup://Directions/FactSet Auditing Viewer?action=AUDIT_VALUE&amp;DB=129&amp;ID1=088470&amp;VALUEID=01151&amp;SDATE=2011&amp;PERIODTYPE=ANN_STD&amp;SCFT=3&amp;window=popup_no_bar&amp;width=385&amp;height=120&amp;START_MAXIMIZED=FALSE&amp;creator=factset&amp;display_string=Audit"}</definedName>
    <definedName function="false" hidden="true" name="_699__FDSAUDITLINK__" vbProcedure="false">{"fdsup://Directions/FactSet Auditing Viewer?action=AUDIT_VALUE&amp;DB=129&amp;ID1=088470&amp;VALUEID=01151&amp;SDATE=2010&amp;PERIODTYPE=ANN_STD&amp;SCFT=3&amp;window=popup_no_bar&amp;width=385&amp;height=120&amp;START_MAXIMIZED=FALSE&amp;creator=factset&amp;display_string=Audit"}</definedName>
    <definedName function="false" hidden="true" name="_69__123Graph_BSTD_A" vbProcedure="false">#N/A</definedName>
    <definedName function="false" hidden="true" name="_69__123Graph_Bｸﾞﾗﾌ_3" vbProcedure="false">#REF!</definedName>
    <definedName function="false" hidden="true" name="_69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6ALA642C761" vbProcedure="false">#N/A</definedName>
    <definedName function="false" hidden="true" name="_6_0_0_S" vbProcedure="false">#REF!</definedName>
    <definedName function="false" hidden="true" name="_6_0__123Grap" vbProcedure="false">#REF!</definedName>
    <definedName function="false" hidden="true" name="_6_123Grap" vbProcedure="false">#REF!</definedName>
    <definedName function="false" hidden="true" name="_6__123Graph_ACHART_3" vbProcedure="false">#REF!</definedName>
    <definedName function="false" hidden="true" name="_6__123Graph_ACHART_4" vbProcedure="false">#REF!</definedName>
    <definedName function="false" hidden="true" name="_6__123Graph_AHR_BY_OEM" vbProcedure="false">#REF!</definedName>
    <definedName function="false" hidden="true" name="_6__123Graph_BCHART_1" vbProcedure="false">#REF!</definedName>
    <definedName function="false" hidden="true" name="_6__123Graph_BCHART_2" vbProcedure="false">#REF!</definedName>
    <definedName function="false" hidden="true" name="_6__123Graph_BCHART_3" vbProcedure="false">#REF!</definedName>
    <definedName function="false" hidden="true" name="_6__123Graph_CCHART_1" vbProcedure="false">#REF!</definedName>
    <definedName function="false" hidden="true" name="_6__123Graph_DCHART_2" vbProcedure="false">#REF!</definedName>
    <definedName function="false" hidden="true" name="_6__FDSAUDITLINK__" vbProcedure="false">{"fdsup://directions/FAT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function="false" hidden="true" name="_700__FDSAUDITLINK__" vbProcedure="false">{"fdsup://Directions/FactSet Auditing Viewer?action=AUDIT_VALUE&amp;DB=129&amp;ID1=088470&amp;VALUEID=04049&amp;SDATE=2010&amp;PERIODTYPE=ANN_STD&amp;SCFT=3&amp;window=popup_no_bar&amp;width=385&amp;height=120&amp;START_MAXIMIZED=FALSE&amp;creator=factset&amp;display_string=Audit"}</definedName>
    <definedName function="false" hidden="true" name="_701__FDSAUDITLINK__" vbProcedure="false">{"fdsup://Directions/FactSet Auditing Viewer?action=AUDIT_VALUE&amp;DB=129&amp;ID1=088470&amp;VALUEID=18140&amp;SDATE=2010&amp;PERIODTYPE=ANN_STD&amp;SCFT=3&amp;window=popup_no_bar&amp;width=385&amp;height=120&amp;START_MAXIMIZED=FALSE&amp;creator=factset&amp;display_string=Audit"}</definedName>
    <definedName function="false" hidden="true" name="_702__FDSAUDITLINK__" vbProcedure="false">{"fdsup://Directions/FactSet Auditing Viewer?action=AUDIT_VALUE&amp;DB=129&amp;ID1=088470&amp;VALUEID=18140&amp;SDATE=2009&amp;PERIODTYPE=ANN_STD&amp;SCFT=3&amp;window=popup_no_bar&amp;width=385&amp;height=120&amp;START_MAXIMIZED=FALSE&amp;creator=factset&amp;display_string=Audit"}</definedName>
    <definedName function="false" hidden="true" name="_703__FDSAUDITLINK__" vbProcedure="false">{"fdsup://Directions/FactSet Auditing Viewer?action=AUDIT_VALUE&amp;DB=129&amp;ID1=088470&amp;VALUEID=01001&amp;SDATE=2010&amp;PERIODTYPE=ANN_STD&amp;SCFT=3&amp;window=popup_no_bar&amp;width=385&amp;height=120&amp;START_MAXIMIZED=FALSE&amp;creator=factset&amp;display_string=Audit"}</definedName>
    <definedName function="false" hidden="true" name="_704__FDSAUDITLINK__" vbProcedure="false">{"fdsup://Directions/FactSet Auditing Viewer?action=AUDIT_VALUE&amp;DB=129&amp;ID1=088470&amp;VALUEID=01001&amp;SDATE=2009&amp;PERIODTYPE=ANN_STD&amp;SCFT=3&amp;window=popup_no_bar&amp;width=385&amp;height=120&amp;START_MAXIMIZED=FALSE&amp;creator=factset&amp;display_string=Audit"}</definedName>
    <definedName function="false" hidden="true" name="_705__FDSAUDITLINK__" vbProcedure="false">{"fdsup://Directions/FactSet Auditing Viewer?action=AUDIT_VALUE&amp;DB=129&amp;ID1=088470&amp;VALUEID=02501&amp;SDATE=2011&amp;PERIODTYPE=ANN_STD&amp;SCFT=3&amp;window=popup_no_bar&amp;width=385&amp;height=120&amp;START_MAXIMIZED=FALSE&amp;creator=factset&amp;display_string=Audit"}</definedName>
    <definedName function="false" hidden="true" name="_706__FDSAUDITLINK__" vbProcedure="false">{"fdsup://Directions/FactSet Auditing Viewer?action=AUDIT_VALUE&amp;DB=129&amp;ID1=088470&amp;VALUEID=03426&amp;SDATE=2011&amp;PERIODTYPE=ANN_STD&amp;SCFT=3&amp;window=popup_no_bar&amp;width=385&amp;height=120&amp;START_MAXIMIZED=FALSE&amp;creator=factset&amp;display_string=Audit"}</definedName>
    <definedName function="false" hidden="true" name="_707__FDSAUDITLINK__" vbProcedure="false">{"fdsup://Directions/FactSet Auditing Viewer?action=AUDIT_VALUE&amp;DB=129&amp;ID1=088470&amp;VALUEID=02001&amp;SDATE=2011&amp;PERIODTYPE=ANN_STD&amp;SCFT=3&amp;window=popup_no_bar&amp;width=385&amp;height=120&amp;START_MAXIMIZED=FALSE&amp;creator=factset&amp;display_string=Audit"}</definedName>
    <definedName function="false" hidden="true" name="_708__FDSAUDITLINK__" vbProcedure="false">{"fdsup://Directions/FactSet Auditing Viewer?action=AUDIT_VALUE&amp;DB=129&amp;ID1=93114210&amp;VALUEID=01401&amp;SDATE=2011&amp;PERIODTYPE=ANN_STD&amp;SCFT=3&amp;window=popup_no_bar&amp;width=385&amp;height=120&amp;START_MAXIMIZED=FALSE&amp;creator=factset&amp;display_string=Audit"}</definedName>
    <definedName function="false" hidden="true" name="_709__FDSAUDITLINK__" vbProcedure="false">{"fdsup://Directions/FactSet Auditing Viewer?action=AUDIT_VALUE&amp;DB=129&amp;ID1=93114210&amp;VALUEID=01401&amp;SDATE=2010&amp;PERIODTYPE=ANN_STD&amp;SCFT=3&amp;window=popup_no_bar&amp;width=385&amp;height=120&amp;START_MAXIMIZED=FALSE&amp;creator=factset&amp;display_string=Audit"}</definedName>
    <definedName function="false" hidden="true" name="_70__123Graph_Bｸﾞﾗﾌ_4" vbProcedure="false">#REF!</definedName>
    <definedName function="false" hidden="true" name="_70__123Graph_CCHART_3" vbProcedure="false">#REF!</definedName>
    <definedName function="false" hidden="true" name="_70__123Graph_C_Chart_1A" vbProcedure="false">#N/A</definedName>
    <definedName function="false" hidden="true" name="_70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710__FDSAUDITLINK__" vbProcedure="false">{"fdsup://directions/FAT Viewer?action=UPDATE&amp;creator=factset&amp;DYN_ARGS=TRUE&amp;DOC_NAME=FAT:FQL_AUDITING_CLIENT_TEMPLATE.FAT&amp;display_string=Audit&amp;VAR:KEY=ZQXCDWFSBC&amp;VAR:QUERY=RkZfRVBTX0RJTChBTk4sMCwsLFJGKQ==&amp;WINDOW=FIRST_POPUP&amp;HEIGHT=450&amp;WIDTH=450&amp;START_MAXIMI","ZED=FALSE&amp;VAR:CALENDAR=FIVEDAY&amp;VAR:SYMBOL=93114210&amp;VAR:INDEX=0"}</definedName>
    <definedName function="false" hidden="true" name="_711__FDSAUDITLINK__" vbProcedure="false">{"fdsup://directions/FAT Viewer?action=UPDATE&amp;creator=factset&amp;DYN_ARGS=TRUE&amp;DOC_NAME=FAT:FQL_AUDITING_CLIENT_TEMPLATE.FAT&amp;display_string=Audit&amp;VAR:KEY=VODOVGPMZU&amp;VAR:QUERY=RkZfRVBTX0RJTChBTk4sLTEsLCxSRik=&amp;WINDOW=FIRST_POPUP&amp;HEIGHT=450&amp;WIDTH=450&amp;START_MAXIMI","ZED=FALSE&amp;VAR:CALENDAR=FIVEDAY&amp;VAR:SYMBOL=93114210&amp;VAR:INDEX=0"}</definedName>
    <definedName function="false" hidden="true" name="_712__FDSAUDITLINK__" vbProcedure="false">{"fdsup://directions/FAT Viewer?action=UPDATE&amp;creator=factset&amp;DYN_ARGS=TRUE&amp;DOC_NAME=FAT:FQL_AUDITING_CLIENT_TEMPLATE.FAT&amp;display_string=Audit&amp;VAR:KEY=RIBQDEFMBU&amp;VAR:QUERY=RkZfRUJJVF9PUEVSKEFOTiwwLCwsUkYp&amp;WINDOW=FIRST_POPUP&amp;HEIGHT=450&amp;WIDTH=450&amp;START_MAXIMI","ZED=FALSE&amp;VAR:CALENDAR=FIVEDAY&amp;VAR:SYMBOL=93114210&amp;VAR:INDEX=0"}</definedName>
    <definedName function="false" hidden="true" name="_713__FDSAUDITLINK__" vbProcedure="false">{"fdsup://directions/FAT Viewer?action=UPDATE&amp;creator=factset&amp;DYN_ARGS=TRUE&amp;DOC_NAME=FAT:FQL_AUDITING_CLIENT_TEMPLATE.FAT&amp;display_string=Audit&amp;VAR:KEY=RMFOJSFSJW&amp;VAR:QUERY=RkZfRUJJVF9PUEVSKEFOTiwtMSwsLFJGKQ==&amp;WINDOW=FIRST_POPUP&amp;HEIGHT=450&amp;WIDTH=450&amp;START_MA","XIMIZED=FALSE&amp;VAR:CALENDAR=FIVEDAY&amp;VAR:SYMBOL=93114210&amp;VAR:INDEX=0"}</definedName>
    <definedName function="false" hidden="true" name="_714__FDSAUDITLINK__" vbProcedure="false">{"fdsup://Directions/FactSet Auditing Viewer?action=AUDIT_VALUE&amp;DB=129&amp;ID1=93114210&amp;VALUEID=01151&amp;SDATE=2011&amp;PERIODTYPE=ANN_STD&amp;SCFT=3&amp;window=popup_no_bar&amp;width=385&amp;height=120&amp;START_MAXIMIZED=FALSE&amp;creator=factset&amp;display_string=Audit"}</definedName>
    <definedName function="false" hidden="true" name="_715__FDSAUDITLINK__" vbProcedure="false">{"fdsup://Directions/FactSet Auditing Viewer?action=AUDIT_VALUE&amp;DB=129&amp;ID1=93114210&amp;VALUEID=01151&amp;SDATE=2010&amp;PERIODTYPE=ANN_STD&amp;SCFT=3&amp;window=popup_no_bar&amp;width=385&amp;height=120&amp;START_MAXIMIZED=FALSE&amp;creator=factset&amp;display_string=Audit"}</definedName>
    <definedName function="false" hidden="true" name="_716__FDSAUDITLINK__" vbProcedure="false">{"fdsup://Directions/FactSet Auditing Viewer?action=AUDIT_VALUE&amp;DB=129&amp;ID1=93114210&amp;VALUEID=04049&amp;SDATE=2011&amp;PERIODTYPE=ANN_STD&amp;SCFT=3&amp;window=popup_no_bar&amp;width=385&amp;height=120&amp;START_MAXIMIZED=FALSE&amp;creator=factset&amp;display_string=Audit"}</definedName>
    <definedName function="false" hidden="true" name="_717__FDSAUDITLINK__" vbProcedure="false">{"fdsup://Directions/FactSet Auditing Viewer?action=AUDIT_VALUE&amp;DB=129&amp;ID1=93114210&amp;VALUEID=04049&amp;SDATE=2010&amp;PERIODTYPE=ANN_STD&amp;SCFT=3&amp;window=popup_no_bar&amp;width=385&amp;height=120&amp;START_MAXIMIZED=FALSE&amp;creator=factset&amp;display_string=Audit"}</definedName>
    <definedName function="false" hidden="true" name="_718__FDSAUDITLINK__" vbProcedure="false">{"fdsup://Directions/FactSet Auditing Viewer?action=AUDIT_VALUE&amp;DB=129&amp;ID1=93114210&amp;VALUEID=18140&amp;SDATE=2011&amp;PERIODTYPE=ANN_STD&amp;SCFT=3&amp;window=popup_no_bar&amp;width=385&amp;height=120&amp;START_MAXIMIZED=FALSE&amp;creator=factset&amp;display_string=Audit"}</definedName>
    <definedName function="false" hidden="true" name="_719__FDSAUDITLINK__" vbProcedure="false">{"fdsup://Directions/FactSet Auditing Viewer?action=AUDIT_VALUE&amp;DB=129&amp;ID1=93114210&amp;VALUEID=18140&amp;SDATE=2010&amp;PERIODTYPE=ANN_STD&amp;SCFT=3&amp;window=popup_no_bar&amp;width=385&amp;height=120&amp;START_MAXIMIZED=FALSE&amp;creator=factset&amp;display_string=Audit"}</definedName>
    <definedName function="false" hidden="true" name="_71__123Graph_CCHART_10" vbProcedure="false">#N/A</definedName>
    <definedName function="false" hidden="true" name="_71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720__FDSAUDITLINK__" vbProcedure="false">{"fdsup://Directions/FactSet Auditing Viewer?action=AUDIT_VALUE&amp;DB=129&amp;ID1=93114210&amp;VALUEID=01001&amp;SDATE=2011&amp;PERIODTYPE=ANN_STD&amp;SCFT=3&amp;window=popup_no_bar&amp;width=385&amp;height=120&amp;START_MAXIMIZED=FALSE&amp;creator=factset&amp;display_string=Audit"}</definedName>
    <definedName function="false" hidden="true" name="_721__FDSAUDITLINK__" vbProcedure="false">{"fdsup://Directions/FactSet Auditing Viewer?action=AUDIT_VALUE&amp;DB=129&amp;ID1=93114210&amp;VALUEID=01001&amp;SDATE=2010&amp;PERIODTYPE=ANN_STD&amp;SCFT=3&amp;window=popup_no_bar&amp;width=385&amp;height=120&amp;START_MAXIMIZED=FALSE&amp;creator=factset&amp;display_string=Audit"}</definedName>
    <definedName function="false" hidden="true" name="_722__FDSAUDITLINK__" vbProcedure="false">{"fdsup://Directions/FactSet Auditing Viewer?action=AUDIT_VALUE&amp;DB=129&amp;ID1=93114210&amp;VALUEID=03040&amp;SDATE=2011&amp;PERIODTYPE=ANN_STD&amp;SCFT=3&amp;window=popup_no_bar&amp;width=385&amp;height=120&amp;START_MAXIMIZED=FALSE&amp;creator=factset&amp;display_string=Audit"}</definedName>
    <definedName function="false" hidden="true" name="_723__FDSAUDITLINK__" vbProcedure="false">{"fdsup://Directions/FactSet Auditing Viewer?action=AUDIT_VALUE&amp;DB=129&amp;ID1=93114210&amp;VALUEID=02051&amp;SDATE=2011&amp;PERIODTYPE=ANN_STD&amp;SCFT=3&amp;window=popup_no_bar&amp;width=385&amp;height=120&amp;START_MAXIMIZED=FALSE&amp;creator=factset&amp;display_string=Audit"}</definedName>
    <definedName function="false" hidden="true" name="_724__FDSAUDITLINK__" vbProcedure="false">{"fdsup://Directions/FactSet Auditing Viewer?action=AUDIT_VALUE&amp;DB=129&amp;ID1=93114210&amp;VALUEID=02101&amp;SDATE=2011&amp;PERIODTYPE=ANN_STD&amp;SCFT=3&amp;window=popup_no_bar&amp;width=385&amp;height=120&amp;START_MAXIMIZED=FALSE&amp;creator=factset&amp;display_string=Audit"}</definedName>
    <definedName function="false" hidden="true" name="_725__FDSAUDITLINK__" vbProcedure="false">{"fdsup://Directions/FactSet Auditing Viewer?action=AUDIT_VALUE&amp;DB=129&amp;ID1=93114210&amp;VALUEID=02501&amp;SDATE=2011&amp;PERIODTYPE=ANN_STD&amp;SCFT=3&amp;window=popup_no_bar&amp;width=385&amp;height=120&amp;START_MAXIMIZED=FALSE&amp;creator=factset&amp;display_string=Audit"}</definedName>
    <definedName function="false" hidden="true" name="_726__FDSAUDITLINK__" vbProcedure="false">{"fdsup://Directions/FactSet Auditing Viewer?action=AUDIT_VALUE&amp;DB=129&amp;ID1=93114210&amp;VALUEID=03426&amp;SDATE=2011&amp;PERIODTYPE=ANN_STD&amp;SCFT=3&amp;window=popup_no_bar&amp;width=385&amp;height=120&amp;START_MAXIMIZED=FALSE&amp;creator=factset&amp;display_string=Audit"}</definedName>
    <definedName function="false" hidden="true" name="_727__FDSAUDITLINK__" vbProcedure="false">{"fdsup://Directions/FactSet Auditing Viewer?action=AUDIT_VALUE&amp;DB=129&amp;ID1=93114210&amp;VALUEID=02001&amp;SDATE=2011&amp;PERIODTYPE=ANN_STD&amp;SCFT=3&amp;window=popup_no_bar&amp;width=385&amp;height=120&amp;START_MAXIMIZED=FALSE&amp;creator=factset&amp;display_string=Audit"}</definedName>
    <definedName function="false" hidden="true" name="_728__FDSAUDITLINK__" vbProcedure="false">{"fdsup://Directions/FactSet Auditing Viewer?action=AUDIT_VALUE&amp;DB=129&amp;ID1=564156&amp;VALUEID=01401&amp;SDATE=2011&amp;PERIODTYPE=ANN_STD&amp;SCFT=3&amp;window=popup_no_bar&amp;width=385&amp;height=120&amp;START_MAXIMIZED=FALSE&amp;creator=factset&amp;display_string=Audit"}</definedName>
    <definedName function="false" hidden="true" name="_729__FDSAUDITLINK__" vbProcedure="false">{"fdsup://Directions/FactSet Auditing Viewer?action=AUDIT_VALUE&amp;DB=129&amp;ID1=564156&amp;VALUEID=01401&amp;SDATE=2010&amp;PERIODTYPE=ANN_STD&amp;SCFT=3&amp;window=popup_no_bar&amp;width=385&amp;height=120&amp;START_MAXIMIZED=FALSE&amp;creator=factset&amp;display_string=Audit"}</definedName>
    <definedName function="false" hidden="true" name="_72__123Graph_CCHART_11" vbProcedure="false">#N/A</definedName>
    <definedName function="false" hidden="true" name="_72__123Graph_x005F_XC04C_ALL_T2" vbProcedure="false">#REF!</definedName>
    <definedName function="false" hidden="true" name="_72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730__FDSAUDITLINK__" vbProcedure="false">{"fdsup://directions/FAT Viewer?action=UPDATE&amp;creator=factset&amp;DYN_ARGS=TRUE&amp;DOC_NAME=FAT:FQL_AUDITING_CLIENT_TEMPLATE.FAT&amp;display_string=Audit&amp;VAR:KEY=XSXMRQRWBW&amp;VAR:QUERY=RkZfRVBTX0RJTChBTk4sMCwsLFJGKQ==&amp;WINDOW=FIRST_POPUP&amp;HEIGHT=450&amp;WIDTH=450&amp;START_MAXIMI","ZED=FALSE&amp;VAR:CALENDAR=FIVEDAY&amp;VAR:SYMBOL=564156&amp;VAR:INDEX=0"}</definedName>
    <definedName function="false" hidden="true" name="_731__FDSAUDITLINK__" vbProcedure="false">{"fdsup://directions/FAT Viewer?action=UPDATE&amp;creator=factset&amp;DYN_ARGS=TRUE&amp;DOC_NAME=FAT:FQL_AUDITING_CLIENT_TEMPLATE.FAT&amp;display_string=Audit&amp;VAR:KEY=HYNAJCPEDQ&amp;VAR:QUERY=RkZfRVBTX0RJTChBTk4sLTEsLCxSRik=&amp;WINDOW=FIRST_POPUP&amp;HEIGHT=450&amp;WIDTH=450&amp;START_MAXIMI","ZED=FALSE&amp;VAR:CALENDAR=FIVEDAY&amp;VAR:SYMBOL=564156&amp;VAR:INDEX=0"}</definedName>
    <definedName function="false" hidden="true" name="_732__FDSAUDITLINK__" vbProcedure="false">{"fdsup://directions/FAT Viewer?action=UPDATE&amp;creator=factset&amp;DYN_ARGS=TRUE&amp;DOC_NAME=FAT:FQL_AUDITING_CLIENT_TEMPLATE.FAT&amp;display_string=Audit&amp;VAR:KEY=RCJMVUHUVM&amp;VAR:QUERY=RkZfRUJJVF9PUEVSKEFOTiwwLCwsUkYp&amp;WINDOW=FIRST_POPUP&amp;HEIGHT=450&amp;WIDTH=450&amp;START_MAXIMI","ZED=FALSE&amp;VAR:CALENDAR=FIVEDAY&amp;VAR:SYMBOL=564156&amp;VAR:INDEX=0"}</definedName>
    <definedName function="false" hidden="true" name="_733__FDSAUDITLINK__" vbProcedure="false">{"fdsup://directions/FAT Viewer?action=UPDATE&amp;creator=factset&amp;DYN_ARGS=TRUE&amp;DOC_NAME=FAT:FQL_AUDITING_CLIENT_TEMPLATE.FAT&amp;display_string=Audit&amp;VAR:KEY=XKFAPUBGZI&amp;VAR:QUERY=RkZfRUJJVF9PUEVSKEFOTiwtMSwsLFJGKQ==&amp;WINDOW=FIRST_POPUP&amp;HEIGHT=450&amp;WIDTH=450&amp;START_MA","XIMIZED=FALSE&amp;VAR:CALENDAR=FIVEDAY&amp;VAR:SYMBOL=564156&amp;VAR:INDEX=0"}</definedName>
    <definedName function="false" hidden="true" name="_734__FDSAUDITLINK__" vbProcedure="false">{"fdsup://Directions/FactSet Auditing Viewer?action=AUDIT_VALUE&amp;DB=129&amp;ID1=564156&amp;VALUEID=01151&amp;SDATE=2011&amp;PERIODTYPE=ANN_STD&amp;SCFT=3&amp;window=popup_no_bar&amp;width=385&amp;height=120&amp;START_MAXIMIZED=FALSE&amp;creator=factset&amp;display_string=Audit"}</definedName>
    <definedName function="false" hidden="true" name="_735__FDSAUDITLINK__" vbProcedure="false">{"fdsup://Directions/FactSet Auditing Viewer?action=AUDIT_VALUE&amp;DB=129&amp;ID1=564156&amp;VALUEID=01151&amp;SDATE=2010&amp;PERIODTYPE=ANN_STD&amp;SCFT=3&amp;window=popup_no_bar&amp;width=385&amp;height=120&amp;START_MAXIMIZED=FALSE&amp;creator=factset&amp;display_string=Audit"}</definedName>
    <definedName function="false" hidden="true" name="_736__FDSAUDITLINK__" vbProcedure="false">{"fdsup://Directions/FactSet Auditing Viewer?action=AUDIT_VALUE&amp;DB=129&amp;ID1=564156&amp;VALUEID=04049&amp;SDATE=2011&amp;PERIODTYPE=ANN_STD&amp;SCFT=3&amp;window=popup_no_bar&amp;width=385&amp;height=120&amp;START_MAXIMIZED=FALSE&amp;creator=factset&amp;display_string=Audit"}</definedName>
    <definedName function="false" hidden="true" name="_737__FDSAUDITLINK__" vbProcedure="false">{"fdsup://Directions/FactSet Auditing Viewer?action=AUDIT_VALUE&amp;DB=129&amp;ID1=564156&amp;VALUEID=04049&amp;SDATE=2010&amp;PERIODTYPE=ANN_STD&amp;SCFT=3&amp;window=popup_no_bar&amp;width=385&amp;height=120&amp;START_MAXIMIZED=FALSE&amp;creator=factset&amp;display_string=Audit"}</definedName>
    <definedName function="false" hidden="true" name="_738__FDSAUDITLINK__" vbProcedure="false">{"fdsup://Directions/FactSet Auditing Viewer?action=AUDIT_VALUE&amp;DB=129&amp;ID1=564156&amp;VALUEID=18140&amp;SDATE=2011&amp;PERIODTYPE=ANN_STD&amp;SCFT=3&amp;window=popup_no_bar&amp;width=385&amp;height=120&amp;START_MAXIMIZED=FALSE&amp;creator=factset&amp;display_string=Audit"}</definedName>
    <definedName function="false" hidden="true" name="_739__FDSAUDITLINK__" vbProcedure="false">{"fdsup://Directions/FactSet Auditing Viewer?action=AUDIT_VALUE&amp;DB=129&amp;ID1=564156&amp;VALUEID=18140&amp;SDATE=2010&amp;PERIODTYPE=ANN_STD&amp;SCFT=3&amp;window=popup_no_bar&amp;width=385&amp;height=120&amp;START_MAXIMIZED=FALSE&amp;creator=factset&amp;display_string=Audit"}</definedName>
    <definedName function="false" hidden="true" name="_73__123Graph_CCHART_12" vbProcedure="false">#N/A</definedName>
    <definedName function="false" hidden="true" name="_73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740__FDSAUDITLINK__" vbProcedure="false">{"fdsup://Directions/FactSet Auditing Viewer?action=AUDIT_VALUE&amp;DB=129&amp;ID1=564156&amp;VALUEID=01001&amp;SDATE=2011&amp;PERIODTYPE=ANN_STD&amp;SCFT=3&amp;window=popup_no_bar&amp;width=385&amp;height=120&amp;START_MAXIMIZED=FALSE&amp;creator=factset&amp;display_string=Audit"}</definedName>
    <definedName function="false" hidden="true" name="_741__FDSAUDITLINK__" vbProcedure="false">{"fdsup://Directions/FactSet Auditing Viewer?action=AUDIT_VALUE&amp;DB=129&amp;ID1=564156&amp;VALUEID=01001&amp;SDATE=2010&amp;PERIODTYPE=ANN_STD&amp;SCFT=3&amp;window=popup_no_bar&amp;width=385&amp;height=120&amp;START_MAXIMIZED=FALSE&amp;creator=factset&amp;display_string=Audit"}</definedName>
    <definedName function="false" hidden="true" name="_742__FDSAUDITLINK__" vbProcedure="false">{"fdsup://Directions/FactSet Auditing Viewer?action=AUDIT_VALUE&amp;DB=129&amp;ID1=564156&amp;VALUEID=03040&amp;SDATE=2011&amp;PERIODTYPE=ANN_STD&amp;SCFT=3&amp;window=popup_no_bar&amp;width=385&amp;height=120&amp;START_MAXIMIZED=FALSE&amp;creator=factset&amp;display_string=Audit"}</definedName>
    <definedName function="false" hidden="true" name="_743__FDSAUDITLINK__" vbProcedure="false">{"fdsup://Directions/FactSet Auditing Viewer?action=AUDIT_VALUE&amp;DB=129&amp;ID1=564156&amp;VALUEID=02051&amp;SDATE=2011&amp;PERIODTYPE=ANN_STD&amp;SCFT=3&amp;window=popup_no_bar&amp;width=385&amp;height=120&amp;START_MAXIMIZED=FALSE&amp;creator=factset&amp;display_string=Audit"}</definedName>
    <definedName function="false" hidden="true" name="_744__FDSAUDITLINK__" vbProcedure="false">{"fdsup://Directions/FactSet Auditing Viewer?action=AUDIT_VALUE&amp;DB=129&amp;ID1=564156&amp;VALUEID=02101&amp;SDATE=2011&amp;PERIODTYPE=ANN_STD&amp;SCFT=3&amp;window=popup_no_bar&amp;width=385&amp;height=120&amp;START_MAXIMIZED=FALSE&amp;creator=factset&amp;display_string=Audit"}</definedName>
    <definedName function="false" hidden="true" name="_745__FDSAUDITLINK__" vbProcedure="false">{"fdsup://Directions/FactSet Auditing Viewer?action=AUDIT_VALUE&amp;DB=129&amp;ID1=564156&amp;VALUEID=02501&amp;SDATE=2011&amp;PERIODTYPE=ANN_STD&amp;SCFT=3&amp;window=popup_no_bar&amp;width=385&amp;height=120&amp;START_MAXIMIZED=FALSE&amp;creator=factset&amp;display_string=Audit"}</definedName>
    <definedName function="false" hidden="true" name="_746__FDSAUDITLINK__" vbProcedure="false">{"fdsup://Directions/FactSet Auditing Viewer?action=AUDIT_VALUE&amp;DB=129&amp;ID1=564156&amp;VALUEID=03426&amp;SDATE=2011&amp;PERIODTYPE=ANN_STD&amp;SCFT=3&amp;window=popup_no_bar&amp;width=385&amp;height=120&amp;START_MAXIMIZED=FALSE&amp;creator=factset&amp;display_string=Audit"}</definedName>
    <definedName function="false" hidden="true" name="_747__FDSAUDITLINK__" vbProcedure="false">{"fdsup://Directions/FactSet Auditing Viewer?action=AUDIT_VALUE&amp;DB=129&amp;ID1=564156&amp;VALUEID=02001&amp;SDATE=2011&amp;PERIODTYPE=ANN_STD&amp;SCFT=3&amp;window=popup_no_bar&amp;width=385&amp;height=120&amp;START_MAXIMIZED=FALSE&amp;creator=factset&amp;display_string=Audit"}</definedName>
    <definedName function="false" hidden="true" name="_748__FDSAUDITLINK__" vbProcedure="false">{"fdsup://Directions/FactSet Auditing Viewer?action=AUDIT_VALUE&amp;DB=129&amp;ID1=088470&amp;VALUEID=02501&amp;SDATE=2011&amp;PERIODTYPE=ANN_STD&amp;SCFT=3&amp;window=popup_no_bar&amp;width=385&amp;height=120&amp;START_MAXIMIZED=FALSE&amp;creator=factset&amp;display_string=Audit"}</definedName>
    <definedName function="false" hidden="true" name="_749__FDSAUDITLINK__" vbProcedure="false">{"fdsup://directions/FAT Viewer?action=UPDATE&amp;creator=factset&amp;DYN_ARGS=TRUE&amp;DOC_NAME=FAT:FQL_AUDITING_CLIENT_TEMPLATE.FAT&amp;display_string=Audit&amp;VAR:KEY=BOLEFSDQDY&amp;VAR:QUERY=RkZfRUJJVF9PUEVSKEFOTiwwLCwsUkYp&amp;WINDOW=FIRST_POPUP&amp;HEIGHT=450&amp;WIDTH=450&amp;START_MAXIMI","ZED=FALSE&amp;VAR:CALENDAR=FIVEDAY&amp;VAR:SYMBOL=088470&amp;VAR:INDEX=0"}</definedName>
    <definedName function="false" hidden="true" name="_74__123Graph_CCHART_13" vbProcedure="false">#N/A</definedName>
    <definedName function="false" hidden="true" name="_74__123Graph_Cｸﾞﾗﾌ_1" vbProcedure="false">#REF!</definedName>
    <definedName function="false" hidden="true" name="_74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750__FDSAUDITLINK__" vbProcedure="false">{"fdsup://directions/FAT Viewer?action=UPDATE&amp;creator=factset&amp;DYN_ARGS=TRUE&amp;DOC_NAME=FAT:FQL_AUDITING_CLIENT_TEMPLATE.FAT&amp;display_string=Audit&amp;VAR:KEY=ZMHERWHUXQ&amp;VAR:QUERY=RkZfRVBTX0RJTChBTk4sMCwsLFJGKQ==&amp;WINDOW=FIRST_POPUP&amp;HEIGHT=450&amp;WIDTH=450&amp;START_MAXIMI","ZED=FALSE&amp;VAR:CALENDAR=FIVEDAY&amp;VAR:SYMBOL=088470&amp;VAR:INDEX=0"}</definedName>
    <definedName function="false" hidden="true" name="_751__FDSAUDITLINK__" vbProcedure="false">{"fdsup://Directions/FactSet Auditing Viewer?action=AUDIT_VALUE&amp;DB=129&amp;ID1=088470&amp;VALUEID=04049&amp;SDATE=2010&amp;PERIODTYPE=ANN_STD&amp;SCFT=3&amp;window=popup_no_bar&amp;width=385&amp;height=120&amp;START_MAXIMIZED=FALSE&amp;creator=factset&amp;display_string=Audit"}</definedName>
    <definedName function="false" hidden="true" name="_752__FDSAUDITLINK__" vbProcedure="false">{"fdsup://Directions/FactSet Auditing Viewer?action=AUDIT_VALUE&amp;DB=129&amp;ID1=088470&amp;VALUEID=18140&amp;SDATE=2010&amp;PERIODTYPE=ANN_STD&amp;SCFT=3&amp;window=popup_no_bar&amp;width=385&amp;height=120&amp;START_MAXIMIZED=FALSE&amp;creator=factset&amp;display_string=Audit"}</definedName>
    <definedName function="false" hidden="true" name="_753__FDSAUDITLINK__" vbProcedure="false">{"fdsup://Directions/FactSet Auditing Viewer?action=AUDIT_VALUE&amp;DB=129&amp;ID1=088470&amp;VALUEID=18140&amp;SDATE=2009&amp;PERIODTYPE=ANN_STD&amp;SCFT=3&amp;window=popup_no_bar&amp;width=385&amp;height=120&amp;START_MAXIMIZED=FALSE&amp;creator=factset&amp;display_string=Audit"}</definedName>
    <definedName function="false" hidden="true" name="_754__FDSAUDITLINK__" vbProcedure="false">{"fdsup://Directions/FactSet Auditing Viewer?action=AUDIT_VALUE&amp;DB=129&amp;ID1=088470&amp;VALUEID=01151&amp;SDATE=2011&amp;PERIODTYPE=ANN_STD&amp;SCFT=3&amp;window=popup_no_bar&amp;width=385&amp;height=120&amp;START_MAXIMIZED=FALSE&amp;creator=factset&amp;display_string=Audit"}</definedName>
    <definedName function="false" hidden="true" name="_755__FDSAUDITLINK__" vbProcedure="false">{"fdsup://Directions/FactSet Auditing Viewer?action=AUDIT_VALUE&amp;DB=129&amp;ID1=93114210&amp;VALUEID=04049&amp;SDATE=2011&amp;PERIODTYPE=ANN_STD&amp;SCFT=3&amp;window=popup_no_bar&amp;width=385&amp;height=120&amp;START_MAXIMIZED=FALSE&amp;creator=factset&amp;display_string=Audit"}</definedName>
    <definedName function="false" hidden="true" name="_756__FDSAUDITLINK__" vbProcedure="false">{"fdsup://Directions/FactSet Auditing Viewer?action=AUDIT_VALUE&amp;DB=129&amp;ID1=088470&amp;VALUEID=02001&amp;SDATE=2011&amp;PERIODTYPE=ANN_STD&amp;SCFT=3&amp;window=popup_no_bar&amp;width=385&amp;height=120&amp;START_MAXIMIZED=FALSE&amp;creator=factset&amp;display_string=Audit"}</definedName>
    <definedName function="false" hidden="true" name="_757__FDSAUDITLINK__" vbProcedure="false">{"fdsup://Directions/FactSet Auditing Viewer?action=AUDIT_VALUE&amp;DB=129&amp;ID1=088470&amp;VALUEID=01001&amp;SDATE=2009&amp;PERIODTYPE=ANN_STD&amp;SCFT=3&amp;window=popup_no_bar&amp;width=385&amp;height=120&amp;START_MAXIMIZED=FALSE&amp;creator=factset&amp;display_string=Audit"}</definedName>
    <definedName function="false" hidden="true" name="_758__FDSAUDITLINK__" vbProcedure="false">{"fdsup://Directions/FactSet Auditing Viewer?action=AUDIT_VALUE&amp;DB=129&amp;ID1=088470&amp;VALUEID=03426&amp;SDATE=2011&amp;PERIODTYPE=ANN_STD&amp;SCFT=3&amp;window=popup_no_bar&amp;width=385&amp;height=120&amp;START_MAXIMIZED=FALSE&amp;creator=factset&amp;display_string=Audit"}</definedName>
    <definedName function="false" hidden="true" name="_759__FDSAUDITLINK__" vbProcedure="false">{"fdsup://Directions/FactSet Auditing Viewer?action=AUDIT_VALUE&amp;DB=129&amp;ID1=088470&amp;VALUEID=01001&amp;SDATE=2010&amp;PERIODTYPE=ANN_STD&amp;SCFT=3&amp;window=popup_no_bar&amp;width=385&amp;height=120&amp;START_MAXIMIZED=FALSE&amp;creator=factset&amp;display_string=Audit"}</definedName>
    <definedName function="false" hidden="true" name="_75__123Graph_CCHART_14" vbProcedure="false">#N/A</definedName>
    <definedName function="false" hidden="true" name="_75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760__FDSAUDITLINK__" vbProcedure="false">{"fdsup://Directions/FactSet Auditing Viewer?action=AUDIT_VALUE&amp;DB=129&amp;ID1=088470&amp;VALUEID=01401&amp;SDATE=2010&amp;PERIODTYPE=ANN_STD&amp;SCFT=3&amp;window=popup_no_bar&amp;width=385&amp;height=120&amp;START_MAXIMIZED=FALSE&amp;creator=factset&amp;display_string=Audit"}</definedName>
    <definedName function="false" hidden="true" name="_761__FDSAUDITLINK__" vbProcedure="false">{"fdsup://Directions/FactSet Auditing Viewer?action=AUDIT_VALUE&amp;DB=129&amp;ID1=93114210&amp;VALUEID=18140&amp;SDATE=2010&amp;PERIODTYPE=ANN_STD&amp;SCFT=3&amp;window=popup_no_bar&amp;width=385&amp;height=120&amp;START_MAXIMIZED=FALSE&amp;creator=factset&amp;display_string=Audit"}</definedName>
    <definedName function="false" hidden="true" name="_762__FDSAUDITLINK__" vbProcedure="false">{"fdsup://Directions/FactSet Auditing Viewer?action=AUDIT_VALUE&amp;DB=129&amp;ID1=088470&amp;VALUEID=01151&amp;SDATE=2010&amp;PERIODTYPE=ANN_STD&amp;SCFT=3&amp;window=popup_no_bar&amp;width=385&amp;height=120&amp;START_MAXIMIZED=FALSE&amp;creator=factset&amp;display_string=Audit"}</definedName>
    <definedName function="false" hidden="true" name="_763__FDSAUDITLINK__" vbProcedure="false">{"fdsup://Directions/FactSet Auditing Viewer?action=AUDIT_VALUE&amp;DB=129&amp;ID1=93114210&amp;VALUEID=02501&amp;SDATE=2011&amp;PERIODTYPE=ANN_STD&amp;SCFT=3&amp;window=popup_no_bar&amp;width=385&amp;height=120&amp;START_MAXIMIZED=FALSE&amp;creator=factset&amp;display_string=Audit"}</definedName>
    <definedName function="false" hidden="true" name="_764__FDSAUDITLINK__" vbProcedure="false">{"fdsup://Directions/FactSet Auditing Viewer?action=AUDIT_VALUE&amp;DB=129&amp;ID1=93114210&amp;VALUEID=03426&amp;SDATE=2011&amp;PERIODTYPE=ANN_STD&amp;SCFT=3&amp;window=popup_no_bar&amp;width=385&amp;height=120&amp;START_MAXIMIZED=FALSE&amp;creator=factset&amp;display_string=Audit"}</definedName>
    <definedName function="false" hidden="true" name="_765__FDSAUDITLINK__" vbProcedure="false">{"fdsup://Directions/FactSet Auditing Viewer?action=AUDIT_VALUE&amp;DB=129&amp;ID1=93114210&amp;VALUEID=02101&amp;SDATE=2011&amp;PERIODTYPE=ANN_STD&amp;SCFT=3&amp;window=popup_no_bar&amp;width=385&amp;height=120&amp;START_MAXIMIZED=FALSE&amp;creator=factset&amp;display_string=Audit"}</definedName>
    <definedName function="false" hidden="true" name="_766__FDSAUDITLINK__" vbProcedure="false">{"fdsup://Directions/FactSet Auditing Viewer?action=AUDIT_VALUE&amp;DB=129&amp;ID1=93114210&amp;VALUEID=01001&amp;SDATE=2011&amp;PERIODTYPE=ANN_STD&amp;SCFT=3&amp;window=popup_no_bar&amp;width=385&amp;height=120&amp;START_MAXIMIZED=FALSE&amp;creator=factset&amp;display_string=Audit"}</definedName>
    <definedName function="false" hidden="true" name="_767__FDSAUDITLINK__" vbProcedure="false">{"fdsup://directions/FAT Viewer?action=UPDATE&amp;creator=factset&amp;DYN_ARGS=TRUE&amp;DOC_NAME=FAT:FQL_AUDITING_CLIENT_TEMPLATE.FAT&amp;display_string=Audit&amp;VAR:KEY=DIVIFWJURE&amp;VAR:QUERY=RkZfRUJJVF9PUEVSKEFOTiwtMSwsLFJGKQ==&amp;WINDOW=FIRST_POPUP&amp;HEIGHT=450&amp;WIDTH=450&amp;START_MA","XIMIZED=FALSE&amp;VAR:CALENDAR=FIVEDAY&amp;VAR:SYMBOL=088470&amp;VAR:INDEX=0"}</definedName>
    <definedName function="false" hidden="true" name="_768__FDSAUDITLINK__" vbProcedure="false">{"fdsup://directions/FAT Viewer?action=UPDATE&amp;creator=factset&amp;DYN_ARGS=TRUE&amp;DOC_NAME=FAT:FQL_AUDITING_CLIENT_TEMPLATE.FAT&amp;display_string=Audit&amp;VAR:KEY=LODANYLONW&amp;VAR:QUERY=RkZfRVBTX0RJTChBTk4sLTEsLCxSRik=&amp;WINDOW=FIRST_POPUP&amp;HEIGHT=450&amp;WIDTH=450&amp;START_MAXIMI","ZED=FALSE&amp;VAR:CALENDAR=FIVEDAY&amp;VAR:SYMBOL=088470&amp;VAR:INDEX=0"}</definedName>
    <definedName function="false" hidden="true" name="_769__FDSAUDITLINK__" vbProcedure="false">{"fdsup://Directions/FactSet Auditing Viewer?action=AUDIT_VALUE&amp;DB=129&amp;ID1=088470&amp;VALUEID=01401&amp;SDATE=2009&amp;PERIODTYPE=ANN_STD&amp;SCFT=3&amp;window=popup_no_bar&amp;width=385&amp;height=120&amp;START_MAXIMIZED=FALSE&amp;creator=factset&amp;display_string=Audit"}</definedName>
    <definedName function="false" hidden="true" name="_76__123Graph_CCHART_15" vbProcedure="false">#N/A</definedName>
    <definedName function="false" hidden="true" name="_76__123Graph_x005F_XC04C_FF_L" vbProcedure="false">#REF!</definedName>
    <definedName function="false" hidden="true" name="_76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770__FDSAUDITLINK__" vbProcedure="false">{"fdsup://Directions/FactSet Auditing Viewer?action=AUDIT_VALUE&amp;DB=129&amp;ID1=93114210&amp;VALUEID=02001&amp;SDATE=2011&amp;PERIODTYPE=ANN_STD&amp;SCFT=3&amp;window=popup_no_bar&amp;width=385&amp;height=120&amp;START_MAXIMIZED=FALSE&amp;creator=factset&amp;display_string=Audit"}</definedName>
    <definedName function="false" hidden="true" name="_771__FDSAUDITLINK__" vbProcedure="false">{"fdsup://Directions/FactSet Auditing Viewer?action=AUDIT_VALUE&amp;DB=129&amp;ID1=93114210&amp;VALUEID=03040&amp;SDATE=2011&amp;PERIODTYPE=ANN_STD&amp;SCFT=3&amp;window=popup_no_bar&amp;width=385&amp;height=120&amp;START_MAXIMIZED=FALSE&amp;creator=factset&amp;display_string=Audit"}</definedName>
    <definedName function="false" hidden="true" name="_772__FDSAUDITLINK__" vbProcedure="false">{"fdsup://Directions/FactSet Auditing Viewer?action=AUDIT_VALUE&amp;DB=129&amp;ID1=93114210&amp;VALUEID=04049&amp;SDATE=2010&amp;PERIODTYPE=ANN_STD&amp;SCFT=3&amp;window=popup_no_bar&amp;width=385&amp;height=120&amp;START_MAXIMIZED=FALSE&amp;creator=factset&amp;display_string=Audit"}</definedName>
    <definedName function="false" hidden="true" name="_773__FDSAUDITLINK__" vbProcedure="false">{"fdsup://directions/FAT Viewer?action=UPDATE&amp;creator=factset&amp;DYN_ARGS=TRUE&amp;DOC_NAME=FAT:FQL_AUDITING_CLIENT_TEMPLATE.FAT&amp;display_string=Audit&amp;VAR:KEY=VODOVGPMZU&amp;VAR:QUERY=RkZfRVBTX0RJTChBTk4sLTEsLCxSRik=&amp;WINDOW=FIRST_POPUP&amp;HEIGHT=450&amp;WIDTH=450&amp;START_MAXIMI","ZED=FALSE&amp;VAR:CALENDAR=FIVEDAY&amp;VAR:SYMBOL=93114210&amp;VAR:INDEX=0"}</definedName>
    <definedName function="false" hidden="true" name="_774__FDSAUDITLINK__" vbProcedure="false">{"fdsup://Directions/FactSet Auditing Viewer?action=AUDIT_VALUE&amp;DB=129&amp;ID1=93114210&amp;VALUEID=01401&amp;SDATE=2010&amp;PERIODTYPE=ANN_STD&amp;SCFT=3&amp;window=popup_no_bar&amp;width=385&amp;height=120&amp;START_MAXIMIZED=FALSE&amp;creator=factset&amp;display_string=Audit"}</definedName>
    <definedName function="false" hidden="true" name="_775__FDSAUDITLINK__" vbProcedure="false">{"fdsup://Directions/FactSet Auditing Viewer?action=AUDIT_VALUE&amp;DB=129&amp;ID1=564156&amp;VALUEID=02101&amp;SDATE=2011&amp;PERIODTYPE=ANN_STD&amp;SCFT=3&amp;window=popup_no_bar&amp;width=385&amp;height=120&amp;START_MAXIMIZED=FALSE&amp;creator=factset&amp;display_string=Audit"}</definedName>
    <definedName function="false" hidden="true" name="_776__FDSAUDITLINK__" vbProcedure="false">{"fdsup://Directions/FactSet Auditing Viewer?action=AUDIT_VALUE&amp;DB=129&amp;ID1=564156&amp;VALUEID=18140&amp;SDATE=2010&amp;PERIODTYPE=ANN_STD&amp;SCFT=3&amp;window=popup_no_bar&amp;width=385&amp;height=120&amp;START_MAXIMIZED=FALSE&amp;creator=factset&amp;display_string=Audit"}</definedName>
    <definedName function="false" hidden="true" name="_777__FDSAUDITLINK__" vbProcedure="false">{"fdsup://Directions/FactSet Auditing Viewer?action=AUDIT_VALUE&amp;DB=129&amp;ID1=93114210&amp;VALUEID=02051&amp;SDATE=2011&amp;PERIODTYPE=ANN_STD&amp;SCFT=3&amp;window=popup_no_bar&amp;width=385&amp;height=120&amp;START_MAXIMIZED=FALSE&amp;creator=factset&amp;display_string=Audit"}</definedName>
    <definedName function="false" hidden="true" name="_778__FDSAUDITLINK__" vbProcedure="false">{"fdsup://Directions/FactSet Auditing Viewer?action=AUDIT_VALUE&amp;DB=129&amp;ID1=93114210&amp;VALUEID=01001&amp;SDATE=2010&amp;PERIODTYPE=ANN_STD&amp;SCFT=3&amp;window=popup_no_bar&amp;width=385&amp;height=120&amp;START_MAXIMIZED=FALSE&amp;creator=factset&amp;display_string=Audit"}</definedName>
    <definedName function="false" hidden="true" name="_779__FDSAUDITLINK__" vbProcedure="false">{"fdsup://Directions/FactSet Auditing Viewer?action=AUDIT_VALUE&amp;DB=129&amp;ID1=93114210&amp;VALUEID=18140&amp;SDATE=2011&amp;PERIODTYPE=ANN_STD&amp;SCFT=3&amp;window=popup_no_bar&amp;width=385&amp;height=120&amp;START_MAXIMIZED=FALSE&amp;creator=factset&amp;display_string=Audit"}</definedName>
    <definedName function="false" hidden="true" name="_77__123Graph_CCHART_16" vbProcedure="false">#N/A</definedName>
    <definedName function="false" hidden="true" name="_77__123Graph_CCHART_8" vbProcedure="false">#REF!</definedName>
    <definedName function="false" hidden="true" name="_77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780__FDSAUDITLINK__" vbProcedure="false">{"fdsup://Directions/FactSet Auditing Viewer?action=AUDIT_VALUE&amp;DB=129&amp;ID1=93114210&amp;VALUEID=01151&amp;SDATE=2010&amp;PERIODTYPE=ANN_STD&amp;SCFT=3&amp;window=popup_no_bar&amp;width=385&amp;height=120&amp;START_MAXIMIZED=FALSE&amp;creator=factset&amp;display_string=Audit"}</definedName>
    <definedName function="false" hidden="true" name="_781__FDSAUDITLINK__" vbProcedure="false">{"fdsup://directions/FAT Viewer?action=UPDATE&amp;creator=factset&amp;DYN_ARGS=TRUE&amp;DOC_NAME=FAT:FQL_AUDITING_CLIENT_TEMPLATE.FAT&amp;display_string=Audit&amp;VAR:KEY=RMFOJSFSJW&amp;VAR:QUERY=RkZfRUJJVF9PUEVSKEFOTiwtMSwsLFJGKQ==&amp;WINDOW=FIRST_POPUP&amp;HEIGHT=450&amp;WIDTH=450&amp;START_MA","XIMIZED=FALSE&amp;VAR:CALENDAR=FIVEDAY&amp;VAR:SYMBOL=93114210&amp;VAR:INDEX=0"}</definedName>
    <definedName function="false" hidden="true" name="_782__FDSAUDITLINK__" vbProcedure="false">{"fdsup://Directions/FactSet Auditing Viewer?action=AUDIT_VALUE&amp;DB=129&amp;ID1=93114210&amp;VALUEID=01151&amp;SDATE=2011&amp;PERIODTYPE=ANN_STD&amp;SCFT=3&amp;window=popup_no_bar&amp;width=385&amp;height=120&amp;START_MAXIMIZED=FALSE&amp;creator=factset&amp;display_string=Audit"}</definedName>
    <definedName function="false" hidden="true" name="_783__FDSAUDITLINK__" vbProcedure="false">{"fdsup://Directions/FactSet Auditing Viewer?action=AUDIT_VALUE&amp;DB=129&amp;ID1=564156&amp;VALUEID=03426&amp;SDATE=2011&amp;PERIODTYPE=ANN_STD&amp;SCFT=3&amp;window=popup_no_bar&amp;width=385&amp;height=120&amp;START_MAXIMIZED=FALSE&amp;creator=factset&amp;display_string=Audit"}</definedName>
    <definedName function="false" hidden="true" name="_784__FDSAUDITLINK__" vbProcedure="false">{"fdsup://Directions/FactSet Auditing Viewer?action=AUDIT_VALUE&amp;DB=129&amp;ID1=564156&amp;VALUEID=02051&amp;SDATE=2011&amp;PERIODTYPE=ANN_STD&amp;SCFT=3&amp;window=popup_no_bar&amp;width=385&amp;height=120&amp;START_MAXIMIZED=FALSE&amp;creator=factset&amp;display_string=Audit"}</definedName>
    <definedName function="false" hidden="true" name="_785__FDSAUDITLINK__" vbProcedure="false">{"fdsup://Directions/FactSet Auditing Viewer?action=AUDIT_VALUE&amp;DB=129&amp;ID1=564156&amp;VALUEID=01001&amp;SDATE=2011&amp;PERIODTYPE=ANN_STD&amp;SCFT=3&amp;window=popup_no_bar&amp;width=385&amp;height=120&amp;START_MAXIMIZED=FALSE&amp;creator=factset&amp;display_string=Audit"}</definedName>
    <definedName function="false" hidden="true" name="_786__FDSAUDITLINK__" vbProcedure="false">{"fdsup://directions/FAT Viewer?action=UPDATE&amp;creator=factset&amp;DYN_ARGS=TRUE&amp;DOC_NAME=FAT:FQL_AUDITING_CLIENT_TEMPLATE.FAT&amp;display_string=Audit&amp;VAR:KEY=RIBQDEFMBU&amp;VAR:QUERY=RkZfRUJJVF9PUEVSKEFOTiwwLCwsUkYp&amp;WINDOW=FIRST_POPUP&amp;HEIGHT=450&amp;WIDTH=450&amp;START_MAXIMI","ZED=FALSE&amp;VAR:CALENDAR=FIVEDAY&amp;VAR:SYMBOL=93114210&amp;VAR:INDEX=0"}</definedName>
    <definedName function="false" hidden="true" name="_787__FDSAUDITLINK__" vbProcedure="false">{"fdsup://directions/FAT Viewer?action=UPDATE&amp;creator=factset&amp;DYN_ARGS=TRUE&amp;DOC_NAME=FAT:FQL_AUDITING_CLIENT_TEMPLATE.FAT&amp;display_string=Audit&amp;VAR:KEY=ZQXCDWFSBC&amp;VAR:QUERY=RkZfRVBTX0RJTChBTk4sMCwsLFJGKQ==&amp;WINDOW=FIRST_POPUP&amp;HEIGHT=450&amp;WIDTH=450&amp;START_MAXIMI","ZED=FALSE&amp;VAR:CALENDAR=FIVEDAY&amp;VAR:SYMBOL=93114210&amp;VAR:INDEX=0"}</definedName>
    <definedName function="false" hidden="true" name="_788__FDSAUDITLINK__" vbProcedure="false">{"fdsup://Directions/FactSet Auditing Viewer?action=AUDIT_VALUE&amp;DB=129&amp;ID1=93114210&amp;VALUEID=01401&amp;SDATE=2011&amp;PERIODTYPE=ANN_STD&amp;SCFT=3&amp;window=popup_no_bar&amp;width=385&amp;height=120&amp;START_MAXIMIZED=FALSE&amp;creator=factset&amp;display_string=Audit"}</definedName>
    <definedName function="false" hidden="true" name="_789__FDSAUDITLINK__" vbProcedure="false">{"fdsup://Directions/FactSet Auditing Viewer?action=AUDIT_VALUE&amp;DB=129&amp;ID1=564156&amp;VALUEID=02501&amp;SDATE=2011&amp;PERIODTYPE=ANN_STD&amp;SCFT=3&amp;window=popup_no_bar&amp;width=385&amp;height=120&amp;START_MAXIMIZED=FALSE&amp;creator=factset&amp;display_string=Audit"}</definedName>
    <definedName function="false" hidden="true" name="_78__123Graph_CCHART_17" vbProcedure="false">#N/A</definedName>
    <definedName function="false" hidden="true" name="_78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790__FDSAUDITLINK__" vbProcedure="false">{"fdsup://Directions/FactSet Auditing Viewer?action=AUDIT_VALUE&amp;DB=129&amp;ID1=564156&amp;VALUEID=01001&amp;SDATE=2010&amp;PERIODTYPE=ANN_STD&amp;SCFT=3&amp;window=popup_no_bar&amp;width=385&amp;height=120&amp;START_MAXIMIZED=FALSE&amp;creator=factset&amp;display_string=Audit"}</definedName>
    <definedName function="false" hidden="true" name="_791__FDSAUDITLINK__" vbProcedure="false">{"fdsup://Directions/FactSet Auditing Viewer?action=AUDIT_VALUE&amp;DB=129&amp;ID1=564156&amp;VALUEID=02001&amp;SDATE=2011&amp;PERIODTYPE=ANN_STD&amp;SCFT=3&amp;window=popup_no_bar&amp;width=385&amp;height=120&amp;START_MAXIMIZED=FALSE&amp;creator=factset&amp;display_string=Audit"}</definedName>
    <definedName function="false" hidden="true" name="_792__FDSAUDITLINK__" vbProcedure="false">{"fdsup://Directions/FactSet Auditing Viewer?action=AUDIT_VALUE&amp;DB=129&amp;ID1=564156&amp;VALUEID=03040&amp;SDATE=2011&amp;PERIODTYPE=ANN_STD&amp;SCFT=3&amp;window=popup_no_bar&amp;width=385&amp;height=120&amp;START_MAXIMIZED=FALSE&amp;creator=factset&amp;display_string=Audit"}</definedName>
    <definedName function="false" hidden="true" name="_793__FDSAUDITLINK__" vbProcedure="false">{"fdsup://Directions/FactSet Auditing Viewer?action=AUDIT_VALUE&amp;DB=129&amp;ID1=564156&amp;VALUEID=04049&amp;SDATE=2010&amp;PERIODTYPE=ANN_STD&amp;SCFT=3&amp;window=popup_no_bar&amp;width=385&amp;height=120&amp;START_MAXIMIZED=FALSE&amp;creator=factset&amp;display_string=Audit"}</definedName>
    <definedName function="false" hidden="true" name="_794__FDSAUDITLINK__" vbProcedure="false">{"fdsup://Directions/FactSet Auditing Viewer?action=AUDIT_VALUE&amp;DB=129&amp;ID1=564156&amp;VALUEID=01151&amp;SDATE=2010&amp;PERIODTYPE=ANN_STD&amp;SCFT=3&amp;window=popup_no_bar&amp;width=385&amp;height=120&amp;START_MAXIMIZED=FALSE&amp;creator=factset&amp;display_string=Audit"}</definedName>
    <definedName function="false" hidden="true" name="_795__FDSAUDITLINK__" vbProcedure="false">{"fdsup://directions/FAT Viewer?action=UPDATE&amp;creator=factset&amp;DYN_ARGS=TRUE&amp;DOC_NAME=FAT:FQL_AUDITING_CLIENT_TEMPLATE.FAT&amp;display_string=Audit&amp;VAR:KEY=XKFAPUBGZI&amp;VAR:QUERY=RkZfRUJJVF9PUEVSKEFOTiwtMSwsLFJGKQ==&amp;WINDOW=FIRST_POPUP&amp;HEIGHT=450&amp;WIDTH=450&amp;START_MA","XIMIZED=FALSE&amp;VAR:CALENDAR=FIVEDAY&amp;VAR:SYMBOL=564156&amp;VAR:INDEX=0"}</definedName>
    <definedName function="false" hidden="true" name="_796__FDSAUDITLINK__" vbProcedure="false">{"fdsup://Directions/FactSet Auditing Viewer?action=AUDIT_VALUE&amp;DB=129&amp;ID1=564156&amp;VALUEID=18140&amp;SDATE=2011&amp;PERIODTYPE=ANN_STD&amp;SCFT=3&amp;window=popup_no_bar&amp;width=385&amp;height=120&amp;START_MAXIMIZED=FALSE&amp;creator=factset&amp;display_string=Audit"}</definedName>
    <definedName function="false" hidden="true" name="_797__FDSAUDITLINK__" vbProcedure="false">{"fdsup://directions/FAT Viewer?action=UPDATE&amp;creator=factset&amp;DYN_ARGS=TRUE&amp;DOC_NAME=FAT:FQL_AUDITING_CLIENT_TEMPLATE.FAT&amp;display_string=Audit&amp;VAR:KEY=HYNAJCPEDQ&amp;VAR:QUERY=RkZfRVBTX0RJTChBTk4sLTEsLCxSRik=&amp;WINDOW=FIRST_POPUP&amp;HEIGHT=450&amp;WIDTH=450&amp;START_MAXIMI","ZED=FALSE&amp;VAR:CALENDAR=FIVEDAY&amp;VAR:SYMBOL=564156&amp;VAR:INDEX=0"}</definedName>
    <definedName function="false" hidden="true" name="_798__FDSAUDITLINK__" vbProcedure="false">{"fdsup://Directions/FactSet Auditing Viewer?action=AUDIT_VALUE&amp;DB=129&amp;ID1=564156&amp;VALUEID=01401&amp;SDATE=2010&amp;PERIODTYPE=ANN_STD&amp;SCFT=3&amp;window=popup_no_bar&amp;width=385&amp;height=120&amp;START_MAXIMIZED=FALSE&amp;creator=factset&amp;display_string=Audit"}</definedName>
    <definedName function="false" hidden="true" name="_799__FDSAUDITLINK__" vbProcedure="false">{"fdsup://Directions/FactSet Auditing Viewer?action=AUDIT_VALUE&amp;DB=129&amp;ID1=564156&amp;VALUEID=01151&amp;SDATE=2011&amp;PERIODTYPE=ANN_STD&amp;SCFT=3&amp;window=popup_no_bar&amp;width=385&amp;height=120&amp;START_MAXIMIZED=FALSE&amp;creator=factset&amp;display_string=Audit"}</definedName>
    <definedName function="false" hidden="true" name="_79__123Graph_CCHART_18" vbProcedure="false">#N/A</definedName>
    <definedName function="false" hidden="true" name="_79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7ALA642C761" vbProcedure="false">#N/A</definedName>
    <definedName function="false" hidden="true" name="_7wrn.²Ä1­Ó¤ë1_Ü20¤H." vbProcedure="false">{#N/A,#N/A,FALSE,"²Ä1­Ó¤ë"}</definedName>
    <definedName function="false" hidden="true" name="_7_123Grap" vbProcedure="false">#REF!</definedName>
    <definedName function="false" hidden="true" name="_7__123Graph_ACHART_1" vbProcedure="false">#REF!</definedName>
    <definedName function="false" hidden="true" name="_7__123Graph_ACHART_5" vbProcedure="false">#REF!</definedName>
    <definedName function="false" hidden="true" name="_7__123Graph_AUNIT_BY_OEM" vbProcedure="false">#REF!</definedName>
    <definedName function="false" hidden="true" name="_7__123Graph_BCHART_3" vbProcedure="false">#REF!</definedName>
    <definedName function="false" hidden="true" name="_7__123Graph_BCHART_4" vbProcedure="false">#REF!</definedName>
    <definedName function="false" hidden="true" name="_7__123Graph_CChart_1A" vbProcedure="false">#REF!</definedName>
    <definedName function="false" hidden="true" name="_7__123Graph_DCHART_1" vbProcedure="false">#REF!</definedName>
    <definedName function="false" hidden="true" name="_7__123Graph_XCHART_1" vbProcedure="false">#REF!</definedName>
    <definedName function="false" hidden="true" name="_7__FDSAUDITLINK__" vbProcedure="false">{"fdsup://directions/FAT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function="false" hidden="true" name="_800__FDSAUDITLINK__" vbProcedure="false">{"fdsup://Directions/FactSet Auditing Viewer?action=AUDIT_VALUE&amp;DB=129&amp;ID1=564156&amp;VALUEID=04049&amp;SDATE=2011&amp;PERIODTYPE=ANN_STD&amp;SCFT=3&amp;window=popup_no_bar&amp;width=385&amp;height=120&amp;START_MAXIMIZED=FALSE&amp;creator=factset&amp;display_string=Audit"}</definedName>
    <definedName function="false" hidden="true" name="_801__FDSAUDITLINK__" vbProcedure="false">{"fdsup://directions/FAT Viewer?action=UPDATE&amp;creator=factset&amp;DYN_ARGS=TRUE&amp;DOC_NAME=FAT:FQL_AUDITING_CLIENT_TEMPLATE.FAT&amp;display_string=Audit&amp;VAR:KEY=RCJMVUHUVM&amp;VAR:QUERY=RkZfRUJJVF9PUEVSKEFOTiwwLCwsUkYp&amp;WINDOW=FIRST_POPUP&amp;HEIGHT=450&amp;WIDTH=450&amp;START_MAXIMI","ZED=FALSE&amp;VAR:CALENDAR=FIVEDAY&amp;VAR:SYMBOL=564156&amp;VAR:INDEX=0"}</definedName>
    <definedName function="false" hidden="true" name="_802__FDSAUDITLINK__" vbProcedure="false">{"fdsup://directions/FAT Viewer?action=UPDATE&amp;creator=factset&amp;DYN_ARGS=TRUE&amp;DOC_NAME=FAT:FQL_AUDITING_CLIENT_TEMPLATE.FAT&amp;display_string=Audit&amp;VAR:KEY=XSXMRQRWBW&amp;VAR:QUERY=RkZfRVBTX0RJTChBTk4sMCwsLFJGKQ==&amp;WINDOW=FIRST_POPUP&amp;HEIGHT=450&amp;WIDTH=450&amp;START_MAXIMI","ZED=FALSE&amp;VAR:CALENDAR=FIVEDAY&amp;VAR:SYMBOL=564156&amp;VAR:INDEX=0"}</definedName>
    <definedName function="false" hidden="true" name="_803__FDSAUDITLINK__" vbProcedure="false">{"fdsup://Directions/FactSet Auditing Viewer?action=AUDIT_VALUE&amp;DB=129&amp;ID1=564156&amp;VALUEID=01401&amp;SDATE=2011&amp;PERIODTYPE=ANN_STD&amp;SCFT=3&amp;window=popup_no_bar&amp;width=385&amp;height=120&amp;START_MAXIMIZED=FALSE&amp;creator=factset&amp;display_string=Audit"}</definedName>
    <definedName function="false" hidden="true" name="_80__123Graph_CCHART_4" vbProcedure="false">#N/A</definedName>
    <definedName function="false" hidden="true" name="_80__123Graph_x005F_XC04C_FF_T" vbProcedure="false">#REF!</definedName>
    <definedName function="false" hidden="true" name="_80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819__FDSAUDITLINK__" vbProcedure="false">{"fdsup://Directions/FactSet Auditing Viewer?action=AUDIT_VALUE&amp;DB=129&amp;ID1=35702310&amp;VALUEID=18140&amp;SDATE=2009&amp;PERIODTYPE=ANN_STD&amp;window=popup_no_bar&amp;width=385&amp;height=120&amp;START_MAXIMIZED=FALSE&amp;creator=factset&amp;display_string=Audit"}</definedName>
    <definedName function="false" hidden="true" name="_81__123Graph_CCHART_6" vbProcedure="false">#N/A</definedName>
    <definedName function="false" hidden="true" name="_81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820__FDSAUDITLINK__" vbProcedure="false">{"fdsup://Directions/FactSet Auditing Viewer?action=AUDIT_VALUE&amp;DB=129&amp;ID1=35702310&amp;VALUEID=18140&amp;SDATE=2008&amp;PERIODTYPE=ANN_STD&amp;window=popup_no_bar&amp;width=385&amp;height=120&amp;START_MAXIMIZED=FALSE&amp;creator=factset&amp;display_string=Audit"}</definedName>
    <definedName function="false" hidden="true" name="_821__FDSAUDITLINK__" vbProcedure="false">{"fdsup://Directions/FactSet Auditing Viewer?action=AUDIT_VALUE&amp;DB=129&amp;ID1=35702310&amp;VALUEID=18140&amp;SDATE=2007&amp;PERIODTYPE=ANN_STD&amp;window=popup_no_bar&amp;width=385&amp;height=120&amp;START_MAXIMIZED=FALSE&amp;creator=factset&amp;display_string=Audit"}</definedName>
    <definedName function="false" hidden="true" name="_822__FDSAUDITLINK__" vbProcedure="false">{"fdsup://Directions/FactSet Auditing Viewer?action=AUDIT_VALUE&amp;DB=129&amp;ID1=02916P10&amp;VALUEID=18140&amp;SDATE=2009&amp;PERIODTYPE=ANN_STD&amp;window=popup_no_bar&amp;width=385&amp;height=120&amp;START_MAXIMIZED=FALSE&amp;creator=factset&amp;display_string=Audit"}</definedName>
    <definedName function="false" hidden="true" name="_823__FDSAUDITLINK__" vbProcedure="false">{"fdsup://Directions/FactSet Auditing Viewer?action=AUDIT_VALUE&amp;DB=129&amp;ID1=02916P10&amp;VALUEID=18140&amp;SDATE=2008&amp;PERIODTYPE=ANN_STD&amp;window=popup_no_bar&amp;width=385&amp;height=120&amp;START_MAXIMIZED=FALSE&amp;creator=factset&amp;display_string=Audit"}</definedName>
    <definedName function="false" hidden="true" name="_824__FDSAUDITLINK__" vbProcedure="false">{"fdsup://Directions/FactSet Auditing Viewer?action=AUDIT_VALUE&amp;DB=129&amp;ID1=02916P10&amp;VALUEID=18140&amp;SDATE=2007&amp;PERIODTYPE=ANN_STD&amp;window=popup_no_bar&amp;width=385&amp;height=120&amp;START_MAXIMIZED=FALSE&amp;creator=factset&amp;display_string=Audit"}</definedName>
    <definedName function="false" hidden="true" name="_825__FDSAUDITLINK__" vbProcedure="false">{"fdsup://Directions/FactSet Auditing Viewer?action=AUDIT_VALUE&amp;DB=129&amp;ID1=509233&amp;VALUEID=18140&amp;SDATE=2009&amp;PERIODTYPE=ANN_STD&amp;window=popup_no_bar&amp;width=385&amp;height=120&amp;START_MAXIMIZED=FALSE&amp;creator=factset&amp;display_string=Audit"}</definedName>
    <definedName function="false" hidden="true" name="_826__FDSAUDITLINK__" vbProcedure="false">{"fdsup://Directions/FactSet Auditing Viewer?action=AUDIT_VALUE&amp;DB=129&amp;ID1=509233&amp;VALUEID=18140&amp;SDATE=2008&amp;PERIODTYPE=ANN_STD&amp;window=popup_no_bar&amp;width=385&amp;height=120&amp;START_MAXIMIZED=FALSE&amp;creator=factset&amp;display_string=Audit"}</definedName>
    <definedName function="false" hidden="true" name="_827__FDSAUDITLINK__" vbProcedure="false">{"fdsup://Directions/FactSet Auditing Viewer?action=AUDIT_VALUE&amp;DB=129&amp;ID1=509233&amp;VALUEID=18140&amp;SDATE=2007&amp;PERIODTYPE=ANN_STD&amp;window=popup_no_bar&amp;width=385&amp;height=120&amp;START_MAXIMIZED=FALSE&amp;creator=factset&amp;display_string=Audit"}</definedName>
    <definedName function="false" hidden="true" name="_828__FDSAUDITLINK__" vbProcedure="false">{"fdsup://Directions/FactSet Auditing Viewer?action=AUDIT_VALUE&amp;DB=129&amp;ID1=35702310&amp;VALUEID=18813&amp;SDATE=2009&amp;PERIODTYPE=ANN_STD&amp;window=popup_no_bar&amp;width=385&amp;height=120&amp;START_MAXIMIZED=FALSE&amp;creator=factset&amp;display_string=Audit"}</definedName>
    <definedName function="false" hidden="true" name="_829__FDSAUDITLINK__" vbProcedure="false">{"fdsup://Directions/FactSet Auditing Viewer?action=AUDIT_VALUE&amp;DB=129&amp;ID1=35702310&amp;VALUEID=18813&amp;SDATE=2008&amp;PERIODTYPE=ANN_STD&amp;window=popup_no_bar&amp;width=385&amp;height=120&amp;START_MAXIMIZED=FALSE&amp;creator=factset&amp;display_string=Audit"}</definedName>
    <definedName function="false" hidden="true" name="_82__123Graph_CCHART_7" vbProcedure="false">#N/A</definedName>
    <definedName function="false" hidden="true" name="_82__123Graph_Cｸﾞﾗﾌ_2" vbProcedure="false">#REF!</definedName>
    <definedName function="false" hidden="true" name="_82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830__FDSAUDITLINK__" vbProcedure="false">{"fdsup://Directions/FactSet Auditing Viewer?action=AUDIT_VALUE&amp;DB=129&amp;ID1=35702310&amp;VALUEID=18813&amp;SDATE=2007&amp;PERIODTYPE=ANN_STD&amp;window=popup_no_bar&amp;width=385&amp;height=120&amp;START_MAXIMIZED=FALSE&amp;creator=factset&amp;display_string=Audit"}</definedName>
    <definedName function="false" hidden="true" name="_831__FDSAUDITLINK__" vbProcedure="false">{"fdsup://Directions/FactSet Auditing Viewer?action=AUDIT_VALUE&amp;DB=129&amp;ID1=B19G6L&amp;VALUEID=18813&amp;SDATE=2009&amp;PERIODTYPE=ANN_STD&amp;window=popup_no_bar&amp;width=385&amp;height=120&amp;START_MAXIMIZED=FALSE&amp;creator=factset&amp;display_string=Audit"}</definedName>
    <definedName function="false" hidden="true" name="_832__FDSAUDITLINK__" vbProcedure="false">{"fdsup://Directions/FactSet Auditing Viewer?action=AUDIT_VALUE&amp;DB=129&amp;ID1=B19G6L&amp;VALUEID=18813&amp;SDATE=2007&amp;PERIODTYPE=ANN_STD&amp;window=popup_no_bar&amp;width=385&amp;height=120&amp;START_MAXIMIZED=FALSE&amp;creator=factset&amp;display_string=Audit"}</definedName>
    <definedName function="false" hidden="true" name="_833__FDSAUDITLINK__" vbProcedure="false">{"fdsup://Directions/FactSet Auditing Viewer?action=AUDIT_VALUE&amp;DB=129&amp;ID1=02916P10&amp;VALUEID=18813&amp;SDATE=2009&amp;PERIODTYPE=ANN_STD&amp;window=popup_no_bar&amp;width=385&amp;height=120&amp;START_MAXIMIZED=FALSE&amp;creator=factset&amp;display_string=Audit"}</definedName>
    <definedName function="false" hidden="true" name="_834__FDSAUDITLINK__" vbProcedure="false">{"fdsup://Directions/FactSet Auditing Viewer?action=AUDIT_VALUE&amp;DB=129&amp;ID1=02916P10&amp;VALUEID=18813&amp;SDATE=2008&amp;PERIODTYPE=ANN_STD&amp;window=popup_no_bar&amp;width=385&amp;height=120&amp;START_MAXIMIZED=FALSE&amp;creator=factset&amp;display_string=Audit"}</definedName>
    <definedName function="false" hidden="true" name="_835__FDSAUDITLINK__" vbProcedure="false">{"fdsup://Directions/FactSet Auditing Viewer?action=AUDIT_VALUE&amp;DB=129&amp;ID1=02916P10&amp;VALUEID=18813&amp;SDATE=2007&amp;PERIODTYPE=ANN_STD&amp;window=popup_no_bar&amp;width=385&amp;height=120&amp;START_MAXIMIZED=FALSE&amp;creator=factset&amp;display_string=Audit"}</definedName>
    <definedName function="false" hidden="true" name="_836__FDSAUDITLINK__" vbProcedure="false">{"fdsup://Directions/FactSet Auditing Viewer?action=AUDIT_VALUE&amp;DB=129&amp;ID1=509233&amp;VALUEID=18813&amp;SDATE=2009&amp;PERIODTYPE=ANN_STD&amp;window=popup_no_bar&amp;width=385&amp;height=120&amp;START_MAXIMIZED=FALSE&amp;creator=factset&amp;display_string=Audit"}</definedName>
    <definedName function="false" hidden="true" name="_837__FDSAUDITLINK__" vbProcedure="false">{"fdsup://Directions/FactSet Auditing Viewer?action=AUDIT_VALUE&amp;DB=129&amp;ID1=509233&amp;VALUEID=18813&amp;SDATE=2008&amp;PERIODTYPE=ANN_STD&amp;window=popup_no_bar&amp;width=385&amp;height=120&amp;START_MAXIMIZED=FALSE&amp;creator=factset&amp;display_string=Audit"}</definedName>
    <definedName function="false" hidden="true" name="_838__FDSAUDITLINK__" vbProcedure="false">{"fdsup://Directions/FactSet Auditing Viewer?action=AUDIT_VALUE&amp;DB=129&amp;ID1=509233&amp;VALUEID=18813&amp;SDATE=2007&amp;PERIODTYPE=ANN_STD&amp;window=popup_no_bar&amp;width=385&amp;height=120&amp;START_MAXIMIZED=FALSE&amp;creator=factset&amp;display_string=Audit"}</definedName>
    <definedName function="false" hidden="true" name="_839__FDSAUDITLINK__" vbProcedure="false">{"fdsup://Directions/FactSet Auditing Viewer?action=AUDIT_VALUE&amp;DB=129&amp;ID1=35702310&amp;VALUEID=18352&amp;SDATE=2009&amp;PERIODTYPE=ANN_STD&amp;window=popup_no_bar&amp;width=385&amp;height=120&amp;START_MAXIMIZED=FALSE&amp;creator=factset&amp;display_string=Audit"}</definedName>
    <definedName function="false" hidden="true" name="_83__123Graph_CCHART_8" vbProcedure="false">#N/A</definedName>
    <definedName function="false" hidden="true" name="_83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840__FDSAUDITLINK__" vbProcedure="false">{"fdsup://Directions/FactSet Auditing Viewer?action=AUDIT_VALUE&amp;DB=129&amp;ID1=35702310&amp;VALUEID=18352&amp;SDATE=2008&amp;PERIODTYPE=ANN_STD&amp;window=popup_no_bar&amp;width=385&amp;height=120&amp;START_MAXIMIZED=FALSE&amp;creator=factset&amp;display_string=Audit"}</definedName>
    <definedName function="false" hidden="true" name="_841__FDSAUDITLINK__" vbProcedure="false">{"fdsup://Directions/FactSet Auditing Viewer?action=AUDIT_VALUE&amp;DB=129&amp;ID1=35702310&amp;VALUEID=18352&amp;SDATE=2007&amp;PERIODTYPE=ANN_STD&amp;window=popup_no_bar&amp;width=385&amp;height=120&amp;START_MAXIMIZED=FALSE&amp;creator=factset&amp;display_string=Audit"}</definedName>
    <definedName function="false" hidden="true" name="_842__FDSAUDITLINK__" vbProcedure="false">{"fdsup://Directions/FactSet Auditing Viewer?action=AUDIT_VALUE&amp;DB=129&amp;ID1=B19G6L&amp;VALUEID=18352&amp;SDATE=2009&amp;PERIODTYPE=ANN_STD&amp;window=popup_no_bar&amp;width=385&amp;height=120&amp;START_MAXIMIZED=FALSE&amp;creator=factset&amp;display_string=Audit"}</definedName>
    <definedName function="false" hidden="true" name="_843__FDSAUDITLINK__" vbProcedure="false">{"fdsup://Directions/FactSet Auditing Viewer?action=AUDIT_VALUE&amp;DB=129&amp;ID1=B19G6L&amp;VALUEID=18352&amp;SDATE=2007&amp;PERIODTYPE=ANN_STD&amp;window=popup_no_bar&amp;width=385&amp;height=120&amp;START_MAXIMIZED=FALSE&amp;creator=factset&amp;display_string=Audit"}</definedName>
    <definedName function="false" hidden="true" name="_844__FDSAUDITLINK__" vbProcedure="false">{"fdsup://Directions/FactSet Auditing Viewer?action=AUDIT_VALUE&amp;DB=129&amp;ID1=02916P10&amp;VALUEID=18352&amp;SDATE=2009&amp;PERIODTYPE=ANN_STD&amp;window=popup_no_bar&amp;width=385&amp;height=120&amp;START_MAXIMIZED=FALSE&amp;creator=factset&amp;display_string=Audit"}</definedName>
    <definedName function="false" hidden="true" name="_845__FDSAUDITLINK__" vbProcedure="false">{"fdsup://Directions/FactSet Auditing Viewer?action=AUDIT_VALUE&amp;DB=129&amp;ID1=02916P10&amp;VALUEID=18352&amp;SDATE=2008&amp;PERIODTYPE=ANN_STD&amp;window=popup_no_bar&amp;width=385&amp;height=120&amp;START_MAXIMIZED=FALSE&amp;creator=factset&amp;display_string=Audit"}</definedName>
    <definedName function="false" hidden="true" name="_846__FDSAUDITLINK__" vbProcedure="false">{"fdsup://Directions/FactSet Auditing Viewer?action=AUDIT_VALUE&amp;DB=129&amp;ID1=02916P10&amp;VALUEID=18352&amp;SDATE=2007&amp;PERIODTYPE=ANN_STD&amp;window=popup_no_bar&amp;width=385&amp;height=120&amp;START_MAXIMIZED=FALSE&amp;creator=factset&amp;display_string=Audit"}</definedName>
    <definedName function="false" hidden="true" name="_847__FDSAUDITLINK__" vbProcedure="false">{"fdsup://Directions/FactSet Auditing Viewer?action=AUDIT_VALUE&amp;DB=129&amp;ID1=509233&amp;VALUEID=18352&amp;SDATE=2009&amp;PERIODTYPE=ANN_STD&amp;window=popup_no_bar&amp;width=385&amp;height=120&amp;START_MAXIMIZED=FALSE&amp;creator=factset&amp;display_string=Audit"}</definedName>
    <definedName function="false" hidden="true" name="_848__FDSAUDITLINK__" vbProcedure="false">{"fdsup://Directions/FactSet Auditing Viewer?action=AUDIT_VALUE&amp;DB=129&amp;ID1=509233&amp;VALUEID=18352&amp;SDATE=2008&amp;PERIODTYPE=ANN_STD&amp;window=popup_no_bar&amp;width=385&amp;height=120&amp;START_MAXIMIZED=FALSE&amp;creator=factset&amp;display_string=Audit"}</definedName>
    <definedName function="false" hidden="true" name="_849__FDSAUDITLINK__" vbProcedure="false">{"fdsup://Directions/FactSet Auditing Viewer?action=AUDIT_VALUE&amp;DB=129&amp;ID1=509233&amp;VALUEID=18352&amp;SDATE=2007&amp;PERIODTYPE=ANN_STD&amp;window=popup_no_bar&amp;width=385&amp;height=120&amp;START_MAXIMIZED=FALSE&amp;creator=factset&amp;display_string=Audit"}</definedName>
    <definedName function="false" hidden="true" name="_84__123Graph_CCHART_9" vbProcedure="false">#N/A</definedName>
    <definedName function="false" hidden="true" name="_84__123Graph_DCHART_1" vbProcedure="false">#REF!</definedName>
    <definedName function="false" hidden="true" name="_84__123Graph_x005F_XC04C_FR_L1" vbProcedure="false">#REF!</definedName>
    <definedName function="false" hidden="true" name="_84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85__123Graph_CINVAR_A" vbProcedure="false">#N/A</definedName>
    <definedName function="false" hidden="true" name="_85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86__123Graph_CSS5_A" vbProcedure="false">#N/A</definedName>
    <definedName function="false" hidden="true" name="_86__123Graph_Cｸﾞﾗﾌ_3" vbProcedure="false">#REF!</definedName>
    <definedName function="false" hidden="true" name="_86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87__123Graph_CSS6_A" vbProcedure="false">#N/A</definedName>
    <definedName function="false" hidden="true" name="_87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88__123Graph_CSS6_B" vbProcedure="false">#N/A</definedName>
    <definedName function="false" hidden="true" name="_88__123Graph_x005F_XC04C_FR_L2" vbProcedure="false">#REF!</definedName>
    <definedName function="false" hidden="true" name="_88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89__123Graph_CSS7_A" vbProcedure="false">#N/A</definedName>
    <definedName function="false" hidden="true" name="_89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8ALA642C761" vbProcedure="false">#N/A</definedName>
    <definedName function="false" hidden="true" name="_8_0__123Grap" vbProcedure="false">#REF!</definedName>
    <definedName function="false" hidden="true" name="_8__123Graph_AC04C_ALL_L2" vbProcedure="false">#REF!</definedName>
    <definedName function="false" hidden="true" name="_8__123Graph_ACHART_2" vbProcedure="false">#REF!</definedName>
    <definedName function="false" hidden="true" name="_8__123Graph_ACHART_3" vbProcedure="false">#REF!</definedName>
    <definedName function="false" hidden="true" name="_8__123Graph_AR_M_MARG" vbProcedure="false">#REF!</definedName>
    <definedName function="false" hidden="true" name="_8__123Graph_BCAP_PWR_93___95" vbProcedure="false">#REF!</definedName>
    <definedName function="false" hidden="true" name="_8__123Graph_BCHART_1" vbProcedure="false">#REF!</definedName>
    <definedName function="false" hidden="true" name="_8__123Graph_BCHART_2" vbProcedure="false">#REF!</definedName>
    <definedName function="false" hidden="true" name="_8__123Graph_BCHART_4" vbProcedure="false">#REF!</definedName>
    <definedName function="false" hidden="true" name="_8__123Graph_BCHART_8" vbProcedure="false">#REF!</definedName>
    <definedName function="false" hidden="true" name="_8__123Graph_CChart_2A" vbProcedure="false">#REF!</definedName>
    <definedName function="false" hidden="true" name="_8__123Graph_DCHART_2" vbProcedure="false">#REF!</definedName>
    <definedName function="false" hidden="true" name="_8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90__123Graph_Cｸﾞﾗﾌ_4" vbProcedure="false">#REF!</definedName>
    <definedName function="false" hidden="true" name="_90__123Graph_D_Chart_1A" vbProcedure="false">#N/A</definedName>
    <definedName function="false" hidden="true" name="_90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91__123Graph_DCHART_10" vbProcedure="false">#N/A</definedName>
    <definedName function="false" hidden="true" name="_91__123Graph_DCHART_8" vbProcedure="false">#REF!</definedName>
    <definedName function="false" hidden="true" name="_91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92__123Graph_DCHART_11" vbProcedure="false">#N/A</definedName>
    <definedName function="false" hidden="true" name="_92__123Graph_x005F_XC04C_FR_T1" vbProcedure="false">#REF!</definedName>
    <definedName function="false" hidden="true" name="_92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93__123Graph_DCHART_12" vbProcedure="false">#N/A</definedName>
    <definedName function="false" hidden="true" name="_93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94__123Graph_DCHART_13" vbProcedure="false">#N/A</definedName>
    <definedName function="false" hidden="true" name="_94__123Graph_Dｸﾞﾗﾌ_1" vbProcedure="false">#REF!</definedName>
    <definedName function="false" hidden="true" name="_94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95__123Graph_DCHART_14" vbProcedure="false">#N/A</definedName>
    <definedName function="false" hidden="true" name="_95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96__123Graph_DCHART_15" vbProcedure="false">#N/A</definedName>
    <definedName function="false" hidden="true" name="_96__123Graph_x005F_XC04C_FR_T2" vbProcedure="false">#REF!</definedName>
    <definedName function="false" hidden="true" name="_96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96__0_S" vbProcedure="false">#REF!</definedName>
    <definedName function="false" hidden="true" name="_97__123Graph_DCHART_16" vbProcedure="false">#N/A</definedName>
    <definedName function="false" hidden="true" name="_97__FDSAUDITLINK__" vbProcedure="false">{"fdsup://directions/FAT Viewer?action=UPDATE&amp;creator=factset&amp;DYN_ARGS=TRUE&amp;DOC_NAME=FAT:FQL_AUDITING_CLIENT_TEMPLATE.FAT&amp;display_string=Audit&amp;VAR:KEY=VYHKDKRQVU&amp;VAR:QUERY=RkZfRUJJVF9JQihBTk4sMjAwOCwsLFJGLEVVUik=&amp;WINDOW=FIRST_POPUP&amp;HEIGHT=450&amp;WIDTH=450&amp;STAR","T_MAXIMIZED=FALSE&amp;VAR:CALENDAR=FIVEDAY&amp;VAR:SYMBOL=0&amp;VAR:INDEX=0"}</definedName>
    <definedName function="false" hidden="true" name="_98__123Graph_DCHART_17" vbProcedure="false">#N/A</definedName>
    <definedName function="false" hidden="true" name="_98__123Graph_LBL_ACHART_3" vbProcedure="false">#REF!</definedName>
    <definedName function="false" hidden="true" name="_98__FDSAUDITLINK__" vbProcedure="false">{"fdsup://directions/FAT Viewer?action=UPDATE&amp;creator=factset&amp;DYN_ARGS=TRUE&amp;DOC_NAME=FAT:FQL_AUDITING_CLIENT_TEMPLATE.FAT&amp;display_string=Audit&amp;VAR:KEY=LINCDWDKBG&amp;VAR:QUERY=RkZfRUJJVF9JQihBTk4sMjAwNywsLFJGLEVVUik=&amp;WINDOW=FIRST_POPUP&amp;HEIGHT=450&amp;WIDTH=450&amp;STAR","T_MAXIMIZED=FALSE&amp;VAR:CALENDAR=FIVEDAY&amp;VAR:SYMBOL=0&amp;VAR:INDEX=0"}</definedName>
    <definedName function="false" hidden="true" name="_99__123Graph_DCHART_18" vbProcedure="false">#N/A</definedName>
    <definedName function="false" hidden="true" name="_99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9ALA642C761" vbProcedure="false">#N/A</definedName>
    <definedName function="false" hidden="true" name="_9IQ_F_LB_DUE_CY3" vbProcedure="false">"c2083"</definedName>
    <definedName function="false" hidden="true" name="_9_0__123Grap" vbProcedure="false">#REF!</definedName>
    <definedName function="false" hidden="true" name="_9__123Graph_ACHART_1" vbProcedure="false">#REF!</definedName>
    <definedName function="false" hidden="true" name="_9__123Graph_BCAPITAL_ALL" vbProcedure="false">#REF!</definedName>
    <definedName function="false" hidden="true" name="_9__123Graph_BCHART_3" vbProcedure="false">#REF!</definedName>
    <definedName function="false" hidden="true" name="_9__123Graph_CCHART_1" vbProcedure="false">#REF!</definedName>
    <definedName function="false" hidden="true" name="_9__123Graph_CCHART_2" vbProcedure="false">#REF!</definedName>
    <definedName function="false" hidden="true" name="_9__123Graph_DCHART_1" vbProcedure="false">#REF!</definedName>
    <definedName function="false" hidden="true" name="_9__123Graph_LBL_ACHART_1" vbProcedure="false">#REF!</definedName>
    <definedName function="false" hidden="true" name="_9__FDSAUDITLINK__" vbProcedure="false">{"fdsup://directions/FAT Viewer?action=UPDATE&amp;creator=factset&amp;DYN_ARGS=TRUE&amp;DOC_NAME=FAT:FQL_AUDITING_CLIENT_TEMPLATE.FAT&amp;display_string=Audit&amp;VAR:KEY=TSJQHGNOBI&amp;VAR:QUERY=RkZfRUJJVF9JQihBTk4sMjAwOSwsLFJGLEVVUik=&amp;WINDOW=FIRST_POPUP&amp;HEIGHT=450&amp;WIDTH=450&amp;STAR","T_MAXIMIZED=FALSE&amp;VAR:CALENDAR=FIVEDAY&amp;VAR:SYMBOL=0&amp;VAR:INDEX=0"}</definedName>
    <definedName function="false" hidden="true" name="_a1" vbProcedure="false">{#N/A,#N/A,FALSE,"Pharm";#N/A,#N/A,FALSE,"WWCM"}</definedName>
    <definedName function="false" hidden="true" name="_A11" vbProcedure="false">{#N/A,#N/A,FALSE,"Umsatz 99";#N/A,#N/A,FALSE,"ER 99 "}</definedName>
    <definedName function="false" hidden="true" name="_a14" vbProcedure="false">{"TAG1AGMS",#N/A,FALSE,"TAG 1A"}</definedName>
    <definedName function="false" hidden="true" name="_a15" vbProcedure="false">{"weichwaren",#N/A,FALSE,"Liste 1";"hartwaren",#N/A,FALSE,"Liste 1";"food",#N/A,FALSE,"Liste 1";"fleisch",#N/A,FALSE,"Liste 1"}</definedName>
    <definedName function="false" hidden="true" name="_a16" vbProcedure="false">{"weichwaren",#N/A,FALSE,"Liste 1";"hartwaren",#N/A,FALSE,"Liste 1";"food",#N/A,FALSE,"Liste 1";"fleisch",#N/A,FALSE,"Liste 1"}</definedName>
    <definedName function="false" hidden="true" name="_a17" vbProcedure="false">{"TAG1AGMS",#N/A,FALSE,"TAG 1A"}</definedName>
    <definedName function="false" hidden="true" name="_a18" vbProcedure="false">{"Tages_D",#N/A,FALSE,"Tagesbericht";"Tages_PL",#N/A,FALSE,"Tagesbericht"}</definedName>
    <definedName function="false" hidden="true" name="_a19" vbProcedure="false">{"fleisch",#N/A,FALSE,"WG HK";"food",#N/A,FALSE,"WG HK";"hartwaren",#N/A,FALSE,"WG HK";"weichwaren",#N/A,FALSE,"WG HK"}</definedName>
    <definedName function="false" hidden="true" name="_a2"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_a3"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_a33" vbProcedure="false">{"fleisch",#N/A,FALSE,"WG HK";"food",#N/A,FALSE,"WG HK";"hartwaren",#N/A,FALSE,"WG HK";"weichwaren",#N/A,FALSE,"WG HK"}</definedName>
    <definedName function="false" hidden="true" name="_a36" vbProcedure="false">{"Accretion",#N/A,FALSE,"Assum"}</definedName>
    <definedName function="false" hidden="true" name="_a37" vbProcedure="false">{#N/A,#N/A,TRUE,"Lines";#N/A,#N/A,TRUE,"Stations";#N/A,#N/A,TRUE,"Cap. Expenses";#N/A,#N/A,TRUE,"Land";#N/A,#N/A,TRUE,"Cen Proces Sys";#N/A,#N/A,TRUE,"telecom";#N/A,#N/A,TRUE,"Other"}</definedName>
    <definedName function="false" hidden="true" name="_a38" vbProcedure="false">{"Assumptions",#N/A,FALSE,"Assum"}</definedName>
    <definedName function="false" hidden="true" name="_a39" vbProcedure="false">{#N/A,#N/A,FALSE,"CAG"}</definedName>
    <definedName function="false" hidden="true" name="_A4" vbProcedure="false">{"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function="false" hidden="true" name="_a40" vbProcedure="false">{#N/A,#N/A,FALSE,"CPB"}</definedName>
    <definedName function="false" hidden="true" name="_a41" vbProcedure="false">{#N/A,#N/A,FALSE,"Credit Summary"}</definedName>
    <definedName function="false" hidden="true" name="_a42" vbProcedure="false">{"FCB_ALL",#N/A,FALSE,"FCB"}</definedName>
    <definedName function="false" hidden="true" name="_a43" vbProcedure="false">{"FCB_ALL",#N/A,FALSE,"FCB"}</definedName>
    <definedName function="false" hidden="true" name="_a44" vbProcedure="false">{#N/A,#N/A,TRUE,"Cover";#N/A,#N/A,TRUE,"Corrections";#N/A,#N/A,TRUE,"Tariffs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function="false" hidden="true" name="_a45" vbProcedure="false">{#N/A,#N/A,FALSE,"GIS"}</definedName>
    <definedName function="false" hidden="true" name="_a46" vbProcedure="false">{#N/A,#N/A,TRUE,"Cover His PWC";#N/A,#N/A,TRUE,"P&amp;L";#N/A,#N/A,TRUE,"BS";#N/A,#N/A,TRUE,"Depreciation";#N/A,#N/A,TRUE,"GRAPHS";#N/A,#N/A,TRUE,"DCF EBITDA Multiple";#N/A,#N/A,TRUE,"DCF Perpetual Growth"}</definedName>
    <definedName function="false" hidden="true" name="_a47" vbProcedure="false">{#N/A,#N/A,TRUE,"Cover His T";#N/A,#N/A,TRUE,"P&amp;L";#N/A,#N/A,TRUE,"BS";#N/A,#N/A,TRUE,"Depreciation";#N/A,#N/A,TRUE,"GRAPHS";#N/A,#N/A,TRUE,"DCF EBITDA Multiple";#N/A,#N/A,TRUE,"DCF Perpetual Growth"}</definedName>
    <definedName function="false" hidden="true" name="_a48" vbProcedure="false">{#N/A,#N/A,FALSE,"HNZ"}</definedName>
    <definedName function="false" hidden="true" name="_a49" vbProcedure="false">{#N/A,#N/A,TRUE,"Cover";#N/A,#N/A,TRUE,"Valuation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function="false" hidden="true" name="_A5" vbProcedure="false">{"andy_p",#N/A,FALSE,"A";"andy_s",#N/A,FALSE,"A"}</definedName>
    <definedName function="false" hidden="true" name="_a50" vbProcedure="false">{#N/A,#N/A,FALSE,"K"}</definedName>
    <definedName function="false" hidden="true" name="_a51" vbProcedure="false">{#N/A,#N/A,TRUE,"Cover";#N/A,#N/A,TRUE,"Tariffs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function="false" hidden="true" name="_a52" vbProcedure="false">{#N/A,#N/A,FALSE,"MCCRK"}</definedName>
    <definedName function="false" hidden="true" name="_a53" vbProcedure="false">{#N/A,#N/A,FALSE,"NA"}</definedName>
    <definedName function="false" hidden="true" name="_a54" vbProcedure="false">{"cap_structure",#N/A,FALSE,"Graph-Mkt Cap";"price",#N/A,FALSE,"Graph-Price";"ebit",#N/A,FALSE,"Graph-EBITDA";"ebitda",#N/A,FALSE,"Graph-EBITDA"}</definedName>
    <definedName function="false" hidden="true" name="_a55" vbProcedure="false">{"Tages_D",#N/A,FALSE,"Tagesbericht";"Tages_PL",#N/A,FALSE,"Tagesbericht"}</definedName>
    <definedName function="false" hidden="true" name="_a56" vbProcedure="false">{"summary1",#N/A,TRUE,"Comps";"summary2",#N/A,TRUE,"Comps";"summary3",#N/A,TRUE,"Comps"}</definedName>
    <definedName function="false" hidden="true" name="_a57" vbProcedure="false">{"summary1",#N/A,TRUE,"Comps";"summary2",#N/A,TRUE,"Comps";"summary3",#N/A,TRUE,"Comps"}</definedName>
    <definedName function="false" hidden="true" name="_a58" vbProcedure="false">{#N/A,"DR",FALSE,"increm pf";#N/A,"MAMSI",FALSE,"increm pf";#N/A,"MAXI",FALSE,"increm pf";#N/A,"PCAM",FALSE,"increm pf";#N/A,"PHSV",FALSE,"increm pf";#N/A,"SIE",FALSE,"increm pf"}</definedName>
    <definedName function="false" hidden="true" name="_a59" vbProcedure="false">{#N/A,"Foundation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function="false" hidden="true" name="_A6" vbProcedure="false">{"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function="false" hidden="true" name="_a60" vbProcedure="false">{#N/A,#N/A,TRUE,"Cover Repl";#N/A,#N/A,TRUE,"P&amp;L";#N/A,#N/A,TRUE,"P&amp;L (2)";#N/A,#N/A,TRUE,"BS";#N/A,#N/A,TRUE,"Depreciation";#N/A,#N/A,TRUE,"GRAPHS";#N/A,#N/A,TRUE,"DCF EBITDA Multiple";#N/A,#N/A,TRUE,"DCF Perpetual Growth"}</definedName>
    <definedName function="false" hidden="true" name="_a61" vbProcedure="false">{#N/A,#N/A,FALSE,"Trading Summary"}</definedName>
    <definedName function="false" hidden="true" name="_a62" vbProcedure="false">{#N/A,#N/A,TRUE,"Cover";#N/A,#N/A,TRUE,"Macro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function="false" hidden="true" name="_a63" vbProcedure="false">{#N/A,#N/A,FALSE,"WWY"}</definedName>
    <definedName function="false" hidden="true" name="_a64"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name="_a65"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name="_a66" vbProcedure="false">{"TAG1AGMS",#N/A,FALSE,"TAG 1A"}</definedName>
    <definedName function="false" hidden="true" name="_a67"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name="_a68"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name="_A7" vbProcedure="false">{"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function="false" hidden="true" name="_A8" vbProcedure="false">{"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function="false" hidden="true" name="_A9" vbProcedure="false">{"SUMM",#N/A,TRUE,"C";"ACT_PROD",#N/A,TRUE,"A";"ACT_SHIP",#N/A,TRUE,"A";"BP_YLD",#N/A,TRUE,"B";"ACTZ_PROD",#N/A,TRUE,"D";"ACTZ_SHIP",#N/A,TRUE,"D";"ACTZ_YLD",#N/A,TRUE,"E";"CPSI_PROD",#N/A,TRUE,"F";"CPSI_SHIP",#N/A,TRUE,"F"}</definedName>
    <definedName function="false" hidden="true" name="_aa1" vbProcedure="false">{#N/A,"PURADD",FALSE,"Business Analysis";#N/A,"PURSPP",FALSE,"Business Analysis";#N/A,"CTGIND",FALSE,"Business Analysis";#N/A,"PURCHM",FALSE,"Business Analysis";#N/A,"SPADD",FALSE,"Business Analysis";#N/A,"EPOXY",FALSE,"Business Analysis";#N/A,"PURPER",FALSE,"Business Analysis"}</definedName>
    <definedName function="false" hidden="true" name="_aa2" vbProcedure="false">{#N/A,#N/A,FALSE,"Hip.Bas";#N/A,#N/A,FALSE,"ventas";#N/A,#N/A,FALSE,"ingre-Año";#N/A,#N/A,FALSE,"ventas-Año";#N/A,#N/A,FALSE,"Costepro";#N/A,#N/A,FALSE,"inversion";#N/A,#N/A,FALSE,"personal";#N/A,#N/A,FALSE,"Gastos-V";#N/A,#N/A,FALSE,"Circulante";#N/A,#N/A,FALSE,"CONSOLI";#N/A,#N/A,FALSE,"Es-Fin";#N/A,#N/A,FALSE,"Margen-P"}</definedName>
    <definedName function="false" hidden="true" name="_aa22" vbProcedure="false">{"Tages_D",#N/A,FALSE,"Tagesbericht";"Tages_PL",#N/A,FALSE,"Tagesbericht"}</definedName>
    <definedName function="false" hidden="true" name="_aa3" vbProcedure="false">{#N/A,#N/A,FALSE,"Hip.Bas";#N/A,#N/A,FALSE,"ventas";#N/A,#N/A,FALSE,"ingre-Año";#N/A,#N/A,FALSE,"ventas-Año";#N/A,#N/A,FALSE,"Costepro";#N/A,#N/A,FALSE,"inversion";#N/A,#N/A,FALSE,"personal";#N/A,#N/A,FALSE,"Gastos-V";#N/A,#N/A,FALSE,"Circulante";#N/A,#N/A,FALSE,"CONSOLI";#N/A,#N/A,FALSE,"Es-Fin";#N/A,#N/A,FALSE,"Margen-P"}</definedName>
    <definedName function="false" hidden="true" name="_aaa1" vbProcedure="false">{#N/A,#N/A,FALSE,"Model";#N/A,#N/A,FALSE,"Division"}</definedName>
    <definedName function="false" hidden="true" name="_aaa2" vbProcedure="false">{#N/A,#N/A,FALSE,"ADNAMES.XLS";#N/A,#N/A,FALSE,"EQNAMES.XLS";#N/A,#N/A,FALSE,"INNAMES.XLS";#N/A,#N/A,FALSE,"HYNAMES.XLS";#N/A,#N/A,FALSE,"FIXNAMES.XLS";#N/A,#N/A,FALSE,"MONNAMES.XLS";#N/A,#N/A,FALSE,"TECNAMES.XLS"}</definedName>
    <definedName function="false" hidden="true" name="_aas1" vbProcedure="false">{#N/A,#N/A,FALSE,"REPORT"}</definedName>
    <definedName function="false" hidden="true" name="_ab098" vbProcedure="false">{#N/A,"PURCHM",FALSE,"Business Analysis";#N/A,"SPADD",FALSE,"Business Analysis"}</definedName>
    <definedName function="false" hidden="true" name="_ab2" vbProcedure="false">{#N/A,#N/A,FALSE,"Cover";#N/A,#N/A,FALSE,"Profits";#N/A,#N/A,FALSE,"ABS";#N/A,#N/A,FALSE,"TFLE Detail";#N/A,#N/A,FALSE,"TFLE Walk";#N/A,#N/A,FALSE,"Variable Cost";#N/A,#N/A,FALSE,"V.C. Walk"}</definedName>
    <definedName function="false" hidden="true" name="_ab3" vbProcedure="false">{#N/A,#N/A,FALSE,"Profit Status";#N/A,#N/A,FALSE,"Invest";#N/A,#N/A,FALSE,"Revenue";#N/A,#N/A,FALSE,"Variable Cost";#N/A,#N/A,FALSE,"Options &amp; Series"}</definedName>
    <definedName function="false" hidden="true" name="_abc" vbProcedure="false">#REF!</definedName>
    <definedName function="false" hidden="true" name="_abc098" vbProcedure="false">{#N/A,"PURCHM",FALSE,"Business Analysis";#N/A,"SPADD",FALSE,"Business Analysis"}</definedName>
    <definedName function="false" hidden="true" name="_abc1" vbProcedure="false">{"detail",#N/A,FALSE,"mfg";"summary",#N/A,FALSE,"mfg"}</definedName>
    <definedName function="false" hidden="true" name="_abc10" vbProcedure="false">{"detail",#N/A,FALSE,"mfg";"summary",#N/A,FALSE,"mfg"}</definedName>
    <definedName function="false" hidden="true" name="_abc101" vbProcedure="false">{"detail",#N/A,FALSE,"mfg";"summary",#N/A,FALSE,"mfg"}</definedName>
    <definedName function="false" hidden="true" name="_abc102" vbProcedure="false">{"detail",#N/A,FALSE,"mfg";"summary",#N/A,FALSE,"mfg"}</definedName>
    <definedName function="false" hidden="true" name="_abc105" vbProcedure="false">{"detail",#N/A,FALSE,"mfg";"summary",#N/A,FALSE,"mfg"}</definedName>
    <definedName function="false" hidden="true" name="_abc1082" vbProcedure="false">{"detail",#N/A,FALSE,"mfg";"summary",#N/A,FALSE,"mfg"}</definedName>
    <definedName function="false" hidden="true" name="_abc11" vbProcedure="false">{"detail",#N/A,FALSE,"mfg";"summary",#N/A,FALSE,"mfg"}</definedName>
    <definedName function="false" hidden="true" name="_abc115" vbProcedure="false">{"detail",#N/A,FALSE,"mfg";"summary",#N/A,FALSE,"mfg"}</definedName>
    <definedName function="false" hidden="true" name="_abc12" vbProcedure="false">{"detail",#N/A,FALSE,"mfg";"summary",#N/A,FALSE,"mfg"}</definedName>
    <definedName function="false" hidden="true" name="_abc1234" vbProcedure="false">{#N/A,"PURCHM",FALSE,"Business Analysis";#N/A,"SPADD",FALSE,"Business Analysis"}</definedName>
    <definedName function="false" hidden="true" name="_abc125" vbProcedure="false">{"detail",#N/A,FALSE,"mfg";"summary",#N/A,FALSE,"mfg"}</definedName>
    <definedName function="false" hidden="true" name="_abc13" vbProcedure="false">{"detail",#N/A,FALSE,"mfg";"summary",#N/A,FALSE,"mfg"}</definedName>
    <definedName function="false" hidden="true" name="_abc1325" vbProcedure="false">{"detail",#N/A,FALSE,"mfg";"summary",#N/A,FALSE,"mfg"}</definedName>
    <definedName function="false" hidden="true" name="_abc14" vbProcedure="false">{"detail",#N/A,FALSE,"mfg";"summary",#N/A,FALSE,"mfg"}</definedName>
    <definedName function="false" hidden="true" name="_abc1425" vbProcedure="false">{"detail",#N/A,FALSE,"mfg";"summary",#N/A,FALSE,"mfg"}</definedName>
    <definedName function="false" hidden="true" name="_abc2" vbProcedure="false">{"detail",#N/A,FALSE,"mfg";"summary",#N/A,FALSE,"mfg"}</definedName>
    <definedName function="false" hidden="true" name="_abc200" vbProcedure="false">{"detail",#N/A,FALSE,"mfg";"summary",#N/A,FALSE,"mfg"}</definedName>
    <definedName function="false" hidden="true" name="_abc2005" vbProcedure="false">{#N/A,"PURCHM",FALSE,"Business Analysis";#N/A,"SPADD",FALSE,"Business Analysis"}</definedName>
    <definedName function="false" hidden="true" name="_abc201" vbProcedure="false">{"detail",#N/A,FALSE,"mfg";"summary",#N/A,FALSE,"mfg"}</definedName>
    <definedName function="false" hidden="true" name="_abc202" vbProcedure="false">{"detail",#N/A,FALSE,"mfg";"summary",#N/A,FALSE,"mfg"}</definedName>
    <definedName function="false" hidden="true" name="_abc2054" vbProcedure="false">{"detail",#N/A,FALSE,"mfg";"summary",#N/A,FALSE,"mfg"}</definedName>
    <definedName function="false" hidden="true" name="_abc212" vbProcedure="false">{"detail",#N/A,FALSE,"mfg";"summary",#N/A,FALSE,"mfg"}</definedName>
    <definedName function="false" hidden="true" name="_abc212450" vbProcedure="false">{"detail",#N/A,FALSE,"mfg";"summary",#N/A,FALSE,"mfg"}</definedName>
    <definedName function="false" hidden="true" name="_abc23" vbProcedure="false">{"detail",#N/A,FALSE,"mfg";"summary",#N/A,FALSE,"mfg"}</definedName>
    <definedName function="false" hidden="true" name="_abc24" vbProcedure="false">{"detail",#N/A,FALSE,"mfg";"summary",#N/A,FALSE,"mfg"}</definedName>
    <definedName function="false" hidden="true" name="_abc25" vbProcedure="false">{"detail",#N/A,FALSE,"mfg";"summary",#N/A,FALSE,"mfg"}</definedName>
    <definedName function="false" hidden="true" name="_abc26" vbProcedure="false">{"detail",#N/A,FALSE,"mfg";"summary",#N/A,FALSE,"mfg"}</definedName>
    <definedName function="false" hidden="true" name="_abc289" vbProcedure="false">{"detail",#N/A,FALSE,"mfg";"summary",#N/A,FALSE,"mfg"}</definedName>
    <definedName function="false" hidden="true" name="_abc3" vbProcedure="false">{"detail",#N/A,FALSE,"mfg";"summary",#N/A,FALSE,"mfg"}</definedName>
    <definedName function="false" hidden="true" name="_abc31" vbProcedure="false">{"detail",#N/A,FALSE,"mfg";"summary",#N/A,FALSE,"mfg"}</definedName>
    <definedName function="false" hidden="true" name="_abc312" vbProcedure="false">{"detail",#N/A,FALSE,"mfg";"summary",#N/A,FALSE,"mfg"}</definedName>
    <definedName function="false" hidden="true" name="_abc315" vbProcedure="false">{"detail",#N/A,FALSE,"mfg";"summary",#N/A,FALSE,"mfg"}</definedName>
    <definedName function="false" hidden="true" name="_abc316" vbProcedure="false">{"detail",#N/A,FALSE,"mfg";"summary",#N/A,FALSE,"mfg"}</definedName>
    <definedName function="false" hidden="true" name="_abc32" vbProcedure="false">{"detail",#N/A,FALSE,"mfg";"summary",#N/A,FALSE,"mfg"}</definedName>
    <definedName function="false" hidden="true" name="_abc3216" vbProcedure="false">{"detail",#N/A,FALSE,"mfg";"summary",#N/A,FALSE,"mfg"}</definedName>
    <definedName function="false" hidden="true" name="_abc35" vbProcedure="false">{"detail",#N/A,FALSE,"mfg";"summary",#N/A,FALSE,"mfg"}</definedName>
    <definedName function="false" hidden="true" name="_abc36" vbProcedure="false">{"detail",#N/A,FALSE,"mfg";"summary",#N/A,FALSE,"mfg"}</definedName>
    <definedName function="false" hidden="true" name="_abc37" vbProcedure="false">{"detail",#N/A,FALSE,"mfg";"summary",#N/A,FALSE,"mfg"}</definedName>
    <definedName function="false" hidden="true" name="_abc38" vbProcedure="false">{"detail",#N/A,FALSE,"mfg";"summary",#N/A,FALSE,"mfg"}</definedName>
    <definedName function="false" hidden="true" name="_ABC41" vbProcedure="false">{"detail",#N/A,FALSE,"mfg";"summary",#N/A,FALSE,"mfg"}</definedName>
    <definedName function="false" hidden="true" name="_abc42" vbProcedure="false">{"detail",#N/A,FALSE,"mfg";"summary",#N/A,FALSE,"mfg"}</definedName>
    <definedName function="false" hidden="true" name="_abc51" vbProcedure="false">{"detail",#N/A,FALSE,"mfg";"summary",#N/A,FALSE,"mfg"}</definedName>
    <definedName function="false" hidden="true" name="_abc61" vbProcedure="false">{"detail",#N/A,FALSE,"mfg";"summary",#N/A,FALSE,"mfg"}</definedName>
    <definedName function="false" hidden="true" name="_abc71" vbProcedure="false">{"detail",#N/A,FALSE,"mfg";"summary",#N/A,FALSE,"mfg"}</definedName>
    <definedName function="false" hidden="true" name="_abc7884" vbProcedure="false">{"detail",#N/A,FALSE,"mfg";"summary",#N/A,FALSE,"mfg"}</definedName>
    <definedName function="false" hidden="true" name="_abe1" vbProcedure="false">{"GuVGmbH",#N/A,FALSE,"ratios";"BilanzGmbH",#N/A,FALSE,"ratios";"BilanzKG",#N/A,FALSE,"ratios";"GuVKG",#N/A,FALSE,"ratios"}</definedName>
    <definedName function="false" hidden="true" name="_abx111" vbProcedure="false">{"fdsup://directions/FAT Viewer?action=UPDATE&amp;creator=factset&amp;DYN_ARGS=TRUE&amp;DOC_NAME=FAT:FQL_AUDITING_CLIENT_TEMPLATE.FAT&amp;display_string=Audit&amp;VAR:KEY=HCBUTCRKZM&amp;VAR:QUERY=RkZfRUJJVERBKENBTCwyMDA4LCwsLEVVUik=&amp;WINDOW=FIRST_POPUP&amp;HEIGHT=450&amp;WIDTH=450&amp;START_MA","XIMIZED=FALSE&amp;VAR:CALENDAR=FIVEDAY&amp;VAR:SYMBOL=646706&amp;VAR:INDEX=0"}</definedName>
    <definedName function="false" hidden="true" name="_ACS2000" vbProcedure="false">{#N/A,#N/A,FALSE,"REPORT"}</definedName>
    <definedName function="false" hidden="true" name="_ads2" vbProcedure="false">{#N/A,#N/A,TRUE,"Cover";#N/A,#N/A,TRUE,"Input Fidelity P&amp;L";#N/A,#N/A,TRUE,"Total Fidelity Trend Charts";#N/A,#N/A,TRUE,"YTD Flows";#N/A,#N/A,TRUE,"FPI Activity";#N/A,#N/A,TRUE,"YTD P&amp;L FPI";#N/A,#N/A,TRUE,"FPI P&amp;L Trend Charts";#N/A,#N/A,TRUE,"YTD P&amp;L by Div";#N/A,#N/A,TRUE,"Revenue Graphs";#N/A,#N/A,TRUE,"Expense Graphs";#N/A,#N/A,TRUE,"Headcount by Month";#N/A,#N/A,TRUE,"YTD Headcount";#N/A,#N/A,TRUE,"Input Promo";#N/A,#N/A,TRUE,"Systems";#N/A,#N/A,TRUE,"App'vd Variance";#N/A,#N/A,TRUE,"flothru";#N/A,#N/A,TRUE,"Appendix";#N/A,#N/A,TRUE,"Assumptions";#N/A,#N/A,TRUE,"P&amp;L Proj - Current YR - BASE";#N/A,#N/A,TRUE,"YTD Exp TOTPI";#N/A,#N/A,TRUE,"YTD Exp PWMG";#N/A,#N/A,TRUE,"YTD Exp CORE";#N/A,#N/A,TRUE,"YTD Exp PTS";#N/A,#N/A,TRUE,"YTD Exp CM&amp;D";#N/A,#N/A,TRUE,"YTD Exp FRB";#N/A,#N/A,TRUE,"YTD Exp RTA";#N/A,#N/A,TRUE,"YTD Exp DNS";#N/A,#N/A,TRUE,"YTD Exp RRS"}</definedName>
    <definedName function="false" hidden="true" name="_ae2" vbProcedure="false">{"'Inventory &amp; Anal-Cur Wkbk'!$A$7:$AP$71"}</definedName>
    <definedName function="false" hidden="true" name="_age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ALL6434" vbProcedure="false">{"ALLOCATION1",#N/A,FALSE,"EXPENSE ALLOCATIONS";"ALLOCATION2",#N/A,FALSE,"EXPENSE ALLOCATIONS";"ALLOCATION3",#N/A,FALSE,"EXPENSE ALLOCATIONS";"ALLOCATION4",#N/A,FALSE,"EXPENSE ALLOCATIONS"}</definedName>
    <definedName function="false" hidden="true" name="_AMO_ContentDefinition_247660852" vbProcedure="false">"'Partitions:51'"</definedName>
    <definedName function="false" hidden="true" name="_AMO_ContentDefinition_247660852.1" vbProcedure="false">"'iles\SASHome\x86\SASAddinforMicrosoftOffice\5.1\Styles\AMODefault.css"" range=""SASApp_FECDL_DS_WB_REVENUE_3"" auto=""False"" xTime=""00:00:00.0200000"" rTime=""00:00:09.5300000"" bgnew=""False"" nFmt=""False"" grphSet=""False"" imgY=""0"" imgX=""0""&gt;'"</definedName>
    <definedName function="false" hidden="true" name="_AMO_ContentDefinition_247660852.10" vbProcedure="false">"'amp;gt;&amp;amp;lt;RightHandSideNumType&amp;amp;gt;SINGLE&amp;amp;lt;/RightHandSideNumType&amp;amp;gt;&amp;amp;lt;RightHandSideItems&amp;amp;gt;&amp;amp;lt;RHSItem&amp;amp;gt;&amp;amp;lt;RHSType&amp;amp;gt;EXPRESSION&amp;amp;lt;/RHSType&amp;amp;gt;&amp;amp;lt;AddQuotes&amp;amp;gt;True&amp;amp;lt;/AddQuotes&amp;amp'"</definedName>
    <definedName function="false" hidden="true" name="_AMO_ContentDefinition_247660852.11" vbProcedure="false">"';gt;&amp;amp;lt;DateFormat&amp;amp;gt;None&amp;amp;lt;/DateFormat&amp;amp;gt;&amp;amp;lt;RightHandSideExpression&amp;amp;gt;Motor Carriers&amp;amp;lt;/RightHandSideExpression&amp;amp;gt;&amp;amp;lt;IsSubquery&amp;amp;gt;False&amp;amp;lt;/IsSubquery&amp;amp;gt;&amp;amp;lt;SubqueryTemplateName /&amp;amp;gt;&amp;'"</definedName>
    <definedName function="false" hidden="true" name="_AMO_ContentDefinition_247660852.12" vbProcedure="false">"'amp;lt;/RHSItem&amp;amp;gt;&amp;amp;lt;/RightHandSideItems&amp;amp;gt;&amp;amp;lt;/RightHandSide&amp;amp;gt;&amp;amp;lt;/Node&amp;amp;gt;&amp;amp;lt;/SiblingLink&amp;amp;gt;&amp;amp;lt;Operator&amp;amp;gt;=&amp;amp;lt;/Operator&amp;amp;gt;&amp;amp;lt;UseMacroFunction&amp;amp;gt;False&amp;amp;lt;/UseMacroFunction&amp;a'"</definedName>
    <definedName function="false" hidden="true" name="_AMO_ContentDefinition_247660852.13" vbProcedure="false">"'mp;gt;&amp;amp;lt;Not&amp;amp;gt;False&amp;amp;lt;/Not&amp;amp;gt;&amp;amp;lt;Label /&amp;amp;gt;&amp;amp;lt;RightHandSide&amp;amp;gt;&amp;amp;lt;RightHandSideNumType&amp;amp;gt;SINGLE&amp;amp;lt;/RightHandSideNumType&amp;amp;gt;&amp;amp;lt;RightHandSideItems&amp;amp;gt;&amp;amp;lt;RHSItem&amp;amp;gt;&amp;amp;lt;RHSTy'"</definedName>
    <definedName function="false" hidden="true" name="_AMO_ContentDefinition_247660852.14" vbProcedure="false">"'pe&amp;amp;gt;EXPRESSION&amp;amp;lt;/RHSType&amp;amp;gt;&amp;amp;lt;AddQuotes&amp;amp;gt;True&amp;amp;lt;/AddQuotes&amp;amp;gt;&amp;amp;lt;DateFormat&amp;amp;gt;None&amp;amp;lt;/DateFormat&amp;amp;gt;&amp;amp;lt;RightHandSideExpression&amp;amp;gt;Intermodal&amp;amp;lt;/RightHandSideExpression&amp;amp;gt;&amp;amp;l'"</definedName>
    <definedName function="false" hidden="true" name="_AMO_ContentDefinition_247660852.15" vbProcedure="false">"'t;IsSubquery&amp;amp;gt;False&amp;amp;lt;/IsSubquery&amp;amp;gt;&amp;amp;lt;SubqueryTemplateName /&amp;amp;gt;&amp;amp;lt;/RHSItem&amp;amp;gt;&amp;amp;lt;/RightHandSideItems&amp;amp;gt;&amp;amp;lt;/RightHandSide&amp;amp;gt;&amp;amp;lt;/Node&amp;amp;gt;&amp;amp;lt;/SiblingLink&amp;amp;gt;&amp;amp;lt;Operator&amp;amp;gt'"</definedName>
    <definedName function="false" hidden="true" name="_AMO_ContentDefinition_247660852.16" vbProcedure="false">"';=&amp;amp;lt;/Operator&amp;amp;gt;&amp;amp;lt;UseMacroFunction&amp;amp;gt;False&amp;amp;lt;/UseMacroFunction&amp;amp;gt;&amp;amp;lt;Not&amp;amp;gt;False&amp;amp;lt;/Not&amp;amp;gt;&amp;amp;lt;Label /&amp;amp;gt;&amp;amp;lt;RightHandSide&amp;amp;gt;&amp;amp;lt;RightHandSideNumType&amp;amp;gt;SINGLE&amp;amp;lt;/RightHa'"</definedName>
    <definedName function="false" hidden="true" name="_AMO_ContentDefinition_247660852.17" vbProcedure="false">"'ndSideNumType&amp;amp;gt;&amp;amp;lt;RightHandSideItems&amp;amp;gt;&amp;amp;lt;RHSItem&amp;amp;gt;&amp;amp;lt;RHSType&amp;amp;gt;EXPRESSION&amp;amp;lt;/RHSType&amp;amp;gt;&amp;amp;lt;AddQuotes&amp;amp;gt;True&amp;amp;lt;/AddQuotes&amp;amp;gt;&amp;amp;lt;DateFormat&amp;amp;gt;None&amp;amp;lt;/DateFormat&amp;amp;gt;&amp;amp'"</definedName>
    <definedName function="false" hidden="true" name="_AMO_ContentDefinition_247660852.18" vbProcedure="false">"';lt;RightHandSideExpression&amp;amp;gt;2015&amp;amp;lt;/RightHandSideExpression&amp;amp;gt;&amp;amp;lt;IsSubquery&amp;amp;gt;False&amp;amp;lt;/IsSubquery&amp;amp;gt;&amp;amp;lt;SubqueryTemplateName /&amp;amp;gt;&amp;amp;lt;/RHSItem&amp;amp;gt;&amp;amp;lt;/RightHandSideItems&amp;amp;gt;&amp;amp;lt;/RightHan'"</definedName>
    <definedName function="false" hidden="true" name="_AMO_ContentDefinition_247660852.2" vbProcedure="false">"'_x005F_x000D_
  &lt;files /&gt;_x005F_x000D_
  &lt;parents /&gt;_x005F_x000D_
  &lt;children /&gt;_x005F_x000D_
  &lt;param n=""DisplayName"" v=""SASApp:FECDL.DS_WB_REVENUE"" /&gt;_x005F_x000D_
  &lt;param n=""DisplayType"" v=""PivotTable"" /&gt;_x005F_x000D_
  &lt;param n=""AMO_Version"" v=""5.1"" /&gt;_x005F_x000D_
  &lt;param n=""DataSourceType"" v=""SAS DATASET"" /&gt;_x005F_x000D_'"</definedName>
    <definedName function="false" hidden="true" name="_AMO_ContentDefinition_247660852.3" vbProcedure="false">"'
  &lt;param n=""DataSource"" v=""&amp;lt;SasDataSource Version=&amp;quot;4.2&amp;quot; Type=&amp;quot;SAS.Servers.Dataset&amp;quot; Svr=&amp;quot;SASApp&amp;quot; Lib=&amp;quot;FECDL&amp;quot; Filter=&amp;quot;Year = '2015' AND TransportMethod = 'Intermodal' AND BusinessSegment = 'Motor Carri'"</definedName>
    <definedName function="false" hidden="true" name="_AMO_ContentDefinition_247660852.4" vbProcedure="false">"'ers'&amp;quot; FilterDS=&amp;quot;&amp;amp;lt;?xml version=&amp;amp;quot;1.0&amp;amp;quot; encoding=&amp;amp;quot;utf-16&amp;amp;quot;?&amp;amp;gt;&amp;amp;lt;FilterTree&amp;amp;gt;&amp;amp;lt;TreeRoot&amp;amp;gt;&amp;amp;lt;ID&amp;amp;gt;2194bfad-931f-4366-83c4-0dff9e587708&amp;amp;lt;/ID&amp;amp;gt;&amp;amp;lt;Filte'"</definedName>
    <definedName function="false" hidden="true" name="_AMO_ContentDefinition_247660852.49" vbProcedure="false">"'ieldsList"" v=""Sum of Units,Sum of LineHaul"" /&gt;_x005F_x000D_
  &lt;param n=""ClassName"" v=""SAS.OfficeAddin.PivotTable"" /&gt;_x005F_x000D_
  &lt;param n=""NamedRange"" v=""_AMO_SingleObject_247660852_PivotTable_247660852"" /&gt;_x005F_x000D_
  &lt;ExcelXMLOptions AdjColWidths=""True"" RowOpt=""In'"</definedName>
    <definedName function="false" hidden="true" name="_AMO_ContentDefinition_247660852.5" vbProcedure="false">"'rType&amp;amp;gt;COLUMN&amp;amp;lt;/FilterType&amp;amp;gt;&amp;amp;lt;TableID /&amp;amp;gt;&amp;amp;lt;ColumnName&amp;amp;gt;Year&amp;amp;lt;/ColumnName&amp;amp;gt;&amp;amp;lt;ColumnType&amp;amp;gt;Character&amp;amp;lt;/ColumnType&amp;amp;gt;&amp;amp;lt;GroupLevel /&amp;amp;gt;&amp;amp;lt;SiblingLink&amp;amp;gt;&amp;amp;l'"</definedName>
    <definedName function="false" hidden="true" name="_AMO_ContentDefinition_247660852.50" vbProcedure="false">"'sertEntire"" ColOpt=""InsertCells"" /&gt;_x005F_x000D_
&lt;/ContentDefinition&gt;'"</definedName>
    <definedName function="false" hidden="true" name="_AMO_ContentDefinition_247660852.6" vbProcedure="false">"'t;LinkType&amp;amp;gt;AND&amp;amp;lt;/LinkType&amp;amp;gt;&amp;amp;lt;Node&amp;amp;gt;&amp;amp;lt;ID&amp;amp;gt;3c3c60b5-ce3c-4a6c-b0f5-eb8d5a33fe77&amp;amp;lt;/ID&amp;amp;gt;&amp;amp;lt;FilterType&amp;amp;gt;COLUMN&amp;amp;lt;/FilterType&amp;amp;gt;&amp;amp;lt;TableID /&amp;amp;gt;&amp;amp;lt;ColumnName&amp;amp;gt;Tr'"</definedName>
    <definedName function="false" hidden="true" name="_AMO_ContentDefinition_247660852.7" vbProcedure="false">"'ansportMethod&amp;amp;lt;/ColumnName&amp;amp;gt;&amp;amp;lt;ColumnType&amp;amp;gt;Character&amp;amp;lt;/ColumnType&amp;amp;gt;&amp;amp;lt;GroupLevel /&amp;amp;gt;&amp;amp;lt;SiblingLink&amp;amp;gt;&amp;amp;lt;LinkType&amp;amp;gt;AND&amp;amp;lt;/LinkType&amp;amp;gt;&amp;amp;lt;Node&amp;amp;gt;&amp;amp;lt;ID&amp;amp;gt;e422'"</definedName>
    <definedName function="false" hidden="true" name="_AMO_ContentDefinition_247660852.8" vbProcedure="false">"'ad42-6ae1-4401-9092-e4e90cdbc6e4&amp;amp;lt;/ID&amp;amp;gt;&amp;amp;lt;FilterType&amp;amp;gt;COLUMN&amp;amp;lt;/FilterType&amp;amp;gt;&amp;amp;lt;TableID /&amp;amp;gt;&amp;amp;lt;ColumnName&amp;amp;gt;BusinessSegment&amp;amp;lt;/ColumnName&amp;amp;gt;&amp;amp;lt;ColumnType&amp;amp;gt;Character&amp;amp;lt;/Colu'"</definedName>
    <definedName function="false" hidden="true" name="_AMO_ContentDefinition_247660852.9" vbProcedure="false">"'mnType&amp;amp;gt;&amp;amp;lt;GroupLevel /&amp;amp;gt;&amp;amp;lt;Operator&amp;amp;gt;=&amp;amp;lt;/Operator&amp;amp;gt;&amp;amp;lt;UseMacroFunction&amp;amp;gt;False&amp;amp;lt;/UseMacroFunction&amp;amp;gt;&amp;amp;lt;Not&amp;amp;gt;False&amp;amp;lt;/Not&amp;amp;gt;&amp;amp;lt;Label /&amp;amp;gt;&amp;amp;lt;RightHandSide&amp;'"</definedName>
    <definedName function="false" hidden="true" name="_AMO_ContentDefinition_682937942" vbProcedure="false">"'Partitions:13'"</definedName>
    <definedName function="false" hidden="true" name="_AMO_ContentDefinition_682937942.1" vbProcedure="false">"'iles\SASHome\x86\SASAddinforMicrosoftOffice\5.1\Styles\AMODefault.css"" range=""SASApp_FECDL_DS_WB_REVENUE_2"" auto=""False"" xTime=""00:00:00"" rTime=""00:00:57.0700000"" bgnew=""False"" nFmt=""False"" grphSet=""False"" imgY=""0"" imgX=""0""&gt;_x005F_x000D_
  &lt;fil'"</definedName>
    <definedName function="false" hidden="true" name="_AMO_ContentDefinition_682937942.11" vbProcedure="false">"'sDataSource&amp;gt;"" /&gt;_x005F_x000D_
  &lt;param n=""ServerName"" v=""SASApp"" /&gt;_x005F_x000D_
  &lt;param n=""SASFilter"" v=""Year = '2015'"" /&gt;_x005F_x000D_
  &lt;param n=""DataFieldsList"" v=""Sum of Units,Sum of LineHaul"" /&gt;_x005F_x000D_
  &lt;param n=""ClassName"" v=""SAS.OfficeAddin.PivotTable"" /&gt;_x005F_x000D_
  &lt;p'"</definedName>
    <definedName function="false" hidden="true" name="_AMO_ContentDefinition_682937942.12" vbProcedure="false">"'aram n=""NamedRange"" v=""_AMO_SingleObject_682937942_PivotTable_682937942"" /&gt;_x005F_x000D_
  &lt;ExcelXMLOptions AdjColWidths=""True"" RowOpt=""InsertEntire"" ColOpt=""InsertCells"" /&gt;_x005F_x000D_
&lt;/ContentDefinition&gt;'"</definedName>
    <definedName function="false" hidden="true" name="_AMO_ContentDefinition_682937942.2" vbProcedure="false">"'es /&gt;_x005F_x000D_
  &lt;parents /&gt;_x005F_x000D_
  &lt;children /&gt;_x005F_x000D_
  &lt;param n=""DisplayName"" v=""SASApp:FECDL.DS_WB_REVENUE"" /&gt;_x005F_x000D_
  &lt;param n=""DisplayType"" v=""PivotTable"" /&gt;_x005F_x000D_
  &lt;param n=""AMO_Version"" v=""5.1"" /&gt;_x005F_x000D_
  &lt;param n=""DataSourceType"" v=""SAS DATASET"" /&gt;_x005F_x000D_
  &lt;par'"</definedName>
    <definedName function="false" hidden="true" name="_AMO_ContentDefinition_682937942.3" vbProcedure="false">"'am n=""DataSource"" v=""&amp;lt;SasDataSource Version=&amp;quot;4.2&amp;quot; Type=&amp;quot;SAS.Servers.Dataset&amp;quot; Svr=&amp;quot;SASApp&amp;quot; Lib=&amp;quot;FECDL&amp;quot; Filter=&amp;quot;Year = '2015'&amp;quot; FilterDS=&amp;quot;&amp;amp;lt;?xml version=&amp;amp;quot;1.0&amp;amp;quot; encoding=&amp;'"</definedName>
    <definedName function="false" hidden="true" name="_AMO_ContentDefinition_682937942.4" vbProcedure="false">"'amp;quot;utf-16&amp;amp;quot;?&amp;amp;gt;&amp;amp;lt;FilterTree&amp;amp;gt;&amp;amp;lt;TreeRoot&amp;amp;gt;&amp;amp;lt;ID&amp;amp;gt;a3eea8cd-91df-4e41-8ff3-670fc1487cdf&amp;amp;lt;/ID&amp;amp;gt;&amp;amp;lt;FilterType&amp;amp;gt;COLUMN&amp;amp;lt;/FilterType&amp;amp;gt;&amp;amp;lt;TableID /&amp;amp;gt;&amp;amp;lt;Co'"</definedName>
    <definedName function="false" hidden="true" name="_AMO_ContentDefinition_682937942.5" vbProcedure="false">"'lumnName&amp;amp;gt;Year&amp;amp;lt;/ColumnName&amp;amp;gt;&amp;amp;lt;ColumnType&amp;amp;gt;Character&amp;amp;lt;/ColumnType&amp;amp;gt;&amp;amp;lt;GroupLevel /&amp;amp;gt;&amp;amp;lt;Operator&amp;amp;gt;=&amp;amp;lt;/Operator&amp;amp;gt;&amp;amp;lt;UseMacroFunction&amp;amp;gt;False&amp;amp;lt;/UseMacroFunction&amp;a'"</definedName>
    <definedName function="false" hidden="true" name="_AMO_ContentDefinition_682937942.6" vbProcedure="false">"'mp;gt;&amp;amp;lt;Not&amp;amp;gt;False&amp;amp;lt;/Not&amp;amp;gt;&amp;amp;lt;Label /&amp;amp;gt;&amp;amp;lt;RightHandSide&amp;amp;gt;&amp;amp;lt;RightHandSideNumType&amp;amp;gt;SINGLE&amp;amp;lt;/RightHandSideNumType&amp;amp;gt;&amp;amp;lt;RightHandSideItems&amp;amp;gt;&amp;amp;lt;RHSItem&amp;amp;gt;&amp;amp;lt;RHSTy'"</definedName>
    <definedName function="false" hidden="true" name="_AMO_ContentDefinition_682937942.7" vbProcedure="false">"'pe&amp;amp;gt;EXPRESSION&amp;amp;lt;/RHSType&amp;amp;gt;&amp;amp;lt;AddQuotes&amp;amp;gt;True&amp;amp;lt;/AddQuotes&amp;amp;gt;&amp;amp;lt;DateFormat&amp;amp;gt;None&amp;amp;lt;/DateFormat&amp;amp;gt;&amp;amp;lt;RightHandSideExpression&amp;amp;gt;2015&amp;amp;lt;/RightHandSideExpression&amp;amp;gt;&amp;amp;lt;IsSu'"</definedName>
    <definedName function="false" hidden="true" name="_AMO_ContentDefinition_682937942.8" vbProcedure="false">"'bquery&amp;amp;gt;False&amp;amp;lt;/IsSubquery&amp;amp;gt;&amp;amp;lt;SubqueryTemplateName /&amp;amp;gt;&amp;amp;lt;/RHSItem&amp;amp;gt;&amp;amp;lt;/RightHandSideItems&amp;amp;gt;&amp;amp;lt;/RightHandSide&amp;amp;gt;&amp;amp;lt;/TreeRoot&amp;amp;gt;&amp;amp;lt;/FilterTree&amp;amp;gt;&amp;quot; ColSelFlg=&amp;quot;0&amp;q'"</definedName>
    <definedName function="false" hidden="true" name="_AMO_ContentDefinition_972960867" vbProcedure="false">"'Partitions:49'"</definedName>
    <definedName function="false" hidden="true" name="_AMO_ContentDefinition_972960867.1" vbProcedure="false">"'iles\SASHome\x86\SASAddinforMicrosoftOffice\5.1\Styles\AMODefault.css"" range=""SASApp_FECDL_DS_WB_REVENUE"" auto=""False"" xTime=""00:00:00"" rTime=""00:00:12.7005080"" bgnew=""False"" nFmt=""False"" grphSet=""False"" imgY=""0"" imgX=""0""&gt;_x005F_x000D_
  &lt;files'"</definedName>
    <definedName function="false" hidden="true" name="_AMO_ContentDefinition_972960867.10" vbProcedure="false">"';lt;/ColumnName&amp;amp;gt;&amp;amp;lt;ColumnType&amp;amp;gt;Character&amp;amp;lt;/ColumnType&amp;amp;gt;&amp;amp;lt;GroupLevel /&amp;amp;gt;&amp;amp;lt;Operator&amp;amp;gt;=&amp;amp;lt;/Operator&amp;amp;gt;&amp;amp;lt;UseMacroFunction&amp;amp;gt;False&amp;amp;lt;/UseMacroFunction&amp;amp;gt;&amp;amp;lt;Not&amp;amp;gt'"</definedName>
    <definedName function="false" hidden="true" name="_AMO_ContentDefinition_972960867.11" vbProcedure="false">"';False&amp;amp;lt;/Not&amp;amp;gt;&amp;amp;lt;Label /&amp;amp;gt;&amp;amp;lt;RightHandSide&amp;amp;gt;&amp;amp;lt;RightHandSideNumType&amp;amp;gt;SINGLE&amp;amp;lt;/RightHandSideNumType&amp;amp;gt;&amp;amp;lt;RightHandSideItems&amp;amp;gt;&amp;amp;lt;RHSItem&amp;amp;gt;&amp;amp;lt;RHSType&amp;amp;gt;EXPRESSION&amp;amp'"</definedName>
    <definedName function="false" hidden="true" name="_AMO_ContentDefinition_972960867.12" vbProcedure="false">"';lt;/RHSType&amp;amp;gt;&amp;amp;lt;AddQuotes&amp;amp;gt;True&amp;amp;lt;/AddQuotes&amp;amp;gt;&amp;amp;lt;DateFormat&amp;amp;gt;None&amp;amp;lt;/DateFormat&amp;amp;gt;&amp;amp;lt;RightHandSideExpression&amp;amp;gt;International Shippers&amp;amp;lt;/RightHandSideExpression&amp;amp;gt;&amp;amp;lt;IsSubquery'"</definedName>
    <definedName function="false" hidden="true" name="_AMO_ContentDefinition_972960867.13" vbProcedure="false">"'&amp;amp;gt;False&amp;amp;lt;/IsSubquery&amp;amp;gt;&amp;amp;lt;SubqueryTemplateName /&amp;amp;gt;&amp;amp;lt;/RHSItem&amp;amp;gt;&amp;amp;lt;/RightHandSideItems&amp;amp;gt;&amp;amp;lt;/RightHandSide&amp;amp;gt;&amp;amp;lt;/Node&amp;amp;gt;&amp;amp;lt;/SiblingLink&amp;amp;gt;&amp;amp;lt;Operator&amp;amp;gt;=&amp;amp;lt;/O'"</definedName>
    <definedName function="false" hidden="true" name="_AMO_ContentDefinition_972960867.14" vbProcedure="false">"'perator&amp;amp;gt;&amp;amp;lt;UseMacroFunction&amp;amp;gt;False&amp;amp;lt;/UseMacroFunction&amp;amp;gt;&amp;amp;lt;Not&amp;amp;gt;False&amp;amp;lt;/Not&amp;amp;gt;&amp;amp;lt;Label /&amp;amp;gt;&amp;amp;lt;RightHandSide&amp;amp;gt;&amp;amp;lt;RightHandSideNumType&amp;amp;gt;SINGLE&amp;amp;lt;/RightHandSideNumTyp'"</definedName>
    <definedName function="false" hidden="true" name="_AMO_ContentDefinition_972960867.15" vbProcedure="false">"'e&amp;amp;gt;&amp;amp;lt;RightHandSideItems&amp;amp;gt;&amp;amp;lt;RHSItem&amp;amp;gt;&amp;amp;lt;RHSType&amp;amp;gt;EXPRESSION&amp;amp;lt;/RHSType&amp;amp;gt;&amp;amp;lt;AddQuotes&amp;amp;gt;True&amp;amp;lt;/AddQuotes&amp;amp;gt;&amp;amp;lt;DateFormat&amp;amp;gt;None&amp;amp;lt;/DateFormat&amp;amp;gt;&amp;amp;lt;RightHan'"</definedName>
    <definedName function="false" hidden="true" name="_AMO_ContentDefinition_972960867.16" vbProcedure="false">"'dSideExpression&amp;amp;gt;Intermodal&amp;amp;lt;/RightHandSideExpression&amp;amp;gt;&amp;amp;lt;IsSubquery&amp;amp;gt;False&amp;amp;lt;/IsSubquery&amp;amp;gt;&amp;amp;lt;SubqueryTemplateName /&amp;amp;gt;&amp;amp;lt;/RHSItem&amp;amp;gt;&amp;amp;lt;/RightHandSideItems&amp;amp;gt;&amp;amp;lt;/RightHandSide&amp;'"</definedName>
    <definedName function="false" hidden="true" name="_AMO_ContentDefinition_972960867.17" vbProcedure="false">"'amp;gt;&amp;amp;lt;/Node&amp;amp;gt;&amp;amp;lt;/SiblingLink&amp;amp;gt;&amp;amp;lt;Operator&amp;amp;gt;=&amp;amp;lt;/Operator&amp;amp;gt;&amp;amp;lt;UseMacroFunction&amp;amp;gt;False&amp;amp;lt;/UseMacroFunction&amp;amp;gt;&amp;amp;lt;Not&amp;amp;gt;False&amp;amp;lt;/Not&amp;amp;gt;&amp;amp;lt;Label /&amp;amp;gt;&amp;amp;lt;'"</definedName>
    <definedName function="false" hidden="true" name="_AMO_ContentDefinition_972960867.18" vbProcedure="false">"'RightHandSide&amp;amp;gt;&amp;amp;lt;RightHandSideNumType&amp;amp;gt;SINGLE&amp;amp;lt;/RightHandSideNumType&amp;amp;gt;&amp;amp;lt;RightHandSideItems&amp;amp;gt;&amp;amp;lt;RHSItem&amp;amp;gt;&amp;amp;lt;RHSType&amp;amp;gt;EXPRESSION&amp;amp;lt;/RHSType&amp;amp;gt;&amp;amp;lt;AddQuotes&amp;amp;gt;True&amp;amp;lt;'"</definedName>
    <definedName function="false" hidden="true" name="_AMO_ContentDefinition_972960867.19" vbProcedure="false">"'/AddQuotes&amp;amp;gt;&amp;amp;lt;DateFormat&amp;amp;gt;None&amp;amp;lt;/DateFormat&amp;amp;gt;&amp;amp;lt;RightHandSideExpression&amp;amp;gt;2015&amp;amp;lt;/RightHandSideExpression&amp;amp;gt;&amp;amp;lt;IsSubquery&amp;amp;gt;False&amp;amp;lt;/IsSubquery&amp;amp;gt;&amp;amp;lt;SubqueryTemplateName /&amp;amp;'"</definedName>
    <definedName function="false" hidden="true" name="_AMO_ContentDefinition_972960867.2" vbProcedure="false">"' /&gt;_x005F_x000D_
  &lt;parents /&gt;_x005F_x000D_
  &lt;children /&gt;_x005F_x000D_
  &lt;param n=""DisplayName"" v=""SASApp:FECDL.DS_WB_REVENUE"" /&gt;_x005F_x000D_
  &lt;param n=""DisplayType"" v=""PivotTable"" /&gt;_x005F_x000D_
  &lt;param n=""AMO_Version"" v=""5.1"" /&gt;_x005F_x000D_
  &lt;param n=""DataSourceType"" v=""SAS DATASET"" /&gt;_x005F_x000D_
  &lt;param'"</definedName>
    <definedName function="false" hidden="true" name="_AMO_ContentDefinition_972960867.3" vbProcedure="false">"' n=""ServerName"" v=""SASApp"" /&gt;_x005F_x000D_
  &lt;param n=""SASFilter"" v=""Year = '2015' AND TransportMethod = 'Intermodal' AND BusinessSegment = 'International Shippers'"" /&gt;_x005F_x000D_
  &lt;param n=""ClassName"" v=""SAS.OfficeAddin.PivotTable"" /&gt;_x005F_x000D_
  &lt;param n=""NamedRan'"</definedName>
    <definedName function="false" hidden="true" name="_AMO_ContentDefinition_972960867.4" vbProcedure="false">"'ge"" v=""_AMO_SingleObject_972960867_PivotTable_972960867"" /&gt;_x005F_x000D_
  &lt;param n=""DataSource"" v=""&amp;lt;SasDataSource Version=&amp;quot;4.2&amp;quot; Type=&amp;quot;SAS.Servers.Dataset&amp;quot; Svr=&amp;quot;SASApp&amp;quot; Lib=&amp;quot;FECDL&amp;quot; Filter=&amp;quot;Year = '2015' AND Tr'"</definedName>
    <definedName function="false" hidden="true" name="_AMO_ContentDefinition_972960867.48" vbProcedure="false">"'its,Sum of LineHaul"" /&gt;_x005F_x000D_
  &lt;ExcelXMLOptions AdjColWidths=""True"" RowOpt=""InsertEntire"" ColOpt=""InsertCells"" /&gt;_x005F_x000D_
&lt;/ContentDefinition&gt;'"</definedName>
    <definedName function="false" hidden="true" name="_AMO_ContentDefinition_972960867.5" vbProcedure="false">"'ansportMethod = 'Intermodal' AND BusinessSegment = 'International Shippers'&amp;quot; FilterDS=&amp;quot;&amp;amp;lt;?xml version=&amp;amp;quot;1.0&amp;amp;quot; encoding=&amp;amp;quot;utf-16&amp;amp;quot;?&amp;amp;gt;&amp;amp;lt;FilterTree&amp;amp;gt;&amp;amp;lt;TreeRoot&amp;amp;gt;&amp;amp;lt;ID&amp;amp;'"</definedName>
    <definedName function="false" hidden="true" name="_AMO_ContentDefinition_972960867.6" vbProcedure="false">"'gt;d8a8e433-bfe2-49b2-a719-a7f0ef98262a&amp;amp;lt;/ID&amp;amp;gt;&amp;amp;lt;FilterType&amp;amp;gt;COLUMN&amp;amp;lt;/FilterType&amp;amp;gt;&amp;amp;lt;TableID /&amp;amp;gt;&amp;amp;lt;ColumnName&amp;amp;gt;Year&amp;amp;lt;/ColumnName&amp;amp;gt;&amp;amp;lt;ColumnType&amp;amp;gt;Character&amp;amp;lt;/ColumnTy'"</definedName>
    <definedName function="false" hidden="true" name="_AMO_ContentDefinition_972960867.7" vbProcedure="false">"'pe&amp;amp;gt;&amp;amp;lt;GroupLevel /&amp;amp;gt;&amp;amp;lt;SiblingLink&amp;amp;gt;&amp;amp;lt;LinkType&amp;amp;gt;AND&amp;amp;lt;/LinkType&amp;amp;gt;&amp;amp;lt;Node&amp;amp;gt;&amp;amp;lt;ID&amp;amp;gt;b7040e11-7e0f-4226-9638-160fade7f965&amp;amp;lt;/ID&amp;amp;gt;&amp;amp;lt;FilterType&amp;amp;gt;COLUMN&amp;amp;lt;/'"</definedName>
    <definedName function="false" hidden="true" name="_AMO_ContentDefinition_972960867.8" vbProcedure="false">"'FilterType&amp;amp;gt;&amp;amp;lt;TableID /&amp;amp;gt;&amp;amp;lt;ColumnName&amp;amp;gt;TransportMethod&amp;amp;lt;/ColumnName&amp;amp;gt;&amp;amp;lt;ColumnType&amp;amp;gt;Character&amp;amp;lt;/ColumnType&amp;amp;gt;&amp;amp;lt;GroupLevel /&amp;amp;gt;&amp;amp;lt;SiblingLink&amp;amp;gt;&amp;amp;lt;LinkType&amp;amp;gt'"</definedName>
    <definedName function="false" hidden="true" name="_AMO_ContentDefinition_972960867.9" vbProcedure="false">"';AND&amp;amp;lt;/LinkType&amp;amp;gt;&amp;amp;lt;Node&amp;amp;gt;&amp;amp;lt;ID&amp;amp;gt;8275a7ba-e52a-4e1b-91a8-95b9d06874b7&amp;amp;lt;/ID&amp;amp;gt;&amp;amp;lt;FilterType&amp;amp;gt;COLUMN&amp;amp;lt;/FilterType&amp;amp;gt;&amp;amp;lt;TableID /&amp;amp;gt;&amp;amp;lt;ColumnName&amp;amp;gt;BusinessSegment&amp;amp'"</definedName>
    <definedName function="false" hidden="true" name="_AMO_ContentDefinition_982752879" vbProcedure="false">"'Partitions:22'"</definedName>
    <definedName function="false" hidden="true" name="_AMO_ContentDefinition_982752879.1" vbProcedure="false">"'iles\SASHome\x86\SASAddinforMicrosoftOffice\5.1\Styles\AMODefault.css"" range=""SASApp_FECDL_DS_WB_REVENUE"" auto=""False"" xTime=""00:00:00"" rTime=""00:00:00.6890000"" bgnew=""False"" nFmt=""False"" grphSet=""False"" imgY=""0"" imgX=""0""&gt;_x005F_x000D_
  &lt;files'"</definedName>
    <definedName function="false" hidden="true" name="_AMO_ContentDefinition_982752879.10" vbProcedure="false">"'l /&amp;amp;gt;&amp;amp;lt;RightHandSide&amp;amp;gt;&amp;amp;lt;RightHandSideNumType&amp;amp;gt;SINGLE&amp;amp;lt;/RightHandSideNumType&amp;amp;gt;&amp;amp;lt;RightHandSideItems&amp;amp;gt;&amp;amp;lt;RHSItem&amp;amp;gt;&amp;amp;lt;RHSType&amp;amp;gt;EXPRESSION&amp;amp;lt;/RHSType&amp;amp;gt;&amp;amp;lt;AddQuotes&amp;'"</definedName>
    <definedName function="false" hidden="true" name="_AMO_ContentDefinition_982752879.11" vbProcedure="false">"'amp;gt;True&amp;amp;lt;/AddQuotes&amp;amp;gt;&amp;amp;lt;DateFormat&amp;amp;gt;None&amp;amp;lt;/DateFormat&amp;amp;gt;&amp;amp;lt;RightHandSideExpression&amp;amp;gt;WEST PALM BEACH&amp;amp;lt;/RightHandSideExpression&amp;amp;gt;&amp;amp;lt;IsSubquery&amp;amp;gt;False&amp;amp;lt;/IsSubquery&amp;amp;gt;&amp;amp;'"</definedName>
    <definedName function="false" hidden="true" name="_AMO_ContentDefinition_982752879.12" vbProcedure="false">"'lt;SubqueryTemplateName /&amp;amp;gt;&amp;amp;lt;/RHSItem&amp;amp;gt;&amp;amp;lt;/RightHandSideItems&amp;amp;gt;&amp;amp;lt;/RightHandSide&amp;amp;gt;&amp;amp;lt;/Node&amp;amp;gt;&amp;amp;lt;/SiblingLink&amp;amp;gt;&amp;amp;lt;Operator&amp;amp;gt;=&amp;amp;lt;/Operator&amp;amp;gt;&amp;amp;lt;UseMacroFunction&amp;amp;g'"</definedName>
    <definedName function="false" hidden="true" name="_AMO_ContentDefinition_982752879.13" vbProcedure="false">"'t;False&amp;amp;lt;/UseMacroFunction&amp;amp;gt;&amp;amp;lt;Not&amp;amp;gt;False&amp;amp;lt;/Not&amp;amp;gt;&amp;amp;lt;Label /&amp;amp;gt;&amp;amp;lt;RightHandSide&amp;amp;gt;&amp;amp;lt;RightHandSideNumType&amp;amp;gt;SINGLE&amp;amp;lt;/RightHandSideNumType&amp;amp;gt;&amp;amp;lt;RightHandSideItems&amp;amp;gt;&amp;a'"</definedName>
    <definedName function="false" hidden="true" name="_AMO_ContentDefinition_982752879.14" vbProcedure="false">"'mp;lt;RHSItem&amp;amp;gt;&amp;amp;lt;RHSType&amp;amp;gt;EXPRESSION&amp;amp;lt;/RHSType&amp;amp;gt;&amp;amp;lt;AddQuotes&amp;amp;gt;True&amp;amp;lt;/AddQuotes&amp;amp;gt;&amp;amp;lt;DateFormat&amp;amp;gt;None&amp;amp;lt;/DateFormat&amp;amp;gt;&amp;amp;lt;RightHandSideExpression&amp;amp;gt;08&amp;amp;lt;/RightHandSi'"</definedName>
    <definedName function="false" hidden="true" name="_AMO_ContentDefinition_982752879.15" vbProcedure="false">"'deExpression&amp;amp;gt;&amp;amp;lt;IsSubquery&amp;amp;gt;False&amp;amp;lt;/IsSubquery&amp;amp;gt;&amp;amp;lt;SubqueryTemplateName /&amp;amp;gt;&amp;amp;lt;/RHSItem&amp;amp;gt;&amp;amp;lt;/RightHandSideItems&amp;amp;gt;&amp;amp;lt;/RightHandSide&amp;amp;gt;&amp;amp;lt;/Node&amp;amp;gt;&amp;amp;lt;/SiblingLink&amp;amp;'"</definedName>
    <definedName function="false" hidden="true" name="_AMO_ContentDefinition_982752879.16" vbProcedure="false">"'gt;&amp;amp;lt;Operator&amp;amp;gt;=&amp;amp;lt;/Operator&amp;amp;gt;&amp;amp;lt;UseMacroFunction&amp;amp;gt;False&amp;amp;lt;/UseMacroFunction&amp;amp;gt;&amp;amp;lt;Not&amp;amp;gt;False&amp;amp;lt;/Not&amp;amp;gt;&amp;amp;lt;Label /&amp;amp;gt;&amp;amp;lt;RightHandSide&amp;amp;gt;&amp;amp;lt;RightHandSideNumType&amp;amp'"</definedName>
    <definedName function="false" hidden="true" name="_AMO_ContentDefinition_982752879.17" vbProcedure="false">"';gt;SINGLE&amp;amp;lt;/RightHandSideNumType&amp;amp;gt;&amp;amp;lt;RightHandSideItems&amp;amp;gt;&amp;amp;lt;RHSItem&amp;amp;gt;&amp;amp;lt;RHSType&amp;amp;gt;EXPRESSION&amp;amp;lt;/RHSType&amp;amp;gt;&amp;amp;lt;AddQuotes&amp;amp;gt;True&amp;amp;lt;/AddQuotes&amp;amp;gt;&amp;amp;lt;DateFormat&amp;amp;gt;None&amp;amp;'"</definedName>
    <definedName function="false" hidden="true" name="_AMO_ContentDefinition_982752879.18" vbProcedure="false">"'lt;/DateFormat&amp;amp;gt;&amp;amp;lt;RightHandSideExpression&amp;amp;gt;2013&amp;amp;lt;/RightHandSideExpression&amp;amp;gt;&amp;amp;lt;IsSubquery&amp;amp;gt;False&amp;amp;lt;/IsSubquery&amp;amp;gt;&amp;amp;lt;SubqueryTemplateName /&amp;amp;gt;&amp;amp;lt;/RHSItem&amp;amp;gt;&amp;amp;lt;/RightHandSideItem'"</definedName>
    <definedName function="false" hidden="true" name="_AMO_ContentDefinition_982752879.19" vbProcedure="false">"'s&amp;amp;gt;&amp;amp;lt;/RightHandSide&amp;amp;gt;&amp;amp;lt;/TreeRoot&amp;amp;gt;&amp;amp;lt;/FilterTree&amp;amp;gt;&amp;quot; ColSelFlg=&amp;quot;0&amp;quot; Name=&amp;quot;DS_WB_REVENUE&amp;quot; /&amp;gt;"" /&gt;_x005F_x000D_
  &lt;param n=""ServerName"" v=""SASApp"" /&gt;_x005F_x000D_
  &lt;param n=""SASFilter"" v=""Year = '2013' '"</definedName>
    <definedName function="false" hidden="true" name="_AMO_ContentDefinition_982752879.2" vbProcedure="false">"' /&gt;_x005F_x000D_
  &lt;parents /&gt;_x005F_x000D_
  &lt;children /&gt;_x005F_x000D_
  &lt;param n=""DisplayName"" v=""SASApp:FECDL.DS_WB_REVENUE"" /&gt;_x005F_x000D_
  &lt;param n=""DisplayType"" v=""PivotTable"" /&gt;_x005F_x000D_
  &lt;param n=""AMO_Version"" v=""5.1"" /&gt;_x005F_x000D_
  &lt;param n=""NamedRange"" v=""_AMO_SingleObject_982752879_Pivo'"</definedName>
    <definedName function="false" hidden="true" name="_AMO_ContentDefinition_982752879.20" vbProcedure="false">"'AND Month = '08' AND DestCity = 'WEST PALM BEACH'"" /&gt;_x005F_x000D_
  &lt;param n=""ClassName"" v=""SAS.OfficeAddin.PivotTable"" /&gt;_x005F_x000D_
  &lt;param n=""DataFieldsList"" v=""Sum of Units"" /&gt;_x005F_x000D_
  &lt;ExcelXMLOptions AdjColWidths=""True"" RowOpt=""InsertEntire"" ColOpt=""Inser'"</definedName>
    <definedName function="false" hidden="true" name="_AMO_ContentDefinition_982752879.21" vbProcedure="false">"'tCells"" /&gt;_x005F_x000D_
&lt;/ContentDefinition&gt;'"</definedName>
    <definedName function="false" hidden="true" name="_AMO_ContentDefinition_982752879.3" vbProcedure="false">"'tTable_982752879"" /&gt;_x005F_x000D_
  &lt;param n=""DataSourceType"" v=""SAS DATASET"" /&gt;_x005F_x000D_
  &lt;param n=""DataSource"" v=""&amp;lt;SasDataSource Version=&amp;quot;4.2&amp;quot; Type=&amp;quot;SAS.Servers.Dataset&amp;quot; Svr=&amp;quot;SASApp&amp;quot; Lib=&amp;quot;FECDL&amp;quot; Filter=&amp;quot;Year = '2'"</definedName>
    <definedName function="false" hidden="true" name="_AMO_ContentDefinition_982752879.4" vbProcedure="false">"'013' AND Month = '08' AND DestCity = 'WEST PALM BEACH'&amp;quot; FilterDS=&amp;quot;&amp;amp;lt;?xml version=&amp;amp;quot;1.0&amp;amp;quot; encoding=&amp;amp;quot;utf-16&amp;amp;quot;?&amp;amp;gt;&amp;amp;lt;FilterTree&amp;amp;gt;&amp;amp;lt;TreeRoot&amp;amp;gt;&amp;amp;lt;ID&amp;amp;gt;833f2438-e012-4d20'"</definedName>
    <definedName function="false" hidden="true" name="_AMO_ContentDefinition_982752879.5" vbProcedure="false">"'-b5e3-1f2202a5cf5f&amp;amp;lt;/ID&amp;amp;gt;&amp;amp;lt;FilterType&amp;amp;gt;COLUMN&amp;amp;lt;/FilterType&amp;amp;gt;&amp;amp;lt;TableID /&amp;amp;gt;&amp;amp;lt;ColumnName&amp;amp;gt;Year&amp;amp;lt;/ColumnName&amp;amp;gt;&amp;amp;lt;ColumnType&amp;amp;gt;Character&amp;amp;lt;/ColumnType&amp;amp;gt;&amp;amp;lt;Gro'"</definedName>
    <definedName function="false" hidden="true" name="_AMO_ContentDefinition_982752879.6" vbProcedure="false">"'upLevel /&amp;amp;gt;&amp;amp;lt;SiblingLink&amp;amp;gt;&amp;amp;lt;LinkType&amp;amp;gt;AND&amp;amp;lt;/LinkType&amp;amp;gt;&amp;amp;lt;Node&amp;amp;gt;&amp;amp;lt;ID&amp;amp;gt;971ff91c-d64e-49d2-b652-425a82147d07&amp;amp;lt;/ID&amp;amp;gt;&amp;amp;lt;FilterType&amp;amp;gt;COLUMN&amp;amp;lt;/FilterType&amp;amp;gt;&amp;am'"</definedName>
    <definedName function="false" hidden="true" name="_AMO_ContentDefinition_982752879.7" vbProcedure="false">"'p;lt;TableID /&amp;amp;gt;&amp;amp;lt;ColumnName&amp;amp;gt;Month&amp;amp;lt;/ColumnName&amp;amp;gt;&amp;amp;lt;ColumnType&amp;amp;gt;Character&amp;amp;lt;/ColumnType&amp;amp;gt;&amp;amp;lt;GroupLevel /&amp;amp;gt;&amp;amp;lt;SiblingLink&amp;amp;gt;&amp;amp;lt;LinkType&amp;amp;gt;AND&amp;amp;lt;/LinkType&amp;amp;gt;&amp;a'"</definedName>
    <definedName function="false" hidden="true" name="_AMO_ContentDefinition_982752879.8" vbProcedure="false">"'mp;lt;Node&amp;amp;gt;&amp;amp;lt;ID&amp;amp;gt;a72ed6c3-99e3-44a7-b147-17d8241a27b3&amp;amp;lt;/ID&amp;amp;gt;&amp;amp;lt;FilterType&amp;amp;gt;COLUMN&amp;amp;lt;/FilterType&amp;amp;gt;&amp;amp;lt;TableID /&amp;amp;gt;&amp;amp;lt;ColumnName&amp;amp;gt;DestCity&amp;amp;lt;/ColumnName&amp;amp;gt;&amp;amp;lt;ColumnT'"</definedName>
    <definedName function="false" hidden="true" name="_AMO_ContentDefinition_982752879.9" vbProcedure="false">"'ype&amp;amp;gt;Character&amp;amp;lt;/ColumnType&amp;amp;gt;&amp;amp;lt;GroupLevel /&amp;amp;gt;&amp;amp;lt;Operator&amp;amp;gt;=&amp;amp;lt;/Operator&amp;amp;gt;&amp;amp;lt;UseMacroFunction&amp;amp;gt;False&amp;amp;lt;/UseMacroFunction&amp;amp;gt;&amp;amp;lt;Not&amp;amp;gt;False&amp;amp;lt;/Not&amp;amp;gt;&amp;amp;lt;Labe'"</definedName>
    <definedName function="false" hidden="true" name="_AMO_ContentLocation_247660852_PivotTable_247660852" vbProcedure="false">"'&lt;ContentLocation path=""247660852"" rsid=""247660852"" tag=""PivotTable"" fid=""0""&gt;_x005F_x000D_
  &lt;param n=""_NumRows"" v=""5"" /&gt;_x005F_x000D_
  &lt;param n=""_NumCols"" v=""15"" /&gt;_x005F_x000D_
&lt;/ContentLocation&gt;'"</definedName>
    <definedName function="false" hidden="true" name="_AMO_ContentLocation_682937942_PivotTable_682937942" vbProcedure="false">"'&lt;ContentLocation path=""682937942"" rsid=""682937942"" tag=""PivotTable"" fid=""0""&gt;_x005F_x000D_
  &lt;param n=""_NumRows"" v=""10"" /&gt;_x005F_x000D_
  &lt;param n=""_NumCols"" v=""15"" /&gt;_x005F_x000D_
&lt;/ContentLocation&gt;'"</definedName>
    <definedName function="false" hidden="true" name="_AMO_ContentLocation_972960867_PivotTable_972960867" vbProcedure="false">"'&lt;ContentLocation path=""972960867"" rsid=""972960867"" tag=""PivotTable"" fid=""0""&gt;_x005F_x000D_
  &lt;param n=""_NumRows"" v=""14"" /&gt;_x005F_x000D_
  &lt;param n=""_NumCols"" v=""17"" /&gt;_x005F_x000D_
&lt;/ContentLocation&gt;'"</definedName>
    <definedName function="false" hidden="true" name="_AMO_ContentLocation_982752879_PivotTable_982752879" vbProcedure="false">"'&lt;ContentLocation path=""982752879"" rsid=""982752879"" tag=""PivotTable"" fid=""0""&gt;_x005F_x000D_
  &lt;param n=""_NumRows"" v=""1"" /&gt;_x005F_x000D_
  &lt;param n=""_NumCols"" v=""1"" /&gt;_x005F_x000D_
&lt;/ContentLocation&gt;'"</definedName>
    <definedName function="false" hidden="true" name="_AMO_RefreshMultipleList" vbProcedure="false">"'73452249'"</definedName>
    <definedName function="false" hidden="true" name="_AMO_XmlVersion" vbProcedure="false">"'1'"</definedName>
    <definedName function="false" hidden="true" name="_ann04" vbProcedure="false">{"budget95",#N/A,TRUE,"Tabelle1";"Tab1",#N/A,TRUE,"Tabelle2"}</definedName>
    <definedName function="false" hidden="true" name="_ap2" vbProcedure="false">{"detail",#N/A,FALSE,"mfg";"summary",#N/A,FALSE,"mfg"}</definedName>
    <definedName function="false" hidden="true" name="_Apr03" vbProcedure="false">{"Statement of Income",#N/A,TRUE,"Mar99";"Balance Sheet",#N/A,TRUE,"Mar99"}</definedName>
    <definedName function="false" hidden="true" name="_Apr04" vbProcedure="false">{"Statement of Income",#N/A,TRUE,"Mar99";"Balance Sheet",#N/A,TRUE,"Mar99"}</definedName>
    <definedName function="false" hidden="true" name="_aro30" vbProcedure="false">{#N/A,#N/A,FALSE,"Staffnos &amp; cost"}</definedName>
    <definedName function="false" hidden="true" name="_art4"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_ASS6434" vbProcedure="false">{"TOTALASSEMBLY",#N/A,FALSE,"ASSEMBLY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function="false" hidden="true" name="_AtRisk_SimSetting_AutomaticallyGenerateReports" vbProcedure="false">FALSE()</definedName>
    <definedName function="false" hidden="true" name="_AtRisk_SimSetting_AutomaticResultsDisplayMode" vbProcedure="false">3</definedName>
    <definedName function="false" hidden="true" name="_AtRisk_SimSetting_ConvergenceConfidenceLevel" vbProcedure="false">0.95</definedName>
    <definedName function="false" hidden="true" name="_AtRisk_SimSetting_ConvergencePercentileToTest" vbProcedure="false">0.9</definedName>
    <definedName function="false" hidden="true" name="_AtRisk_SimSetting_ConvergencePerformMeanTest" vbProcedure="false">TRUE()</definedName>
    <definedName function="false" hidden="true" name="_AtRisk_SimSetting_ConvergencePerformPercentileTest" vbProcedure="false">FALSE()</definedName>
    <definedName function="false" hidden="true" name="_AtRisk_SimSetting_ConvergencePerformStdDeviationTest" vbProcedure="false">FALSE()</definedName>
    <definedName function="false" hidden="true" name="_AtRisk_SimSetting_ConvergenceTestAllOutputs" vbProcedure="false">TRUE()</definedName>
    <definedName function="false" hidden="true" name="_AtRisk_SimSetting_ConvergenceTestingPeriod" vbProcedure="false">100</definedName>
    <definedName function="false" hidden="true" name="_AtRisk_SimSetting_ConvergenceTolerance" vbProcedure="false">0.03</definedName>
    <definedName function="false" hidden="true" name="_AtRisk_SimSetting_LiveUpdate" vbProcedure="false">TRUE()</definedName>
    <definedName function="false" hidden="true" name="_AtRisk_SimSetting_LiveUpdatePeriod" vbProcedure="false">-1</definedName>
    <definedName function="false" hidden="true" name="_AtRisk_SimSetting_MacroRecalculationBehavior" vbProcedure="false">0</definedName>
    <definedName function="false" hidden="true" name="_AtRisk_SimSetting_RandomNumberGenerator" vbProcedure="false">0</definedName>
    <definedName function="false" hidden="true" name="_AtRisk_SimSetting_ReportOptionCustomItemsCount" vbProcedure="false">0</definedName>
    <definedName function="false" hidden="true" name="_AtRisk_SimSetting_ReportOptionDataMode" vbProcedure="false">1</definedName>
    <definedName function="false" hidden="true" name="_AtRisk_SimSetting_ReportOptionReportMultiSimType" vbProcedure="false">0</definedName>
    <definedName function="false" hidden="true" name="_AtRisk_SimSetting_ReportOptionReportPlacement" vbProcedure="false">1</definedName>
    <definedName function="false" hidden="true" name="_AtRisk_SimSetting_ReportOptionReportSelection" vbProcedure="false">0</definedName>
    <definedName function="false" hidden="true" name="_AtRisk_SimSetting_ReportOptionReportsFileType" vbProcedure="false">1</definedName>
    <definedName function="false" hidden="true" name="_AtRisk_SimSetting_ReportOptionSelectiveQR" vbProcedure="false">FALSE()</definedName>
    <definedName function="false" hidden="true" name="_AtRisk_SimSetting_ReportsList" vbProcedure="false">0</definedName>
    <definedName function="false" hidden="true" name="_AtRisk_SimSetting_ShowSimulationProgressWindow" vbProcedure="false">TRUE()</definedName>
    <definedName function="false" hidden="true" name="_AtRisk_SimSetting_SimNameCount" vbProcedure="false">0</definedName>
    <definedName function="false" hidden="true" name="_AtRisk_SimSetting_SmartSensitivityAnalysisEnabled" vbProcedure="false">TRUE()</definedName>
    <definedName function="false" hidden="true" name="_AtRisk_SimSetting_StatisticFunctionUpdating" vbProcedure="false">1</definedName>
    <definedName function="false" hidden="true" name="_AtRisk_SimSetting_StdRecalcActiveSimulationNumber" vbProcedure="false">1</definedName>
    <definedName function="false" hidden="true" name="_AtRisk_SimSetting_StdRecalcBehavior" vbProcedure="false">0</definedName>
    <definedName function="false" hidden="true" name="_AtRisk_SimSetting_StdRecalcWithoutRiskStatic" vbProcedure="false">0</definedName>
    <definedName function="false" hidden="true" name="_AtRisk_SimSetting_StdRecalcWithoutRiskStaticPercentile" vbProcedure="false">0.5</definedName>
    <definedName function="false" hidden="true" name="_Att1" vbProcedure="false">{#VALUE!,#N/A,FALSE,0;#N/A,#N/A,FALSE,0;#N/A,#N/A,FALSE,0;#N/A,#N/A,FALSE,0}</definedName>
    <definedName function="false" hidden="true" name="_aug04" vbProcedure="false">{"Statement of Income",#N/A,TRUE,"Mar99";"Balance Sheet",#N/A,TRUE,"Mar99"}</definedName>
    <definedName function="false" hidden="true" name="_b" vbProcedure="false">{"'Inventory &amp; Anal-Cur Wkbk'!$A$7:$AP$71"}</definedName>
    <definedName function="false" hidden="true" name="_b1" vbProcedure="false">word</definedName>
    <definedName function="false" hidden="true" name="_b111" vbProcedure="false">{#N/A,#N/A,FALSE,"Pharm";#N/A,#N/A,FALSE,"WWCM"}</definedName>
    <definedName function="false" hidden="true" name="_b18" vbProcedure="false">{"Tages_D",#N/A,FALSE,"Tagesbericht";"Tages_PL",#N/A,FALSE,"Tagesbericht"}</definedName>
    <definedName function="false" hidden="true" name="_b19" vbProcedure="false">{"Tages_D",#N/A,FALSE,"Tagesbericht";"Tages_PL",#N/A,FALSE,"Tagesbericht"}</definedName>
    <definedName function="false" hidden="true" name="_bb1"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_bb12"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_BB13"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_bb2"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_bdm.008106A617EF4E0F950A00B6CCC7E11A.edm" vbProcedure="false">#REF!</definedName>
    <definedName function="false" hidden="true" name="_bdm.01689FA83BD74114A91D2EC2193212AC.edm" vbProcedure="false">#REF!</definedName>
    <definedName function="false" hidden="true" name="_bdm.01C4FB2BCB6C4A0994F5973F765F919A.edm" vbProcedure="false">#REF!</definedName>
    <definedName function="false" hidden="true" name="_bdm.01CFB60DC5BA4237A5290B586B633E62.edm" vbProcedure="false">#REF!</definedName>
    <definedName function="false" hidden="true" name="_bdm.02BE67FB4A0F433BB41FDEFC04EC948C.edm" vbProcedure="false">#REF!</definedName>
    <definedName function="false" hidden="true" name="_bdm.0393C55B465F471485963D15F6CDAE86.edm" vbProcedure="false">#REF!</definedName>
    <definedName function="false" hidden="true" name="_bdm.048DABF4E3B74A1291B07DC34298D516.edm" vbProcedure="false">#REF!</definedName>
    <definedName function="false" hidden="true" name="_bdm.04B93114D1934C54B5092CC6F2D0C01B.edm" vbProcedure="false">#REF!</definedName>
    <definedName function="false" hidden="true" name="_bdm.057193AD4F9A40DDA006D854BF4616E4.edm" vbProcedure="false">#REF!</definedName>
    <definedName function="false" hidden="true" name="_bdm.057F54B71E0648A7808F6E7BBD1F2159.edm" vbProcedure="false">#REF!</definedName>
    <definedName function="false" hidden="true" name="_bdm.05D7AFA5F99F47669F52A0F13ACCABF7.edm" vbProcedure="false">#REF!</definedName>
    <definedName function="false" hidden="true" name="_bdm.05EE459294FC4D3D88FC723AC105DDDD.edm" vbProcedure="false">#REF!</definedName>
    <definedName function="false" hidden="true" name="_bdm.060BF17828654A2888B7BD89CF74029A.edm" vbProcedure="false">#REF!</definedName>
    <definedName function="false" hidden="true" name="_bdm.0721A591809E4370B944B5F620E179D0.edm" vbProcedure="false">#REF!</definedName>
    <definedName function="false" hidden="true" name="_bdm.073EB64BAEE04D488AB043D6B191C198.edm" vbProcedure="false">#REF!</definedName>
    <definedName function="false" hidden="true" name="_bdm.07B6E0F030884BDDB8AE6F97747C0210.edm" vbProcedure="false">#REF!</definedName>
    <definedName function="false" hidden="true" name="_bdm.0815B4EE07864FC5A2FE6360878BAADA.edm" vbProcedure="false">#REF!</definedName>
    <definedName function="false" hidden="true" name="_bdm.0832E81FDBA745A5B97E4284D3012648.edm" vbProcedure="false">#REF!</definedName>
    <definedName function="false" hidden="true" name="_bdm.084B9AE6D96B4628B01F2C411B283DAA.edm" vbProcedure="false">#REF!</definedName>
    <definedName function="false" hidden="true" name="_bdm.0A3BED1D419D48EBBCB17437C1E7776A.edm" vbProcedure="false">#REF!</definedName>
    <definedName function="false" hidden="true" name="_bdm.0AA403657FCB4AF2B41DFC5706B9D4ED.edm" vbProcedure="false">#REF!</definedName>
    <definedName function="false" hidden="true" name="_bdm.0AC2F3E74089446AA251C8E543C16A50.edm" vbProcedure="false">#REF!</definedName>
    <definedName function="false" hidden="true" name="_bdm.0AD7EBE0D3034303980EA8D2AA4A5335.edm" vbProcedure="false">#REF!</definedName>
    <definedName function="false" hidden="true" name="_bdm.0BDF5A415FB549E1ADB5135EA1460C26.edm" vbProcedure="false">#REF!</definedName>
    <definedName function="false" hidden="true" name="_bdm.0d1ef1e6cde34618bf6b6e0585c265c4.edm" vbProcedure="false">#REF!</definedName>
    <definedName function="false" hidden="true" name="_bdm.0D5123D651A64A50BBF7DE6752F16E36.edm" vbProcedure="false">#REF!</definedName>
    <definedName function="false" hidden="true" name="_bdm.0DC43123E55A425CAD5A9DC556B4AAF4.edm" vbProcedure="false">#REF!</definedName>
    <definedName function="false" hidden="true" name="_bdm.0E1F1DD7994F4F83997A2DA4C4A555E3.edm" vbProcedure="false">#REF!</definedName>
    <definedName function="false" hidden="true" name="_bdm.0EDC45E988624CBCAB8645EFC2A31F67.edm" vbProcedure="false">#REF!</definedName>
    <definedName function="false" hidden="true" name="_bdm.0EEB71B3DA7B41E5B8036753E6F98F80.edm" vbProcedure="false">#REF!</definedName>
    <definedName function="false" hidden="true" name="_bdm.0F1E5CD51F8C4730BAA2A4BE645956C6.edm" vbProcedure="false">#REF!</definedName>
    <definedName function="false" hidden="true" name="_bdm.0F34FE049B5F4EFDBB16037DB1A02E9D.edm" vbProcedure="false">#REF!</definedName>
    <definedName function="false" hidden="true" name="_bdm.0F560DD9D845426281F5A31CFBAB8416.edm" vbProcedure="false">#REF!</definedName>
    <definedName function="false" hidden="true" name="_bdm.0F65C622356840D89600AD8DE863E56E.edm" vbProcedure="false">#REF!</definedName>
    <definedName function="false" hidden="true" name="_bdm.10B7DE59A78B40EB945B24FF566F12D5.edm" vbProcedure="false">#REF!</definedName>
    <definedName function="false" hidden="true" name="_bdm.1217F698F4154FA889B87DBB748433BF.edm" vbProcedure="false">#REF!</definedName>
    <definedName function="false" hidden="true" name="_bdm.1251ED85472146FDBC3001EB85877E4A.edm" vbProcedure="false">#REF!</definedName>
    <definedName function="false" hidden="true" name="_bdm.12DEADD88C32481AA45C787F504D8E35.edm" vbProcedure="false">#REF!</definedName>
    <definedName function="false" hidden="true" name="_bdm.143610D965944F2186D288D5EB3E1033.edm" vbProcedure="false">#REF!</definedName>
    <definedName function="false" hidden="true" name="_bdm.15D87C8D65C04232B0E702D04432395B.edm" vbProcedure="false">#REF!</definedName>
    <definedName function="false" hidden="true" name="_bdm.15EDA41A95CC4CDBB80DD66DF50B02CB.edm" vbProcedure="false">#REF!</definedName>
    <definedName function="false" hidden="true" name="_bdm.17B50EB02075419D941AEF2559AE3ACF.edm" vbProcedure="false">#REF!</definedName>
    <definedName function="false" hidden="true" name="_bdm.184DA59D82E5482C8F2AFDD207867889.edm" vbProcedure="false">#REF!</definedName>
    <definedName function="false" hidden="true" name="_bdm.19CCF142BF054E2DB644BF57FB3C0676.edm" vbProcedure="false">#REF!</definedName>
    <definedName function="false" hidden="true" name="_bdm.1A10EE3180BD4B4B9216C20AA25F3F0D.edm" vbProcedure="false">#REF!</definedName>
    <definedName function="false" hidden="true" name="_bdm.1a2221283c274dc4920a4e2db8c2ae8b.edm" vbProcedure="false">#REF!</definedName>
    <definedName function="false" hidden="true" name="_bdm.1B1A0682904F46ED80A53A9E83E0C116.edm" vbProcedure="false">#REF!</definedName>
    <definedName function="false" hidden="true" name="_bdm.1b1dbac43b60441b917d53f957d50f34.edm" vbProcedure="false">#REF!</definedName>
    <definedName function="false" hidden="true" name="_bdm.1BCC9C22E1B742F696FBCED422264FD2.edm" vbProcedure="false">#REF!</definedName>
    <definedName function="false" hidden="true" name="_bdm.1DB502D8CD01422EBD8B7217C1FE8CED.edm" vbProcedure="false">#REF!</definedName>
    <definedName function="false" hidden="true" name="_bdm.1ec699e3a21f4f4482f8c43a82d2ef8a.edm" vbProcedure="false">#REF!</definedName>
    <definedName function="false" hidden="true" name="_bdm.1F6E25A1924243B5BD0910195C903DD6.edm" vbProcedure="false">#REF!</definedName>
    <definedName function="false" hidden="true" name="_bdm.1FD3C44903724BAC8A267CF4F40A662D.edm" vbProcedure="false">#REF!</definedName>
    <definedName function="false" hidden="true" name="_bdm.209268CE85B94594A117E78642D9FB44.edm" vbProcedure="false">#REF!</definedName>
    <definedName function="false" hidden="true" name="_bdm.20E91548A84B4166AE3A2BD83A3D038C.edm" vbProcedure="false">#REF!</definedName>
    <definedName function="false" hidden="true" name="_bdm.210C7E4F39E44E8BB1E25D0219F4F940.edm" vbProcedure="false">#REF!</definedName>
    <definedName function="false" hidden="true" name="_bdm.215DF202DFF249439C5FC211171F4393.edm" vbProcedure="false">#REF!</definedName>
    <definedName function="false" hidden="true" name="_bdm.217C874E97794F27A7A2E5202C631235.edm" vbProcedure="false">#REF!</definedName>
    <definedName function="false" hidden="true" name="_bdm.23316B3898AB4331BD7F8B4FFA35C724.edm" vbProcedure="false">#REF!</definedName>
    <definedName function="false" hidden="true" name="_bdm.23831D18261C49B0A7D571D0BEDF82F2.edm" vbProcedure="false">#REF!</definedName>
    <definedName function="false" hidden="true" name="_bdm.241fce51d9864ad39c2b8cddcf2fbd18.edm" vbProcedure="false">#REF!</definedName>
    <definedName function="false" hidden="true" name="_bdm.248e93554ad84a7e8dacfd03c40b5887.edm" vbProcedure="false">#REF!</definedName>
    <definedName function="false" hidden="true" name="_bdm.24CC9AD2E8D24DE6ABA8775140225CEC.edm" vbProcedure="false">#REF!</definedName>
    <definedName function="false" hidden="true" name="_bdm.25ACB4FA824E4968ACB78A838590C8E5.edm" vbProcedure="false">#REF!</definedName>
    <definedName function="false" hidden="true" name="_bdm.2668C22B664E42219CD81A4E0D6D1677.edm" vbProcedure="false">#REF!</definedName>
    <definedName function="false" hidden="true" name="_bdm.26B4751ADB2240ACA124BB8BFAEC3800.edm" vbProcedure="false">#REF!</definedName>
    <definedName function="false" hidden="true" name="_bdm.26FE944409B449B49556290D4B9F99FE.edm" vbProcedure="false">#REF!</definedName>
    <definedName function="false" hidden="true" name="_bdm.27712615324141D7AF6DCBB5C6C27E43.edm" vbProcedure="false">#REF!</definedName>
    <definedName function="false" hidden="true" name="_bdm.278A1157C5E44DD189C30BA5829A4317.edm" vbProcedure="false">#REF!</definedName>
    <definedName function="false" hidden="true" name="_bdm.27C59642456B4164A4F6EC68C055C37C.edm" vbProcedure="false">#REF!</definedName>
    <definedName function="false" hidden="true" name="_bdm.282F1BD8B6174D9384CAF1AD8C896378.edm" vbProcedure="false">#REF!</definedName>
    <definedName function="false" hidden="true" name="_bdm.28635078F43247C9952ABC688B6EB8FB.edm" vbProcedure="false">#REF!</definedName>
    <definedName function="false" hidden="true" name="_bdm.28EA9208F16C4249ABF9082FFD846450.edm" vbProcedure="false">#REF!</definedName>
    <definedName function="false" hidden="true" name="_bdm.28EBACAE9555463AA351D9B54720A60F.edm" vbProcedure="false">#REF!</definedName>
    <definedName function="false" hidden="true" name="_bdm.2AA5D5CF43D9452993A008E7480BDAEC.edm" vbProcedure="false">#REF!</definedName>
    <definedName function="false" hidden="true" name="_bdm.2AB9AE0219D1424FA538C7690A4CDF50.edm" vbProcedure="false">#REF!</definedName>
    <definedName function="false" hidden="true" name="_bdm.2C2D34D14E094D13876E0A3409E6F82E.edm" vbProcedure="false">#REF!</definedName>
    <definedName function="false" hidden="true" name="_bdm.2CD34891F88C474288D8913A9C862910.edm" vbProcedure="false">#REF!</definedName>
    <definedName function="false" hidden="true" name="_bdm.2D64C0BEBF5A42EEB042F57E53B8985E.edm" vbProcedure="false">#REF!</definedName>
    <definedName function="false" hidden="true" name="_bdm.2D6E982537D0415D94C0BF543DE46937.edm" vbProcedure="false">#REF!</definedName>
    <definedName function="false" hidden="true" name="_bdm.2DE2717BDD7B4F26ABEBA11F4AF8EB80.edm" vbProcedure="false">#REF!</definedName>
    <definedName function="false" hidden="true" name="_bdm.2E4D3C79B575492F97AA980656519DA7.edm" vbProcedure="false">#REF!</definedName>
    <definedName function="false" hidden="true" name="_bdm.2EE6F49B2A054D108386D35D6C562F3B.edm" vbProcedure="false">#REF!</definedName>
    <definedName function="false" hidden="true" name="_bdm.3023FCBC47C640DDAB19C2EDBD027489.edm" vbProcedure="false">#REF!</definedName>
    <definedName function="false" hidden="true" name="_bdm.302538A77F274CBB95FE1A5191021B46.edm" vbProcedure="false">#REF!</definedName>
    <definedName function="false" hidden="true" name="_bdm.3059D6A240D749EAAD5D3E2B8F36DE6F.edm" vbProcedure="false">#REF!</definedName>
    <definedName function="false" hidden="true" name="_bdm.3170A6D90AC34D9F827A9931ABCD8CFD.edm" vbProcedure="false">#REF!</definedName>
    <definedName function="false" hidden="true" name="_bdm.31A7A7945A874FEC8562E3155164BAA1.edm" vbProcedure="false">#REF!</definedName>
    <definedName function="false" hidden="true" name="_bdm.3292D9BC24C043F79CC5B09C254F3CED.edm" vbProcedure="false">#REF!</definedName>
    <definedName function="false" hidden="true" name="_bdm.32C1F25A8D3A4D3BACD5F9B92BE3FC12.edm" vbProcedure="false">#REF!</definedName>
    <definedName function="false" hidden="true" name="_bdm.32FD37EF56764C2E81B5E2A967EE5A87.edm" vbProcedure="false">#REF!</definedName>
    <definedName function="false" hidden="true" name="_bdm.33b00f4582cd449d93f48febd46d1eeb.edm" vbProcedure="false">#REF!</definedName>
    <definedName function="false" hidden="true" name="_bdm.33E4D00EF9FF4DDFB50130E6281102A0.edm" vbProcedure="false">#REF!</definedName>
    <definedName function="false" hidden="true" name="_bdm.34425260E9F747C7A65DCB9B1DF9B6C1.edm" vbProcedure="false">#REF!</definedName>
    <definedName function="false" hidden="true" name="_bdm.34D7E256B2FD45B293456EC10749B450.edm" vbProcedure="false">#REF!</definedName>
    <definedName function="false" hidden="true" name="_bdm.3725A4389F4F4321AEE9BFE5AACBFC67.edm" vbProcedure="false">#REF!</definedName>
    <definedName function="false" hidden="true" name="_bdm.386F44A0F21B4CF49A761A6E976C3EF7.edm" vbProcedure="false">#REF!</definedName>
    <definedName function="false" hidden="true" name="_bdm.389AB664738C4492B94D2FC6AE4A0A11.edm" vbProcedure="false">#REF!</definedName>
    <definedName function="false" hidden="true" name="_bdm.3935208A70BE4CFA8E5014B7F8AE4311.edm" vbProcedure="false">#REF!</definedName>
    <definedName function="false" hidden="true" name="_bdm.39B8C036341144F198FF84D21FD23A54.edm" vbProcedure="false">#REF!</definedName>
    <definedName function="false" hidden="true" name="_bdm.39EE0430D40D4EFFBF013BFB7B525245.edm" vbProcedure="false">#REF!</definedName>
    <definedName function="false" hidden="true" name="_bdm.3A4B6E4C5FC9462FAB3339FC49661D91.edm" vbProcedure="false">#REF!</definedName>
    <definedName function="false" hidden="true" name="_bdm.3A9DDA8327AA430D96082E3101468891.edm" vbProcedure="false">#REF!</definedName>
    <definedName function="false" hidden="true" name="_bdm.3b006412530f421b8b02a1de1d333aff.edm" vbProcedure="false">#REF!</definedName>
    <definedName function="false" hidden="true" name="_bdm.3BFE3C693C084D298FF3EE12F9E9378E.edm" vbProcedure="false">#REF!</definedName>
    <definedName function="false" hidden="true" name="_bdm.3D7A9E3C7254439B81C16B26BC201C4E.edm" vbProcedure="false">#REF!</definedName>
    <definedName function="false" hidden="true" name="_bdm.3F3D154789DB4E3D9F8942A23646B270.edm" vbProcedure="false">#REF!</definedName>
    <definedName function="false" hidden="true" name="_bdm.3FE0A75122894D0480E20E3EA9CB8F66.edm" vbProcedure="false">#REF!</definedName>
    <definedName function="false" hidden="true" name="_bdm.40192C2F4E574E89804BD909A621E94B.edm" vbProcedure="false">#REF!</definedName>
    <definedName function="false" hidden="true" name="_bdm.40E9EDA92B4643148879AF9876A59A9F.edm" vbProcedure="false">#REF!</definedName>
    <definedName function="false" hidden="true" name="_bdm.412825900d0a4817ba7a5041e30d640f.edm" vbProcedure="false">#REF!</definedName>
    <definedName function="false" hidden="true" name="_bdm.4204EC7D7A174226AC7847DAAB12267E.edm" vbProcedure="false">#REF!</definedName>
    <definedName function="false" hidden="true" name="_bdm.4281CE59A7B14C9A9910E91D1D6E6D7A.edm" vbProcedure="false">#REF!</definedName>
    <definedName function="false" hidden="true" name="_bdm.4360676AD407460ABDB3AE601E6AC982.edm" vbProcedure="false">#REF!</definedName>
    <definedName function="false" hidden="true" name="_bdm.437EBF4D680B48DE9E88B430E04D805A.edm" vbProcedure="false">#REF!</definedName>
    <definedName function="false" hidden="true" name="_bdm.446cf2b07c60408bb6c383a9893b63d8.edm" vbProcedure="false">#REF!</definedName>
    <definedName function="false" hidden="true" name="_bdm.44D72EB3E0124076959C0451894550DE.edm" vbProcedure="false">#REF!</definedName>
    <definedName function="false" hidden="true" name="_bdm.4605DBD3457D4CD89D8E1E3E917A0DE1.edm" vbProcedure="false">#REF!</definedName>
    <definedName function="false" hidden="true" name="_bdm.466218606F03462B9CCF104E4D204C5C.edm" vbProcedure="false">#REF!</definedName>
    <definedName function="false" hidden="true" name="_bdm.46F8D7F3DD894741A631BF21031132F1.edm" vbProcedure="false">#REF!</definedName>
    <definedName function="false" hidden="true" name="_bdm.47895B1AB8224B87A66635D20EB22E3D.edm" vbProcedure="false">#REF!</definedName>
    <definedName function="false" hidden="true" name="_bdm.48af8c2e46894482bdae53eea28eb559.edm" vbProcedure="false">#REF!</definedName>
    <definedName function="false" hidden="true" name="_bdm.48CC776D24244988AAA97F908CEDA3C4.edm" vbProcedure="false">#REF!</definedName>
    <definedName function="false" hidden="true" name="_bdm.48CF2CF1318D4B04B3BEFB4E3D92AEA1.edm" vbProcedure="false">#REF!</definedName>
    <definedName function="false" hidden="true" name="_bdm.4900F9A5B517416D8EEA79F7377E634F.edm" vbProcedure="false">#REF!</definedName>
    <definedName function="false" hidden="true" name="_bdm.4930954B86334391A89B9150913FE66B.edm" vbProcedure="false">#REF!</definedName>
    <definedName function="false" hidden="true" name="_bdm.493A22D52BE54F6AB9D59625FBC7FFDE.edm" vbProcedure="false">#REF!</definedName>
    <definedName function="false" hidden="true" name="_bdm.49813B36FF484B20BC7AFB6A08ABF73F.edm" vbProcedure="false">#REF!</definedName>
    <definedName function="false" hidden="true" name="_bdm.4A08328614CA492D939A7F87E1A801F3.edm" vbProcedure="false">#REF!</definedName>
    <definedName function="false" hidden="true" name="_bdm.4C840CDDF4FA468EBDB620F7BDB1F634.edm" vbProcedure="false">#REF!</definedName>
    <definedName function="false" hidden="true" name="_bdm.4C95D9FF3E21417EA6C09E5D83757B59.edm" vbProcedure="false">#REF!</definedName>
    <definedName function="false" hidden="true" name="_bdm.4CE945BFE9BA4627920222D07C48D847.edm" vbProcedure="false">#REF!</definedName>
    <definedName function="false" hidden="true" name="_bdm.4D1132E61F834869A7248A43392DAE60.edm" vbProcedure="false">#REF!</definedName>
    <definedName function="false" hidden="true" name="_bdm.4D97CF94D7BA4475B4A0852C5D13CFF8.edm" vbProcedure="false">#REF!</definedName>
    <definedName function="false" hidden="true" name="_bdm.4DAC183527334D6BAFA083B3AD54F6FE.edm" vbProcedure="false">#REF!</definedName>
    <definedName function="false" hidden="true" name="_bdm.4DBE515A54FE47D6B9A7E644CC26EEB5.edm" vbProcedure="false">#REF!</definedName>
    <definedName function="false" hidden="true" name="_bdm.4E2453ACA1164E4F9DE66B578B5DC673.edm" vbProcedure="false">#REF!</definedName>
    <definedName function="false" hidden="true" name="_bdm.4E3A1B06394F49F6898D085C45BB8270.edm" vbProcedure="false">#REF!</definedName>
    <definedName function="false" hidden="true" name="_bdm.4E7500AC6ED74E32AED59317816D5641.edm" vbProcedure="false">#REF!</definedName>
    <definedName function="false" hidden="true" name="_bdm.4E78C50AB8384696B0A34C1640251CFF.edm" vbProcedure="false">#REF!</definedName>
    <definedName function="false" hidden="true" name="_bdm.4E86172168884FB193D20147E5C8C2CA.edm" vbProcedure="false">#REF!</definedName>
    <definedName function="false" hidden="true" name="_bdm.4ef6ea5018de4b3f9a479206e7b7cdb4.edm" vbProcedure="false">#REF!</definedName>
    <definedName function="false" hidden="true" name="_bdm.4F305DAC4DB9442081788096E4D30134.edm" vbProcedure="false">#REF!</definedName>
    <definedName function="false" hidden="true" name="_bdm.4F9534814F44470A868A6565FC244501.edm" vbProcedure="false">#REF!</definedName>
    <definedName function="false" hidden="true" name="_bdm.4FB79880134E4D11A876E4AF268F9A57.edm" vbProcedure="false">#REF!</definedName>
    <definedName function="false" hidden="true" name="_bdm.4FCB5A6D1ACE4A52A3A3DD86A153F974.edm" vbProcedure="false">#REF!</definedName>
    <definedName function="false" hidden="true" name="_bdm.4FEA93C726D940BAAE92F305655BC917.edm" vbProcedure="false">#REF!</definedName>
    <definedName function="false" hidden="true" name="_bdm.500457f5019e4373850b07c1d95eebb1.edm" vbProcedure="false">#REF!</definedName>
    <definedName function="false" hidden="true" name="_bdm.5069BA2024754A148D5A23D7455F6196.edm" vbProcedure="false">#REF!</definedName>
    <definedName function="false" hidden="true" name="_bdm.50CAF69B9059400FA28ACEB2A5F248BB.edm" vbProcedure="false">#REF!</definedName>
    <definedName function="false" hidden="true" name="_bdm.50D2E628D0794ABE99FE2CE159CE0342.edm" vbProcedure="false">#REF!</definedName>
    <definedName function="false" hidden="true" name="_bdm.5181041A497144AB88CF9C88BB49D506.edm" vbProcedure="false">#REF!</definedName>
    <definedName function="false" hidden="true" name="_bdm.51FE70D6F9B14404A166298D2C97727D.edm" vbProcedure="false">#REF!</definedName>
    <definedName function="false" hidden="true" name="_bdm.5280DBFCCAD0490FB99E27844F1A1C00.edm" vbProcedure="false">#REF!</definedName>
    <definedName function="false" hidden="true" name="_bdm.529A972031BD44A8B90C1ADA416EFCE6.edm" vbProcedure="false">#REF!</definedName>
    <definedName function="false" hidden="true" name="_bdm.5414C1F1B4A44232B58F3AD87C551CC9.edm" vbProcedure="false">#REF!</definedName>
    <definedName function="false" hidden="true" name="_bdm.541A234F87204DC8BC58424A03CE44B9.edm" vbProcedure="false">#REF!</definedName>
    <definedName function="false" hidden="true" name="_bdm.543E92F2F2124CB49B8ABD33B6F03AE5.edm" vbProcedure="false">#REF!</definedName>
    <definedName function="false" hidden="true" name="_bdm.547a448295ff48faacbb33bb0db68307.edm" vbProcedure="false">#REF!</definedName>
    <definedName function="false" hidden="true" name="_bdm.566922792B3E4430A6D7E24D354AC09B.edm" vbProcedure="false">#REF!</definedName>
    <definedName function="false" hidden="true" name="_bdm.57b205f16da64ae2a2fee6433d09b85b.edm" vbProcedure="false">#REF!</definedName>
    <definedName function="false" hidden="true" name="_bdm.582EEAB414B24151ABD71A1C4887AC70.edm" vbProcedure="false">#REF!</definedName>
    <definedName function="false" hidden="true" name="_bdm.58e107cd0af04ea0b783ad9001d145b1.edm" vbProcedure="false">#REF!</definedName>
    <definedName function="false" hidden="true" name="_bdm.5B55468FE5014C8AA9273B14A5A8E711.edm" vbProcedure="false">#REF!</definedName>
    <definedName function="false" hidden="true" name="_bdm.5C78818BCBD845B78140A4B9DF16D49A.edm" vbProcedure="false">#REF!</definedName>
    <definedName function="false" hidden="true" name="_bdm.5D3B3155F804470A8610156C943AEA9F.edm" vbProcedure="false">#REF!</definedName>
    <definedName function="false" hidden="true" name="_bdm.5D846D8785B342F89EB60E7D0062BAE4.edm" vbProcedure="false">#REF!</definedName>
    <definedName function="false" hidden="true" name="_bdm.5E7083607DA04475934852A7E6FB68FC.edm" vbProcedure="false">#REF!</definedName>
    <definedName function="false" hidden="true" name="_bdm.5F6B8E8758664960BBA59B1AF8882B2C.edm" vbProcedure="false">#REF!</definedName>
    <definedName function="false" hidden="true" name="_bdm.5F843B6588894F938BFACF6EF4DB0D4F.edm" vbProcedure="false">#REF!</definedName>
    <definedName function="false" hidden="true" name="_bdm.5FFEB117BAC84E6A92BDE47AB8EFAA51.edm" vbProcedure="false">#REF!</definedName>
    <definedName function="false" hidden="true" name="_bdm.6009F083C91F4966AFBD1CC63348D599.edm" vbProcedure="false">#REF!</definedName>
    <definedName function="false" hidden="true" name="_bdm.60120253D71A456FACE291EEC9C1DB00.edm" vbProcedure="false">#REF!</definedName>
    <definedName function="false" hidden="true" name="_bdm.60E2408C2AD34815BF6D9FE1373FD45B.edm" vbProcedure="false">#REF!</definedName>
    <definedName function="false" hidden="true" name="_bdm.61348E76166746B39A5FF91246838B37.edm" vbProcedure="false">#REF!</definedName>
    <definedName function="false" hidden="true" name="_bdm.616AC02C71FF479A8C43CF43788199E6.edm" vbProcedure="false">#REF!</definedName>
    <definedName function="false" hidden="true" name="_bdm.61F7BE38430840C9BDE6F192E9916E3E.edm" vbProcedure="false">#REF!</definedName>
    <definedName function="false" hidden="true" name="_bdm.621683EAD1B6481C9FB961F232D7B5ED.edm" vbProcedure="false">#REF!</definedName>
    <definedName function="false" hidden="true" name="_bdm.6290EA298B1C47CCBF9F819869071AE0.edm" vbProcedure="false">#REF!</definedName>
    <definedName function="false" hidden="true" name="_bdm.62A7462518A64EA28D3699DC6BDA8026.edm" vbProcedure="false">#REF!</definedName>
    <definedName function="false" hidden="true" name="_bdm.6323473A60C940408C8FD879245BAA43.edm" vbProcedure="false">#REF!</definedName>
    <definedName function="false" hidden="true" name="_bdm.639A4EBE372D4BA39516551CFABD8E6B.edm" vbProcedure="false">#REF!</definedName>
    <definedName function="false" hidden="true" name="_bdm.640EE395A7D6479C9D2C77AE8382D901.edm" vbProcedure="false">#REF!</definedName>
    <definedName function="false" hidden="true" name="_bdm.666F99A9108D4C44AA583D94B03EA610.edm" vbProcedure="false">#REF!</definedName>
    <definedName function="false" hidden="true" name="_bdm.66ABF8C0CB114D168D71F0DC211E2A5C.edm" vbProcedure="false">#REF!</definedName>
    <definedName function="false" hidden="true" name="_bdm.66CE3FE37BF14764BF457B7C8416FF1B.edm" vbProcedure="false">#REF!</definedName>
    <definedName function="false" hidden="true" name="_bdm.68913FD3DC8D4AEE95FEB5731948D5A9.edm" vbProcedure="false">#REF!</definedName>
    <definedName function="false" hidden="true" name="_bdm.68DFB314ACA14843B499882F591C77A0.edm" vbProcedure="false">#REF!</definedName>
    <definedName function="false" hidden="true" name="_bdm.6934A04A69A249B8A497167554D5ED37.edm" vbProcedure="false">#REF!</definedName>
    <definedName function="false" hidden="true" name="_bdm.698B3BC33BE34D21A144E6915F5C364D.edm" vbProcedure="false">#REF!</definedName>
    <definedName function="false" hidden="true" name="_bdm.69C44124BA8C4881B6B58521F9657B20.edm" vbProcedure="false">#REF!</definedName>
    <definedName function="false" hidden="true" name="_bdm.69C6B13753CF4A02A0D506EE93C1597D.edm" vbProcedure="false">#REF!</definedName>
    <definedName function="false" hidden="true" name="_bdm.69E23144D8B345FBA0FAAD7344CED17D.edm" vbProcedure="false">#REF!</definedName>
    <definedName function="false" hidden="true" name="_bdm.6b3a47f789f14c0e8b3277171a1a4a10.edm" vbProcedure="false">#REF!</definedName>
    <definedName function="false" hidden="true" name="_bdm.6C399C673A5B4354A3DA0327B5A98522.edm" vbProcedure="false">#REF!</definedName>
    <definedName function="false" hidden="true" name="_bdm.6C8FFFD7B17D4D4FBDC36D32D9D678CB.edm" vbProcedure="false">#REF!</definedName>
    <definedName function="false" hidden="true" name="_bdm.6c99d81bdaec43c08abbcbf3fda44828.edm" vbProcedure="false">#REF!</definedName>
    <definedName function="false" hidden="true" name="_bdm.6CA806FD73B840CD9476AAFD55F6ABC1.edm" vbProcedure="false">#REF!</definedName>
    <definedName function="false" hidden="true" name="_bdm.6CC2B0910671451483DAD3B697521D06.edm" vbProcedure="false">#REF!</definedName>
    <definedName function="false" hidden="true" name="_bdm.6E8D4D2E1C8641D99547EBF323B54C2F.edm" vbProcedure="false">#REF!</definedName>
    <definedName function="false" hidden="true" name="_bdm.6F00018117DA4E9787CFD48631602EF2.edm" vbProcedure="false">#REF!</definedName>
    <definedName function="false" hidden="true" name="_bdm.6F1610B3CA824EAB81A2D256FFE0E5E9.edm" vbProcedure="false">#REF!</definedName>
    <definedName function="false" hidden="true" name="_bdm.6F6BF8DFD21D45F1B8F76F991AC3C432.edm" vbProcedure="false">#REF!</definedName>
    <definedName function="false" hidden="true" name="_bdm.6FAFA432554F453382729773FC5C1F81.edm" vbProcedure="false">#REF!</definedName>
    <definedName function="false" hidden="true" name="_bdm.6FE5E7E8D511496B95595342B307BFCF.edm" vbProcedure="false">#REF!</definedName>
    <definedName function="false" hidden="true" name="_bdm.70067247738D406485EE4A3986799B56.edm" vbProcedure="false">#REF!</definedName>
    <definedName function="false" hidden="true" name="_bdm.7019d1a58ae748539760fb3667185ce9.edm" vbProcedure="false">#REF!</definedName>
    <definedName function="false" hidden="true" name="_bdm.71381D866AF144879FE51DE1799DD6B7.edm" vbProcedure="false">#REF!</definedName>
    <definedName function="false" hidden="true" name="_bdm.718007829FE1421F830598534A3C303D.edm" vbProcedure="false">#REF!</definedName>
    <definedName function="false" hidden="true" name="_bdm.728C4D4E5EDF4A5F8E066A265B7901C3.edm" vbProcedure="false">#REF!</definedName>
    <definedName function="false" hidden="true" name="_bdm.72A517D2EC4D40A39D3518FC2332A36D.edm" vbProcedure="false">#REF!</definedName>
    <definedName function="false" hidden="true" name="_bdm.7309C979757442CD9D511ECFDBE37F71.edm" vbProcedure="false">#REF!</definedName>
    <definedName function="false" hidden="true" name="_bdm.73A29436EA72430EA3026A8E0C392288.edm" vbProcedure="false">#REF!</definedName>
    <definedName function="false" hidden="true" name="_bdm.74447244A5654244AE2F0BFC71E65F4E.edm" vbProcedure="false">#REF!</definedName>
    <definedName function="false" hidden="true" name="_bdm.7480C6E4167B48BABCF271FCDC4377AE.edm" vbProcedure="false">#REF!</definedName>
    <definedName function="false" hidden="true" name="_bdm.75068E39EC6D4E9C888D9E2DB5F16DFB.edm" vbProcedure="false">#REF!</definedName>
    <definedName function="false" hidden="true" name="_bdm.756ABEC9CC60404788768BC0E75D4A96.edm" vbProcedure="false">#REF!</definedName>
    <definedName function="false" hidden="true" name="_bdm.76070E56B27E49E5A2F1D888D8E45705.edm" vbProcedure="false">#REF!</definedName>
    <definedName function="false" hidden="true" name="_bdm.76BA3C1D997248FE80207DD33F01682B.edm" vbProcedure="false">#REF!</definedName>
    <definedName function="false" hidden="true" name="_bdm.7863ADF0CC9C48CEB6F4E88860418933.edm" vbProcedure="false">#REF!</definedName>
    <definedName function="false" hidden="true" name="_bdm.78e842f986e048b2a18a5168203e470a.edm" vbProcedure="false">#REF!</definedName>
    <definedName function="false" hidden="true" name="_bdm.79EF2DA8E7DD4B06B75F38C9507DA1C6.edm" vbProcedure="false">#REF!</definedName>
    <definedName function="false" hidden="true" name="_bdm.7A0D6EF83F414FDD8C550740EBD1D8B9.edm" vbProcedure="false">#REF!</definedName>
    <definedName function="false" hidden="true" name="_bdm.7A38724E3881402C8BB45A527BF76493.edm" vbProcedure="false">#REF!</definedName>
    <definedName function="false" hidden="true" name="_bdm.7A5A30607FBC4F96B6103DE043B12CB0.edm" vbProcedure="false">#REF!</definedName>
    <definedName function="false" hidden="true" name="_bdm.7A9EC36ECD5D4D6C94C12240738FE789.edm" vbProcedure="false">#REF!</definedName>
    <definedName function="false" hidden="true" name="_bdm.7AD2531470004260BA513223C7A0828D.edm" vbProcedure="false">#REF!</definedName>
    <definedName function="false" hidden="true" name="_bdm.7B16D587D713415AB58553D0420900D6.edm" vbProcedure="false">#REF!</definedName>
    <definedName function="false" hidden="true" name="_bdm.7BBB8CE8B290490D9FD4CCA76F8F632B.edm" vbProcedure="false">#REF!</definedName>
    <definedName function="false" hidden="true" name="_bdm.7BF8447DC95E4417993F0CBC4E699CAF.edm" vbProcedure="false">#REF!</definedName>
    <definedName function="false" hidden="true" name="_bdm.7CE90E21F38B444FA69E6163AFFD3245.edm" vbProcedure="false">#REF!</definedName>
    <definedName function="false" hidden="true" name="_bdm.7DA6D2855E134CC2ACC8EB8A5F141459.edm" vbProcedure="false">#REF!</definedName>
    <definedName function="false" hidden="true" name="_bdm.7DD722F8207345C597BF167402B2D38C.edm" vbProcedure="false">#REF!</definedName>
    <definedName function="false" hidden="true" name="_bdm.7E1C52FF8E05407EBC63F483518DCC48.edm" vbProcedure="false">#REF!</definedName>
    <definedName function="false" hidden="true" name="_bdm.7E1F3BC48C2D4ADBA0B1E77089203073.edm" vbProcedure="false">#REF!</definedName>
    <definedName function="false" hidden="true" name="_bdm.7E4BE4EEECD94350BA1F81CF18EE4451.edm" vbProcedure="false">#REF!</definedName>
    <definedName function="false" hidden="true" name="_bdm.7E59C4AB9B76431F89157B52F58D8DD8.edm" vbProcedure="false">#REF!</definedName>
    <definedName function="false" hidden="true" name="_bdm.7EE93FC3EF8B41A381740C6EDDE1E054.edm" vbProcedure="false">#REF!</definedName>
    <definedName function="false" hidden="true" name="_bdm.7F5E12762D38494DA899E8A4C8F31373.edm" vbProcedure="false">#REF!</definedName>
    <definedName function="false" hidden="true" name="_bdm.816EB66BDC1D4166B9405623427C38D9.edm" vbProcedure="false">#REF!</definedName>
    <definedName function="false" hidden="true" name="_bdm.81A0ED12D1174D63862C9531D58FB93E.edm" vbProcedure="false">#REF!</definedName>
    <definedName function="false" hidden="true" name="_bdm.81E2944A2CDB4A0EA5AB4BF71B438DA7.edm" vbProcedure="false">#REF!</definedName>
    <definedName function="false" hidden="true" name="_bdm.82088D73009145DCACA5C6AC457B517A.edm" vbProcedure="false">#REF!</definedName>
    <definedName function="false" hidden="true" name="_bdm.8307BA67B82942F3B5BCD3344CBC5EA0.edm" vbProcedure="false">#REF!</definedName>
    <definedName function="false" hidden="true" name="_bdm.830F452FA4194F1897A6FF85169490A3.edm" vbProcedure="false">#REF!</definedName>
    <definedName function="false" hidden="true" name="_bdm.839E77C7E9844843B4CB74E20210EEF1.edm" vbProcedure="false">#REF!</definedName>
    <definedName function="false" hidden="true" name="_bdm.85b0e48a3c9b421f984152d680ab4aaa.edm" vbProcedure="false">#REF!</definedName>
    <definedName function="false" hidden="true" name="_bdm.85EA2B6504614C828E75C775E05EF21F.edm" vbProcedure="false">#REF!</definedName>
    <definedName function="false" hidden="true" name="_bdm.8610eb432a16472c90366a42dad0d0db.edm" vbProcedure="false">#REF!</definedName>
    <definedName function="false" hidden="true" name="_bdm.8675D84CDC46450A9641B76A1F4950D3.edm" vbProcedure="false">#REF!</definedName>
    <definedName function="false" hidden="true" name="_bdm.86CA2EA0DB94474C867C08F6A122C71B.edm" vbProcedure="false">#REF!</definedName>
    <definedName function="false" hidden="true" name="_bdm.86F2C18EAE2C4294BD3C2D02C1A6FAEF.edm" vbProcedure="false">#REF!</definedName>
    <definedName function="false" hidden="true" name="_bdm.878B9626D95E41EA9D2C01DECAE640AA.edm" vbProcedure="false">#REF!</definedName>
    <definedName function="false" hidden="true" name="_bdm.87D2571E3E204BA69485BB377CC55F55.edm" vbProcedure="false">#REF!</definedName>
    <definedName function="false" hidden="true" name="_bdm.88003136591E40708373EE4E0250B891.edm" vbProcedure="false">#REF!</definedName>
    <definedName function="false" hidden="true" name="_bdm.88EF9CE6653D490E8774EFAC42DFB550.edm" vbProcedure="false">#REF!</definedName>
    <definedName function="false" hidden="true" name="_bdm.89D81C3D8354482399BEB6B8833490F5.edm" vbProcedure="false">#REF!</definedName>
    <definedName function="false" hidden="true" name="_bdm.89F68EFA428A46179FEC4DA8C1C9B569.edm" vbProcedure="false">#REF!</definedName>
    <definedName function="false" hidden="true" name="_bdm.8A193B5974294548B4967B9C0BF10F0D.edm" vbProcedure="false">#REF!</definedName>
    <definedName function="false" hidden="true" name="_bdm.8AA3A01A9F304C169EDE41957E2E1237.edm" vbProcedure="false">#REF!</definedName>
    <definedName function="false" hidden="true" name="_bdm.8AE0E8B02313474EA588BCAB4FEF17D0.edm" vbProcedure="false">#REF!</definedName>
    <definedName function="false" hidden="true" name="_bdm.8B187E02366C4C15A56EB5A59DF561C8.edm" vbProcedure="false">#REF!</definedName>
    <definedName function="false" hidden="true" name="_bdm.8B84A91D38C2492CAA740373376A9C9B.edm" vbProcedure="false">#REF!</definedName>
    <definedName function="false" hidden="true" name="_bdm.8B943416F0474F3DA13AEBF8CB920FE6.edm" vbProcedure="false">#REF!</definedName>
    <definedName function="false" hidden="true" name="_bdm.8BB73188827547E5A6F85740DAC041B9.edm" vbProcedure="false">#REF!</definedName>
    <definedName function="false" hidden="true" name="_bdm.8bff3dcd26094f01b8db86e6473b8139.edm" vbProcedure="false">#REF!</definedName>
    <definedName function="false" hidden="true" name="_bdm.8CC581556767469BBE3EDE4196C6D235.edm" vbProcedure="false">#REF!</definedName>
    <definedName function="false" hidden="true" name="_bdm.8D6A76799CBD41B88FEA3150BD2CEA93.edm" vbProcedure="false">#REF!</definedName>
    <definedName function="false" hidden="true" name="_bdm.8D762CE135E948ADACD0AE4F8EEEAED2.edm" vbProcedure="false">#REF!</definedName>
    <definedName function="false" hidden="true" name="_bdm.8F2B2A3F8B694887B41CBD93EC452462.edm" vbProcedure="false">#REF!</definedName>
    <definedName function="false" hidden="true" name="_bdm.8FCB78803D0B413080DE57A74841D53E.edm" vbProcedure="false">#REF!</definedName>
    <definedName function="false" hidden="true" name="_bdm.9056EF6E83064064A653E6337F9A7AF8.edm" vbProcedure="false">#REF!</definedName>
    <definedName function="false" hidden="true" name="_bdm.905BB02C6CC049DD82B320C06E068458.edm" vbProcedure="false">#REF!</definedName>
    <definedName function="false" hidden="true" name="_bdm.9132680c8b7b4f9b8042c6ad993c689b.edm" vbProcedure="false">#REF!</definedName>
    <definedName function="false" hidden="true" name="_bdm.919C4FD80E62432B89AE11DC0C136477.edm" vbProcedure="false">#REF!</definedName>
    <definedName function="false" hidden="true" name="_bdm.91CD4DEC29C049BD929A8110F777B566.edm" vbProcedure="false">#REF!</definedName>
    <definedName function="false" hidden="true" name="_bdm.92FE6DC103C64A18836880A44A3907C3.edm" vbProcedure="false">#REF!</definedName>
    <definedName function="false" hidden="true" name="_bdm.94006DA267204C93AE1BEDEEE6D3D765.edm" vbProcedure="false">#REF!</definedName>
    <definedName function="false" hidden="true" name="_bdm.94E749715624467E9EB28D3C236A57A3.edm" vbProcedure="false">#REF!</definedName>
    <definedName function="false" hidden="true" name="_bdm.952B4053AABD41AB896143D823D23DC8.edm" vbProcedure="false">#REF!</definedName>
    <definedName function="false" hidden="true" name="_bdm.954848313B6C45B1B4AC00EB79232C65.edm" vbProcedure="false">#REF!</definedName>
    <definedName function="false" hidden="true" name="_bdm.9551B418BCFA458EAB3CF058EAD21F47.edm" vbProcedure="false">#REF!</definedName>
    <definedName function="false" hidden="true" name="_bdm.958054DB35734DA7BE4A3D37757BACB5.edm" vbProcedure="false">#REF!</definedName>
    <definedName function="false" hidden="true" name="_bdm.95990DE47B2F4ADB9C79A6FEB420FF08.edm" vbProcedure="false">#REF!</definedName>
    <definedName function="false" hidden="true" name="_bdm.96CE0473F51640CA84C7D4695D661D7C.edm" vbProcedure="false">#REF!</definedName>
    <definedName function="false" hidden="true" name="_bdm.970399334C004044A6F77B7888A9EBE7.edm" vbProcedure="false">#REF!</definedName>
    <definedName function="false" hidden="true" name="_bdm.971DAA1D9B2347A1AF812221ED3A7605.edm" vbProcedure="false">#REF!</definedName>
    <definedName function="false" hidden="true" name="_bdm.97C9F36FF5C646EFB477715CEBBD4B2F.edm" vbProcedure="false">#REF!</definedName>
    <definedName function="false" hidden="true" name="_bdm.98084AB8CA494830A0714C6A7574B2C5.edm" vbProcedure="false">#REF!</definedName>
    <definedName function="false" hidden="true" name="_bdm.98A08D76DCA047688A3462CD379512A7.edm" vbProcedure="false">#REF!</definedName>
    <definedName function="false" hidden="true" name="_bdm.9926DB956C15476B88F3DFE994A641B7.edm" vbProcedure="false">#REF!</definedName>
    <definedName function="false" hidden="true" name="_bdm.9935AB17428A4A419D561A38D28A0C43.edm" vbProcedure="false">#REF!</definedName>
    <definedName function="false" hidden="true" name="_bdm.9B4D7B7E2D204AF4BFA8D1954DB95A30.edm" vbProcedure="false">#REF!</definedName>
    <definedName function="false" hidden="true" name="_bdm.9bb7fa17b7f543a3aac3cc11da9fb120.edm" vbProcedure="false">#REF!</definedName>
    <definedName function="false" hidden="true" name="_bdm.9BFCD7804FD543C883426C815DE9C8D0.edm" vbProcedure="false">#REF!</definedName>
    <definedName function="false" hidden="true" name="_bdm.9C6EE367D7944115A64EE087F5679651.edm" vbProcedure="false">#REF!</definedName>
    <definedName function="false" hidden="true" name="_bdm.9CCEC3629FD3490E9039A89F1AE78B1C.edm" vbProcedure="false">#REF!</definedName>
    <definedName function="false" hidden="true" name="_bdm.9D1996AA3FE843249C7080AB942E6FCC.edm" vbProcedure="false">#REF!</definedName>
    <definedName function="false" hidden="true" name="_bdm.9D576385AB334E0F91FC7FB7CEA21807.edm" vbProcedure="false">#REF!</definedName>
    <definedName function="false" hidden="true" name="_bdm.9EF969AED56042D1B722EE7D9E271807.edm" vbProcedure="false">#REF!</definedName>
    <definedName function="false" hidden="true" name="_bdm.9FAB4FDDAD6541FAA5059E2081679182.edm" vbProcedure="false">#REF!</definedName>
    <definedName function="false" hidden="true" name="_bdm.A0B2365113E146E391C05B15861A92B4.edm" vbProcedure="false">#REF!</definedName>
    <definedName function="false" hidden="true" name="_bdm.A0DFFC5C361147789F8B450F65098316.edm" vbProcedure="false">#REF!</definedName>
    <definedName function="false" hidden="true" name="_bdm.A0F8A20A4CE94C70A6497BC5E1C85C44.edm" vbProcedure="false">#REF!</definedName>
    <definedName function="false" hidden="true" name="_bdm.A2A1173BB4584A07B5359DA4CC354806.edm" vbProcedure="false">#REF!</definedName>
    <definedName function="false" hidden="true" name="_bdm.A333726A5D064575ACE030ED875E24B2.edm" vbProcedure="false">#REF!</definedName>
    <definedName function="false" hidden="true" name="_bdm.a33ac77e65e44f38a36307fd5e400cc0.edm" vbProcedure="false">#REF!</definedName>
    <definedName function="false" hidden="true" name="_bdm.A34799881A47435499BEAA53D1614624.edm" vbProcedure="false">#REF!</definedName>
    <definedName function="false" hidden="true" name="_bdm.A3DBFEEEBB244BD2B2537C6CA81AB73E.edm" vbProcedure="false">#REF!</definedName>
    <definedName function="false" hidden="true" name="_bdm.A3F7DC25059C46AA8897944747A7A303.edm" vbProcedure="false">#REF!</definedName>
    <definedName function="false" hidden="true" name="_bdm.A4C474BF7972425DA5BDB6E5E2C30822.edm" vbProcedure="false">#REF!</definedName>
    <definedName function="false" hidden="true" name="_bdm.A66315C10345430796B02D2E53687E4A.edm" vbProcedure="false">#REF!</definedName>
    <definedName function="false" hidden="true" name="_bdm.a6cd4c1e960d4c11b944a38b89ddd6a1.edm" vbProcedure="false">#REF!</definedName>
    <definedName function="false" hidden="true" name="_bdm.A6F9F046549D48B2A189609EDAC4CA88.edm" vbProcedure="false">#REF!</definedName>
    <definedName function="false" hidden="true" name="_bdm.A748A12A9B3C4D85BBD009D030548D45.edm" vbProcedure="false">#REF!</definedName>
    <definedName function="false" hidden="true" name="_bdm.a7806a9d8cb74c198d724b517797fb76.edm" vbProcedure="false">#REF!</definedName>
    <definedName function="false" hidden="true" name="_bdm.A7E93B6D8E954382B93A577709C71B7D.edm" vbProcedure="false">#REF!</definedName>
    <definedName function="false" hidden="true" name="_bdm.A80A4E64BA8941BEA4C08CA29CFD6D9C.edm" vbProcedure="false">#REF!</definedName>
    <definedName function="false" hidden="true" name="_bdm.A845EAF5B830462A895039685D1B10BC.edm" vbProcedure="false">#REF!</definedName>
    <definedName function="false" hidden="true" name="_bdm.A87D2D4C54344B8799B903DC2393FAA8.edm" vbProcedure="false">#REF!</definedName>
    <definedName function="false" hidden="true" name="_bdm.A8C321F8453B4FF1ACE1A89DDAC1A47C.edm" vbProcedure="false">#REF!</definedName>
    <definedName function="false" hidden="true" name="_bdm.A9211BD8F2274F0188D0811117F2C933.edm" vbProcedure="false">#REF!</definedName>
    <definedName function="false" hidden="true" name="_bdm.A9EBBF5820954A829CB8C12D88326DCA.edm" vbProcedure="false">#REF!</definedName>
    <definedName function="false" hidden="true" name="_bdm.A9F438C455744C46AF514EE269CAB3EA.edm" vbProcedure="false">#REF!</definedName>
    <definedName function="false" hidden="true" name="_bdm.AA6F8C2B901448A3B65E6C36E1572C0B.edm" vbProcedure="false">#REF!</definedName>
    <definedName function="false" hidden="true" name="_bdm.AAA012BD7B5F44629607D40A00F2D8B7.edm" vbProcedure="false">#REF!</definedName>
    <definedName function="false" hidden="true" name="_bdm.AABE723A59D448EAB33DB33D90555BB8.edm" vbProcedure="false">#REF!</definedName>
    <definedName function="false" hidden="true" name="_bdm.AB87293030164CD69E6A51019FB32DFB.edm" vbProcedure="false">#REF!</definedName>
    <definedName function="false" hidden="true" name="_bdm.AC31221B454844B69226FA81C1ABC9B4.edm" vbProcedure="false">#REF!</definedName>
    <definedName function="false" hidden="true" name="_bdm.AC5F6070539641ADA8B45376A8DE723A.edm" vbProcedure="false">#REF!</definedName>
    <definedName function="false" hidden="true" name="_bdm.ae386905c1c648a58617e9adfe8278ea.edm" vbProcedure="false">#REF!</definedName>
    <definedName function="false" hidden="true" name="_bdm.AE3CECDE1CF444F194028C9C48C374E6.edm" vbProcedure="false">#REF!</definedName>
    <definedName function="false" hidden="true" name="_bdm.AE84C6770C1B4DC7A9FFBE46E7BA6349.edm" vbProcedure="false">#REF!</definedName>
    <definedName function="false" hidden="true" name="_bdm.aefa50cd85b246968bf52d7992c4931f.edm" vbProcedure="false">#REF!</definedName>
    <definedName function="false" hidden="true" name="_bdm.AF0260D98F014A439AD500890343FDE2.edm" vbProcedure="false">#REF!</definedName>
    <definedName function="false" hidden="true" name="_bdm.AF2F12C640144CF3A81AE4702E2D5A27.edm" vbProcedure="false">#REF!</definedName>
    <definedName function="false" hidden="true" name="_bdm.b1390ca893494939903973a3bcd581f8.edm" vbProcedure="false">#REF!</definedName>
    <definedName function="false" hidden="true" name="_bdm.B18B36769FB74919A410430659005982.edm" vbProcedure="false">#REF!</definedName>
    <definedName function="false" hidden="true" name="_bdm.B1ACC77B11374E70A5A5E0FBE15F0172.edm" vbProcedure="false">#REF!</definedName>
    <definedName function="false" hidden="true" name="_bdm.B3A13DA8531345E3BB58DB26FCFB7FEA.edm" vbProcedure="false">#REF!</definedName>
    <definedName function="false" hidden="true" name="_bdm.B3BAC9CC87DB46F299E45963D2C7A541.edm" vbProcedure="false">#REF!</definedName>
    <definedName function="false" hidden="true" name="_bdm.B4E731BBDB4A4D329A47277F414E2143.edm" vbProcedure="false">#REF!</definedName>
    <definedName function="false" hidden="true" name="_bdm.B4F94CD6C0D7415BBEB01093E52A920B.edm" vbProcedure="false">#REF!</definedName>
    <definedName function="false" hidden="true" name="_bdm.B6EB40DA2BC74148B3BAD58053C7511D.edm" vbProcedure="false">#REF!</definedName>
    <definedName function="false" hidden="true" name="_bdm.B7D36F24B31141B9A12B1DE97C2730F3.edm" vbProcedure="false">#REF!</definedName>
    <definedName function="false" hidden="true" name="_bdm.B80D9F2C93C841C696C5830617D3D444.edm" vbProcedure="false">#REF!</definedName>
    <definedName function="false" hidden="true" name="_bdm.B8F69D9574074647A0747CF6CC9FBF9F.edm" vbProcedure="false">#REF!</definedName>
    <definedName function="false" hidden="true" name="_bdm.B93E2010E9C447B79B4439E441BD6C15.edm" vbProcedure="false">#REF!</definedName>
    <definedName function="false" hidden="true" name="_bdm.B971D09277EA4826B2F89C034C524531.edm" vbProcedure="false">#REF!</definedName>
    <definedName function="false" hidden="true" name="_bdm.BABEE40806254FA788679C066DB0C578.edm" vbProcedure="false">#REF!</definedName>
    <definedName function="false" hidden="true" name="_bdm.BB02533171A44822A07787909C789279.edm" vbProcedure="false">#REF!</definedName>
    <definedName function="false" hidden="true" name="_bdm.BC44528361744132AF0F5A421B5C7FC3.edm" vbProcedure="false">#REF!</definedName>
    <definedName function="false" hidden="true" name="_bdm.BC71ECEB93B643E7A3B8D9E90F6A485A.edm" vbProcedure="false">#REF!</definedName>
    <definedName function="false" hidden="true" name="_bdm.BE18B4ACB1754D8E9C27AD70A6116BFC.edm" vbProcedure="false">#REF!</definedName>
    <definedName function="false" hidden="true" name="_bdm.BE246BF6B1A04A76B3F179A3809B6F09.edm" vbProcedure="false">#REF!</definedName>
    <definedName function="false" hidden="true" name="_bdm.BFB0C5E3FCBB484099127966034FEED3.edm" vbProcedure="false">#REF!</definedName>
    <definedName function="false" hidden="true" name="_bdm.C0A4B92D76E748FE9101284B76A10BAA.edm" vbProcedure="false">#REF!</definedName>
    <definedName function="false" hidden="true" name="_bdm.C0F143BF04944ACD98CDBE98D7ECE5FB.edm" vbProcedure="false">#REF!</definedName>
    <definedName function="false" hidden="true" name="_bdm.c1544795927149b9a76c0e245f834eff.edm" vbProcedure="false">#REF!</definedName>
    <definedName function="false" hidden="true" name="_bdm.C1A963CD0E714D3AA258AD0836EB9570.edm" vbProcedure="false">#REF!</definedName>
    <definedName function="false" hidden="true" name="_bdm.C289B0FACEBA4B079A25C5F15107F64B.edm" vbProcedure="false">#REF!</definedName>
    <definedName function="false" hidden="true" name="_bdm.C28CB53727484D02A4D2D4CE5AC1312C.edm" vbProcedure="false">#REF!</definedName>
    <definedName function="false" hidden="true" name="_bdm.C296E4AB5CFA4B019F96A80A59CF73C5.edm" vbProcedure="false">#REF!</definedName>
    <definedName function="false" hidden="true" name="_bdm.C2D81EE090454E5DA1ED5471919CEFC4.edm" vbProcedure="false">#REF!</definedName>
    <definedName function="false" hidden="true" name="_bdm.C33B8DABB37F4B47BBFE72DEE8304F2D.edm" vbProcedure="false">#REF!</definedName>
    <definedName function="false" hidden="true" name="_bdm.C39E1ED1AB4D4E0C97005A872B5CE56C.edm" vbProcedure="false">#REF!</definedName>
    <definedName function="false" hidden="true" name="_bdm.C3AA4F8006D8497EA2B02278D61FB55A.edm" vbProcedure="false">#REF!</definedName>
    <definedName function="false" hidden="true" name="_bdm.C3CE10670CCE408A82CFC6263FA78C18.edm" vbProcedure="false">#REF!</definedName>
    <definedName function="false" hidden="true" name="_bdm.C4D7D1D361CF4EF0916E3D3423844E73.edm" vbProcedure="false">#REF!</definedName>
    <definedName function="false" hidden="true" name="_bdm.C556F094675C47BDB4F790108B2E3C13.edm" vbProcedure="false">#REF!</definedName>
    <definedName function="false" hidden="true" name="_bdm.C589B0FF3CB3437E833F4EF34FBCBD9E.edm" vbProcedure="false">#REF!</definedName>
    <definedName function="false" hidden="true" name="_bdm.C67D3F0F5497425998E5C964B025728F.edm" vbProcedure="false">#REF!</definedName>
    <definedName function="false" hidden="true" name="_bdm.C6B3C991591B40119A402DEA9F0280A9.edm" vbProcedure="false">#REF!</definedName>
    <definedName function="false" hidden="true" name="_bdm.C6CE7298F6ED401C9BF70523F8427C35.edm" vbProcedure="false">#REF!</definedName>
    <definedName function="false" hidden="true" name="_bdm.C853C27FB82742D6B56E80FC3879F316.edm" vbProcedure="false">#REF!</definedName>
    <definedName function="false" hidden="true" name="_bdm.C862C963309641EAA7082E4F79233FA5.edm" vbProcedure="false">#REF!</definedName>
    <definedName function="false" hidden="true" name="_bdm.C89F1F20AAE54A81BE5C7D527FBA1C69.edm" vbProcedure="false">#REF!</definedName>
    <definedName function="false" hidden="true" name="_bdm.C909614432F0490CB9E7290F95485085.edm" vbProcedure="false">#REF!</definedName>
    <definedName function="false" hidden="true" name="_bdm.C914A1D8B904401C9057A8D116E43ED0.edm" vbProcedure="false">#REF!</definedName>
    <definedName function="false" hidden="true" name="_bdm.C976480351B44C749B64B549B5F34595.edm" vbProcedure="false">#REF!</definedName>
    <definedName function="false" hidden="true" name="_bdm.CAC2C96F5E2749EDBD375DD28970CB25.edm" vbProcedure="false">#REF!</definedName>
    <definedName function="false" hidden="true" name="_bdm.CAED5D643DD349D69909F81247CE4D30.edm" vbProcedure="false">#REF!</definedName>
    <definedName function="false" hidden="true" name="_bdm.CB7FD5E3C7B74B35B024CD94BC3FF2B2.edm" vbProcedure="false">#REF!</definedName>
    <definedName function="false" hidden="true" name="_bdm.CBCE49ABF7054C7D8635DCFD42C62637.edm" vbProcedure="false">#REF!</definedName>
    <definedName function="false" hidden="true" name="_bdm.CBF106E81AF1407B914F61C42239D28B.edm" vbProcedure="false">#REF!</definedName>
    <definedName function="false" hidden="true" name="_bdm.CDA551690EFE4B4391B813A6E4032634.edm" vbProcedure="false">#REF!</definedName>
    <definedName function="false" hidden="true" name="_bdm.CE89B004C73545ACB0BE71E70D632B47.edm" vbProcedure="false">#REF!</definedName>
    <definedName function="false" hidden="true" name="_bdm.CE9EC8736DF142299D3F894E5EAAE5FD.edm" vbProcedure="false">#REF!</definedName>
    <definedName function="false" hidden="true" name="_bdm.CECDEC8EDBC1497FB35369A87F04C793.edm" vbProcedure="false">#REF!</definedName>
    <definedName function="false" hidden="true" name="_bdm.CF62BCAB9FA1479DB9331FC1B4C68B65.edm" vbProcedure="false">#REF!</definedName>
    <definedName function="false" hidden="true" name="_bdm.CFE8E2C0C3824673B4C0E9027E9603A6.edm" vbProcedure="false">#REF!</definedName>
    <definedName function="false" hidden="true" name="_bdm.D1172C07BB584B51B5F46FF7F1084F52.edm" vbProcedure="false">#REF!</definedName>
    <definedName function="false" hidden="true" name="_bdm.D15F84994B60481AA4CF39B339E351A2.edm" vbProcedure="false">#REF!</definedName>
    <definedName function="false" hidden="true" name="_bdm.D16415DCDFE3493BBD27F9D3AE9FF201.edm" vbProcedure="false">#REF!</definedName>
    <definedName function="false" hidden="true" name="_bdm.d18722a2839c4269b5b35e1fdf4e1f2b.edm" vbProcedure="false">#REF!</definedName>
    <definedName function="false" hidden="true" name="_bdm.D19A5A77BF1E49BF816E1C3D37CD2F0E.edm" vbProcedure="false">#REF!</definedName>
    <definedName function="false" hidden="true" name="_bdm.D1D86EA3753049C8A1D46C64A006BCA0.edm" vbProcedure="false">#REF!</definedName>
    <definedName function="false" hidden="true" name="_bdm.d1ea8416cce045259e5f6f84086d3641.edm" vbProcedure="false">#REF!</definedName>
    <definedName function="false" hidden="true" name="_bdm.D23415B2898A4562A5221AC7E29FE73F.edm" vbProcedure="false">#REF!</definedName>
    <definedName function="false" hidden="true" name="_bdm.D276243E22D94532A50DC1391014A619.edm" vbProcedure="false">#REF!</definedName>
    <definedName function="false" hidden="true" name="_bdm.D31DBB81AE90443CB15F376CAFF6928F.edm" vbProcedure="false">#REF!</definedName>
    <definedName function="false" hidden="true" name="_bdm.D3AB437E29C644D481E68F051D19F897.edm" vbProcedure="false">#REF!</definedName>
    <definedName function="false" hidden="true" name="_bdm.D58C5ED5385E4698AF4D6CBD4A4185C9.edm" vbProcedure="false">#REF!</definedName>
    <definedName function="false" hidden="true" name="_bdm.D5B9290E432D4221826A56FD5D91C018.edm" vbProcedure="false">#REF!</definedName>
    <definedName function="false" hidden="true" name="_bdm.D6F2AD185D104FC99B042170EDD54956.edm" vbProcedure="false">#REF!</definedName>
    <definedName function="false" hidden="true" name="_bdm.D804A8B72E4C4024A8737E5F2F37BDFC.edm" vbProcedure="false">#REF!</definedName>
    <definedName function="false" hidden="true" name="_bdm.D825CA71941E497CAEDAC6D318B6E776.edm" vbProcedure="false">#REF!</definedName>
    <definedName function="false" hidden="true" name="_bdm.D909D149F98E40CEB99976E91BEA2AC6.edm" vbProcedure="false">#REF!</definedName>
    <definedName function="false" hidden="true" name="_bdm.DA4BF50061BE4712B25D9FAA9B988107.edm" vbProcedure="false">#REF!</definedName>
    <definedName function="false" hidden="true" name="_bdm.DB5FF4E00B694546B6EF2EC478D5D574.edm" vbProcedure="false">#REF!</definedName>
    <definedName function="false" hidden="true" name="_bdm.dba54b6eb7d54c36be1672764e822933.edm" vbProcedure="false">#REF!</definedName>
    <definedName function="false" hidden="true" name="_bdm.DC341461D3844DBBA8AE8912D3CC723A.edm" vbProcedure="false">#REF!</definedName>
    <definedName function="false" hidden="true" name="_bdm.dc567bb7748c4bd2bee6d3b793596c41.edm" vbProcedure="false">#REF!</definedName>
    <definedName function="false" hidden="true" name="_bdm.DD22B8AE80F6499C847C8CF57B4AA32B.edm" vbProcedure="false">#REF!</definedName>
    <definedName function="false" hidden="true" name="_bdm.DD4C989E4A99427188E8CB481B442484.edm" vbProcedure="false">#REF!</definedName>
    <definedName function="false" hidden="true" name="_bdm.DD4E3C79D05948ABA4F274E6E8D77EFB.edm" vbProcedure="false">#REF!</definedName>
    <definedName function="false" hidden="true" name="_bdm.DE3CEC25B50848CB925F10F03215F291.edm" vbProcedure="false">#REF!</definedName>
    <definedName function="false" hidden="true" name="_bdm.DE580986D10C40688C11E0C1ACC0BB7F.edm" vbProcedure="false">#REF!</definedName>
    <definedName function="false" hidden="true" name="_bdm.DE648A5F7CE74633BDBA77AC9C602036.edm" vbProcedure="false">#REF!</definedName>
    <definedName function="false" hidden="true" name="_bdm.DF4A457FD4F746B39379B252718A048A.edm" vbProcedure="false">#REF!</definedName>
    <definedName function="false" hidden="true" name="_bdm.df52015194c547e4affa04506cacc0af.edm" vbProcedure="false">#REF!</definedName>
    <definedName function="false" hidden="true" name="_bdm.DF82CE101B1B44C5A7DD77DE282F4504.edm" vbProcedure="false">#REF!</definedName>
    <definedName function="false" hidden="true" name="_bdm.E0DD0B24504546E998431A90925B7A28.edm" vbProcedure="false">#REF!</definedName>
    <definedName function="false" hidden="true" name="_bdm.e2b95fd2e4634c0db342b835e4f70bf0.edm" vbProcedure="false">#REF!</definedName>
    <definedName function="false" hidden="true" name="_bdm.e3474cf4100a43f5ac6a0cff48323a6c.edm" vbProcedure="false">#REF!</definedName>
    <definedName function="false" hidden="true" name="_bdm.E36C009F49EF4995B415059C793CDE6F.edm" vbProcedure="false">#REF!</definedName>
    <definedName function="false" hidden="true" name="_bdm.E446AD1A204E453C8176A6030BF43D96.edm" vbProcedure="false">#REF!</definedName>
    <definedName function="false" hidden="true" name="_bdm.E4762CC5D00A41E6870DFC8A7CBF8BA1.edm" vbProcedure="false">#REF!</definedName>
    <definedName function="false" hidden="true" name="_bdm.E47945B7EE6A46BEB53961042CF7CD35.edm" vbProcedure="false">#REF!</definedName>
    <definedName function="false" hidden="true" name="_bdm.E501377E2FF04C59927F1E0DEC455980.edm" vbProcedure="false">#REF!</definedName>
    <definedName function="false" hidden="true" name="_bdm.E51EBF62D81F424A8D4FD42D783BB86F.edm" vbProcedure="false">#REF!</definedName>
    <definedName function="false" hidden="true" name="_bdm.E5E464435EB84E9689A9E6DDFED6A763.edm" vbProcedure="false">#REF!</definedName>
    <definedName function="false" hidden="true" name="_bdm.E5F3919F5DC640EDA776C61CDFF3318F.edm" vbProcedure="false">#REF!</definedName>
    <definedName function="false" hidden="true" name="_bdm.E67F62222044404C8EF22463EB4EEF4C.edm" vbProcedure="false">#REF!</definedName>
    <definedName function="false" hidden="true" name="_bdm.E6CE60FB1C8F46A78BAA4AD2FC17A66C.edm" vbProcedure="false">#REF!</definedName>
    <definedName function="false" hidden="true" name="_bdm.E7ED750937E94C74A9C049411437DEA0.edm" vbProcedure="false">#REF!</definedName>
    <definedName function="false" hidden="true" name="_bdm.E81F319410D74C749DEB27A69B5A3157.edm" vbProcedure="false">#REF!</definedName>
    <definedName function="false" hidden="true" name="_bdm.E84F47B759A24456B59F3346448A960E.edm" vbProcedure="false">#REF!</definedName>
    <definedName function="false" hidden="true" name="_bdm.E8FE1CF61913499BA4D49150528096DD.edm" vbProcedure="false">#REF!</definedName>
    <definedName function="false" hidden="true" name="_bdm.E90480F364564036809C5E4543877727.edm" vbProcedure="false">#REF!</definedName>
    <definedName function="false" hidden="true" name="_bdm.E9718EE3EC044946B119D2181040AE30.edm" vbProcedure="false">#REF!</definedName>
    <definedName function="false" hidden="true" name="_bdm.E9F4DDDC6B9544A4866343348AD73098.edm" vbProcedure="false">#REF!</definedName>
    <definedName function="false" hidden="true" name="_bdm.EA07319299254F0D92C9B891B4E709F9.edm" vbProcedure="false">#REF!</definedName>
    <definedName function="false" hidden="true" name="_bdm.EA4D0267849F473A904AC33D92BDB0DB.edm" vbProcedure="false">#REF!</definedName>
    <definedName function="false" hidden="true" name="_bdm.EAB7C8D2C57B418BB3561FD4EED13D00.edm" vbProcedure="false">#REF!</definedName>
    <definedName function="false" hidden="true" name="_bdm.eb18e52439254a12adc98deed0280945.edm" vbProcedure="false">#REF!</definedName>
    <definedName function="false" hidden="true" name="_bdm.EB79A52589E344C0A643A498540130D3.edm" vbProcedure="false">#REF!</definedName>
    <definedName function="false" hidden="true" name="_bdm.EBC61FC2902F4D3482FC8540860F42BB.edm" vbProcedure="false">#REF!</definedName>
    <definedName function="false" hidden="true" name="_bdm.EC06DA9DF6F549EFA2BEA8D56144DC64.edm" vbProcedure="false">#REF!</definedName>
    <definedName function="false" hidden="true" name="_bdm.EC3D69D13D4249D2B3E8AB8AEBF2FBB6.edm" vbProcedure="false">#REF!</definedName>
    <definedName function="false" hidden="true" name="_bdm.EC6DF981DEE3472FAB8BEAAA67FBE342.edm" vbProcedure="false">#REF!</definedName>
    <definedName function="false" hidden="true" name="_bdm.ECA3BB100CFB4378A079EE8D59A57475.edm" vbProcedure="false">#REF!</definedName>
    <definedName function="false" hidden="true" name="_bdm.ECA5526E73284D01BFDE30C11571C7D1.edm" vbProcedure="false">#REF!</definedName>
    <definedName function="false" hidden="true" name="_bdm.ED5BDAA96E654EB0ABE9142BF0504D16.edm" vbProcedure="false">#REF!</definedName>
    <definedName function="false" hidden="true" name="_bdm.EEBDB8C577AA486FB429BBB6995D03D7.edm" vbProcedure="false">#REF!</definedName>
    <definedName function="false" hidden="true" name="_bdm.F0B8462061B242D4881D0889FD1E0657.edm" vbProcedure="false">#REF!</definedName>
    <definedName function="false" hidden="true" name="_bdm.F1F39B7563084625BAE8DBB66AA7D4A9.edm" vbProcedure="false">#REF!</definedName>
    <definedName function="false" hidden="true" name="_bdm.F21DF670F5C64956B07B08E470704816.edm" vbProcedure="false">#REF!</definedName>
    <definedName function="false" hidden="true" name="_bdm.F3476ABA8BDB4F059210D2DD01DFB30B.edm" vbProcedure="false">#REF!</definedName>
    <definedName function="false" hidden="true" name="_bdm.F4C31A2687334BDDA192A7089B24D354.edm" vbProcedure="false">#REF!</definedName>
    <definedName function="false" hidden="true" name="_bdm.F51D0BBD661F414AA0B60EB3BBA0EBE3.edm" vbProcedure="false">#REF!</definedName>
    <definedName function="false" hidden="true" name="_bdm.F64399AA833F40C1B4CA12693628D620.edm" vbProcedure="false">#REF!</definedName>
    <definedName function="false" hidden="true" name="_bdm.F77DCB52D56748B48943A01DF47B4A8C.edm" vbProcedure="false">#REF!</definedName>
    <definedName function="false" hidden="true" name="_bdm.F7FB16CDAF374F94A89544671A7D8635.edm" vbProcedure="false">#REF!</definedName>
    <definedName function="false" hidden="true" name="_bdm.F8A8DCEB4DD84118B520FF6070B6FAA2.edm" vbProcedure="false">#REF!</definedName>
    <definedName function="false" hidden="true" name="_bdm.F98CABE949D14175AD2E72C425DACEE4.edm" vbProcedure="false">#REF!</definedName>
    <definedName function="false" hidden="true" name="_bdm.FA89A151DB2A46DEBEA6FD04DA7F17DF.edm" vbProcedure="false">#REF!</definedName>
    <definedName function="false" hidden="true" name="_bdm.FBC1C28083114130895FA9C0D095C587.edm" vbProcedure="false">#REF!</definedName>
    <definedName function="false" hidden="true" name="_bdm.FBC8F4734CD44B95848F689416B40C4F.edm" vbProcedure="false">#REF!</definedName>
    <definedName function="false" hidden="true" name="_bdm.FBCF1A22AC5448DA92D30B7B46810780.edm" vbProcedure="false">#REF!</definedName>
    <definedName function="false" hidden="true" name="_bdm.fbd9922d7cd54ec8a24c34335de5ada7.edm" vbProcedure="false">#REF!</definedName>
    <definedName function="false" hidden="true" name="_bdm.FBF4DFA4665F4EFE8CD2560A20EC279F.edm" vbProcedure="false">#REF!</definedName>
    <definedName function="false" hidden="true" name="_bdm.FC93550196814212BCCE876EE028FAA7.edm" vbProcedure="false">#REF!</definedName>
    <definedName function="false" hidden="true" name="_bdm.FCEA6FF576054466A0539376CF2D6E83.edm" vbProcedure="false">#REF!</definedName>
    <definedName function="false" hidden="true" name="_bdm.FDD43C113F664A439D8DA40A06D83602.edm" vbProcedure="false">#REF!</definedName>
    <definedName function="false" hidden="true" name="_bdm.fdf606702b664a6cb047839d9751dbee.edm" vbProcedure="false">#REF!</definedName>
    <definedName function="false" hidden="true" name="_bdm.FE2506E390A34C799E68291962D2D072.edm" vbProcedure="false">#REF!</definedName>
    <definedName function="false" hidden="true" name="_bdm.FE5B639213404A92843D14CD0B6BC9D0.edm" vbProcedure="false">#REF!</definedName>
    <definedName function="false" hidden="true" name="_bdm.FF572A4F8CFC4E7BBB22A51025A51D69.edm" vbProcedure="false">#REF!</definedName>
    <definedName function="false" hidden="true" name="_bdm.FFEC93DA97204E7FB3AF033D27A9FD3A.edm" vbProcedure="false">#REF!</definedName>
    <definedName function="false" hidden="true" name="_bdm.ToolkitBookmark.6_17_2004_9_35_05_AM.edm" vbProcedure="false">#REF!</definedName>
    <definedName function="false" hidden="true" name="_BIO1" vbProcedure="false">{"toc1",#N/A,FALSE,"TOC";"cover",#N/A,FALSE,"Cover";"ts1",#N/A,FALSE,"Transaction Summary";"ei3",#N/A,FALSE,"Earnings Impact";"ad3",#N/A,FALSE,"accretion dilution"}</definedName>
    <definedName function="false" hidden="true" name="_bji23" vbProcedure="false">{#N/A,"PURCHM",FALSE,"Business Analysis";#N/A,"SPADD",FALSE,"Business Analysis"}</definedName>
    <definedName function="false" hidden="true" name="_bjw1" vbProcedure="false">{#N/A,#N/A,FALSE,"Profit Status";#N/A,#N/A,FALSE,"Invest";#N/A,#N/A,FALSE,"Revenue";#N/A,#N/A,FALSE,"Variable Cost";#N/A,#N/A,FALSE,"Options &amp; Series"}</definedName>
    <definedName function="false" hidden="true" name="_bjw3" vbProcedure="false">{#N/A,#N/A,FALSE,"Cover";#N/A,#N/A,FALSE,"Assumptions";#N/A,#N/A,FALSE,"Volumes";#N/A,#N/A,FALSE,"Pricing";#N/A,#N/A,FALSE,"TFLE Walk";#N/A,#N/A,FALSE,"Variable Cost";#N/A,#N/A,FALSE,"Sensitivity";#N/A,#N/A,FALSE,"Investment";#N/A,#N/A,FALSE,"Profitability"}</definedName>
    <definedName function="false" hidden="true" name="_bkd87" vbProcedure="false">{#N/A,"PURCHM",FALSE,"Business Analysis";#N/A,"SPADD",FALSE,"Business Analysis"}</definedName>
    <definedName function="false" hidden="true" name="_bud3" vbProcedure="false">{"budget95",#N/A,TRUE,"Tabelle1";"Tab1",#N/A,TRUE,"Tabelle2"}</definedName>
    <definedName function="false" hidden="true" name="_c" vbProcedure="false">{#N/A,#N/A,FALSE,"Layout Cash Flow"}</definedName>
    <definedName function="false" hidden="true" name="_c83" vbProcedure="false">{0,0,0,0;0,0,0,0;0,0,0,0}</definedName>
    <definedName function="false" hidden="true" name="_c88" vbProcedure="false">{0,0,0,0;0,0,0,0;0,0,0,0;0,0,TRUE,0}</definedName>
    <definedName function="false" hidden="true" name="_CAP10" vbProcedure="false">{"LC",#N/A,FALSE,"FC-15 Cap Expend"}</definedName>
    <definedName function="false" hidden="true" name="_cc1111" vbProcedure="false">#REF!</definedName>
    <definedName function="false" hidden="true" name="_cum1" vbProcedure="false">{"SCM_Detail",#N/A,FALSE,"SCM";"SCM_Top",#N/A,FALSE,"SCM"}</definedName>
    <definedName function="false" hidden="true" name="_CuN3" vbProcedure="false">{#N/A,#N/A,FALSE,"WOBE_DE.XLS";#N/A,#N/A,FALSE,"WOB_1.XLS";#N/A,#N/A,FALSE,"WOB_2.XLS";#N/A,#N/A,FALSE,"WOB_3.XLS";#N/A,#N/A,FALSE,"WOB_4.XLS";#N/A,#N/A,FALSE,"WOB_5.XLS"}</definedName>
    <definedName function="false" hidden="true" name="_d1" vbProcedure="false">{#N/A,#N/A,FALSE,"bel";#N/A,#N/A,FALSE,"neth"}</definedName>
    <definedName function="false" hidden="true" name="_d2"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_das2" vbProcedure="false">{#N/A,#N/A,TRUE,"Cover";#N/A,#N/A,TRUE,"Summary";#N/A,#N/A,TRUE,"P&amp;L";#N/A,#N/A,TRUE,"CF";#N/A,#N/A,TRUE,"BS";#N/A,#N/A,TRUE,"BS_Assumptions";#N/A,#N/A,TRUE,"GSM1800 -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function="false" hidden="true" name="_DCF1" vbProcedure="false">{#N/A,#N/A,FALSE,"DCF Summary";#N/A,#N/A,FALSE,"Casema";#N/A,#N/A,FALSE,"Casema NoTel";#N/A,#N/A,FALSE,"UK";#N/A,#N/A,FALSE,"RCF";#N/A,#N/A,FALSE,"Intercable CZ";#N/A,#N/A,FALSE,"Interkabel P"}</definedName>
    <definedName function="false" hidden="true" name="_Dec01" vbProcedure="false">{"Statement of Income",#N/A,TRUE,"Mar99";"Balance Sheet",#N/A,TRUE,"Mar99"}</definedName>
    <definedName function="false" hidden="true" name="_del3" vbProcedure="false">{0}</definedName>
    <definedName function="false" hidden="true" name="_DF4" vbProcedure="false">#REF!</definedName>
    <definedName function="false" hidden="true" name="_dfd1" vbProcedure="false">{"comp1",#N/A,FALSE,"COMPS";"footnotes",#N/A,FALSE,"COMPS"}</definedName>
    <definedName function="false" hidden="true" name="_dfk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Dist_Bin" vbProcedure="false">#REF!</definedName>
    <definedName function="false" hidden="true" name="_Dist_Values" vbProcedure="false">#REF!</definedName>
    <definedName function="false" hidden="true" name="_div20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div203" vbProcedure="false">{#N/A,"PURADD",FALSE,"Business Analysis";#N/A,"PURSPP",FALSE,"Business Analysis";#N/A,"CTGIND",FALSE,"Business Analysis";#N/A,"PURCHM",FALSE,"Business Analysis";#N/A,"SPADD",FALSE,"Business Analysis";#N/A,"EPOXY",FALSE,"Business Analysis";#N/A,"PURPER",FALSE,"Business Analysis"}</definedName>
    <definedName function="false" hidden="true" name="_djd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dkj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DP6434" vbProcedure="false">{"TOTALDPAK",#N/A,FALSE,"DPAK PRODUCTION";"HADPAK",#N/A,FALSE,"DPAK PRODUCTION";"PSIDPAK",#N/A,FALSE,"DPAK PRODUCTION"}</definedName>
    <definedName function="false" hidden="true" name="_dwa1" vbProcedure="false">{#N/A,"PURCHM",FALSE,"Business Analysis";#N/A,"SPADD",FALSE,"Business Analysis"}</definedName>
    <definedName function="false" hidden="true" name="_e1" vbProcedure="false">{"'Demand Units'!$Z$2:$AF$53"}</definedName>
    <definedName function="false" hidden="true" name="_edp1" vbProcedure="false">{"assumption 50 50",#N/A,TRUE,"Merger";"has gets cash",#N/A,TRUE,"Merger";"accretion dilution",#N/A,TRUE,"Merger";"comparison credit stats",#N/A,TRUE,"Merger";"pf credit stats",#N/A,TRUE,"Merger";"pf sheets",#N/A,TRUE,"Merger"}</definedName>
    <definedName function="false" hidden="true" name="_eo2" vbProcedure="false">{"'B1'!$B$3:$E$3"}</definedName>
    <definedName function="false" hidden="true" name="_eo4" vbProcedure="false">{"'B1'!$B$3:$E$3"}</definedName>
    <definedName function="false" hidden="true" name="_eu93" vbProcedure="false">{"Comp_of_Price_Effect",#N/A,FALSE,"QTRDPVAR"}</definedName>
    <definedName function="false" hidden="true" name="_ew10" vbProcedure="false">{"'B1'!$B$3:$E$3"}</definedName>
    <definedName function="false" hidden="true" name="_ew2" vbProcedure="false">{"'B1'!$B$3:$E$3"}</definedName>
    <definedName function="false" hidden="true" name="_ew3" vbProcedure="false">{"'B1'!$B$3:$E$3"}</definedName>
    <definedName function="false" hidden="true" name="_ew4" vbProcedure="false">{"'B1'!$B$3:$E$3"}</definedName>
    <definedName function="false" hidden="true" name="_ew5" vbProcedure="false">{"'B1'!$B$3:$E$3"}</definedName>
    <definedName function="false" hidden="true" name="_ew6" vbProcedure="false">{"'B1'!$B$3:$E$3"}</definedName>
    <definedName function="false" hidden="true" name="_ew8" vbProcedure="false">{"'B1'!$B$3:$E$3"}</definedName>
    <definedName function="false" hidden="true" name="_eyr1" vbProcedure="false">{"hiden",#N/A,FALSE,"14";"hidden",#N/A,FALSE,"16";"hidden",#N/A,FALSE,"18";"hidden",#N/A,FALSE,"20"}</definedName>
    <definedName function="false" hidden="true" name="_f"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_f5" vbProcedure="false">{"'Sheet1'!$L$16"}</definedName>
    <definedName function="false" hidden="true" name="_FA16434" vbProcedure="false">{"TOTALFAB",#N/A,FALSE,"WAFER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function="false" hidden="true" name="_FA26434"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_FA96434"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_FAC6434" vbProcedure="false">{"TOTAL",#N/A,FALSE,"FACILITIES EXPENSE";"TOTALDETAIL",#N/A,FALSE,"FACILITIES EXPENSE";"MATERIALS",#N/A,FALSE,"FACILITIES EXPENSE";"FACILITIES",#N/A,FALSE,"FACILITIES EXPENSE";"CHEM",#N/A,FALSE,"FACILITIES EXPENSE";"GENSVC",#N/A,FALSE,"FACILITIES EXPENSE";"SAFETY",#N/A,FALSE,"FACILITIES EXPENSE"}</definedName>
    <definedName function="false" hidden="true" name="_fds2" vbProcedure="false">{"comps",#N/A,FALSE,"comps";"notes",#N/A,FALSE,"comps"}</definedName>
    <definedName function="false" hidden="true" name="_feb01" vbProcedure="false">{"Statement of Income",#N/A,TRUE,"Mar99";"Balance Sheet",#N/A,TRUE,"Mar99"}</definedName>
    <definedName function="false" hidden="true" name="_feb02" vbProcedure="false">{"Statement of Income",#N/A,TRUE,"Mar99";"Balance Sheet",#N/A,TRUE,"Mar99"}</definedName>
    <definedName function="false" hidden="true" name="_Fill" vbProcedure="false">#REF!</definedName>
    <definedName function="false" hidden="true" name="_Fir1" vbProcedure="false">"03289 DATAGROUP GmbH Konzern"</definedName>
    <definedName function="false" hidden="true" name="_Fir2" vbProcedure="false">"DATAGROUP IT Services Holding AG, Pliezhausen"</definedName>
    <definedName function="false" hidden="true" name="_Fir3" vbProcedure="false">"DATAGROUP IT Services Holding AG"</definedName>
    <definedName function="false" hidden="true" name="_Fir4" vbProcedure="false">"Pliezhausen"</definedName>
    <definedName function="false" hidden="true" name="_fy97" vbProcedure="false">{#N/A,#N/A,FALSE,"FY97";#N/A,#N/A,FALSE,"FY98";#N/A,#N/A,FALSE,"FY99";#N/A,#N/A,FALSE,"FY00";#N/A,#N/A,FALSE,"FY01"}</definedName>
    <definedName function="false" hidden="true" name="_G1" vbProcedure="false">{"'Future Reviews'!$A$1:$D$58"}</definedName>
    <definedName function="false" hidden="true" name="_G2" vbProcedure="false">{"'Future Reviews'!$A$1:$D$58"}</definedName>
    <definedName function="false" hidden="true" name="_G3" vbProcedure="false">{#N/A,#N/A,FALSE,"передел"}</definedName>
    <definedName function="false" hidden="true" name="_ggf1" vbProcedure="false">{"comps",#N/A,FALSE,"comps";"notes",#N/A,FALSE,"comps"}</definedName>
    <definedName function="false" hidden="true" name="_gh1" vbProcedure="false">{"'Data'!$A$1:$D$17"}</definedName>
    <definedName function="false" hidden="true" name="_GMX365" vbProcedure="false">{#N/A,#N/A,FALSE,"J-CAR";#N/A,#N/A,FALSE,"gmx-130";#N/A,#N/A,FALSE,"d-186sable";#N/A,#N/A,FALSE,"savana";#N/A,#N/A,FALSE,"d-186taurus";#N/A,#N/A,FALSE,"hb dn";#N/A,#N/A,FALSE,"dakota"}</definedName>
    <definedName function="false" hidden="true" name="_GR3" vbProcedure="false">{"Informes",#N/A,FALSE,"CA";"Informes",#N/A,FALSE,"CN";"Informes",#N/A,FALSE,"INVERSIONES";"Informes",#N/A,FALSE,"CN Oficial";"Informes",#N/A,FALSE,"CA Oficial";"Informes",#N/A,FALSE,"Res Datos Areas"}</definedName>
    <definedName function="false" hidden="true" name="_GR_AmpelHigher_1" vbProcedure="false">1</definedName>
    <definedName function="false" hidden="true" name="_GR_AmpelLower_1" vbProcedure="false">1</definedName>
    <definedName function="false" hidden="true" name="_GR_AmpelParameters_1" vbProcedure="false">{1;"Konsol_Eingabe";2;"Konsol_Ausgabe";"Yellow";"No value";TRUE}</definedName>
    <definedName function="false" hidden="true" name="_GR_EISLists" vbProcedure="false">{1,"Kursarten","";1,"Währungen",""}</definedName>
    <definedName function="false" hidden="true" name="_GR_EISVariables_Default" vbProcedure="false">{1,"Screen","";1,"KW1.Sel","";1,"Kursarten.Sel","";1,"Währungen.Sel","";1,"Kehrwert",""}</definedName>
    <definedName function="false" hidden="true" name="_GR_MaskAttributes" vbProcedure="false">{"";TRUE;TRUE;TRUE;TRUE;TRUE;TRUE;"R1C1:R32C11";FALSE;FALSE;FALSE;FALSE;FALSE;FALSE;FALSE;61;FALSE;FALSE;FALSE;FALSE;FALSE;"";FALSE;FALSE}</definedName>
    <definedName function="false" hidden="true" name="_GR_MaskObjects_Buttons_63" vbProcedure="false">{3;"Parameter";63;"$C$1";"15-05-01 10:22";"DADMIN";"Start";FALSE;"User";0;1}</definedName>
    <definedName function="false" hidden="true" name="_GR_MaskObjects_Buttons_67" vbProcedure="false">{1;"Transaktionskurse";67;"$E$2";"03-09-01 22:25";"DADMIN";"Transaktionskurse";FALSE;"User";0;1}</definedName>
    <definedName function="false" hidden="true" name="_GR_MaskObjects_Listboxes_1" vbProcedure="false">{2;FALSE;0;2;"Jahr";2;"Jahr.Sel";FALSE;10;1;1;"$C$4";"17-07-98 17:34";"DADMIN"}</definedName>
    <definedName function="false" hidden="true" name="_GR_MaskObjects_Listboxes_3" vbProcedure="false">{2;FALSE;0;2;"Monate_MA";2;"Monate_MA.Sel";FALSE;10;3;1;"$C$5";"17-07-98 17:36";"DADMIN"}</definedName>
    <definedName function="false" hidden="true" name="_GR_MaskObjects_Listboxes_34" vbProcedure="false">{2;FALSE;0;2;"Konzernwährung";2;"Konzernwährung.Sel";FALSE;10;34;1;"$C$7";"07-11-99 15:54";"DADMIN"}</definedName>
    <definedName function="false" hidden="true" name="_GR_MaskObjects_Listboxes_4" vbProcedure="false">{2;FALSE;0;2;"Version";2;"Version.Sel";FALSE;10;4;1;"$C$6";"17-07-98 17:36";"DADMIN"}</definedName>
    <definedName function="false" hidden="true" name="_GR_MaskObjects_Listboxes_90" vbProcedure="false">{2;FALSE;0;1;"Kursarten";1;"Kursarten.Sel";FALSE;10;90;1;"$J$9";"15-04-02 15:55";"DADMIN"}</definedName>
    <definedName function="false" hidden="true" name="_GR_MaskObjects_SpecialButtons_11" vbProcedure="false">{14;11;"$A$1";"07-11-99 15:43";"DADMIN";11;"CONTROL.IBS!Währungen_Druck";"";"";"";""}</definedName>
    <definedName function="false" hidden="true" name="_GR_MaskObjects_SpecialButtons_15" vbProcedure="false">{14;15;"$A$1";"07-11-99 15:42";"DADMIN";15;"CONTROL.IBS!Währungen_Neu";"";"";"";""}</definedName>
    <definedName function="false" hidden="true" name="_GR_MaskObjects_SpecialButtons_21" vbProcedure="false">{2;21;"$D$2";"22-07-99 18:31";"DADMIN";21;"";"";"";"";""}</definedName>
    <definedName function="false" hidden="true" name="_GR_MaskObjects_SpecialButtons_24" vbProcedure="false">{1;24;"$D$2";"22-07-99 18:31";"DADMIN";24;"";"";"";"";""}</definedName>
    <definedName function="false" hidden="true" name="_GR_MaskObjects_SpecialButtons_43" vbProcedure="false">{14;43;"$A$1";"05-09-00 16:37";"DADMIN";43;"CONTROL.IBS!Scrollbar_change";"";"";"";""}</definedName>
    <definedName function="false" hidden="true" name="_GR_MaskObjects_SpecialButtons_44" vbProcedure="false">{14;44;"$A$1";"05-09-00 16:37";"DADMIN";44;"CONTROL.IBS!Scrollbar_change";"";"";"";""}</definedName>
    <definedName function="false" hidden="true" name="_GR_MaskObjects_SpecialButtons_45" vbProcedure="false">{14;45;"$A$1";"05-09-00 16:37";"DADMIN";45;"CONTROL.IBS!Scrollbar_change";"";"";"";""}</definedName>
    <definedName function="false" hidden="true" name="_GR_MaskObjects_SpecialButtons_46" vbProcedure="false">{14;46;"$A$1";"05-09-00 16:37";"DADMIN";46;"CONTROL.IBS!Scrollbar_change";"";"";"";""}</definedName>
    <definedName function="false" hidden="true" name="_GR_MaskObjects_SpecialButtons_47" vbProcedure="false">{14;47;"$A$1";"05-09-00 16:37";"DADMIN";47;"CONTROL.IBS!Scrollbar_change";"";"";"";""}</definedName>
    <definedName function="false" hidden="true" name="_GR_MaskObjects_SpecialButtons_48" vbProcedure="false">{14;48;"$A$1";"05-09-00 16:37";"DADMIN";48;"CONTROL.IBS!Scrollbar_change";"";"";"";""}</definedName>
    <definedName function="false" hidden="true" name="_GR_MaskObjects_SpecialButtons_49" vbProcedure="false">{14;49;"$A$1";"08-09-00 15:35";"DADMIN";49;"Control.ibs!Call_Help";"";"";"";""}</definedName>
    <definedName function="false" hidden="true" name="_GR_MaskObjects_SpecialButtons_6" vbProcedure="false">{14;6;"$A$1";"07-11-99 15:41";"DADMIN";6;"IMPORT.IBS!Wechselkurse_übernehmen";"";"";"";""}</definedName>
    <definedName function="false" hidden="true" name="_GR_MaskObjects_SpecialButtons_71" vbProcedure="false">{16;71;"$I$13";"03-04-02 09:51";"DADMIN";71;"";"";"";"";""}</definedName>
    <definedName function="false" hidden="true" name="_GR_MaskObjects_SpecialButtons_78" vbProcedure="false">{14;78;"$D$41";"03-04-02 10:08";"DADMIN";78;"CONTROL.IBS!Scrollbar_change";"";"";"";""}</definedName>
    <definedName function="false" hidden="true" name="_GR_MaskObjects_SpecialButtons_79" vbProcedure="false">{14;79;"$D$41";"03-04-02 10:08";"DADMIN";79;"CONTROL.IBS!Scrollbar_change";"";"";"";""}</definedName>
    <definedName function="false" hidden="true" name="_GR_MaskObjects_SpecialButtons_80" vbProcedure="false">{14;80;"$D$41";"03-04-02 10:08";"DADMIN";80;"CONTROL.IBS!Scrollbar_change";"";"";"";""}</definedName>
    <definedName function="false" hidden="true" name="_GR_MaskObjects_SpecialButtons_82" vbProcedure="false">{14;82;"$D$41";"03-04-02 10:08";"DADMIN";82;"CONTROL.IBS!Scrollbar_change";"";"";"";""}</definedName>
    <definedName function="false" hidden="true" name="_GR_MaskObjects_SpecialButtons_83" vbProcedure="false">{14;83;"$D$41";"03-04-02 10:08";"DADMIN";83;"CONTROL.IBS!Scrollbar_change";"";"";"";""}</definedName>
    <definedName function="false" hidden="true" name="_GR_MaskObjects_SpecialButtons_84" vbProcedure="false">{14;84;"$D$41";"03-04-02 10:09";"DADMIN";84;"CONTROL.IBS!Scrollbar_change";"";"";"";""}</definedName>
    <definedName function="false" hidden="true" name="_GR_MaskObjects_SpecialButtons_9" vbProcedure="false">{14;9;"$A$1";"07-11-99 15:42";"DADMIN";9;"CONTROL.IBS!Währungen_CrossRates";"";"";"";""}</definedName>
    <definedName function="false" hidden="true" name="_GR_MaskObjects_SpecialButtons_94" vbProcedure="false">{1;94;"$E$4";"24-04-02 21:23";"DADMIN";94;"";"";"";"";""}</definedName>
    <definedName function="false" hidden="true" name="_GR_MaskObjects_SpecialButtons_95" vbProcedure="false">{2;95;"$C$2";"24-04-02 21:23";"DADMIN";95;"";"";"";"";""}</definedName>
    <definedName function="false" hidden="true" name="_GR_ObjectEvent_34" vbProcedure="false">{FALSE;TRUE;1;"_GR_MaskObjects_DataRanges_1"}</definedName>
    <definedName function="false" hidden="true" name="_GR_ObjectEvent_36" vbProcedure="false">{FALSE;TRUE;1;"_GR_MaskObjects_DataRanges_1"}</definedName>
    <definedName function="false" hidden="true" name="_GR_ObjectEvent_75" vbProcedure="false">{FALSE;TRUE;1;"_GR_MaskObjects_DataRanges_1"}</definedName>
    <definedName function="false" hidden="true" name="_GR_ObjectEvent_76" vbProcedure="false">{FALSE;TRUE;1;"_GR_MaskObjects_DataRanges_1"}</definedName>
    <definedName function="false" hidden="true" name="_GR_ObjectEvent_8" vbProcedure="false">{FALSE;TRUE;1;"_GR_MaskObjects_DataRanges_1"}</definedName>
    <definedName function="false" hidden="true" name="_GR_ObjectEvent_87" vbProcedure="false">{TRUE;TRUE;1;"_GR_MaskObjects_DataRanges_1"}</definedName>
    <definedName function="false" hidden="true" name="_GR_ObjectEvent_88" vbProcedure="false">{TRUE;TRUE;1;"_GR_MaskObjects_DataRanges_1"}</definedName>
    <definedName function="false" hidden="true" name="_GR_ObjectEvent_90" vbProcedure="false">{FALSE;TRUE;1;"_GR_MaskObjects_DataRanges_1"}</definedName>
    <definedName function="false" hidden="true" name="_GSRATESR_1" vbProcedure="false">#REF!</definedName>
    <definedName function="false" hidden="true" name="_GSRATESR_2" vbProcedure="false">#REF!</definedName>
    <definedName function="false" hidden="true" name="_GSRATESR_3" vbProcedure="false">#REF!</definedName>
    <definedName function="false" hidden="true" name="_GSRATESR_4" vbProcedure="false">#REF!</definedName>
    <definedName function="false" hidden="true" name="_GSRATESR_5" vbProcedure="false">#REF!</definedName>
    <definedName function="false" hidden="true" name="_GSRATESR_6" vbProcedure="false">#REF!</definedName>
    <definedName function="false" hidden="true" name="_GSRATESR_7" vbProcedure="false">#REF!</definedName>
    <definedName function="false" hidden="true" name="_GSRATESR_8" vbProcedure="false">#REF!</definedName>
    <definedName function="false" hidden="true" name="_GSRATES_1" vbProcedure="false">"CT300001Latest          "</definedName>
    <definedName function="false" hidden="true" name="_GSRATES_10" vbProcedure="false">"CF3000012002123120020331"</definedName>
    <definedName function="false" hidden="true" name="_GSRATES_2" vbProcedure="false">"CT30000120050725        "</definedName>
    <definedName function="false" hidden="true" name="_GSRATES_3" vbProcedure="false">"CT30000120060509        "</definedName>
    <definedName function="false" hidden="true" name="_GSRATES_4" vbProcedure="false">"CT30000120051231        "</definedName>
    <definedName function="false" hidden="true" name="_GSRATES_5" vbProcedure="false">"CT300001Latest          "</definedName>
    <definedName function="false" hidden="true" name="_GSRATES_6" vbProcedure="false">"CF3000012007070120070101"</definedName>
    <definedName function="false" hidden="true" name="_GSRATES_7" vbProcedure="false">"CT300001Latest          "</definedName>
    <definedName function="false" hidden="true" name="_GSRATES_8" vbProcedure="false">"CT300001Latest          "</definedName>
    <definedName function="false" hidden="true" name="_GSRATES_9" vbProcedure="false">"CF3000012002123120020331"</definedName>
    <definedName function="false" hidden="true" name="_GSRATES_COUNT" vbProcedure="false">6</definedName>
    <definedName function="false" hidden="true" name="_guv1" vbProcedure="false">{"K GuV o. Kommentar",#N/A,FALSE,"Kaufhof"}</definedName>
    <definedName function="false" hidden="true" name="_guv3" vbProcedure="false">{"K GuV o. Kommentar",#N/A,FALSE,"Kaufhof"}</definedName>
    <definedName function="false" hidden="true" name="_h1" vbProcedure="false">{#N/A,#N/A,FALSE,"Cover";#N/A,#N/A,FALSE,"Assumptions";#N/A,#N/A,FALSE,"Volumes";#N/A,#N/A,FALSE,"Pricing";#N/A,#N/A,FALSE,"TFLE Walk";#N/A,#N/A,FALSE,"Variable Cost";#N/A,#N/A,FALSE,"Sensitivity";#N/A,#N/A,FALSE,"Investment";#N/A,#N/A,FALSE,"Profitability"}</definedName>
    <definedName function="false" hidden="true" name="_hk01" vbProcedure="false">{"budget95",#N/A,TRUE,"Tabelle1";"Tab1",#N/A,TRUE,"Tabelle2"}</definedName>
    <definedName function="false" hidden="true" name="_hr1" vbProcedure="false">#N/A</definedName>
    <definedName function="false" hidden="true" name="_hr2" vbProcedure="false">#N/A</definedName>
    <definedName function="false" hidden="true" name="_huh3"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_I2" vbProcedure="false">{"PVGraph2",#N/A,FALSE,"PV Data"}</definedName>
    <definedName function="false" hidden="true" name="_I3" vbProcedure="false">{"PVGraph2",#N/A,FALSE,"PV Data"}</definedName>
    <definedName function="false" hidden="true" name="_i6" vbProcedure="false">{"'Demand Units'!$Z$2:$AF$53"}</definedName>
    <definedName function="false" hidden="true" name="_JP2" vbProcedure="false">{"'SIVA Pricing Model'!$A$1:$F$39"}</definedName>
    <definedName function="false" hidden="true" name="_Jun02" vbProcedure="false">{"Statement of Income",#N/A,TRUE,"Mar99";"Balance Sheet",#N/A,TRUE,"Mar99"}</definedName>
    <definedName function="false" hidden="true" name="_k13" vbProcedure="false">{0,0,FALSE,0}</definedName>
    <definedName function="false" hidden="true" name="_KAW999929" vbProcedure="false">#REF!</definedName>
    <definedName function="false" hidden="true" name="_KAW999934" vbProcedure="false">#REF!</definedName>
    <definedName function="false" hidden="true" name="_KAW999950" vbProcedure="false">#REF!</definedName>
    <definedName function="false" hidden="true" name="_Key1" vbProcedure="false">#REF!</definedName>
    <definedName function="false" hidden="true" name="_Key1a" vbProcedure="false">#REF!</definedName>
    <definedName function="false" hidden="true" name="_Key2" vbProcedure="false">#REF!</definedName>
    <definedName function="false" hidden="true" name="_key3" vbProcedure="false">#REF!</definedName>
    <definedName function="false" hidden="true" name="_key4"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_key9" vbProcedure="false">#REF!</definedName>
    <definedName function="false" hidden="true" name="_kol1" vbProcedure="false">{"away stand alones",#N/A,FALSE,"Target"}</definedName>
    <definedName function="false" hidden="true" name="_lb1" vbProcedure="false">#N/A</definedName>
    <definedName function="false" hidden="true" name="_LG2" vbProcedure="false">{#N/A,#N/A,TRUE,"매출진척-1";#N/A,#N/A,TRUE,"매출진척-2";#N/A,#N/A,TRUE,"제품실적";#N/A,#N/A,TRUE,"RAC";#N/A,#N/A,TRUE,"PAC ";#N/A,#N/A,TRUE,"재고현황";#N/A,#N/A,TRUE,"공지사항"}</definedName>
    <definedName function="false" hidden="true" name="_LPS2" vbProcedure="false">{#N/A,#N/A,FALSE,"단축1";#N/A,#N/A,FALSE,"단축2";#N/A,#N/A,FALSE,"단축3";#N/A,#N/A,FALSE,"장축";#N/A,#N/A,FALSE,"4WD"}</definedName>
    <definedName function="false" hidden="true" name="_M6" vbProcedure="false">{"SUMM",#N/A,TRUE,"C";"ACT_PROD",#N/A,TRUE,"A";"ACT_SHIP",#N/A,TRUE,"A";"BP_YLD",#N/A,TRUE,"B";"ACTZ_PROD",#N/A,TRUE,"D";"ACTZ_SHIP",#N/A,TRUE,"D";"ACTZ_YLD",#N/A,TRUE,"E";"CPSI_PROD",#N/A,TRUE,"F";"CPSI_SHIP",#N/A,TRUE,"F"}</definedName>
    <definedName function="false" hidden="true" name="_mai99" vbProcedure="false">{"en FRF",#N/A,FALSE,"fév99";"en €uros",#N/A,FALSE,"fév99"}</definedName>
    <definedName function="false" hidden="true" name="_Mar03" vbProcedure="false">{"Statement of Income",#N/A,TRUE,"Mar99";"Balance Sheet",#N/A,TRUE,"Mar99"}</definedName>
    <definedName function="false" hidden="true" name="_Mar04" vbProcedure="false">{"Statement of Income",#N/A,TRUE,"Mar99";"Balance Sheet",#N/A,TRUE,"Mar99"}</definedName>
    <definedName function="false" hidden="true" name="_MMT6" vbProcedure="false">{"REVISED",#N/A,FALSE,"Sheet1"}</definedName>
    <definedName function="false" hidden="true" name="_mno9" vbProcedure="false">{"detail",#N/A,FALSE,"mfg";"summary",#N/A,FALSE,"mfg"}</definedName>
    <definedName function="false" hidden="true" name="_MRG2" vbProcedure="false">{"INCOME",#N/A,FALSE,"ProNet";"VALUE",#N/A,FALSE,"ProNet"}</definedName>
    <definedName function="false" hidden="true" name="_mw2" vbProcedure="false">{"budget95",#N/A,TRUE,"Tabelle1";"Tab1",#N/A,TRUE,"Tabelle2"}</definedName>
    <definedName function="false" hidden="true" name="_mw3" vbProcedure="false">{"budget95",#N/A,TRUE,"Tabelle1";"Tab1",#N/A,TRUE,"Tabelle2"}</definedName>
    <definedName function="false" hidden="true" name="_n1" vbProcedure="false">{"cover",#N/A,TRUE,"Cover";"toc8",#N/A,TRUE,"TOC";"over",#N/A,TRUE,"Overview";"ts2",#N/A,TRUE,"Det_Trans_Sum";"ei1c",#N/A,TRUE,"Earnings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function="false" hidden="true" name="_na2" vbProcedure="false">{"'SIVA Pricing Model'!$A$1:$F$39"}</definedName>
    <definedName function="false" hidden="true" name="_na3" vbProcedure="false">{"'SIVA Pricing Model'!$A$1:$F$39"}</definedName>
    <definedName function="false" hidden="true" name="_nam305" vbProcedure="false">{"detail",#N/A,FALSE,"mfg";"summary",#N/A,FALSE,"mfg"}</definedName>
    <definedName function="false" hidden="true" name="_new" vbProcedure="false">#REF!</definedName>
    <definedName function="false" hidden="true" name="_new1" vbProcedure="false">{#N/A,#N/A,FALSE,"Pharm";#N/A,#N/A,FALSE,"WWCM"}</definedName>
    <definedName function="false" hidden="true" name="_new10" vbProcedure="false">{#N/A,#N/A,TRUE,"PSG Total Contacts";#N/A,#N/A,TRUE,"PSG Rep Total";#N/A,#N/A,TRUE,"Core Rep Detail";#N/A,#N/A,TRUE,"BC Rep Detail";#N/A,#N/A,TRUE,"Marlboro";#N/A,#N/A,TRUE,"Covington";#N/A,#N/A,TRUE,"Dallas";#N/A,#N/A,TRUE,"VRS Stats";#N/A,#N/A,TRUE,"Internet";#N/A,#N/A,TRUE,"NCO and Call Mix";#N/A,#N/A,TRUE,"VRS &amp; Rep Calls"}</definedName>
    <definedName function="false" hidden="true" name="_New2" vbProcedure="false">{"TOTAL",#N/A,FALSE,"A";"FISCAL94",#N/A,FALSE,"A";"FISCAL95",#N/A,FALSE,"A";"FISCAL96",#N/A,FALSE,"A";"misc page",#N/A,FALSE,"A"}</definedName>
    <definedName function="false" hidden="true" name="_new3" vbProcedure="false">{"FY98Q1 nvs",#N/A,FALSE,"FY98 - Q1";"FY98Q2 nvs",#N/A,FALSE,"FY98 - Q2";"FY98Q3 nvs",#N/A,FALSE,"FY98 - Q3";"FY98Q4 nvs",#N/A,FALSE,"FY98 - Q4"}</definedName>
    <definedName function="false" hidden="true" name="_new4" vbProcedure="false">{"INPUT",#N/A,FALSE,"REVENUE AND GM ";"CONTROL",#N/A,FALSE,"REVENUE AND GM ";"SWITCH",#N/A,FALSE,"REVENUE AND GM ";"OUTPUT",#N/A,FALSE,"REVENUE AND GM ";"TOTAL",#N/A,FALSE,"REVENUE AND GM "}</definedName>
    <definedName function="false" hidden="true" name="_new5" vbProcedure="false">{"FY97Total",#N/A,FALSE,"FY97 - Total";"FY98Total",#N/A,FALSE,"FY98 - Total"}</definedName>
    <definedName function="false" hidden="true" name="_new6" vbProcedure="false">{"FY97Q1",#N/A,FALSE,"FY97 - Q1";"FY97Q2",#N/A,FALSE,"FY97 - Q2";"FY97Q3",#N/A,FALSE,"FY97 - Q3";"FY97Q4",#N/A,FALSE,"FY97 - Q4"}</definedName>
    <definedName function="false" hidden="true" name="_NSO2" vbProcedure="false">{"'Sheet1'!$L$16"}</definedName>
    <definedName function="false" hidden="true" name="_nv2" vbProcedure="false">{#N/A,#N/A,FALSE,"Summary";#N/A,#N/A,FALSE,"Signatures";#N/A,#N/A,FALSE,"FL Current";#N/A,#N/A,FALSE,"Assumptions";#N/A,#N/A,FALSE,"Assumptions";#N/A,#N/A,FALSE,"Assumptions";#N/A,#N/A,FALSE,"FL Last";#N/A,#N/A,FALSE,"FL Orig";#N/A,#N/A,FALSE,"C to G Explain"}</definedName>
    <definedName function="false" hidden="true" name="_O" vbProcedure="false">#REF!</definedName>
    <definedName function="false" hidden="true" name="_o1" vbProcedure="false">{#N/A,#N/A,FALSE,"SUMMARY";#N/A,#N/A,FALSE,"mcsh";#N/A,#N/A,FALSE,"vol&amp;rev";#N/A,#N/A,FALSE,"wkgcap";#N/A,#N/A,FALSE,"DEPR&amp;DT";#N/A,#N/A,FALSE,"ASSETS";#N/A,#N/A,FALSE,"NI&amp;OTH&amp;DIV";#N/A,#N/A,FALSE,"CASHFLOW";#N/A,#N/A,FALSE,"CAPEMPL";#N/A,#N/A,FALSE,"ROCE"}</definedName>
    <definedName function="false" hidden="true" name="_OCT01" vbProcedure="false">{"Statement of Income",#N/A,TRUE,"Mar99";"Balance Sheet",#N/A,TRUE,"Mar99"}</definedName>
    <definedName function="false" hidden="true" name="_OCT03" vbProcedure="false">{"Statement of Income",#N/A,TRUE,"Mar99";"Balance Sheet",#N/A,TRUE,"Mar99"}</definedName>
    <definedName function="false" hidden="true" name="_ok1" vbProcedure="false">{"assumption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function="false" hidden="true" name="_ok10" vbProcedure="false">{#N/A,#N/A,FALSE,"Calc";#N/A,#N/A,FALSE,"Sensitivity";#N/A,#N/A,FALSE,"LT Earn.Dil.";#N/A,#N/A,FALSE,"Dil. AVP"}</definedName>
    <definedName function="false" hidden="true" name="_ok11" vbProcedure="false">{"assumption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function="false" hidden="true" name="_oku1" vbProcedure="false">{"equity comps",#N/A,FALSE,"CS Comps";"equity comps",#N/A,FALSE,"PS Comps";"equity comps",#N/A,FALSE,"GIC_Comps";"equity comps",#N/A,FALSE,"GIC2_Comps";"debt comps",#N/A,FALSE,"CS Comps";"debt comps",#N/A,FALSE,"PS Comps";"debt comps",#N/A,FALSE,"GIC_Comps";"debt comps",#N/A,FALSE,"GIC2_Comps"}</definedName>
    <definedName function="false" hidden="true" name="_old3" vbProcedure="false">{0,FALSE,4.45014771701848E-308,0}</definedName>
    <definedName function="false" hidden="true" name="_Order1" vbProcedure="false">255</definedName>
    <definedName function="false" hidden="true" name="_Order2" vbProcedure="false">255</definedName>
    <definedName function="false" hidden="true" name="_Order39" vbProcedure="false">255</definedName>
    <definedName function="false" hidden="true" name="_OSX2" vbProcedure="false">{"Area1",#N/A,FALSE,"OREWACC";"Area2",#N/A,FALSE,"OREWACC"}</definedName>
    <definedName function="false" hidden="true" name="_p" vbProcedure="false">#REF!</definedName>
    <definedName function="false" hidden="true" name="_P00balance_sheet_2" vbProcedure="false">#REF!</definedName>
    <definedName function="false" hidden="true" name="_P00DCF_Summary" vbProcedure="false">#REF!</definedName>
    <definedName function="false" hidden="true" name="_P00drivers_quarterly" vbProcedure="false">#REF!</definedName>
    <definedName function="false" hidden="true" name="_P00finacials_quarterly_nots" vbProcedure="false">#REF!</definedName>
    <definedName function="false" hidden="true" name="_P00financials_quarterly" vbProcedure="false">#REF!</definedName>
    <definedName function="false" hidden="true" name="_P00yearly2" vbProcedure="false">#REF!</definedName>
    <definedName function="false" hidden="true" name="_P0lterDatabase" vbProcedure="false">#REF!</definedName>
    <definedName function="false" hidden="true" name="_P2" vbProcedure="false">{#N/A,#N/A,FALSE,"단축1";#N/A,#N/A,FALSE,"단축2";#N/A,#N/A,FALSE,"단축3";#N/A,#N/A,FALSE,"장축";#N/A,#N/A,FALSE,"4WD"}</definedName>
    <definedName function="false" hidden="true" name="_P6" vbProcedure="false">{"SUM ALL YR",#N/A,FALSE,"SUM ALL YR";"sum01",#N/A,FALSE,"SUM 01";"sumM2",#N/A,FALSE,"SUM M2";"sum02",#N/A,FALSE,"SUM 02";"sum03",#N/A,FALSE,"SUM 03";"sum04",#N/A,FALSE,"SUM 04";"sum05",#N/A,FALSE,"SUM 05"}</definedName>
    <definedName function="false" hidden="true" name="_palopasteviewstyle" vbProcedure="false">"White"</definedName>
    <definedName function="false" hidden="true" name="_Parse_In" vbProcedure="false">#REF!</definedName>
    <definedName function="false" hidden="true" name="_Parse_Out" vbProcedure="false">#REF!</definedName>
    <definedName function="false" hidden="true" name="_po1" vbProcedure="false">{#N/A,#N/A,FALSE,"Calc";#N/A,#N/A,FALSE,"Sensitivity";#N/A,#N/A,FALSE,"LT Earn.Dil.";#N/A,#N/A,FALSE,"Dil. AVP"}</definedName>
    <definedName function="false" hidden="true" name="_poi1" vbProcedure="false">{"assumption 50 50",#N/A,TRUE,"Merger";"has gets cash",#N/A,TRUE,"Merger";"accretion dilution",#N/A,TRUE,"Merger";"comparison credit stats",#N/A,TRUE,"Merger";"pf credit stats",#N/A,TRUE,"Merger";"pf sheets",#N/A,TRUE,"Merger"}</definedName>
    <definedName function="false" hidden="true" name="_pp1" vbProcedure="false">{#N/A,#N/A,FALSE,"Trends";#N/A,#N/A,FALSE,"As Reported";#N/A,#N/A,FALSE,"(un) Commited"}</definedName>
    <definedName function="false" hidden="true" name="_pp2" vbProcedure="false">{"Bilanz grob",#N/A,TRUE,"Planbilanz";"Erfolgsrechnung grob",#N/A,TRUE,"Plan-ER";#N/A,#N/A,TRUE,"Geldfluss";"Bilanz fein",#N/A,TRUE,"Planbilanz";"Erfolgsrechnung fein",#N/A,TRUE,"Plan-ER";#N/A,#N/A,TRUE,"Absatzplan";#N/A,#N/A,TRUE,"Einkaufsplan";#N/A,#N/A,TRUE,"Investitionsplan";#N/A,#N/A,TRUE,"KK Aktionäre"}</definedName>
    <definedName function="false" hidden="true" name="_puc101" vbProcedure="false">{#N/A,"PURCHM",FALSE,"Business Analysis";#N/A,"SPADD",FALSE,"Business Analysis"}</definedName>
    <definedName function="false" hidden="true" name="_puc102" vbProcedure="false">{#N/A,"PURCHM",FALSE,"Business Analysis";#N/A,"SPADD",FALSE,"Business Analysis"}</definedName>
    <definedName function="false" hidden="true" name="_q1"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_Q2" vbProcedure="false">{"'Standalone List Price Trends'!$A$1:$X$56"}</definedName>
    <definedName function="false" hidden="true" name="_q234" vbProcedure="false">#N/A</definedName>
    <definedName function="false" hidden="true" name="_q3" vbProcedure="false">#REF!</definedName>
    <definedName function="false" hidden="true" name="_Q4" vbProcedure="false">{"'Standalone List Price Trends'!$A$1:$X$56"}</definedName>
    <definedName function="false" hidden="true" name="_Q5" vbProcedure="false">{"'Standalone List Price Trends'!$A$1:$X$56"}</definedName>
    <definedName function="false" hidden="true" name="_q7" vbProcedure="false">{"'Demand Units'!$Z$2:$AF$53"}</definedName>
    <definedName function="false" hidden="true" name="_Q9" vbProcedure="false">{"'Standalone List Price Trends'!$A$1:$X$56"}</definedName>
    <definedName function="false" hidden="true" name="_qpi111" vbProcedure="false">{"'GS- PS East and LA'!$L$67"}</definedName>
    <definedName function="false" hidden="true" name="_QR6434" vbProcedure="false">{"QAEXPENSE",#N/A,FALSE,"QUALITY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function="false" hidden="true" name="_r" vbProcedure="false">{"consolidated",#N/A,FALSE,"Sheet1";"cms",#N/A,FALSE,"Sheet1";"fse",#N/A,FALSE,"Sheet1"}</definedName>
    <definedName function="false" hidden="true" name="_r78ri"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_r7irro"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_RA1" vbProcedure="false">{"'Jan-02'!$F$46:$F$47","'Jan-02'!$F$46:$F$47"}</definedName>
    <definedName function="false" hidden="true" name="_rc"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_re34" vbProcedure="false">{"Deckbl",#N/A,FALSE,"Deckblatt";"Eckzahlen",#N/A,FALSE,"Eckzahlen";"Bilanz",#N/A,FALSE,"Bilanz";"GuV",#N/A,FALSE,"GUV";"GuvScha_Wa",#N/A,FALSE,"GuvScha+Wa";"guvgi",#N/A,FALSE,"GuvGI";"guvdd",#N/A,FALSE,"GuvDD";#N/A,#N/A,FALSE,"Guv3D";"guvwaren",#N/A,FALSE,"GuvWaren";"guvbestückung",#N/A,FALSE,"GuvBestück";"guvprojek",#N/A,FALSE,"GuvProjek";"guvesr",#N/A,FALSE,"GuvESR";"investalt.",#N/A,FALSE,"Invest alt.";"aventw",#N/A,FALSE,"AV-Entw.";"personal",#N/A,FALSE,"Persaufw";"personal2",#N/A,FALSE,"Persaufw";"pmgerüst",#N/A,FALSE,"Preis-Mengen-Gerüst";"cflow1",#N/A,FALSE,"CashFlow";"cflow2",#N/A,FALSE,"CashFlow";"cflow3",#N/A,FALSE,"CashFlow";"FCF",#N/A,FALSE,"Unternehmensbewertung DCF";"WACC",#N/A,FALSE,"Unternehmensbewertung DCF";"Wert",#N/A,FALSE,"Unternehmensbewertung DCF"}</definedName>
    <definedName function="false" hidden="true" name="_Regression" vbProcedure="false">#REF!</definedName>
    <definedName function="false" hidden="true" name="_Regression_Int" vbProcedure="false">1</definedName>
    <definedName function="false" hidden="true" name="_Regression_Out" vbProcedure="false">#REF!</definedName>
    <definedName function="false" hidden="true" name="_Regression_X" vbProcedure="false">#REF!</definedName>
    <definedName function="false" hidden="true" name="_Regression_Y" vbProcedure="false">#REF!</definedName>
    <definedName function="false" hidden="true" name="_ROrder1" vbProcedure="false">0</definedName>
    <definedName function="false" hidden="true" name="_rty1" vbProcedure="false">{#N/A,#N/A,TRUE,"Pro Forma";#N/A,#N/A,TRUE,"PF_Bal";#N/A,#N/A,TRUE,"PF_INC";#N/A,#N/A,TRUE,"CBE";#N/A,#N/A,TRUE,"SWK"}</definedName>
    <definedName function="false" hidden="true" name="_rw1" vbProcedure="false">{"'Standalone List Price Trends'!$A$1:$X$56"}</definedName>
    <definedName function="false" hidden="true" name="_rw2" vbProcedure="false">{"'Standalone List Price Trends'!$A$1:$X$56"}</definedName>
    <definedName function="false" hidden="true" name="_rw3" vbProcedure="false">{"'Standalone List Price Trends'!$A$1:$X$56"}</definedName>
    <definedName function="false" hidden="true" name="_rw4" vbProcedure="false">{"'Standalone List Price Trends'!$A$1:$X$56"}</definedName>
    <definedName function="false" hidden="true" name="_s" vbProcedure="false">{"CONS12",#N/A,FALSE,"1996BSCH";"DOM12",#N/A,FALSE,"1996BSCH";"CAN12",#N/A,FALSE,"1996BSCH";"DDODC12",#N/A,FALSE,"1996BSCH";"DDE12",#N/A,FALSE,"1996BSCH";"DDOC12",#N/A,FALSE,"1996BSCH";"ELIM6MO",#N/A,FALSE,"1996BSCH";"other12",#N/A,FALSE,"1996BSCH";"var12",#N/A,FALSE,"1996BSCH"}</definedName>
    <definedName function="false" hidden="true" name="_s2" vbProcedure="false">#N/A</definedName>
    <definedName function="false" hidden="true" name="_s3" vbProcedure="false">#N/A</definedName>
    <definedName function="false" hidden="true" name="_s34" vbProcedure="false">{"QTD_GENERALH2",#N/A,FALSE,"QTD"}</definedName>
    <definedName function="false" hidden="true" name="_s4" vbProcedure="false">#N/A</definedName>
    <definedName function="false" hidden="true" name="_s5" vbProcedure="false">#N/A</definedName>
    <definedName function="false" hidden="true" name="_s6" vbProcedure="false">#N/A</definedName>
    <definedName function="false" hidden="true" name="_sd34" vbProcedure="false">{"QTD",#N/A,FALSE,"SUM"}</definedName>
    <definedName function="false" hidden="true" name="_sdf2" vbProcedure="false">{#N/A,#N/A,FALSE,"Calc";#N/A,#N/A,FALSE,"Sensitivity";#N/A,#N/A,FALSE,"LT Earn.Dil.";#N/A,#N/A,FALSE,"Dil. AVP"}</definedName>
    <definedName function="false" hidden="true" name="_SDW1" vbProcedure="false">#N/A</definedName>
    <definedName function="false" hidden="true" name="_sdy001" vbProcedure="false">{#N/A,#N/A,FALSE,"PrintM"}</definedName>
    <definedName function="false" hidden="true" name="_sdy01" vbProcedure="false">{#N/A,#N/A,FALSE,"PrintM"}</definedName>
    <definedName function="false" hidden="true" name="_sdy1" vbProcedure="false">{#N/A,#N/A,FALSE,"PrintM"}</definedName>
    <definedName function="false" hidden="true" name="_sen2"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_sen3" vbProcedure="false">{"view1",#N/A,TRUE,"Income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function="false" hidden="true" name="_SEP01" vbProcedure="false">{"Statement of Income",#N/A,TRUE,"Mar99";"Balance Sheet",#N/A,TRUE,"Mar99"}</definedName>
    <definedName function="false" hidden="true" name="_Sep03" vbProcedure="false">{"Statement of Income",#N/A,TRUE,"Mar99";"Balance Sheet",#N/A,TRUE,"Mar99"}</definedName>
    <definedName function="false" hidden="true" name="_sfh64354" vbProcedure="false">{"dcfsummary",#N/A,FALSE,"NHY - DCF Valuation";"agriculture",#N/A,FALSE,"NHY - DCF Valuation";"oilgas",#N/A,FALSE,"NHY - DCF Valuation";"oilgastot",#N/A,FALSE,"NHY - DCF Valuation";"lightmetals",#N/A,FALSE,"NHY - DCF Valuation";"petrochemicals",#N/A,FALSE,"NHY - DCF Valuation";"other",#N/A,FALSE,"NHY - DCF Valuation"}</definedName>
    <definedName function="false" hidden="true" name="_Sort" vbProcedure="false">#REF!</definedName>
    <definedName function="false" hidden="true" name="_spk1" vbProcedure="false">{#N/A,#N/A,FALSE,"Cover";#N/A,#N/A,FALSE,"Profits";#N/A,#N/A,FALSE,"ABS";#N/A,#N/A,FALSE,"TFLE Detail";#N/A,#N/A,FALSE,"TFLE Walk";#N/A,#N/A,FALSE,"Variable Cost";#N/A,#N/A,FALSE,"V.C. Walk"}</definedName>
    <definedName function="false" hidden="true" name="_spk2" vbProcedure="false">{#N/A,#N/A,FALSE,"Profit Status";#N/A,#N/A,FALSE,"Invest";#N/A,#N/A,FALSE,"Revenue";#N/A,#N/A,FALSE,"Variable Cost";#N/A,#N/A,FALSE,"Options &amp; Series"}</definedName>
    <definedName function="false" hidden="true" name="_spk3" vbProcedure="false">{#N/A,#N/A,FALSE,"Cover";#N/A,#N/A,FALSE,"Assumptions";#N/A,#N/A,FALSE,"Volumes";#N/A,#N/A,FALSE,"Pricing";#N/A,#N/A,FALSE,"TFLE Walk";#N/A,#N/A,FALSE,"Variable Cost";#N/A,#N/A,FALSE,"Sensitivity";#N/A,#N/A,FALSE,"Investment";#N/A,#N/A,FALSE,"Profitability"}</definedName>
    <definedName function="false" hidden="true" name="_ss1" vbProcedure="false">{"detail",#N/A,FALSE,"mfg";"summary",#N/A,FALSE,"mfg"}</definedName>
    <definedName function="false" hidden="true" name="_t1" vbProcedure="false">{#N/A,#N/A,FALSE,"1996PL";#N/A,#N/A,FALSE,"1997PL";#N/A,#N/A,FALSE,"1998PL";#N/A,#N/A,FALSE,"1999PL"}</definedName>
    <definedName function="false" hidden="true" name="_T2" vbProcedure="false">{#N/A,#N/A,FALSE,"단축1";#N/A,#N/A,FALSE,"단축2";#N/A,#N/A,FALSE,"단축3";#N/A,#N/A,FALSE,"장축";#N/A,#N/A,FALSE,"4WD"}</definedName>
    <definedName function="false" hidden="true" name="_T3" vbProcedure="false">{#N/A,#N/A,FALSE,"단축1";#N/A,#N/A,FALSE,"단축2";#N/A,#N/A,FALSE,"단축3";#N/A,#N/A,FALSE,"장축";#N/A,#N/A,FALSE,"4WD"}</definedName>
    <definedName function="false" hidden="true" name="_T5" vbProcedure="false">{#N/A,#N/A,FALSE,"단축1";#N/A,#N/A,FALSE,"단축2";#N/A,#N/A,FALSE,"단축3";#N/A,#N/A,FALSE,"장축";#N/A,#N/A,FALSE,"4WD"}</definedName>
    <definedName function="false" hidden="true" name="_Tab2_In1" vbProcedure="false">#REF!</definedName>
    <definedName function="false" hidden="true" name="_Table1_In1" vbProcedure="false">#REF!</definedName>
    <definedName function="false" hidden="true" name="_Table1_Out" vbProcedure="false">#REF!</definedName>
    <definedName function="false" hidden="true" name="_Table2_In1" vbProcedure="false">#REF!</definedName>
    <definedName function="false" hidden="true" name="_Table2_In2" vbProcedure="false">#REF!</definedName>
    <definedName function="false" hidden="true" name="_Table2_Out" vbProcedure="false">#REF!</definedName>
    <definedName function="false" hidden="true" name="_Table3_in1" vbProcedure="false">#REF!</definedName>
    <definedName function="false" hidden="true" name="_Table3_In2" vbProcedure="false">#REF!</definedName>
    <definedName function="false" hidden="true" name="_TEM6434" vbProcedure="false">{"ALLOCATION1",#N/A,FALSE,"EXPENSE ALLOCATIONS";"ALLOCATION2",#N/A,FALSE,"EXPENSE ALLOCATIONS";"ALLOCATION3",#N/A,FALSE,"EXPENSE ALLOCATIONS";"ALLOCATION4",#N/A,FALSE,"EXPENSE ALLOCATIONS"}</definedName>
    <definedName function="false" hidden="true" name="_tes2" vbProcedure="false">{"'Expense Details'!$A$1:$AM$222"}</definedName>
    <definedName function="false" hidden="true" name="_Tes6" vbProcedure="false">{"'SIVA Pricing Model'!$A$1:$F$39"}</definedName>
    <definedName function="false" hidden="true" name="_test" vbProcedure="false">#REF!</definedName>
    <definedName function="false" hidden="true" name="_tm1" vbProcedure="false">{#N/A,#N/A,FALSE,"Pharm";#N/A,#N/A,FALSE,"WWCM"}</definedName>
    <definedName function="false" hidden="true" name="_TMAutoChart1Names" vbProcedure="false">{"Timeline","Chart 6","Timeline Chart 6"}</definedName>
    <definedName function="false" hidden="true" name="_TMAutoChart1Refs" vbProcedure="false">{"","","'Timeline'!$F$16","'Timeline'!$F$25","","","","","",""}</definedName>
    <definedName function="false" hidden="true" name="_TMAutoChart2Names" vbProcedure="false">{"Timeline","Chart 6","Timeline Chart 6"}</definedName>
    <definedName function="false" hidden="true" name="_TMAutoChart2Refs" vbProcedure="false">{"","","'Timeline'!$F$16","'Timeline'!$H$25","","","","","",""}</definedName>
    <definedName function="false" hidden="true" name="_TMAutoChartCount" vbProcedure="false">2</definedName>
    <definedName function="false" hidden="true" name="_tom11" vbProcedure="false">{"'Demand Units'!$Z$2:$AF$53"}</definedName>
    <definedName function="false" hidden="true" name="_tu7" vbProcedure="false">{"sales",#N/A,FALSE,"Sales";"sales existing",#N/A,FALSE,"Sales";"sales rd1",#N/A,FALSE,"Sales";"sales rd2",#N/A,FALSE,"Sales"}</definedName>
    <definedName function="false" hidden="true" name="_u18" vbProcedure="false">{"Tages_D",#N/A,FALSE,"Tagesbericht";"Tages_PL",#N/A,FALSE,"Tagesbericht"}</definedName>
    <definedName function="false" hidden="true" name="_u20" vbProcedure="false">{"fleisch",#N/A,FALSE,"WG HK";"food",#N/A,FALSE,"WG HK";"hartwaren",#N/A,FALSE,"WG HK";"weichwaren",#N/A,FALSE,"WG HK"}</definedName>
    <definedName function="false" hidden="true" name="_UNDO31X31X_" vbProcedure="false">NA_monthly!$C$107:$CK$109</definedName>
    <definedName function="false" hidden="true" name="_UNDO_UPS_" vbProcedure="false">NA_monthly!$C$107:$CK$109</definedName>
    <definedName function="false" hidden="true" name="_UNDO_UPS_SEL_" vbProcedure="false">NA_monthly!$C$107:$CK$109</definedName>
    <definedName function="false" hidden="true" name="_UP16" vbProcedure="false">main.sapf4help()</definedName>
    <definedName function="false" hidden="true" name="_uu56" vbProcedure="false">1/eurextonlg</definedName>
    <definedName function="false" hidden="true" name="_UUID_" vbProcedure="false">775248</definedName>
    <definedName function="false" hidden="true" name="_v" vbProcedure="false">#REF!</definedName>
    <definedName function="false" hidden="true" name="_vz533"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_w1" vbProcedure="false">{"PVGraph2",#N/A,FALSE,"PV Data"}</definedName>
    <definedName function="false" hidden="true" name="_w2" vbProcedure="false">{"PVGraph2",#N/A,FALSE,"PV Data"}</definedName>
    <definedName function="false" hidden="true" name="_w3" vbProcedure="false">{"PVGraph2",#N/A,FALSE,"PV Data"}</definedName>
    <definedName function="false" hidden="true" name="_wer" vbProcedure="false">#REF!</definedName>
    <definedName function="false" hidden="true" name="_wer234" vbProcedure="false">{"summary",#N/A,FALSE,"labor"}</definedName>
    <definedName function="false" hidden="true" name="_wer33" vbProcedure="false">{"cover",#N/A,TRUE,"Cover";"toc5",#N/A,TRUE,"TOC";"over",#N/A,TRUE,"Overview";"ts2",#N/A,TRUE,"Det_Trans_Sum";"ei1",#N/A,TRUE,"Earnings Impact";"ad1",#N/A,TRUE,"accretion dilution";"pfis1",#N/A,TRUE,"Pro Forma Income Statement";"ca1",#N/A,TRUE,"Contribution_Analysis";"acq1",#N/A,TRUE,"Acquirer";"tar1",#N/A,TRUE,"Target"}</definedName>
    <definedName function="false" hidden="true" name="_wr1" vbProcedure="false">{"hist_bs",#N/A,FALSE,"Exhibit D,E1,E2";#N/A,#N/A,FALSE,"Exhibit E3";#N/A,#N/A,FALSE,"Mgmt. Projtn";#N/A,#N/A,FALSE,"Exhibit B-1";#N/A,#N/A,FALSE,"Exhibit A";#N/A,#N/A,FALSE,"WACC";#N/A,#N/A,FALSE,"Control";"hist_inc",#N/A,FALSE,"Exhibit D,E1,E2"}</definedName>
    <definedName function="false" hidden="true" name="_wr4"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_wrn02" vbProcedure="false">{#N/A,#N/A,FALSE,"Sheet2"}</definedName>
    <definedName function="false" hidden="true" name="_wrn071" vbProcedure="false">{#N/A,"PURCHM",FALSE,"Business Analysis";#N/A,"SPADD",FALSE,"Business Analysis"}</definedName>
    <definedName function="false" hidden="true" name="_wrn1" vbProcedure="false">{#N/A,#N/A,FALSE,"DCF";#N/A,#N/A,FALSE,"WACC";#N/A,#N/A,FALSE,"Sales_EBIT";#N/A,#N/A,FALSE,"Capex_Depreciation";#N/A,#N/A,FALSE,"WC";#N/A,#N/A,FALSE,"Interest";#N/A,#N/A,FALSE,"Assumptions"}</definedName>
    <definedName function="false" hidden="true" name="_wrn2" vbProcedure="false">{#N/A,#N/A,FALSE,"Calc";#N/A,#N/A,FALSE,"Sensitivity";#N/A,#N/A,FALSE,"LT Earn.Dil.";#N/A,#N/A,FALSE,"Dil. AVP"}</definedName>
    <definedName function="false" hidden="true" name="_wrn213" vbProcedure="false">{"detail",#N/A,FALSE,"mfg";"summary",#N/A,FALSE,"mfg"}</definedName>
    <definedName function="false" hidden="true" name="_wrn3" vbProcedure="false">{"comps",#N/A,FALSE,"comps";"notes",#N/A,FALSE,"comps"}</definedName>
    <definedName function="false" hidden="true" name="_wrn4" vbProcedure="false">{"general",#N/A,FALSE,"Assumptions"}</definedName>
    <definedName function="false" hidden="true" name="_WRN41" vbProcedure="false">{"detail",#N/A,FALSE,"mfg";"summary",#N/A,FALSE,"mfg"}</definedName>
    <definedName function="false" hidden="true" name="_wrn413" vbProcedure="false">{"detail",#N/A,FALSE,"mfg";"summary",#N/A,FALSE,"mfg"}</definedName>
    <definedName function="false" hidden="true" name="_wrn51" vbProcedure="false">{#N/A,"PURCHM",FALSE,"Business Analysis";#N/A,"SPADD",FALSE,"Business Analysis"}</definedName>
    <definedName function="false" hidden="true" name="_wrn61" vbProcedure="false">{"detail",#N/A,FALSE,"mfg";"summary",#N/A,FALSE,"mfg"}</definedName>
    <definedName function="false" hidden="true" name="_wrn651" vbProcedure="false">{"detail",#N/A,FALSE,"mfg";"summary",#N/A,FALSE,"mfg"}</definedName>
    <definedName function="false" hidden="true" name="_WVU41"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_wvu42" vbProcedure="false">{TRUE,TRUE,-2.75,-17,604.5,293.25,FALSE,TRUE,TRUE,TRUE,0,1,#N/A,106,#N/A,12.3541666666667,22.4375,1,FALSE,FALSE,3,TRUE,1,FALSE,75,"Swvu.busarea.","ACwvu.busarea.",#N/A,FALSE,FALSE,0.75,0.75,1,1,2,"","&amp;L&amp;F&amp;A&amp;CPage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function="false" hidden="true" name="_ww2" vbProcedure="false">{#N/A,#N/A,FALSE,"Admin";#N/A,#N/A,FALSE,"Other"}</definedName>
    <definedName function="false" hidden="true" name="_x1" vbProcedure="false">{#N/A,#N/A,FALSE,"FY97";#N/A,#N/A,FALSE,"FY98";#N/A,#N/A,FALSE,"FY99";#N/A,#N/A,FALSE,"FY00";#N/A,#N/A,FALSE,"FY01"}</definedName>
    <definedName function="false" hidden="true" name="_X2" vbProcedure="false">{#N/A,#N/A,FALSE,"Other";#N/A,#N/A,FALSE,"Ace";#N/A,#N/A,FALSE,"Derm"}</definedName>
    <definedName function="false" hidden="true" name="_x3" vbProcedure="false">{"detail",#N/A,FALSE,"mfg";"summary",#N/A,FALSE,"mfg"}</definedName>
    <definedName function="false" hidden="true" name="_x4" vbProcedure="false">{#N/A,"PURCHM",FALSE,"Business Analysis";#N/A,"SPADD",FALSE,"Business Analysis"}</definedName>
    <definedName function="false" hidden="true" name="_x5" vbProcedure="false">{#N/A,"PURADD",FALSE,"Business Analysis";#N/A,"PURSPP",FALSE,"Business Analysis";#N/A,"CTGIND",FALSE,"Business Analysis";#N/A,"PURCHM",FALSE,"Business Analysis";#N/A,"SPADD",FALSE,"Business Analysis";#N/A,"EPOXY",FALSE,"Business Analysis";#N/A,"PURPER",FALSE,"Business Analysis"}</definedName>
    <definedName function="false" hidden="true" name="_xf2"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_XG2" vbProcedure="false">{#N/A,#N/A,FALSE,"단축1";#N/A,#N/A,FALSE,"단축2";#N/A,#N/A,FALSE,"단축3";#N/A,#N/A,FALSE,"장축";#N/A,#N/A,FALSE,"4WD"}</definedName>
    <definedName function="false" hidden="true" name="_xlchart.v1.0" vbProcedure="false">'Think Cell'!$AM$31:$AM$32</definedName>
    <definedName function="false" hidden="true" name="_xlchart.v1.1" vbProcedure="false">'Think Cell'!$AM$33</definedName>
    <definedName function="false" hidden="true" name="_xlchart.v1.10" vbProcedure="false">'Think Cell'!$B$33:$AG$33</definedName>
    <definedName function="false" hidden="true" name="_xlchart.v1.17" vbProcedure="false">'Think Cell'!$AM$31:$AM$32</definedName>
    <definedName function="false" hidden="true" name="_xlchart.v1.18" vbProcedure="false">'Think Cell'!$AM$33</definedName>
    <definedName function="false" hidden="true" name="_xlchart.v1.19" vbProcedure="false">'Think Cell'!$B$31:$AL$31</definedName>
    <definedName function="false" hidden="true" name="_xlchart.v1.2" vbProcedure="false">'Think Cell'!$B$31:$AL$31</definedName>
    <definedName function="false" hidden="true" name="_xlchart.v1.20" vbProcedure="false">'Think Cell'!$B$33:$AL$33</definedName>
    <definedName function="false" hidden="true" name="_xlchart.v1.21" vbProcedure="false">'Think Cell'!$AM$31:$AM$32</definedName>
    <definedName function="false" hidden="true" name="_xlchart.v1.22" vbProcedure="false">'Think Cell'!$AM$33</definedName>
    <definedName function="false" hidden="true" name="_xlchart.v1.23" vbProcedure="false">'Think Cell'!$B$31:$AL$31</definedName>
    <definedName function="false" hidden="true" name="_xlchart.v1.24" vbProcedure="false">'Think Cell'!$B$33:$AL$33</definedName>
    <definedName function="false" hidden="true" name="_xlchart.v1.3" vbProcedure="false">'Think Cell'!$B$33:$AL$33</definedName>
    <definedName function="false" hidden="true" name="_xlchart.v1.4" vbProcedure="false">'Think Cell'!$AM$31:$AM$32</definedName>
    <definedName function="false" hidden="true" name="_xlchart.v1.5" vbProcedure="false">'Think Cell'!$AM$33</definedName>
    <definedName function="false" hidden="true" name="_xlchart.v1.6" vbProcedure="false">'Think Cell'!$B$31:$AL$31</definedName>
    <definedName function="false" hidden="true" name="_xlchart.v1.7" vbProcedure="false">'Think Cell'!$B$33:$AL$33</definedName>
    <definedName function="false" hidden="true" name="_xlchart.v1.8" vbProcedure="false">'Think Cell'!$AH$31:$AH$32</definedName>
    <definedName function="false" hidden="true" name="_xlchart.v1.9" vbProcedure="false">'Think Cell'!$AH$33</definedName>
    <definedName function="false" hidden="true" name="_xlchart.v5.11" vbProcedure="false">'Think Cell'!$AR$31:$AR$32</definedName>
    <definedName function="false" hidden="true" name="_xlchart.v5.12" vbProcedure="false">'Think Cell'!$AR$33</definedName>
    <definedName function="false" hidden="true" name="_xlchart.v5.13" vbProcedure="false">'Think Cell'!$B$31:$AQ$31</definedName>
    <definedName function="false" hidden="true" name="_xlchart.v5.14" vbProcedure="false">'Think Cell'!$B$31:$AR$31</definedName>
    <definedName function="false" hidden="true" name="_xlchart.v5.15" vbProcedure="false">'Think Cell'!$B$33:$AQ$33</definedName>
    <definedName function="false" hidden="true" name="_xlchart.v5.16" vbProcedure="false">'Think Cell'!$B$33:$AR$33</definedName>
    <definedName function="false" hidden="true" name="_xlcn.WorksheetConnection_EBITbybrandforthelast3years_11.03.15.xlsxTabelle41" vbProcedure="false">#REF!</definedName>
    <definedName function="false" hidden="true" name="_xx10" vbProcedure="false">{#N/A,"PURCHM",FALSE,"Business Analysis";#N/A,"SPADD",FALSE,"Business Analysis"}</definedName>
    <definedName function="false" hidden="true" name="_xx3" vbProcedure="false">{"detail",#N/A,FALSE,"mfg";"summary",#N/A,FALSE,"mfg"}</definedName>
    <definedName function="false" hidden="true" name="_xx4"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_xx5"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_xx6"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_xx7" vbProcedure="false">{"oct_res_comm",#N/A,FALSE,"VarToBud"}</definedName>
    <definedName function="false" hidden="true" name="_xx8"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_xx9" vbProcedure="false">{"AS REP",#N/A,FALSE,"EEFSNAP2";"PROP",#N/A,FALSE,"EEFSNAP2";"RISKS",#N/A,FALSE,"EEFSNAP2";"VIEW ALL",#N/A,FALSE,"EEFSNAP2"}</definedName>
    <definedName function="false" hidden="true" name="_y2" vbProcedure="false">{"PVGraph2",#N/A,FALSE,"PV Data"}</definedName>
    <definedName function="false" hidden="true" name="_y9" vbProcedure="false">{"'Demand Units'!$Z$2:$AF$53"}</definedName>
    <definedName function="false" hidden="true" name="_z" vbProcedure="false">{#N/A,#N/A,FALSE,"JAN"}</definedName>
    <definedName function="false" hidden="true" name="_z10" vbProcedure="false">{"'Future Reviews'!$A$1:$D$58"}</definedName>
    <definedName function="false" hidden="true" name="_z11" vbProcedure="false">{"'Future Reviews'!$A$1:$D$58"}</definedName>
    <definedName function="false" hidden="true" name="_z12" vbProcedure="false">{"'Future Reviews'!$A$1:$D$58"}</definedName>
    <definedName function="false" hidden="true" name="_z13" vbProcedure="false">{"'Future Reviews'!$A$1:$D$58"}</definedName>
    <definedName function="false" hidden="true" name="_z2" vbProcedure="false">{"'Future Reviews'!$A$1:$D$58"}</definedName>
    <definedName function="false" hidden="true" name="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z25" vbProcedure="false">{"detail",#N/A,FALSE,"mfg";"summary",#N/A,FALSE,"mfg"}</definedName>
    <definedName function="false" hidden="true" name="_z3" vbProcedure="false">{"'Future Reviews'!$A$1:$D$58"}</definedName>
    <definedName function="false" hidden="true" name="_z4" vbProcedure="false">{"'Future Reviews'!$A$1:$D$58"}</definedName>
    <definedName function="false" hidden="true" name="_z5" vbProcedure="false">{"'Future Reviews'!$A$1:$D$58"}</definedName>
    <definedName function="false" hidden="true" name="_z6" vbProcedure="false">{"'Future Reviews'!$A$1:$D$58"}</definedName>
    <definedName function="false" hidden="true" name="_z7" vbProcedure="false">{"'Future Reviews'!$A$1:$D$58"}</definedName>
    <definedName function="false" hidden="true" name="_z8" vbProcedure="false">{"'Future Reviews'!$A$1:$D$58"}</definedName>
    <definedName function="false" hidden="true" name="_z9" vbProcedure="false">{"'Future Reviews'!$A$1:$D$58"}</definedName>
    <definedName function="false" hidden="true" name="_Zbalance_sheet_2" vbProcedure="false">{0,0,0,0,1,-4105,70.8661417322835,53.8582677165354,70.8661417322835,70.8661417322835,2,FALSE,FALSE,FALSE,FALSE,FALSE,#N/A,1,112,1,1,"","","","","","",FALSE}</definedName>
    <definedName function="false" hidden="true" name="_ZDCF_Summary" vbProcedure="false">{0,0,0,0,1,-4105,41.04,53.8582677165354,64.08,51.84,2,FALSE,FALSE,FALSE,FALSE,FALSE,#N/A,1,65,1,1,"","","","","","",FALSE}</definedName>
    <definedName function="false" hidden="true" name="_Zdrivers_quarterly" vbProcedure="false">{0,0,0,0,1,-4105,59.76,25.5118110236221,69.12,70.8661417322835,2,FALSE,FALSE,FALSE,FALSE,FALSE,#N/A,1,63,1,1,"","","","","","",FALSE}</definedName>
    <definedName function="false" hidden="true" name="_Zfinacials_quarterly_nots" vbProcedure="false">{0,0,0,0,1,-4105,70.8661417322835,53.8582677165354,70.8661417322835,70.8661417322835,2,FALSE,FALSE,FALSE,FALSE,FALSE,#N/A,1,55,1,1,"","","","","","",FALSE}</definedName>
    <definedName function="false" hidden="true" name="_Zfinancials_quarterly" vbProcedure="false">{0,0,0,0,1,-4105,70.8661417322835,53.8582677165354,70.8661417322835,70.8661417322835,2,FALSE,FALSE,FALSE,FALSE,FALSE,#N/A,1,55,1,1,"","","","","","",FALSE}</definedName>
    <definedName function="false" hidden="true" name="_Zyearly" vbProcedure="false">{0,0,0,0,1,-4105,14.1732283464567,53.8582677165354,70.8661417322835,70.8661417322835,2,FALSE,FALSE,FALSE,FALSE,FALSE,#N/A,1,75,1,1,"","","","","","",FALSE}</definedName>
    <definedName function="false" hidden="true" name="_Zyearly2" vbProcedure="false">{0,0,0,0,1,-4105,70.8661417322835,53.8582677165354,70.8661417322835,70.8661417322835,2,FALSE,FALSE,FALSE,FALSE,FALSE,#N/A,1,75,1,1,"","","","","","",FALSE}</definedName>
    <definedName function="false" hidden="true" name="_zz1" vbProcedure="false">{"pro_view",#N/A,FALSE,"EEFSNAP2";"rep_view",#N/A,FALSE,"EEFSNAP2"}</definedName>
    <definedName function="false" hidden="true" name="_zz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zz3" vbProcedure="false">{"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function="false" hidden="true" name="__10__123Graph_CCHART_3" vbProcedure="false">#REF!</definedName>
    <definedName function="false" hidden="true" name="__11__123Graph_CCHART_8" vbProcedure="false">#REF!</definedName>
    <definedName function="false" hidden="true" name="__123Graph_A" vbProcedure="false">#REF!</definedName>
    <definedName function="false" hidden="true" name="__123Graph_AANNUAL" vbProcedure="false">#REF!</definedName>
    <definedName function="false" hidden="true" name="__123Graph_ABEEFINDEXES" vbProcedure="false">#REF!</definedName>
    <definedName function="false" hidden="true" name="__123Graph_ACOMP" vbProcedure="false">#REF!</definedName>
    <definedName function="false" hidden="true" name="__123Graph_ACurrent" vbProcedure="false">#REF!</definedName>
    <definedName function="false" hidden="true" name="__123Graph_AGRAPH" vbProcedure="false">#REF!</definedName>
    <definedName function="false" hidden="true" name="__123Graph_AGraph1" vbProcedure="false">#REF!</definedName>
    <definedName function="false" hidden="true" name="__123Graph_AGraph10" vbProcedure="false">#REF!</definedName>
    <definedName function="false" hidden="true" name="__123Graph_AGraph11" vbProcedure="false">#REF!</definedName>
    <definedName function="false" hidden="true" name="__123Graph_AGraph3" vbProcedure="false">#REF!</definedName>
    <definedName function="false" hidden="true" name="__123Graph_AGraph5" vbProcedure="false">#REF!</definedName>
    <definedName function="false" hidden="true" name="__123Graph_AGraph6" vbProcedure="false">#REF!</definedName>
    <definedName function="false" hidden="true" name="__123Graph_AGraph7" vbProcedure="false">#REF!</definedName>
    <definedName function="false" hidden="true" name="__123Graph_AGraph8" vbProcedure="false">#REF!</definedName>
    <definedName function="false" hidden="true" name="__123Graph_AGRPH_EXPIRE" vbProcedure="false">#REF!</definedName>
    <definedName function="false" hidden="true" name="__123Graph_AHISTORY" vbProcedure="false">#REF!</definedName>
    <definedName function="false" hidden="true" name="__123Graph_AKNS" vbProcedure="false">#REF!</definedName>
    <definedName function="false" hidden="true" name="__123Graph_AKVS" vbProcedure="false">#REF!</definedName>
    <definedName function="false" hidden="true" name="__123Graph_AMEATEXP" vbProcedure="false">#REF!</definedName>
    <definedName function="false" hidden="true" name="__123Graph_APREZZI1" vbProcedure="false">#REF!</definedName>
    <definedName function="false" hidden="true" name="__123Graph_APREZZI1A" vbProcedure="false">#REF!</definedName>
    <definedName function="false" hidden="true" name="__123Graph_APREZZI2" vbProcedure="false">#REF!</definedName>
    <definedName function="false" hidden="true" name="__123Graph_APREZZI2A" vbProcedure="false">#REF!</definedName>
    <definedName function="false" hidden="true" name="__123Graph_APREZZI3" vbProcedure="false">#REF!</definedName>
    <definedName function="false" hidden="true" name="__123Graph_APREZZI3A" vbProcedure="false">#REF!</definedName>
    <definedName function="false" hidden="true" name="__123Graph_APREZZI4" vbProcedure="false">#REF!</definedName>
    <definedName function="false" hidden="true" name="__123Graph_APREZZI4A" vbProcedure="false">#REF!</definedName>
    <definedName function="false" hidden="true" name="__123Graph_APREZZI5" vbProcedure="false">#REF!</definedName>
    <definedName function="false" hidden="true" name="__123Graph_APREZZI5A" vbProcedure="false">#REF!</definedName>
    <definedName function="false" hidden="true" name="__123Graph_APREZZI6" vbProcedure="false">#REF!</definedName>
    <definedName function="false" hidden="true" name="__123Graph_APREZZI6A" vbProcedure="false">#REF!</definedName>
    <definedName function="false" hidden="true" name="__123Graph_APREZZI7" vbProcedure="false">#REF!</definedName>
    <definedName function="false" hidden="true" name="__123Graph_APREZZI7A" vbProcedure="false">#REF!</definedName>
    <definedName function="false" hidden="true" name="__123Graph_APROCEEDS" vbProcedure="false">#REF!</definedName>
    <definedName function="false" hidden="true" name="__123Graph_ASALEPIE" vbProcedure="false">#REF!</definedName>
    <definedName function="false" hidden="true" name="__123Graph_ASALESTREND" vbProcedure="false">#REF!</definedName>
    <definedName function="false" hidden="true" name="__123Graph_ATURKNR" vbProcedure="false">#REF!</definedName>
    <definedName function="false" hidden="true" name="__123Graph_AUNIT" vbProcedure="false">#REF!</definedName>
    <definedName function="false" hidden="true" name="__123Graph_A収益" vbProcedure="false">#REF!</definedName>
    <definedName function="false" hidden="true" name="__123Graph_B" vbProcedure="false">#REF!</definedName>
    <definedName function="false" hidden="true" name="__123Graph_BBEEFINDEXES" vbProcedure="false">#REF!</definedName>
    <definedName function="false" hidden="true" name="__123Graph_BBEEFNR" vbProcedure="false">#REF!</definedName>
    <definedName function="false" hidden="true" name="__123Graph_BCOMP" vbProcedure="false">#REF!</definedName>
    <definedName function="false" hidden="true" name="__123Graph_BCurrent" vbProcedure="false">#REF!</definedName>
    <definedName function="false" hidden="true" name="__123Graph_BFUEL" vbProcedure="false">#REF!</definedName>
    <definedName function="false" hidden="true" name="__123Graph_BGRAPH" vbProcedure="false">#REF!</definedName>
    <definedName function="false" hidden="true" name="__123Graph_BGraph8" vbProcedure="false">#REF!</definedName>
    <definedName function="false" hidden="true" name="__123Graph_BMEATEXP" vbProcedure="false">#REF!</definedName>
    <definedName function="false" hidden="true" name="__123Graph_BPORKNR" vbProcedure="false">#REF!</definedName>
    <definedName function="false" hidden="true" name="__123Graph_BPROCEEDS" vbProcedure="false">#REF!</definedName>
    <definedName function="false" hidden="true" name="__123Graph_BTURKNR" vbProcedure="false">#REF!</definedName>
    <definedName function="false" hidden="true" name="__123Graph_BUNIT" vbProcedure="false">#REF!</definedName>
    <definedName function="false" hidden="true" name="__123Graph_B収益" vbProcedure="false">#REF!</definedName>
    <definedName function="false" hidden="true" name="__123Graph_C" vbProcedure="false">#REF!</definedName>
    <definedName function="false" hidden="true" name="__123Graph_CCOMP" vbProcedure="false">#REF!</definedName>
    <definedName function="false" hidden="true" name="__123Graph_CCurrent" vbProcedure="false">#REF!</definedName>
    <definedName function="false" hidden="true" name="__123Graph_CGraph8" vbProcedure="false">#REF!</definedName>
    <definedName function="false" hidden="true" name="__123Graph_CPROCEEDS" vbProcedure="false">#REF!</definedName>
    <definedName function="false" hidden="true" name="__123Graph_D" vbProcedure="false">#REF!</definedName>
    <definedName function="false" hidden="true" name="__123Graph_DCOMP" vbProcedure="false">#REF!</definedName>
    <definedName function="false" hidden="true" name="__123Graph_DCurrent" vbProcedure="false">#REF!</definedName>
    <definedName function="false" hidden="true" name="__123Graph_DGraph8" vbProcedure="false">#REF!</definedName>
    <definedName function="false" hidden="true" name="__123Graph_E" vbProcedure="false">#REF!</definedName>
    <definedName function="false" hidden="true" name="__123Graph_ECOMP" vbProcedure="false">#REF!</definedName>
    <definedName function="false" hidden="true" name="__123Graph_ECurrent" vbProcedure="false">#REF!</definedName>
    <definedName function="false" hidden="true" name="__123Graph_F" vbProcedure="false">#REF!</definedName>
    <definedName function="false" hidden="true" name="__123Graph_FMEATEXP" vbProcedure="false">#REF!</definedName>
    <definedName function="false" hidden="true" name="__123Graph_LBL_A" vbProcedure="false">#REF!</definedName>
    <definedName function="false" hidden="true" name="__123Graph_LBL_ACOMP" vbProcedure="false">#REF!</definedName>
    <definedName function="false" hidden="true" name="__123Graph_LBL_AGraph1" vbProcedure="false">#REF!</definedName>
    <definedName function="false" hidden="true" name="__123Graph_LBL_AHISTORY" vbProcedure="false">#REF!</definedName>
    <definedName function="false" hidden="true" name="__123Graph_LBL_ASALESTREND" vbProcedure="false">#REF!</definedName>
    <definedName function="false" hidden="true" name="__123Graph_LBL_B" vbProcedure="false">#REF!</definedName>
    <definedName function="false" hidden="true" name="__123Graph_LBL_BCOMP" vbProcedure="false">#REF!</definedName>
    <definedName function="false" hidden="true" name="__123Graph_LBL_BGraph1" vbProcedure="false">#REF!</definedName>
    <definedName function="false" hidden="true" name="__123Graph_LBL_C" vbProcedure="false">#N/A</definedName>
    <definedName function="false" hidden="true" name="__123Graph_LBL_CCOMP" vbProcedure="false">#REF!</definedName>
    <definedName function="false" hidden="true" name="__123Graph_LBL_D" vbProcedure="false">#N/A</definedName>
    <definedName function="false" hidden="true" name="__123Graph_LBL_DCOMP" vbProcedure="false">#REF!</definedName>
    <definedName function="false" hidden="true" name="__123Graph_LBL_ECOMP" vbProcedure="false">#REF!</definedName>
    <definedName function="false" hidden="true" name="__123Graph_X" vbProcedure="false">#REF!</definedName>
    <definedName function="false" hidden="true" name="__123Graph_XANNUAL" vbProcedure="false">#REF!</definedName>
    <definedName function="false" hidden="true" name="__123Graph_XBEEFBROIL" vbProcedure="false">#REF!</definedName>
    <definedName function="false" hidden="true" name="__123Graph_XBEEFINDEXES" vbProcedure="false">#REF!</definedName>
    <definedName function="false" hidden="true" name="__123Graph_XCOMP" vbProcedure="false">#REF!</definedName>
    <definedName function="false" hidden="true" name="__123Graph_XCPIS" vbProcedure="false">#REF!</definedName>
    <definedName function="false" hidden="true" name="__123Graph_XCPISSHORT" vbProcedure="false">#REF!</definedName>
    <definedName function="false" hidden="true" name="__123Graph_XCurrent" vbProcedure="false">#REF!</definedName>
    <definedName function="false" hidden="true" name="__123Graph_XGRAPH" vbProcedure="false">#REF!</definedName>
    <definedName function="false" hidden="true" name="__123Graph_XGraph11" vbProcedure="false">#REF!</definedName>
    <definedName function="false" hidden="true" name="__123Graph_XGraph3" vbProcedure="false">#REF!</definedName>
    <definedName function="false" hidden="true" name="__123Graph_XGraph5" vbProcedure="false">#REF!</definedName>
    <definedName function="false" hidden="true" name="__123Graph_XGRPH_EXPIRE" vbProcedure="false">#REF!</definedName>
    <definedName function="false" hidden="true" name="__123Graph_XHISTORY" vbProcedure="false">#REF!</definedName>
    <definedName function="false" hidden="true" name="__123Graph_XKNS" vbProcedure="false">#REF!</definedName>
    <definedName function="false" hidden="true" name="__123Graph_XKVS" vbProcedure="false">#REF!</definedName>
    <definedName function="false" hidden="true" name="__123Graph_XMEATEXP" vbProcedure="false">#REF!</definedName>
    <definedName function="false" hidden="true" name="__123Graph_XPORKBROIL" vbProcedure="false">#REF!</definedName>
    <definedName function="false" hidden="true" name="__123Graph_XPREZZI1" vbProcedure="false">#REF!</definedName>
    <definedName function="false" hidden="true" name="__123Graph_XPREZZI1A" vbProcedure="false">#REF!</definedName>
    <definedName function="false" hidden="true" name="__123Graph_XPREZZI2" vbProcedure="false">#REF!</definedName>
    <definedName function="false" hidden="true" name="__123Graph_XPREZZI2A" vbProcedure="false">#REF!</definedName>
    <definedName function="false" hidden="true" name="__123Graph_XPREZZI3" vbProcedure="false">#REF!</definedName>
    <definedName function="false" hidden="true" name="__123Graph_XPREZZI3A" vbProcedure="false">#REF!</definedName>
    <definedName function="false" hidden="true" name="__123Graph_XPREZZI4" vbProcedure="false">#REF!</definedName>
    <definedName function="false" hidden="true" name="__123Graph_XPREZZI4A" vbProcedure="false">#REF!</definedName>
    <definedName function="false" hidden="true" name="__123Graph_XPREZZI5" vbProcedure="false">#REF!</definedName>
    <definedName function="false" hidden="true" name="__123Graph_XPREZZI5A" vbProcedure="false">#REF!</definedName>
    <definedName function="false" hidden="true" name="__123Graph_XPREZZI6" vbProcedure="false">#REF!</definedName>
    <definedName function="false" hidden="true" name="__123Graph_XPREZZI6A" vbProcedure="false">#REF!</definedName>
    <definedName function="false" hidden="true" name="__123Graph_XPREZZI7" vbProcedure="false">#REF!</definedName>
    <definedName function="false" hidden="true" name="__123Graph_XPREZZI7A" vbProcedure="false">#REF!</definedName>
    <definedName function="false" hidden="true" name="__123Graph_XPROCEEDS" vbProcedure="false">#REF!</definedName>
    <definedName function="false" hidden="true" name="__123Graph_XSALEPIE" vbProcedure="false">#REF!</definedName>
    <definedName function="false" hidden="true" name="__123Graph_XSALESTREND" vbProcedure="false">#REF!</definedName>
    <definedName function="false" hidden="true" name="__123Graph_XTURKNR" vbProcedure="false">#REF!</definedName>
    <definedName function="false" hidden="true" name="__123Graph_XUNIT" vbProcedure="false">#REF!</definedName>
    <definedName function="false" hidden="true" name="__123Graph_X収益" vbProcedure="false">#REF!</definedName>
    <definedName function="false" hidden="true" name="__12__123Graph_DCHART_1" vbProcedure="false">#REF!</definedName>
    <definedName function="false" hidden="true" name="__13__123Graph_DCHART_8" vbProcedure="false">#REF!</definedName>
    <definedName function="false" hidden="true" name="__14__123Graph_LBL_ACHART_3" vbProcedure="false">#REF!</definedName>
    <definedName function="false" hidden="true" name="__15__123Graph_LBL_ACHART_4" vbProcedure="false">#REF!</definedName>
    <definedName function="false" hidden="true" name="__16__123Graph_LBL_BCHART_3" vbProcedure="false">#REF!</definedName>
    <definedName function="false" hidden="true" name="__17__123Graph_LBL_BCHART_4" vbProcedure="false">#REF!</definedName>
    <definedName function="false" hidden="true" name="__18__123Graph_LBL_CCHART_3" vbProcedure="false">#REF!</definedName>
    <definedName function="false" hidden="true" name="__19__123Graph_XCHART_1" vbProcedure="false">#REF!</definedName>
    <definedName function="false" hidden="true" name="__1__123Graph_ACHART_1" vbProcedure="false">#REF!</definedName>
    <definedName function="false" hidden="true" name="__20__123Graph_XCHART_3" vbProcedure="false">#REF!</definedName>
    <definedName function="false" hidden="true" name="__21__123Graph_XCHART_4" vbProcedure="false">#REF!</definedName>
    <definedName function="false" hidden="true" name="__22__123Graph_XCHART_8" vbProcedure="false">#REF!</definedName>
    <definedName function="false" hidden="true" name="__2__123Graph_ACHART_3" vbProcedure="false">#REF!</definedName>
    <definedName function="false" hidden="true" name="__3__123Graph_ACHART_4" vbProcedure="false">#REF!</definedName>
    <definedName function="false" hidden="true" name="__4_123Grap" vbProcedure="false">#REF!</definedName>
    <definedName function="false" hidden="true" name="__4__123Graph_ACHART_8" vbProcedure="false">#REF!</definedName>
    <definedName function="false" hidden="true" name="__5__123Graph_BCHART_1" vbProcedure="false">#REF!</definedName>
    <definedName function="false" hidden="true" name="__6__123Graph_BCHART_3" vbProcedure="false">#REF!</definedName>
    <definedName function="false" hidden="true" name="__7__123Graph_BCHART_4" vbProcedure="false">#REF!</definedName>
    <definedName function="false" hidden="true" name="__8__123Graph_BCHART_8" vbProcedure="false">#REF!</definedName>
    <definedName function="false" hidden="true" name="__9__123Graph_CCHART_1" vbProcedure="false">#REF!</definedName>
    <definedName function="false" hidden="true" name="__a1" vbProcedure="false">{#N/A,#N/A,FALSE,"Pharm";#N/A,#N/A,FALSE,"WWCM"}</definedName>
    <definedName function="false" hidden="true" name="__A11" vbProcedure="false">{#N/A,#N/A,FALSE,"Umsatz 99";#N/A,#N/A,FALSE,"ER 99 "}</definedName>
    <definedName function="false" hidden="true" name="__a14" vbProcedure="false">{"TAG1AGMS",#N/A,FALSE,"TAG 1A"}</definedName>
    <definedName function="false" hidden="true" name="__a15" vbProcedure="false">{"weichwaren",#N/A,FALSE,"Liste 1";"hartwaren",#N/A,FALSE,"Liste 1";"food",#N/A,FALSE,"Liste 1";"fleisch",#N/A,FALSE,"Liste 1"}</definedName>
    <definedName function="false" hidden="true" name="__a16" vbProcedure="false">{"weichwaren",#N/A,FALSE,"Liste 1";"hartwaren",#N/A,FALSE,"Liste 1";"food",#N/A,FALSE,"Liste 1";"fleisch",#N/A,FALSE,"Liste 1"}</definedName>
    <definedName function="false" hidden="true" name="__a17" vbProcedure="false">{"TAG1AGMS",#N/A,FALSE,"TAG 1A"}</definedName>
    <definedName function="false" hidden="true" name="__a18" vbProcedure="false">{"Tages_D",#N/A,FALSE,"Tagesbericht";"Tages_PL",#N/A,FALSE,"Tagesbericht"}</definedName>
    <definedName function="false" hidden="true" name="__a19" vbProcedure="false">{"fleisch",#N/A,FALSE,"WG HK";"food",#N/A,FALSE,"WG HK";"hartwaren",#N/A,FALSE,"WG HK";"weichwaren",#N/A,FALSE,"WG HK"}</definedName>
    <definedName function="false" hidden="true" name="__a2" vbProcedure="false">#REF!</definedName>
    <definedName function="false" hidden="true" name="__a3" vbProcedure="false">#REF!</definedName>
    <definedName function="false" hidden="true" name="__a33" vbProcedure="false">{"fleisch",#N/A,FALSE,"WG HK";"food",#N/A,FALSE,"WG HK";"hartwaren",#N/A,FALSE,"WG HK";"weichwaren",#N/A,FALSE,"WG HK"}</definedName>
    <definedName function="false" hidden="true" name="__A4" vbProcedure="false">{"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function="false" hidden="true" name="__A5" vbProcedure="false">{"andy_p",#N/A,FALSE,"A";"andy_s",#N/A,FALSE,"A"}</definedName>
    <definedName function="false" hidden="true" name="__a55" vbProcedure="false">{"Tages_D",#N/A,FALSE,"Tagesbericht";"Tages_PL",#N/A,FALSE,"Tagesbericht"}</definedName>
    <definedName function="false" hidden="true" name="__A6" vbProcedure="false">{"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function="false" hidden="true" name="__a66" vbProcedure="false">{"TAG1AGMS",#N/A,FALSE,"TAG 1A"}</definedName>
    <definedName function="false" hidden="true" name="__A7" vbProcedure="false">{"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function="false" hidden="true" name="__A8" vbProcedure="false">{"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function="false" hidden="true" name="__A9" vbProcedure="false">{"SUMM",#N/A,TRUE,"C";"ACT_PROD",#N/A,TRUE,"A";"ACT_SHIP",#N/A,TRUE,"A";"BP_YLD",#N/A,TRUE,"B";"ACTZ_PROD",#N/A,TRUE,"D";"ACTZ_SHIP",#N/A,TRUE,"D";"ACTZ_YLD",#N/A,TRUE,"E";"CPSI_PROD",#N/A,TRUE,"F";"CPSI_SHIP",#N/A,TRUE,"F"}</definedName>
    <definedName function="false" hidden="true" name="__aa1"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aa2" vbProcedure="false">{#N/A,#N/A,FALSE,"Hip.Bas";#N/A,#N/A,FALSE,"ventas";#N/A,#N/A,FALSE,"ingre-Año";#N/A,#N/A,FALSE,"ventas-Año";#N/A,#N/A,FALSE,"Costepro";#N/A,#N/A,FALSE,"inversion";#N/A,#N/A,FALSE,"personal";#N/A,#N/A,FALSE,"Gastos-V";#N/A,#N/A,FALSE,"Circulante";#N/A,#N/A,FALSE,"CONSOLI";#N/A,#N/A,FALSE,"Es-Fin";#N/A,#N/A,FALSE,"Margen-P"}</definedName>
    <definedName function="false" hidden="true" name="__aa22" vbProcedure="false">{"Tages_D",#N/A,FALSE,"Tagesbericht";"Tages_PL",#N/A,FALSE,"Tagesbericht"}</definedName>
    <definedName function="false" hidden="true" name="__aa3" vbProcedure="false">{#N/A,#N/A,FALSE,"Hip.Bas";#N/A,#N/A,FALSE,"ventas";#N/A,#N/A,FALSE,"ingre-Año";#N/A,#N/A,FALSE,"ventas-Año";#N/A,#N/A,FALSE,"Costepro";#N/A,#N/A,FALSE,"inversion";#N/A,#N/A,FALSE,"personal";#N/A,#N/A,FALSE,"Gastos-V";#N/A,#N/A,FALSE,"Circulante";#N/A,#N/A,FALSE,"CONSOLI";#N/A,#N/A,FALSE,"Es-Fin";#N/A,#N/A,FALSE,"Margen-P"}</definedName>
    <definedName function="false" hidden="true" name="__aaa1" vbProcedure="false">{#N/A,#N/A,FALSE,"Model";#N/A,#N/A,FALSE,"Division"}</definedName>
    <definedName function="false" hidden="true" name="__aas1" vbProcedure="false">{#N/A,#N/A,FALSE,"REPORT"}</definedName>
    <definedName function="false" hidden="true" name="__abc1" vbProcedure="false">{"detail",#N/A,FALSE,"mfg";"summary",#N/A,FALSE,"mfg"}</definedName>
    <definedName function="false" hidden="true" name="__abc2" vbProcedure="false">{"detail",#N/A,FALSE,"mfg";"summary",#N/A,FALSE,"mfg"}</definedName>
    <definedName function="false" hidden="true" name="__abc3" vbProcedure="false">{"detail",#N/A,FALSE,"mfg";"summary",#N/A,FALSE,"mfg"}</definedName>
    <definedName function="false" hidden="true" name="__ACS2000" vbProcedure="false">{#N/A,#N/A,FALSE,"REPORT"}</definedName>
    <definedName function="false" hidden="true" name="__ae2" vbProcedure="false">{"'Inventory &amp; Anal-Cur Wkbk'!$A$7:$AP$71"}</definedName>
    <definedName function="false" hidden="true" name="__age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ALL6434" vbProcedure="false">{"ALLOCATION1",#N/A,FALSE,"EXPENSE ALLOCATIONS";"ALLOCATION2",#N/A,FALSE,"EXPENSE ALLOCATIONS";"ALLOCATION3",#N/A,FALSE,"EXPENSE ALLOCATIONS";"ALLOCATION4",#N/A,FALSE,"EXPENSE ALLOCATIONS"}</definedName>
    <definedName function="false" hidden="true" name="__ap2" vbProcedure="false">{"detail",#N/A,FALSE,"mfg";"summary",#N/A,FALSE,"mfg"}</definedName>
    <definedName function="false" hidden="true" name="__APW_RESTORE_DATA0__" vbProcedure="false">#REF!</definedName>
    <definedName function="false" hidden="true" name="__APW_RESTORE_DATA1000__" vbProcedure="false">#REF!,#REF!,#REF!,#REF!,#REF!,#REF!,#REF!,#REF!,#REF!,#REF!,#REF!,#REF!,#REF!,#REF!,#REF!</definedName>
    <definedName function="false" hidden="true" name="__APW_RESTORE_DATA1001__" vbProcedure="false">#REF!,#REF!,#REF!,#REF!,#REF!,#REF!,#REF!,#REF!,#REF!,#REF!,#REF!,#REF!,#REF!,#REF!,#REF!</definedName>
    <definedName function="false" hidden="true" name="__APW_RESTORE_DATA1002__" vbProcedure="false">#REF!,#REF!,#REF!,#REF!,#REF!,#REF!,#REF!,#REF!,#REF!,#REF!,#REF!,#REF!,#REF!,#REF!,#REF!</definedName>
    <definedName function="false" hidden="true" name="__APW_RESTORE_DATA1003__" vbProcedure="false">#REF!,#REF!,#REF!,#REF!,#REF!,#REF!,#REF!,#REF!,#REF!,#REF!,#REF!,#REF!,#REF!,#REF!,#REF!</definedName>
    <definedName function="false" hidden="true" name="__APW_RESTORE_DATA1004__" vbProcedure="false">#REF!,#REF!,#REF!,#REF!,#REF!,#REF!</definedName>
    <definedName function="false" hidden="true" name="__APW_RESTORE_DATA1005__" vbProcedure="false">#REF!</definedName>
    <definedName function="false" hidden="true" name="__APW_RESTORE_DATA1006__" vbProcedure="false">#REF!</definedName>
    <definedName function="false" hidden="true" name="__APW_RESTORE_DATA1008__" vbProcedure="false">#REF!</definedName>
    <definedName function="false" hidden="true" name="__APW_RESTORE_DATA1009__" vbProcedure="false">#REF!,#REF!,#REF!,#REF!,#REF!,#REF!,#REF!,#REF!,#REF!,#REF!,#REF!,#REF!,#REF!,#REF!,#REF!,#REF!</definedName>
    <definedName function="false" hidden="true" name="__APW_RESTORE_DATA100__" vbProcedure="false">#REF!,#REF!</definedName>
    <definedName function="false" hidden="true" name="__APW_RESTORE_DATA1010__" vbProcedure="false">#REF!,#REF!,#REF!,#REF!,#REF!,#REF!,#REF!,#REF!,#REF!,#REF!,#REF!,#REF!,#REF!,#REF!,#REF!,#REF!</definedName>
    <definedName function="false" hidden="true" name="__APW_RESTORE_DATA1011__" vbProcedure="false">#REF!,#REF!,#REF!,#REF!,#REF!,#REF!,#REF!,#REF!,#REF!,#REF!,#REF!,#REF!,#REF!,#REF!,#REF!,#REF!</definedName>
    <definedName function="false" hidden="true" name="__APW_RESTORE_DATA1012__" vbProcedure="false">#REF!,#REF!,#REF!,#REF!,#REF!,#REF!,#REF!,#REF!,#REF!,#REF!,#REF!,#REF!,#REF!,#REF!,#REF!,#REF!</definedName>
    <definedName function="false" hidden="true" name="__APW_RESTORE_DATA1013__" vbProcedure="false">#REF!,#REF!,#REF!,#REF!,#REF!,#REF!,#REF!,#REF!,#REF!,#REF!,#REF!,#REF!,#REF!,#REF!,#REF!,#REF!</definedName>
    <definedName function="false" hidden="true" name="__APW_RESTORE_DATA1014__" vbProcedure="false">#REF!,#REF!,#REF!,#REF!,#REF!,#REF!,#REF!,#REF!,#REF!,#REF!,#REF!,#REF!,#REF!,#REF!,#REF!,#REF!</definedName>
    <definedName function="false" hidden="true" name="__APW_RESTORE_DATA1015__" vbProcedure="false">#REF!,#REF!,#REF!,#REF!,#REF!,#REF!,#REF!,#REF!,#REF!,#REF!,#REF!,#REF!,#REF!,#REF!,#REF!</definedName>
    <definedName function="false" hidden="true" name="__APW_RESTORE_DATA1016__" vbProcedure="false">#REF!,#REF!,#REF!,#REF!,#REF!,#REF!,#REF!,#REF!,#REF!,#REF!,#REF!,#REF!,#REF!,#REF!,#REF!</definedName>
    <definedName function="false" hidden="true" name="__APW_RESTORE_DATA1017__" vbProcedure="false">#REF!,#REF!,#REF!,#REF!,#REF!,#REF!,#REF!,#REF!,#REF!,#REF!,#REF!,#REF!,#REF!,#REF!,#REF!</definedName>
    <definedName function="false" hidden="true" name="__APW_RESTORE_DATA1018__" vbProcedure="false">#REF!,#REF!,#REF!,#REF!,#REF!,#REF!,#REF!,#REF!,#REF!,#REF!,#REF!,#REF!,#REF!,#REF!,#REF!</definedName>
    <definedName function="false" hidden="true" name="__APW_RESTORE_DATA1019__" vbProcedure="false">#REF!,#REF!,#REF!,#REF!,#REF!,#REF!,#REF!,#REF!,#REF!,#REF!,#REF!,#REF!,#REF!,#REF!,#REF!</definedName>
    <definedName function="false" hidden="true" name="__APW_RESTORE_DATA101__" vbProcedure="false">#REF!,#REF!,#REF!,#REF!,#REF!,#REF!,#REF!,#REF!,#REF!,#REF!,#REF!,#REF!,#REF!,#REF!,#REF!</definedName>
    <definedName function="false" hidden="true" name="__APW_RESTORE_DATA1020__" vbProcedure="false">#REF!,#REF!,#REF!,#REF!,#REF!,#REF!,#REF!,#REF!,#REF!,#REF!,#REF!,#REF!,#REF!,#REF!,#REF!</definedName>
    <definedName function="false" hidden="true" name="__APW_RESTORE_DATA1021__" vbProcedure="false">#REF!,#REF!,#REF!,#REF!,#REF!,#REF!,#REF!,#REF!,#REF!,#REF!,#REF!,#REF!,#REF!,#REF!,#REF!</definedName>
    <definedName function="false" hidden="true" name="__APW_RESTORE_DATA1022__" vbProcedure="false">#REF!,#REF!,#REF!,#REF!,#REF!,#REF!,#REF!,#REF!,#REF!,#REF!,#REF!,#REF!,#REF!,#REF!,#REF!</definedName>
    <definedName function="false" hidden="true" name="__APW_RESTORE_DATA1023__" vbProcedure="false">#REF!,#REF!,#REF!,#REF!,#REF!,#REF!,#REF!,#REF!,#REF!,#REF!,#REF!,#REF!,#REF!,#REF!,#REF!</definedName>
    <definedName function="false" hidden="true" name="__APW_RESTORE_DATA1024__" vbProcedure="false">#REF!,#REF!,#REF!,#REF!,#REF!,#REF!,#REF!,#REF!,#REF!,#REF!,#REF!,#REF!,#REF!,#REF!,#REF!</definedName>
    <definedName function="false" hidden="true" name="__APW_RESTORE_DATA1025__" vbProcedure="false">#REF!,#REF!,#REF!,#REF!,#REF!,#REF!,#REF!,#REF!,#REF!,#REF!,#REF!,#REF!,#REF!,#REF!,#REF!</definedName>
    <definedName function="false" hidden="true" name="__APW_RESTORE_DATA1026__" vbProcedure="false">#REF!,#REF!,#REF!,#REF!,#REF!,#REF!,#REF!,#REF!,#REF!,#REF!,#REF!,#REF!,#REF!,#REF!,#REF!</definedName>
    <definedName function="false" hidden="true" name="__APW_RESTORE_DATA1027__" vbProcedure="false">#REF!,#REF!,#REF!,#REF!,#REF!,#REF!,#REF!,#REF!,#REF!,#REF!,#REF!,#REF!,#REF!,#REF!,#REF!</definedName>
    <definedName function="false" hidden="true" name="__APW_RESTORE_DATA1028__" vbProcedure="false">#REF!,#REF!,#REF!,#REF!,#REF!,#REF!,#REF!,#REF!,#REF!,#REF!,#REF!,#REF!,#REF!,#REF!,#REF!</definedName>
    <definedName function="false" hidden="true" name="__APW_RESTORE_DATA1029__" vbProcedure="false">#REF!,#REF!,#REF!,#REF!,#REF!,#REF!,#REF!,#REF!,#REF!,#REF!,#REF!,#REF!,#REF!,#REF!,#REF!</definedName>
    <definedName function="false" hidden="true" name="__APW_RESTORE_DATA102__" vbProcedure="false">#REF!,#REF!,#REF!,#REF!,#REF!,#REF!,#REF!,#REF!,#REF!,#REF!,#REF!,#REF!,#REF!,#REF!,#REF!</definedName>
    <definedName function="false" hidden="true" name="__APW_RESTORE_DATA1030__" vbProcedure="false">#REF!,#REF!,#REF!,#REF!,#REF!,#REF!,#REF!,#REF!,#REF!,#REF!,#REF!,#REF!,#REF!,#REF!,#REF!</definedName>
    <definedName function="false" hidden="true" name="__APW_RESTORE_DATA1031__" vbProcedure="false">#REF!,#REF!,#REF!,#REF!,#REF!,#REF!,#REF!,#REF!,#REF!,#REF!,#REF!,#REF!,#REF!,#REF!,#REF!</definedName>
    <definedName function="false" hidden="true" name="__APW_RESTORE_DATA1032__" vbProcedure="false">#REF!,#REF!,#REF!,#REF!,#REF!,#REF!,#REF!,#REF!,#REF!,#REF!,#REF!,#REF!,#REF!,#REF!,#REF!</definedName>
    <definedName function="false" hidden="true" name="__APW_RESTORE_DATA1033__" vbProcedure="false">#REF!,#REF!,#REF!,#REF!,#REF!,#REF!,#REF!,#REF!,#REF!,#REF!,#REF!,#REF!,#REF!,#REF!,#REF!</definedName>
    <definedName function="false" hidden="true" name="__APW_RESTORE_DATA1034__" vbProcedure="false">#REF!,#REF!,#REF!,#REF!,#REF!,#REF!,#REF!,#REF!,#REF!,#REF!,#REF!,#REF!,#REF!,#REF!,#REF!</definedName>
    <definedName function="false" hidden="true" name="__APW_RESTORE_DATA1035__" vbProcedure="false">#REF!,#REF!,#REF!,#REF!,#REF!,#REF!,#REF!,#REF!,#REF!,#REF!,#REF!,#REF!,#REF!,#REF!,#REF!</definedName>
    <definedName function="false" hidden="true" name="__APW_RESTORE_DATA1036__" vbProcedure="false">#REF!,#REF!,#REF!,#REF!,#REF!,#REF!,#REF!,#REF!,#REF!,#REF!,#REF!,#REF!,#REF!,#REF!,#REF!</definedName>
    <definedName function="false" hidden="true" name="__APW_RESTORE_DATA1037__" vbProcedure="false">#REF!,#REF!,#REF!,#REF!,#REF!,#REF!,#REF!,#REF!,#REF!,#REF!,#REF!,#REF!,#REF!,#REF!,#REF!</definedName>
    <definedName function="false" hidden="true" name="__APW_RESTORE_DATA1038__" vbProcedure="false">#REF!,#REF!,#REF!,#REF!,#REF!,#REF!,#REF!,#REF!,#REF!,#REF!,#REF!,#REF!,#REF!,#REF!,#REF!</definedName>
    <definedName function="false" hidden="true" name="__APW_RESTORE_DATA1039__" vbProcedure="false">#REF!,#REF!,#REF!,#REF!,#REF!,#REF!,#REF!,#REF!,#REF!,#REF!,#REF!,#REF!,#REF!,#REF!,#REF!</definedName>
    <definedName function="false" hidden="true" name="__APW_RESTORE_DATA103__" vbProcedure="false">#REF!,#REF!,#REF!,#REF!,#REF!,#REF!,#REF!,#REF!,#REF!,#REF!,#REF!,#REF!,#REF!,#REF!,#REF!</definedName>
    <definedName function="false" hidden="true" name="__APW_RESTORE_DATA1040__" vbProcedure="false">#REF!,#REF!,#REF!,#REF!,#REF!,#REF!,#REF!,#REF!,#REF!,#REF!,#REF!,#REF!,#REF!,#REF!,#REF!</definedName>
    <definedName function="false" hidden="true" name="__APW_RESTORE_DATA1041__" vbProcedure="false">#REF!,#REF!,#REF!,#REF!,#REF!,#REF!,#REF!,#REF!,#REF!,#REF!,#REF!,#REF!,#REF!,#REF!,#REF!</definedName>
    <definedName function="false" hidden="true" name="__APW_RESTORE_DATA1042__" vbProcedure="false">#REF!,#REF!,#REF!,#REF!,#REF!,#REF!,#REF!,#REF!,#REF!,#REF!,#REF!,#REF!,#REF!,#REF!,#REF!</definedName>
    <definedName function="false" hidden="true" name="__APW_RESTORE_DATA1043__" vbProcedure="false">#REF!,#REF!,#REF!,#REF!,#REF!,#REF!</definedName>
    <definedName function="false" hidden="true" name="__APW_RESTORE_DATA1044__" vbProcedure="false">#REF!,#REF!,#REF!,#REF!,#REF!,#REF!,#REF!,#REF!,#REF!,#REF!,#REF!,#REF!,#REF!,#REF!,#REF!,#REF!</definedName>
    <definedName function="false" hidden="true" name="__APW_RESTORE_DATA1045__" vbProcedure="false">#REF!,#REF!,#REF!,#REF!,#REF!,#REF!,#REF!,#REF!,#REF!,#REF!,#REF!,#REF!,#REF!,#REF!,#REF!,#REF!</definedName>
    <definedName function="false" hidden="true" name="__APW_RESTORE_DATA1046__" vbProcedure="false">#REF!,#REF!,#REF!,#REF!,#REF!,#REF!,#REF!,#REF!,#REF!,#REF!,#REF!,#REF!,#REF!,#REF!,#REF!,#REF!</definedName>
    <definedName function="false" hidden="true" name="__APW_RESTORE_DATA1047__" vbProcedure="false">#REF!,#REF!,#REF!,#REF!,#REF!,#REF!,#REF!,#REF!,#REF!,#REF!,#REF!,#REF!,#REF!,#REF!,#REF!,#REF!</definedName>
    <definedName function="false" hidden="true" name="__APW_RESTORE_DATA1048__" vbProcedure="false">#REF!,#REF!,#REF!,#REF!,#REF!,#REF!,#REF!,#REF!,#REF!,#REF!,#REF!,#REF!,#REF!,#REF!,#REF!,#REF!</definedName>
    <definedName function="false" hidden="true" name="__APW_RESTORE_DATA1049__" vbProcedure="false">#REF!,#REF!,#REF!,#REF!,#REF!,#REF!,#REF!,#REF!,#REF!,#REF!,#REF!,#REF!,#REF!,#REF!,#REF!,#REF!</definedName>
    <definedName function="false" hidden="true" name="__APW_RESTORE_DATA104__" vbProcedure="false">#REF!,#REF!,#REF!,#REF!,#REF!,#REF!,#REF!,#REF!,#REF!,#REF!,#REF!,#REF!,#REF!,#REF!,#REF!</definedName>
    <definedName function="false" hidden="true" name="__APW_RESTORE_DATA1050__" vbProcedure="false">#REF!,#REF!,#REF!,#REF!,#REF!,#REF!,#REF!,#REF!,#REF!,#REF!,#REF!,#REF!,#REF!,#REF!,#REF!</definedName>
    <definedName function="false" hidden="true" name="__APW_RESTORE_DATA1051__" vbProcedure="false">#REF!,#REF!,#REF!,#REF!,#REF!,#REF!,#REF!,#REF!,#REF!,#REF!,#REF!,#REF!,#REF!,#REF!,#REF!</definedName>
    <definedName function="false" hidden="true" name="__APW_RESTORE_DATA1052__" vbProcedure="false">#REF!,#REF!,#REF!,#REF!,#REF!,#REF!,#REF!,#REF!,#REF!,#REF!,#REF!,#REF!,#REF!,#REF!,#REF!</definedName>
    <definedName function="false" hidden="true" name="__APW_RESTORE_DATA1053__" vbProcedure="false">#REF!,#REF!,#REF!,#REF!,#REF!,#REF!,#REF!,#REF!,#REF!,#REF!,#REF!,#REF!,#REF!,#REF!,#REF!</definedName>
    <definedName function="false" hidden="true" name="__APW_RESTORE_DATA1054__" vbProcedure="false">#REF!,#REF!,#REF!,#REF!,#REF!,#REF!,#REF!,#REF!,#REF!,#REF!,#REF!,#REF!,#REF!,#REF!,#REF!</definedName>
    <definedName function="false" hidden="true" name="__APW_RESTORE_DATA1055__" vbProcedure="false">#REF!,#REF!,#REF!,#REF!,#REF!,#REF!,#REF!,#REF!,#REF!,#REF!,#REF!,#REF!,#REF!,#REF!,#REF!</definedName>
    <definedName function="false" hidden="true" name="__APW_RESTORE_DATA1056__" vbProcedure="false">#REF!,#REF!,#REF!,#REF!,#REF!,#REF!,#REF!,#REF!,#REF!,#REF!,#REF!,#REF!,#REF!,#REF!,#REF!</definedName>
    <definedName function="false" hidden="true" name="__APW_RESTORE_DATA1057__" vbProcedure="false">#REF!,#REF!,#REF!,#REF!,#REF!,#REF!,#REF!,#REF!,#REF!,#REF!,#REF!,#REF!,#REF!,#REF!,#REF!</definedName>
    <definedName function="false" hidden="true" name="__APW_RESTORE_DATA1058__" vbProcedure="false">#REF!,#REF!,#REF!,#REF!,#REF!,#REF!,#REF!,#REF!,#REF!,#REF!,#REF!,#REF!,#REF!,#REF!,#REF!</definedName>
    <definedName function="false" hidden="true" name="__APW_RESTORE_DATA1059__" vbProcedure="false">#REF!,#REF!,#REF!,#REF!,#REF!,#REF!,#REF!,#REF!,#REF!,#REF!,#REF!,#REF!,#REF!,#REF!,#REF!</definedName>
    <definedName function="false" hidden="true" name="__APW_RESTORE_DATA105__" vbProcedure="false">#REF!,#REF!,#REF!,#REF!,#REF!,#REF!,#REF!,#REF!,#REF!,#REF!,#REF!,#REF!,#REF!,#REF!,#REF!</definedName>
    <definedName function="false" hidden="true" name="__APW_RESTORE_DATA1060__" vbProcedure="false">#REF!,#REF!,#REF!,#REF!,#REF!,#REF!,#REF!,#REF!,#REF!,#REF!,#REF!,#REF!,#REF!,#REF!,#REF!</definedName>
    <definedName function="false" hidden="true" name="__APW_RESTORE_DATA1061__" vbProcedure="false">#REF!,#REF!,#REF!,#REF!,#REF!,#REF!,#REF!,#REF!,#REF!,#REF!,#REF!,#REF!,#REF!,#REF!,#REF!</definedName>
    <definedName function="false" hidden="true" name="__APW_RESTORE_DATA1062__" vbProcedure="false">#REF!,#REF!,#REF!,#REF!,#REF!,#REF!,#REF!,#REF!,#REF!,#REF!,#REF!,#REF!,#REF!,#REF!,#REF!</definedName>
    <definedName function="false" hidden="true" name="__APW_RESTORE_DATA1063__" vbProcedure="false">#REF!,#REF!,#REF!,#REF!,#REF!,#REF!,#REF!,#REF!,#REF!,#REF!,#REF!,#REF!,#REF!,#REF!,#REF!</definedName>
    <definedName function="false" hidden="true" name="__APW_RESTORE_DATA1064__" vbProcedure="false">#REF!,#REF!,#REF!,#REF!,#REF!,#REF!,#REF!,#REF!,#REF!,#REF!,#REF!,#REF!,#REF!,#REF!,#REF!</definedName>
    <definedName function="false" hidden="true" name="__APW_RESTORE_DATA1065__" vbProcedure="false">#REF!,#REF!,#REF!,#REF!,#REF!,#REF!,#REF!,#REF!,#REF!,#REF!,#REF!,#REF!,#REF!,#REF!,#REF!</definedName>
    <definedName function="false" hidden="true" name="__APW_RESTORE_DATA1066__" vbProcedure="false">#REF!,#REF!,#REF!,#REF!,#REF!,#REF!,#REF!,#REF!,#REF!,#REF!,#REF!,#REF!,#REF!,#REF!,#REF!</definedName>
    <definedName function="false" hidden="true" name="__APW_RESTORE_DATA1067__" vbProcedure="false">#REF!,#REF!,#REF!,#REF!,#REF!,#REF!,#REF!,#REF!,#REF!,#REF!,#REF!,#REF!,#REF!,#REF!,#REF!</definedName>
    <definedName function="false" hidden="true" name="__APW_RESTORE_DATA1068__" vbProcedure="false">#REF!,#REF!,#REF!,#REF!,#REF!,#REF!,#REF!,#REF!,#REF!,#REF!,#REF!,#REF!,#REF!,#REF!,#REF!</definedName>
    <definedName function="false" hidden="true" name="__APW_RESTORE_DATA1069__" vbProcedure="false">#REF!,#REF!,#REF!,#REF!,#REF!,#REF!,#REF!,#REF!,#REF!,#REF!,#REF!,#REF!,#REF!,#REF!,#REF!</definedName>
    <definedName function="false" hidden="true" name="__APW_RESTORE_DATA106__" vbProcedure="false">#REF!,#REF!,#REF!,#REF!,#REF!,#REF!,#REF!,#REF!,#REF!,#REF!,#REF!,#REF!,#REF!,#REF!,#REF!</definedName>
    <definedName function="false" hidden="true" name="__APW_RESTORE_DATA1070__" vbProcedure="false">#REF!,#REF!,#REF!,#REF!,#REF!,#REF!,#REF!,#REF!,#REF!,#REF!,#REF!,#REF!,#REF!,#REF!,#REF!</definedName>
    <definedName function="false" hidden="true" name="__APW_RESTORE_DATA1071__" vbProcedure="false">#REF!,#REF!,#REF!,#REF!,#REF!,#REF!,#REF!,#REF!,#REF!,#REF!,#REF!,#REF!,#REF!,#REF!,#REF!</definedName>
    <definedName function="false" hidden="true" name="__APW_RESTORE_DATA1072__" vbProcedure="false">#REF!,#REF!,#REF!,#REF!,#REF!,#REF!,#REF!,#REF!,#REF!,#REF!,#REF!,#REF!,#REF!,#REF!,#REF!</definedName>
    <definedName function="false" hidden="true" name="__APW_RESTORE_DATA1073__" vbProcedure="false">#REF!,#REF!,#REF!,#REF!,#REF!,#REF!,#REF!,#REF!,#REF!,#REF!,#REF!,#REF!,#REF!,#REF!,#REF!</definedName>
    <definedName function="false" hidden="true" name="__APW_RESTORE_DATA1074__" vbProcedure="false">#REF!,#REF!,#REF!,#REF!,#REF!,#REF!,#REF!,#REF!,#REF!,#REF!,#REF!,#REF!,#REF!,#REF!,#REF!</definedName>
    <definedName function="false" hidden="true" name="__APW_RESTORE_DATA1075__" vbProcedure="false">#REF!,#REF!,#REF!,#REF!,#REF!,#REF!,#REF!,#REF!,#REF!,#REF!,#REF!,#REF!,#REF!,#REF!,#REF!</definedName>
    <definedName function="false" hidden="true" name="__APW_RESTORE_DATA1076__" vbProcedure="false">#REF!,#REF!,#REF!,#REF!,#REF!,#REF!,#REF!,#REF!,#REF!,#REF!,#REF!,#REF!,#REF!,#REF!,#REF!</definedName>
    <definedName function="false" hidden="true" name="__APW_RESTORE_DATA1077__" vbProcedure="false">#REF!,#REF!,#REF!,#REF!,#REF!,#REF!,#REF!,#REF!,#REF!,#REF!,#REF!,#REF!,#REF!,#REF!,#REF!</definedName>
    <definedName function="false" hidden="true" name="__APW_RESTORE_DATA1078__" vbProcedure="false">#REF!,#REF!,#REF!,#REF!,#REF!,#REF!</definedName>
    <definedName function="false" hidden="true" name="__APW_RESTORE_DATA1079__" vbProcedure="false">#REF!,#REF!,#REF!,#REF!,#REF!,#REF!,#REF!,#REF!,#REF!,#REF!,#REF!,#REF!,#REF!,#REF!,#REF!,#REF!</definedName>
    <definedName function="false" hidden="true" name="__APW_RESTORE_DATA107__" vbProcedure="false">#REF!,#REF!,#REF!,#REF!,#REF!,#REF!,#REF!,#REF!,#REF!,#REF!,#REF!,#REF!,#REF!,#REF!,#REF!</definedName>
    <definedName function="false" hidden="true" name="__APW_RESTORE_DATA1080__" vbProcedure="false">#REF!,#REF!,#REF!,#REF!,#REF!,#REF!,#REF!,#REF!,#REF!,#REF!,#REF!,#REF!,#REF!,#REF!,#REF!,#REF!</definedName>
    <definedName function="false" hidden="true" name="__APW_RESTORE_DATA1081__" vbProcedure="false">#REF!,#REF!,#REF!,#REF!,#REF!,#REF!,#REF!,#REF!,#REF!,#REF!,#REF!,#REF!,#REF!,#REF!,#REF!,#REF!</definedName>
    <definedName function="false" hidden="true" name="__APW_RESTORE_DATA1082__" vbProcedure="false">#REF!,#REF!,#REF!,#REF!,#REF!,#REF!,#REF!,#REF!,#REF!,#REF!,#REF!,#REF!,#REF!,#REF!,#REF!,#REF!</definedName>
    <definedName function="false" hidden="true" name="__APW_RESTORE_DATA1083__" vbProcedure="false">#REF!,#REF!,#REF!,#REF!,#REF!,#REF!,#REF!,#REF!,#REF!,#REF!,#REF!,#REF!,#REF!,#REF!,#REF!,#REF!</definedName>
    <definedName function="false" hidden="true" name="__APW_RESTORE_DATA1084__" vbProcedure="false">#REF!,#REF!,#REF!,#REF!,#REF!,#REF!,#REF!,#REF!,#REF!,#REF!,#REF!,#REF!,#REF!,#REF!,#REF!,#REF!</definedName>
    <definedName function="false" hidden="true" name="__APW_RESTORE_DATA1085__" vbProcedure="false">#REF!,#REF!,#REF!,#REF!,#REF!,#REF!,#REF!,#REF!,#REF!,#REF!,#REF!,#REF!,#REF!,#REF!,#REF!</definedName>
    <definedName function="false" hidden="true" name="__APW_RESTORE_DATA1086__" vbProcedure="false">#REF!,#REF!,#REF!,#REF!,#REF!,#REF!,#REF!,#REF!,#REF!,#REF!,#REF!,#REF!,#REF!,#REF!,#REF!</definedName>
    <definedName function="false" hidden="true" name="__APW_RESTORE_DATA1087__" vbProcedure="false">#REF!,#REF!,#REF!,#REF!,#REF!,#REF!,#REF!,#REF!,#REF!,#REF!,#REF!,#REF!,#REF!,#REF!,#REF!</definedName>
    <definedName function="false" hidden="true" name="__APW_RESTORE_DATA1088__" vbProcedure="false">#REF!,#REF!,#REF!,#REF!,#REF!,#REF!,#REF!,#REF!,#REF!,#REF!,#REF!,#REF!,#REF!,#REF!,#REF!</definedName>
    <definedName function="false" hidden="true" name="__APW_RESTORE_DATA1089__" vbProcedure="false">#REF!,#REF!,#REF!,#REF!,#REF!,#REF!,#REF!,#REF!,#REF!,#REF!,#REF!,#REF!,#REF!,#REF!,#REF!</definedName>
    <definedName function="false" hidden="true" name="__APW_RESTORE_DATA108__" vbProcedure="false">#REF!,#REF!,#REF!,#REF!,#REF!,#REF!,#REF!,#REF!,#REF!,#REF!,#REF!,#REF!,#REF!,#REF!,#REF!</definedName>
    <definedName function="false" hidden="true" name="__APW_RESTORE_DATA1090__" vbProcedure="false">#REF!,#REF!,#REF!,#REF!,#REF!,#REF!,#REF!,#REF!,#REF!,#REF!,#REF!,#REF!,#REF!,#REF!,#REF!</definedName>
    <definedName function="false" hidden="true" name="__APW_RESTORE_DATA1091__" vbProcedure="false">#REF!,#REF!,#REF!,#REF!,#REF!,#REF!,#REF!,#REF!,#REF!,#REF!,#REF!,#REF!,#REF!,#REF!,#REF!</definedName>
    <definedName function="false" hidden="true" name="__APW_RESTORE_DATA1092__" vbProcedure="false">#REF!,#REF!,#REF!,#REF!,#REF!,#REF!,#REF!,#REF!,#REF!,#REF!,#REF!,#REF!,#REF!,#REF!,#REF!</definedName>
    <definedName function="false" hidden="true" name="__APW_RESTORE_DATA1093__" vbProcedure="false">#REF!,#REF!,#REF!,#REF!,#REF!,#REF!,#REF!,#REF!,#REF!,#REF!,#REF!,#REF!,#REF!,#REF!,#REF!</definedName>
    <definedName function="false" hidden="true" name="__APW_RESTORE_DATA1094__" vbProcedure="false">#REF!,#REF!,#REF!,#REF!,#REF!,#REF!,#REF!,#REF!,#REF!,#REF!,#REF!,#REF!,#REF!,#REF!,#REF!</definedName>
    <definedName function="false" hidden="true" name="__APW_RESTORE_DATA1095__" vbProcedure="false">#REF!,#REF!,#REF!,#REF!,#REF!,#REF!,#REF!,#REF!,#REF!,#REF!,#REF!,#REF!,#REF!,#REF!,#REF!</definedName>
    <definedName function="false" hidden="true" name="__APW_RESTORE_DATA1096__" vbProcedure="false">#REF!,#REF!,#REF!,#REF!,#REF!,#REF!,#REF!,#REF!,#REF!,#REF!,#REF!,#REF!,#REF!,#REF!,#REF!</definedName>
    <definedName function="false" hidden="true" name="__APW_RESTORE_DATA1097__" vbProcedure="false">#REF!,#REF!,#REF!,#REF!,#REF!,#REF!,#REF!,#REF!,#REF!,#REF!,#REF!,#REF!,#REF!,#REF!,#REF!</definedName>
    <definedName function="false" hidden="true" name="__APW_RESTORE_DATA1098__" vbProcedure="false">#REF!,#REF!,#REF!,#REF!,#REF!,#REF!,#REF!,#REF!,#REF!,#REF!,#REF!,#REF!,#REF!,#REF!,#REF!</definedName>
    <definedName function="false" hidden="true" name="__APW_RESTORE_DATA1099__" vbProcedure="false">#REF!,#REF!,#REF!,#REF!,#REF!,#REF!,#REF!,#REF!,#REF!,#REF!,#REF!,#REF!,#REF!,#REF!,#REF!</definedName>
    <definedName function="false" hidden="true" name="__APW_RESTORE_DATA109__" vbProcedure="false">#REF!,#REF!,#REF!,#REF!,#REF!,#REF!,#REF!</definedName>
    <definedName function="false" hidden="true" name="__APW_RESTORE_DATA10__" vbProcedure="false">#REF!</definedName>
    <definedName function="false" hidden="true" name="__APW_RESTORE_DATA1100__" vbProcedure="false">#REF!,#REF!,#REF!,#REF!,#REF!,#REF!,#REF!,#REF!,#REF!,#REF!,#REF!,#REF!,#REF!,#REF!,#REF!</definedName>
    <definedName function="false" hidden="true" name="__APW_RESTORE_DATA1101__" vbProcedure="false">#REF!,#REF!,#REF!,#REF!,#REF!,#REF!,#REF!,#REF!,#REF!,#REF!,#REF!,#REF!,#REF!,#REF!,#REF!</definedName>
    <definedName function="false" hidden="true" name="__APW_RESTORE_DATA1102__" vbProcedure="false">#REF!,#REF!,#REF!,#REF!,#REF!,#REF!,#REF!,#REF!,#REF!,#REF!,#REF!,#REF!,#REF!,#REF!,#REF!</definedName>
    <definedName function="false" hidden="true" name="__APW_RESTORE_DATA1103__" vbProcedure="false">#REF!,#REF!,#REF!,#REF!,#REF!,#REF!,#REF!,#REF!,#REF!,#REF!,#REF!,#REF!,#REF!,#REF!,#REF!</definedName>
    <definedName function="false" hidden="true" name="__APW_RESTORE_DATA1104__" vbProcedure="false">#REF!,#REF!,#REF!,#REF!,#REF!,#REF!,#REF!,#REF!,#REF!,#REF!,#REF!,#REF!,#REF!,#REF!,#REF!</definedName>
    <definedName function="false" hidden="true" name="__APW_RESTORE_DATA1105__" vbProcedure="false">#REF!,#REF!,#REF!,#REF!,#REF!,#REF!,#REF!,#REF!,#REF!,#REF!,#REF!,#REF!,#REF!,#REF!,#REF!</definedName>
    <definedName function="false" hidden="true" name="__APW_RESTORE_DATA1106__" vbProcedure="false">#REF!,#REF!,#REF!,#REF!,#REF!,#REF!,#REF!,#REF!,#REF!,#REF!,#REF!,#REF!,#REF!,#REF!,#REF!</definedName>
    <definedName function="false" hidden="true" name="__APW_RESTORE_DATA1107__" vbProcedure="false">#REF!,#REF!,#REF!,#REF!,#REF!,#REF!,#REF!,#REF!,#REF!,#REF!,#REF!,#REF!,#REF!,#REF!,#REF!</definedName>
    <definedName function="false" hidden="true" name="__APW_RESTORE_DATA1108__" vbProcedure="false">#REF!,#REF!,#REF!,#REF!,#REF!,#REF!,#REF!,#REF!,#REF!,#REF!,#REF!,#REF!,#REF!,#REF!,#REF!</definedName>
    <definedName function="false" hidden="true" name="__APW_RESTORE_DATA1109__" vbProcedure="false">#REF!,#REF!,#REF!,#REF!,#REF!,#REF!,#REF!,#REF!,#REF!,#REF!,#REF!,#REF!,#REF!,#REF!,#REF!</definedName>
    <definedName function="false" hidden="true" name="__APW_RESTORE_DATA110__" vbProcedure="false">#REF!,#REF!,#REF!,#REF!,#REF!,#REF!,#REF!,#REF!,#REF!,#REF!,#REF!,#REF!,#REF!,#REF!,#REF!,#REF!</definedName>
    <definedName function="false" hidden="true" name="__APW_RESTORE_DATA1110__" vbProcedure="false">#REF!,#REF!,#REF!,#REF!,#REF!,#REF!,#REF!,#REF!,#REF!,#REF!,#REF!,#REF!,#REF!,#REF!,#REF!</definedName>
    <definedName function="false" hidden="true" name="__APW_RESTORE_DATA1111__" vbProcedure="false">#REF!,#REF!,#REF!,#REF!,#REF!,#REF!,#REF!,#REF!,#REF!,#REF!,#REF!,#REF!,#REF!,#REF!,#REF!</definedName>
    <definedName function="false" hidden="true" name="__APW_RESTORE_DATA1112__" vbProcedure="false">#REF!,#REF!,#REF!,#REF!,#REF!,#REF!,#REF!,#REF!,#REF!,#REF!,#REF!,#REF!,#REF!,#REF!,#REF!</definedName>
    <definedName function="false" hidden="true" name="__APW_RESTORE_DATA1113__" vbProcedure="false">#REF!,#REF!,#REF!,#REF!,#REF!,#REF!</definedName>
    <definedName function="false" hidden="true" name="__APW_RESTORE_DATA1114__" vbProcedure="false">#REF!,#REF!,#REF!,#REF!,#REF!,#REF!,#REF!,#REF!,#REF!,#REF!,#REF!,#REF!,#REF!,#REF!,#REF!,#REF!</definedName>
    <definedName function="false" hidden="true" name="__APW_RESTORE_DATA1115__" vbProcedure="false">#REF!,#REF!,#REF!,#REF!,#REF!,#REF!,#REF!,#REF!,#REF!,#REF!,#REF!,#REF!,#REF!,#REF!,#REF!,#REF!</definedName>
    <definedName function="false" hidden="true" name="__APW_RESTORE_DATA1116__" vbProcedure="false">#REF!,#REF!,#REF!,#REF!,#REF!,#REF!,#REF!,#REF!,#REF!,#REF!,#REF!,#REF!,#REF!,#REF!,#REF!,#REF!</definedName>
    <definedName function="false" hidden="true" name="__APW_RESTORE_DATA1117__" vbProcedure="false">#REF!,#REF!,#REF!,#REF!,#REF!,#REF!,#REF!,#REF!,#REF!,#REF!,#REF!,#REF!,#REF!,#REF!,#REF!,#REF!</definedName>
    <definedName function="false" hidden="true" name="__APW_RESTORE_DATA1118__" vbProcedure="false">#REF!,#REF!,#REF!,#REF!,#REF!,#REF!,#REF!,#REF!,#REF!,#REF!,#REF!,#REF!,#REF!,#REF!,#REF!,#REF!</definedName>
    <definedName function="false" hidden="true" name="__APW_RESTORE_DATA1119__" vbProcedure="false">#REF!,#REF!,#REF!,#REF!,#REF!,#REF!,#REF!,#REF!,#REF!,#REF!,#REF!,#REF!,#REF!,#REF!,#REF!,#REF!</definedName>
    <definedName function="false" hidden="true" name="__APW_RESTORE_DATA111__" vbProcedure="false">#REF!,#REF!,#REF!,#REF!,#REF!,#REF!,#REF!,#REF!,#REF!,#REF!,#REF!,#REF!,#REF!,#REF!,#REF!,#REF!</definedName>
    <definedName function="false" hidden="true" name="__APW_RESTORE_DATA1120__" vbProcedure="false">#REF!,#REF!,#REF!,#REF!,#REF!,#REF!,#REF!,#REF!,#REF!,#REF!,#REF!,#REF!,#REF!,#REF!,#REF!</definedName>
    <definedName function="false" hidden="true" name="__APW_RESTORE_DATA1121__" vbProcedure="false">#REF!,#REF!,#REF!,#REF!,#REF!,#REF!,#REF!,#REF!,#REF!,#REF!,#REF!,#REF!,#REF!,#REF!,#REF!</definedName>
    <definedName function="false" hidden="true" name="__APW_RESTORE_DATA1122__" vbProcedure="false">#REF!,#REF!,#REF!,#REF!,#REF!,#REF!,#REF!,#REF!,#REF!,#REF!,#REF!,#REF!,#REF!,#REF!,#REF!</definedName>
    <definedName function="false" hidden="true" name="__APW_RESTORE_DATA1123__" vbProcedure="false">#REF!,#REF!,#REF!,#REF!,#REF!,#REF!,#REF!,#REF!,#REF!,#REF!,#REF!,#REF!,#REF!,#REF!,#REF!</definedName>
    <definedName function="false" hidden="true" name="__APW_RESTORE_DATA1124__" vbProcedure="false">#REF!,#REF!,#REF!,#REF!,#REF!,#REF!,#REF!,#REF!,#REF!,#REF!,#REF!,#REF!,#REF!,#REF!,#REF!</definedName>
    <definedName function="false" hidden="true" name="__APW_RESTORE_DATA1125__" vbProcedure="false">#REF!,#REF!,#REF!,#REF!,#REF!,#REF!,#REF!,#REF!,#REF!,#REF!,#REF!,#REF!,#REF!,#REF!,#REF!</definedName>
    <definedName function="false" hidden="true" name="__APW_RESTORE_DATA1126__" vbProcedure="false">#REF!,#REF!,#REF!,#REF!,#REF!,#REF!,#REF!,#REF!,#REF!,#REF!,#REF!,#REF!,#REF!,#REF!,#REF!</definedName>
    <definedName function="false" hidden="true" name="__APW_RESTORE_DATA1127__" vbProcedure="false">#REF!,#REF!,#REF!,#REF!,#REF!,#REF!,#REF!,#REF!,#REF!,#REF!,#REF!,#REF!,#REF!,#REF!,#REF!</definedName>
    <definedName function="false" hidden="true" name="__APW_RESTORE_DATA1128__" vbProcedure="false">#REF!,#REF!,#REF!,#REF!,#REF!,#REF!,#REF!,#REF!,#REF!,#REF!,#REF!,#REF!,#REF!,#REF!,#REF!</definedName>
    <definedName function="false" hidden="true" name="__APW_RESTORE_DATA1129__" vbProcedure="false">#REF!,#REF!,#REF!,#REF!,#REF!,#REF!,#REF!,#REF!,#REF!,#REF!,#REF!,#REF!,#REF!,#REF!,#REF!</definedName>
    <definedName function="false" hidden="true" name="__APW_RESTORE_DATA112__" vbProcedure="false">#REF!,#REF!,#REF!,#REF!,#REF!,#REF!,#REF!,#REF!,#REF!,#REF!,#REF!,#REF!,#REF!,#REF!,#REF!,#REF!</definedName>
    <definedName function="false" hidden="true" name="__APW_RESTORE_DATA1130__" vbProcedure="false">#REF!,#REF!,#REF!,#REF!,#REF!,#REF!,#REF!,#REF!,#REF!,#REF!,#REF!,#REF!,#REF!,#REF!,#REF!</definedName>
    <definedName function="false" hidden="true" name="__APW_RESTORE_DATA1131__" vbProcedure="false">#REF!,#REF!,#REF!,#REF!,#REF!,#REF!,#REF!,#REF!,#REF!,#REF!,#REF!,#REF!,#REF!,#REF!,#REF!</definedName>
    <definedName function="false" hidden="true" name="__APW_RESTORE_DATA1132__" vbProcedure="false">#REF!,#REF!,#REF!,#REF!,#REF!,#REF!,#REF!,#REF!,#REF!,#REF!,#REF!,#REF!,#REF!,#REF!,#REF!</definedName>
    <definedName function="false" hidden="true" name="__APW_RESTORE_DATA1133__" vbProcedure="false">#REF!,#REF!,#REF!,#REF!,#REF!,#REF!,#REF!,#REF!,#REF!,#REF!,#REF!,#REF!,#REF!,#REF!,#REF!</definedName>
    <definedName function="false" hidden="true" name="__APW_RESTORE_DATA1134__" vbProcedure="false">#REF!,#REF!,#REF!,#REF!,#REF!,#REF!,#REF!,#REF!,#REF!,#REF!,#REF!,#REF!,#REF!,#REF!,#REF!</definedName>
    <definedName function="false" hidden="true" name="__APW_RESTORE_DATA1135__" vbProcedure="false">#REF!,#REF!,#REF!,#REF!,#REF!,#REF!,#REF!,#REF!,#REF!,#REF!,#REF!,#REF!,#REF!,#REF!,#REF!</definedName>
    <definedName function="false" hidden="true" name="__APW_RESTORE_DATA1136__" vbProcedure="false">#REF!,#REF!,#REF!,#REF!,#REF!,#REF!,#REF!,#REF!,#REF!,#REF!,#REF!,#REF!,#REF!,#REF!,#REF!</definedName>
    <definedName function="false" hidden="true" name="__APW_RESTORE_DATA1137__" vbProcedure="false">#REF!,#REF!,#REF!,#REF!,#REF!,#REF!,#REF!,#REF!,#REF!,#REF!,#REF!,#REF!,#REF!,#REF!,#REF!</definedName>
    <definedName function="false" hidden="true" name="__APW_RESTORE_DATA1138__" vbProcedure="false">#REF!,#REF!,#REF!,#REF!,#REF!,#REF!,#REF!,#REF!,#REF!,#REF!,#REF!,#REF!,#REF!,#REF!,#REF!</definedName>
    <definedName function="false" hidden="true" name="__APW_RESTORE_DATA1139__" vbProcedure="false">#REF!,#REF!,#REF!,#REF!,#REF!,#REF!,#REF!,#REF!,#REF!,#REF!,#REF!,#REF!,#REF!,#REF!,#REF!</definedName>
    <definedName function="false" hidden="true" name="__APW_RESTORE_DATA113__" vbProcedure="false">#REF!,#REF!,#REF!,#REF!,#REF!,#REF!,#REF!,#REF!,#REF!,#REF!,#REF!,#REF!,#REF!,#REF!,#REF!,#REF!</definedName>
    <definedName function="false" hidden="true" name="__APW_RESTORE_DATA1140__" vbProcedure="false">#REF!,#REF!,#REF!,#REF!,#REF!,#REF!,#REF!,#REF!,#REF!,#REF!,#REF!,#REF!,#REF!,#REF!,#REF!</definedName>
    <definedName function="false" hidden="true" name="__APW_RESTORE_DATA1141__" vbProcedure="false">#REF!,#REF!,#REF!,#REF!,#REF!,#REF!,#REF!,#REF!,#REF!,#REF!,#REF!,#REF!,#REF!,#REF!,#REF!</definedName>
    <definedName function="false" hidden="true" name="__APW_RESTORE_DATA1142__" vbProcedure="false">#REF!,#REF!,#REF!,#REF!,#REF!,#REF!,#REF!,#REF!,#REF!,#REF!,#REF!,#REF!,#REF!,#REF!,#REF!</definedName>
    <definedName function="false" hidden="true" name="__APW_RESTORE_DATA1143__" vbProcedure="false">#REF!,#REF!,#REF!,#REF!,#REF!,#REF!,#REF!,#REF!,#REF!,#REF!,#REF!,#REF!,#REF!,#REF!,#REF!</definedName>
    <definedName function="false" hidden="true" name="__APW_RESTORE_DATA1144__" vbProcedure="false">#REF!,#REF!,#REF!,#REF!,#REF!,#REF!,#REF!,#REF!,#REF!,#REF!,#REF!,#REF!,#REF!,#REF!,#REF!</definedName>
    <definedName function="false" hidden="true" name="__APW_RESTORE_DATA1145__" vbProcedure="false">#REF!,#REF!,#REF!,#REF!,#REF!,#REF!,#REF!,#REF!,#REF!,#REF!,#REF!,#REF!,#REF!,#REF!,#REF!</definedName>
    <definedName function="false" hidden="true" name="__APW_RESTORE_DATA1146__" vbProcedure="false">#REF!,#REF!,#REF!,#REF!,#REF!,#REF!,#REF!,#REF!,#REF!,#REF!,#REF!,#REF!,#REF!,#REF!,#REF!</definedName>
    <definedName function="false" hidden="true" name="__APW_RESTORE_DATA1147__" vbProcedure="false">#REF!,#REF!,#REF!,#REF!,#REF!,#REF!,#REF!,#REF!,#REF!,#REF!,#REF!,#REF!,#REF!,#REF!,#REF!</definedName>
    <definedName function="false" hidden="true" name="__APW_RESTORE_DATA1148__" vbProcedure="false">#REF!,#REF!,#REF!,#REF!,#REF!,#REF!</definedName>
    <definedName function="false" hidden="true" name="__APW_RESTORE_DATA1149__" vbProcedure="false">#REF!</definedName>
    <definedName function="false" hidden="true" name="__APW_RESTORE_DATA114__" vbProcedure="false">#REF!,#REF!,#REF!,#REF!,#REF!,#REF!,#REF!,#REF!,#REF!,#REF!,#REF!,#REF!,#REF!,#REF!,#REF!,#REF!</definedName>
    <definedName function="false" hidden="true" name="__APW_RESTORE_DATA1151__" vbProcedure="false">#REF!</definedName>
    <definedName function="false" hidden="true" name="__APW_RESTORE_DATA1152__" vbProcedure="false">#REF!,#REF!,#REF!,#REF!,#REF!,#REF!,#REF!,#REF!,#REF!,#REF!,#REF!,#REF!,#REF!,#REF!,#REF!,#REF!</definedName>
    <definedName function="false" hidden="true" name="__APW_RESTORE_DATA1153__" vbProcedure="false">#REF!,#REF!,#REF!,#REF!,#REF!,#REF!,#REF!,#REF!,#REF!,#REF!,#REF!,#REF!,#REF!,#REF!,#REF!,#REF!</definedName>
    <definedName function="false" hidden="true" name="__APW_RESTORE_DATA1154__" vbProcedure="false">#REF!,#REF!,#REF!,#REF!,#REF!,#REF!,#REF!,#REF!,#REF!,#REF!,#REF!,#REF!,#REF!,#REF!,#REF!,#REF!</definedName>
    <definedName function="false" hidden="true" name="__APW_RESTORE_DATA1155__" vbProcedure="false">#REF!,#REF!,#REF!,#REF!,#REF!,#REF!,#REF!,#REF!,#REF!,#REF!,#REF!,#REF!,#REF!,#REF!,#REF!,#REF!</definedName>
    <definedName function="false" hidden="true" name="__APW_RESTORE_DATA1156__" vbProcedure="false">#REF!,#REF!,#REF!,#REF!,#REF!,#REF!,#REF!,#REF!,#REF!,#REF!,#REF!,#REF!,#REF!,#REF!,#REF!,#REF!</definedName>
    <definedName function="false" hidden="true" name="__APW_RESTORE_DATA1157__" vbProcedure="false">#REF!,#REF!,#REF!,#REF!,#REF!,#REF!,#REF!,#REF!,#REF!,#REF!,#REF!,#REF!,#REF!,#REF!,#REF!,#REF!</definedName>
    <definedName function="false" hidden="true" name="__APW_RESTORE_DATA1158__" vbProcedure="false">#REF!,#REF!,#REF!,#REF!,#REF!,#REF!,#REF!,#REF!,#REF!,#REF!,#REF!,#REF!,#REF!,#REF!,#REF!</definedName>
    <definedName function="false" hidden="true" name="__APW_RESTORE_DATA1159__" vbProcedure="false">#REF!,#REF!,#REF!,#REF!,#REF!,#REF!,#REF!,#REF!,#REF!,#REF!,#REF!,#REF!,#REF!,#REF!,#REF!</definedName>
    <definedName function="false" hidden="true" name="__APW_RESTORE_DATA115__" vbProcedure="false">#REF!,#REF!</definedName>
    <definedName function="false" hidden="true" name="__APW_RESTORE_DATA1160__" vbProcedure="false">#REF!,#REF!,#REF!,#REF!,#REF!,#REF!,#REF!,#REF!,#REF!,#REF!,#REF!,#REF!,#REF!,#REF!,#REF!</definedName>
    <definedName function="false" hidden="true" name="__APW_RESTORE_DATA1161__" vbProcedure="false">#REF!,#REF!,#REF!,#REF!,#REF!,#REF!,#REF!,#REF!,#REF!,#REF!,#REF!,#REF!,#REF!,#REF!,#REF!</definedName>
    <definedName function="false" hidden="true" name="__APW_RESTORE_DATA1162__" vbProcedure="false">#REF!,#REF!,#REF!,#REF!,#REF!,#REF!,#REF!,#REF!,#REF!,#REF!,#REF!,#REF!,#REF!,#REF!,#REF!</definedName>
    <definedName function="false" hidden="true" name="__APW_RESTORE_DATA1163__" vbProcedure="false">#REF!,#REF!,#REF!,#REF!,#REF!,#REF!,#REF!,#REF!,#REF!,#REF!,#REF!,#REF!,#REF!,#REF!,#REF!</definedName>
    <definedName function="false" hidden="true" name="__APW_RESTORE_DATA1164__" vbProcedure="false">#REF!,#REF!,#REF!,#REF!,#REF!,#REF!,#REF!,#REF!,#REF!,#REF!,#REF!,#REF!,#REF!,#REF!,#REF!</definedName>
    <definedName function="false" hidden="true" name="__APW_RESTORE_DATA1165__" vbProcedure="false">#REF!,#REF!,#REF!,#REF!,#REF!,#REF!,#REF!,#REF!,#REF!,#REF!,#REF!,#REF!,#REF!,#REF!,#REF!</definedName>
    <definedName function="false" hidden="true" name="__APW_RESTORE_DATA1166__" vbProcedure="false">#REF!,#REF!,#REF!,#REF!,#REF!,#REF!,#REF!,#REF!,#REF!,#REF!,#REF!,#REF!,#REF!,#REF!,#REF!</definedName>
    <definedName function="false" hidden="true" name="__APW_RESTORE_DATA1167__" vbProcedure="false">#REF!,#REF!,#REF!,#REF!,#REF!,#REF!,#REF!,#REF!,#REF!,#REF!,#REF!,#REF!,#REF!,#REF!,#REF!</definedName>
    <definedName function="false" hidden="true" name="__APW_RESTORE_DATA1168__" vbProcedure="false">#REF!,#REF!,#REF!,#REF!,#REF!,#REF!,#REF!,#REF!,#REF!,#REF!,#REF!,#REF!,#REF!,#REF!,#REF!</definedName>
    <definedName function="false" hidden="true" name="__APW_RESTORE_DATA1169__" vbProcedure="false">#REF!,#REF!,#REF!,#REF!,#REF!,#REF!,#REF!,#REF!,#REF!,#REF!,#REF!,#REF!,#REF!,#REF!,#REF!</definedName>
    <definedName function="false" hidden="true" name="__APW_RESTORE_DATA116__" vbProcedure="false">#REF!,#REF!</definedName>
    <definedName function="false" hidden="true" name="__APW_RESTORE_DATA1170__" vbProcedure="false">#REF!,#REF!,#REF!,#REF!,#REF!,#REF!,#REF!,#REF!,#REF!,#REF!,#REF!,#REF!,#REF!,#REF!,#REF!</definedName>
    <definedName function="false" hidden="true" name="__APW_RESTORE_DATA1171__" vbProcedure="false">#REF!,#REF!,#REF!,#REF!,#REF!,#REF!,#REF!,#REF!,#REF!,#REF!,#REF!,#REF!,#REF!,#REF!,#REF!</definedName>
    <definedName function="false" hidden="true" name="__APW_RESTORE_DATA1172__" vbProcedure="false">#REF!,#REF!,#REF!,#REF!,#REF!,#REF!,#REF!,#REF!,#REF!,#REF!,#REF!,#REF!,#REF!,#REF!,#REF!</definedName>
    <definedName function="false" hidden="true" name="__APW_RESTORE_DATA1173__" vbProcedure="false">#REF!,#REF!,#REF!,#REF!,#REF!,#REF!,#REF!,#REF!,#REF!,#REF!,#REF!,#REF!,#REF!,#REF!,#REF!</definedName>
    <definedName function="false" hidden="true" name="__APW_RESTORE_DATA1174__" vbProcedure="false">#REF!,#REF!,#REF!,#REF!,#REF!,#REF!,#REF!,#REF!,#REF!,#REF!,#REF!,#REF!,#REF!,#REF!,#REF!</definedName>
    <definedName function="false" hidden="true" name="__APW_RESTORE_DATA1175__" vbProcedure="false">#REF!,#REF!,#REF!,#REF!,#REF!,#REF!,#REF!,#REF!,#REF!,#REF!,#REF!,#REF!,#REF!,#REF!,#REF!</definedName>
    <definedName function="false" hidden="true" name="__APW_RESTORE_DATA1176__" vbProcedure="false">#REF!,#REF!,#REF!,#REF!,#REF!,#REF!,#REF!,#REF!,#REF!,#REF!,#REF!,#REF!,#REF!,#REF!,#REF!</definedName>
    <definedName function="false" hidden="true" name="__APW_RESTORE_DATA1177__" vbProcedure="false">#REF!,#REF!,#REF!,#REF!,#REF!,#REF!,#REF!,#REF!,#REF!,#REF!,#REF!,#REF!,#REF!,#REF!,#REF!</definedName>
    <definedName function="false" hidden="true" name="__APW_RESTORE_DATA1178__" vbProcedure="false">#REF!,#REF!,#REF!,#REF!,#REF!,#REF!,#REF!,#REF!,#REF!,#REF!,#REF!,#REF!,#REF!,#REF!,#REF!</definedName>
    <definedName function="false" hidden="true" name="__APW_RESTORE_DATA1179__" vbProcedure="false">#REF!,#REF!,#REF!,#REF!,#REF!,#REF!,#REF!,#REF!,#REF!,#REF!,#REF!,#REF!,#REF!,#REF!,#REF!</definedName>
    <definedName function="false" hidden="true" name="__APW_RESTORE_DATA117__" vbProcedure="false">#REF!,#REF!,#REF!,#REF!,#REF!,#REF!,#REF!,#REF!,#REF!,#REF!,#REF!,#REF!,#REF!,#REF!,#REF!</definedName>
    <definedName function="false" hidden="true" name="__APW_RESTORE_DATA1180__" vbProcedure="false">#REF!,#REF!,#REF!,#REF!,#REF!,#REF!,#REF!,#REF!,#REF!,#REF!,#REF!,#REF!,#REF!,#REF!,#REF!</definedName>
    <definedName function="false" hidden="true" name="__APW_RESTORE_DATA1181__" vbProcedure="false">#REF!,#REF!,#REF!,#REF!,#REF!,#REF!,#REF!,#REF!,#REF!,#REF!,#REF!,#REF!,#REF!,#REF!,#REF!</definedName>
    <definedName function="false" hidden="true" name="__APW_RESTORE_DATA1182__" vbProcedure="false">#REF!,#REF!,#REF!,#REF!,#REF!,#REF!,#REF!,#REF!,#REF!,#REF!,#REF!,#REF!,#REF!,#REF!,#REF!</definedName>
    <definedName function="false" hidden="true" name="__APW_RESTORE_DATA1183__" vbProcedure="false">#REF!,#REF!,#REF!,#REF!,#REF!,#REF!,#REF!,#REF!,#REF!,#REF!,#REF!,#REF!,#REF!,#REF!,#REF!</definedName>
    <definedName function="false" hidden="true" name="__APW_RESTORE_DATA1184__" vbProcedure="false">#REF!,#REF!,#REF!,#REF!,#REF!,#REF!,#REF!,#REF!,#REF!,#REF!,#REF!,#REF!,#REF!,#REF!,#REF!</definedName>
    <definedName function="false" hidden="true" name="__APW_RESTORE_DATA1185__" vbProcedure="false">#REF!,#REF!,#REF!,#REF!,#REF!,#REF!,#REF!,#REF!,#REF!,#REF!,#REF!,#REF!,#REF!,#REF!,#REF!</definedName>
    <definedName function="false" hidden="true" name="__APW_RESTORE_DATA1186__" vbProcedure="false">#REF!,#REF!,#REF!,#REF!,#REF!,#REF!</definedName>
    <definedName function="false" hidden="true" name="__APW_RESTORE_DATA1187__" vbProcedure="false">#REF!,#REF!,#REF!,#REF!,#REF!,#REF!,#REF!,#REF!,#REF!,#REF!,#REF!,#REF!,#REF!,#REF!,#REF!,#REF!</definedName>
    <definedName function="false" hidden="true" name="__APW_RESTORE_DATA1188__" vbProcedure="false">#REF!,#REF!,#REF!,#REF!,#REF!,#REF!,#REF!,#REF!,#REF!,#REF!,#REF!,#REF!,#REF!,#REF!,#REF!,#REF!</definedName>
    <definedName function="false" hidden="true" name="__APW_RESTORE_DATA1189__" vbProcedure="false">#REF!,#REF!,#REF!,#REF!,#REF!,#REF!,#REF!,#REF!,#REF!,#REF!,#REF!,#REF!,#REF!,#REF!,#REF!,#REF!</definedName>
    <definedName function="false" hidden="true" name="__APW_RESTORE_DATA118__" vbProcedure="false">#REF!,#REF!,#REF!,#REF!,#REF!,#REF!,#REF!,#REF!,#REF!,#REF!,#REF!,#REF!,#REF!,#REF!,#REF!</definedName>
    <definedName function="false" hidden="true" name="__APW_RESTORE_DATA1190__" vbProcedure="false">#REF!,#REF!,#REF!,#REF!,#REF!,#REF!,#REF!,#REF!,#REF!,#REF!,#REF!,#REF!,#REF!,#REF!,#REF!,#REF!</definedName>
    <definedName function="false" hidden="true" name="__APW_RESTORE_DATA1191__" vbProcedure="false">#REF!,#REF!,#REF!,#REF!,#REF!,#REF!,#REF!,#REF!,#REF!,#REF!,#REF!,#REF!,#REF!,#REF!,#REF!,#REF!</definedName>
    <definedName function="false" hidden="true" name="__APW_RESTORE_DATA1192__" vbProcedure="false">#REF!,#REF!,#REF!,#REF!,#REF!,#REF!,#REF!,#REF!,#REF!,#REF!,#REF!,#REF!,#REF!,#REF!,#REF!,#REF!</definedName>
    <definedName function="false" hidden="true" name="__APW_RESTORE_DATA1193__" vbProcedure="false">#REF!,#REF!,#REF!,#REF!,#REF!,#REF!,#REF!,#REF!,#REF!,#REF!,#REF!,#REF!,#REF!,#REF!,#REF!</definedName>
    <definedName function="false" hidden="true" name="__APW_RESTORE_DATA1194__" vbProcedure="false">#REF!,#REF!,#REF!,#REF!,#REF!,#REF!,#REF!,#REF!,#REF!,#REF!,#REF!,#REF!,#REF!,#REF!,#REF!</definedName>
    <definedName function="false" hidden="true" name="__APW_RESTORE_DATA1195__" vbProcedure="false">#REF!,#REF!,#REF!,#REF!,#REF!,#REF!,#REF!,#REF!,#REF!,#REF!,#REF!,#REF!,#REF!,#REF!,#REF!</definedName>
    <definedName function="false" hidden="true" name="__APW_RESTORE_DATA1196__" vbProcedure="false">#REF!,#REF!,#REF!,#REF!,#REF!,#REF!,#REF!,#REF!,#REF!,#REF!,#REF!,#REF!,#REF!,#REF!,#REF!</definedName>
    <definedName function="false" hidden="true" name="__APW_RESTORE_DATA1197__" vbProcedure="false">#REF!,#REF!,#REF!,#REF!,#REF!,#REF!,#REF!,#REF!,#REF!,#REF!,#REF!,#REF!,#REF!,#REF!,#REF!</definedName>
    <definedName function="false" hidden="true" name="__APW_RESTORE_DATA1198__" vbProcedure="false">#REF!,#REF!,#REF!,#REF!,#REF!,#REF!,#REF!,#REF!,#REF!,#REF!,#REF!,#REF!,#REF!,#REF!,#REF!</definedName>
    <definedName function="false" hidden="true" name="__APW_RESTORE_DATA1199__" vbProcedure="false">#REF!,#REF!,#REF!,#REF!,#REF!,#REF!,#REF!,#REF!,#REF!,#REF!,#REF!,#REF!,#REF!,#REF!,#REF!</definedName>
    <definedName function="false" hidden="true" name="__APW_RESTORE_DATA119__" vbProcedure="false">#REF!,#REF!,#REF!,#REF!,#REF!,#REF!,#REF!,#REF!,#REF!,#REF!,#REF!,#REF!,#REF!,#REF!,#REF!</definedName>
    <definedName function="false" hidden="true" name="__APW_RESTORE_DATA11__" vbProcedure="false">#REF!</definedName>
    <definedName function="false" hidden="true" name="__APW_RESTORE_DATA1200__" vbProcedure="false">#REF!,#REF!,#REF!,#REF!,#REF!,#REF!,#REF!,#REF!,#REF!,#REF!,#REF!,#REF!,#REF!,#REF!,#REF!</definedName>
    <definedName function="false" hidden="true" name="__APW_RESTORE_DATA1201__" vbProcedure="false">#REF!,#REF!,#REF!,#REF!,#REF!,#REF!,#REF!,#REF!,#REF!,#REF!,#REF!,#REF!,#REF!,#REF!,#REF!</definedName>
    <definedName function="false" hidden="true" name="__APW_RESTORE_DATA1202__" vbProcedure="false">#REF!,#REF!,#REF!,#REF!,#REF!,#REF!,#REF!,#REF!,#REF!,#REF!,#REF!,#REF!,#REF!,#REF!,#REF!</definedName>
    <definedName function="false" hidden="true" name="__APW_RESTORE_DATA1203__" vbProcedure="false">#REF!,#REF!,#REF!,#REF!,#REF!,#REF!,#REF!,#REF!,#REF!,#REF!,#REF!,#REF!,#REF!,#REF!,#REF!</definedName>
    <definedName function="false" hidden="true" name="__APW_RESTORE_DATA1204__" vbProcedure="false">#REF!,#REF!,#REF!,#REF!,#REF!,#REF!,#REF!,#REF!,#REF!,#REF!,#REF!,#REF!,#REF!,#REF!,#REF!</definedName>
    <definedName function="false" hidden="true" name="__APW_RESTORE_DATA1205__" vbProcedure="false">#REF!,#REF!,#REF!,#REF!,#REF!,#REF!,#REF!,#REF!,#REF!,#REF!,#REF!,#REF!,#REF!,#REF!,#REF!</definedName>
    <definedName function="false" hidden="true" name="__APW_RESTORE_DATA1206__" vbProcedure="false">#REF!,#REF!,#REF!,#REF!,#REF!,#REF!,#REF!,#REF!,#REF!,#REF!,#REF!,#REF!,#REF!,#REF!,#REF!</definedName>
    <definedName function="false" hidden="true" name="__APW_RESTORE_DATA1207__" vbProcedure="false">#REF!,#REF!,#REF!,#REF!,#REF!,#REF!,#REF!,#REF!,#REF!,#REF!,#REF!,#REF!,#REF!,#REF!,#REF!</definedName>
    <definedName function="false" hidden="true" name="__APW_RESTORE_DATA1208__" vbProcedure="false">#REF!,#REF!,#REF!,#REF!,#REF!,#REF!,#REF!,#REF!,#REF!,#REF!,#REF!,#REF!,#REF!,#REF!,#REF!</definedName>
    <definedName function="false" hidden="true" name="__APW_RESTORE_DATA1209__" vbProcedure="false">#REF!,#REF!,#REF!,#REF!,#REF!,#REF!,#REF!,#REF!,#REF!,#REF!,#REF!,#REF!,#REF!,#REF!,#REF!</definedName>
    <definedName function="false" hidden="true" name="__APW_RESTORE_DATA120__" vbProcedure="false">#REF!,#REF!,#REF!,#REF!,#REF!,#REF!,#REF!,#REF!,#REF!,#REF!,#REF!,#REF!,#REF!,#REF!,#REF!</definedName>
    <definedName function="false" hidden="true" name="__APW_RESTORE_DATA1210__" vbProcedure="false">#REF!,#REF!,#REF!,#REF!,#REF!,#REF!,#REF!,#REF!,#REF!,#REF!,#REF!,#REF!,#REF!,#REF!,#REF!</definedName>
    <definedName function="false" hidden="true" name="__APW_RESTORE_DATA1211__" vbProcedure="false">#REF!,#REF!,#REF!,#REF!,#REF!,#REF!,#REF!,#REF!,#REF!,#REF!,#REF!,#REF!,#REF!,#REF!,#REF!</definedName>
    <definedName function="false" hidden="true" name="__APW_RESTORE_DATA1212__" vbProcedure="false">#REF!,#REF!,#REF!,#REF!,#REF!,#REF!,#REF!,#REF!,#REF!,#REF!,#REF!,#REF!,#REF!,#REF!,#REF!</definedName>
    <definedName function="false" hidden="true" name="__APW_RESTORE_DATA1213__" vbProcedure="false">#REF!,#REF!,#REF!,#REF!,#REF!,#REF!,#REF!,#REF!,#REF!,#REF!,#REF!,#REF!,#REF!,#REF!,#REF!</definedName>
    <definedName function="false" hidden="true" name="__APW_RESTORE_DATA1214__" vbProcedure="false">#REF!,#REF!,#REF!,#REF!,#REF!,#REF!,#REF!,#REF!,#REF!,#REF!,#REF!,#REF!,#REF!,#REF!,#REF!</definedName>
    <definedName function="false" hidden="true" name="__APW_RESTORE_DATA1215__" vbProcedure="false">#REF!,#REF!,#REF!,#REF!,#REF!,#REF!,#REF!,#REF!,#REF!,#REF!,#REF!,#REF!,#REF!,#REF!,#REF!</definedName>
    <definedName function="false" hidden="true" name="__APW_RESTORE_DATA1216__" vbProcedure="false">#REF!,#REF!,#REF!,#REF!,#REF!,#REF!,#REF!,#REF!,#REF!,#REF!,#REF!,#REF!,#REF!,#REF!,#REF!</definedName>
    <definedName function="false" hidden="true" name="__APW_RESTORE_DATA1217__" vbProcedure="false">#REF!,#REF!,#REF!,#REF!,#REF!,#REF!,#REF!,#REF!,#REF!,#REF!,#REF!,#REF!,#REF!,#REF!,#REF!</definedName>
    <definedName function="false" hidden="true" name="__APW_RESTORE_DATA1218__" vbProcedure="false">#REF!,#REF!,#REF!,#REF!,#REF!,#REF!,#REF!,#REF!,#REF!,#REF!,#REF!,#REF!,#REF!,#REF!,#REF!</definedName>
    <definedName function="false" hidden="true" name="__APW_RESTORE_DATA1219__" vbProcedure="false">#REF!,#REF!,#REF!,#REF!,#REF!,#REF!,#REF!,#REF!,#REF!,#REF!,#REF!,#REF!,#REF!,#REF!,#REF!</definedName>
    <definedName function="false" hidden="true" name="__APW_RESTORE_DATA121__" vbProcedure="false">#REF!,#REF!,#REF!,#REF!,#REF!,#REF!,#REF!,#REF!,#REF!,#REF!,#REF!,#REF!,#REF!,#REF!,#REF!</definedName>
    <definedName function="false" hidden="true" name="__APW_RESTORE_DATA1220__" vbProcedure="false">#REF!,#REF!,#REF!,#REF!,#REF!,#REF!,#REF!,#REF!,#REF!,#REF!,#REF!,#REF!,#REF!,#REF!,#REF!</definedName>
    <definedName function="false" hidden="true" name="__APW_RESTORE_DATA1221__" vbProcedure="false">#REF!,#REF!,#REF!,#REF!,#REF!,#REF!</definedName>
    <definedName function="false" hidden="true" name="__APW_RESTORE_DATA1222__" vbProcedure="false">#REF!,#REF!,#REF!,#REF!,#REF!,#REF!,#REF!,#REF!,#REF!,#REF!,#REF!,#REF!,#REF!,#REF!,#REF!,#REF!</definedName>
    <definedName function="false" hidden="true" name="__APW_RESTORE_DATA1223__" vbProcedure="false">#REF!,#REF!,#REF!,#REF!,#REF!,#REF!,#REF!,#REF!,#REF!,#REF!,#REF!,#REF!,#REF!,#REF!,#REF!,#REF!</definedName>
    <definedName function="false" hidden="true" name="__APW_RESTORE_DATA1224__" vbProcedure="false">#REF!,#REF!,#REF!,#REF!,#REF!,#REF!,#REF!,#REF!,#REF!,#REF!,#REF!,#REF!,#REF!,#REF!,#REF!,#REF!</definedName>
    <definedName function="false" hidden="true" name="__APW_RESTORE_DATA1225__" vbProcedure="false">#REF!,#REF!,#REF!,#REF!,#REF!,#REF!,#REF!,#REF!,#REF!,#REF!,#REF!,#REF!,#REF!,#REF!,#REF!,#REF!</definedName>
    <definedName function="false" hidden="true" name="__APW_RESTORE_DATA1226__" vbProcedure="false">#REF!,#REF!,#REF!,#REF!,#REF!,#REF!,#REF!,#REF!,#REF!,#REF!,#REF!,#REF!,#REF!,#REF!,#REF!,#REF!</definedName>
    <definedName function="false" hidden="true" name="__APW_RESTORE_DATA1227__" vbProcedure="false">#REF!,#REF!,#REF!,#REF!,#REF!,#REF!,#REF!,#REF!,#REF!,#REF!,#REF!,#REF!,#REF!,#REF!,#REF!,#REF!</definedName>
    <definedName function="false" hidden="true" name="__APW_RESTORE_DATA1228__" vbProcedure="false">#REF!,#REF!,#REF!,#REF!,#REF!,#REF!,#REF!,#REF!,#REF!,#REF!,#REF!,#REF!,#REF!,#REF!,#REF!</definedName>
    <definedName function="false" hidden="true" name="__APW_RESTORE_DATA1229__" vbProcedure="false">#REF!,#REF!,#REF!,#REF!,#REF!,#REF!,#REF!,#REF!,#REF!,#REF!,#REF!,#REF!,#REF!,#REF!,#REF!</definedName>
    <definedName function="false" hidden="true" name="__APW_RESTORE_DATA122__" vbProcedure="false">#REF!,#REF!,#REF!,#REF!,#REF!,#REF!,#REF!,#REF!,#REF!,#REF!,#REF!,#REF!,#REF!,#REF!,#REF!</definedName>
    <definedName function="false" hidden="true" name="__APW_RESTORE_DATA1230__" vbProcedure="false">#REF!,#REF!,#REF!,#REF!,#REF!,#REF!,#REF!,#REF!,#REF!,#REF!,#REF!,#REF!,#REF!,#REF!,#REF!</definedName>
    <definedName function="false" hidden="true" name="__APW_RESTORE_DATA1231__" vbProcedure="false">#REF!,#REF!,#REF!,#REF!,#REF!,#REF!,#REF!,#REF!,#REF!,#REF!,#REF!,#REF!,#REF!,#REF!,#REF!</definedName>
    <definedName function="false" hidden="true" name="__APW_RESTORE_DATA1232__" vbProcedure="false">#REF!,#REF!,#REF!,#REF!,#REF!,#REF!,#REF!,#REF!,#REF!,#REF!,#REF!,#REF!,#REF!,#REF!,#REF!</definedName>
    <definedName function="false" hidden="true" name="__APW_RESTORE_DATA1233__" vbProcedure="false">#REF!,#REF!,#REF!,#REF!,#REF!,#REF!,#REF!,#REF!,#REF!,#REF!,#REF!,#REF!,#REF!,#REF!,#REF!</definedName>
    <definedName function="false" hidden="true" name="__APW_RESTORE_DATA1234__" vbProcedure="false">#REF!,#REF!,#REF!,#REF!,#REF!,#REF!,#REF!,#REF!,#REF!,#REF!,#REF!,#REF!,#REF!,#REF!,#REF!</definedName>
    <definedName function="false" hidden="true" name="__APW_RESTORE_DATA1235__" vbProcedure="false">#REF!,#REF!,#REF!,#REF!,#REF!,#REF!,#REF!,#REF!,#REF!,#REF!,#REF!,#REF!,#REF!,#REF!,#REF!</definedName>
    <definedName function="false" hidden="true" name="__APW_RESTORE_DATA1236__" vbProcedure="false">#REF!,#REF!,#REF!,#REF!,#REF!,#REF!,#REF!,#REF!,#REF!,#REF!,#REF!,#REF!,#REF!,#REF!,#REF!</definedName>
    <definedName function="false" hidden="true" name="__APW_RESTORE_DATA1237__" vbProcedure="false">#REF!,#REF!,#REF!,#REF!,#REF!,#REF!,#REF!,#REF!,#REF!,#REF!,#REF!,#REF!,#REF!,#REF!,#REF!</definedName>
    <definedName function="false" hidden="true" name="__APW_RESTORE_DATA1238__" vbProcedure="false">#REF!,#REF!,#REF!,#REF!,#REF!,#REF!,#REF!,#REF!,#REF!,#REF!,#REF!,#REF!,#REF!,#REF!,#REF!</definedName>
    <definedName function="false" hidden="true" name="__APW_RESTORE_DATA1239__" vbProcedure="false">#REF!,#REF!,#REF!,#REF!,#REF!,#REF!,#REF!,#REF!,#REF!,#REF!,#REF!,#REF!,#REF!,#REF!,#REF!</definedName>
    <definedName function="false" hidden="true" name="__APW_RESTORE_DATA123__" vbProcedure="false">#REF!,#REF!,#REF!,#REF!,#REF!,#REF!,#REF!,#REF!,#REF!,#REF!,#REF!,#REF!,#REF!,#REF!,#REF!</definedName>
    <definedName function="false" hidden="true" name="__APW_RESTORE_DATA1240__" vbProcedure="false">#REF!,#REF!,#REF!,#REF!,#REF!,#REF!,#REF!,#REF!,#REF!,#REF!,#REF!,#REF!,#REF!,#REF!,#REF!</definedName>
    <definedName function="false" hidden="true" name="__APW_RESTORE_DATA1241__" vbProcedure="false">#REF!,#REF!,#REF!,#REF!,#REF!,#REF!,#REF!,#REF!,#REF!,#REF!,#REF!,#REF!,#REF!,#REF!,#REF!</definedName>
    <definedName function="false" hidden="true" name="__APW_RESTORE_DATA1242__" vbProcedure="false">#REF!,#REF!,#REF!,#REF!,#REF!,#REF!,#REF!,#REF!,#REF!,#REF!,#REF!,#REF!,#REF!,#REF!,#REF!</definedName>
    <definedName function="false" hidden="true" name="__APW_RESTORE_DATA1243__" vbProcedure="false">#REF!,#REF!,#REF!,#REF!,#REF!,#REF!,#REF!,#REF!,#REF!,#REF!,#REF!,#REF!,#REF!,#REF!,#REF!</definedName>
    <definedName function="false" hidden="true" name="__APW_RESTORE_DATA1244__" vbProcedure="false">#REF!,#REF!,#REF!,#REF!,#REF!,#REF!,#REF!,#REF!,#REF!,#REF!,#REF!,#REF!,#REF!,#REF!,#REF!</definedName>
    <definedName function="false" hidden="true" name="__APW_RESTORE_DATA1245__" vbProcedure="false">#REF!,#REF!,#REF!,#REF!,#REF!,#REF!,#REF!,#REF!,#REF!,#REF!,#REF!,#REF!,#REF!,#REF!,#REF!</definedName>
    <definedName function="false" hidden="true" name="__APW_RESTORE_DATA1246__" vbProcedure="false">#REF!,#REF!,#REF!,#REF!,#REF!,#REF!,#REF!,#REF!,#REF!,#REF!,#REF!,#REF!,#REF!,#REF!,#REF!</definedName>
    <definedName function="false" hidden="true" name="__APW_RESTORE_DATA1247__" vbProcedure="false">#REF!,#REF!,#REF!,#REF!,#REF!,#REF!,#REF!,#REF!,#REF!,#REF!,#REF!,#REF!,#REF!,#REF!,#REF!</definedName>
    <definedName function="false" hidden="true" name="__APW_RESTORE_DATA1248__" vbProcedure="false">#REF!,#REF!,#REF!,#REF!,#REF!,#REF!,#REF!,#REF!,#REF!,#REF!,#REF!,#REF!,#REF!,#REF!,#REF!</definedName>
    <definedName function="false" hidden="true" name="__APW_RESTORE_DATA1249__" vbProcedure="false">#REF!,#REF!,#REF!,#REF!,#REF!,#REF!,#REF!,#REF!,#REF!,#REF!,#REF!,#REF!,#REF!,#REF!,#REF!</definedName>
    <definedName function="false" hidden="true" name="__APW_RESTORE_DATA124__" vbProcedure="false">#REF!,#REF!,#REF!,#REF!,#REF!,#REF!,#REF!,#REF!,#REF!,#REF!,#REF!,#REF!,#REF!,#REF!,#REF!</definedName>
    <definedName function="false" hidden="true" name="__APW_RESTORE_DATA1250__" vbProcedure="false">#REF!,#REF!,#REF!,#REF!,#REF!,#REF!,#REF!,#REF!,#REF!,#REF!,#REF!,#REF!,#REF!,#REF!,#REF!</definedName>
    <definedName function="false" hidden="true" name="__APW_RESTORE_DATA1251__" vbProcedure="false">#REF!,#REF!,#REF!,#REF!,#REF!,#REF!,#REF!,#REF!,#REF!,#REF!,#REF!,#REF!,#REF!,#REF!,#REF!</definedName>
    <definedName function="false" hidden="true" name="__APW_RESTORE_DATA1252__" vbProcedure="false">#REF!,#REF!,#REF!,#REF!,#REF!,#REF!,#REF!,#REF!,#REF!,#REF!,#REF!,#REF!,#REF!,#REF!,#REF!</definedName>
    <definedName function="false" hidden="true" name="__APW_RESTORE_DATA1253__" vbProcedure="false">#REF!,#REF!,#REF!,#REF!,#REF!,#REF!,#REF!,#REF!,#REF!,#REF!,#REF!,#REF!,#REF!,#REF!,#REF!</definedName>
    <definedName function="false" hidden="true" name="__APW_RESTORE_DATA1254__" vbProcedure="false">#REF!,#REF!,#REF!,#REF!,#REF!,#REF!,#REF!,#REF!,#REF!,#REF!,#REF!,#REF!,#REF!,#REF!,#REF!</definedName>
    <definedName function="false" hidden="true" name="__APW_RESTORE_DATA1255__" vbProcedure="false">#REF!,#REF!,#REF!,#REF!,#REF!,#REF!,#REF!,#REF!,#REF!,#REF!,#REF!,#REF!,#REF!,#REF!,#REF!</definedName>
    <definedName function="false" hidden="true" name="__APW_RESTORE_DATA1256__" vbProcedure="false">#REF!,#REF!,#REF!,#REF!,#REF!,#REF!</definedName>
    <definedName function="false" hidden="true" name="__APW_RESTORE_DATA1257__" vbProcedure="false">#REF!,#REF!,#REF!,#REF!,#REF!,#REF!,#REF!,#REF!,#REF!,#REF!,#REF!,#REF!,#REF!,#REF!,#REF!,#REF!</definedName>
    <definedName function="false" hidden="true" name="__APW_RESTORE_DATA1258__" vbProcedure="false">#REF!,#REF!,#REF!,#REF!,#REF!,#REF!,#REF!,#REF!,#REF!,#REF!,#REF!,#REF!,#REF!,#REF!,#REF!,#REF!</definedName>
    <definedName function="false" hidden="true" name="__APW_RESTORE_DATA1259__" vbProcedure="false">#REF!,#REF!,#REF!,#REF!,#REF!,#REF!,#REF!,#REF!,#REF!,#REF!,#REF!,#REF!,#REF!,#REF!,#REF!,#REF!</definedName>
    <definedName function="false" hidden="true" name="__APW_RESTORE_DATA125__" vbProcedure="false">#REF!,#REF!,#REF!,#REF!,#REF!,#REF!,#REF!,#REF!,#REF!,#REF!,#REF!,#REF!,#REF!,#REF!,#REF!</definedName>
    <definedName function="false" hidden="true" name="__APW_RESTORE_DATA1260__" vbProcedure="false">#REF!,#REF!,#REF!,#REF!,#REF!,#REF!,#REF!,#REF!,#REF!,#REF!,#REF!,#REF!,#REF!,#REF!,#REF!,#REF!</definedName>
    <definedName function="false" hidden="true" name="__APW_RESTORE_DATA1261__" vbProcedure="false">#REF!,#REF!,#REF!,#REF!,#REF!,#REF!,#REF!,#REF!,#REF!,#REF!,#REF!,#REF!,#REF!,#REF!,#REF!,#REF!</definedName>
    <definedName function="false" hidden="true" name="__APW_RESTORE_DATA1262__" vbProcedure="false">#REF!,#REF!,#REF!,#REF!,#REF!,#REF!,#REF!,#REF!,#REF!,#REF!,#REF!,#REF!,#REF!,#REF!,#REF!,#REF!</definedName>
    <definedName function="false" hidden="true" name="__APW_RESTORE_DATA1263__" vbProcedure="false">#REF!,#REF!,#REF!,#REF!,#REF!,#REF!,#REF!,#REF!,#REF!,#REF!,#REF!,#REF!,#REF!,#REF!,#REF!</definedName>
    <definedName function="false" hidden="true" name="__APW_RESTORE_DATA1264__" vbProcedure="false">#REF!,#REF!,#REF!,#REF!,#REF!,#REF!,#REF!,#REF!,#REF!,#REF!,#REF!,#REF!,#REF!,#REF!,#REF!</definedName>
    <definedName function="false" hidden="true" name="__APW_RESTORE_DATA1265__" vbProcedure="false">#REF!,#REF!,#REF!,#REF!,#REF!,#REF!,#REF!,#REF!,#REF!,#REF!,#REF!,#REF!,#REF!,#REF!,#REF!</definedName>
    <definedName function="false" hidden="true" name="__APW_RESTORE_DATA1266__" vbProcedure="false">#REF!,#REF!,#REF!,#REF!,#REF!,#REF!,#REF!,#REF!,#REF!,#REF!,#REF!,#REF!,#REF!,#REF!,#REF!</definedName>
    <definedName function="false" hidden="true" name="__APW_RESTORE_DATA1267__" vbProcedure="false">#REF!,#REF!,#REF!,#REF!,#REF!,#REF!,#REF!,#REF!,#REF!,#REF!,#REF!,#REF!,#REF!,#REF!,#REF!</definedName>
    <definedName function="false" hidden="true" name="__APW_RESTORE_DATA1268__" vbProcedure="false">#REF!,#REF!,#REF!,#REF!,#REF!,#REF!,#REF!,#REF!,#REF!,#REF!,#REF!,#REF!,#REF!,#REF!,#REF!</definedName>
    <definedName function="false" hidden="true" name="__APW_RESTORE_DATA1269__" vbProcedure="false">#REF!,#REF!,#REF!,#REF!,#REF!,#REF!,#REF!,#REF!,#REF!,#REF!,#REF!,#REF!,#REF!,#REF!,#REF!</definedName>
    <definedName function="false" hidden="true" name="__APW_RESTORE_DATA126__" vbProcedure="false">#REF!,#REF!,#REF!,#REF!,#REF!,#REF!,#REF!,#REF!,#REF!,#REF!,#REF!,#REF!,#REF!,#REF!,#REF!</definedName>
    <definedName function="false" hidden="true" name="__APW_RESTORE_DATA1270__" vbProcedure="false">#REF!,#REF!,#REF!,#REF!,#REF!,#REF!,#REF!,#REF!,#REF!,#REF!,#REF!,#REF!,#REF!,#REF!,#REF!</definedName>
    <definedName function="false" hidden="true" name="__APW_RESTORE_DATA1271__" vbProcedure="false">#REF!,#REF!,#REF!,#REF!,#REF!,#REF!,#REF!,#REF!,#REF!,#REF!,#REF!,#REF!,#REF!,#REF!,#REF!</definedName>
    <definedName function="false" hidden="true" name="__APW_RESTORE_DATA1272__" vbProcedure="false">#REF!,#REF!,#REF!,#REF!,#REF!,#REF!,#REF!,#REF!,#REF!,#REF!,#REF!,#REF!,#REF!,#REF!,#REF!</definedName>
    <definedName function="false" hidden="true" name="__APW_RESTORE_DATA1273__" vbProcedure="false">#REF!,#REF!,#REF!,#REF!,#REF!,#REF!,#REF!,#REF!,#REF!,#REF!,#REF!,#REF!,#REF!,#REF!,#REF!</definedName>
    <definedName function="false" hidden="true" name="__APW_RESTORE_DATA1274__" vbProcedure="false">#REF!,#REF!,#REF!,#REF!,#REF!,#REF!,#REF!,#REF!,#REF!,#REF!,#REF!,#REF!,#REF!,#REF!,#REF!</definedName>
    <definedName function="false" hidden="true" name="__APW_RESTORE_DATA1275__" vbProcedure="false">#REF!,#REF!,#REF!,#REF!,#REF!,#REF!,#REF!,#REF!,#REF!,#REF!,#REF!,#REF!,#REF!,#REF!,#REF!</definedName>
    <definedName function="false" hidden="true" name="__APW_RESTORE_DATA1276__" vbProcedure="false">#REF!,#REF!,#REF!,#REF!,#REF!,#REF!,#REF!,#REF!,#REF!,#REF!,#REF!,#REF!,#REF!,#REF!,#REF!</definedName>
    <definedName function="false" hidden="true" name="__APW_RESTORE_DATA1277__" vbProcedure="false">#REF!,#REF!,#REF!,#REF!,#REF!,#REF!,#REF!,#REF!,#REF!,#REF!,#REF!,#REF!,#REF!,#REF!,#REF!</definedName>
    <definedName function="false" hidden="true" name="__APW_RESTORE_DATA1278__" vbProcedure="false">#REF!,#REF!,#REF!,#REF!,#REF!,#REF!,#REF!,#REF!,#REF!,#REF!,#REF!,#REF!,#REF!,#REF!,#REF!</definedName>
    <definedName function="false" hidden="true" name="__APW_RESTORE_DATA1279__" vbProcedure="false">#REF!,#REF!,#REF!,#REF!,#REF!,#REF!,#REF!,#REF!,#REF!,#REF!,#REF!,#REF!,#REF!,#REF!,#REF!</definedName>
    <definedName function="false" hidden="true" name="__APW_RESTORE_DATA127__" vbProcedure="false">#REF!,#REF!,#REF!,#REF!,#REF!,#REF!,#REF!,#REF!,#REF!,#REF!,#REF!,#REF!,#REF!,#REF!,#REF!</definedName>
    <definedName function="false" hidden="true" name="__APW_RESTORE_DATA1280__" vbProcedure="false">#REF!,#REF!,#REF!,#REF!,#REF!,#REF!,#REF!,#REF!,#REF!,#REF!,#REF!,#REF!,#REF!,#REF!,#REF!</definedName>
    <definedName function="false" hidden="true" name="__APW_RESTORE_DATA1281__" vbProcedure="false">#REF!,#REF!,#REF!,#REF!,#REF!,#REF!,#REF!,#REF!,#REF!,#REF!,#REF!,#REF!,#REF!,#REF!,#REF!</definedName>
    <definedName function="false" hidden="true" name="__APW_RESTORE_DATA1282__" vbProcedure="false">#REF!,#REF!,#REF!,#REF!,#REF!,#REF!,#REF!,#REF!,#REF!,#REF!,#REF!,#REF!,#REF!,#REF!,#REF!</definedName>
    <definedName function="false" hidden="true" name="__APW_RESTORE_DATA1283__" vbProcedure="false">#REF!,#REF!,#REF!,#REF!,#REF!,#REF!,#REF!,#REF!,#REF!,#REF!,#REF!,#REF!,#REF!,#REF!,#REF!</definedName>
    <definedName function="false" hidden="true" name="__APW_RESTORE_DATA1284__" vbProcedure="false">#REF!,#REF!,#REF!,#REF!,#REF!,#REF!,#REF!,#REF!,#REF!,#REF!,#REF!,#REF!,#REF!,#REF!,#REF!</definedName>
    <definedName function="false" hidden="true" name="__APW_RESTORE_DATA1285__" vbProcedure="false">#REF!,#REF!,#REF!,#REF!,#REF!,#REF!,#REF!,#REF!,#REF!,#REF!,#REF!,#REF!,#REF!,#REF!,#REF!</definedName>
    <definedName function="false" hidden="true" name="__APW_RESTORE_DATA1286__" vbProcedure="false">#REF!,#REF!,#REF!,#REF!,#REF!,#REF!,#REF!,#REF!,#REF!,#REF!,#REF!,#REF!,#REF!,#REF!,#REF!</definedName>
    <definedName function="false" hidden="true" name="__APW_RESTORE_DATA1287__" vbProcedure="false">#REF!,#REF!,#REF!,#REF!,#REF!,#REF!,#REF!,#REF!,#REF!,#REF!,#REF!,#REF!,#REF!,#REF!,#REF!</definedName>
    <definedName function="false" hidden="true" name="__APW_RESTORE_DATA1288__" vbProcedure="false">#REF!,#REF!,#REF!,#REF!,#REF!,#REF!,#REF!,#REF!,#REF!,#REF!,#REF!,#REF!,#REF!,#REF!,#REF!</definedName>
    <definedName function="false" hidden="true" name="__APW_RESTORE_DATA1289__" vbProcedure="false">#REF!,#REF!,#REF!,#REF!,#REF!,#REF!,#REF!,#REF!,#REF!,#REF!,#REF!,#REF!,#REF!,#REF!,#REF!</definedName>
    <definedName function="false" hidden="true" name="__APW_RESTORE_DATA128__" vbProcedure="false">#REF!,#REF!,#REF!,#REF!,#REF!,#REF!,#REF!,#REF!,#REF!,#REF!,#REF!,#REF!,#REF!,#REF!,#REF!</definedName>
    <definedName function="false" hidden="true" name="__APW_RESTORE_DATA1290__" vbProcedure="false">#REF!,#REF!,#REF!,#REF!,#REF!,#REF!,#REF!,#REF!,#REF!,#REF!,#REF!,#REF!,#REF!,#REF!,#REF!</definedName>
    <definedName function="false" hidden="true" name="__APW_RESTORE_DATA1291__" vbProcedure="false">#REF!,#REF!,#REF!,#REF!,#REF!,#REF!</definedName>
    <definedName function="false" hidden="true" name="__APW_RESTORE_DATA1292__" vbProcedure="false">#REF!</definedName>
    <definedName function="false" hidden="true" name="__APW_RESTORE_DATA1293__" vbProcedure="false">#REF!</definedName>
    <definedName function="false" hidden="true" name="__APW_RESTORE_DATA1294__" vbProcedure="false">#REF!</definedName>
    <definedName function="false" hidden="true" name="__APW_RESTORE_DATA1296__" vbProcedure="false">#REF!</definedName>
    <definedName function="false" hidden="true" name="__APW_RESTORE_DATA1297__" vbProcedure="false">#REF!,#REF!,#REF!,#REF!,#REF!,#REF!,#REF!,#REF!,#REF!,#REF!,#REF!,#REF!,#REF!,#REF!,#REF!,#REF!</definedName>
    <definedName function="false" hidden="true" name="__APW_RESTORE_DATA1298__" vbProcedure="false">#REF!,#REF!,#REF!,#REF!,#REF!,#REF!,#REF!,#REF!,#REF!,#REF!,#REF!,#REF!,#REF!,#REF!,#REF!,#REF!</definedName>
    <definedName function="false" hidden="true" name="__APW_RESTORE_DATA1299__" vbProcedure="false">#REF!,#REF!,#REF!,#REF!,#REF!,#REF!,#REF!,#REF!,#REF!,#REF!,#REF!,#REF!,#REF!,#REF!,#REF!,#REF!</definedName>
    <definedName function="false" hidden="true" name="__APW_RESTORE_DATA129__" vbProcedure="false">#REF!,#REF!</definedName>
    <definedName function="false" hidden="true" name="__APW_RESTORE_DATA12__" vbProcedure="false">#REF!,#REF!,#REF!,#REF!,#REF!,#REF!,#REF!,#REF!,#REF!,#REF!,#REF!,#REF!,#REF!,#REF!,#REF!,#REF!</definedName>
    <definedName function="false" hidden="true" name="__APW_RESTORE_DATA1300__" vbProcedure="false">#REF!,#REF!,#REF!,#REF!,#REF!,#REF!,#REF!,#REF!,#REF!,#REF!,#REF!,#REF!,#REF!,#REF!,#REF!,#REF!</definedName>
    <definedName function="false" hidden="true" name="__APW_RESTORE_DATA1301__" vbProcedure="false">#REF!,#REF!,#REF!,#REF!,#REF!,#REF!,#REF!,#REF!,#REF!,#REF!,#REF!,#REF!,#REF!,#REF!,#REF!,#REF!</definedName>
    <definedName function="false" hidden="true" name="__APW_RESTORE_DATA1302__" vbProcedure="false">#REF!,#REF!,#REF!,#REF!,#REF!,#REF!,#REF!,#REF!,#REF!,#REF!,#REF!,#REF!,#REF!,#REF!,#REF!,#REF!</definedName>
    <definedName function="false" hidden="true" name="__APW_RESTORE_DATA1303__" vbProcedure="false">#REF!,#REF!,#REF!,#REF!,#REF!,#REF!,#REF!,#REF!,#REF!,#REF!,#REF!,#REF!,#REF!,#REF!,#REF!</definedName>
    <definedName function="false" hidden="true" name="__APW_RESTORE_DATA1304__" vbProcedure="false">#REF!,#REF!,#REF!,#REF!,#REF!,#REF!,#REF!,#REF!,#REF!,#REF!,#REF!,#REF!,#REF!,#REF!,#REF!</definedName>
    <definedName function="false" hidden="true" name="__APW_RESTORE_DATA1305__" vbProcedure="false">#REF!,#REF!,#REF!,#REF!,#REF!,#REF!,#REF!,#REF!,#REF!,#REF!,#REF!,#REF!,#REF!,#REF!,#REF!</definedName>
    <definedName function="false" hidden="true" name="__APW_RESTORE_DATA1306__" vbProcedure="false">#REF!,#REF!,#REF!,#REF!,#REF!,#REF!,#REF!,#REF!,#REF!,#REF!,#REF!,#REF!,#REF!,#REF!,#REF!</definedName>
    <definedName function="false" hidden="true" name="__APW_RESTORE_DATA1307__" vbProcedure="false">#REF!,#REF!,#REF!,#REF!,#REF!,#REF!,#REF!,#REF!,#REF!,#REF!,#REF!,#REF!,#REF!,#REF!,#REF!</definedName>
    <definedName function="false" hidden="true" name="__APW_RESTORE_DATA1308__" vbProcedure="false">#REF!,#REF!,#REF!,#REF!,#REF!,#REF!,#REF!,#REF!,#REF!,#REF!,#REF!,#REF!,#REF!,#REF!,#REF!</definedName>
    <definedName function="false" hidden="true" name="__APW_RESTORE_DATA1309__" vbProcedure="false">#REF!,#REF!,#REF!,#REF!,#REF!,#REF!,#REF!,#REF!,#REF!,#REF!,#REF!,#REF!,#REF!,#REF!,#REF!</definedName>
    <definedName function="false" hidden="true" name="__APW_RESTORE_DATA130__" vbProcedure="false">#REF!,#REF!,#REF!,#REF!,#REF!,#REF!,#REF!,#REF!,#REF!,#REF!,#REF!,#REF!,#REF!,#REF!,#REF!</definedName>
    <definedName function="false" hidden="true" name="__APW_RESTORE_DATA1310__" vbProcedure="false">#REF!,#REF!,#REF!,#REF!,#REF!,#REF!,#REF!,#REF!,#REF!,#REF!,#REF!,#REF!,#REF!,#REF!,#REF!</definedName>
    <definedName function="false" hidden="true" name="__APW_RESTORE_DATA1311__" vbProcedure="false">#REF!,#REF!,#REF!,#REF!,#REF!,#REF!,#REF!,#REF!,#REF!,#REF!,#REF!,#REF!,#REF!,#REF!,#REF!</definedName>
    <definedName function="false" hidden="true" name="__APW_RESTORE_DATA1312__" vbProcedure="false">#REF!,#REF!,#REF!,#REF!,#REF!,#REF!,#REF!,#REF!,#REF!,#REF!,#REF!,#REF!,#REF!,#REF!,#REF!</definedName>
    <definedName function="false" hidden="true" name="__APW_RESTORE_DATA1313__" vbProcedure="false">#REF!,#REF!,#REF!,#REF!,#REF!,#REF!,#REF!,#REF!,#REF!,#REF!,#REF!,#REF!,#REF!,#REF!,#REF!</definedName>
    <definedName function="false" hidden="true" name="__APW_RESTORE_DATA1314__" vbProcedure="false">#REF!,#REF!,#REF!,#REF!,#REF!,#REF!,#REF!,#REF!,#REF!,#REF!,#REF!,#REF!,#REF!,#REF!,#REF!</definedName>
    <definedName function="false" hidden="true" name="__APW_RESTORE_DATA1315__" vbProcedure="false">#REF!,#REF!,#REF!,#REF!,#REF!,#REF!,#REF!,#REF!,#REF!,#REF!,#REF!,#REF!,#REF!,#REF!,#REF!</definedName>
    <definedName function="false" hidden="true" name="__APW_RESTORE_DATA1316__" vbProcedure="false">#REF!,#REF!,#REF!,#REF!,#REF!,#REF!,#REF!,#REF!,#REF!,#REF!,#REF!,#REF!,#REF!,#REF!,#REF!</definedName>
    <definedName function="false" hidden="true" name="__APW_RESTORE_DATA1317__" vbProcedure="false">#REF!,#REF!,#REF!,#REF!,#REF!,#REF!,#REF!,#REF!,#REF!,#REF!,#REF!,#REF!,#REF!,#REF!,#REF!</definedName>
    <definedName function="false" hidden="true" name="__APW_RESTORE_DATA1318__" vbProcedure="false">#REF!,#REF!,#REF!,#REF!,#REF!,#REF!,#REF!,#REF!,#REF!,#REF!,#REF!,#REF!,#REF!,#REF!,#REF!</definedName>
    <definedName function="false" hidden="true" name="__APW_RESTORE_DATA1319__" vbProcedure="false">#REF!,#REF!,#REF!,#REF!,#REF!,#REF!,#REF!,#REF!,#REF!,#REF!,#REF!,#REF!,#REF!,#REF!,#REF!</definedName>
    <definedName function="false" hidden="true" name="__APW_RESTORE_DATA131__" vbProcedure="false">#REF!,#REF!,#REF!,#REF!,#REF!,#REF!,#REF!,#REF!,#REF!,#REF!,#REF!,#REF!,#REF!,#REF!,#REF!</definedName>
    <definedName function="false" hidden="true" name="__APW_RESTORE_DATA1320__" vbProcedure="false">#REF!,#REF!,#REF!,#REF!,#REF!,#REF!,#REF!,#REF!,#REF!,#REF!,#REF!,#REF!,#REF!,#REF!,#REF!</definedName>
    <definedName function="false" hidden="true" name="__APW_RESTORE_DATA1321__" vbProcedure="false">#REF!,#REF!,#REF!,#REF!,#REF!,#REF!,#REF!,#REF!,#REF!,#REF!,#REF!,#REF!,#REF!,#REF!,#REF!</definedName>
    <definedName function="false" hidden="true" name="__APW_RESTORE_DATA1322__" vbProcedure="false">#REF!,#REF!,#REF!,#REF!,#REF!,#REF!,#REF!,#REF!,#REF!,#REF!,#REF!,#REF!,#REF!,#REF!,#REF!</definedName>
    <definedName function="false" hidden="true" name="__APW_RESTORE_DATA1323__" vbProcedure="false">#REF!,#REF!,#REF!,#REF!,#REF!,#REF!,#REF!,#REF!,#REF!,#REF!,#REF!,#REF!,#REF!,#REF!,#REF!</definedName>
    <definedName function="false" hidden="true" name="__APW_RESTORE_DATA1324__" vbProcedure="false">#REF!,#REF!,#REF!,#REF!,#REF!,#REF!,#REF!,#REF!,#REF!,#REF!,#REF!,#REF!,#REF!,#REF!,#REF!</definedName>
    <definedName function="false" hidden="true" name="__APW_RESTORE_DATA1325__" vbProcedure="false">#REF!,#REF!,#REF!,#REF!,#REF!,#REF!,#REF!,#REF!,#REF!,#REF!,#REF!,#REF!,#REF!,#REF!,#REF!</definedName>
    <definedName function="false" hidden="true" name="__APW_RESTORE_DATA1326__" vbProcedure="false">#REF!,#REF!,#REF!,#REF!,#REF!,#REF!,#REF!,#REF!,#REF!,#REF!,#REF!,#REF!,#REF!,#REF!,#REF!</definedName>
    <definedName function="false" hidden="true" name="__APW_RESTORE_DATA1327__" vbProcedure="false">#REF!,#REF!,#REF!,#REF!,#REF!,#REF!,#REF!,#REF!,#REF!,#REF!,#REF!,#REF!,#REF!,#REF!,#REF!</definedName>
    <definedName function="false" hidden="true" name="__APW_RESTORE_DATA1328__" vbProcedure="false">#REF!,#REF!,#REF!,#REF!,#REF!,#REF!,#REF!,#REF!,#REF!,#REF!,#REF!,#REF!,#REF!,#REF!,#REF!</definedName>
    <definedName function="false" hidden="true" name="__APW_RESTORE_DATA1329__" vbProcedure="false">#REF!,#REF!,#REF!,#REF!,#REF!,#REF!,#REF!,#REF!,#REF!,#REF!,#REF!,#REF!,#REF!,#REF!,#REF!</definedName>
    <definedName function="false" hidden="true" name="__APW_RESTORE_DATA132__" vbProcedure="false">#REF!,#REF!,#REF!,#REF!,#REF!,#REF!,#REF!,#REF!,#REF!,#REF!,#REF!,#REF!,#REF!,#REF!,#REF!</definedName>
    <definedName function="false" hidden="true" name="__APW_RESTORE_DATA1330__" vbProcedure="false">#REF!,#REF!,#REF!,#REF!,#REF!,#REF!,#REF!,#REF!,#REF!,#REF!,#REF!,#REF!,#REF!,#REF!,#REF!</definedName>
    <definedName function="false" hidden="true" name="__APW_RESTORE_DATA1331__" vbProcedure="false">#REF!,#REF!,#REF!,#REF!,#REF!,#REF!</definedName>
    <definedName function="false" hidden="true" name="__APW_RESTORE_DATA1332__" vbProcedure="false">#REF!,#REF!,#REF!,#REF!,#REF!,#REF!,#REF!,#REF!,#REF!,#REF!,#REF!,#REF!,#REF!,#REF!,#REF!,#REF!</definedName>
    <definedName function="false" hidden="true" name="__APW_RESTORE_DATA1333__" vbProcedure="false">#REF!,#REF!,#REF!,#REF!,#REF!,#REF!,#REF!,#REF!,#REF!,#REF!,#REF!,#REF!,#REF!,#REF!,#REF!,#REF!</definedName>
    <definedName function="false" hidden="true" name="__APW_RESTORE_DATA1334__" vbProcedure="false">#REF!,#REF!,#REF!,#REF!,#REF!,#REF!,#REF!,#REF!,#REF!,#REF!,#REF!,#REF!,#REF!,#REF!,#REF!,#REF!</definedName>
    <definedName function="false" hidden="true" name="__APW_RESTORE_DATA1335__" vbProcedure="false">#REF!,#REF!,#REF!,#REF!,#REF!,#REF!,#REF!,#REF!,#REF!,#REF!,#REF!,#REF!,#REF!,#REF!,#REF!,#REF!</definedName>
    <definedName function="false" hidden="true" name="__APW_RESTORE_DATA1336__" vbProcedure="false">#REF!,#REF!,#REF!,#REF!,#REF!,#REF!,#REF!,#REF!,#REF!,#REF!,#REF!,#REF!,#REF!,#REF!,#REF!,#REF!</definedName>
    <definedName function="false" hidden="true" name="__APW_RESTORE_DATA1337__" vbProcedure="false">#REF!,#REF!,#REF!,#REF!,#REF!,#REF!,#REF!,#REF!,#REF!,#REF!,#REF!,#REF!,#REF!,#REF!,#REF!,#REF!</definedName>
    <definedName function="false" hidden="true" name="__APW_RESTORE_DATA1338__" vbProcedure="false">#REF!,#REF!,#REF!,#REF!,#REF!,#REF!,#REF!,#REF!,#REF!,#REF!,#REF!,#REF!,#REF!,#REF!,#REF!</definedName>
    <definedName function="false" hidden="true" name="__APW_RESTORE_DATA1339__" vbProcedure="false">#REF!,#REF!,#REF!,#REF!,#REF!,#REF!,#REF!,#REF!,#REF!,#REF!,#REF!,#REF!,#REF!,#REF!,#REF!</definedName>
    <definedName function="false" hidden="true" name="__APW_RESTORE_DATA133__" vbProcedure="false">#REF!,#REF!,#REF!,#REF!,#REF!,#REF!,#REF!,#REF!,#REF!,#REF!,#REF!,#REF!,#REF!,#REF!,#REF!</definedName>
    <definedName function="false" hidden="true" name="__APW_RESTORE_DATA1340__" vbProcedure="false">#REF!,#REF!,#REF!,#REF!,#REF!,#REF!,#REF!,#REF!,#REF!,#REF!,#REF!,#REF!,#REF!,#REF!,#REF!</definedName>
    <definedName function="false" hidden="true" name="__APW_RESTORE_DATA1341__" vbProcedure="false">#REF!,#REF!,#REF!,#REF!,#REF!,#REF!,#REF!,#REF!,#REF!,#REF!,#REF!,#REF!,#REF!,#REF!,#REF!</definedName>
    <definedName function="false" hidden="true" name="__APW_RESTORE_DATA1342__" vbProcedure="false">#REF!,#REF!,#REF!,#REF!,#REF!,#REF!,#REF!,#REF!,#REF!,#REF!,#REF!,#REF!,#REF!,#REF!,#REF!</definedName>
    <definedName function="false" hidden="true" name="__APW_RESTORE_DATA1343__" vbProcedure="false">#REF!,#REF!,#REF!,#REF!,#REF!,#REF!,#REF!,#REF!,#REF!,#REF!,#REF!,#REF!,#REF!,#REF!,#REF!</definedName>
    <definedName function="false" hidden="true" name="__APW_RESTORE_DATA1344__" vbProcedure="false">#REF!,#REF!,#REF!,#REF!,#REF!,#REF!,#REF!,#REF!,#REF!,#REF!,#REF!,#REF!,#REF!,#REF!,#REF!</definedName>
    <definedName function="false" hidden="true" name="__APW_RESTORE_DATA1345__" vbProcedure="false">#REF!,#REF!,#REF!,#REF!,#REF!,#REF!,#REF!,#REF!,#REF!,#REF!,#REF!,#REF!,#REF!,#REF!,#REF!</definedName>
    <definedName function="false" hidden="true" name="__APW_RESTORE_DATA1346__" vbProcedure="false">#REF!,#REF!,#REF!,#REF!,#REF!,#REF!,#REF!,#REF!,#REF!,#REF!,#REF!,#REF!,#REF!,#REF!,#REF!</definedName>
    <definedName function="false" hidden="true" name="__APW_RESTORE_DATA1347__" vbProcedure="false">#REF!,#REF!,#REF!,#REF!,#REF!,#REF!,#REF!,#REF!,#REF!,#REF!,#REF!,#REF!,#REF!,#REF!,#REF!</definedName>
    <definedName function="false" hidden="true" name="__APW_RESTORE_DATA1348__" vbProcedure="false">#REF!,#REF!,#REF!,#REF!,#REF!,#REF!,#REF!,#REF!,#REF!,#REF!,#REF!,#REF!,#REF!,#REF!,#REF!</definedName>
    <definedName function="false" hidden="true" name="__APW_RESTORE_DATA1349__" vbProcedure="false">#REF!,#REF!,#REF!,#REF!,#REF!,#REF!,#REF!,#REF!,#REF!,#REF!,#REF!,#REF!,#REF!,#REF!,#REF!</definedName>
    <definedName function="false" hidden="true" name="__APW_RESTORE_DATA134__" vbProcedure="false">#REF!,#REF!</definedName>
    <definedName function="false" hidden="true" name="__APW_RESTORE_DATA1350__" vbProcedure="false">#REF!,#REF!,#REF!,#REF!,#REF!,#REF!,#REF!,#REF!,#REF!,#REF!,#REF!,#REF!,#REF!,#REF!,#REF!</definedName>
    <definedName function="false" hidden="true" name="__APW_RESTORE_DATA1351__" vbProcedure="false">#REF!,#REF!,#REF!,#REF!,#REF!,#REF!,#REF!,#REF!,#REF!,#REF!,#REF!,#REF!,#REF!,#REF!,#REF!</definedName>
    <definedName function="false" hidden="true" name="__APW_RESTORE_DATA1352__" vbProcedure="false">#REF!,#REF!,#REF!,#REF!,#REF!,#REF!,#REF!,#REF!,#REF!,#REF!,#REF!,#REF!,#REF!,#REF!,#REF!</definedName>
    <definedName function="false" hidden="true" name="__APW_RESTORE_DATA1353__" vbProcedure="false">#REF!,#REF!,#REF!,#REF!,#REF!,#REF!,#REF!,#REF!,#REF!,#REF!,#REF!,#REF!,#REF!,#REF!,#REF!</definedName>
    <definedName function="false" hidden="true" name="__APW_RESTORE_DATA1354__" vbProcedure="false">#REF!,#REF!,#REF!,#REF!,#REF!,#REF!,#REF!,#REF!,#REF!,#REF!,#REF!,#REF!,#REF!,#REF!,#REF!</definedName>
    <definedName function="false" hidden="true" name="__APW_RESTORE_DATA1355__" vbProcedure="false">#REF!,#REF!,#REF!,#REF!,#REF!,#REF!,#REF!,#REF!,#REF!,#REF!,#REF!,#REF!,#REF!,#REF!,#REF!</definedName>
    <definedName function="false" hidden="true" name="__APW_RESTORE_DATA1356__" vbProcedure="false">#REF!,#REF!,#REF!,#REF!,#REF!,#REF!,#REF!,#REF!,#REF!,#REF!,#REF!,#REF!,#REF!,#REF!,#REF!</definedName>
    <definedName function="false" hidden="true" name="__APW_RESTORE_DATA1357__" vbProcedure="false">#REF!,#REF!,#REF!,#REF!,#REF!,#REF!,#REF!,#REF!,#REF!,#REF!,#REF!,#REF!,#REF!,#REF!,#REF!</definedName>
    <definedName function="false" hidden="true" name="__APW_RESTORE_DATA1358__" vbProcedure="false">#REF!,#REF!,#REF!,#REF!,#REF!,#REF!,#REF!,#REF!,#REF!,#REF!,#REF!,#REF!,#REF!,#REF!,#REF!</definedName>
    <definedName function="false" hidden="true" name="__APW_RESTORE_DATA1359__" vbProcedure="false">#REF!,#REF!,#REF!,#REF!,#REF!,#REF!,#REF!,#REF!,#REF!,#REF!,#REF!,#REF!,#REF!,#REF!,#REF!</definedName>
    <definedName function="false" hidden="true" name="__APW_RESTORE_DATA135__" vbProcedure="false">#REF!,#REF!,#REF!,#REF!,#REF!,#REF!,#REF!,#REF!,#REF!,#REF!,#REF!,#REF!,#REF!,#REF!,#REF!</definedName>
    <definedName function="false" hidden="true" name="__APW_RESTORE_DATA1360__" vbProcedure="false">#REF!,#REF!,#REF!,#REF!,#REF!,#REF!,#REF!,#REF!,#REF!,#REF!,#REF!,#REF!,#REF!,#REF!,#REF!</definedName>
    <definedName function="false" hidden="true" name="__APW_RESTORE_DATA1361__" vbProcedure="false">#REF!,#REF!,#REF!,#REF!,#REF!,#REF!,#REF!,#REF!,#REF!,#REF!,#REF!,#REF!,#REF!,#REF!,#REF!</definedName>
    <definedName function="false" hidden="true" name="__APW_RESTORE_DATA1362__" vbProcedure="false">#REF!,#REF!,#REF!,#REF!,#REF!,#REF!,#REF!,#REF!,#REF!,#REF!,#REF!,#REF!,#REF!,#REF!,#REF!</definedName>
    <definedName function="false" hidden="true" name="__APW_RESTORE_DATA1363__" vbProcedure="false">#REF!,#REF!,#REF!,#REF!,#REF!,#REF!,#REF!,#REF!,#REF!,#REF!,#REF!,#REF!,#REF!,#REF!,#REF!</definedName>
    <definedName function="false" hidden="true" name="__APW_RESTORE_DATA1364__" vbProcedure="false">#REF!,#REF!,#REF!,#REF!,#REF!,#REF!,#REF!,#REF!,#REF!,#REF!,#REF!,#REF!,#REF!,#REF!,#REF!</definedName>
    <definedName function="false" hidden="true" name="__APW_RESTORE_DATA1365__" vbProcedure="false">#REF!,#REF!,#REF!,#REF!,#REF!,#REF!,#REF!,#REF!,#REF!,#REF!,#REF!,#REF!,#REF!,#REF!,#REF!</definedName>
    <definedName function="false" hidden="true" name="__APW_RESTORE_DATA1366__" vbProcedure="false">#REF!,#REF!,#REF!,#REF!,#REF!,#REF!</definedName>
    <definedName function="false" hidden="true" name="__APW_RESTORE_DATA1367__" vbProcedure="false">#REF!,#REF!,#REF!,#REF!,#REF!,#REF!,#REF!,#REF!,#REF!,#REF!,#REF!,#REF!,#REF!,#REF!,#REF!,#REF!</definedName>
    <definedName function="false" hidden="true" name="__APW_RESTORE_DATA1368__" vbProcedure="false">#REF!,#REF!,#REF!,#REF!,#REF!,#REF!,#REF!,#REF!,#REF!,#REF!,#REF!,#REF!,#REF!,#REF!,#REF!,#REF!</definedName>
    <definedName function="false" hidden="true" name="__APW_RESTORE_DATA1369__" vbProcedure="false">#REF!,#REF!,#REF!,#REF!,#REF!,#REF!,#REF!,#REF!,#REF!,#REF!,#REF!,#REF!,#REF!,#REF!,#REF!,#REF!</definedName>
    <definedName function="false" hidden="true" name="__APW_RESTORE_DATA136__" vbProcedure="false">#REF!,#REF!,#REF!,#REF!,#REF!,#REF!,#REF!,#REF!,#REF!,#REF!,#REF!,#REF!,#REF!,#REF!,#REF!</definedName>
    <definedName function="false" hidden="true" name="__APW_RESTORE_DATA1370__" vbProcedure="false">#REF!,#REF!,#REF!,#REF!,#REF!,#REF!,#REF!,#REF!,#REF!,#REF!,#REF!,#REF!,#REF!,#REF!,#REF!,#REF!</definedName>
    <definedName function="false" hidden="true" name="__APW_RESTORE_DATA1371__" vbProcedure="false">#REF!,#REF!,#REF!,#REF!,#REF!,#REF!,#REF!,#REF!,#REF!,#REF!,#REF!,#REF!,#REF!,#REF!,#REF!,#REF!</definedName>
    <definedName function="false" hidden="true" name="__APW_RESTORE_DATA1372__" vbProcedure="false">#REF!,#REF!,#REF!,#REF!,#REF!,#REF!,#REF!,#REF!,#REF!,#REF!,#REF!,#REF!,#REF!,#REF!,#REF!,#REF!</definedName>
    <definedName function="false" hidden="true" name="__APW_RESTORE_DATA1373__" vbProcedure="false">#REF!,#REF!,#REF!,#REF!,#REF!,#REF!,#REF!,#REF!,#REF!,#REF!,#REF!,#REF!,#REF!,#REF!,#REF!</definedName>
    <definedName function="false" hidden="true" name="__APW_RESTORE_DATA1374__" vbProcedure="false">#REF!,#REF!,#REF!,#REF!,#REF!,#REF!,#REF!,#REF!,#REF!,#REF!,#REF!,#REF!,#REF!,#REF!,#REF!</definedName>
    <definedName function="false" hidden="true" name="__APW_RESTORE_DATA1375__" vbProcedure="false">#REF!,#REF!,#REF!,#REF!,#REF!,#REF!,#REF!,#REF!,#REF!,#REF!,#REF!,#REF!,#REF!,#REF!,#REF!</definedName>
    <definedName function="false" hidden="true" name="__APW_RESTORE_DATA1376__" vbProcedure="false">#REF!,#REF!,#REF!,#REF!,#REF!,#REF!,#REF!,#REF!,#REF!,#REF!,#REF!,#REF!,#REF!,#REF!,#REF!</definedName>
    <definedName function="false" hidden="true" name="__APW_RESTORE_DATA1377__" vbProcedure="false">#REF!,#REF!,#REF!,#REF!,#REF!,#REF!,#REF!,#REF!,#REF!,#REF!,#REF!,#REF!,#REF!,#REF!,#REF!</definedName>
    <definedName function="false" hidden="true" name="__APW_RESTORE_DATA1378__" vbProcedure="false">#REF!,#REF!,#REF!,#REF!,#REF!,#REF!,#REF!,#REF!,#REF!,#REF!,#REF!,#REF!,#REF!,#REF!,#REF!</definedName>
    <definedName function="false" hidden="true" name="__APW_RESTORE_DATA1379__" vbProcedure="false">#REF!,#REF!,#REF!,#REF!,#REF!,#REF!,#REF!,#REF!,#REF!,#REF!,#REF!,#REF!,#REF!,#REF!,#REF!</definedName>
    <definedName function="false" hidden="true" name="__APW_RESTORE_DATA137__" vbProcedure="false">#REF!,#REF!,#REF!,#REF!,#REF!,#REF!,#REF!,#REF!,#REF!,#REF!,#REF!,#REF!,#REF!,#REF!,#REF!</definedName>
    <definedName function="false" hidden="true" name="__APW_RESTORE_DATA1380__" vbProcedure="false">#REF!,#REF!,#REF!,#REF!,#REF!,#REF!,#REF!,#REF!,#REF!,#REF!,#REF!,#REF!,#REF!,#REF!,#REF!</definedName>
    <definedName function="false" hidden="true" name="__APW_RESTORE_DATA1381__" vbProcedure="false">#REF!,#REF!,#REF!,#REF!,#REF!,#REF!,#REF!,#REF!,#REF!,#REF!,#REF!,#REF!,#REF!,#REF!,#REF!</definedName>
    <definedName function="false" hidden="true" name="__APW_RESTORE_DATA1382__" vbProcedure="false">#REF!,#REF!,#REF!,#REF!,#REF!,#REF!,#REF!,#REF!,#REF!,#REF!,#REF!,#REF!,#REF!,#REF!,#REF!</definedName>
    <definedName function="false" hidden="true" name="__APW_RESTORE_DATA1383__" vbProcedure="false">#REF!,#REF!,#REF!,#REF!,#REF!,#REF!,#REF!,#REF!,#REF!,#REF!,#REF!,#REF!,#REF!,#REF!,#REF!</definedName>
    <definedName function="false" hidden="true" name="__APW_RESTORE_DATA1384__" vbProcedure="false">#REF!,#REF!,#REF!,#REF!,#REF!,#REF!,#REF!,#REF!,#REF!,#REF!,#REF!,#REF!,#REF!,#REF!,#REF!</definedName>
    <definedName function="false" hidden="true" name="__APW_RESTORE_DATA1385__" vbProcedure="false">#REF!,#REF!,#REF!,#REF!,#REF!,#REF!,#REF!,#REF!,#REF!,#REF!,#REF!,#REF!,#REF!,#REF!,#REF!</definedName>
    <definedName function="false" hidden="true" name="__APW_RESTORE_DATA1386__" vbProcedure="false">#REF!,#REF!,#REF!,#REF!,#REF!,#REF!,#REF!,#REF!,#REF!,#REF!,#REF!,#REF!,#REF!,#REF!,#REF!</definedName>
    <definedName function="false" hidden="true" name="__APW_RESTORE_DATA1387__" vbProcedure="false">#REF!,#REF!,#REF!,#REF!,#REF!,#REF!,#REF!,#REF!,#REF!,#REF!,#REF!,#REF!,#REF!,#REF!,#REF!</definedName>
    <definedName function="false" hidden="true" name="__APW_RESTORE_DATA1388__" vbProcedure="false">#REF!,#REF!,#REF!,#REF!,#REF!,#REF!,#REF!,#REF!,#REF!,#REF!,#REF!,#REF!,#REF!,#REF!,#REF!</definedName>
    <definedName function="false" hidden="true" name="__APW_RESTORE_DATA1389__" vbProcedure="false">#REF!,#REF!,#REF!,#REF!,#REF!,#REF!,#REF!,#REF!,#REF!,#REF!,#REF!,#REF!,#REF!,#REF!,#REF!</definedName>
    <definedName function="false" hidden="true" name="__APW_RESTORE_DATA138__" vbProcedure="false">#REF!,#REF!,#REF!,#REF!,#REF!,#REF!,#REF!,#REF!,#REF!,#REF!,#REF!,#REF!,#REF!,#REF!,#REF!</definedName>
    <definedName function="false" hidden="true" name="__APW_RESTORE_DATA1390__" vbProcedure="false">#REF!,#REF!,#REF!,#REF!,#REF!,#REF!,#REF!,#REF!,#REF!,#REF!,#REF!,#REF!,#REF!,#REF!,#REF!</definedName>
    <definedName function="false" hidden="true" name="__APW_RESTORE_DATA1391__" vbProcedure="false">#REF!,#REF!,#REF!,#REF!,#REF!,#REF!,#REF!,#REF!,#REF!,#REF!,#REF!,#REF!,#REF!,#REF!,#REF!</definedName>
    <definedName function="false" hidden="true" name="__APW_RESTORE_DATA1392__" vbProcedure="false">#REF!,#REF!,#REF!,#REF!,#REF!,#REF!,#REF!,#REF!,#REF!,#REF!,#REF!,#REF!,#REF!,#REF!,#REF!</definedName>
    <definedName function="false" hidden="true" name="__APW_RESTORE_DATA1393__" vbProcedure="false">#REF!,#REF!,#REF!,#REF!,#REF!,#REF!,#REF!,#REF!,#REF!,#REF!,#REF!,#REF!,#REF!,#REF!,#REF!</definedName>
    <definedName function="false" hidden="true" name="__APW_RESTORE_DATA1394__" vbProcedure="false">#REF!,#REF!,#REF!,#REF!,#REF!,#REF!,#REF!,#REF!,#REF!,#REF!,#REF!,#REF!,#REF!,#REF!,#REF!</definedName>
    <definedName function="false" hidden="true" name="__APW_RESTORE_DATA1395__" vbProcedure="false">#REF!,#REF!,#REF!,#REF!,#REF!,#REF!,#REF!,#REF!,#REF!,#REF!,#REF!,#REF!,#REF!,#REF!,#REF!</definedName>
    <definedName function="false" hidden="true" name="__APW_RESTORE_DATA1396__" vbProcedure="false">#REF!,#REF!,#REF!,#REF!,#REF!,#REF!,#REF!,#REF!,#REF!,#REF!,#REF!,#REF!,#REF!,#REF!,#REF!</definedName>
    <definedName function="false" hidden="true" name="__APW_RESTORE_DATA1397__" vbProcedure="false">#REF!,#REF!,#REF!,#REF!,#REF!,#REF!,#REF!,#REF!,#REF!,#REF!,#REF!,#REF!,#REF!,#REF!,#REF!</definedName>
    <definedName function="false" hidden="true" name="__APW_RESTORE_DATA1398__" vbProcedure="false">#REF!,#REF!,#REF!,#REF!,#REF!,#REF!,#REF!,#REF!,#REF!,#REF!,#REF!,#REF!,#REF!,#REF!,#REF!</definedName>
    <definedName function="false" hidden="true" name="__APW_RESTORE_DATA1399__" vbProcedure="false">#REF!,#REF!,#REF!,#REF!,#REF!,#REF!,#REF!,#REF!,#REF!,#REF!,#REF!,#REF!,#REF!,#REF!,#REF!</definedName>
    <definedName function="false" hidden="true" name="__APW_RESTORE_DATA139__" vbProcedure="false">#REF!,#REF!</definedName>
    <definedName function="false" hidden="true" name="__APW_RESTORE_DATA13__" vbProcedure="false">#REF!,#REF!,#REF!,#REF!,#REF!,#REF!,#REF!,#REF!,#REF!,#REF!,#REF!,#REF!,#REF!,#REF!,#REF!</definedName>
    <definedName function="false" hidden="true" name="__APW_RESTORE_DATA1400__" vbProcedure="false">#REF!,#REF!,#REF!,#REF!,#REF!,#REF!,#REF!,#REF!,#REF!,#REF!,#REF!,#REF!,#REF!,#REF!,#REF!</definedName>
    <definedName function="false" hidden="true" name="__APW_RESTORE_DATA1401__" vbProcedure="false">#REF!,#REF!,#REF!,#REF!,#REF!,#REF!</definedName>
    <definedName function="false" hidden="true" name="__APW_RESTORE_DATA1402__" vbProcedure="false">#REF!,#REF!,#REF!,#REF!,#REF!,#REF!,#REF!,#REF!,#REF!,#REF!,#REF!,#REF!,#REF!,#REF!,#REF!,#REF!</definedName>
    <definedName function="false" hidden="true" name="__APW_RESTORE_DATA1403__" vbProcedure="false">#REF!,#REF!,#REF!,#REF!,#REF!,#REF!,#REF!,#REF!,#REF!,#REF!,#REF!,#REF!,#REF!,#REF!,#REF!,#REF!</definedName>
    <definedName function="false" hidden="true" name="__APW_RESTORE_DATA1404__" vbProcedure="false">#REF!,#REF!,#REF!,#REF!,#REF!,#REF!,#REF!,#REF!,#REF!,#REF!,#REF!,#REF!,#REF!,#REF!,#REF!,#REF!</definedName>
    <definedName function="false" hidden="true" name="__APW_RESTORE_DATA1405__" vbProcedure="false">#REF!,#REF!,#REF!,#REF!,#REF!,#REF!,#REF!,#REF!,#REF!,#REF!,#REF!,#REF!,#REF!,#REF!,#REF!,#REF!</definedName>
    <definedName function="false" hidden="true" name="__APW_RESTORE_DATA1406__" vbProcedure="false">#REF!,#REF!,#REF!,#REF!,#REF!,#REF!,#REF!,#REF!,#REF!,#REF!,#REF!,#REF!,#REF!,#REF!,#REF!,#REF!</definedName>
    <definedName function="false" hidden="true" name="__APW_RESTORE_DATA1407__" vbProcedure="false">#REF!,#REF!,#REF!,#REF!,#REF!,#REF!,#REF!,#REF!,#REF!,#REF!,#REF!,#REF!,#REF!,#REF!,#REF!,#REF!</definedName>
    <definedName function="false" hidden="true" name="__APW_RESTORE_DATA1408__" vbProcedure="false">#REF!,#REF!,#REF!,#REF!,#REF!,#REF!,#REF!,#REF!,#REF!,#REF!,#REF!,#REF!,#REF!,#REF!,#REF!</definedName>
    <definedName function="false" hidden="true" name="__APW_RESTORE_DATA1409__" vbProcedure="false">#REF!,#REF!,#REF!,#REF!,#REF!,#REF!,#REF!,#REF!,#REF!,#REF!,#REF!,#REF!,#REF!,#REF!,#REF!</definedName>
    <definedName function="false" hidden="true" name="__APW_RESTORE_DATA140__" vbProcedure="false">#REF!,#REF!,#REF!,#REF!,#REF!,#REF!,#REF!,#REF!,#REF!,#REF!,#REF!,#REF!,#REF!,#REF!,#REF!</definedName>
    <definedName function="false" hidden="true" name="__APW_RESTORE_DATA1410__" vbProcedure="false">#REF!,#REF!,#REF!,#REF!,#REF!,#REF!,#REF!,#REF!,#REF!,#REF!,#REF!,#REF!,#REF!,#REF!,#REF!</definedName>
    <definedName function="false" hidden="true" name="__APW_RESTORE_DATA1411__" vbProcedure="false">#REF!,#REF!,#REF!,#REF!,#REF!,#REF!,#REF!,#REF!,#REF!,#REF!,#REF!,#REF!,#REF!,#REF!,#REF!</definedName>
    <definedName function="false" hidden="true" name="__APW_RESTORE_DATA1412__" vbProcedure="false">#REF!,#REF!,#REF!,#REF!,#REF!,#REF!,#REF!,#REF!,#REF!,#REF!,#REF!,#REF!,#REF!,#REF!,#REF!</definedName>
    <definedName function="false" hidden="true" name="__APW_RESTORE_DATA1413__" vbProcedure="false">#REF!,#REF!,#REF!,#REF!,#REF!,#REF!,#REF!,#REF!,#REF!,#REF!,#REF!,#REF!,#REF!,#REF!,#REF!</definedName>
    <definedName function="false" hidden="true" name="__APW_RESTORE_DATA1414__" vbProcedure="false">#REF!,#REF!,#REF!,#REF!,#REF!,#REF!,#REF!,#REF!,#REF!,#REF!,#REF!,#REF!,#REF!,#REF!,#REF!</definedName>
    <definedName function="false" hidden="true" name="__APW_RESTORE_DATA1415__" vbProcedure="false">#REF!,#REF!,#REF!,#REF!,#REF!,#REF!,#REF!,#REF!,#REF!,#REF!,#REF!,#REF!,#REF!,#REF!,#REF!</definedName>
    <definedName function="false" hidden="true" name="__APW_RESTORE_DATA1416__" vbProcedure="false">#REF!,#REF!,#REF!,#REF!,#REF!,#REF!,#REF!,#REF!,#REF!,#REF!,#REF!,#REF!,#REF!,#REF!,#REF!</definedName>
    <definedName function="false" hidden="true" name="__APW_RESTORE_DATA1417__" vbProcedure="false">#REF!,#REF!,#REF!,#REF!,#REF!,#REF!,#REF!,#REF!,#REF!,#REF!,#REF!,#REF!,#REF!,#REF!,#REF!</definedName>
    <definedName function="false" hidden="true" name="__APW_RESTORE_DATA1418__" vbProcedure="false">#REF!,#REF!,#REF!,#REF!,#REF!,#REF!,#REF!,#REF!,#REF!,#REF!,#REF!,#REF!,#REF!,#REF!,#REF!</definedName>
    <definedName function="false" hidden="true" name="__APW_RESTORE_DATA1419__" vbProcedure="false">#REF!,#REF!,#REF!,#REF!,#REF!,#REF!,#REF!,#REF!,#REF!,#REF!,#REF!,#REF!,#REF!,#REF!,#REF!</definedName>
    <definedName function="false" hidden="true" name="__APW_RESTORE_DATA141__" vbProcedure="false">#REF!,#REF!,#REF!,#REF!,#REF!,#REF!,#REF!,#REF!,#REF!,#REF!,#REF!,#REF!,#REF!,#REF!,#REF!</definedName>
    <definedName function="false" hidden="true" name="__APW_RESTORE_DATA1420__" vbProcedure="false">#REF!,#REF!,#REF!,#REF!,#REF!,#REF!,#REF!,#REF!,#REF!,#REF!,#REF!,#REF!,#REF!,#REF!,#REF!</definedName>
    <definedName function="false" hidden="true" name="__APW_RESTORE_DATA1421__" vbProcedure="false">#REF!,#REF!,#REF!,#REF!,#REF!,#REF!,#REF!,#REF!,#REF!,#REF!,#REF!,#REF!,#REF!,#REF!,#REF!</definedName>
    <definedName function="false" hidden="true" name="__APW_RESTORE_DATA1422__" vbProcedure="false">#REF!,#REF!,#REF!,#REF!,#REF!,#REF!,#REF!,#REF!,#REF!,#REF!,#REF!,#REF!,#REF!,#REF!,#REF!</definedName>
    <definedName function="false" hidden="true" name="__APW_RESTORE_DATA1423__" vbProcedure="false">#REF!,#REF!,#REF!,#REF!,#REF!,#REF!,#REF!,#REF!,#REF!,#REF!,#REF!,#REF!,#REF!,#REF!,#REF!</definedName>
    <definedName function="false" hidden="true" name="__APW_RESTORE_DATA1424__" vbProcedure="false">#REF!,#REF!,#REF!,#REF!,#REF!,#REF!,#REF!,#REF!,#REF!,#REF!,#REF!,#REF!,#REF!,#REF!,#REF!</definedName>
    <definedName function="false" hidden="true" name="__APW_RESTORE_DATA1425__" vbProcedure="false">#REF!,#REF!,#REF!,#REF!,#REF!,#REF!,#REF!,#REF!,#REF!,#REF!,#REF!,#REF!,#REF!,#REF!,#REF!</definedName>
    <definedName function="false" hidden="true" name="__APW_RESTORE_DATA1426__" vbProcedure="false">#REF!,#REF!,#REF!,#REF!,#REF!,#REF!,#REF!,#REF!,#REF!,#REF!,#REF!,#REF!,#REF!,#REF!,#REF!</definedName>
    <definedName function="false" hidden="true" name="__APW_RESTORE_DATA1427__" vbProcedure="false">#REF!,#REF!,#REF!,#REF!,#REF!,#REF!,#REF!,#REF!,#REF!,#REF!,#REF!,#REF!,#REF!,#REF!,#REF!</definedName>
    <definedName function="false" hidden="true" name="__APW_RESTORE_DATA1428__" vbProcedure="false">#REF!,#REF!,#REF!,#REF!,#REF!,#REF!,#REF!,#REF!,#REF!,#REF!,#REF!,#REF!,#REF!,#REF!,#REF!</definedName>
    <definedName function="false" hidden="true" name="__APW_RESTORE_DATA1429__" vbProcedure="false">#REF!,#REF!,#REF!,#REF!,#REF!,#REF!,#REF!,#REF!,#REF!,#REF!,#REF!,#REF!,#REF!,#REF!,#REF!</definedName>
    <definedName function="false" hidden="true" name="__APW_RESTORE_DATA142__" vbProcedure="false">#REF!,#REF!,#REF!,#REF!,#REF!,#REF!,#REF!,#REF!,#REF!,#REF!,#REF!,#REF!,#REF!,#REF!,#REF!</definedName>
    <definedName function="false" hidden="true" name="__APW_RESTORE_DATA1430__" vbProcedure="false">#REF!,#REF!,#REF!,#REF!,#REF!,#REF!,#REF!,#REF!,#REF!,#REF!,#REF!,#REF!,#REF!,#REF!,#REF!</definedName>
    <definedName function="false" hidden="true" name="__APW_RESTORE_DATA1431__" vbProcedure="false">#REF!,#REF!,#REF!,#REF!,#REF!,#REF!,#REF!,#REF!,#REF!,#REF!,#REF!,#REF!,#REF!,#REF!,#REF!</definedName>
    <definedName function="false" hidden="true" name="__APW_RESTORE_DATA1432__" vbProcedure="false">#REF!,#REF!,#REF!,#REF!,#REF!,#REF!,#REF!,#REF!,#REF!,#REF!,#REF!,#REF!,#REF!,#REF!,#REF!</definedName>
    <definedName function="false" hidden="true" name="__APW_RESTORE_DATA1433__" vbProcedure="false">#REF!,#REF!,#REF!,#REF!,#REF!,#REF!,#REF!,#REF!,#REF!,#REF!,#REF!,#REF!,#REF!,#REF!,#REF!</definedName>
    <definedName function="false" hidden="true" name="__APW_RESTORE_DATA1434__" vbProcedure="false">#REF!,#REF!,#REF!,#REF!,#REF!,#REF!,#REF!,#REF!,#REF!,#REF!,#REF!,#REF!,#REF!,#REF!,#REF!</definedName>
    <definedName function="false" hidden="true" name="__APW_RESTORE_DATA1435__" vbProcedure="false">#REF!,#REF!,#REF!,#REF!,#REF!,#REF!,#REF!,#REF!,#REF!,#REF!,#REF!,#REF!,#REF!,#REF!,#REF!</definedName>
    <definedName function="false" hidden="true" name="__APW_RESTORE_DATA1436__" vbProcedure="false">#REF!,#REF!,#REF!,#REF!,#REF!,#REF!</definedName>
    <definedName function="false" hidden="true" name="__APW_RESTORE_DATA1437__" vbProcedure="false">#REF!</definedName>
    <definedName function="false" hidden="true" name="__APW_RESTORE_DATA1438__" vbProcedure="false">#REF!</definedName>
    <definedName function="false" hidden="true" name="__APW_RESTORE_DATA1439__" vbProcedure="false">#REF!</definedName>
    <definedName function="false" hidden="true" name="__APW_RESTORE_DATA143__" vbProcedure="false">#REF!,#REF!,#REF!,#REF!,#REF!,#REF!,#REF!,#REF!,#REF!,#REF!,#REF!,#REF!,#REF!,#REF!,#REF!</definedName>
    <definedName function="false" hidden="true" name="__APW_RESTORE_DATA1441__" vbProcedure="false">#REF!</definedName>
    <definedName function="false" hidden="true" name="__APW_RESTORE_DATA1442__" vbProcedure="false">#REF!,#REF!,#REF!,#REF!,#REF!,#REF!,#REF!,#REF!,#REF!,#REF!,#REF!,#REF!,#REF!,#REF!,#REF!,#REF!</definedName>
    <definedName function="false" hidden="true" name="__APW_RESTORE_DATA1443__" vbProcedure="false">#REF!,#REF!,#REF!,#REF!,#REF!,#REF!,#REF!,#REF!,#REF!,#REF!,#REF!,#REF!,#REF!,#REF!,#REF!,#REF!</definedName>
    <definedName function="false" hidden="true" name="__APW_RESTORE_DATA1444__" vbProcedure="false">#REF!,#REF!,#REF!,#REF!,#REF!,#REF!,#REF!,#REF!,#REF!,#REF!,#REF!,#REF!,#REF!,#REF!,#REF!,#REF!</definedName>
    <definedName function="false" hidden="true" name="__APW_RESTORE_DATA1445__" vbProcedure="false">#REF!,#REF!,#REF!,#REF!,#REF!,#REF!,#REF!,#REF!,#REF!,#REF!,#REF!,#REF!,#REF!,#REF!,#REF!,#REF!</definedName>
    <definedName function="false" hidden="true" name="__APW_RESTORE_DATA1446__" vbProcedure="false">#REF!,#REF!,#REF!,#REF!,#REF!,#REF!,#REF!,#REF!,#REF!,#REF!,#REF!,#REF!,#REF!,#REF!,#REF!,#REF!</definedName>
    <definedName function="false" hidden="true" name="__APW_RESTORE_DATA1447__" vbProcedure="false">#REF!,#REF!,#REF!,#REF!,#REF!,#REF!,#REF!,#REF!,#REF!,#REF!,#REF!,#REF!,#REF!,#REF!,#REF!,#REF!</definedName>
    <definedName function="false" hidden="true" name="__APW_RESTORE_DATA1448__" vbProcedure="false">#REF!,#REF!,#REF!,#REF!,#REF!,#REF!,#REF!,#REF!,#REF!,#REF!,#REF!,#REF!,#REF!,#REF!,#REF!</definedName>
    <definedName function="false" hidden="true" name="__APW_RESTORE_DATA1449__" vbProcedure="false">#REF!,#REF!,#REF!,#REF!,#REF!,#REF!,#REF!,#REF!,#REF!,#REF!,#REF!,#REF!,#REF!,#REF!,#REF!</definedName>
    <definedName function="false" hidden="true" name="__APW_RESTORE_DATA144__" vbProcedure="false">#REF!,#REF!,#REF!,#REF!,#REF!,#REF!,#REF!</definedName>
    <definedName function="false" hidden="true" name="__APW_RESTORE_DATA1450__" vbProcedure="false">#REF!,#REF!,#REF!,#REF!,#REF!,#REF!,#REF!,#REF!,#REF!,#REF!,#REF!,#REF!,#REF!,#REF!,#REF!</definedName>
    <definedName function="false" hidden="true" name="__APW_RESTORE_DATA1451__" vbProcedure="false">#REF!,#REF!,#REF!,#REF!,#REF!,#REF!,#REF!,#REF!,#REF!,#REF!,#REF!,#REF!,#REF!,#REF!,#REF!</definedName>
    <definedName function="false" hidden="true" name="__APW_RESTORE_DATA1452__" vbProcedure="false">#REF!,#REF!,#REF!,#REF!,#REF!,#REF!,#REF!,#REF!,#REF!,#REF!,#REF!,#REF!,#REF!,#REF!,#REF!</definedName>
    <definedName function="false" hidden="true" name="__APW_RESTORE_DATA1453__" vbProcedure="false">#REF!,#REF!,#REF!,#REF!,#REF!,#REF!,#REF!,#REF!,#REF!,#REF!,#REF!,#REF!,#REF!,#REF!,#REF!</definedName>
    <definedName function="false" hidden="true" name="__APW_RESTORE_DATA1454__" vbProcedure="false">#REF!,#REF!,#REF!,#REF!,#REF!,#REF!,#REF!,#REF!,#REF!,#REF!,#REF!,#REF!,#REF!,#REF!,#REF!</definedName>
    <definedName function="false" hidden="true" name="__APW_RESTORE_DATA1455__" vbProcedure="false">#REF!,#REF!,#REF!,#REF!,#REF!,#REF!,#REF!,#REF!,#REF!,#REF!,#REF!,#REF!,#REF!,#REF!,#REF!</definedName>
    <definedName function="false" hidden="true" name="__APW_RESTORE_DATA1456__" vbProcedure="false">#REF!,#REF!,#REF!,#REF!,#REF!,#REF!,#REF!,#REF!,#REF!,#REF!,#REF!,#REF!,#REF!,#REF!,#REF!</definedName>
    <definedName function="false" hidden="true" name="__APW_RESTORE_DATA1457__" vbProcedure="false">#REF!,#REF!,#REF!,#REF!,#REF!,#REF!,#REF!,#REF!,#REF!,#REF!,#REF!,#REF!,#REF!,#REF!,#REF!</definedName>
    <definedName function="false" hidden="true" name="__APW_RESTORE_DATA1458__" vbProcedure="false">#REF!,#REF!,#REF!,#REF!,#REF!,#REF!,#REF!,#REF!,#REF!,#REF!,#REF!,#REF!,#REF!,#REF!,#REF!</definedName>
    <definedName function="false" hidden="true" name="__APW_RESTORE_DATA1459__" vbProcedure="false">#REF!,#REF!,#REF!,#REF!,#REF!,#REF!,#REF!,#REF!,#REF!,#REF!,#REF!,#REF!,#REF!,#REF!,#REF!</definedName>
    <definedName function="false" hidden="true" name="__APW_RESTORE_DATA145__" vbProcedure="false">#REF!</definedName>
    <definedName function="false" hidden="true" name="__APW_RESTORE_DATA1460__" vbProcedure="false">#REF!,#REF!,#REF!,#REF!,#REF!,#REF!,#REF!,#REF!,#REF!,#REF!,#REF!,#REF!,#REF!,#REF!,#REF!</definedName>
    <definedName function="false" hidden="true" name="__APW_RESTORE_DATA1461__" vbProcedure="false">#REF!,#REF!,#REF!,#REF!,#REF!,#REF!,#REF!,#REF!,#REF!,#REF!,#REF!,#REF!,#REF!,#REF!,#REF!</definedName>
    <definedName function="false" hidden="true" name="__APW_RESTORE_DATA1462__" vbProcedure="false">#REF!,#REF!,#REF!,#REF!,#REF!,#REF!,#REF!,#REF!,#REF!,#REF!,#REF!,#REF!,#REF!,#REF!,#REF!</definedName>
    <definedName function="false" hidden="true" name="__APW_RESTORE_DATA1463__" vbProcedure="false">#REF!,#REF!,#REF!,#REF!,#REF!,#REF!,#REF!,#REF!,#REF!,#REF!,#REF!,#REF!,#REF!,#REF!,#REF!</definedName>
    <definedName function="false" hidden="true" name="__APW_RESTORE_DATA1464__" vbProcedure="false">#REF!,#REF!,#REF!,#REF!,#REF!,#REF!,#REF!,#REF!,#REF!,#REF!,#REF!,#REF!,#REF!,#REF!,#REF!</definedName>
    <definedName function="false" hidden="true" name="__APW_RESTORE_DATA1465__" vbProcedure="false">#REF!,#REF!,#REF!,#REF!,#REF!,#REF!,#REF!,#REF!,#REF!,#REF!,#REF!,#REF!,#REF!,#REF!,#REF!</definedName>
    <definedName function="false" hidden="true" name="__APW_RESTORE_DATA1466__" vbProcedure="false">#REF!,#REF!,#REF!,#REF!,#REF!,#REF!,#REF!,#REF!,#REF!,#REF!,#REF!,#REF!,#REF!,#REF!,#REF!</definedName>
    <definedName function="false" hidden="true" name="__APW_RESTORE_DATA1467__" vbProcedure="false">#REF!,#REF!,#REF!,#REF!,#REF!,#REF!,#REF!,#REF!,#REF!,#REF!,#REF!,#REF!,#REF!,#REF!,#REF!</definedName>
    <definedName function="false" hidden="true" name="__APW_RESTORE_DATA1468__" vbProcedure="false">#REF!,#REF!,#REF!,#REF!,#REF!,#REF!,#REF!,#REF!,#REF!,#REF!,#REF!,#REF!,#REF!,#REF!,#REF!</definedName>
    <definedName function="false" hidden="true" name="__APW_RESTORE_DATA1469__" vbProcedure="false">#REF!,#REF!,#REF!,#REF!,#REF!,#REF!,#REF!,#REF!,#REF!,#REF!,#REF!,#REF!,#REF!,#REF!,#REF!</definedName>
    <definedName function="false" hidden="true" name="__APW_RESTORE_DATA146__" vbProcedure="false">#REF!</definedName>
    <definedName function="false" hidden="true" name="__APW_RESTORE_DATA1470__" vbProcedure="false">#REF!,#REF!,#REF!,#REF!,#REF!,#REF!,#REF!,#REF!,#REF!,#REF!,#REF!,#REF!,#REF!,#REF!,#REF!</definedName>
    <definedName function="false" hidden="true" name="__APW_RESTORE_DATA1471__" vbProcedure="false">#REF!,#REF!,#REF!,#REF!,#REF!,#REF!,#REF!,#REF!,#REF!,#REF!,#REF!,#REF!,#REF!,#REF!,#REF!</definedName>
    <definedName function="false" hidden="true" name="__APW_RESTORE_DATA1472__" vbProcedure="false">#REF!,#REF!,#REF!,#REF!,#REF!,#REF!,#REF!,#REF!,#REF!,#REF!,#REF!,#REF!,#REF!,#REF!,#REF!</definedName>
    <definedName function="false" hidden="true" name="__APW_RESTORE_DATA1473__" vbProcedure="false">#REF!,#REF!,#REF!,#REF!,#REF!,#REF!,#REF!,#REF!,#REF!,#REF!,#REF!,#REF!,#REF!,#REF!,#REF!</definedName>
    <definedName function="false" hidden="true" name="__APW_RESTORE_DATA1474__" vbProcedure="false">#REF!,#REF!,#REF!,#REF!,#REF!,#REF!,#REF!,#REF!,#REF!,#REF!,#REF!,#REF!,#REF!,#REF!,#REF!</definedName>
    <definedName function="false" hidden="true" name="__APW_RESTORE_DATA1475__" vbProcedure="false">#REF!,#REF!,#REF!,#REF!,#REF!,#REF!,#REF!,#REF!,#REF!,#REF!,#REF!,#REF!,#REF!,#REF!,#REF!</definedName>
    <definedName function="false" hidden="true" name="__APW_RESTORE_DATA1476__" vbProcedure="false">#REF!,#REF!,#REF!,#REF!,#REF!,#REF!</definedName>
    <definedName function="false" hidden="true" name="__APW_RESTORE_DATA1477__" vbProcedure="false">#REF!,#REF!,#REF!,#REF!,#REF!,#REF!,#REF!,#REF!,#REF!,#REF!,#REF!,#REF!,#REF!,#REF!,#REF!,#REF!</definedName>
    <definedName function="false" hidden="true" name="__APW_RESTORE_DATA1478__" vbProcedure="false">#REF!,#REF!,#REF!,#REF!,#REF!,#REF!,#REF!,#REF!,#REF!,#REF!,#REF!,#REF!,#REF!,#REF!,#REF!,#REF!</definedName>
    <definedName function="false" hidden="true" name="__APW_RESTORE_DATA1479__" vbProcedure="false">#REF!,#REF!,#REF!,#REF!,#REF!,#REF!,#REF!,#REF!,#REF!,#REF!,#REF!,#REF!,#REF!,#REF!,#REF!,#REF!</definedName>
    <definedName function="false" hidden="true" name="__APW_RESTORE_DATA147__" vbProcedure="false">#REF!,#REF!,#REF!,#REF!,#REF!,#REF!,#REF!,#REF!,#REF!,#REF!,#REF!,#REF!,#REF!,#REF!,#REF!,#REF!</definedName>
    <definedName function="false" hidden="true" name="__APW_RESTORE_DATA1480__" vbProcedure="false">#REF!,#REF!,#REF!,#REF!,#REF!,#REF!,#REF!,#REF!,#REF!,#REF!,#REF!,#REF!,#REF!,#REF!,#REF!,#REF!</definedName>
    <definedName function="false" hidden="true" name="__APW_RESTORE_DATA1481__" vbProcedure="false">#REF!,#REF!,#REF!,#REF!,#REF!,#REF!,#REF!,#REF!,#REF!,#REF!,#REF!,#REF!,#REF!,#REF!,#REF!,#REF!</definedName>
    <definedName function="false" hidden="true" name="__APW_RESTORE_DATA1482__" vbProcedure="false">#REF!,#REF!,#REF!,#REF!,#REF!,#REF!,#REF!,#REF!,#REF!,#REF!,#REF!,#REF!,#REF!,#REF!,#REF!,#REF!</definedName>
    <definedName function="false" hidden="true" name="__APW_RESTORE_DATA1483__" vbProcedure="false">#REF!,#REF!,#REF!,#REF!,#REF!,#REF!,#REF!,#REF!,#REF!,#REF!,#REF!,#REF!,#REF!,#REF!,#REF!</definedName>
    <definedName function="false" hidden="true" name="__APW_RESTORE_DATA1484__" vbProcedure="false">#REF!,#REF!,#REF!,#REF!,#REF!,#REF!,#REF!,#REF!,#REF!,#REF!,#REF!,#REF!,#REF!,#REF!,#REF!</definedName>
    <definedName function="false" hidden="true" name="__APW_RESTORE_DATA1485__" vbProcedure="false">#REF!,#REF!,#REF!,#REF!,#REF!,#REF!,#REF!,#REF!,#REF!,#REF!,#REF!,#REF!,#REF!,#REF!,#REF!</definedName>
    <definedName function="false" hidden="true" name="__APW_RESTORE_DATA1486__" vbProcedure="false">#REF!,#REF!,#REF!,#REF!,#REF!,#REF!,#REF!,#REF!,#REF!,#REF!,#REF!,#REF!,#REF!,#REF!,#REF!</definedName>
    <definedName function="false" hidden="true" name="__APW_RESTORE_DATA1487__" vbProcedure="false">#REF!,#REF!,#REF!,#REF!,#REF!,#REF!,#REF!,#REF!,#REF!,#REF!,#REF!,#REF!,#REF!,#REF!,#REF!</definedName>
    <definedName function="false" hidden="true" name="__APW_RESTORE_DATA1488__" vbProcedure="false">#REF!,#REF!,#REF!,#REF!,#REF!,#REF!,#REF!,#REF!,#REF!,#REF!,#REF!,#REF!,#REF!,#REF!,#REF!</definedName>
    <definedName function="false" hidden="true" name="__APW_RESTORE_DATA1489__" vbProcedure="false">#REF!,#REF!,#REF!,#REF!,#REF!,#REF!,#REF!,#REF!,#REF!,#REF!,#REF!,#REF!,#REF!,#REF!,#REF!</definedName>
    <definedName function="false" hidden="true" name="__APW_RESTORE_DATA148__" vbProcedure="false">#REF!,#REF!,#REF!,#REF!,#REF!,#REF!,#REF!,#REF!,#REF!,#REF!,#REF!,#REF!,#REF!,#REF!,#REF!,#REF!</definedName>
    <definedName function="false" hidden="true" name="__APW_RESTORE_DATA1490__" vbProcedure="false">#REF!,#REF!,#REF!,#REF!,#REF!,#REF!,#REF!,#REF!,#REF!,#REF!,#REF!,#REF!,#REF!,#REF!,#REF!</definedName>
    <definedName function="false" hidden="true" name="__APW_RESTORE_DATA1491__" vbProcedure="false">#REF!,#REF!,#REF!,#REF!,#REF!,#REF!,#REF!,#REF!,#REF!,#REF!,#REF!,#REF!,#REF!,#REF!,#REF!</definedName>
    <definedName function="false" hidden="true" name="__APW_RESTORE_DATA1492__" vbProcedure="false">#REF!,#REF!,#REF!,#REF!,#REF!,#REF!,#REF!,#REF!,#REF!,#REF!,#REF!,#REF!,#REF!,#REF!,#REF!</definedName>
    <definedName function="false" hidden="true" name="__APW_RESTORE_DATA1493__" vbProcedure="false">#REF!,#REF!,#REF!,#REF!,#REF!,#REF!,#REF!,#REF!,#REF!,#REF!,#REF!,#REF!,#REF!,#REF!,#REF!</definedName>
    <definedName function="false" hidden="true" name="__APW_RESTORE_DATA1494__" vbProcedure="false">#REF!,#REF!,#REF!,#REF!,#REF!,#REF!,#REF!,#REF!,#REF!,#REF!,#REF!,#REF!,#REF!,#REF!,#REF!</definedName>
    <definedName function="false" hidden="true" name="__APW_RESTORE_DATA1495__" vbProcedure="false">#REF!,#REF!,#REF!,#REF!,#REF!,#REF!,#REF!,#REF!,#REF!,#REF!,#REF!,#REF!,#REF!,#REF!,#REF!</definedName>
    <definedName function="false" hidden="true" name="__APW_RESTORE_DATA1496__" vbProcedure="false">#REF!,#REF!,#REF!,#REF!,#REF!,#REF!,#REF!,#REF!,#REF!,#REF!,#REF!,#REF!,#REF!,#REF!,#REF!</definedName>
    <definedName function="false" hidden="true" name="__APW_RESTORE_DATA1497__" vbProcedure="false">#REF!,#REF!,#REF!,#REF!,#REF!,#REF!,#REF!,#REF!,#REF!,#REF!,#REF!,#REF!,#REF!,#REF!,#REF!</definedName>
    <definedName function="false" hidden="true" name="__APW_RESTORE_DATA1498__" vbProcedure="false">#REF!,#REF!,#REF!,#REF!,#REF!,#REF!,#REF!,#REF!,#REF!,#REF!,#REF!,#REF!,#REF!,#REF!,#REF!</definedName>
    <definedName function="false" hidden="true" name="__APW_RESTORE_DATA1499__" vbProcedure="false">#REF!,#REF!,#REF!,#REF!,#REF!,#REF!,#REF!,#REF!,#REF!,#REF!,#REF!,#REF!,#REF!,#REF!,#REF!</definedName>
    <definedName function="false" hidden="true" name="__APW_RESTORE_DATA149__" vbProcedure="false">#REF!,#REF!,#REF!,#REF!,#REF!,#REF!,#REF!,#REF!,#REF!,#REF!,#REF!,#REF!,#REF!,#REF!,#REF!,#REF!</definedName>
    <definedName function="false" hidden="true" name="__APW_RESTORE_DATA14__" vbProcedure="false">#REF!</definedName>
    <definedName function="false" hidden="true" name="__APW_RESTORE_DATA1500__" vbProcedure="false">#REF!,#REF!,#REF!,#REF!,#REF!,#REF!,#REF!,#REF!,#REF!,#REF!,#REF!,#REF!,#REF!,#REF!,#REF!</definedName>
    <definedName function="false" hidden="true" name="__APW_RESTORE_DATA1501__" vbProcedure="false">#REF!,#REF!,#REF!,#REF!,#REF!,#REF!,#REF!,#REF!,#REF!,#REF!,#REF!,#REF!,#REF!,#REF!,#REF!</definedName>
    <definedName function="false" hidden="true" name="__APW_RESTORE_DATA1502__" vbProcedure="false">#REF!,#REF!,#REF!,#REF!,#REF!,#REF!,#REF!,#REF!,#REF!,#REF!,#REF!,#REF!,#REF!,#REF!,#REF!</definedName>
    <definedName function="false" hidden="true" name="__APW_RESTORE_DATA1503__" vbProcedure="false">#REF!,#REF!,#REF!,#REF!,#REF!,#REF!,#REF!,#REF!,#REF!,#REF!,#REF!,#REF!,#REF!,#REF!,#REF!</definedName>
    <definedName function="false" hidden="true" name="__APW_RESTORE_DATA1504__" vbProcedure="false">#REF!,#REF!,#REF!,#REF!,#REF!,#REF!,#REF!,#REF!,#REF!,#REF!,#REF!,#REF!,#REF!,#REF!,#REF!</definedName>
    <definedName function="false" hidden="true" name="__APW_RESTORE_DATA1505__" vbProcedure="false">#REF!,#REF!,#REF!,#REF!,#REF!,#REF!,#REF!,#REF!,#REF!,#REF!,#REF!,#REF!,#REF!,#REF!,#REF!</definedName>
    <definedName function="false" hidden="true" name="__APW_RESTORE_DATA1506__" vbProcedure="false">#REF!,#REF!,#REF!,#REF!,#REF!,#REF!,#REF!,#REF!,#REF!,#REF!,#REF!,#REF!,#REF!,#REF!,#REF!</definedName>
    <definedName function="false" hidden="true" name="__APW_RESTORE_DATA1507__" vbProcedure="false">#REF!,#REF!,#REF!,#REF!,#REF!,#REF!,#REF!,#REF!,#REF!,#REF!,#REF!,#REF!,#REF!,#REF!,#REF!</definedName>
    <definedName function="false" hidden="true" name="__APW_RESTORE_DATA1508__" vbProcedure="false">#REF!,#REF!,#REF!,#REF!,#REF!,#REF!,#REF!,#REF!,#REF!,#REF!,#REF!,#REF!,#REF!,#REF!,#REF!</definedName>
    <definedName function="false" hidden="true" name="__APW_RESTORE_DATA1509__" vbProcedure="false">#REF!,#REF!,#REF!,#REF!,#REF!,#REF!,#REF!,#REF!,#REF!,#REF!,#REF!,#REF!,#REF!,#REF!,#REF!</definedName>
    <definedName function="false" hidden="true" name="__APW_RESTORE_DATA150__" vbProcedure="false">#REF!,#REF!,#REF!,#REF!,#REF!,#REF!,#REF!,#REF!,#REF!,#REF!,#REF!,#REF!,#REF!,#REF!,#REF!,#REF!</definedName>
    <definedName function="false" hidden="true" name="__APW_RESTORE_DATA1510__" vbProcedure="false">#REF!,#REF!,#REF!,#REF!,#REF!,#REF!,#REF!,#REF!,#REF!,#REF!,#REF!,#REF!,#REF!,#REF!,#REF!</definedName>
    <definedName function="false" hidden="true" name="__APW_RESTORE_DATA1511__" vbProcedure="false">#REF!,#REF!,#REF!,#REF!,#REF!,#REF!</definedName>
    <definedName function="false" hidden="true" name="__APW_RESTORE_DATA1512__" vbProcedure="false">#REF!,#REF!,#REF!,#REF!,#REF!,#REF!,#REF!,#REF!,#REF!,#REF!,#REF!,#REF!,#REF!,#REF!,#REF!,#REF!</definedName>
    <definedName function="false" hidden="true" name="__APW_RESTORE_DATA1513__" vbProcedure="false">#REF!,#REF!,#REF!,#REF!,#REF!,#REF!,#REF!,#REF!,#REF!,#REF!,#REF!,#REF!,#REF!,#REF!,#REF!,#REF!</definedName>
    <definedName function="false" hidden="true" name="__APW_RESTORE_DATA1514__" vbProcedure="false">#REF!,#REF!,#REF!,#REF!,#REF!,#REF!,#REF!,#REF!,#REF!,#REF!,#REF!,#REF!,#REF!,#REF!,#REF!,#REF!</definedName>
    <definedName function="false" hidden="true" name="__APW_RESTORE_DATA1515__" vbProcedure="false">#REF!,#REF!,#REF!,#REF!,#REF!,#REF!,#REF!,#REF!,#REF!,#REF!,#REF!,#REF!,#REF!,#REF!,#REF!,#REF!</definedName>
    <definedName function="false" hidden="true" name="__APW_RESTORE_DATA1516__" vbProcedure="false">#REF!,#REF!,#REF!,#REF!,#REF!,#REF!,#REF!,#REF!,#REF!,#REF!,#REF!,#REF!,#REF!,#REF!,#REF!,#REF!</definedName>
    <definedName function="false" hidden="true" name="__APW_RESTORE_DATA1517__" vbProcedure="false">#REF!,#REF!,#REF!,#REF!,#REF!,#REF!,#REF!,#REF!,#REF!,#REF!,#REF!,#REF!,#REF!,#REF!,#REF!,#REF!</definedName>
    <definedName function="false" hidden="true" name="__APW_RESTORE_DATA1518__" vbProcedure="false">#REF!,#REF!,#REF!,#REF!,#REF!,#REF!,#REF!,#REF!,#REF!,#REF!,#REF!,#REF!,#REF!,#REF!,#REF!</definedName>
    <definedName function="false" hidden="true" name="__APW_RESTORE_DATA1519__" vbProcedure="false">#REF!,#REF!,#REF!,#REF!,#REF!,#REF!,#REF!,#REF!,#REF!,#REF!,#REF!,#REF!,#REF!,#REF!,#REF!</definedName>
    <definedName function="false" hidden="true" name="__APW_RESTORE_DATA151__" vbProcedure="false">#REF!,#REF!,#REF!,#REF!,#REF!,#REF!,#REF!,#REF!,#REF!,#REF!,#REF!,#REF!,#REF!,#REF!,#REF!,#REF!</definedName>
    <definedName function="false" hidden="true" name="__APW_RESTORE_DATA1520__" vbProcedure="false">#REF!,#REF!,#REF!,#REF!,#REF!,#REF!,#REF!,#REF!,#REF!,#REF!,#REF!,#REF!,#REF!,#REF!,#REF!</definedName>
    <definedName function="false" hidden="true" name="__APW_RESTORE_DATA1521__" vbProcedure="false">#REF!,#REF!,#REF!,#REF!,#REF!,#REF!,#REF!,#REF!,#REF!,#REF!,#REF!,#REF!,#REF!,#REF!,#REF!</definedName>
    <definedName function="false" hidden="true" name="__APW_RESTORE_DATA1522__" vbProcedure="false">#REF!,#REF!,#REF!,#REF!,#REF!,#REF!,#REF!,#REF!,#REF!,#REF!,#REF!,#REF!,#REF!,#REF!,#REF!</definedName>
    <definedName function="false" hidden="true" name="__APW_RESTORE_DATA1523__" vbProcedure="false">#REF!,#REF!,#REF!,#REF!,#REF!,#REF!,#REF!,#REF!,#REF!,#REF!,#REF!,#REF!,#REF!,#REF!,#REF!</definedName>
    <definedName function="false" hidden="true" name="__APW_RESTORE_DATA1524__" vbProcedure="false">#REF!,#REF!,#REF!,#REF!,#REF!,#REF!,#REF!,#REF!,#REF!,#REF!,#REF!,#REF!,#REF!,#REF!,#REF!</definedName>
    <definedName function="false" hidden="true" name="__APW_RESTORE_DATA1525__" vbProcedure="false">#REF!,#REF!,#REF!,#REF!,#REF!,#REF!,#REF!,#REF!,#REF!,#REF!,#REF!,#REF!,#REF!,#REF!,#REF!</definedName>
    <definedName function="false" hidden="true" name="__APW_RESTORE_DATA1526__" vbProcedure="false">#REF!,#REF!,#REF!,#REF!,#REF!,#REF!,#REF!,#REF!,#REF!,#REF!,#REF!,#REF!,#REF!,#REF!,#REF!</definedName>
    <definedName function="false" hidden="true" name="__APW_RESTORE_DATA1527__" vbProcedure="false">#REF!,#REF!,#REF!,#REF!,#REF!,#REF!,#REF!,#REF!,#REF!,#REF!,#REF!,#REF!,#REF!,#REF!,#REF!</definedName>
    <definedName function="false" hidden="true" name="__APW_RESTORE_DATA1528__" vbProcedure="false">#REF!,#REF!,#REF!,#REF!,#REF!,#REF!,#REF!,#REF!,#REF!,#REF!,#REF!,#REF!,#REF!,#REF!,#REF!</definedName>
    <definedName function="false" hidden="true" name="__APW_RESTORE_DATA1529__" vbProcedure="false">#REF!,#REF!,#REF!,#REF!,#REF!,#REF!,#REF!,#REF!,#REF!,#REF!,#REF!,#REF!,#REF!,#REF!,#REF!</definedName>
    <definedName function="false" hidden="true" name="__APW_RESTORE_DATA152__" vbProcedure="false">#REF!,#REF!,#REF!,#REF!,#REF!,#REF!,#REF!,#REF!,#REF!,#REF!,#REF!,#REF!,#REF!,#REF!,#REF!,#REF!</definedName>
    <definedName function="false" hidden="true" name="__APW_RESTORE_DATA1530__" vbProcedure="false">#REF!,#REF!,#REF!,#REF!,#REF!,#REF!,#REF!,#REF!,#REF!,#REF!,#REF!,#REF!,#REF!,#REF!,#REF!</definedName>
    <definedName function="false" hidden="true" name="__APW_RESTORE_DATA1531__" vbProcedure="false">#REF!,#REF!,#REF!,#REF!,#REF!,#REF!,#REF!,#REF!,#REF!,#REF!,#REF!,#REF!,#REF!,#REF!,#REF!</definedName>
    <definedName function="false" hidden="true" name="__APW_RESTORE_DATA1532__" vbProcedure="false">#REF!,#REF!,#REF!,#REF!,#REF!,#REF!,#REF!,#REF!,#REF!,#REF!,#REF!,#REF!,#REF!,#REF!,#REF!</definedName>
    <definedName function="false" hidden="true" name="__APW_RESTORE_DATA1533__" vbProcedure="false">#REF!,#REF!,#REF!,#REF!,#REF!,#REF!,#REF!,#REF!,#REF!,#REF!,#REF!,#REF!,#REF!,#REF!,#REF!</definedName>
    <definedName function="false" hidden="true" name="__APW_RESTORE_DATA1534__" vbProcedure="false">#REF!,#REF!,#REF!,#REF!,#REF!,#REF!,#REF!,#REF!,#REF!,#REF!,#REF!,#REF!,#REF!,#REF!,#REF!</definedName>
    <definedName function="false" hidden="true" name="__APW_RESTORE_DATA1535__" vbProcedure="false">#REF!,#REF!,#REF!,#REF!,#REF!,#REF!,#REF!,#REF!,#REF!,#REF!,#REF!,#REF!,#REF!,#REF!,#REF!</definedName>
    <definedName function="false" hidden="true" name="__APW_RESTORE_DATA1536__" vbProcedure="false">#REF!,#REF!,#REF!,#REF!,#REF!,#REF!,#REF!,#REF!,#REF!,#REF!,#REF!,#REF!,#REF!,#REF!,#REF!</definedName>
    <definedName function="false" hidden="true" name="__APW_RESTORE_DATA1537__" vbProcedure="false">#REF!,#REF!,#REF!,#REF!,#REF!,#REF!,#REF!,#REF!,#REF!,#REF!,#REF!,#REF!,#REF!,#REF!,#REF!</definedName>
    <definedName function="false" hidden="true" name="__APW_RESTORE_DATA1538__" vbProcedure="false">#REF!,#REF!,#REF!,#REF!,#REF!,#REF!,#REF!,#REF!,#REF!,#REF!,#REF!,#REF!,#REF!,#REF!,#REF!</definedName>
    <definedName function="false" hidden="true" name="__APW_RESTORE_DATA1539__" vbProcedure="false">#REF!,#REF!,#REF!,#REF!,#REF!,#REF!,#REF!,#REF!,#REF!,#REF!,#REF!,#REF!,#REF!,#REF!,#REF!</definedName>
    <definedName function="false" hidden="true" name="__APW_RESTORE_DATA153__" vbProcedure="false">#REF!,#REF!,#REF!,#REF!,#REF!,#REF!,#REF!,#REF!,#REF!,#REF!,#REF!,#REF!,#REF!,#REF!,#REF!</definedName>
    <definedName function="false" hidden="true" name="__APW_RESTORE_DATA1540__" vbProcedure="false">#REF!,#REF!,#REF!,#REF!,#REF!,#REF!,#REF!,#REF!,#REF!,#REF!,#REF!,#REF!,#REF!,#REF!,#REF!</definedName>
    <definedName function="false" hidden="true" name="__APW_RESTORE_DATA1541__" vbProcedure="false">#REF!,#REF!,#REF!,#REF!,#REF!,#REF!,#REF!,#REF!,#REF!,#REF!,#REF!,#REF!,#REF!,#REF!,#REF!</definedName>
    <definedName function="false" hidden="true" name="__APW_RESTORE_DATA1542__" vbProcedure="false">#REF!,#REF!,#REF!,#REF!,#REF!,#REF!,#REF!,#REF!,#REF!,#REF!,#REF!,#REF!,#REF!,#REF!,#REF!</definedName>
    <definedName function="false" hidden="true" name="__APW_RESTORE_DATA1543__" vbProcedure="false">#REF!,#REF!,#REF!,#REF!,#REF!,#REF!,#REF!,#REF!,#REF!,#REF!,#REF!,#REF!,#REF!,#REF!,#REF!</definedName>
    <definedName function="false" hidden="true" name="__APW_RESTORE_DATA1544__" vbProcedure="false">#REF!,#REF!,#REF!,#REF!,#REF!,#REF!,#REF!,#REF!,#REF!,#REF!,#REF!,#REF!,#REF!,#REF!,#REF!</definedName>
    <definedName function="false" hidden="true" name="__APW_RESTORE_DATA1545__" vbProcedure="false">#REF!,#REF!,#REF!,#REF!,#REF!,#REF!,#REF!,#REF!,#REF!,#REF!,#REF!,#REF!,#REF!,#REF!,#REF!</definedName>
    <definedName function="false" hidden="true" name="__APW_RESTORE_DATA1546__" vbProcedure="false">#REF!,#REF!,#REF!,#REF!,#REF!,#REF!</definedName>
    <definedName function="false" hidden="true" name="__APW_RESTORE_DATA1547__" vbProcedure="false">#REF!,#REF!,#REF!,#REF!,#REF!,#REF!,#REF!,#REF!,#REF!,#REF!,#REF!,#REF!,#REF!,#REF!,#REF!,#REF!</definedName>
    <definedName function="false" hidden="true" name="__APW_RESTORE_DATA1548__" vbProcedure="false">#REF!,#REF!,#REF!,#REF!,#REF!,#REF!,#REF!,#REF!,#REF!,#REF!,#REF!,#REF!,#REF!,#REF!,#REF!,#REF!</definedName>
    <definedName function="false" hidden="true" name="__APW_RESTORE_DATA1549__" vbProcedure="false">#REF!,#REF!,#REF!,#REF!,#REF!,#REF!,#REF!,#REF!,#REF!,#REF!,#REF!,#REF!,#REF!,#REF!,#REF!,#REF!</definedName>
    <definedName function="false" hidden="true" name="__APW_RESTORE_DATA154__" vbProcedure="false">#REF!,#REF!</definedName>
    <definedName function="false" hidden="true" name="__APW_RESTORE_DATA1550__" vbProcedure="false">#REF!,#REF!,#REF!,#REF!,#REF!,#REF!,#REF!,#REF!,#REF!,#REF!,#REF!,#REF!,#REF!,#REF!,#REF!,#REF!</definedName>
    <definedName function="false" hidden="true" name="__APW_RESTORE_DATA1551__" vbProcedure="false">#REF!,#REF!,#REF!,#REF!,#REF!,#REF!,#REF!,#REF!,#REF!,#REF!,#REF!,#REF!,#REF!,#REF!,#REF!,#REF!</definedName>
    <definedName function="false" hidden="true" name="__APW_RESTORE_DATA1552__" vbProcedure="false">#REF!,#REF!,#REF!,#REF!,#REF!,#REF!,#REF!,#REF!,#REF!,#REF!,#REF!,#REF!,#REF!,#REF!,#REF!,#REF!</definedName>
    <definedName function="false" hidden="true" name="__APW_RESTORE_DATA1553__" vbProcedure="false">#REF!,#REF!,#REF!,#REF!,#REF!,#REF!,#REF!,#REF!,#REF!,#REF!,#REF!,#REF!,#REF!,#REF!,#REF!</definedName>
    <definedName function="false" hidden="true" name="__APW_RESTORE_DATA1554__" vbProcedure="false">#REF!,#REF!,#REF!,#REF!,#REF!,#REF!,#REF!,#REF!,#REF!,#REF!,#REF!,#REF!,#REF!,#REF!,#REF!</definedName>
    <definedName function="false" hidden="true" name="__APW_RESTORE_DATA1555__" vbProcedure="false">#REF!,#REF!,#REF!,#REF!,#REF!,#REF!,#REF!,#REF!,#REF!,#REF!,#REF!,#REF!,#REF!,#REF!,#REF!</definedName>
    <definedName function="false" hidden="true" name="__APW_RESTORE_DATA1556__" vbProcedure="false">#REF!,#REF!,#REF!,#REF!,#REF!,#REF!,#REF!,#REF!,#REF!,#REF!,#REF!,#REF!,#REF!,#REF!,#REF!</definedName>
    <definedName function="false" hidden="true" name="__APW_RESTORE_DATA1557__" vbProcedure="false">#REF!,#REF!,#REF!,#REF!,#REF!,#REF!,#REF!,#REF!,#REF!,#REF!,#REF!,#REF!,#REF!,#REF!,#REF!</definedName>
    <definedName function="false" hidden="true" name="__APW_RESTORE_DATA1558__" vbProcedure="false">#REF!,#REF!,#REF!,#REF!,#REF!,#REF!,#REF!,#REF!,#REF!,#REF!,#REF!,#REF!,#REF!,#REF!,#REF!</definedName>
    <definedName function="false" hidden="true" name="__APW_RESTORE_DATA1559__" vbProcedure="false">#REF!,#REF!,#REF!,#REF!,#REF!,#REF!,#REF!,#REF!,#REF!,#REF!,#REF!,#REF!,#REF!,#REF!,#REF!</definedName>
    <definedName function="false" hidden="true" name="__APW_RESTORE_DATA155__" vbProcedure="false">#REF!,#REF!</definedName>
    <definedName function="false" hidden="true" name="__APW_RESTORE_DATA1560__" vbProcedure="false">#REF!,#REF!,#REF!,#REF!,#REF!,#REF!,#REF!,#REF!,#REF!,#REF!,#REF!,#REF!,#REF!,#REF!,#REF!</definedName>
    <definedName function="false" hidden="true" name="__APW_RESTORE_DATA1561__" vbProcedure="false">#REF!,#REF!,#REF!,#REF!,#REF!,#REF!,#REF!,#REF!,#REF!,#REF!,#REF!,#REF!,#REF!,#REF!,#REF!</definedName>
    <definedName function="false" hidden="true" name="__APW_RESTORE_DATA1562__" vbProcedure="false">#REF!,#REF!,#REF!,#REF!,#REF!,#REF!,#REF!,#REF!,#REF!,#REF!,#REF!,#REF!,#REF!,#REF!,#REF!</definedName>
    <definedName function="false" hidden="true" name="__APW_RESTORE_DATA1563__" vbProcedure="false">#REF!,#REF!,#REF!,#REF!,#REF!,#REF!,#REF!,#REF!,#REF!,#REF!,#REF!,#REF!,#REF!,#REF!,#REF!</definedName>
    <definedName function="false" hidden="true" name="__APW_RESTORE_DATA1564__" vbProcedure="false">#REF!,#REF!,#REF!,#REF!,#REF!,#REF!,#REF!,#REF!,#REF!,#REF!,#REF!,#REF!,#REF!,#REF!,#REF!</definedName>
    <definedName function="false" hidden="true" name="__APW_RESTORE_DATA1565__" vbProcedure="false">#REF!,#REF!,#REF!,#REF!,#REF!,#REF!,#REF!,#REF!,#REF!,#REF!,#REF!,#REF!,#REF!,#REF!,#REF!</definedName>
    <definedName function="false" hidden="true" name="__APW_RESTORE_DATA1566__" vbProcedure="false">#REF!,#REF!,#REF!,#REF!,#REF!,#REF!,#REF!,#REF!,#REF!,#REF!,#REF!,#REF!,#REF!,#REF!,#REF!</definedName>
    <definedName function="false" hidden="true" name="__APW_RESTORE_DATA1567__" vbProcedure="false">#REF!,#REF!,#REF!,#REF!,#REF!,#REF!,#REF!,#REF!,#REF!,#REF!,#REF!,#REF!,#REF!,#REF!,#REF!</definedName>
    <definedName function="false" hidden="true" name="__APW_RESTORE_DATA1568__" vbProcedure="false">#REF!,#REF!,#REF!,#REF!,#REF!,#REF!,#REF!,#REF!,#REF!,#REF!,#REF!,#REF!,#REF!,#REF!,#REF!</definedName>
    <definedName function="false" hidden="true" name="__APW_RESTORE_DATA1569__" vbProcedure="false">#REF!,#REF!,#REF!,#REF!,#REF!,#REF!,#REF!,#REF!,#REF!,#REF!,#REF!,#REF!,#REF!,#REF!,#REF!</definedName>
    <definedName function="false" hidden="true" name="__APW_RESTORE_DATA156__" vbProcedure="false">#REF!,#REF!,#REF!,#REF!,#REF!,#REF!,#REF!,#REF!,#REF!,#REF!,#REF!,#REF!,#REF!,#REF!,#REF!</definedName>
    <definedName function="false" hidden="true" name="__APW_RESTORE_DATA1570__" vbProcedure="false">#REF!,#REF!,#REF!,#REF!,#REF!,#REF!,#REF!,#REF!,#REF!,#REF!,#REF!,#REF!,#REF!,#REF!,#REF!</definedName>
    <definedName function="false" hidden="true" name="__APW_RESTORE_DATA1571__" vbProcedure="false">#REF!,#REF!,#REF!,#REF!,#REF!,#REF!,#REF!,#REF!,#REF!,#REF!,#REF!,#REF!,#REF!,#REF!,#REF!</definedName>
    <definedName function="false" hidden="true" name="__APW_RESTORE_DATA1572__" vbProcedure="false">#REF!,#REF!,#REF!,#REF!,#REF!,#REF!,#REF!,#REF!,#REF!,#REF!,#REF!,#REF!,#REF!,#REF!,#REF!</definedName>
    <definedName function="false" hidden="true" name="__APW_RESTORE_DATA1573__" vbProcedure="false">#REF!,#REF!,#REF!,#REF!,#REF!,#REF!,#REF!,#REF!,#REF!,#REF!,#REF!,#REF!,#REF!,#REF!,#REF!</definedName>
    <definedName function="false" hidden="true" name="__APW_RESTORE_DATA1574__" vbProcedure="false">#REF!,#REF!,#REF!,#REF!,#REF!,#REF!,#REF!,#REF!,#REF!,#REF!,#REF!,#REF!,#REF!,#REF!,#REF!</definedName>
    <definedName function="false" hidden="true" name="__APW_RESTORE_DATA1575__" vbProcedure="false">#REF!,#REF!,#REF!,#REF!,#REF!,#REF!,#REF!,#REF!,#REF!,#REF!,#REF!,#REF!,#REF!,#REF!,#REF!</definedName>
    <definedName function="false" hidden="true" name="__APW_RESTORE_DATA1576__" vbProcedure="false">#REF!,#REF!,#REF!,#REF!,#REF!,#REF!,#REF!,#REF!,#REF!,#REF!,#REF!,#REF!,#REF!,#REF!,#REF!</definedName>
    <definedName function="false" hidden="true" name="__APW_RESTORE_DATA1577__" vbProcedure="false">#REF!,#REF!,#REF!,#REF!,#REF!,#REF!,#REF!,#REF!,#REF!,#REF!,#REF!,#REF!,#REF!,#REF!,#REF!</definedName>
    <definedName function="false" hidden="true" name="__APW_RESTORE_DATA1578__" vbProcedure="false">#REF!,#REF!,#REF!,#REF!,#REF!,#REF!,#REF!,#REF!,#REF!,#REF!,#REF!,#REF!,#REF!,#REF!,#REF!</definedName>
    <definedName function="false" hidden="true" name="__APW_RESTORE_DATA1579__" vbProcedure="false">#REF!,#REF!,#REF!,#REF!,#REF!,#REF!,#REF!,#REF!,#REF!,#REF!,#REF!,#REF!,#REF!,#REF!,#REF!</definedName>
    <definedName function="false" hidden="true" name="__APW_RESTORE_DATA157__" vbProcedure="false">#REF!,#REF!,#REF!,#REF!,#REF!,#REF!,#REF!,#REF!,#REF!,#REF!,#REF!,#REF!,#REF!,#REF!,#REF!</definedName>
    <definedName function="false" hidden="true" name="__APW_RESTORE_DATA1580__" vbProcedure="false">#REF!,#REF!,#REF!,#REF!,#REF!,#REF!,#REF!,#REF!,#REF!,#REF!,#REF!,#REF!,#REF!,#REF!,#REF!</definedName>
    <definedName function="false" hidden="true" name="__APW_RESTORE_DATA1581__" vbProcedure="false">#REF!,#REF!,#REF!,#REF!,#REF!,#REF!</definedName>
    <definedName function="false" hidden="true" name="__APW_RESTORE_DATA1582__" vbProcedure="false">#REF!</definedName>
    <definedName function="false" hidden="true" name="__APW_RESTORE_DATA1583__" vbProcedure="false">#REF!</definedName>
    <definedName function="false" hidden="true" name="__APW_RESTORE_DATA1585__" vbProcedure="false">#REF!</definedName>
    <definedName function="false" hidden="true" name="__APW_RESTORE_DATA1586__" vbProcedure="false">#REF!</definedName>
    <definedName function="false" hidden="true" name="__APW_RESTORE_DATA1587__" vbProcedure="false">#REF!,#REF!,#REF!,#REF!,#REF!,#REF!,#REF!,#REF!,#REF!,#REF!,#REF!,#REF!,#REF!,#REF!,#REF!,#REF!</definedName>
    <definedName function="false" hidden="true" name="__APW_RESTORE_DATA1588__" vbProcedure="false">#REF!,#REF!,#REF!,#REF!,#REF!,#REF!,#REF!,#REF!,#REF!,#REF!,#REF!,#REF!,#REF!,#REF!,#REF!,#REF!</definedName>
    <definedName function="false" hidden="true" name="__APW_RESTORE_DATA1589__" vbProcedure="false">#REF!,#REF!,#REF!,#REF!,#REF!,#REF!,#REF!,#REF!,#REF!,#REF!,#REF!,#REF!,#REF!,#REF!,#REF!,#REF!</definedName>
    <definedName function="false" hidden="true" name="__APW_RESTORE_DATA158__" vbProcedure="false">#REF!,#REF!,#REF!,#REF!,#REF!,#REF!,#REF!,#REF!,#REF!,#REF!,#REF!,#REF!,#REF!,#REF!,#REF!</definedName>
    <definedName function="false" hidden="true" name="__APW_RESTORE_DATA1590__" vbProcedure="false">#REF!,#REF!,#REF!,#REF!,#REF!,#REF!,#REF!,#REF!,#REF!,#REF!,#REF!,#REF!,#REF!,#REF!,#REF!,#REF!</definedName>
    <definedName function="false" hidden="true" name="__APW_RESTORE_DATA1591__" vbProcedure="false">#REF!,#REF!,#REF!,#REF!,#REF!,#REF!,#REF!,#REF!,#REF!,#REF!,#REF!,#REF!,#REF!,#REF!,#REF!,#REF!</definedName>
    <definedName function="false" hidden="true" name="__APW_RESTORE_DATA1592__" vbProcedure="false">#REF!,#REF!,#REF!,#REF!,#REF!,#REF!,#REF!,#REF!,#REF!,#REF!,#REF!,#REF!,#REF!,#REF!,#REF!,#REF!</definedName>
    <definedName function="false" hidden="true" name="__APW_RESTORE_DATA1593__" vbProcedure="false">#REF!,#REF!,#REF!,#REF!,#REF!,#REF!,#REF!,#REF!,#REF!,#REF!,#REF!,#REF!,#REF!,#REF!,#REF!</definedName>
    <definedName function="false" hidden="true" name="__APW_RESTORE_DATA1594__" vbProcedure="false">#REF!,#REF!,#REF!,#REF!,#REF!,#REF!,#REF!,#REF!,#REF!,#REF!,#REF!,#REF!,#REF!,#REF!,#REF!</definedName>
    <definedName function="false" hidden="true" name="__APW_RESTORE_DATA1595__" vbProcedure="false">#REF!,#REF!,#REF!,#REF!,#REF!,#REF!,#REF!,#REF!,#REF!,#REF!,#REF!,#REF!,#REF!,#REF!,#REF!</definedName>
    <definedName function="false" hidden="true" name="__APW_RESTORE_DATA1596__" vbProcedure="false">#REF!,#REF!,#REF!,#REF!,#REF!,#REF!,#REF!,#REF!,#REF!,#REF!,#REF!,#REF!,#REF!,#REF!,#REF!</definedName>
    <definedName function="false" hidden="true" name="__APW_RESTORE_DATA1597__" vbProcedure="false">#REF!,#REF!,#REF!,#REF!,#REF!,#REF!,#REF!,#REF!,#REF!,#REF!,#REF!,#REF!,#REF!,#REF!,#REF!</definedName>
    <definedName function="false" hidden="true" name="__APW_RESTORE_DATA1598__" vbProcedure="false">#REF!,#REF!,#REF!,#REF!,#REF!,#REF!,#REF!,#REF!,#REF!,#REF!,#REF!,#REF!,#REF!,#REF!,#REF!</definedName>
    <definedName function="false" hidden="true" name="__APW_RESTORE_DATA1599__" vbProcedure="false">#REF!,#REF!,#REF!,#REF!,#REF!,#REF!,#REF!,#REF!,#REF!,#REF!,#REF!,#REF!,#REF!,#REF!,#REF!</definedName>
    <definedName function="false" hidden="true" name="__APW_RESTORE_DATA159__" vbProcedure="false">#REF!,#REF!,#REF!,#REF!,#REF!,#REF!,#REF!,#REF!,#REF!,#REF!,#REF!,#REF!,#REF!,#REF!,#REF!</definedName>
    <definedName function="false" hidden="true" name="__APW_RESTORE_DATA15__" vbProcedure="false">#REF!</definedName>
    <definedName function="false" hidden="true" name="__APW_RESTORE_DATA1600__" vbProcedure="false">#REF!,#REF!,#REF!,#REF!,#REF!,#REF!,#REF!,#REF!,#REF!,#REF!,#REF!,#REF!,#REF!,#REF!,#REF!</definedName>
    <definedName function="false" hidden="true" name="__APW_RESTORE_DATA1601__" vbProcedure="false">#REF!,#REF!,#REF!,#REF!,#REF!,#REF!,#REF!,#REF!,#REF!,#REF!,#REF!,#REF!,#REF!,#REF!,#REF!</definedName>
    <definedName function="false" hidden="true" name="__APW_RESTORE_DATA1602__" vbProcedure="false">#REF!,#REF!,#REF!,#REF!,#REF!,#REF!,#REF!,#REF!,#REF!,#REF!,#REF!,#REF!,#REF!,#REF!,#REF!</definedName>
    <definedName function="false" hidden="true" name="__APW_RESTORE_DATA1603__" vbProcedure="false">#REF!,#REF!,#REF!,#REF!,#REF!,#REF!,#REF!,#REF!,#REF!,#REF!,#REF!,#REF!,#REF!,#REF!,#REF!</definedName>
    <definedName function="false" hidden="true" name="__APW_RESTORE_DATA1604__" vbProcedure="false">#REF!,#REF!,#REF!,#REF!,#REF!,#REF!,#REF!,#REF!,#REF!,#REF!,#REF!,#REF!,#REF!,#REF!,#REF!</definedName>
    <definedName function="false" hidden="true" name="__APW_RESTORE_DATA1605__" vbProcedure="false">#REF!,#REF!,#REF!,#REF!,#REF!,#REF!,#REF!,#REF!,#REF!,#REF!,#REF!,#REF!,#REF!,#REF!,#REF!</definedName>
    <definedName function="false" hidden="true" name="__APW_RESTORE_DATA1606__" vbProcedure="false">#REF!,#REF!,#REF!,#REF!,#REF!,#REF!,#REF!,#REF!,#REF!,#REF!,#REF!,#REF!,#REF!,#REF!,#REF!</definedName>
    <definedName function="false" hidden="true" name="__APW_RESTORE_DATA1607__" vbProcedure="false">#REF!,#REF!,#REF!,#REF!,#REF!,#REF!,#REF!,#REF!,#REF!,#REF!,#REF!,#REF!,#REF!,#REF!,#REF!</definedName>
    <definedName function="false" hidden="true" name="__APW_RESTORE_DATA1608__" vbProcedure="false">#REF!,#REF!,#REF!,#REF!,#REF!,#REF!,#REF!,#REF!,#REF!,#REF!,#REF!,#REF!,#REF!,#REF!,#REF!</definedName>
    <definedName function="false" hidden="true" name="__APW_RESTORE_DATA1609__" vbProcedure="false">#REF!,#REF!,#REF!,#REF!,#REF!,#REF!,#REF!,#REF!,#REF!,#REF!,#REF!,#REF!,#REF!,#REF!,#REF!</definedName>
    <definedName function="false" hidden="true" name="__APW_RESTORE_DATA160__" vbProcedure="false">#REF!,#REF!,#REF!,#REF!,#REF!,#REF!,#REF!,#REF!,#REF!,#REF!,#REF!,#REF!,#REF!,#REF!,#REF!</definedName>
    <definedName function="false" hidden="true" name="__APW_RESTORE_DATA1610__" vbProcedure="false">#REF!,#REF!,#REF!,#REF!,#REF!,#REF!,#REF!,#REF!,#REF!,#REF!,#REF!,#REF!,#REF!,#REF!,#REF!</definedName>
    <definedName function="false" hidden="true" name="__APW_RESTORE_DATA1611__" vbProcedure="false">#REF!,#REF!,#REF!,#REF!,#REF!,#REF!,#REF!,#REF!,#REF!,#REF!,#REF!,#REF!,#REF!,#REF!,#REF!</definedName>
    <definedName function="false" hidden="true" name="__APW_RESTORE_DATA1612__" vbProcedure="false">#REF!,#REF!,#REF!,#REF!,#REF!,#REF!,#REF!,#REF!,#REF!,#REF!,#REF!,#REF!,#REF!,#REF!,#REF!</definedName>
    <definedName function="false" hidden="true" name="__APW_RESTORE_DATA1613__" vbProcedure="false">#REF!,#REF!,#REF!,#REF!,#REF!,#REF!,#REF!,#REF!,#REF!,#REF!,#REF!,#REF!,#REF!,#REF!,#REF!</definedName>
    <definedName function="false" hidden="true" name="__APW_RESTORE_DATA1614__" vbProcedure="false">#REF!,#REF!,#REF!,#REF!,#REF!,#REF!,#REF!,#REF!,#REF!,#REF!,#REF!,#REF!,#REF!,#REF!,#REF!</definedName>
    <definedName function="false" hidden="true" name="__APW_RESTORE_DATA1615__" vbProcedure="false">#REF!,#REF!,#REF!,#REF!,#REF!,#REF!,#REF!,#REF!,#REF!,#REF!,#REF!,#REF!,#REF!,#REF!,#REF!</definedName>
    <definedName function="false" hidden="true" name="__APW_RESTORE_DATA1616__" vbProcedure="false">#REF!,#REF!,#REF!,#REF!,#REF!,#REF!,#REF!,#REF!,#REF!,#REF!,#REF!,#REF!,#REF!,#REF!,#REF!</definedName>
    <definedName function="false" hidden="true" name="__APW_RESTORE_DATA1617__" vbProcedure="false">#REF!,#REF!,#REF!,#REF!,#REF!,#REF!,#REF!,#REF!,#REF!,#REF!,#REF!,#REF!,#REF!,#REF!,#REF!</definedName>
    <definedName function="false" hidden="true" name="__APW_RESTORE_DATA1618__" vbProcedure="false">#REF!,#REF!,#REF!,#REF!,#REF!,#REF!,#REF!,#REF!,#REF!,#REF!,#REF!,#REF!,#REF!,#REF!,#REF!</definedName>
    <definedName function="false" hidden="true" name="__APW_RESTORE_DATA1619__" vbProcedure="false">#REF!,#REF!,#REF!,#REF!,#REF!,#REF!,#REF!,#REF!,#REF!,#REF!,#REF!,#REF!,#REF!,#REF!,#REF!</definedName>
    <definedName function="false" hidden="true" name="__APW_RESTORE_DATA161__" vbProcedure="false">#REF!,#REF!,#REF!,#REF!,#REF!,#REF!,#REF!,#REF!,#REF!,#REF!,#REF!,#REF!,#REF!,#REF!,#REF!</definedName>
    <definedName function="false" hidden="true" name="__APW_RESTORE_DATA1620__" vbProcedure="false">#REF!,#REF!,#REF!,#REF!,#REF!,#REF!,#REF!,#REF!,#REF!,#REF!,#REF!,#REF!,#REF!,#REF!,#REF!</definedName>
    <definedName function="false" hidden="true" name="__APW_RESTORE_DATA1621__" vbProcedure="false">#REF!,#REF!,#REF!,#REF!,#REF!,#REF!</definedName>
    <definedName function="false" hidden="true" name="__APW_RESTORE_DATA1622__" vbProcedure="false">#REF!,#REF!,#REF!,#REF!,#REF!,#REF!,#REF!,#REF!,#REF!,#REF!,#REF!,#REF!,#REF!,#REF!,#REF!,#REF!</definedName>
    <definedName function="false" hidden="true" name="__APW_RESTORE_DATA1623__" vbProcedure="false">#REF!,#REF!,#REF!,#REF!,#REF!,#REF!,#REF!,#REF!,#REF!,#REF!,#REF!,#REF!,#REF!,#REF!,#REF!,#REF!</definedName>
    <definedName function="false" hidden="true" name="__APW_RESTORE_DATA1624__" vbProcedure="false">#REF!,#REF!,#REF!,#REF!,#REF!,#REF!,#REF!,#REF!,#REF!,#REF!,#REF!,#REF!,#REF!,#REF!,#REF!,#REF!</definedName>
    <definedName function="false" hidden="true" name="__APW_RESTORE_DATA1625__" vbProcedure="false">#REF!,#REF!,#REF!,#REF!,#REF!,#REF!,#REF!,#REF!,#REF!,#REF!,#REF!,#REF!,#REF!,#REF!,#REF!,#REF!</definedName>
    <definedName function="false" hidden="true" name="__APW_RESTORE_DATA1626__" vbProcedure="false">#REF!,#REF!,#REF!,#REF!,#REF!,#REF!,#REF!,#REF!,#REF!,#REF!,#REF!,#REF!,#REF!,#REF!,#REF!,#REF!</definedName>
    <definedName function="false" hidden="true" name="__APW_RESTORE_DATA1627__" vbProcedure="false">#REF!,#REF!,#REF!,#REF!,#REF!,#REF!,#REF!,#REF!,#REF!,#REF!,#REF!,#REF!,#REF!,#REF!,#REF!,#REF!</definedName>
    <definedName function="false" hidden="true" name="__APW_RESTORE_DATA1628__" vbProcedure="false">#REF!,#REF!,#REF!,#REF!,#REF!,#REF!,#REF!,#REF!,#REF!,#REF!,#REF!,#REF!,#REF!,#REF!,#REF!</definedName>
    <definedName function="false" hidden="true" name="__APW_RESTORE_DATA1629__" vbProcedure="false">#REF!,#REF!,#REF!,#REF!,#REF!,#REF!,#REF!,#REF!,#REF!,#REF!,#REF!,#REF!,#REF!,#REF!,#REF!</definedName>
    <definedName function="false" hidden="true" name="__APW_RESTORE_DATA162__" vbProcedure="false">#REF!,#REF!,#REF!,#REF!,#REF!,#REF!,#REF!,#REF!,#REF!,#REF!,#REF!,#REF!,#REF!,#REF!,#REF!</definedName>
    <definedName function="false" hidden="true" name="__APW_RESTORE_DATA1630__" vbProcedure="false">#REF!,#REF!,#REF!,#REF!,#REF!,#REF!,#REF!,#REF!,#REF!,#REF!,#REF!,#REF!,#REF!,#REF!,#REF!</definedName>
    <definedName function="false" hidden="true" name="__APW_RESTORE_DATA1631__" vbProcedure="false">#REF!,#REF!,#REF!,#REF!,#REF!,#REF!,#REF!,#REF!,#REF!,#REF!,#REF!,#REF!,#REF!,#REF!,#REF!</definedName>
    <definedName function="false" hidden="true" name="__APW_RESTORE_DATA1632__" vbProcedure="false">#REF!,#REF!,#REF!,#REF!,#REF!,#REF!,#REF!,#REF!,#REF!,#REF!,#REF!,#REF!,#REF!,#REF!,#REF!</definedName>
    <definedName function="false" hidden="true" name="__APW_RESTORE_DATA1633__" vbProcedure="false">#REF!,#REF!,#REF!,#REF!,#REF!,#REF!,#REF!,#REF!,#REF!,#REF!,#REF!,#REF!,#REF!,#REF!,#REF!</definedName>
    <definedName function="false" hidden="true" name="__APW_RESTORE_DATA1634__" vbProcedure="false">#REF!,#REF!,#REF!,#REF!,#REF!,#REF!,#REF!,#REF!,#REF!,#REF!,#REF!,#REF!,#REF!,#REF!,#REF!</definedName>
    <definedName function="false" hidden="true" name="__APW_RESTORE_DATA1635__" vbProcedure="false">#REF!,#REF!,#REF!,#REF!,#REF!,#REF!,#REF!,#REF!,#REF!,#REF!,#REF!,#REF!,#REF!,#REF!,#REF!</definedName>
    <definedName function="false" hidden="true" name="__APW_RESTORE_DATA1636__" vbProcedure="false">#REF!,#REF!,#REF!,#REF!,#REF!,#REF!,#REF!,#REF!,#REF!,#REF!,#REF!,#REF!,#REF!,#REF!,#REF!</definedName>
    <definedName function="false" hidden="true" name="__APW_RESTORE_DATA1637__" vbProcedure="false">#REF!,#REF!,#REF!,#REF!,#REF!,#REF!,#REF!,#REF!,#REF!,#REF!,#REF!,#REF!,#REF!,#REF!,#REF!</definedName>
    <definedName function="false" hidden="true" name="__APW_RESTORE_DATA1638__" vbProcedure="false">#REF!,#REF!,#REF!,#REF!,#REF!,#REF!,#REF!,#REF!,#REF!,#REF!,#REF!,#REF!,#REF!,#REF!,#REF!</definedName>
    <definedName function="false" hidden="true" name="__APW_RESTORE_DATA1639__" vbProcedure="false">#REF!,#REF!,#REF!,#REF!,#REF!,#REF!,#REF!,#REF!,#REF!,#REF!,#REF!,#REF!,#REF!,#REF!,#REF!</definedName>
    <definedName function="false" hidden="true" name="__APW_RESTORE_DATA163__" vbProcedure="false">#REF!,#REF!,#REF!,#REF!,#REF!,#REF!,#REF!,#REF!,#REF!,#REF!,#REF!,#REF!,#REF!,#REF!,#REF!</definedName>
    <definedName function="false" hidden="true" name="__APW_RESTORE_DATA1640__" vbProcedure="false">#REF!,#REF!,#REF!,#REF!,#REF!,#REF!,#REF!,#REF!,#REF!,#REF!,#REF!,#REF!,#REF!,#REF!,#REF!</definedName>
    <definedName function="false" hidden="true" name="__APW_RESTORE_DATA1641__" vbProcedure="false">#REF!,#REF!,#REF!,#REF!,#REF!,#REF!,#REF!,#REF!,#REF!,#REF!,#REF!,#REF!,#REF!,#REF!,#REF!</definedName>
    <definedName function="false" hidden="true" name="__APW_RESTORE_DATA1642__" vbProcedure="false">#REF!,#REF!,#REF!,#REF!,#REF!,#REF!,#REF!,#REF!,#REF!,#REF!,#REF!,#REF!,#REF!,#REF!,#REF!</definedName>
    <definedName function="false" hidden="true" name="__APW_RESTORE_DATA1643__" vbProcedure="false">#REF!,#REF!,#REF!,#REF!,#REF!,#REF!,#REF!,#REF!,#REF!,#REF!,#REF!,#REF!,#REF!,#REF!,#REF!</definedName>
    <definedName function="false" hidden="true" name="__APW_RESTORE_DATA1644__" vbProcedure="false">#REF!,#REF!,#REF!,#REF!,#REF!,#REF!,#REF!,#REF!,#REF!,#REF!,#REF!,#REF!,#REF!,#REF!,#REF!</definedName>
    <definedName function="false" hidden="true" name="__APW_RESTORE_DATA1645__" vbProcedure="false">#REF!,#REF!,#REF!,#REF!,#REF!,#REF!,#REF!,#REF!,#REF!,#REF!,#REF!,#REF!,#REF!,#REF!,#REF!</definedName>
    <definedName function="false" hidden="true" name="__APW_RESTORE_DATA1646__" vbProcedure="false">#REF!,#REF!,#REF!,#REF!,#REF!,#REF!,#REF!,#REF!,#REF!,#REF!,#REF!,#REF!,#REF!,#REF!,#REF!</definedName>
    <definedName function="false" hidden="true" name="__APW_RESTORE_DATA1647__" vbProcedure="false">#REF!,#REF!,#REF!,#REF!,#REF!,#REF!,#REF!,#REF!,#REF!,#REF!,#REF!,#REF!,#REF!,#REF!,#REF!</definedName>
    <definedName function="false" hidden="true" name="__APW_RESTORE_DATA1648__" vbProcedure="false">#REF!,#REF!,#REF!,#REF!,#REF!,#REF!,#REF!,#REF!,#REF!,#REF!,#REF!,#REF!,#REF!,#REF!,#REF!</definedName>
    <definedName function="false" hidden="true" name="__APW_RESTORE_DATA1649__" vbProcedure="false">#REF!,#REF!,#REF!,#REF!,#REF!,#REF!,#REF!,#REF!,#REF!,#REF!,#REF!,#REF!,#REF!,#REF!,#REF!</definedName>
    <definedName function="false" hidden="true" name="__APW_RESTORE_DATA164__" vbProcedure="false">#REF!,#REF!,#REF!,#REF!,#REF!,#REF!,#REF!,#REF!,#REF!,#REF!,#REF!,#REF!,#REF!,#REF!,#REF!</definedName>
    <definedName function="false" hidden="true" name="__APW_RESTORE_DATA1650__" vbProcedure="false">#REF!,#REF!,#REF!,#REF!,#REF!,#REF!,#REF!,#REF!,#REF!,#REF!,#REF!,#REF!,#REF!,#REF!,#REF!</definedName>
    <definedName function="false" hidden="true" name="__APW_RESTORE_DATA1651__" vbProcedure="false">#REF!,#REF!,#REF!,#REF!,#REF!,#REF!,#REF!,#REF!,#REF!,#REF!,#REF!,#REF!,#REF!,#REF!,#REF!</definedName>
    <definedName function="false" hidden="true" name="__APW_RESTORE_DATA1652__" vbProcedure="false">#REF!,#REF!,#REF!,#REF!,#REF!,#REF!,#REF!,#REF!,#REF!,#REF!,#REF!,#REF!,#REF!,#REF!,#REF!</definedName>
    <definedName function="false" hidden="true" name="__APW_RESTORE_DATA1653__" vbProcedure="false">#REF!,#REF!,#REF!,#REF!,#REF!,#REF!,#REF!,#REF!,#REF!,#REF!,#REF!,#REF!,#REF!,#REF!,#REF!</definedName>
    <definedName function="false" hidden="true" name="__APW_RESTORE_DATA1654__" vbProcedure="false">#REF!,#REF!,#REF!,#REF!,#REF!,#REF!,#REF!,#REF!,#REF!,#REF!,#REF!,#REF!,#REF!,#REF!,#REF!</definedName>
    <definedName function="false" hidden="true" name="__APW_RESTORE_DATA1655__" vbProcedure="false">#REF!,#REF!,#REF!,#REF!,#REF!,#REF!,#REF!,#REF!,#REF!,#REF!,#REF!,#REF!,#REF!,#REF!,#REF!</definedName>
    <definedName function="false" hidden="true" name="__APW_RESTORE_DATA1656__" vbProcedure="false">#REF!,#REF!,#REF!,#REF!,#REF!,#REF!</definedName>
    <definedName function="false" hidden="true" name="__APW_RESTORE_DATA1657__" vbProcedure="false">#REF!,#REF!,#REF!,#REF!,#REF!,#REF!,#REF!,#REF!,#REF!,#REF!,#REF!,#REF!,#REF!,#REF!,#REF!,#REF!</definedName>
    <definedName function="false" hidden="true" name="__APW_RESTORE_DATA1658__" vbProcedure="false">#REF!,#REF!,#REF!,#REF!,#REF!,#REF!,#REF!,#REF!,#REF!,#REF!,#REF!,#REF!,#REF!,#REF!,#REF!,#REF!</definedName>
    <definedName function="false" hidden="true" name="__APW_RESTORE_DATA1659__" vbProcedure="false">#REF!,#REF!,#REF!,#REF!,#REF!,#REF!,#REF!,#REF!,#REF!,#REF!,#REF!,#REF!,#REF!,#REF!,#REF!,#REF!</definedName>
    <definedName function="false" hidden="true" name="__APW_RESTORE_DATA165__" vbProcedure="false">#REF!,#REF!,#REF!,#REF!,#REF!,#REF!,#REF!,#REF!,#REF!,#REF!,#REF!,#REF!,#REF!,#REF!,#REF!</definedName>
    <definedName function="false" hidden="true" name="__APW_RESTORE_DATA1660__" vbProcedure="false">#REF!,#REF!,#REF!,#REF!,#REF!,#REF!,#REF!,#REF!,#REF!,#REF!,#REF!,#REF!,#REF!,#REF!,#REF!,#REF!</definedName>
    <definedName function="false" hidden="true" name="__APW_RESTORE_DATA1661__" vbProcedure="false">#REF!,#REF!,#REF!,#REF!,#REF!,#REF!,#REF!,#REF!,#REF!,#REF!,#REF!,#REF!,#REF!,#REF!,#REF!,#REF!</definedName>
    <definedName function="false" hidden="true" name="__APW_RESTORE_DATA1662__" vbProcedure="false">#REF!,#REF!,#REF!,#REF!,#REF!,#REF!,#REF!,#REF!,#REF!,#REF!,#REF!,#REF!,#REF!,#REF!,#REF!,#REF!</definedName>
    <definedName function="false" hidden="true" name="__APW_RESTORE_DATA1663__" vbProcedure="false">#REF!,#REF!,#REF!,#REF!,#REF!,#REF!,#REF!,#REF!,#REF!,#REF!,#REF!,#REF!,#REF!,#REF!,#REF!</definedName>
    <definedName function="false" hidden="true" name="__APW_RESTORE_DATA1664__" vbProcedure="false">#REF!,#REF!,#REF!,#REF!,#REF!,#REF!,#REF!,#REF!,#REF!,#REF!,#REF!,#REF!,#REF!,#REF!,#REF!</definedName>
    <definedName function="false" hidden="true" name="__APW_RESTORE_DATA1665__" vbProcedure="false">#REF!,#REF!,#REF!,#REF!,#REF!,#REF!,#REF!,#REF!,#REF!,#REF!,#REF!,#REF!,#REF!,#REF!,#REF!</definedName>
    <definedName function="false" hidden="true" name="__APW_RESTORE_DATA1666__" vbProcedure="false">#REF!,#REF!,#REF!,#REF!,#REF!,#REF!,#REF!,#REF!,#REF!,#REF!,#REF!,#REF!,#REF!,#REF!,#REF!</definedName>
    <definedName function="false" hidden="true" name="__APW_RESTORE_DATA1667__" vbProcedure="false">#REF!,#REF!,#REF!,#REF!,#REF!,#REF!,#REF!,#REF!,#REF!,#REF!,#REF!,#REF!,#REF!,#REF!,#REF!</definedName>
    <definedName function="false" hidden="true" name="__APW_RESTORE_DATA1668__" vbProcedure="false">#REF!,#REF!,#REF!,#REF!,#REF!,#REF!,#REF!,#REF!,#REF!,#REF!,#REF!,#REF!,#REF!,#REF!,#REF!</definedName>
    <definedName function="false" hidden="true" name="__APW_RESTORE_DATA1669__" vbProcedure="false">#REF!,#REF!,#REF!,#REF!,#REF!,#REF!,#REF!,#REF!,#REF!,#REF!,#REF!,#REF!,#REF!,#REF!,#REF!</definedName>
    <definedName function="false" hidden="true" name="__APW_RESTORE_DATA166__" vbProcedure="false">#REF!,#REF!,#REF!,#REF!,#REF!,#REF!,#REF!,#REF!,#REF!,#REF!,#REF!,#REF!,#REF!,#REF!,#REF!</definedName>
    <definedName function="false" hidden="true" name="__APW_RESTORE_DATA1670__" vbProcedure="false">#REF!,#REF!,#REF!,#REF!,#REF!,#REF!,#REF!,#REF!,#REF!,#REF!,#REF!,#REF!,#REF!,#REF!,#REF!</definedName>
    <definedName function="false" hidden="true" name="__APW_RESTORE_DATA1671__" vbProcedure="false">#REF!,#REF!,#REF!,#REF!,#REF!,#REF!,#REF!,#REF!,#REF!,#REF!,#REF!,#REF!,#REF!,#REF!,#REF!</definedName>
    <definedName function="false" hidden="true" name="__APW_RESTORE_DATA1672__" vbProcedure="false">#REF!,#REF!,#REF!,#REF!,#REF!,#REF!,#REF!,#REF!,#REF!,#REF!,#REF!,#REF!,#REF!,#REF!,#REF!</definedName>
    <definedName function="false" hidden="true" name="__APW_RESTORE_DATA1673__" vbProcedure="false">#REF!,#REF!,#REF!,#REF!,#REF!,#REF!,#REF!,#REF!,#REF!,#REF!,#REF!,#REF!,#REF!,#REF!,#REF!</definedName>
    <definedName function="false" hidden="true" name="__APW_RESTORE_DATA1674__" vbProcedure="false">#REF!,#REF!,#REF!,#REF!,#REF!,#REF!,#REF!,#REF!,#REF!,#REF!,#REF!,#REF!,#REF!,#REF!,#REF!</definedName>
    <definedName function="false" hidden="true" name="__APW_RESTORE_DATA1675__" vbProcedure="false">#REF!,#REF!,#REF!,#REF!,#REF!,#REF!,#REF!,#REF!,#REF!,#REF!,#REF!,#REF!,#REF!,#REF!,#REF!</definedName>
    <definedName function="false" hidden="true" name="__APW_RESTORE_DATA1676__" vbProcedure="false">#REF!,#REF!,#REF!,#REF!,#REF!,#REF!,#REF!,#REF!,#REF!,#REF!,#REF!,#REF!,#REF!,#REF!,#REF!</definedName>
    <definedName function="false" hidden="true" name="__APW_RESTORE_DATA1677__" vbProcedure="false">#REF!,#REF!,#REF!,#REF!,#REF!,#REF!,#REF!,#REF!,#REF!,#REF!,#REF!,#REF!,#REF!,#REF!,#REF!</definedName>
    <definedName function="false" hidden="true" name="__APW_RESTORE_DATA1678__" vbProcedure="false">#REF!,#REF!,#REF!,#REF!,#REF!,#REF!,#REF!,#REF!,#REF!,#REF!,#REF!,#REF!,#REF!,#REF!,#REF!</definedName>
    <definedName function="false" hidden="true" name="__APW_RESTORE_DATA1679__" vbProcedure="false">#REF!,#REF!,#REF!,#REF!,#REF!,#REF!,#REF!,#REF!,#REF!,#REF!,#REF!,#REF!,#REF!,#REF!,#REF!</definedName>
    <definedName function="false" hidden="true" name="__APW_RESTORE_DATA167__" vbProcedure="false">#REF!,#REF!,#REF!,#REF!,#REF!,#REF!,#REF!,#REF!,#REF!,#REF!,#REF!,#REF!,#REF!,#REF!,#REF!</definedName>
    <definedName function="false" hidden="true" name="__APW_RESTORE_DATA1680__" vbProcedure="false">#REF!,#REF!,#REF!,#REF!,#REF!,#REF!,#REF!,#REF!,#REF!,#REF!,#REF!,#REF!,#REF!,#REF!,#REF!</definedName>
    <definedName function="false" hidden="true" name="__APW_RESTORE_DATA1681__" vbProcedure="false">#REF!,#REF!,#REF!,#REF!,#REF!,#REF!,#REF!,#REF!,#REF!,#REF!,#REF!,#REF!,#REF!,#REF!,#REF!</definedName>
    <definedName function="false" hidden="true" name="__APW_RESTORE_DATA1682__" vbProcedure="false">#REF!,#REF!,#REF!,#REF!,#REF!,#REF!,#REF!,#REF!,#REF!,#REF!,#REF!,#REF!,#REF!,#REF!,#REF!</definedName>
    <definedName function="false" hidden="true" name="__APW_RESTORE_DATA1683__" vbProcedure="false">#REF!,#REF!,#REF!,#REF!,#REF!,#REF!,#REF!,#REF!,#REF!,#REF!,#REF!,#REF!,#REF!,#REF!,#REF!</definedName>
    <definedName function="false" hidden="true" name="__APW_RESTORE_DATA1684__" vbProcedure="false">#REF!,#REF!,#REF!,#REF!,#REF!,#REF!,#REF!,#REF!,#REF!,#REF!,#REF!,#REF!,#REF!,#REF!,#REF!</definedName>
    <definedName function="false" hidden="true" name="__APW_RESTORE_DATA1685__" vbProcedure="false">#REF!,#REF!,#REF!,#REF!,#REF!,#REF!,#REF!,#REF!,#REF!,#REF!,#REF!,#REF!,#REF!,#REF!,#REF!</definedName>
    <definedName function="false" hidden="true" name="__APW_RESTORE_DATA1686__" vbProcedure="false">#REF!,#REF!,#REF!,#REF!,#REF!,#REF!,#REF!,#REF!,#REF!,#REF!,#REF!,#REF!,#REF!,#REF!,#REF!</definedName>
    <definedName function="false" hidden="true" name="__APW_RESTORE_DATA1687__" vbProcedure="false">#REF!,#REF!,#REF!,#REF!,#REF!,#REF!,#REF!,#REF!,#REF!,#REF!,#REF!,#REF!,#REF!,#REF!,#REF!</definedName>
    <definedName function="false" hidden="true" name="__APW_RESTORE_DATA1688__" vbProcedure="false">#REF!,#REF!,#REF!,#REF!,#REF!,#REF!,#REF!,#REF!,#REF!,#REF!,#REF!,#REF!,#REF!,#REF!,#REF!</definedName>
    <definedName function="false" hidden="true" name="__APW_RESTORE_DATA1689__" vbProcedure="false">#REF!,#REF!,#REF!,#REF!,#REF!,#REF!,#REF!,#REF!,#REF!,#REF!,#REF!,#REF!,#REF!,#REF!,#REF!</definedName>
    <definedName function="false" hidden="true" name="__APW_RESTORE_DATA168__" vbProcedure="false">#REF!,#REF!</definedName>
    <definedName function="false" hidden="true" name="__APW_RESTORE_DATA1690__" vbProcedure="false">#REF!,#REF!,#REF!,#REF!,#REF!,#REF!,#REF!,#REF!,#REF!,#REF!,#REF!,#REF!,#REF!,#REF!,#REF!</definedName>
    <definedName function="false" hidden="true" name="__APW_RESTORE_DATA1691__" vbProcedure="false">#REF!,#REF!,#REF!,#REF!,#REF!,#REF!</definedName>
    <definedName function="false" hidden="true" name="__APW_RESTORE_DATA1692__" vbProcedure="false">#REF!,#REF!,#REF!,#REF!,#REF!,#REF!,#REF!,#REF!,#REF!,#REF!,#REF!,#REF!,#REF!,#REF!,#REF!,#REF!</definedName>
    <definedName function="false" hidden="true" name="__APW_RESTORE_DATA1693__" vbProcedure="false">#REF!,#REF!,#REF!,#REF!,#REF!,#REF!,#REF!,#REF!,#REF!,#REF!,#REF!,#REF!,#REF!,#REF!,#REF!,#REF!</definedName>
    <definedName function="false" hidden="true" name="__APW_RESTORE_DATA1694__" vbProcedure="false">#REF!,#REF!,#REF!,#REF!,#REF!,#REF!,#REF!,#REF!,#REF!,#REF!,#REF!,#REF!,#REF!,#REF!,#REF!,#REF!</definedName>
    <definedName function="false" hidden="true" name="__APW_RESTORE_DATA1695__" vbProcedure="false">#REF!,#REF!,#REF!,#REF!,#REF!,#REF!,#REF!,#REF!,#REF!,#REF!,#REF!,#REF!,#REF!,#REF!,#REF!,#REF!</definedName>
    <definedName function="false" hidden="true" name="__APW_RESTORE_DATA1696__" vbProcedure="false">#REF!,#REF!,#REF!,#REF!,#REF!,#REF!,#REF!,#REF!,#REF!,#REF!,#REF!,#REF!,#REF!,#REF!,#REF!,#REF!</definedName>
    <definedName function="false" hidden="true" name="__APW_RESTORE_DATA1697__" vbProcedure="false">#REF!,#REF!,#REF!,#REF!,#REF!,#REF!,#REF!,#REF!,#REF!,#REF!,#REF!,#REF!,#REF!,#REF!,#REF!,#REF!</definedName>
    <definedName function="false" hidden="true" name="__APW_RESTORE_DATA1698__" vbProcedure="false">#REF!,#REF!,#REF!,#REF!,#REF!,#REF!,#REF!,#REF!,#REF!,#REF!,#REF!,#REF!,#REF!,#REF!,#REF!</definedName>
    <definedName function="false" hidden="true" name="__APW_RESTORE_DATA1699__" vbProcedure="false">#REF!,#REF!,#REF!,#REF!,#REF!,#REF!,#REF!,#REF!,#REF!,#REF!,#REF!,#REF!,#REF!,#REF!,#REF!</definedName>
    <definedName function="false" hidden="true" name="__APW_RESTORE_DATA169__" vbProcedure="false">#REF!,#REF!,#REF!,#REF!,#REF!,#REF!,#REF!,#REF!,#REF!,#REF!,#REF!,#REF!,#REF!,#REF!,#REF!</definedName>
    <definedName function="false" hidden="true" name="__APW_RESTORE_DATA16__" vbProcedure="false">#REF!,#REF!,#REF!,#REF!,#REF!,#REF!,#REF!,#REF!,#REF!,#REF!,#REF!,#REF!,#REF!,#REF!,#REF!,#REF!</definedName>
    <definedName function="false" hidden="true" name="__APW_RESTORE_DATA1700__" vbProcedure="false">#REF!,#REF!,#REF!,#REF!,#REF!,#REF!,#REF!,#REF!,#REF!,#REF!,#REF!,#REF!,#REF!,#REF!,#REF!</definedName>
    <definedName function="false" hidden="true" name="__APW_RESTORE_DATA1701__" vbProcedure="false">#REF!,#REF!,#REF!,#REF!,#REF!,#REF!,#REF!,#REF!,#REF!,#REF!,#REF!,#REF!,#REF!,#REF!,#REF!</definedName>
    <definedName function="false" hidden="true" name="__APW_RESTORE_DATA1702__" vbProcedure="false">#REF!,#REF!,#REF!,#REF!,#REF!,#REF!,#REF!,#REF!,#REF!,#REF!,#REF!,#REF!,#REF!,#REF!,#REF!</definedName>
    <definedName function="false" hidden="true" name="__APW_RESTORE_DATA1703__" vbProcedure="false">#REF!,#REF!,#REF!,#REF!,#REF!,#REF!,#REF!,#REF!,#REF!,#REF!,#REF!,#REF!,#REF!,#REF!,#REF!</definedName>
    <definedName function="false" hidden="true" name="__APW_RESTORE_DATA1704__" vbProcedure="false">#REF!,#REF!,#REF!,#REF!,#REF!,#REF!,#REF!,#REF!,#REF!,#REF!,#REF!,#REF!,#REF!,#REF!,#REF!</definedName>
    <definedName function="false" hidden="true" name="__APW_RESTORE_DATA1705__" vbProcedure="false">#REF!,#REF!,#REF!,#REF!,#REF!,#REF!,#REF!,#REF!,#REF!,#REF!,#REF!,#REF!,#REF!,#REF!,#REF!</definedName>
    <definedName function="false" hidden="true" name="__APW_RESTORE_DATA1706__" vbProcedure="false">#REF!,#REF!,#REF!,#REF!,#REF!,#REF!,#REF!,#REF!,#REF!,#REF!,#REF!,#REF!,#REF!,#REF!,#REF!</definedName>
    <definedName function="false" hidden="true" name="__APW_RESTORE_DATA1707__" vbProcedure="false">#REF!,#REF!,#REF!,#REF!,#REF!,#REF!,#REF!,#REF!,#REF!,#REF!,#REF!,#REF!,#REF!,#REF!,#REF!</definedName>
    <definedName function="false" hidden="true" name="__APW_RESTORE_DATA1708__" vbProcedure="false">#REF!,#REF!,#REF!,#REF!,#REF!,#REF!,#REF!,#REF!,#REF!,#REF!,#REF!,#REF!,#REF!,#REF!,#REF!</definedName>
    <definedName function="false" hidden="true" name="__APW_RESTORE_DATA1709__" vbProcedure="false">#REF!,#REF!,#REF!,#REF!,#REF!,#REF!,#REF!,#REF!,#REF!,#REF!,#REF!,#REF!,#REF!,#REF!,#REF!</definedName>
    <definedName function="false" hidden="true" name="__APW_RESTORE_DATA170__" vbProcedure="false">#REF!,#REF!,#REF!,#REF!,#REF!,#REF!,#REF!,#REF!,#REF!,#REF!,#REF!,#REF!,#REF!,#REF!,#REF!</definedName>
    <definedName function="false" hidden="true" name="__APW_RESTORE_DATA1710__" vbProcedure="false">#REF!,#REF!,#REF!,#REF!,#REF!,#REF!,#REF!,#REF!,#REF!,#REF!,#REF!,#REF!,#REF!,#REF!,#REF!</definedName>
    <definedName function="false" hidden="true" name="__APW_RESTORE_DATA1711__" vbProcedure="false">#REF!,#REF!,#REF!,#REF!,#REF!,#REF!,#REF!,#REF!,#REF!,#REF!,#REF!,#REF!,#REF!,#REF!,#REF!</definedName>
    <definedName function="false" hidden="true" name="__APW_RESTORE_DATA1712__" vbProcedure="false">#REF!,#REF!,#REF!,#REF!,#REF!,#REF!,#REF!,#REF!,#REF!,#REF!,#REF!,#REF!,#REF!,#REF!,#REF!</definedName>
    <definedName function="false" hidden="true" name="__APW_RESTORE_DATA1713__" vbProcedure="false">#REF!,#REF!,#REF!,#REF!,#REF!,#REF!,#REF!,#REF!,#REF!,#REF!,#REF!,#REF!,#REF!,#REF!,#REF!</definedName>
    <definedName function="false" hidden="true" name="__APW_RESTORE_DATA1714__" vbProcedure="false">#REF!,#REF!,#REF!,#REF!,#REF!,#REF!,#REF!,#REF!,#REF!,#REF!,#REF!,#REF!,#REF!,#REF!,#REF!</definedName>
    <definedName function="false" hidden="true" name="__APW_RESTORE_DATA1715__" vbProcedure="false">#REF!,#REF!,#REF!,#REF!,#REF!,#REF!,#REF!,#REF!,#REF!,#REF!,#REF!,#REF!,#REF!,#REF!,#REF!</definedName>
    <definedName function="false" hidden="true" name="__APW_RESTORE_DATA1716__" vbProcedure="false">#REF!,#REF!,#REF!,#REF!,#REF!,#REF!,#REF!,#REF!,#REF!,#REF!,#REF!,#REF!,#REF!,#REF!,#REF!</definedName>
    <definedName function="false" hidden="true" name="__APW_RESTORE_DATA1717__" vbProcedure="false">#REF!,#REF!,#REF!,#REF!,#REF!,#REF!,#REF!,#REF!,#REF!,#REF!,#REF!,#REF!,#REF!,#REF!,#REF!</definedName>
    <definedName function="false" hidden="true" name="__APW_RESTORE_DATA1718__" vbProcedure="false">#REF!,#REF!,#REF!,#REF!,#REF!,#REF!,#REF!,#REF!,#REF!,#REF!,#REF!,#REF!,#REF!,#REF!,#REF!</definedName>
    <definedName function="false" hidden="true" name="__APW_RESTORE_DATA1719__" vbProcedure="false">#REF!,#REF!,#REF!,#REF!,#REF!,#REF!,#REF!,#REF!,#REF!,#REF!,#REF!,#REF!,#REF!,#REF!,#REF!</definedName>
    <definedName function="false" hidden="true" name="__APW_RESTORE_DATA171__" vbProcedure="false">#REF!,#REF!,#REF!,#REF!,#REF!,#REF!,#REF!,#REF!,#REF!,#REF!,#REF!,#REF!,#REF!,#REF!,#REF!</definedName>
    <definedName function="false" hidden="true" name="__APW_RESTORE_DATA1720__" vbProcedure="false">#REF!,#REF!,#REF!,#REF!,#REF!,#REF!,#REF!,#REF!,#REF!,#REF!,#REF!,#REF!,#REF!,#REF!,#REF!</definedName>
    <definedName function="false" hidden="true" name="__APW_RESTORE_DATA1721__" vbProcedure="false">#REF!,#REF!,#REF!,#REF!,#REF!,#REF!,#REF!,#REF!,#REF!,#REF!,#REF!,#REF!,#REF!,#REF!,#REF!</definedName>
    <definedName function="false" hidden="true" name="__APW_RESTORE_DATA1722__" vbProcedure="false">#REF!,#REF!,#REF!,#REF!,#REF!,#REF!,#REF!,#REF!,#REF!,#REF!,#REF!,#REF!,#REF!,#REF!,#REF!</definedName>
    <definedName function="false" hidden="true" name="__APW_RESTORE_DATA1723__" vbProcedure="false">#REF!,#REF!,#REF!,#REF!,#REF!,#REF!,#REF!,#REF!,#REF!,#REF!,#REF!,#REF!,#REF!,#REF!,#REF!</definedName>
    <definedName function="false" hidden="true" name="__APW_RESTORE_DATA1724__" vbProcedure="false">#REF!,#REF!,#REF!,#REF!,#REF!,#REF!,#REF!,#REF!,#REF!,#REF!,#REF!,#REF!,#REF!,#REF!,#REF!</definedName>
    <definedName function="false" hidden="true" name="__APW_RESTORE_DATA1725__" vbProcedure="false">#REF!,#REF!,#REF!,#REF!,#REF!,#REF!,#REF!,#REF!,#REF!,#REF!,#REF!,#REF!,#REF!,#REF!,#REF!</definedName>
    <definedName function="false" hidden="true" name="__APW_RESTORE_DATA1726__" vbProcedure="false">#REF!,#REF!,#REF!,#REF!,#REF!,#REF!</definedName>
    <definedName function="false" hidden="true" name="__APW_RESTORE_DATA1727__" vbProcedure="false">#REF!</definedName>
    <definedName function="false" hidden="true" name="__APW_RESTORE_DATA1728__" vbProcedure="false">#REF!</definedName>
    <definedName function="false" hidden="true" name="__APW_RESTORE_DATA172__" vbProcedure="false">#REF!,#REF!,#REF!,#REF!,#REF!,#REF!,#REF!,#REF!,#REF!,#REF!,#REF!,#REF!,#REF!,#REF!,#REF!</definedName>
    <definedName function="false" hidden="true" name="__APW_RESTORE_DATA1730__" vbProcedure="false">#REF!</definedName>
    <definedName function="false" hidden="true" name="__APW_RESTORE_DATA1731__" vbProcedure="false">#REF!,#REF!,#REF!,#REF!,#REF!,#REF!,#REF!,#REF!,#REF!,#REF!,#REF!,#REF!,#REF!,#REF!,#REF!,#REF!</definedName>
    <definedName function="false" hidden="true" name="__APW_RESTORE_DATA1732__" vbProcedure="false">#REF!,#REF!,#REF!,#REF!,#REF!,#REF!,#REF!,#REF!,#REF!,#REF!,#REF!,#REF!,#REF!,#REF!,#REF!,#REF!</definedName>
    <definedName function="false" hidden="true" name="__APW_RESTORE_DATA1733__" vbProcedure="false">#REF!,#REF!,#REF!,#REF!,#REF!,#REF!,#REF!,#REF!,#REF!,#REF!,#REF!,#REF!,#REF!,#REF!,#REF!,#REF!</definedName>
    <definedName function="false" hidden="true" name="__APW_RESTORE_DATA1734__" vbProcedure="false">#REF!,#REF!,#REF!,#REF!,#REF!,#REF!,#REF!,#REF!,#REF!,#REF!,#REF!,#REF!,#REF!,#REF!,#REF!,#REF!</definedName>
    <definedName function="false" hidden="true" name="__APW_RESTORE_DATA1735__" vbProcedure="false">#REF!,#REF!,#REF!,#REF!,#REF!,#REF!,#REF!,#REF!,#REF!,#REF!,#REF!,#REF!,#REF!,#REF!,#REF!,#REF!</definedName>
    <definedName function="false" hidden="true" name="__APW_RESTORE_DATA1736__" vbProcedure="false">#REF!,#REF!,#REF!,#REF!,#REF!,#REF!,#REF!,#REF!,#REF!,#REF!,#REF!,#REF!,#REF!,#REF!,#REF!,#REF!</definedName>
    <definedName function="false" hidden="true" name="__APW_RESTORE_DATA1737__" vbProcedure="false">#REF!,#REF!,#REF!,#REF!,#REF!,#REF!,#REF!,#REF!,#REF!,#REF!,#REF!,#REF!,#REF!,#REF!,#REF!</definedName>
    <definedName function="false" hidden="true" name="__APW_RESTORE_DATA1738__" vbProcedure="false">#REF!,#REF!,#REF!,#REF!,#REF!,#REF!,#REF!,#REF!,#REF!,#REF!,#REF!,#REF!,#REF!,#REF!,#REF!</definedName>
    <definedName function="false" hidden="true" name="__APW_RESTORE_DATA1739__" vbProcedure="false">#REF!,#REF!,#REF!,#REF!,#REF!,#REF!,#REF!,#REF!,#REF!,#REF!,#REF!,#REF!,#REF!,#REF!,#REF!</definedName>
    <definedName function="false" hidden="true" name="__APW_RESTORE_DATA173__" vbProcedure="false">#REF!,#REF!</definedName>
    <definedName function="false" hidden="true" name="__APW_RESTORE_DATA1740__" vbProcedure="false">#REF!,#REF!,#REF!,#REF!,#REF!,#REF!,#REF!,#REF!,#REF!,#REF!,#REF!,#REF!,#REF!,#REF!,#REF!</definedName>
    <definedName function="false" hidden="true" name="__APW_RESTORE_DATA1741__" vbProcedure="false">#REF!,#REF!,#REF!,#REF!,#REF!,#REF!,#REF!,#REF!,#REF!,#REF!,#REF!,#REF!,#REF!,#REF!,#REF!</definedName>
    <definedName function="false" hidden="true" name="__APW_RESTORE_DATA1742__" vbProcedure="false">#REF!,#REF!,#REF!,#REF!,#REF!,#REF!,#REF!,#REF!,#REF!,#REF!,#REF!,#REF!,#REF!,#REF!,#REF!</definedName>
    <definedName function="false" hidden="true" name="__APW_RESTORE_DATA1743__" vbProcedure="false">#REF!,#REF!,#REF!,#REF!,#REF!,#REF!,#REF!,#REF!,#REF!,#REF!,#REF!,#REF!,#REF!,#REF!,#REF!</definedName>
    <definedName function="false" hidden="true" name="__APW_RESTORE_DATA1744__" vbProcedure="false">#REF!,#REF!,#REF!,#REF!,#REF!,#REF!,#REF!,#REF!,#REF!,#REF!,#REF!,#REF!,#REF!,#REF!,#REF!</definedName>
    <definedName function="false" hidden="true" name="__APW_RESTORE_DATA1745__" vbProcedure="false">#REF!,#REF!,#REF!,#REF!,#REF!,#REF!,#REF!,#REF!,#REF!,#REF!,#REF!,#REF!,#REF!,#REF!,#REF!</definedName>
    <definedName function="false" hidden="true" name="__APW_RESTORE_DATA1746__" vbProcedure="false">#REF!,#REF!,#REF!,#REF!,#REF!,#REF!,#REF!,#REF!,#REF!,#REF!,#REF!,#REF!,#REF!,#REF!,#REF!</definedName>
    <definedName function="false" hidden="true" name="__APW_RESTORE_DATA1747__" vbProcedure="false">#REF!,#REF!,#REF!,#REF!,#REF!,#REF!,#REF!,#REF!,#REF!,#REF!,#REF!,#REF!,#REF!,#REF!,#REF!</definedName>
    <definedName function="false" hidden="true" name="__APW_RESTORE_DATA1748__" vbProcedure="false">#REF!,#REF!,#REF!,#REF!,#REF!,#REF!,#REF!,#REF!,#REF!,#REF!,#REF!,#REF!,#REF!,#REF!,#REF!</definedName>
    <definedName function="false" hidden="true" name="__APW_RESTORE_DATA1749__" vbProcedure="false">#REF!,#REF!,#REF!,#REF!,#REF!,#REF!,#REF!,#REF!,#REF!,#REF!,#REF!,#REF!,#REF!,#REF!,#REF!</definedName>
    <definedName function="false" hidden="true" name="__APW_RESTORE_DATA174__" vbProcedure="false">#REF!,#REF!,#REF!,#REF!,#REF!,#REF!,#REF!,#REF!,#REF!,#REF!,#REF!,#REF!,#REF!,#REF!,#REF!</definedName>
    <definedName function="false" hidden="true" name="__APW_RESTORE_DATA1750__" vbProcedure="false">#REF!,#REF!,#REF!,#REF!,#REF!,#REF!,#REF!,#REF!,#REF!,#REF!,#REF!,#REF!,#REF!,#REF!,#REF!</definedName>
    <definedName function="false" hidden="true" name="__APW_RESTORE_DATA1751__" vbProcedure="false">#REF!,#REF!,#REF!,#REF!,#REF!,#REF!,#REF!,#REF!,#REF!,#REF!,#REF!,#REF!,#REF!,#REF!,#REF!</definedName>
    <definedName function="false" hidden="true" name="__APW_RESTORE_DATA1752__" vbProcedure="false">#REF!,#REF!,#REF!,#REF!,#REF!,#REF!,#REF!,#REF!,#REF!,#REF!,#REF!,#REF!,#REF!,#REF!,#REF!</definedName>
    <definedName function="false" hidden="true" name="__APW_RESTORE_DATA1753__" vbProcedure="false">#REF!,#REF!,#REF!,#REF!,#REF!,#REF!,#REF!,#REF!,#REF!,#REF!,#REF!,#REF!,#REF!,#REF!,#REF!</definedName>
    <definedName function="false" hidden="true" name="__APW_RESTORE_DATA1754__" vbProcedure="false">#REF!,#REF!,#REF!,#REF!,#REF!,#REF!,#REF!,#REF!,#REF!,#REF!,#REF!,#REF!,#REF!,#REF!,#REF!</definedName>
    <definedName function="false" hidden="true" name="__APW_RESTORE_DATA1755__" vbProcedure="false">#REF!,#REF!,#REF!,#REF!,#REF!,#REF!,#REF!,#REF!,#REF!,#REF!,#REF!,#REF!,#REF!,#REF!,#REF!</definedName>
    <definedName function="false" hidden="true" name="__APW_RESTORE_DATA1756__" vbProcedure="false">#REF!,#REF!,#REF!,#REF!,#REF!,#REF!,#REF!,#REF!,#REF!,#REF!,#REF!,#REF!,#REF!,#REF!,#REF!</definedName>
    <definedName function="false" hidden="true" name="__APW_RESTORE_DATA1757__" vbProcedure="false">#REF!,#REF!,#REF!,#REF!,#REF!,#REF!,#REF!,#REF!,#REF!,#REF!,#REF!,#REF!,#REF!,#REF!,#REF!</definedName>
    <definedName function="false" hidden="true" name="__APW_RESTORE_DATA1758__" vbProcedure="false">#REF!,#REF!,#REF!,#REF!,#REF!,#REF!,#REF!,#REF!,#REF!,#REF!,#REF!,#REF!,#REF!,#REF!,#REF!</definedName>
    <definedName function="false" hidden="true" name="__APW_RESTORE_DATA1759__" vbProcedure="false">#REF!,#REF!,#REF!,#REF!,#REF!,#REF!,#REF!,#REF!,#REF!,#REF!,#REF!,#REF!,#REF!,#REF!,#REF!</definedName>
    <definedName function="false" hidden="true" name="__APW_RESTORE_DATA175__" vbProcedure="false">#REF!,#REF!,#REF!,#REF!,#REF!,#REF!,#REF!,#REF!,#REF!,#REF!,#REF!,#REF!,#REF!,#REF!,#REF!</definedName>
    <definedName function="false" hidden="true" name="__APW_RESTORE_DATA1760__" vbProcedure="false">#REF!,#REF!,#REF!,#REF!,#REF!,#REF!,#REF!,#REF!,#REF!,#REF!,#REF!,#REF!,#REF!,#REF!,#REF!</definedName>
    <definedName function="false" hidden="true" name="__APW_RESTORE_DATA1761__" vbProcedure="false">#REF!,#REF!,#REF!,#REF!,#REF!,#REF!,#REF!,#REF!,#REF!,#REF!,#REF!,#REF!,#REF!,#REF!,#REF!</definedName>
    <definedName function="false" hidden="true" name="__APW_RESTORE_DATA1762__" vbProcedure="false">#REF!,#REF!,#REF!,#REF!,#REF!,#REF!,#REF!,#REF!,#REF!,#REF!,#REF!,#REF!,#REF!,#REF!,#REF!</definedName>
    <definedName function="false" hidden="true" name="__APW_RESTORE_DATA1763__" vbProcedure="false">#REF!,#REF!,#REF!,#REF!,#REF!,#REF!,#REF!,#REF!,#REF!,#REF!,#REF!,#REF!,#REF!,#REF!,#REF!</definedName>
    <definedName function="false" hidden="true" name="__APW_RESTORE_DATA1764__" vbProcedure="false">#REF!,#REF!,#REF!,#REF!,#REF!,#REF!,#REF!,#REF!,#REF!,#REF!,#REF!,#REF!,#REF!,#REF!,#REF!</definedName>
    <definedName function="false" hidden="true" name="__APW_RESTORE_DATA1765__" vbProcedure="false">#REF!,#REF!,#REF!,#REF!,#REF!,#REF!</definedName>
    <definedName function="false" hidden="true" name="__APW_RESTORE_DATA1766__" vbProcedure="false">#REF!,#REF!,#REF!,#REF!,#REF!,#REF!,#REF!,#REF!,#REF!,#REF!,#REF!,#REF!,#REF!,#REF!,#REF!,#REF!</definedName>
    <definedName function="false" hidden="true" name="__APW_RESTORE_DATA1767__" vbProcedure="false">#REF!,#REF!,#REF!,#REF!,#REF!,#REF!,#REF!,#REF!,#REF!,#REF!,#REF!,#REF!,#REF!,#REF!,#REF!,#REF!</definedName>
    <definedName function="false" hidden="true" name="__APW_RESTORE_DATA1768__" vbProcedure="false">#REF!,#REF!,#REF!,#REF!,#REF!,#REF!,#REF!,#REF!,#REF!,#REF!,#REF!,#REF!,#REF!,#REF!,#REF!,#REF!</definedName>
    <definedName function="false" hidden="true" name="__APW_RESTORE_DATA1769__" vbProcedure="false">#REF!,#REF!,#REF!,#REF!,#REF!,#REF!,#REF!,#REF!,#REF!,#REF!,#REF!,#REF!,#REF!,#REF!,#REF!,#REF!</definedName>
    <definedName function="false" hidden="true" name="__APW_RESTORE_DATA176__" vbProcedure="false">#REF!,#REF!,#REF!,#REF!,#REF!,#REF!,#REF!,#REF!,#REF!,#REF!,#REF!,#REF!,#REF!,#REF!,#REF!</definedName>
    <definedName function="false" hidden="true" name="__APW_RESTORE_DATA1770__" vbProcedure="false">#REF!,#REF!,#REF!,#REF!,#REF!,#REF!,#REF!,#REF!,#REF!,#REF!,#REF!,#REF!,#REF!,#REF!,#REF!,#REF!</definedName>
    <definedName function="false" hidden="true" name="__APW_RESTORE_DATA1771__" vbProcedure="false">#REF!,#REF!,#REF!,#REF!,#REF!,#REF!,#REF!,#REF!,#REF!,#REF!,#REF!,#REF!,#REF!,#REF!,#REF!,#REF!</definedName>
    <definedName function="false" hidden="true" name="__APW_RESTORE_DATA1772__" vbProcedure="false">#REF!,#REF!,#REF!,#REF!,#REF!,#REF!,#REF!,#REF!,#REF!,#REF!,#REF!,#REF!,#REF!,#REF!,#REF!</definedName>
    <definedName function="false" hidden="true" name="__APW_RESTORE_DATA1773__" vbProcedure="false">#REF!,#REF!,#REF!,#REF!,#REF!,#REF!,#REF!,#REF!,#REF!,#REF!,#REF!,#REF!,#REF!,#REF!,#REF!</definedName>
    <definedName function="false" hidden="true" name="__APW_RESTORE_DATA1774__" vbProcedure="false">#REF!,#REF!,#REF!,#REF!,#REF!,#REF!,#REF!,#REF!,#REF!,#REF!,#REF!,#REF!,#REF!,#REF!,#REF!</definedName>
    <definedName function="false" hidden="true" name="__APW_RESTORE_DATA1775__" vbProcedure="false">#REF!,#REF!,#REF!,#REF!,#REF!,#REF!,#REF!,#REF!,#REF!,#REF!,#REF!,#REF!,#REF!,#REF!,#REF!</definedName>
    <definedName function="false" hidden="true" name="__APW_RESTORE_DATA1776__" vbProcedure="false">#REF!,#REF!,#REF!,#REF!,#REF!,#REF!,#REF!,#REF!,#REF!,#REF!,#REF!,#REF!,#REF!,#REF!,#REF!</definedName>
    <definedName function="false" hidden="true" name="__APW_RESTORE_DATA1777__" vbProcedure="false">#REF!,#REF!,#REF!,#REF!,#REF!,#REF!,#REF!,#REF!,#REF!,#REF!,#REF!,#REF!,#REF!,#REF!,#REF!</definedName>
    <definedName function="false" hidden="true" name="__APW_RESTORE_DATA1778__" vbProcedure="false">#REF!,#REF!,#REF!,#REF!,#REF!,#REF!,#REF!,#REF!,#REF!,#REF!,#REF!,#REF!,#REF!,#REF!,#REF!</definedName>
    <definedName function="false" hidden="true" name="__APW_RESTORE_DATA1779__" vbProcedure="false">#REF!,#REF!,#REF!,#REF!,#REF!,#REF!,#REF!,#REF!,#REF!,#REF!,#REF!,#REF!,#REF!,#REF!,#REF!</definedName>
    <definedName function="false" hidden="true" name="__APW_RESTORE_DATA177__" vbProcedure="false">#REF!,#REF!,#REF!,#REF!,#REF!,#REF!,#REF!,#REF!,#REF!,#REF!,#REF!,#REF!,#REF!,#REF!,#REF!</definedName>
    <definedName function="false" hidden="true" name="__APW_RESTORE_DATA1780__" vbProcedure="false">#REF!,#REF!,#REF!,#REF!,#REF!,#REF!,#REF!,#REF!,#REF!,#REF!,#REF!,#REF!,#REF!,#REF!,#REF!</definedName>
    <definedName function="false" hidden="true" name="__APW_RESTORE_DATA1781__" vbProcedure="false">#REF!,#REF!,#REF!,#REF!,#REF!,#REF!,#REF!,#REF!,#REF!,#REF!,#REF!,#REF!,#REF!,#REF!,#REF!</definedName>
    <definedName function="false" hidden="true" name="__APW_RESTORE_DATA1782__" vbProcedure="false">#REF!,#REF!,#REF!,#REF!,#REF!,#REF!,#REF!,#REF!,#REF!,#REF!,#REF!,#REF!,#REF!,#REF!,#REF!</definedName>
    <definedName function="false" hidden="true" name="__APW_RESTORE_DATA1783__" vbProcedure="false">#REF!,#REF!,#REF!,#REF!,#REF!,#REF!,#REF!,#REF!,#REF!,#REF!,#REF!,#REF!,#REF!,#REF!,#REF!</definedName>
    <definedName function="false" hidden="true" name="__APW_RESTORE_DATA1784__" vbProcedure="false">#REF!,#REF!,#REF!,#REF!,#REF!,#REF!,#REF!,#REF!,#REF!,#REF!,#REF!,#REF!,#REF!,#REF!,#REF!</definedName>
    <definedName function="false" hidden="true" name="__APW_RESTORE_DATA1785__" vbProcedure="false">#REF!,#REF!,#REF!,#REF!,#REF!,#REF!,#REF!,#REF!,#REF!,#REF!,#REF!,#REF!,#REF!,#REF!,#REF!</definedName>
    <definedName function="false" hidden="true" name="__APW_RESTORE_DATA1786__" vbProcedure="false">#REF!,#REF!,#REF!,#REF!,#REF!,#REF!,#REF!,#REF!,#REF!,#REF!,#REF!,#REF!,#REF!,#REF!,#REF!</definedName>
    <definedName function="false" hidden="true" name="__APW_RESTORE_DATA1787__" vbProcedure="false">#REF!,#REF!,#REF!,#REF!,#REF!,#REF!,#REF!,#REF!,#REF!,#REF!,#REF!,#REF!,#REF!,#REF!,#REF!</definedName>
    <definedName function="false" hidden="true" name="__APW_RESTORE_DATA1788__" vbProcedure="false">#REF!,#REF!,#REF!,#REF!,#REF!,#REF!,#REF!,#REF!,#REF!,#REF!,#REF!,#REF!,#REF!,#REF!,#REF!</definedName>
    <definedName function="false" hidden="true" name="__APW_RESTORE_DATA1789__" vbProcedure="false">#REF!,#REF!,#REF!,#REF!,#REF!,#REF!,#REF!,#REF!,#REF!,#REF!,#REF!,#REF!,#REF!,#REF!,#REF!</definedName>
    <definedName function="false" hidden="true" name="__APW_RESTORE_DATA178__" vbProcedure="false">#REF!,#REF!</definedName>
    <definedName function="false" hidden="true" name="__APW_RESTORE_DATA1790__" vbProcedure="false">#REF!,#REF!,#REF!,#REF!,#REF!,#REF!,#REF!,#REF!,#REF!,#REF!,#REF!,#REF!,#REF!,#REF!,#REF!</definedName>
    <definedName function="false" hidden="true" name="__APW_RESTORE_DATA1791__" vbProcedure="false">#REF!,#REF!,#REF!,#REF!,#REF!,#REF!,#REF!,#REF!,#REF!,#REF!,#REF!,#REF!,#REF!,#REF!,#REF!</definedName>
    <definedName function="false" hidden="true" name="__APW_RESTORE_DATA1792__" vbProcedure="false">#REF!,#REF!,#REF!,#REF!,#REF!,#REF!,#REF!,#REF!,#REF!,#REF!,#REF!,#REF!,#REF!,#REF!,#REF!</definedName>
    <definedName function="false" hidden="true" name="__APW_RESTORE_DATA1793__" vbProcedure="false">#REF!,#REF!,#REF!,#REF!,#REF!,#REF!,#REF!,#REF!,#REF!,#REF!,#REF!,#REF!,#REF!,#REF!,#REF!</definedName>
    <definedName function="false" hidden="true" name="__APW_RESTORE_DATA1794__" vbProcedure="false">#REF!,#REF!,#REF!,#REF!,#REF!,#REF!,#REF!,#REF!,#REF!,#REF!,#REF!,#REF!,#REF!,#REF!,#REF!</definedName>
    <definedName function="false" hidden="true" name="__APW_RESTORE_DATA1795__" vbProcedure="false">#REF!,#REF!,#REF!,#REF!,#REF!,#REF!,#REF!,#REF!,#REF!,#REF!,#REF!,#REF!,#REF!,#REF!,#REF!</definedName>
    <definedName function="false" hidden="true" name="__APW_RESTORE_DATA1796__" vbProcedure="false">#REF!,#REF!,#REF!,#REF!,#REF!,#REF!,#REF!,#REF!,#REF!,#REF!,#REF!,#REF!,#REF!,#REF!,#REF!</definedName>
    <definedName function="false" hidden="true" name="__APW_RESTORE_DATA1797__" vbProcedure="false">#REF!,#REF!,#REF!,#REF!,#REF!,#REF!,#REF!,#REF!,#REF!,#REF!,#REF!,#REF!,#REF!,#REF!,#REF!</definedName>
    <definedName function="false" hidden="true" name="__APW_RESTORE_DATA1798__" vbProcedure="false">#REF!,#REF!,#REF!,#REF!,#REF!,#REF!,#REF!,#REF!,#REF!,#REF!,#REF!,#REF!,#REF!,#REF!,#REF!</definedName>
    <definedName function="false" hidden="true" name="__APW_RESTORE_DATA1799__" vbProcedure="false">#REF!,#REF!,#REF!,#REF!,#REF!,#REF!,#REF!,#REF!,#REF!,#REF!,#REF!,#REF!,#REF!,#REF!,#REF!</definedName>
    <definedName function="false" hidden="true" name="__APW_RESTORE_DATA179__" vbProcedure="false">#REF!,#REF!,#REF!,#REF!,#REF!,#REF!,#REF!,#REF!,#REF!,#REF!,#REF!,#REF!,#REF!,#REF!,#REF!</definedName>
    <definedName function="false" hidden="true" name="__APW_RESTORE_DATA17__" vbProcedure="false">#REF!,#REF!,#REF!,#REF!,#REF!,#REF!,#REF!,#REF!,#REF!,#REF!,#REF!,#REF!,#REF!,#REF!,#REF!</definedName>
    <definedName function="false" hidden="true" name="__APW_RESTORE_DATA1800__" vbProcedure="false">#REF!,#REF!,#REF!,#REF!,#REF!,#REF!</definedName>
    <definedName function="false" hidden="true" name="__APW_RESTORE_DATA1801__" vbProcedure="false">#REF!,#REF!,#REF!,#REF!,#REF!,#REF!,#REF!,#REF!,#REF!,#REF!,#REF!,#REF!,#REF!,#REF!,#REF!,#REF!</definedName>
    <definedName function="false" hidden="true" name="__APW_RESTORE_DATA1802__" vbProcedure="false">#REF!,#REF!,#REF!,#REF!,#REF!,#REF!,#REF!,#REF!,#REF!,#REF!,#REF!,#REF!,#REF!,#REF!,#REF!,#REF!</definedName>
    <definedName function="false" hidden="true" name="__APW_RESTORE_DATA1803__" vbProcedure="false">#REF!,#REF!,#REF!,#REF!,#REF!,#REF!,#REF!,#REF!,#REF!,#REF!,#REF!,#REF!,#REF!,#REF!,#REF!,#REF!</definedName>
    <definedName function="false" hidden="true" name="__APW_RESTORE_DATA1804__" vbProcedure="false">#REF!,#REF!,#REF!,#REF!,#REF!,#REF!,#REF!,#REF!,#REF!,#REF!,#REF!,#REF!,#REF!,#REF!,#REF!,#REF!</definedName>
    <definedName function="false" hidden="true" name="__APW_RESTORE_DATA1805__" vbProcedure="false">#REF!,#REF!,#REF!,#REF!,#REF!,#REF!,#REF!,#REF!,#REF!,#REF!,#REF!,#REF!,#REF!,#REF!,#REF!,#REF!</definedName>
    <definedName function="false" hidden="true" name="__APW_RESTORE_DATA1806__" vbProcedure="false">#REF!,#REF!,#REF!,#REF!,#REF!,#REF!,#REF!,#REF!,#REF!,#REF!,#REF!,#REF!,#REF!,#REF!,#REF!,#REF!</definedName>
    <definedName function="false" hidden="true" name="__APW_RESTORE_DATA1807__" vbProcedure="false">#REF!,#REF!,#REF!,#REF!,#REF!,#REF!,#REF!,#REF!,#REF!,#REF!,#REF!,#REF!,#REF!,#REF!,#REF!</definedName>
    <definedName function="false" hidden="true" name="__APW_RESTORE_DATA1808__" vbProcedure="false">#REF!,#REF!,#REF!,#REF!,#REF!,#REF!,#REF!,#REF!,#REF!,#REF!,#REF!,#REF!,#REF!,#REF!,#REF!</definedName>
    <definedName function="false" hidden="true" name="__APW_RESTORE_DATA1809__" vbProcedure="false">#REF!,#REF!,#REF!,#REF!,#REF!,#REF!,#REF!,#REF!,#REF!,#REF!,#REF!,#REF!,#REF!,#REF!,#REF!</definedName>
    <definedName function="false" hidden="true" name="__APW_RESTORE_DATA180__" vbProcedure="false">#REF!,#REF!,#REF!,#REF!,#REF!,#REF!,#REF!,#REF!,#REF!,#REF!,#REF!,#REF!,#REF!,#REF!,#REF!</definedName>
    <definedName function="false" hidden="true" name="__APW_RESTORE_DATA1810__" vbProcedure="false">#REF!,#REF!,#REF!,#REF!,#REF!,#REF!,#REF!,#REF!,#REF!,#REF!,#REF!,#REF!,#REF!,#REF!,#REF!</definedName>
    <definedName function="false" hidden="true" name="__APW_RESTORE_DATA1811__" vbProcedure="false">#REF!,#REF!,#REF!,#REF!,#REF!,#REF!,#REF!,#REF!,#REF!,#REF!,#REF!,#REF!,#REF!,#REF!,#REF!</definedName>
    <definedName function="false" hidden="true" name="__APW_RESTORE_DATA1812__" vbProcedure="false">#REF!,#REF!,#REF!,#REF!,#REF!,#REF!,#REF!,#REF!,#REF!,#REF!,#REF!,#REF!,#REF!,#REF!,#REF!</definedName>
    <definedName function="false" hidden="true" name="__APW_RESTORE_DATA1813__" vbProcedure="false">#REF!,#REF!,#REF!,#REF!,#REF!,#REF!,#REF!,#REF!,#REF!,#REF!,#REF!,#REF!,#REF!,#REF!,#REF!</definedName>
    <definedName function="false" hidden="true" name="__APW_RESTORE_DATA1814__" vbProcedure="false">#REF!,#REF!,#REF!,#REF!,#REF!,#REF!,#REF!,#REF!,#REF!,#REF!,#REF!,#REF!,#REF!,#REF!,#REF!</definedName>
    <definedName function="false" hidden="true" name="__APW_RESTORE_DATA1815__" vbProcedure="false">#REF!,#REF!,#REF!,#REF!,#REF!,#REF!,#REF!,#REF!,#REF!,#REF!,#REF!,#REF!,#REF!,#REF!,#REF!</definedName>
    <definedName function="false" hidden="true" name="__APW_RESTORE_DATA1816__" vbProcedure="false">#REF!,#REF!,#REF!,#REF!,#REF!,#REF!,#REF!,#REF!,#REF!,#REF!,#REF!,#REF!,#REF!,#REF!,#REF!</definedName>
    <definedName function="false" hidden="true" name="__APW_RESTORE_DATA1817__" vbProcedure="false">#REF!,#REF!,#REF!,#REF!,#REF!,#REF!,#REF!,#REF!,#REF!,#REF!,#REF!,#REF!,#REF!,#REF!,#REF!</definedName>
    <definedName function="false" hidden="true" name="__APW_RESTORE_DATA1818__" vbProcedure="false">#REF!,#REF!,#REF!,#REF!,#REF!,#REF!,#REF!,#REF!,#REF!,#REF!,#REF!,#REF!,#REF!,#REF!,#REF!</definedName>
    <definedName function="false" hidden="true" name="__APW_RESTORE_DATA1819__" vbProcedure="false">#REF!,#REF!,#REF!,#REF!,#REF!,#REF!,#REF!,#REF!,#REF!,#REF!,#REF!,#REF!,#REF!,#REF!,#REF!</definedName>
    <definedName function="false" hidden="true" name="__APW_RESTORE_DATA181__" vbProcedure="false">#REF!,#REF!,#REF!,#REF!,#REF!,#REF!,#REF!,#REF!</definedName>
    <definedName function="false" hidden="true" name="__APW_RESTORE_DATA1820__" vbProcedure="false">#REF!,#REF!,#REF!,#REF!,#REF!,#REF!,#REF!,#REF!,#REF!,#REF!,#REF!,#REF!,#REF!,#REF!,#REF!</definedName>
    <definedName function="false" hidden="true" name="__APW_RESTORE_DATA1821__" vbProcedure="false">#REF!,#REF!,#REF!,#REF!,#REF!,#REF!,#REF!,#REF!,#REF!,#REF!,#REF!,#REF!,#REF!,#REF!,#REF!</definedName>
    <definedName function="false" hidden="true" name="__APW_RESTORE_DATA1822__" vbProcedure="false">#REF!,#REF!,#REF!,#REF!,#REF!,#REF!,#REF!,#REF!,#REF!,#REF!,#REF!,#REF!,#REF!,#REF!,#REF!</definedName>
    <definedName function="false" hidden="true" name="__APW_RESTORE_DATA1823__" vbProcedure="false">#REF!,#REF!,#REF!,#REF!,#REF!,#REF!,#REF!,#REF!,#REF!,#REF!,#REF!,#REF!,#REF!,#REF!,#REF!</definedName>
    <definedName function="false" hidden="true" name="__APW_RESTORE_DATA1824__" vbProcedure="false">#REF!,#REF!,#REF!,#REF!,#REF!,#REF!,#REF!,#REF!,#REF!,#REF!,#REF!,#REF!,#REF!,#REF!,#REF!</definedName>
    <definedName function="false" hidden="true" name="__APW_RESTORE_DATA1825__" vbProcedure="false">#REF!,#REF!,#REF!,#REF!,#REF!,#REF!,#REF!,#REF!,#REF!,#REF!,#REF!,#REF!,#REF!,#REF!,#REF!</definedName>
    <definedName function="false" hidden="true" name="__APW_RESTORE_DATA1826__" vbProcedure="false">#REF!,#REF!,#REF!,#REF!,#REF!,#REF!,#REF!,#REF!,#REF!,#REF!,#REF!,#REF!,#REF!,#REF!,#REF!</definedName>
    <definedName function="false" hidden="true" name="__APW_RESTORE_DATA1827__" vbProcedure="false">#REF!,#REF!,#REF!,#REF!,#REF!,#REF!,#REF!,#REF!,#REF!,#REF!,#REF!,#REF!,#REF!,#REF!,#REF!</definedName>
    <definedName function="false" hidden="true" name="__APW_RESTORE_DATA1828__" vbProcedure="false">#REF!,#REF!,#REF!,#REF!,#REF!,#REF!,#REF!,#REF!,#REF!,#REF!,#REF!,#REF!,#REF!,#REF!,#REF!</definedName>
    <definedName function="false" hidden="true" name="__APW_RESTORE_DATA1829__" vbProcedure="false">#REF!,#REF!,#REF!,#REF!,#REF!,#REF!,#REF!,#REF!,#REF!,#REF!,#REF!,#REF!,#REF!,#REF!,#REF!</definedName>
    <definedName function="false" hidden="true" name="__APW_RESTORE_DATA182__" vbProcedure="false">#REF!,#REF!,#REF!,#REF!,#REF!,#REF!,#REF!,#REF!,#REF!,#REF!,#REF!,#REF!,#REF!,#REF!,#REF!,#REF!</definedName>
    <definedName function="false" hidden="true" name="__APW_RESTORE_DATA1830__" vbProcedure="false">#REF!,#REF!,#REF!,#REF!,#REF!,#REF!,#REF!,#REF!,#REF!,#REF!,#REF!,#REF!,#REF!,#REF!,#REF!</definedName>
    <definedName function="false" hidden="true" name="__APW_RESTORE_DATA1831__" vbProcedure="false">#REF!,#REF!,#REF!,#REF!,#REF!,#REF!,#REF!,#REF!,#REF!,#REF!,#REF!,#REF!,#REF!,#REF!,#REF!</definedName>
    <definedName function="false" hidden="true" name="__APW_RESTORE_DATA1832__" vbProcedure="false">#REF!,#REF!,#REF!,#REF!,#REF!,#REF!,#REF!,#REF!,#REF!,#REF!,#REF!,#REF!,#REF!,#REF!,#REF!</definedName>
    <definedName function="false" hidden="true" name="__APW_RESTORE_DATA1833__" vbProcedure="false">#REF!,#REF!,#REF!,#REF!,#REF!,#REF!,#REF!,#REF!,#REF!,#REF!,#REF!,#REF!,#REF!,#REF!,#REF!</definedName>
    <definedName function="false" hidden="true" name="__APW_RESTORE_DATA1834__" vbProcedure="false">#REF!,#REF!,#REF!,#REF!,#REF!,#REF!,#REF!,#REF!,#REF!,#REF!,#REF!,#REF!,#REF!,#REF!,#REF!</definedName>
    <definedName function="false" hidden="true" name="__APW_RESTORE_DATA1835__" vbProcedure="false">#REF!,#REF!,#REF!,#REF!,#REF!,#REF!</definedName>
    <definedName function="false" hidden="true" name="__APW_RESTORE_DATA1836__" vbProcedure="false">#REF!,#REF!,#REF!,#REF!,#REF!,#REF!,#REF!,#REF!,#REF!,#REF!,#REF!,#REF!,#REF!,#REF!,#REF!,#REF!</definedName>
    <definedName function="false" hidden="true" name="__APW_RESTORE_DATA1837__" vbProcedure="false">#REF!,#REF!,#REF!,#REF!,#REF!,#REF!,#REF!,#REF!,#REF!,#REF!,#REF!,#REF!,#REF!,#REF!,#REF!,#REF!</definedName>
    <definedName function="false" hidden="true" name="__APW_RESTORE_DATA1838__" vbProcedure="false">#REF!,#REF!,#REF!,#REF!,#REF!,#REF!,#REF!,#REF!,#REF!,#REF!,#REF!,#REF!,#REF!,#REF!,#REF!,#REF!</definedName>
    <definedName function="false" hidden="true" name="__APW_RESTORE_DATA1839__" vbProcedure="false">#REF!,#REF!,#REF!,#REF!,#REF!,#REF!,#REF!,#REF!,#REF!,#REF!,#REF!,#REF!,#REF!,#REF!,#REF!,#REF!</definedName>
    <definedName function="false" hidden="true" name="__APW_RESTORE_DATA183__" vbProcedure="false">#REF!,#REF!,#REF!,#REF!,#REF!,#REF!,#REF!,#REF!,#REF!,#REF!,#REF!,#REF!,#REF!,#REF!,#REF!,#REF!</definedName>
    <definedName function="false" hidden="true" name="__APW_RESTORE_DATA1840__" vbProcedure="false">#REF!,#REF!,#REF!,#REF!,#REF!,#REF!,#REF!,#REF!,#REF!,#REF!,#REF!,#REF!,#REF!,#REF!,#REF!,#REF!</definedName>
    <definedName function="false" hidden="true" name="__APW_RESTORE_DATA1841__" vbProcedure="false">#REF!,#REF!,#REF!,#REF!,#REF!,#REF!,#REF!,#REF!,#REF!,#REF!,#REF!,#REF!,#REF!,#REF!,#REF!,#REF!</definedName>
    <definedName function="false" hidden="true" name="__APW_RESTORE_DATA1842__" vbProcedure="false">#REF!,#REF!,#REF!,#REF!,#REF!,#REF!,#REF!,#REF!,#REF!,#REF!,#REF!,#REF!,#REF!,#REF!,#REF!</definedName>
    <definedName function="false" hidden="true" name="__APW_RESTORE_DATA1843__" vbProcedure="false">#REF!,#REF!,#REF!,#REF!,#REF!,#REF!,#REF!,#REF!,#REF!,#REF!,#REF!,#REF!,#REF!,#REF!,#REF!</definedName>
    <definedName function="false" hidden="true" name="__APW_RESTORE_DATA1844__" vbProcedure="false">#REF!,#REF!,#REF!,#REF!,#REF!,#REF!,#REF!,#REF!,#REF!,#REF!,#REF!,#REF!,#REF!,#REF!,#REF!</definedName>
    <definedName function="false" hidden="true" name="__APW_RESTORE_DATA1845__" vbProcedure="false">#REF!,#REF!,#REF!,#REF!,#REF!,#REF!,#REF!,#REF!,#REF!,#REF!,#REF!,#REF!,#REF!,#REF!,#REF!</definedName>
    <definedName function="false" hidden="true" name="__APW_RESTORE_DATA1846__" vbProcedure="false">#REF!,#REF!,#REF!,#REF!,#REF!,#REF!,#REF!,#REF!,#REF!,#REF!,#REF!,#REF!,#REF!,#REF!,#REF!</definedName>
    <definedName function="false" hidden="true" name="__APW_RESTORE_DATA1847__" vbProcedure="false">#REF!,#REF!,#REF!,#REF!,#REF!,#REF!,#REF!,#REF!,#REF!,#REF!,#REF!,#REF!,#REF!,#REF!,#REF!</definedName>
    <definedName function="false" hidden="true" name="__APW_RESTORE_DATA1848__" vbProcedure="false">#REF!,#REF!,#REF!,#REF!,#REF!,#REF!,#REF!,#REF!,#REF!,#REF!,#REF!,#REF!,#REF!,#REF!,#REF!</definedName>
    <definedName function="false" hidden="true" name="__APW_RESTORE_DATA1849__" vbProcedure="false">#REF!,#REF!,#REF!,#REF!,#REF!,#REF!,#REF!,#REF!,#REF!,#REF!,#REF!,#REF!,#REF!,#REF!,#REF!</definedName>
    <definedName function="false" hidden="true" name="__APW_RESTORE_DATA184__" vbProcedure="false">#REF!,#REF!,#REF!,#REF!,#REF!,#REF!,#REF!,#REF!,#REF!,#REF!,#REF!,#REF!,#REF!,#REF!,#REF!,#REF!</definedName>
    <definedName function="false" hidden="true" name="__APW_RESTORE_DATA1850__" vbProcedure="false">#REF!,#REF!,#REF!,#REF!,#REF!,#REF!,#REF!,#REF!,#REF!,#REF!,#REF!,#REF!,#REF!,#REF!,#REF!</definedName>
    <definedName function="false" hidden="true" name="__APW_RESTORE_DATA1851__" vbProcedure="false">#REF!,#REF!,#REF!,#REF!,#REF!,#REF!,#REF!,#REF!,#REF!,#REF!,#REF!,#REF!,#REF!,#REF!,#REF!</definedName>
    <definedName function="false" hidden="true" name="__APW_RESTORE_DATA1852__" vbProcedure="false">#REF!,#REF!,#REF!,#REF!,#REF!,#REF!,#REF!,#REF!,#REF!,#REF!,#REF!,#REF!,#REF!,#REF!,#REF!</definedName>
    <definedName function="false" hidden="true" name="__APW_RESTORE_DATA1853__" vbProcedure="false">#REF!,#REF!,#REF!,#REF!,#REF!,#REF!,#REF!,#REF!,#REF!,#REF!,#REF!,#REF!,#REF!,#REF!,#REF!</definedName>
    <definedName function="false" hidden="true" name="__APW_RESTORE_DATA1856__" vbProcedure="false">#REF!,#REF!,#REF!,#REF!,#REF!,#REF!,#REF!,#REF!,#REF!,#REF!,#REF!,#REF!,#REF!,#REF!,#REF!</definedName>
    <definedName function="false" hidden="true" name="__APW_RESTORE_DATA1857__" vbProcedure="false">#REF!,#REF!,#REF!,#REF!,#REF!,#REF!,#REF!,#REF!,#REF!,#REF!,#REF!,#REF!,#REF!,#REF!,#REF!</definedName>
    <definedName function="false" hidden="true" name="__APW_RESTORE_DATA1858__" vbProcedure="false">#REF!,#REF!,#REF!,#REF!,#REF!,#REF!,#REF!,#REF!,#REF!,#REF!,#REF!,#REF!,#REF!,#REF!,#REF!</definedName>
    <definedName function="false" hidden="true" name="__APW_RESTORE_DATA1859__" vbProcedure="false">#REF!,#REF!,#REF!,#REF!,#REF!,#REF!,#REF!,#REF!,#REF!,#REF!,#REF!,#REF!,#REF!,#REF!,#REF!</definedName>
    <definedName function="false" hidden="true" name="__APW_RESTORE_DATA185__" vbProcedure="false">#REF!,#REF!,#REF!,#REF!,#REF!,#REF!,#REF!,#REF!,#REF!,#REF!,#REF!,#REF!,#REF!,#REF!,#REF!,#REF!</definedName>
    <definedName function="false" hidden="true" name="__APW_RESTORE_DATA1860__" vbProcedure="false">#REF!,#REF!,#REF!,#REF!,#REF!,#REF!,#REF!,#REF!,#REF!,#REF!,#REF!,#REF!,#REF!,#REF!,#REF!</definedName>
    <definedName function="false" hidden="true" name="__APW_RESTORE_DATA1861__" vbProcedure="false">#REF!,#REF!,#REF!,#REF!,#REF!,#REF!,#REF!,#REF!,#REF!,#REF!,#REF!,#REF!,#REF!,#REF!,#REF!</definedName>
    <definedName function="false" hidden="true" name="__APW_RESTORE_DATA1862__" vbProcedure="false">#REF!,#REF!,#REF!,#REF!,#REF!,#REF!,#REF!,#REF!,#REF!,#REF!,#REF!,#REF!,#REF!,#REF!,#REF!</definedName>
    <definedName function="false" hidden="true" name="__APW_RESTORE_DATA1863__" vbProcedure="false">#REF!,#REF!,#REF!,#REF!,#REF!,#REF!,#REF!,#REF!,#REF!,#REF!,#REF!,#REF!,#REF!,#REF!,#REF!</definedName>
    <definedName function="false" hidden="true" name="__APW_RESTORE_DATA1864__" vbProcedure="false">#REF!,#REF!,#REF!,#REF!,#REF!,#REF!,#REF!,#REF!,#REF!,#REF!,#REF!,#REF!,#REF!,#REF!,#REF!</definedName>
    <definedName function="false" hidden="true" name="__APW_RESTORE_DATA1865__" vbProcedure="false">#REF!,#REF!,#REF!,#REF!,#REF!,#REF!,#REF!,#REF!,#REF!,#REF!,#REF!,#REF!,#REF!,#REF!,#REF!</definedName>
    <definedName function="false" hidden="true" name="__APW_RESTORE_DATA1866__" vbProcedure="false">#REF!,#REF!,#REF!,#REF!,#REF!,#REF!,#REF!,#REF!,#REF!,#REF!,#REF!,#REF!,#REF!,#REF!,#REF!</definedName>
    <definedName function="false" hidden="true" name="__APW_RESTORE_DATA1867__" vbProcedure="false">#REF!,#REF!,#REF!,#REF!,#REF!,#REF!,#REF!,#REF!,#REF!,#REF!,#REF!,#REF!,#REF!,#REF!,#REF!</definedName>
    <definedName function="false" hidden="true" name="__APW_RESTORE_DATA1868__" vbProcedure="false">#REF!,#REF!,#REF!,#REF!,#REF!,#REF!,#REF!,#REF!,#REF!,#REF!,#REF!,#REF!,#REF!,#REF!,#REF!</definedName>
    <definedName function="false" hidden="true" name="__APW_RESTORE_DATA1869__" vbProcedure="false">#REF!,#REF!,#REF!,#REF!,#REF!,#REF!,#REF!,#REF!,#REF!,#REF!,#REF!,#REF!,#REF!,#REF!,#REF!</definedName>
    <definedName function="false" hidden="true" name="__APW_RESTORE_DATA186__" vbProcedure="false">#REF!,#REF!,#REF!,#REF!,#REF!,#REF!,#REF!,#REF!,#REF!,#REF!,#REF!,#REF!,#REF!,#REF!,#REF!,#REF!</definedName>
    <definedName function="false" hidden="true" name="__APW_RESTORE_DATA1870__" vbProcedure="false">#REF!,#REF!,#REF!,#REF!,#REF!,#REF!</definedName>
    <definedName function="false" hidden="true" name="__APW_RESTORE_DATA1871__" vbProcedure="false">#REF!</definedName>
    <definedName function="false" hidden="true" name="__APW_RESTORE_DATA1872__" vbProcedure="false">#REF!</definedName>
    <definedName function="false" hidden="true" name="__APW_RESTORE_DATA1874__" vbProcedure="false">#REF!</definedName>
    <definedName function="false" hidden="true" name="__APW_RESTORE_DATA1875__" vbProcedure="false">#REF!,#REF!,#REF!,#REF!,#REF!,#REF!,#REF!,#REF!,#REF!,#REF!,#REF!,#REF!,#REF!,#REF!,#REF!,#REF!</definedName>
    <definedName function="false" hidden="true" name="__APW_RESTORE_DATA1876__" vbProcedure="false">#REF!,#REF!,#REF!,#REF!,#REF!,#REF!,#REF!,#REF!,#REF!,#REF!,#REF!,#REF!,#REF!,#REF!,#REF!,#REF!</definedName>
    <definedName function="false" hidden="true" name="__APW_RESTORE_DATA1877__" vbProcedure="false">#REF!,#REF!,#REF!,#REF!,#REF!,#REF!,#REF!,#REF!,#REF!,#REF!,#REF!,#REF!,#REF!,#REF!,#REF!,#REF!</definedName>
    <definedName function="false" hidden="true" name="__APW_RESTORE_DATA1878__" vbProcedure="false">#REF!,#REF!,#REF!,#REF!,#REF!,#REF!,#REF!,#REF!,#REF!,#REF!,#REF!,#REF!,#REF!,#REF!,#REF!,#REF!</definedName>
    <definedName function="false" hidden="true" name="__APW_RESTORE_DATA1879__" vbProcedure="false">#REF!,#REF!,#REF!,#REF!,#REF!,#REF!,#REF!,#REF!,#REF!,#REF!,#REF!,#REF!,#REF!,#REF!,#REF!,#REF!</definedName>
    <definedName function="false" hidden="true" name="__APW_RESTORE_DATA187__" vbProcedure="false">#REF!,#REF!,#REF!,#REF!,#REF!,#REF!,#REF!,#REF!,#REF!,#REF!,#REF!,#REF!,#REF!,#REF!,#REF!,#REF!</definedName>
    <definedName function="false" hidden="true" name="__APW_RESTORE_DATA1880__" vbProcedure="false">#REF!,#REF!,#REF!,#REF!,#REF!,#REF!,#REF!,#REF!,#REF!,#REF!,#REF!,#REF!,#REF!,#REF!,#REF!,#REF!</definedName>
    <definedName function="false" hidden="true" name="__APW_RESTORE_DATA1881__" vbProcedure="false">#REF!,#REF!,#REF!,#REF!,#REF!,#REF!,#REF!,#REF!,#REF!,#REF!,#REF!,#REF!,#REF!,#REF!,#REF!</definedName>
    <definedName function="false" hidden="true" name="__APW_RESTORE_DATA1882__" vbProcedure="false">#REF!,#REF!,#REF!,#REF!,#REF!,#REF!,#REF!,#REF!,#REF!,#REF!,#REF!,#REF!,#REF!,#REF!,#REF!</definedName>
    <definedName function="false" hidden="true" name="__APW_RESTORE_DATA1883__" vbProcedure="false">#REF!,#REF!,#REF!,#REF!,#REF!,#REF!,#REF!,#REF!,#REF!,#REF!,#REF!,#REF!,#REF!,#REF!,#REF!</definedName>
    <definedName function="false" hidden="true" name="__APW_RESTORE_DATA1884__" vbProcedure="false">#REF!,#REF!,#REF!,#REF!,#REF!,#REF!,#REF!,#REF!,#REF!,#REF!,#REF!,#REF!,#REF!,#REF!,#REF!</definedName>
    <definedName function="false" hidden="true" name="__APW_RESTORE_DATA1885__" vbProcedure="false">#REF!,#REF!,#REF!,#REF!,#REF!,#REF!,#REF!,#REF!,#REF!,#REF!,#REF!,#REF!,#REF!,#REF!,#REF!</definedName>
    <definedName function="false" hidden="true" name="__APW_RESTORE_DATA1886__" vbProcedure="false">#REF!,#REF!,#REF!,#REF!,#REF!,#REF!,#REF!,#REF!,#REF!,#REF!,#REF!,#REF!,#REF!,#REF!,#REF!</definedName>
    <definedName function="false" hidden="true" name="__APW_RESTORE_DATA1887__" vbProcedure="false">#REF!,#REF!,#REF!,#REF!,#REF!,#REF!,#REF!,#REF!,#REF!,#REF!,#REF!,#REF!,#REF!,#REF!,#REF!</definedName>
    <definedName function="false" hidden="true" name="__APW_RESTORE_DATA1888__" vbProcedure="false">#REF!,#REF!,#REF!,#REF!,#REF!,#REF!,#REF!,#REF!,#REF!,#REF!,#REF!,#REF!,#REF!,#REF!,#REF!</definedName>
    <definedName function="false" hidden="true" name="__APW_RESTORE_DATA1889__" vbProcedure="false">#REF!,#REF!,#REF!,#REF!,#REF!,#REF!,#REF!,#REF!,#REF!,#REF!,#REF!,#REF!,#REF!,#REF!,#REF!</definedName>
    <definedName function="false" hidden="true" name="__APW_RESTORE_DATA188__" vbProcedure="false">#REF!,#REF!,#REF!,#REF!,#REF!,#REF!,#REF!,#REF!,#REF!,#REF!,#REF!,#REF!,#REF!,#REF!,#REF!</definedName>
    <definedName function="false" hidden="true" name="__APW_RESTORE_DATA1890__" vbProcedure="false">#REF!,#REF!,#REF!,#REF!,#REF!,#REF!,#REF!,#REF!,#REF!,#REF!,#REF!,#REF!,#REF!,#REF!,#REF!</definedName>
    <definedName function="false" hidden="true" name="__APW_RESTORE_DATA1891__" vbProcedure="false">#REF!,#REF!,#REF!,#REF!,#REF!,#REF!,#REF!,#REF!,#REF!,#REF!,#REF!,#REF!,#REF!,#REF!,#REF!</definedName>
    <definedName function="false" hidden="true" name="__APW_RESTORE_DATA1892__" vbProcedure="false">#REF!,#REF!,#REF!,#REF!,#REF!,#REF!,#REF!,#REF!,#REF!,#REF!,#REF!,#REF!,#REF!,#REF!,#REF!</definedName>
    <definedName function="false" hidden="true" name="__APW_RESTORE_DATA1893__" vbProcedure="false">#REF!,#REF!,#REF!,#REF!,#REF!,#REF!,#REF!,#REF!,#REF!,#REF!,#REF!,#REF!,#REF!,#REF!,#REF!</definedName>
    <definedName function="false" hidden="true" name="__APW_RESTORE_DATA1894__" vbProcedure="false">#REF!,#REF!,#REF!,#REF!,#REF!,#REF!,#REF!,#REF!,#REF!,#REF!,#REF!,#REF!,#REF!,#REF!,#REF!</definedName>
    <definedName function="false" hidden="true" name="__APW_RESTORE_DATA1895__" vbProcedure="false">#REF!,#REF!,#REF!,#REF!,#REF!,#REF!,#REF!,#REF!,#REF!,#REF!,#REF!,#REF!,#REF!,#REF!,#REF!</definedName>
    <definedName function="false" hidden="true" name="__APW_RESTORE_DATA1896__" vbProcedure="false">#REF!,#REF!,#REF!,#REF!,#REF!,#REF!,#REF!,#REF!,#REF!,#REF!,#REF!,#REF!,#REF!,#REF!,#REF!</definedName>
    <definedName function="false" hidden="true" name="__APW_RESTORE_DATA1897__" vbProcedure="false">#REF!,#REF!,#REF!,#REF!,#REF!,#REF!,#REF!,#REF!,#REF!,#REF!,#REF!,#REF!,#REF!,#REF!,#REF!</definedName>
    <definedName function="false" hidden="true" name="__APW_RESTORE_DATA1898__" vbProcedure="false">#REF!,#REF!,#REF!,#REF!,#REF!,#REF!,#REF!,#REF!,#REF!,#REF!,#REF!,#REF!,#REF!,#REF!,#REF!</definedName>
    <definedName function="false" hidden="true" name="__APW_RESTORE_DATA1899__" vbProcedure="false">#REF!,#REF!,#REF!,#REF!,#REF!,#REF!,#REF!,#REF!,#REF!,#REF!,#REF!,#REF!,#REF!,#REF!,#REF!</definedName>
    <definedName function="false" hidden="true" name="__APW_RESTORE_DATA189__" vbProcedure="false">#REF!,#REF!,#REF!,#REF!,#REF!,#REF!,#REF!,#REF!,#REF!,#REF!,#REF!,#REF!,#REF!,#REF!,#REF!</definedName>
    <definedName function="false" hidden="true" name="__APW_RESTORE_DATA18__" vbProcedure="false">#REF!,#REF!,#REF!,#REF!,#REF!,#REF!,#REF!,#REF!,#REF!,#REF!,#REF!,#REF!,#REF!,#REF!,#REF!,#REF!</definedName>
    <definedName function="false" hidden="true" name="__APW_RESTORE_DATA1900__" vbProcedure="false">#REF!,#REF!,#REF!,#REF!,#REF!,#REF!,#REF!,#REF!,#REF!,#REF!,#REF!,#REF!,#REF!,#REF!,#REF!</definedName>
    <definedName function="false" hidden="true" name="__APW_RESTORE_DATA1901__" vbProcedure="false">#REF!,#REF!,#REF!,#REF!,#REF!,#REF!,#REF!,#REF!,#REF!,#REF!,#REF!,#REF!,#REF!,#REF!,#REF!</definedName>
    <definedName function="false" hidden="true" name="__APW_RESTORE_DATA1902__" vbProcedure="false">#REF!,#REF!,#REF!,#REF!,#REF!,#REF!,#REF!,#REF!,#REF!,#REF!,#REF!,#REF!,#REF!,#REF!,#REF!</definedName>
    <definedName function="false" hidden="true" name="__APW_RESTORE_DATA1903__" vbProcedure="false">#REF!,#REF!,#REF!,#REF!,#REF!,#REF!,#REF!,#REF!,#REF!,#REF!,#REF!,#REF!,#REF!,#REF!,#REF!</definedName>
    <definedName function="false" hidden="true" name="__APW_RESTORE_DATA1904__" vbProcedure="false">#REF!,#REF!,#REF!,#REF!,#REF!,#REF!,#REF!,#REF!,#REF!,#REF!,#REF!,#REF!,#REF!,#REF!,#REF!</definedName>
    <definedName function="false" hidden="true" name="__APW_RESTORE_DATA1905__" vbProcedure="false">#REF!,#REF!,#REF!,#REF!,#REF!,#REF!,#REF!,#REF!,#REF!,#REF!,#REF!,#REF!,#REF!,#REF!,#REF!</definedName>
    <definedName function="false" hidden="true" name="__APW_RESTORE_DATA1906__" vbProcedure="false">#REF!,#REF!,#REF!,#REF!,#REF!,#REF!,#REF!,#REF!,#REF!,#REF!,#REF!,#REF!,#REF!,#REF!,#REF!</definedName>
    <definedName function="false" hidden="true" name="__APW_RESTORE_DATA1907__" vbProcedure="false">#REF!,#REF!,#REF!,#REF!,#REF!,#REF!,#REF!,#REF!,#REF!,#REF!,#REF!,#REF!,#REF!,#REF!,#REF!</definedName>
    <definedName function="false" hidden="true" name="__APW_RESTORE_DATA1908__" vbProcedure="false">#REF!,#REF!,#REF!,#REF!,#REF!,#REF!,#REF!,#REF!,#REF!,#REF!,#REF!,#REF!,#REF!,#REF!,#REF!</definedName>
    <definedName function="false" hidden="true" name="__APW_RESTORE_DATA1909__" vbProcedure="false">#REF!,#REF!,#REF!,#REF!,#REF!,#REF!</definedName>
    <definedName function="false" hidden="true" name="__APW_RESTORE_DATA190__" vbProcedure="false">#REF!,#REF!,#REF!,#REF!,#REF!,#REF!,#REF!,#REF!,#REF!,#REF!,#REF!,#REF!,#REF!,#REF!,#REF!</definedName>
    <definedName function="false" hidden="true" name="__APW_RESTORE_DATA1910__" vbProcedure="false">#REF!,#REF!,#REF!,#REF!,#REF!,#REF!,#REF!,#REF!,#REF!,#REF!,#REF!,#REF!,#REF!,#REF!,#REF!,#REF!</definedName>
    <definedName function="false" hidden="true" name="__APW_RESTORE_DATA1911__" vbProcedure="false">#REF!,#REF!,#REF!,#REF!,#REF!,#REF!,#REF!,#REF!,#REF!,#REF!,#REF!,#REF!,#REF!,#REF!,#REF!,#REF!</definedName>
    <definedName function="false" hidden="true" name="__APW_RESTORE_DATA1912__" vbProcedure="false">#REF!,#REF!,#REF!,#REF!,#REF!,#REF!,#REF!,#REF!,#REF!,#REF!,#REF!,#REF!,#REF!,#REF!,#REF!,#REF!</definedName>
    <definedName function="false" hidden="true" name="__APW_RESTORE_DATA1913__" vbProcedure="false">#REF!,#REF!,#REF!,#REF!,#REF!,#REF!,#REF!,#REF!,#REF!,#REF!,#REF!,#REF!,#REF!,#REF!,#REF!,#REF!</definedName>
    <definedName function="false" hidden="true" name="__APW_RESTORE_DATA1914__" vbProcedure="false">#REF!,#REF!,#REF!,#REF!,#REF!,#REF!,#REF!,#REF!,#REF!,#REF!,#REF!,#REF!,#REF!,#REF!,#REF!,#REF!</definedName>
    <definedName function="false" hidden="true" name="__APW_RESTORE_DATA1915__" vbProcedure="false">#REF!,#REF!,#REF!,#REF!,#REF!,#REF!,#REF!,#REF!,#REF!,#REF!,#REF!,#REF!,#REF!,#REF!,#REF!,#REF!</definedName>
    <definedName function="false" hidden="true" name="__APW_RESTORE_DATA1916__" vbProcedure="false">#REF!,#REF!,#REF!,#REF!,#REF!,#REF!,#REF!,#REF!,#REF!,#REF!,#REF!,#REF!,#REF!,#REF!,#REF!</definedName>
    <definedName function="false" hidden="true" name="__APW_RESTORE_DATA1917__" vbProcedure="false">#REF!,#REF!,#REF!,#REF!,#REF!,#REF!,#REF!,#REF!,#REF!,#REF!,#REF!,#REF!,#REF!,#REF!,#REF!</definedName>
    <definedName function="false" hidden="true" name="__APW_RESTORE_DATA1918__" vbProcedure="false">#REF!,#REF!,#REF!,#REF!,#REF!,#REF!,#REF!,#REF!,#REF!,#REF!,#REF!,#REF!,#REF!,#REF!,#REF!</definedName>
    <definedName function="false" hidden="true" name="__APW_RESTORE_DATA1919__" vbProcedure="false">#REF!,#REF!,#REF!,#REF!,#REF!,#REF!,#REF!,#REF!,#REF!,#REF!,#REF!,#REF!,#REF!,#REF!,#REF!</definedName>
    <definedName function="false" hidden="true" name="__APW_RESTORE_DATA191__" vbProcedure="false">#REF!,#REF!,#REF!,#REF!,#REF!,#REF!,#REF!,#REF!,#REF!,#REF!,#REF!,#REF!,#REF!,#REF!,#REF!</definedName>
    <definedName function="false" hidden="true" name="__APW_RESTORE_DATA1920__" vbProcedure="false">#REF!,#REF!,#REF!,#REF!,#REF!,#REF!,#REF!,#REF!,#REF!,#REF!,#REF!,#REF!,#REF!,#REF!,#REF!</definedName>
    <definedName function="false" hidden="true" name="__APW_RESTORE_DATA1921__" vbProcedure="false">#REF!,#REF!,#REF!,#REF!,#REF!,#REF!,#REF!,#REF!,#REF!,#REF!,#REF!,#REF!,#REF!,#REF!,#REF!</definedName>
    <definedName function="false" hidden="true" name="__APW_RESTORE_DATA1922__" vbProcedure="false">#REF!,#REF!,#REF!,#REF!,#REF!,#REF!,#REF!,#REF!,#REF!,#REF!,#REF!,#REF!,#REF!,#REF!,#REF!</definedName>
    <definedName function="false" hidden="true" name="__APW_RESTORE_DATA1923__" vbProcedure="false">#REF!,#REF!,#REF!,#REF!,#REF!,#REF!,#REF!,#REF!,#REF!,#REF!,#REF!,#REF!,#REF!,#REF!,#REF!</definedName>
    <definedName function="false" hidden="true" name="__APW_RESTORE_DATA1924__" vbProcedure="false">#REF!,#REF!,#REF!,#REF!,#REF!,#REF!,#REF!,#REF!,#REF!,#REF!,#REF!,#REF!,#REF!,#REF!,#REF!</definedName>
    <definedName function="false" hidden="true" name="__APW_RESTORE_DATA1925__" vbProcedure="false">#REF!,#REF!,#REF!,#REF!,#REF!,#REF!,#REF!,#REF!,#REF!,#REF!,#REF!,#REF!,#REF!,#REF!,#REF!</definedName>
    <definedName function="false" hidden="true" name="__APW_RESTORE_DATA1926__" vbProcedure="false">#REF!,#REF!,#REF!,#REF!,#REF!,#REF!,#REF!,#REF!,#REF!,#REF!,#REF!,#REF!,#REF!,#REF!,#REF!</definedName>
    <definedName function="false" hidden="true" name="__APW_RESTORE_DATA1927__" vbProcedure="false">#REF!,#REF!,#REF!,#REF!,#REF!,#REF!,#REF!,#REF!,#REF!,#REF!,#REF!,#REF!,#REF!,#REF!,#REF!</definedName>
    <definedName function="false" hidden="true" name="__APW_RESTORE_DATA1928__" vbProcedure="false">#REF!,#REF!,#REF!,#REF!,#REF!,#REF!,#REF!,#REF!,#REF!,#REF!,#REF!,#REF!,#REF!,#REF!,#REF!</definedName>
    <definedName function="false" hidden="true" name="__APW_RESTORE_DATA1929__" vbProcedure="false">#REF!,#REF!,#REF!,#REF!,#REF!,#REF!,#REF!,#REF!,#REF!,#REF!,#REF!,#REF!,#REF!,#REF!,#REF!</definedName>
    <definedName function="false" hidden="true" name="__APW_RESTORE_DATA192__" vbProcedure="false">#REF!,#REF!,#REF!,#REF!,#REF!,#REF!,#REF!,#REF!,#REF!,#REF!,#REF!,#REF!,#REF!,#REF!,#REF!</definedName>
    <definedName function="false" hidden="true" name="__APW_RESTORE_DATA1930__" vbProcedure="false">#REF!,#REF!,#REF!,#REF!,#REF!,#REF!,#REF!,#REF!,#REF!,#REF!,#REF!,#REF!,#REF!,#REF!,#REF!</definedName>
    <definedName function="false" hidden="true" name="__APW_RESTORE_DATA1931__" vbProcedure="false">#REF!,#REF!,#REF!,#REF!,#REF!,#REF!,#REF!,#REF!,#REF!,#REF!,#REF!,#REF!,#REF!,#REF!,#REF!</definedName>
    <definedName function="false" hidden="true" name="__APW_RESTORE_DATA1932__" vbProcedure="false">#REF!,#REF!,#REF!,#REF!,#REF!,#REF!,#REF!,#REF!,#REF!,#REF!,#REF!,#REF!,#REF!,#REF!,#REF!</definedName>
    <definedName function="false" hidden="true" name="__APW_RESTORE_DATA1933__" vbProcedure="false">#REF!,#REF!,#REF!,#REF!,#REF!,#REF!,#REF!,#REF!,#REF!,#REF!,#REF!,#REF!,#REF!,#REF!,#REF!</definedName>
    <definedName function="false" hidden="true" name="__APW_RESTORE_DATA1934__" vbProcedure="false">#REF!,#REF!,#REF!,#REF!,#REF!,#REF!,#REF!,#REF!,#REF!,#REF!,#REF!,#REF!,#REF!,#REF!,#REF!</definedName>
    <definedName function="false" hidden="true" name="__APW_RESTORE_DATA1935__" vbProcedure="false">#REF!,#REF!,#REF!,#REF!,#REF!,#REF!,#REF!,#REF!,#REF!,#REF!,#REF!,#REF!,#REF!,#REF!,#REF!</definedName>
    <definedName function="false" hidden="true" name="__APW_RESTORE_DATA1936__" vbProcedure="false">#REF!,#REF!,#REF!,#REF!,#REF!,#REF!,#REF!,#REF!,#REF!,#REF!,#REF!,#REF!,#REF!,#REF!,#REF!</definedName>
    <definedName function="false" hidden="true" name="__APW_RESTORE_DATA1937__" vbProcedure="false">#REF!,#REF!,#REF!,#REF!,#REF!,#REF!,#REF!,#REF!,#REF!,#REF!,#REF!,#REF!,#REF!,#REF!,#REF!</definedName>
    <definedName function="false" hidden="true" name="__APW_RESTORE_DATA1938__" vbProcedure="false">#REF!,#REF!,#REF!,#REF!,#REF!,#REF!,#REF!,#REF!,#REF!,#REF!,#REF!,#REF!,#REF!,#REF!,#REF!</definedName>
    <definedName function="false" hidden="true" name="__APW_RESTORE_DATA1939__" vbProcedure="false">#REF!,#REF!,#REF!,#REF!,#REF!,#REF!,#REF!,#REF!,#REF!,#REF!,#REF!,#REF!,#REF!,#REF!,#REF!</definedName>
    <definedName function="false" hidden="true" name="__APW_RESTORE_DATA193__" vbProcedure="false">#REF!,#REF!</definedName>
    <definedName function="false" hidden="true" name="__APW_RESTORE_DATA1940__" vbProcedure="false">#REF!,#REF!,#REF!,#REF!,#REF!,#REF!,#REF!,#REF!,#REF!,#REF!,#REF!,#REF!,#REF!,#REF!,#REF!</definedName>
    <definedName function="false" hidden="true" name="__APW_RESTORE_DATA1941__" vbProcedure="false">#REF!,#REF!,#REF!,#REF!,#REF!,#REF!,#REF!,#REF!,#REF!,#REF!,#REF!,#REF!,#REF!,#REF!,#REF!</definedName>
    <definedName function="false" hidden="true" name="__APW_RESTORE_DATA1942__" vbProcedure="false">#REF!,#REF!,#REF!,#REF!,#REF!,#REF!,#REF!,#REF!,#REF!,#REF!,#REF!,#REF!,#REF!,#REF!,#REF!</definedName>
    <definedName function="false" hidden="true" name="__APW_RESTORE_DATA1943__" vbProcedure="false">#REF!,#REF!,#REF!,#REF!,#REF!,#REF!,#REF!,#REF!,#REF!,#REF!,#REF!,#REF!,#REF!,#REF!,#REF!</definedName>
    <definedName function="false" hidden="true" name="__APW_RESTORE_DATA1944__" vbProcedure="false">#REF!,#REF!,#REF!,#REF!,#REF!,#REF!</definedName>
    <definedName function="false" hidden="true" name="__APW_RESTORE_DATA1945__" vbProcedure="false">#REF!,#REF!,#REF!,#REF!,#REF!,#REF!,#REF!,#REF!,#REF!,#REF!,#REF!,#REF!,#REF!,#REF!,#REF!,#REF!</definedName>
    <definedName function="false" hidden="true" name="__APW_RESTORE_DATA1946__" vbProcedure="false">#REF!,#REF!,#REF!,#REF!,#REF!,#REF!,#REF!,#REF!,#REF!,#REF!,#REF!,#REF!,#REF!,#REF!,#REF!,#REF!</definedName>
    <definedName function="false" hidden="true" name="__APW_RESTORE_DATA1947__" vbProcedure="false">#REF!,#REF!,#REF!,#REF!,#REF!,#REF!,#REF!,#REF!,#REF!,#REF!,#REF!,#REF!,#REF!,#REF!,#REF!,#REF!</definedName>
    <definedName function="false" hidden="true" name="__APW_RESTORE_DATA1948__" vbProcedure="false">#REF!,#REF!,#REF!,#REF!,#REF!,#REF!,#REF!,#REF!,#REF!,#REF!,#REF!,#REF!,#REF!,#REF!,#REF!,#REF!</definedName>
    <definedName function="false" hidden="true" name="__APW_RESTORE_DATA1949__" vbProcedure="false">#REF!,#REF!,#REF!,#REF!,#REF!,#REF!,#REF!,#REF!,#REF!,#REF!,#REF!,#REF!,#REF!,#REF!,#REF!,#REF!</definedName>
    <definedName function="false" hidden="true" name="__APW_RESTORE_DATA194__" vbProcedure="false">#REF!,#REF!</definedName>
    <definedName function="false" hidden="true" name="__APW_RESTORE_DATA1950__" vbProcedure="false">#REF!,#REF!,#REF!,#REF!,#REF!,#REF!,#REF!,#REF!,#REF!,#REF!,#REF!,#REF!,#REF!,#REF!,#REF!,#REF!</definedName>
    <definedName function="false" hidden="true" name="__APW_RESTORE_DATA1951__" vbProcedure="false">#REF!,#REF!,#REF!,#REF!,#REF!,#REF!,#REF!,#REF!,#REF!,#REF!,#REF!,#REF!,#REF!,#REF!,#REF!</definedName>
    <definedName function="false" hidden="true" name="__APW_RESTORE_DATA1952__" vbProcedure="false">#REF!,#REF!,#REF!,#REF!,#REF!,#REF!,#REF!,#REF!,#REF!,#REF!,#REF!,#REF!,#REF!,#REF!,#REF!</definedName>
    <definedName function="false" hidden="true" name="__APW_RESTORE_DATA1953__" vbProcedure="false">#REF!,#REF!,#REF!,#REF!,#REF!,#REF!,#REF!,#REF!,#REF!,#REF!,#REF!,#REF!,#REF!,#REF!,#REF!</definedName>
    <definedName function="false" hidden="true" name="__APW_RESTORE_DATA1954__" vbProcedure="false">#REF!,#REF!,#REF!,#REF!,#REF!,#REF!,#REF!,#REF!,#REF!,#REF!,#REF!,#REF!,#REF!,#REF!,#REF!</definedName>
    <definedName function="false" hidden="true" name="__APW_RESTORE_DATA1955__" vbProcedure="false">#REF!,#REF!,#REF!,#REF!,#REF!,#REF!,#REF!,#REF!,#REF!,#REF!,#REF!,#REF!,#REF!,#REF!,#REF!</definedName>
    <definedName function="false" hidden="true" name="__APW_RESTORE_DATA1956__" vbProcedure="false">#REF!,#REF!,#REF!,#REF!,#REF!,#REF!,#REF!,#REF!,#REF!,#REF!,#REF!,#REF!,#REF!,#REF!,#REF!</definedName>
    <definedName function="false" hidden="true" name="__APW_RESTORE_DATA1957__" vbProcedure="false">#REF!,#REF!,#REF!,#REF!,#REF!,#REF!,#REF!,#REF!,#REF!,#REF!,#REF!,#REF!,#REF!,#REF!,#REF!</definedName>
    <definedName function="false" hidden="true" name="__APW_RESTORE_DATA1958__" vbProcedure="false">#REF!,#REF!,#REF!,#REF!,#REF!,#REF!,#REF!,#REF!,#REF!,#REF!,#REF!,#REF!,#REF!,#REF!,#REF!</definedName>
    <definedName function="false" hidden="true" name="__APW_RESTORE_DATA1959__" vbProcedure="false">#REF!,#REF!,#REF!,#REF!,#REF!,#REF!,#REF!,#REF!,#REF!,#REF!,#REF!,#REF!,#REF!,#REF!,#REF!</definedName>
    <definedName function="false" hidden="true" name="__APW_RESTORE_DATA195__" vbProcedure="false">#REF!,#REF!,#REF!,#REF!,#REF!,#REF!,#REF!,#REF!,#REF!,#REF!,#REF!,#REF!,#REF!,#REF!,#REF!</definedName>
    <definedName function="false" hidden="true" name="__APW_RESTORE_DATA1960__" vbProcedure="false">#REF!,#REF!,#REF!,#REF!,#REF!,#REF!,#REF!,#REF!,#REF!,#REF!,#REF!,#REF!,#REF!,#REF!,#REF!</definedName>
    <definedName function="false" hidden="true" name="__APW_RESTORE_DATA1961__" vbProcedure="false">#REF!,#REF!,#REF!,#REF!,#REF!,#REF!,#REF!,#REF!,#REF!,#REF!,#REF!,#REF!,#REF!,#REF!,#REF!</definedName>
    <definedName function="false" hidden="true" name="__APW_RESTORE_DATA1962__" vbProcedure="false">#REF!,#REF!,#REF!,#REF!,#REF!,#REF!,#REF!,#REF!,#REF!,#REF!,#REF!,#REF!,#REF!,#REF!,#REF!</definedName>
    <definedName function="false" hidden="true" name="__APW_RESTORE_DATA1963__" vbProcedure="false">#REF!,#REF!,#REF!,#REF!,#REF!,#REF!,#REF!,#REF!,#REF!,#REF!,#REF!,#REF!,#REF!,#REF!,#REF!</definedName>
    <definedName function="false" hidden="true" name="__APW_RESTORE_DATA1964__" vbProcedure="false">#REF!,#REF!,#REF!,#REF!,#REF!,#REF!,#REF!,#REF!,#REF!,#REF!,#REF!,#REF!,#REF!,#REF!,#REF!</definedName>
    <definedName function="false" hidden="true" name="__APW_RESTORE_DATA1965__" vbProcedure="false">#REF!,#REF!,#REF!,#REF!,#REF!,#REF!,#REF!,#REF!,#REF!,#REF!,#REF!,#REF!,#REF!,#REF!,#REF!</definedName>
    <definedName function="false" hidden="true" name="__APW_RESTORE_DATA1966__" vbProcedure="false">#REF!,#REF!,#REF!,#REF!,#REF!,#REF!,#REF!,#REF!,#REF!,#REF!,#REF!,#REF!,#REF!,#REF!,#REF!</definedName>
    <definedName function="false" hidden="true" name="__APW_RESTORE_DATA1967__" vbProcedure="false">#REF!,#REF!,#REF!,#REF!,#REF!,#REF!,#REF!,#REF!,#REF!,#REF!,#REF!,#REF!,#REF!,#REF!,#REF!</definedName>
    <definedName function="false" hidden="true" name="__APW_RESTORE_DATA1968__" vbProcedure="false">#REF!,#REF!,#REF!,#REF!,#REF!,#REF!,#REF!,#REF!,#REF!,#REF!,#REF!,#REF!,#REF!,#REF!,#REF!</definedName>
    <definedName function="false" hidden="true" name="__APW_RESTORE_DATA1969__" vbProcedure="false">#REF!,#REF!,#REF!,#REF!,#REF!,#REF!,#REF!,#REF!,#REF!,#REF!,#REF!,#REF!,#REF!,#REF!,#REF!</definedName>
    <definedName function="false" hidden="true" name="__APW_RESTORE_DATA196__" vbProcedure="false">#REF!,#REF!,#REF!,#REF!,#REF!,#REF!,#REF!,#REF!,#REF!,#REF!,#REF!,#REF!,#REF!,#REF!,#REF!</definedName>
    <definedName function="false" hidden="true" name="__APW_RESTORE_DATA1970__" vbProcedure="false">#REF!,#REF!,#REF!,#REF!,#REF!,#REF!,#REF!,#REF!,#REF!,#REF!,#REF!,#REF!,#REF!,#REF!,#REF!</definedName>
    <definedName function="false" hidden="true" name="__APW_RESTORE_DATA1971__" vbProcedure="false">#REF!,#REF!,#REF!,#REF!,#REF!,#REF!,#REF!,#REF!,#REF!,#REF!,#REF!,#REF!,#REF!,#REF!,#REF!</definedName>
    <definedName function="false" hidden="true" name="__APW_RESTORE_DATA1972__" vbProcedure="false">#REF!,#REF!,#REF!,#REF!,#REF!,#REF!,#REF!,#REF!,#REF!,#REF!,#REF!,#REF!,#REF!,#REF!,#REF!</definedName>
    <definedName function="false" hidden="true" name="__APW_RESTORE_DATA1973__" vbProcedure="false">#REF!,#REF!,#REF!,#REF!,#REF!,#REF!,#REF!,#REF!,#REF!,#REF!,#REF!,#REF!,#REF!,#REF!,#REF!</definedName>
    <definedName function="false" hidden="true" name="__APW_RESTORE_DATA1974__" vbProcedure="false">#REF!,#REF!,#REF!,#REF!,#REF!,#REF!,#REF!,#REF!,#REF!,#REF!,#REF!,#REF!,#REF!,#REF!,#REF!</definedName>
    <definedName function="false" hidden="true" name="__APW_RESTORE_DATA1975__" vbProcedure="false">#REF!,#REF!,#REF!,#REF!,#REF!,#REF!,#REF!,#REF!,#REF!,#REF!,#REF!,#REF!,#REF!,#REF!,#REF!</definedName>
    <definedName function="false" hidden="true" name="__APW_RESTORE_DATA1976__" vbProcedure="false">#REF!,#REF!,#REF!,#REF!,#REF!,#REF!,#REF!,#REF!,#REF!,#REF!,#REF!,#REF!,#REF!,#REF!,#REF!</definedName>
    <definedName function="false" hidden="true" name="__APW_RESTORE_DATA1977__" vbProcedure="false">#REF!,#REF!,#REF!,#REF!,#REF!,#REF!,#REF!,#REF!,#REF!,#REF!,#REF!,#REF!,#REF!,#REF!,#REF!</definedName>
    <definedName function="false" hidden="true" name="__APW_RESTORE_DATA1978__" vbProcedure="false">#REF!,#REF!,#REF!,#REF!,#REF!,#REF!,#REF!,#REF!,#REF!,#REF!,#REF!,#REF!,#REF!,#REF!,#REF!</definedName>
    <definedName function="false" hidden="true" name="__APW_RESTORE_DATA1979__" vbProcedure="false">#REF!,#REF!,#REF!,#REF!,#REF!,#REF!</definedName>
    <definedName function="false" hidden="true" name="__APW_RESTORE_DATA197__" vbProcedure="false">#REF!,#REF!,#REF!,#REF!,#REF!,#REF!,#REF!,#REF!,#REF!,#REF!,#REF!,#REF!,#REF!,#REF!,#REF!</definedName>
    <definedName function="false" hidden="true" name="__APW_RESTORE_DATA1980__" vbProcedure="false">#REF!,#REF!,#REF!,#REF!,#REF!,#REF!,#REF!,#REF!,#REF!,#REF!,#REF!,#REF!,#REF!,#REF!,#REF!,#REF!</definedName>
    <definedName function="false" hidden="true" name="__APW_RESTORE_DATA1981__" vbProcedure="false">#REF!,#REF!,#REF!,#REF!,#REF!,#REF!,#REF!,#REF!,#REF!,#REF!,#REF!,#REF!,#REF!,#REF!,#REF!,#REF!</definedName>
    <definedName function="false" hidden="true" name="__APW_RESTORE_DATA1982__" vbProcedure="false">#REF!,#REF!,#REF!,#REF!,#REF!,#REF!,#REF!,#REF!,#REF!,#REF!,#REF!,#REF!,#REF!,#REF!,#REF!,#REF!</definedName>
    <definedName function="false" hidden="true" name="__APW_RESTORE_DATA1983__" vbProcedure="false">#REF!,#REF!,#REF!,#REF!,#REF!,#REF!,#REF!,#REF!,#REF!,#REF!,#REF!,#REF!,#REF!,#REF!,#REF!,#REF!</definedName>
    <definedName function="false" hidden="true" name="__APW_RESTORE_DATA1984__" vbProcedure="false">#REF!,#REF!,#REF!,#REF!,#REF!,#REF!,#REF!,#REF!,#REF!,#REF!,#REF!,#REF!,#REF!,#REF!,#REF!,#REF!</definedName>
    <definedName function="false" hidden="true" name="__APW_RESTORE_DATA1985__" vbProcedure="false">#REF!,#REF!,#REF!,#REF!,#REF!,#REF!,#REF!,#REF!,#REF!,#REF!,#REF!,#REF!,#REF!,#REF!,#REF!,#REF!</definedName>
    <definedName function="false" hidden="true" name="__APW_RESTORE_DATA1986__" vbProcedure="false">#REF!,#REF!,#REF!,#REF!,#REF!,#REF!,#REF!,#REF!,#REF!,#REF!,#REF!,#REF!,#REF!,#REF!,#REF!</definedName>
    <definedName function="false" hidden="true" name="__APW_RESTORE_DATA1987__" vbProcedure="false">#REF!,#REF!,#REF!,#REF!,#REF!,#REF!,#REF!,#REF!,#REF!,#REF!,#REF!,#REF!,#REF!,#REF!,#REF!</definedName>
    <definedName function="false" hidden="true" name="__APW_RESTORE_DATA1988__" vbProcedure="false">#REF!,#REF!,#REF!,#REF!,#REF!,#REF!,#REF!,#REF!,#REF!,#REF!,#REF!,#REF!,#REF!,#REF!,#REF!</definedName>
    <definedName function="false" hidden="true" name="__APW_RESTORE_DATA1989__" vbProcedure="false">#REF!,#REF!,#REF!,#REF!,#REF!,#REF!,#REF!,#REF!,#REF!,#REF!,#REF!,#REF!,#REF!,#REF!,#REF!</definedName>
    <definedName function="false" hidden="true" name="__APW_RESTORE_DATA198__" vbProcedure="false">#REF!,#REF!,#REF!,#REF!,#REF!,#REF!,#REF!,#REF!,#REF!,#REF!,#REF!,#REF!,#REF!,#REF!,#REF!</definedName>
    <definedName function="false" hidden="true" name="__APW_RESTORE_DATA1990__" vbProcedure="false">#REF!,#REF!,#REF!,#REF!,#REF!,#REF!,#REF!,#REF!,#REF!,#REF!,#REF!,#REF!,#REF!,#REF!,#REF!</definedName>
    <definedName function="false" hidden="true" name="__APW_RESTORE_DATA1991__" vbProcedure="false">#REF!,#REF!,#REF!,#REF!,#REF!,#REF!,#REF!,#REF!,#REF!,#REF!,#REF!,#REF!,#REF!,#REF!,#REF!</definedName>
    <definedName function="false" hidden="true" name="__APW_RESTORE_DATA1992__" vbProcedure="false">#REF!,#REF!,#REF!,#REF!,#REF!,#REF!,#REF!,#REF!,#REF!,#REF!,#REF!,#REF!,#REF!,#REF!,#REF!</definedName>
    <definedName function="false" hidden="true" name="__APW_RESTORE_DATA1993__" vbProcedure="false">#REF!,#REF!,#REF!,#REF!,#REF!,#REF!,#REF!,#REF!,#REF!,#REF!,#REF!,#REF!,#REF!,#REF!,#REF!</definedName>
    <definedName function="false" hidden="true" name="__APW_RESTORE_DATA1994__" vbProcedure="false">#REF!,#REF!,#REF!,#REF!,#REF!,#REF!,#REF!,#REF!,#REF!,#REF!,#REF!,#REF!,#REF!,#REF!,#REF!</definedName>
    <definedName function="false" hidden="true" name="__APW_RESTORE_DATA1995__" vbProcedure="false">#REF!,#REF!,#REF!,#REF!,#REF!,#REF!,#REF!,#REF!,#REF!,#REF!,#REF!,#REF!,#REF!,#REF!,#REF!</definedName>
    <definedName function="false" hidden="true" name="__APW_RESTORE_DATA1996__" vbProcedure="false">#REF!,#REF!,#REF!,#REF!,#REF!,#REF!,#REF!,#REF!,#REF!,#REF!,#REF!,#REF!,#REF!,#REF!,#REF!</definedName>
    <definedName function="false" hidden="true" name="__APW_RESTORE_DATA1997__" vbProcedure="false">#REF!,#REF!,#REF!,#REF!,#REF!,#REF!,#REF!,#REF!,#REF!,#REF!,#REF!,#REF!,#REF!,#REF!,#REF!</definedName>
    <definedName function="false" hidden="true" name="__APW_RESTORE_DATA1998__" vbProcedure="false">#REF!,#REF!,#REF!,#REF!,#REF!,#REF!,#REF!,#REF!,#REF!,#REF!,#REF!,#REF!,#REF!,#REF!,#REF!</definedName>
    <definedName function="false" hidden="true" name="__APW_RESTORE_DATA1999__" vbProcedure="false">#REF!,#REF!,#REF!,#REF!,#REF!,#REF!,#REF!,#REF!,#REF!,#REF!,#REF!,#REF!,#REF!,#REF!,#REF!</definedName>
    <definedName function="false" hidden="true" name="__APW_RESTORE_DATA199__" vbProcedure="false">#REF!,#REF!,#REF!,#REF!,#REF!,#REF!,#REF!,#REF!,#REF!,#REF!,#REF!,#REF!,#REF!,#REF!,#REF!</definedName>
    <definedName function="false" hidden="true" name="__APW_RESTORE_DATA19__" vbProcedure="false">#REF!,#REF!,#REF!,#REF!,#REF!,#REF!,#REF!,#REF!,#REF!,#REF!,#REF!,#REF!,#REF!,#REF!,#REF!</definedName>
    <definedName function="false" hidden="true" name="__APW_RESTORE_DATA1__" vbProcedure="false">#REF!</definedName>
    <definedName function="false" hidden="true" name="__APW_RESTORE_DATA2000__" vbProcedure="false">#REF!,#REF!,#REF!,#REF!,#REF!,#REF!,#REF!,#REF!,#REF!,#REF!,#REF!,#REF!,#REF!,#REF!,#REF!</definedName>
    <definedName function="false" hidden="true" name="__APW_RESTORE_DATA2001__" vbProcedure="false">#REF!,#REF!,#REF!,#REF!,#REF!,#REF!,#REF!,#REF!,#REF!,#REF!,#REF!,#REF!,#REF!,#REF!,#REF!</definedName>
    <definedName function="false" hidden="true" name="__APW_RESTORE_DATA2002__" vbProcedure="false">#REF!,#REF!,#REF!,#REF!,#REF!,#REF!,#REF!,#REF!,#REF!,#REF!,#REF!,#REF!,#REF!,#REF!,#REF!</definedName>
    <definedName function="false" hidden="true" name="__APW_RESTORE_DATA2003__" vbProcedure="false">#REF!,#REF!,#REF!,#REF!,#REF!,#REF!,#REF!,#REF!,#REF!,#REF!,#REF!,#REF!,#REF!,#REF!,#REF!</definedName>
    <definedName function="false" hidden="true" name="__APW_RESTORE_DATA2004__" vbProcedure="false">#REF!,#REF!,#REF!,#REF!,#REF!,#REF!,#REF!,#REF!,#REF!,#REF!,#REF!,#REF!,#REF!,#REF!,#REF!</definedName>
    <definedName function="false" hidden="true" name="__APW_RESTORE_DATA2005__" vbProcedure="false">#REF!,#REF!,#REF!,#REF!,#REF!,#REF!,#REF!,#REF!,#REF!,#REF!,#REF!,#REF!,#REF!,#REF!,#REF!</definedName>
    <definedName function="false" hidden="true" name="__APW_RESTORE_DATA2006__" vbProcedure="false">#REF!,#REF!,#REF!,#REF!,#REF!,#REF!,#REF!,#REF!,#REF!,#REF!,#REF!,#REF!,#REF!,#REF!,#REF!</definedName>
    <definedName function="false" hidden="true" name="__APW_RESTORE_DATA2007__" vbProcedure="false">#REF!,#REF!,#REF!,#REF!,#REF!,#REF!,#REF!,#REF!,#REF!,#REF!,#REF!,#REF!,#REF!,#REF!,#REF!</definedName>
    <definedName function="false" hidden="true" name="__APW_RESTORE_DATA2008__" vbProcedure="false">#REF!,#REF!,#REF!,#REF!,#REF!,#REF!,#REF!,#REF!,#REF!,#REF!,#REF!,#REF!,#REF!,#REF!,#REF!</definedName>
    <definedName function="false" hidden="true" name="__APW_RESTORE_DATA2009__" vbProcedure="false">#REF!,#REF!,#REF!,#REF!,#REF!,#REF!,#REF!,#REF!,#REF!,#REF!,#REF!,#REF!,#REF!,#REF!,#REF!</definedName>
    <definedName function="false" hidden="true" name="__APW_RESTORE_DATA200__" vbProcedure="false">#REF!,#REF!,#REF!,#REF!,#REF!,#REF!,#REF!,#REF!,#REF!,#REF!,#REF!,#REF!,#REF!,#REF!,#REF!</definedName>
    <definedName function="false" hidden="true" name="__APW_RESTORE_DATA2010__" vbProcedure="false">#REF!,#REF!,#REF!,#REF!,#REF!,#REF!,#REF!,#REF!,#REF!,#REF!,#REF!,#REF!,#REF!,#REF!,#REF!</definedName>
    <definedName function="false" hidden="true" name="__APW_RESTORE_DATA2011__" vbProcedure="false">#REF!,#REF!,#REF!,#REF!,#REF!,#REF!,#REF!,#REF!,#REF!,#REF!,#REF!,#REF!,#REF!,#REF!,#REF!</definedName>
    <definedName function="false" hidden="true" name="__APW_RESTORE_DATA2012__" vbProcedure="false">#REF!,#REF!,#REF!,#REF!,#REF!,#REF!,#REF!,#REF!,#REF!,#REF!,#REF!,#REF!,#REF!,#REF!,#REF!</definedName>
    <definedName function="false" hidden="true" name="__APW_RESTORE_DATA2013__" vbProcedure="false">#REF!,#REF!,#REF!,#REF!,#REF!,#REF!,#REF!,#REF!,#REF!,#REF!,#REF!,#REF!,#REF!,#REF!,#REF!</definedName>
    <definedName function="false" hidden="true" name="__APW_RESTORE_DATA2014__" vbProcedure="false">#REF!,#REF!,#REF!,#REF!,#REF!,#REF!</definedName>
    <definedName function="false" hidden="true" name="__APW_RESTORE_DATA2015__" vbProcedure="false">#REF!</definedName>
    <definedName function="false" hidden="true" name="__APW_RESTORE_DATA2016__" vbProcedure="false">#REF!</definedName>
    <definedName function="false" hidden="true" name="__APW_RESTORE_DATA2017__" vbProcedure="false">#REF!</definedName>
    <definedName function="false" hidden="true" name="__APW_RESTORE_DATA2019__" vbProcedure="false">#REF!</definedName>
    <definedName function="false" hidden="true" name="__APW_RESTORE_DATA201__" vbProcedure="false">#REF!,#REF!,#REF!,#REF!,#REF!,#REF!,#REF!,#REF!,#REF!,#REF!,#REF!,#REF!,#REF!,#REF!,#REF!</definedName>
    <definedName function="false" hidden="true" name="__APW_RESTORE_DATA2020__" vbProcedure="false">#REF!,#REF!,#REF!,#REF!,#REF!,#REF!,#REF!,#REF!,#REF!,#REF!,#REF!,#REF!,#REF!,#REF!,#REF!,#REF!</definedName>
    <definedName function="false" hidden="true" name="__APW_RESTORE_DATA2021__" vbProcedure="false">#REF!,#REF!,#REF!,#REF!,#REF!,#REF!,#REF!,#REF!,#REF!,#REF!,#REF!,#REF!,#REF!,#REF!,#REF!,#REF!</definedName>
    <definedName function="false" hidden="true" name="__APW_RESTORE_DATA2022__" vbProcedure="false">#REF!,#REF!,#REF!,#REF!,#REF!,#REF!,#REF!,#REF!,#REF!,#REF!,#REF!,#REF!,#REF!,#REF!,#REF!,#REF!</definedName>
    <definedName function="false" hidden="true" name="__APW_RESTORE_DATA2023__" vbProcedure="false">#REF!,#REF!,#REF!,#REF!,#REF!,#REF!,#REF!,#REF!,#REF!,#REF!,#REF!,#REF!,#REF!,#REF!,#REF!,#REF!</definedName>
    <definedName function="false" hidden="true" name="__APW_RESTORE_DATA2024__" vbProcedure="false">#REF!,#REF!,#REF!,#REF!,#REF!,#REF!,#REF!,#REF!,#REF!,#REF!,#REF!,#REF!,#REF!,#REF!,#REF!,#REF!</definedName>
    <definedName function="false" hidden="true" name="__APW_RESTORE_DATA2025__" vbProcedure="false">#REF!,#REF!,#REF!,#REF!,#REF!,#REF!,#REF!,#REF!,#REF!,#REF!,#REF!,#REF!,#REF!,#REF!,#REF!,#REF!</definedName>
    <definedName function="false" hidden="true" name="__APW_RESTORE_DATA2026__" vbProcedure="false">#REF!,#REF!,#REF!,#REF!,#REF!,#REF!,#REF!,#REF!,#REF!,#REF!,#REF!,#REF!,#REF!,#REF!,#REF!</definedName>
    <definedName function="false" hidden="true" name="__APW_RESTORE_DATA2027__" vbProcedure="false">#REF!,#REF!,#REF!,#REF!,#REF!,#REF!,#REF!,#REF!,#REF!,#REF!,#REF!,#REF!,#REF!,#REF!,#REF!</definedName>
    <definedName function="false" hidden="true" name="__APW_RESTORE_DATA2028__" vbProcedure="false">#REF!,#REF!,#REF!,#REF!,#REF!,#REF!,#REF!,#REF!,#REF!,#REF!,#REF!,#REF!,#REF!,#REF!,#REF!</definedName>
    <definedName function="false" hidden="true" name="__APW_RESTORE_DATA2029__" vbProcedure="false">#REF!,#REF!,#REF!,#REF!,#REF!,#REF!,#REF!,#REF!,#REF!,#REF!,#REF!,#REF!,#REF!,#REF!,#REF!</definedName>
    <definedName function="false" hidden="true" name="__APW_RESTORE_DATA202__" vbProcedure="false">#REF!,#REF!,#REF!,#REF!,#REF!,#REF!,#REF!,#REF!,#REF!,#REF!,#REF!,#REF!,#REF!,#REF!,#REF!</definedName>
    <definedName function="false" hidden="true" name="__APW_RESTORE_DATA2030__" vbProcedure="false">#REF!,#REF!,#REF!,#REF!,#REF!,#REF!,#REF!,#REF!,#REF!,#REF!,#REF!,#REF!,#REF!,#REF!,#REF!</definedName>
    <definedName function="false" hidden="true" name="__APW_RESTORE_DATA2031__" vbProcedure="false">#REF!,#REF!,#REF!,#REF!,#REF!,#REF!,#REF!,#REF!,#REF!,#REF!,#REF!,#REF!,#REF!,#REF!,#REF!</definedName>
    <definedName function="false" hidden="true" name="__APW_RESTORE_DATA2032__" vbProcedure="false">#REF!,#REF!,#REF!,#REF!,#REF!,#REF!,#REF!,#REF!,#REF!,#REF!,#REF!,#REF!,#REF!,#REF!,#REF!</definedName>
    <definedName function="false" hidden="true" name="__APW_RESTORE_DATA2033__" vbProcedure="false">#REF!,#REF!,#REF!,#REF!,#REF!,#REF!,#REF!,#REF!,#REF!,#REF!,#REF!,#REF!,#REF!,#REF!,#REF!</definedName>
    <definedName function="false" hidden="true" name="__APW_RESTORE_DATA2034__" vbProcedure="false">#REF!,#REF!,#REF!,#REF!,#REF!,#REF!,#REF!,#REF!,#REF!,#REF!,#REF!,#REF!,#REF!,#REF!,#REF!</definedName>
    <definedName function="false" hidden="true" name="__APW_RESTORE_DATA2035__" vbProcedure="false">#REF!,#REF!,#REF!,#REF!,#REF!,#REF!,#REF!,#REF!,#REF!,#REF!,#REF!,#REF!,#REF!,#REF!,#REF!</definedName>
    <definedName function="false" hidden="true" name="__APW_RESTORE_DATA2036__" vbProcedure="false">#REF!,#REF!,#REF!,#REF!,#REF!,#REF!,#REF!,#REF!,#REF!,#REF!,#REF!,#REF!,#REF!,#REF!,#REF!</definedName>
    <definedName function="false" hidden="true" name="__APW_RESTORE_DATA2037__" vbProcedure="false">#REF!,#REF!,#REF!,#REF!,#REF!,#REF!,#REF!,#REF!,#REF!,#REF!,#REF!,#REF!,#REF!,#REF!,#REF!</definedName>
    <definedName function="false" hidden="true" name="__APW_RESTORE_DATA2038__" vbProcedure="false">#REF!,#REF!,#REF!,#REF!,#REF!,#REF!,#REF!,#REF!,#REF!,#REF!,#REF!,#REF!,#REF!,#REF!,#REF!</definedName>
    <definedName function="false" hidden="true" name="__APW_RESTORE_DATA2039__" vbProcedure="false">#REF!,#REF!,#REF!,#REF!,#REF!,#REF!,#REF!,#REF!,#REF!,#REF!,#REF!,#REF!,#REF!,#REF!,#REF!</definedName>
    <definedName function="false" hidden="true" name="__APW_RESTORE_DATA203__" vbProcedure="false">#REF!,#REF!,#REF!,#REF!,#REF!,#REF!,#REF!,#REF!,#REF!,#REF!,#REF!,#REF!,#REF!,#REF!,#REF!</definedName>
    <definedName function="false" hidden="true" name="__APW_RESTORE_DATA2040__" vbProcedure="false">#REF!,#REF!,#REF!,#REF!,#REF!,#REF!,#REF!,#REF!,#REF!,#REF!,#REF!,#REF!,#REF!,#REF!,#REF!</definedName>
    <definedName function="false" hidden="true" name="__APW_RESTORE_DATA2041__" vbProcedure="false">#REF!,#REF!,#REF!,#REF!,#REF!,#REF!,#REF!,#REF!,#REF!,#REF!,#REF!,#REF!,#REF!,#REF!,#REF!</definedName>
    <definedName function="false" hidden="true" name="__APW_RESTORE_DATA2042__" vbProcedure="false">#REF!,#REF!,#REF!,#REF!,#REF!,#REF!,#REF!,#REF!,#REF!,#REF!,#REF!,#REF!,#REF!,#REF!,#REF!</definedName>
    <definedName function="false" hidden="true" name="__APW_RESTORE_DATA2043__" vbProcedure="false">#REF!,#REF!,#REF!,#REF!,#REF!,#REF!,#REF!,#REF!,#REF!,#REF!,#REF!,#REF!,#REF!,#REF!,#REF!</definedName>
    <definedName function="false" hidden="true" name="__APW_RESTORE_DATA2044__" vbProcedure="false">#REF!,#REF!,#REF!,#REF!,#REF!,#REF!,#REF!,#REF!,#REF!,#REF!,#REF!,#REF!,#REF!,#REF!,#REF!</definedName>
    <definedName function="false" hidden="true" name="__APW_RESTORE_DATA2045__" vbProcedure="false">#REF!,#REF!,#REF!,#REF!,#REF!,#REF!,#REF!,#REF!,#REF!,#REF!,#REF!,#REF!,#REF!,#REF!,#REF!</definedName>
    <definedName function="false" hidden="true" name="__APW_RESTORE_DATA2046__" vbProcedure="false">#REF!,#REF!,#REF!,#REF!,#REF!,#REF!,#REF!,#REF!,#REF!,#REF!,#REF!,#REF!,#REF!,#REF!,#REF!</definedName>
    <definedName function="false" hidden="true" name="__APW_RESTORE_DATA2047__" vbProcedure="false">#REF!,#REF!,#REF!,#REF!,#REF!,#REF!,#REF!,#REF!,#REF!,#REF!,#REF!,#REF!,#REF!,#REF!,#REF!</definedName>
    <definedName function="false" hidden="true" name="__APW_RESTORE_DATA2048__" vbProcedure="false">#REF!,#REF!,#REF!,#REF!,#REF!,#REF!,#REF!,#REF!,#REF!,#REF!,#REF!,#REF!,#REF!,#REF!,#REF!</definedName>
    <definedName function="false" hidden="true" name="__APW_RESTORE_DATA2049__" vbProcedure="false">#REF!,#REF!,#REF!,#REF!,#REF!,#REF!,#REF!,#REF!,#REF!,#REF!,#REF!,#REF!,#REF!,#REF!,#REF!</definedName>
    <definedName function="false" hidden="true" name="__APW_RESTORE_DATA204__" vbProcedure="false">#REF!,#REF!,#REF!,#REF!,#REF!,#REF!,#REF!,#REF!,#REF!,#REF!,#REF!,#REF!,#REF!,#REF!,#REF!</definedName>
    <definedName function="false" hidden="true" name="__APW_RESTORE_DATA2050__" vbProcedure="false">#REF!,#REF!,#REF!,#REF!,#REF!,#REF!,#REF!,#REF!,#REF!,#REF!,#REF!,#REF!,#REF!,#REF!,#REF!</definedName>
    <definedName function="false" hidden="true" name="__APW_RESTORE_DATA2051__" vbProcedure="false">#REF!,#REF!,#REF!,#REF!,#REF!,#REF!,#REF!,#REF!,#REF!,#REF!,#REF!,#REF!,#REF!,#REF!,#REF!</definedName>
    <definedName function="false" hidden="true" name="__APW_RESTORE_DATA2052__" vbProcedure="false">#REF!,#REF!,#REF!,#REF!,#REF!,#REF!,#REF!,#REF!,#REF!,#REF!,#REF!,#REF!,#REF!,#REF!,#REF!</definedName>
    <definedName function="false" hidden="true" name="__APW_RESTORE_DATA2053__" vbProcedure="false">#REF!,#REF!,#REF!,#REF!,#REF!,#REF!,#REF!,#REF!,#REF!,#REF!,#REF!,#REF!,#REF!,#REF!,#REF!</definedName>
    <definedName function="false" hidden="true" name="__APW_RESTORE_DATA2054__" vbProcedure="false">#REF!,#REF!,#REF!,#REF!,#REF!,#REF!</definedName>
    <definedName function="false" hidden="true" name="__APW_RESTORE_DATA2055__" vbProcedure="false">#REF!,#REF!,#REF!,#REF!,#REF!,#REF!,#REF!,#REF!,#REF!,#REF!,#REF!,#REF!,#REF!,#REF!,#REF!,#REF!</definedName>
    <definedName function="false" hidden="true" name="__APW_RESTORE_DATA2056__" vbProcedure="false">#REF!,#REF!,#REF!,#REF!,#REF!,#REF!,#REF!,#REF!,#REF!,#REF!,#REF!,#REF!,#REF!,#REF!,#REF!,#REF!</definedName>
    <definedName function="false" hidden="true" name="__APW_RESTORE_DATA2057__" vbProcedure="false">#REF!,#REF!,#REF!,#REF!,#REF!,#REF!,#REF!,#REF!,#REF!,#REF!,#REF!,#REF!,#REF!,#REF!,#REF!,#REF!</definedName>
    <definedName function="false" hidden="true" name="__APW_RESTORE_DATA2058__" vbProcedure="false">#REF!,#REF!,#REF!,#REF!,#REF!,#REF!,#REF!,#REF!,#REF!,#REF!,#REF!,#REF!,#REF!,#REF!,#REF!,#REF!</definedName>
    <definedName function="false" hidden="true" name="__APW_RESTORE_DATA2059__" vbProcedure="false">#REF!,#REF!,#REF!,#REF!,#REF!,#REF!,#REF!,#REF!,#REF!,#REF!,#REF!,#REF!,#REF!,#REF!,#REF!,#REF!</definedName>
    <definedName function="false" hidden="true" name="__APW_RESTORE_DATA205__" vbProcedure="false">#REF!,#REF!,#REF!,#REF!,#REF!,#REF!,#REF!,#REF!,#REF!,#REF!,#REF!,#REF!,#REF!,#REF!,#REF!</definedName>
    <definedName function="false" hidden="true" name="__APW_RESTORE_DATA2060__" vbProcedure="false">#REF!,#REF!,#REF!,#REF!,#REF!,#REF!,#REF!,#REF!,#REF!,#REF!,#REF!,#REF!,#REF!,#REF!,#REF!,#REF!</definedName>
    <definedName function="false" hidden="true" name="__APW_RESTORE_DATA2061__" vbProcedure="false">#REF!,#REF!,#REF!,#REF!,#REF!,#REF!,#REF!,#REF!,#REF!,#REF!,#REF!,#REF!,#REF!,#REF!,#REF!</definedName>
    <definedName function="false" hidden="true" name="__APW_RESTORE_DATA2062__" vbProcedure="false">#REF!,#REF!,#REF!,#REF!,#REF!,#REF!,#REF!,#REF!,#REF!,#REF!,#REF!,#REF!,#REF!,#REF!,#REF!</definedName>
    <definedName function="false" hidden="true" name="__APW_RESTORE_DATA2063__" vbProcedure="false">#REF!,#REF!,#REF!,#REF!,#REF!,#REF!,#REF!,#REF!,#REF!,#REF!,#REF!,#REF!,#REF!,#REF!,#REF!</definedName>
    <definedName function="false" hidden="true" name="__APW_RESTORE_DATA2064__" vbProcedure="false">#REF!,#REF!,#REF!,#REF!,#REF!,#REF!,#REF!,#REF!,#REF!,#REF!,#REF!,#REF!,#REF!,#REF!,#REF!</definedName>
    <definedName function="false" hidden="true" name="__APW_RESTORE_DATA2065__" vbProcedure="false">#REF!,#REF!,#REF!,#REF!,#REF!,#REF!,#REF!,#REF!,#REF!,#REF!,#REF!,#REF!,#REF!,#REF!,#REF!</definedName>
    <definedName function="false" hidden="true" name="__APW_RESTORE_DATA2066__" vbProcedure="false">#REF!,#REF!,#REF!,#REF!,#REF!,#REF!,#REF!,#REF!,#REF!,#REF!,#REF!,#REF!,#REF!,#REF!,#REF!</definedName>
    <definedName function="false" hidden="true" name="__APW_RESTORE_DATA2067__" vbProcedure="false">#REF!,#REF!,#REF!,#REF!,#REF!,#REF!,#REF!,#REF!,#REF!,#REF!,#REF!,#REF!,#REF!,#REF!,#REF!</definedName>
    <definedName function="false" hidden="true" name="__APW_RESTORE_DATA2068__" vbProcedure="false">#REF!,#REF!,#REF!,#REF!,#REF!,#REF!,#REF!,#REF!,#REF!,#REF!,#REF!,#REF!,#REF!,#REF!,#REF!</definedName>
    <definedName function="false" hidden="true" name="__APW_RESTORE_DATA2069__" vbProcedure="false">#REF!,#REF!,#REF!,#REF!,#REF!,#REF!,#REF!,#REF!,#REF!,#REF!,#REF!,#REF!,#REF!,#REF!,#REF!</definedName>
    <definedName function="false" hidden="true" name="__APW_RESTORE_DATA206__" vbProcedure="false">#REF!,#REF!,#REF!,#REF!,#REF!,#REF!,#REF!,#REF!,#REF!,#REF!,#REF!,#REF!,#REF!,#REF!,#REF!</definedName>
    <definedName function="false" hidden="true" name="__APW_RESTORE_DATA2070__" vbProcedure="false">#REF!,#REF!,#REF!,#REF!,#REF!,#REF!,#REF!,#REF!,#REF!,#REF!,#REF!,#REF!,#REF!,#REF!,#REF!</definedName>
    <definedName function="false" hidden="true" name="__APW_RESTORE_DATA2071__" vbProcedure="false">#REF!,#REF!,#REF!,#REF!,#REF!,#REF!,#REF!,#REF!,#REF!,#REF!,#REF!,#REF!,#REF!,#REF!,#REF!</definedName>
    <definedName function="false" hidden="true" name="__APW_RESTORE_DATA2072__" vbProcedure="false">#REF!,#REF!,#REF!,#REF!,#REF!,#REF!,#REF!,#REF!,#REF!,#REF!,#REF!,#REF!,#REF!,#REF!,#REF!</definedName>
    <definedName function="false" hidden="true" name="__APW_RESTORE_DATA2073__" vbProcedure="false">#REF!,#REF!,#REF!,#REF!,#REF!,#REF!,#REF!,#REF!,#REF!,#REF!,#REF!,#REF!,#REF!,#REF!,#REF!</definedName>
    <definedName function="false" hidden="true" name="__APW_RESTORE_DATA2074__" vbProcedure="false">#REF!,#REF!,#REF!,#REF!,#REF!,#REF!,#REF!,#REF!,#REF!,#REF!,#REF!,#REF!,#REF!,#REF!,#REF!</definedName>
    <definedName function="false" hidden="true" name="__APW_RESTORE_DATA2075__" vbProcedure="false">#REF!,#REF!,#REF!,#REF!,#REF!,#REF!,#REF!,#REF!,#REF!,#REF!,#REF!,#REF!,#REF!,#REF!,#REF!</definedName>
    <definedName function="false" hidden="true" name="__APW_RESTORE_DATA2076__" vbProcedure="false">#REF!,#REF!,#REF!,#REF!,#REF!,#REF!,#REF!,#REF!,#REF!,#REF!,#REF!,#REF!,#REF!,#REF!,#REF!</definedName>
    <definedName function="false" hidden="true" name="__APW_RESTORE_DATA2077__" vbProcedure="false">#REF!,#REF!,#REF!,#REF!,#REF!,#REF!,#REF!,#REF!,#REF!,#REF!,#REF!,#REF!,#REF!,#REF!,#REF!</definedName>
    <definedName function="false" hidden="true" name="__APW_RESTORE_DATA2078__" vbProcedure="false">#REF!,#REF!,#REF!,#REF!,#REF!,#REF!,#REF!,#REF!,#REF!,#REF!,#REF!,#REF!,#REF!,#REF!,#REF!</definedName>
    <definedName function="false" hidden="true" name="__APW_RESTORE_DATA2079__" vbProcedure="false">#REF!,#REF!,#REF!,#REF!,#REF!,#REF!,#REF!,#REF!,#REF!,#REF!,#REF!,#REF!,#REF!,#REF!,#REF!</definedName>
    <definedName function="false" hidden="true" name="__APW_RESTORE_DATA207__" vbProcedure="false">#REF!,#REF!</definedName>
    <definedName function="false" hidden="true" name="__APW_RESTORE_DATA2080__" vbProcedure="false">#REF!,#REF!,#REF!,#REF!,#REF!,#REF!,#REF!,#REF!,#REF!,#REF!,#REF!,#REF!,#REF!,#REF!,#REF!</definedName>
    <definedName function="false" hidden="true" name="__APW_RESTORE_DATA2081__" vbProcedure="false">#REF!,#REF!,#REF!,#REF!,#REF!,#REF!,#REF!,#REF!,#REF!,#REF!,#REF!,#REF!,#REF!,#REF!,#REF!</definedName>
    <definedName function="false" hidden="true" name="__APW_RESTORE_DATA2082__" vbProcedure="false">#REF!,#REF!,#REF!,#REF!,#REF!,#REF!,#REF!,#REF!,#REF!,#REF!,#REF!,#REF!,#REF!,#REF!,#REF!</definedName>
    <definedName function="false" hidden="true" name="__APW_RESTORE_DATA2083__" vbProcedure="false">#REF!,#REF!,#REF!,#REF!,#REF!,#REF!,#REF!,#REF!,#REF!,#REF!,#REF!,#REF!,#REF!,#REF!,#REF!</definedName>
    <definedName function="false" hidden="true" name="__APW_RESTORE_DATA2084__" vbProcedure="false">#REF!,#REF!,#REF!,#REF!,#REF!,#REF!,#REF!,#REF!,#REF!,#REF!,#REF!,#REF!,#REF!,#REF!,#REF!</definedName>
    <definedName function="false" hidden="true" name="__APW_RESTORE_DATA2085__" vbProcedure="false">#REF!,#REF!,#REF!,#REF!,#REF!,#REF!,#REF!,#REF!,#REF!,#REF!,#REF!,#REF!,#REF!,#REF!,#REF!</definedName>
    <definedName function="false" hidden="true" name="__APW_RESTORE_DATA2086__" vbProcedure="false">#REF!,#REF!,#REF!,#REF!,#REF!,#REF!,#REF!,#REF!,#REF!,#REF!,#REF!,#REF!,#REF!,#REF!,#REF!</definedName>
    <definedName function="false" hidden="true" name="__APW_RESTORE_DATA2087__" vbProcedure="false">#REF!,#REF!,#REF!,#REF!,#REF!,#REF!,#REF!,#REF!,#REF!,#REF!,#REF!,#REF!,#REF!,#REF!,#REF!</definedName>
    <definedName function="false" hidden="true" name="__APW_RESTORE_DATA2088__" vbProcedure="false">#REF!,#REF!,#REF!,#REF!,#REF!,#REF!,#REF!,#REF!,#REF!,#REF!,#REF!,#REF!,#REF!,#REF!,#REF!</definedName>
    <definedName function="false" hidden="true" name="__APW_RESTORE_DATA2089__" vbProcedure="false">#REF!,#REF!,#REF!,#REF!,#REF!,#REF!</definedName>
    <definedName function="false" hidden="true" name="__APW_RESTORE_DATA208__" vbProcedure="false">#REF!,#REF!,#REF!,#REF!,#REF!,#REF!,#REF!,#REF!,#REF!,#REF!,#REF!,#REF!,#REF!,#REF!,#REF!</definedName>
    <definedName function="false" hidden="true" name="__APW_RESTORE_DATA2090__" vbProcedure="false">#REF!,#REF!,#REF!,#REF!,#REF!,#REF!,#REF!,#REF!,#REF!,#REF!,#REF!,#REF!,#REF!,#REF!,#REF!,#REF!</definedName>
    <definedName function="false" hidden="true" name="__APW_RESTORE_DATA2091__" vbProcedure="false">#REF!,#REF!,#REF!,#REF!,#REF!,#REF!,#REF!,#REF!,#REF!,#REF!,#REF!,#REF!,#REF!,#REF!,#REF!,#REF!</definedName>
    <definedName function="false" hidden="true" name="__APW_RESTORE_DATA2092__" vbProcedure="false">#REF!,#REF!,#REF!,#REF!,#REF!,#REF!,#REF!,#REF!,#REF!,#REF!,#REF!,#REF!,#REF!,#REF!,#REF!,#REF!</definedName>
    <definedName function="false" hidden="true" name="__APW_RESTORE_DATA2093__" vbProcedure="false">#REF!,#REF!,#REF!,#REF!,#REF!,#REF!,#REF!,#REF!,#REF!,#REF!,#REF!,#REF!,#REF!,#REF!,#REF!,#REF!</definedName>
    <definedName function="false" hidden="true" name="__APW_RESTORE_DATA2094__" vbProcedure="false">#REF!,#REF!,#REF!,#REF!,#REF!,#REF!,#REF!,#REF!,#REF!,#REF!,#REF!,#REF!,#REF!,#REF!,#REF!,#REF!</definedName>
    <definedName function="false" hidden="true" name="__APW_RESTORE_DATA2095__" vbProcedure="false">#REF!,#REF!,#REF!,#REF!,#REF!,#REF!,#REF!,#REF!,#REF!,#REF!,#REF!,#REF!,#REF!,#REF!,#REF!,#REF!</definedName>
    <definedName function="false" hidden="true" name="__APW_RESTORE_DATA2096__" vbProcedure="false">#REF!,#REF!,#REF!,#REF!,#REF!,#REF!,#REF!,#REF!,#REF!,#REF!,#REF!,#REF!,#REF!,#REF!,#REF!</definedName>
    <definedName function="false" hidden="true" name="__APW_RESTORE_DATA2097__" vbProcedure="false">#REF!,#REF!,#REF!,#REF!,#REF!,#REF!,#REF!,#REF!,#REF!,#REF!,#REF!,#REF!,#REF!,#REF!,#REF!</definedName>
    <definedName function="false" hidden="true" name="__APW_RESTORE_DATA2098__" vbProcedure="false">#REF!,#REF!,#REF!,#REF!,#REF!,#REF!,#REF!,#REF!,#REF!,#REF!,#REF!,#REF!,#REF!,#REF!,#REF!</definedName>
    <definedName function="false" hidden="true" name="__APW_RESTORE_DATA2099__" vbProcedure="false">#REF!,#REF!,#REF!,#REF!,#REF!,#REF!,#REF!,#REF!,#REF!,#REF!,#REF!,#REF!,#REF!,#REF!,#REF!</definedName>
    <definedName function="false" hidden="true" name="__APW_RESTORE_DATA209__" vbProcedure="false">#REF!,#REF!,#REF!,#REF!,#REF!,#REF!,#REF!,#REF!,#REF!,#REF!,#REF!,#REF!,#REF!,#REF!,#REF!</definedName>
    <definedName function="false" hidden="true" name="__APW_RESTORE_DATA20__" vbProcedure="false">#REF!</definedName>
    <definedName function="false" hidden="true" name="__APW_RESTORE_DATA2100__" vbProcedure="false">#REF!,#REF!,#REF!,#REF!,#REF!,#REF!,#REF!,#REF!,#REF!,#REF!,#REF!,#REF!,#REF!,#REF!,#REF!</definedName>
    <definedName function="false" hidden="true" name="__APW_RESTORE_DATA2101__" vbProcedure="false">#REF!,#REF!,#REF!,#REF!,#REF!,#REF!,#REF!,#REF!,#REF!,#REF!,#REF!,#REF!,#REF!,#REF!,#REF!</definedName>
    <definedName function="false" hidden="true" name="__APW_RESTORE_DATA2102__" vbProcedure="false">#REF!,#REF!,#REF!,#REF!,#REF!,#REF!,#REF!,#REF!,#REF!,#REF!,#REF!,#REF!,#REF!,#REF!,#REF!</definedName>
    <definedName function="false" hidden="true" name="__APW_RESTORE_DATA2103__" vbProcedure="false">#REF!,#REF!,#REF!,#REF!,#REF!,#REF!,#REF!,#REF!,#REF!,#REF!,#REF!,#REF!,#REF!,#REF!,#REF!</definedName>
    <definedName function="false" hidden="true" name="__APW_RESTORE_DATA2104__" vbProcedure="false">#REF!,#REF!,#REF!,#REF!,#REF!,#REF!,#REF!,#REF!,#REF!,#REF!,#REF!,#REF!,#REF!,#REF!,#REF!</definedName>
    <definedName function="false" hidden="true" name="__APW_RESTORE_DATA2105__" vbProcedure="false">#REF!,#REF!,#REF!,#REF!,#REF!,#REF!,#REF!,#REF!,#REF!,#REF!,#REF!,#REF!,#REF!,#REF!,#REF!</definedName>
    <definedName function="false" hidden="true" name="__APW_RESTORE_DATA2106__" vbProcedure="false">#REF!,#REF!,#REF!,#REF!,#REF!,#REF!,#REF!,#REF!,#REF!,#REF!,#REF!,#REF!,#REF!,#REF!,#REF!</definedName>
    <definedName function="false" hidden="true" name="__APW_RESTORE_DATA2107__" vbProcedure="false">#REF!,#REF!,#REF!,#REF!,#REF!,#REF!,#REF!,#REF!,#REF!,#REF!,#REF!,#REF!,#REF!,#REF!,#REF!</definedName>
    <definedName function="false" hidden="true" name="__APW_RESTORE_DATA2108__" vbProcedure="false">#REF!,#REF!,#REF!,#REF!,#REF!,#REF!,#REF!,#REF!,#REF!,#REF!,#REF!,#REF!,#REF!,#REF!,#REF!</definedName>
    <definedName function="false" hidden="true" name="__APW_RESTORE_DATA2109__" vbProcedure="false">#REF!,#REF!,#REF!,#REF!,#REF!,#REF!,#REF!,#REF!,#REF!,#REF!,#REF!,#REF!,#REF!,#REF!,#REF!</definedName>
    <definedName function="false" hidden="true" name="__APW_RESTORE_DATA210__" vbProcedure="false">#REF!,#REF!,#REF!,#REF!,#REF!,#REF!,#REF!,#REF!,#REF!,#REF!,#REF!,#REF!,#REF!,#REF!,#REF!</definedName>
    <definedName function="false" hidden="true" name="__APW_RESTORE_DATA2110__" vbProcedure="false">#REF!,#REF!,#REF!,#REF!,#REF!,#REF!,#REF!,#REF!,#REF!,#REF!,#REF!,#REF!,#REF!,#REF!,#REF!</definedName>
    <definedName function="false" hidden="true" name="__APW_RESTORE_DATA2111__" vbProcedure="false">#REF!,#REF!,#REF!,#REF!,#REF!,#REF!,#REF!,#REF!,#REF!,#REF!,#REF!,#REF!,#REF!,#REF!,#REF!</definedName>
    <definedName function="false" hidden="true" name="__APW_RESTORE_DATA2112__" vbProcedure="false">#REF!,#REF!,#REF!,#REF!,#REF!,#REF!,#REF!,#REF!,#REF!,#REF!,#REF!,#REF!,#REF!,#REF!,#REF!</definedName>
    <definedName function="false" hidden="true" name="__APW_RESTORE_DATA2113__" vbProcedure="false">#REF!,#REF!,#REF!,#REF!,#REF!,#REF!,#REF!,#REF!,#REF!,#REF!,#REF!,#REF!,#REF!,#REF!,#REF!</definedName>
    <definedName function="false" hidden="true" name="__APW_RESTORE_DATA2114__" vbProcedure="false">#REF!,#REF!,#REF!,#REF!,#REF!,#REF!,#REF!,#REF!,#REF!,#REF!,#REF!,#REF!,#REF!,#REF!,#REF!</definedName>
    <definedName function="false" hidden="true" name="__APW_RESTORE_DATA2115__" vbProcedure="false">#REF!,#REF!,#REF!,#REF!,#REF!,#REF!,#REF!,#REF!,#REF!,#REF!,#REF!,#REF!,#REF!,#REF!,#REF!</definedName>
    <definedName function="false" hidden="true" name="__APW_RESTORE_DATA2116__" vbProcedure="false">#REF!,#REF!,#REF!,#REF!,#REF!,#REF!,#REF!,#REF!,#REF!,#REF!,#REF!,#REF!,#REF!,#REF!,#REF!</definedName>
    <definedName function="false" hidden="true" name="__APW_RESTORE_DATA2117__" vbProcedure="false">#REF!,#REF!,#REF!,#REF!,#REF!,#REF!,#REF!,#REF!,#REF!,#REF!,#REF!,#REF!,#REF!,#REF!,#REF!</definedName>
    <definedName function="false" hidden="true" name="__APW_RESTORE_DATA2118__" vbProcedure="false">#REF!,#REF!,#REF!,#REF!,#REF!,#REF!,#REF!,#REF!,#REF!,#REF!,#REF!,#REF!,#REF!,#REF!,#REF!</definedName>
    <definedName function="false" hidden="true" name="__APW_RESTORE_DATA2119__" vbProcedure="false">#REF!,#REF!,#REF!,#REF!,#REF!,#REF!,#REF!,#REF!,#REF!,#REF!,#REF!,#REF!,#REF!,#REF!,#REF!</definedName>
    <definedName function="false" hidden="true" name="__APW_RESTORE_DATA211__" vbProcedure="false">#REF!,#REF!,#REF!,#REF!,#REF!,#REF!,#REF!,#REF!,#REF!,#REF!,#REF!,#REF!,#REF!,#REF!,#REF!</definedName>
    <definedName function="false" hidden="true" name="__APW_RESTORE_DATA2120__" vbProcedure="false">#REF!,#REF!,#REF!,#REF!,#REF!,#REF!,#REF!,#REF!,#REF!,#REF!,#REF!,#REF!,#REF!,#REF!,#REF!</definedName>
    <definedName function="false" hidden="true" name="__APW_RESTORE_DATA2121__" vbProcedure="false">#REF!,#REF!,#REF!,#REF!,#REF!,#REF!,#REF!,#REF!,#REF!,#REF!,#REF!,#REF!,#REF!,#REF!,#REF!</definedName>
    <definedName function="false" hidden="true" name="__APW_RESTORE_DATA2122__" vbProcedure="false">#REF!,#REF!,#REF!,#REF!,#REF!,#REF!,#REF!,#REF!,#REF!,#REF!,#REF!,#REF!,#REF!,#REF!,#REF!</definedName>
    <definedName function="false" hidden="true" name="__APW_RESTORE_DATA2123__" vbProcedure="false">#REF!,#REF!,#REF!,#REF!,#REF!,#REF!,#REF!,#REF!,#REF!,#REF!,#REF!,#REF!,#REF!,#REF!,#REF!</definedName>
    <definedName function="false" hidden="true" name="__APW_RESTORE_DATA2124__" vbProcedure="false">#REF!,#REF!,#REF!,#REF!,#REF!,#REF!</definedName>
    <definedName function="false" hidden="true" name="__APW_RESTORE_DATA2125__" vbProcedure="false">#REF!,#REF!,#REF!,#REF!,#REF!,#REF!,#REF!,#REF!,#REF!,#REF!,#REF!,#REF!,#REF!,#REF!,#REF!,#REF!</definedName>
    <definedName function="false" hidden="true" name="__APW_RESTORE_DATA2126__" vbProcedure="false">#REF!,#REF!,#REF!,#REF!,#REF!,#REF!,#REF!,#REF!,#REF!,#REF!,#REF!,#REF!,#REF!,#REF!,#REF!,#REF!</definedName>
    <definedName function="false" hidden="true" name="__APW_RESTORE_DATA2127__" vbProcedure="false">#REF!,#REF!,#REF!,#REF!,#REF!,#REF!,#REF!,#REF!,#REF!,#REF!,#REF!,#REF!,#REF!,#REF!,#REF!,#REF!</definedName>
    <definedName function="false" hidden="true" name="__APW_RESTORE_DATA2128__" vbProcedure="false">#REF!,#REF!,#REF!,#REF!,#REF!,#REF!,#REF!,#REF!,#REF!,#REF!,#REF!,#REF!,#REF!,#REF!,#REF!,#REF!</definedName>
    <definedName function="false" hidden="true" name="__APW_RESTORE_DATA2129__" vbProcedure="false">#REF!,#REF!,#REF!,#REF!,#REF!,#REF!,#REF!,#REF!,#REF!,#REF!,#REF!,#REF!,#REF!,#REF!,#REF!,#REF!</definedName>
    <definedName function="false" hidden="true" name="__APW_RESTORE_DATA212__" vbProcedure="false">#REF!,#REF!</definedName>
    <definedName function="false" hidden="true" name="__APW_RESTORE_DATA2130__" vbProcedure="false">#REF!,#REF!,#REF!,#REF!,#REF!,#REF!,#REF!,#REF!,#REF!,#REF!,#REF!,#REF!,#REF!,#REF!,#REF!,#REF!</definedName>
    <definedName function="false" hidden="true" name="__APW_RESTORE_DATA2131__" vbProcedure="false">#REF!,#REF!,#REF!,#REF!,#REF!,#REF!,#REF!,#REF!,#REF!,#REF!,#REF!,#REF!,#REF!,#REF!,#REF!</definedName>
    <definedName function="false" hidden="true" name="__APW_RESTORE_DATA2132__" vbProcedure="false">#REF!,#REF!,#REF!,#REF!,#REF!,#REF!,#REF!,#REF!,#REF!,#REF!,#REF!,#REF!,#REF!,#REF!,#REF!</definedName>
    <definedName function="false" hidden="true" name="__APW_RESTORE_DATA2133__" vbProcedure="false">#REF!,#REF!,#REF!,#REF!,#REF!,#REF!,#REF!,#REF!,#REF!,#REF!,#REF!,#REF!,#REF!,#REF!,#REF!</definedName>
    <definedName function="false" hidden="true" name="__APW_RESTORE_DATA2134__" vbProcedure="false">#REF!,#REF!,#REF!,#REF!,#REF!,#REF!,#REF!,#REF!,#REF!,#REF!,#REF!,#REF!,#REF!,#REF!,#REF!</definedName>
    <definedName function="false" hidden="true" name="__APW_RESTORE_DATA2135__" vbProcedure="false">#REF!,#REF!,#REF!,#REF!,#REF!,#REF!,#REF!,#REF!,#REF!,#REF!,#REF!,#REF!,#REF!,#REF!,#REF!</definedName>
    <definedName function="false" hidden="true" name="__APW_RESTORE_DATA2136__" vbProcedure="false">#REF!,#REF!,#REF!,#REF!,#REF!,#REF!,#REF!,#REF!,#REF!,#REF!,#REF!,#REF!,#REF!,#REF!,#REF!</definedName>
    <definedName function="false" hidden="true" name="__APW_RESTORE_DATA2137__" vbProcedure="false">#REF!,#REF!,#REF!,#REF!,#REF!,#REF!,#REF!,#REF!,#REF!,#REF!,#REF!,#REF!,#REF!,#REF!,#REF!</definedName>
    <definedName function="false" hidden="true" name="__APW_RESTORE_DATA2138__" vbProcedure="false">#REF!,#REF!,#REF!,#REF!,#REF!,#REF!,#REF!,#REF!,#REF!,#REF!,#REF!,#REF!,#REF!,#REF!,#REF!</definedName>
    <definedName function="false" hidden="true" name="__APW_RESTORE_DATA2139__" vbProcedure="false">#REF!,#REF!,#REF!,#REF!,#REF!,#REF!,#REF!,#REF!,#REF!,#REF!,#REF!,#REF!,#REF!,#REF!,#REF!</definedName>
    <definedName function="false" hidden="true" name="__APW_RESTORE_DATA213__" vbProcedure="false">#REF!,#REF!,#REF!,#REF!,#REF!,#REF!,#REF!,#REF!,#REF!,#REF!,#REF!,#REF!,#REF!,#REF!,#REF!</definedName>
    <definedName function="false" hidden="true" name="__APW_RESTORE_DATA2140__" vbProcedure="false">#REF!,#REF!,#REF!,#REF!,#REF!,#REF!,#REF!,#REF!,#REF!,#REF!,#REF!,#REF!,#REF!,#REF!,#REF!</definedName>
    <definedName function="false" hidden="true" name="__APW_RESTORE_DATA2141__" vbProcedure="false">#REF!,#REF!,#REF!,#REF!,#REF!,#REF!,#REF!,#REF!,#REF!,#REF!,#REF!,#REF!,#REF!,#REF!,#REF!</definedName>
    <definedName function="false" hidden="true" name="__APW_RESTORE_DATA2142__" vbProcedure="false">#REF!,#REF!,#REF!,#REF!,#REF!,#REF!,#REF!,#REF!,#REF!,#REF!,#REF!,#REF!,#REF!,#REF!,#REF!</definedName>
    <definedName function="false" hidden="true" name="__APW_RESTORE_DATA2143__" vbProcedure="false">#REF!,#REF!,#REF!,#REF!,#REF!,#REF!,#REF!,#REF!,#REF!,#REF!,#REF!,#REF!,#REF!,#REF!,#REF!</definedName>
    <definedName function="false" hidden="true" name="__APW_RESTORE_DATA2144__" vbProcedure="false">#REF!,#REF!,#REF!,#REF!,#REF!,#REF!,#REF!,#REF!,#REF!,#REF!,#REF!,#REF!,#REF!,#REF!,#REF!</definedName>
    <definedName function="false" hidden="true" name="__APW_RESTORE_DATA2145__" vbProcedure="false">#REF!,#REF!,#REF!,#REF!,#REF!,#REF!,#REF!,#REF!,#REF!,#REF!,#REF!,#REF!,#REF!,#REF!,#REF!</definedName>
    <definedName function="false" hidden="true" name="__APW_RESTORE_DATA2146__" vbProcedure="false">#REF!,#REF!,#REF!,#REF!,#REF!,#REF!,#REF!,#REF!,#REF!,#REF!,#REF!,#REF!,#REF!,#REF!,#REF!</definedName>
    <definedName function="false" hidden="true" name="__APW_RESTORE_DATA2147__" vbProcedure="false">#REF!,#REF!,#REF!,#REF!,#REF!,#REF!,#REF!,#REF!,#REF!,#REF!,#REF!,#REF!,#REF!,#REF!,#REF!</definedName>
    <definedName function="false" hidden="true" name="__APW_RESTORE_DATA2148__" vbProcedure="false">#REF!,#REF!,#REF!,#REF!,#REF!,#REF!,#REF!,#REF!,#REF!,#REF!,#REF!,#REF!,#REF!,#REF!,#REF!</definedName>
    <definedName function="false" hidden="true" name="__APW_RESTORE_DATA2149__" vbProcedure="false">#REF!,#REF!,#REF!,#REF!,#REF!,#REF!,#REF!,#REF!,#REF!,#REF!,#REF!,#REF!,#REF!,#REF!,#REF!</definedName>
    <definedName function="false" hidden="true" name="__APW_RESTORE_DATA214__" vbProcedure="false">#REF!,#REF!,#REF!,#REF!,#REF!,#REF!,#REF!,#REF!,#REF!,#REF!,#REF!,#REF!,#REF!,#REF!,#REF!</definedName>
    <definedName function="false" hidden="true" name="__APW_RESTORE_DATA2150__" vbProcedure="false">#REF!,#REF!,#REF!,#REF!,#REF!,#REF!,#REF!,#REF!,#REF!,#REF!,#REF!,#REF!,#REF!,#REF!,#REF!</definedName>
    <definedName function="false" hidden="true" name="__APW_RESTORE_DATA2151__" vbProcedure="false">#REF!,#REF!,#REF!,#REF!,#REF!,#REF!,#REF!,#REF!,#REF!,#REF!,#REF!,#REF!,#REF!,#REF!,#REF!</definedName>
    <definedName function="false" hidden="true" name="__APW_RESTORE_DATA2152__" vbProcedure="false">#REF!,#REF!,#REF!,#REF!,#REF!,#REF!,#REF!,#REF!,#REF!,#REF!,#REF!,#REF!,#REF!,#REF!,#REF!</definedName>
    <definedName function="false" hidden="true" name="__APW_RESTORE_DATA2153__" vbProcedure="false">#REF!,#REF!,#REF!,#REF!,#REF!,#REF!,#REF!,#REF!,#REF!,#REF!,#REF!,#REF!,#REF!,#REF!,#REF!</definedName>
    <definedName function="false" hidden="true" name="__APW_RESTORE_DATA2154__" vbProcedure="false">#REF!,#REF!,#REF!,#REF!,#REF!,#REF!,#REF!,#REF!,#REF!,#REF!,#REF!,#REF!,#REF!,#REF!,#REF!</definedName>
    <definedName function="false" hidden="true" name="__APW_RESTORE_DATA2155__" vbProcedure="false">#REF!,#REF!,#REF!,#REF!,#REF!,#REF!,#REF!,#REF!,#REF!,#REF!,#REF!,#REF!,#REF!,#REF!,#REF!</definedName>
    <definedName function="false" hidden="true" name="__APW_RESTORE_DATA2156__" vbProcedure="false">#REF!,#REF!,#REF!,#REF!,#REF!,#REF!,#REF!,#REF!,#REF!,#REF!,#REF!,#REF!,#REF!,#REF!,#REF!</definedName>
    <definedName function="false" hidden="true" name="__APW_RESTORE_DATA2157__" vbProcedure="false">#REF!,#REF!,#REF!,#REF!,#REF!,#REF!,#REF!,#REF!,#REF!,#REF!,#REF!,#REF!,#REF!,#REF!,#REF!</definedName>
    <definedName function="false" hidden="true" name="__APW_RESTORE_DATA2158__" vbProcedure="false">#REF!,#REF!,#REF!,#REF!,#REF!,#REF!,#REF!,#REF!,#REF!,#REF!,#REF!,#REF!,#REF!,#REF!,#REF!</definedName>
    <definedName function="false" hidden="true" name="__APW_RESTORE_DATA2159__" vbProcedure="false">#REF!,#REF!,#REF!,#REF!,#REF!,#REF!</definedName>
    <definedName function="false" hidden="true" name="__APW_RESTORE_DATA215__" vbProcedure="false">#REF!,#REF!,#REF!,#REF!,#REF!,#REF!,#REF!,#REF!,#REF!,#REF!,#REF!,#REF!,#REF!,#REF!,#REF!</definedName>
    <definedName function="false" hidden="true" name="__APW_RESTORE_DATA2160__" vbProcedure="false">#REF!</definedName>
    <definedName function="false" hidden="true" name="__APW_RESTORE_DATA2161__" vbProcedure="false">#REF!</definedName>
    <definedName function="false" hidden="true" name="__APW_RESTORE_DATA2162__" vbProcedure="false">#REF!</definedName>
    <definedName function="false" hidden="true" name="__APW_RESTORE_DATA2164__" vbProcedure="false">#REF!</definedName>
    <definedName function="false" hidden="true" name="__APW_RESTORE_DATA2165__" vbProcedure="false">#REF!,#REF!,#REF!,#REF!,#REF!,#REF!,#REF!,#REF!,#REF!,#REF!,#REF!,#REF!,#REF!,#REF!,#REF!,#REF!</definedName>
    <definedName function="false" hidden="true" name="__APW_RESTORE_DATA2166__" vbProcedure="false">#REF!,#REF!,#REF!,#REF!,#REF!,#REF!,#REF!,#REF!,#REF!,#REF!,#REF!,#REF!,#REF!,#REF!,#REF!,#REF!</definedName>
    <definedName function="false" hidden="true" name="__APW_RESTORE_DATA2167__" vbProcedure="false">#REF!,#REF!,#REF!,#REF!,#REF!,#REF!,#REF!,#REF!,#REF!,#REF!,#REF!,#REF!,#REF!,#REF!,#REF!,#REF!</definedName>
    <definedName function="false" hidden="true" name="__APW_RESTORE_DATA2168__" vbProcedure="false">#REF!,#REF!,#REF!,#REF!,#REF!,#REF!,#REF!,#REF!,#REF!,#REF!,#REF!,#REF!,#REF!,#REF!,#REF!,#REF!</definedName>
    <definedName function="false" hidden="true" name="__APW_RESTORE_DATA2169__" vbProcedure="false">#REF!,#REF!,#REF!,#REF!,#REF!,#REF!,#REF!,#REF!,#REF!,#REF!,#REF!,#REF!,#REF!,#REF!,#REF!,#REF!</definedName>
    <definedName function="false" hidden="true" name="__APW_RESTORE_DATA216__" vbProcedure="false">#REF!,#REF!,#REF!,#REF!,#REF!,#REF!,#REF!,#REF!</definedName>
    <definedName function="false" hidden="true" name="__APW_RESTORE_DATA2170__" vbProcedure="false">#REF!,#REF!,#REF!,#REF!,#REF!,#REF!,#REF!,#REF!,#REF!,#REF!,#REF!,#REF!,#REF!,#REF!,#REF!,#REF!</definedName>
    <definedName function="false" hidden="true" name="__APW_RESTORE_DATA2171__" vbProcedure="false">#REF!,#REF!,#REF!,#REF!,#REF!,#REF!,#REF!,#REF!,#REF!,#REF!,#REF!,#REF!,#REF!,#REF!,#REF!</definedName>
    <definedName function="false" hidden="true" name="__APW_RESTORE_DATA2172__" vbProcedure="false">#REF!,#REF!,#REF!,#REF!,#REF!,#REF!,#REF!,#REF!,#REF!,#REF!,#REF!,#REF!,#REF!,#REF!,#REF!</definedName>
    <definedName function="false" hidden="true" name="__APW_RESTORE_DATA2173__" vbProcedure="false">#REF!,#REF!,#REF!,#REF!,#REF!,#REF!,#REF!,#REF!,#REF!,#REF!,#REF!,#REF!,#REF!,#REF!,#REF!</definedName>
    <definedName function="false" hidden="true" name="__APW_RESTORE_DATA2174__" vbProcedure="false">#REF!,#REF!,#REF!,#REF!,#REF!,#REF!,#REF!,#REF!,#REF!,#REF!,#REF!,#REF!,#REF!,#REF!,#REF!</definedName>
    <definedName function="false" hidden="true" name="__APW_RESTORE_DATA2175__" vbProcedure="false">#REF!,#REF!,#REF!,#REF!,#REF!,#REF!,#REF!,#REF!,#REF!,#REF!,#REF!,#REF!,#REF!,#REF!,#REF!</definedName>
    <definedName function="false" hidden="true" name="__APW_RESTORE_DATA2176__" vbProcedure="false">#REF!,#REF!,#REF!,#REF!,#REF!,#REF!,#REF!,#REF!,#REF!,#REF!,#REF!,#REF!,#REF!,#REF!,#REF!</definedName>
    <definedName function="false" hidden="true" name="__APW_RESTORE_DATA2177__" vbProcedure="false">#REF!,#REF!,#REF!,#REF!,#REF!,#REF!,#REF!,#REF!,#REF!,#REF!,#REF!,#REF!,#REF!,#REF!,#REF!</definedName>
    <definedName function="false" hidden="true" name="__APW_RESTORE_DATA2178__" vbProcedure="false">#REF!,#REF!,#REF!,#REF!,#REF!,#REF!,#REF!,#REF!,#REF!,#REF!,#REF!,#REF!,#REF!,#REF!,#REF!</definedName>
    <definedName function="false" hidden="true" name="__APW_RESTORE_DATA2179__" vbProcedure="false">#REF!,#REF!,#REF!,#REF!,#REF!,#REF!,#REF!,#REF!,#REF!,#REF!,#REF!,#REF!,#REF!,#REF!,#REF!</definedName>
    <definedName function="false" hidden="true" name="__APW_RESTORE_DATA217__" vbProcedure="false">#REF!,#REF!</definedName>
    <definedName function="false" hidden="true" name="__APW_RESTORE_DATA2180__" vbProcedure="false">#REF!,#REF!,#REF!,#REF!,#REF!,#REF!,#REF!,#REF!,#REF!,#REF!,#REF!,#REF!,#REF!,#REF!,#REF!</definedName>
    <definedName function="false" hidden="true" name="__APW_RESTORE_DATA2181__" vbProcedure="false">#REF!,#REF!,#REF!,#REF!,#REF!,#REF!,#REF!,#REF!,#REF!,#REF!,#REF!,#REF!,#REF!,#REF!,#REF!</definedName>
    <definedName function="false" hidden="true" name="__APW_RESTORE_DATA2182__" vbProcedure="false">#REF!,#REF!,#REF!,#REF!,#REF!,#REF!,#REF!,#REF!,#REF!,#REF!,#REF!,#REF!,#REF!,#REF!,#REF!</definedName>
    <definedName function="false" hidden="true" name="__APW_RESTORE_DATA2183__" vbProcedure="false">#REF!,#REF!,#REF!,#REF!,#REF!,#REF!,#REF!,#REF!,#REF!,#REF!,#REF!,#REF!,#REF!,#REF!,#REF!</definedName>
    <definedName function="false" hidden="true" name="__APW_RESTORE_DATA2184__" vbProcedure="false">#REF!,#REF!,#REF!,#REF!,#REF!,#REF!,#REF!,#REF!,#REF!,#REF!,#REF!,#REF!,#REF!,#REF!,#REF!</definedName>
    <definedName function="false" hidden="true" name="__APW_RESTORE_DATA2185__" vbProcedure="false">#REF!,#REF!,#REF!,#REF!,#REF!,#REF!,#REF!,#REF!,#REF!,#REF!,#REF!,#REF!,#REF!,#REF!,#REF!</definedName>
    <definedName function="false" hidden="true" name="__APW_RESTORE_DATA2186__" vbProcedure="false">#REF!,#REF!,#REF!,#REF!,#REF!,#REF!,#REF!,#REF!,#REF!,#REF!,#REF!,#REF!,#REF!,#REF!,#REF!</definedName>
    <definedName function="false" hidden="true" name="__APW_RESTORE_DATA2187__" vbProcedure="false">#REF!,#REF!,#REF!,#REF!,#REF!,#REF!,#REF!,#REF!,#REF!,#REF!,#REF!,#REF!,#REF!,#REF!,#REF!</definedName>
    <definedName function="false" hidden="true" name="__APW_RESTORE_DATA2188__" vbProcedure="false">#REF!,#REF!,#REF!,#REF!,#REF!,#REF!,#REF!,#REF!,#REF!,#REF!,#REF!,#REF!,#REF!,#REF!,#REF!</definedName>
    <definedName function="false" hidden="true" name="__APW_RESTORE_DATA2189__" vbProcedure="false">#REF!,#REF!,#REF!,#REF!,#REF!,#REF!,#REF!,#REF!,#REF!,#REF!,#REF!,#REF!,#REF!,#REF!,#REF!</definedName>
    <definedName function="false" hidden="true" name="__APW_RESTORE_DATA218__" vbProcedure="false">#REF!,#REF!,#REF!,#REF!,#REF!,#REF!,#REF!,#REF!,#REF!,#REF!,#REF!,#REF!,#REF!,#REF!,#REF!,#REF!</definedName>
    <definedName function="false" hidden="true" name="__APW_RESTORE_DATA2190__" vbProcedure="false">#REF!,#REF!,#REF!,#REF!,#REF!,#REF!,#REF!,#REF!,#REF!,#REF!,#REF!,#REF!,#REF!,#REF!,#REF!</definedName>
    <definedName function="false" hidden="true" name="__APW_RESTORE_DATA2191__" vbProcedure="false">#REF!,#REF!,#REF!,#REF!,#REF!,#REF!,#REF!,#REF!,#REF!,#REF!,#REF!,#REF!,#REF!,#REF!,#REF!</definedName>
    <definedName function="false" hidden="true" name="__APW_RESTORE_DATA2192__" vbProcedure="false">#REF!,#REF!,#REF!,#REF!,#REF!,#REF!,#REF!,#REF!,#REF!,#REF!,#REF!,#REF!,#REF!,#REF!,#REF!</definedName>
    <definedName function="false" hidden="true" name="__APW_RESTORE_DATA2193__" vbProcedure="false">#REF!,#REF!,#REF!,#REF!,#REF!,#REF!,#REF!,#REF!,#REF!,#REF!,#REF!,#REF!,#REF!,#REF!,#REF!</definedName>
    <definedName function="false" hidden="true" name="__APW_RESTORE_DATA2194__" vbProcedure="false">#REF!,#REF!,#REF!,#REF!,#REF!,#REF!,#REF!,#REF!,#REF!,#REF!,#REF!,#REF!,#REF!,#REF!,#REF!</definedName>
    <definedName function="false" hidden="true" name="__APW_RESTORE_DATA2195__" vbProcedure="false">#REF!,#REF!,#REF!,#REF!,#REF!,#REF!,#REF!,#REF!,#REF!,#REF!,#REF!,#REF!,#REF!,#REF!,#REF!</definedName>
    <definedName function="false" hidden="true" name="__APW_RESTORE_DATA2196__" vbProcedure="false">#REF!,#REF!,#REF!,#REF!,#REF!,#REF!,#REF!,#REF!,#REF!,#REF!,#REF!,#REF!,#REF!,#REF!,#REF!</definedName>
    <definedName function="false" hidden="true" name="__APW_RESTORE_DATA2197__" vbProcedure="false">#REF!,#REF!,#REF!,#REF!,#REF!,#REF!,#REF!,#REF!,#REF!,#REF!,#REF!,#REF!,#REF!,#REF!,#REF!</definedName>
    <definedName function="false" hidden="true" name="__APW_RESTORE_DATA2198__" vbProcedure="false">#REF!,#REF!,#REF!,#REF!,#REF!,#REF!,#REF!,#REF!,#REF!,#REF!,#REF!,#REF!,#REF!,#REF!,#REF!</definedName>
    <definedName function="false" hidden="true" name="__APW_RESTORE_DATA2199__" vbProcedure="false">#REF!,#REF!,#REF!,#REF!,#REF!,#REF!</definedName>
    <definedName function="false" hidden="true" name="__APW_RESTORE_DATA219__" vbProcedure="false">#REF!,#REF!,#REF!,#REF!,#REF!,#REF!,#REF!,#REF!,#REF!,#REF!,#REF!,#REF!,#REF!,#REF!,#REF!,#REF!</definedName>
    <definedName function="false" hidden="true" name="__APW_RESTORE_DATA21__" vbProcedure="false">#REF!</definedName>
    <definedName function="false" hidden="true" name="__APW_RESTORE_DATA2200__" vbProcedure="false">#REF!,#REF!,#REF!,#REF!,#REF!,#REF!,#REF!,#REF!,#REF!,#REF!,#REF!,#REF!,#REF!,#REF!,#REF!,#REF!</definedName>
    <definedName function="false" hidden="true" name="__APW_RESTORE_DATA2201__" vbProcedure="false">#REF!,#REF!,#REF!,#REF!,#REF!,#REF!,#REF!,#REF!,#REF!,#REF!,#REF!,#REF!,#REF!,#REF!,#REF!,#REF!</definedName>
    <definedName function="false" hidden="true" name="__APW_RESTORE_DATA2202__" vbProcedure="false">#REF!,#REF!,#REF!,#REF!,#REF!,#REF!,#REF!,#REF!,#REF!,#REF!,#REF!,#REF!,#REF!,#REF!,#REF!,#REF!</definedName>
    <definedName function="false" hidden="true" name="__APW_RESTORE_DATA2203__" vbProcedure="false">#REF!,#REF!,#REF!,#REF!,#REF!,#REF!,#REF!,#REF!,#REF!,#REF!,#REF!,#REF!,#REF!,#REF!,#REF!,#REF!</definedName>
    <definedName function="false" hidden="true" name="__APW_RESTORE_DATA2204__" vbProcedure="false">#REF!,#REF!,#REF!,#REF!,#REF!,#REF!,#REF!,#REF!,#REF!,#REF!,#REF!,#REF!,#REF!,#REF!,#REF!,#REF!</definedName>
    <definedName function="false" hidden="true" name="__APW_RESTORE_DATA2205__" vbProcedure="false">#REF!,#REF!,#REF!,#REF!,#REF!,#REF!,#REF!,#REF!,#REF!,#REF!,#REF!,#REF!,#REF!,#REF!,#REF!,#REF!</definedName>
    <definedName function="false" hidden="true" name="__APW_RESTORE_DATA2206__" vbProcedure="false">#REF!,#REF!,#REF!,#REF!,#REF!,#REF!,#REF!,#REF!,#REF!,#REF!,#REF!,#REF!,#REF!,#REF!,#REF!</definedName>
    <definedName function="false" hidden="true" name="__APW_RESTORE_DATA2207__" vbProcedure="false">#REF!,#REF!,#REF!,#REF!,#REF!,#REF!,#REF!,#REF!,#REF!,#REF!,#REF!,#REF!,#REF!,#REF!,#REF!</definedName>
    <definedName function="false" hidden="true" name="__APW_RESTORE_DATA2208__" vbProcedure="false">#REF!,#REF!,#REF!,#REF!,#REF!,#REF!,#REF!,#REF!,#REF!,#REF!,#REF!,#REF!,#REF!,#REF!,#REF!</definedName>
    <definedName function="false" hidden="true" name="__APW_RESTORE_DATA2209__" vbProcedure="false">#REF!,#REF!,#REF!,#REF!,#REF!,#REF!,#REF!,#REF!,#REF!,#REF!,#REF!,#REF!,#REF!,#REF!,#REF!</definedName>
    <definedName function="false" hidden="true" name="__APW_RESTORE_DATA220__" vbProcedure="false">#REF!,#REF!,#REF!,#REF!,#REF!,#REF!,#REF!,#REF!,#REF!,#REF!,#REF!,#REF!,#REF!,#REF!,#REF!,#REF!</definedName>
    <definedName function="false" hidden="true" name="__APW_RESTORE_DATA2210__" vbProcedure="false">#REF!,#REF!,#REF!,#REF!,#REF!,#REF!,#REF!,#REF!,#REF!,#REF!,#REF!,#REF!,#REF!,#REF!,#REF!</definedName>
    <definedName function="false" hidden="true" name="__APW_RESTORE_DATA2211__" vbProcedure="false">#REF!,#REF!,#REF!,#REF!,#REF!,#REF!,#REF!,#REF!,#REF!,#REF!,#REF!,#REF!,#REF!,#REF!,#REF!</definedName>
    <definedName function="false" hidden="true" name="__APW_RESTORE_DATA2212__" vbProcedure="false">#REF!,#REF!,#REF!,#REF!,#REF!,#REF!,#REF!,#REF!,#REF!,#REF!,#REF!,#REF!,#REF!,#REF!,#REF!</definedName>
    <definedName function="false" hidden="true" name="__APW_RESTORE_DATA2213__" vbProcedure="false">#REF!,#REF!,#REF!,#REF!,#REF!,#REF!,#REF!,#REF!,#REF!,#REF!,#REF!,#REF!,#REF!,#REF!,#REF!</definedName>
    <definedName function="false" hidden="true" name="__APW_RESTORE_DATA2214__" vbProcedure="false">#REF!,#REF!,#REF!,#REF!,#REF!,#REF!,#REF!,#REF!,#REF!,#REF!,#REF!,#REF!,#REF!,#REF!,#REF!</definedName>
    <definedName function="false" hidden="true" name="__APW_RESTORE_DATA2215__" vbProcedure="false">#REF!,#REF!,#REF!,#REF!,#REF!,#REF!,#REF!,#REF!,#REF!,#REF!,#REF!,#REF!,#REF!,#REF!,#REF!</definedName>
    <definedName function="false" hidden="true" name="__APW_RESTORE_DATA2216__" vbProcedure="false">#REF!,#REF!,#REF!,#REF!,#REF!,#REF!,#REF!,#REF!,#REF!,#REF!,#REF!,#REF!,#REF!,#REF!,#REF!</definedName>
    <definedName function="false" hidden="true" name="__APW_RESTORE_DATA2217__" vbProcedure="false">#REF!,#REF!,#REF!,#REF!,#REF!,#REF!,#REF!,#REF!,#REF!,#REF!,#REF!,#REF!,#REF!,#REF!,#REF!</definedName>
    <definedName function="false" hidden="true" name="__APW_RESTORE_DATA2218__" vbProcedure="false">#REF!,#REF!,#REF!,#REF!,#REF!,#REF!,#REF!,#REF!,#REF!,#REF!,#REF!,#REF!,#REF!,#REF!,#REF!</definedName>
    <definedName function="false" hidden="true" name="__APW_RESTORE_DATA2219__" vbProcedure="false">#REF!,#REF!,#REF!,#REF!,#REF!,#REF!,#REF!,#REF!,#REF!,#REF!,#REF!,#REF!,#REF!,#REF!,#REF!</definedName>
    <definedName function="false" hidden="true" name="__APW_RESTORE_DATA221__" vbProcedure="false">#REF!,#REF!,#REF!,#REF!,#REF!,#REF!,#REF!,#REF!,#REF!,#REF!,#REF!,#REF!,#REF!,#REF!,#REF!,#REF!</definedName>
    <definedName function="false" hidden="true" name="__APW_RESTORE_DATA2220__" vbProcedure="false">#REF!,#REF!,#REF!,#REF!,#REF!,#REF!,#REF!,#REF!,#REF!,#REF!,#REF!,#REF!,#REF!,#REF!,#REF!</definedName>
    <definedName function="false" hidden="true" name="__APW_RESTORE_DATA2221__" vbProcedure="false">#REF!,#REF!,#REF!,#REF!,#REF!,#REF!,#REF!,#REF!,#REF!,#REF!,#REF!,#REF!,#REF!,#REF!,#REF!</definedName>
    <definedName function="false" hidden="true" name="__APW_RESTORE_DATA2222__" vbProcedure="false">#REF!,#REF!,#REF!,#REF!,#REF!,#REF!,#REF!,#REF!,#REF!,#REF!,#REF!,#REF!,#REF!,#REF!,#REF!</definedName>
    <definedName function="false" hidden="true" name="__APW_RESTORE_DATA2223__" vbProcedure="false">#REF!,#REF!,#REF!,#REF!,#REF!,#REF!,#REF!,#REF!,#REF!,#REF!,#REF!,#REF!,#REF!,#REF!,#REF!</definedName>
    <definedName function="false" hidden="true" name="__APW_RESTORE_DATA2224__" vbProcedure="false">#REF!,#REF!,#REF!,#REF!,#REF!,#REF!,#REF!,#REF!,#REF!,#REF!,#REF!,#REF!,#REF!,#REF!,#REF!</definedName>
    <definedName function="false" hidden="true" name="__APW_RESTORE_DATA2225__" vbProcedure="false">#REF!,#REF!,#REF!,#REF!,#REF!,#REF!,#REF!,#REF!,#REF!,#REF!,#REF!,#REF!,#REF!,#REF!,#REF!</definedName>
    <definedName function="false" hidden="true" name="__APW_RESTORE_DATA2226__" vbProcedure="false">#REF!,#REF!,#REF!,#REF!,#REF!,#REF!,#REF!,#REF!,#REF!,#REF!,#REF!,#REF!,#REF!,#REF!,#REF!</definedName>
    <definedName function="false" hidden="true" name="__APW_RESTORE_DATA2227__" vbProcedure="false">#REF!,#REF!,#REF!,#REF!,#REF!,#REF!,#REF!,#REF!,#REF!,#REF!,#REF!,#REF!,#REF!,#REF!,#REF!</definedName>
    <definedName function="false" hidden="true" name="__APW_RESTORE_DATA2228__" vbProcedure="false">#REF!,#REF!,#REF!,#REF!,#REF!,#REF!,#REF!,#REF!,#REF!,#REF!,#REF!,#REF!,#REF!,#REF!,#REF!</definedName>
    <definedName function="false" hidden="true" name="__APW_RESTORE_DATA2229__" vbProcedure="false">#REF!,#REF!,#REF!,#REF!,#REF!,#REF!,#REF!,#REF!,#REF!,#REF!,#REF!,#REF!,#REF!,#REF!,#REF!</definedName>
    <definedName function="false" hidden="true" name="__APW_RESTORE_DATA222__" vbProcedure="false">#REF!,#REF!,#REF!,#REF!,#REF!,#REF!,#REF!,#REF!,#REF!,#REF!,#REF!,#REF!,#REF!,#REF!,#REF!,#REF!</definedName>
    <definedName function="false" hidden="true" name="__APW_RESTORE_DATA2230__" vbProcedure="false">#REF!,#REF!,#REF!,#REF!,#REF!,#REF!,#REF!,#REF!,#REF!,#REF!,#REF!,#REF!,#REF!,#REF!,#REF!</definedName>
    <definedName function="false" hidden="true" name="__APW_RESTORE_DATA2231__" vbProcedure="false">#REF!,#REF!,#REF!,#REF!,#REF!,#REF!,#REF!,#REF!,#REF!,#REF!,#REF!,#REF!,#REF!,#REF!,#REF!</definedName>
    <definedName function="false" hidden="true" name="__APW_RESTORE_DATA2232__" vbProcedure="false">#REF!,#REF!,#REF!,#REF!,#REF!,#REF!,#REF!,#REF!,#REF!,#REF!,#REF!,#REF!,#REF!,#REF!,#REF!</definedName>
    <definedName function="false" hidden="true" name="__APW_RESTORE_DATA2233__" vbProcedure="false">#REF!,#REF!,#REF!,#REF!,#REF!,#REF!,#REF!,#REF!,#REF!,#REF!,#REF!,#REF!,#REF!,#REF!,#REF!</definedName>
    <definedName function="false" hidden="true" name="__APW_RESTORE_DATA2234__" vbProcedure="false">#REF!,#REF!,#REF!,#REF!,#REF!,#REF!</definedName>
    <definedName function="false" hidden="true" name="__APW_RESTORE_DATA2235__" vbProcedure="false">#REF!,#REF!,#REF!,#REF!,#REF!,#REF!,#REF!,#REF!,#REF!,#REF!,#REF!,#REF!,#REF!,#REF!,#REF!,#REF!</definedName>
    <definedName function="false" hidden="true" name="__APW_RESTORE_DATA2236__" vbProcedure="false">#REF!,#REF!,#REF!,#REF!,#REF!,#REF!,#REF!,#REF!,#REF!,#REF!,#REF!,#REF!,#REF!,#REF!,#REF!,#REF!</definedName>
    <definedName function="false" hidden="true" name="__APW_RESTORE_DATA2237__" vbProcedure="false">#REF!,#REF!,#REF!,#REF!,#REF!,#REF!,#REF!,#REF!,#REF!,#REF!,#REF!,#REF!,#REF!,#REF!,#REF!,#REF!</definedName>
    <definedName function="false" hidden="true" name="__APW_RESTORE_DATA2238__" vbProcedure="false">#REF!,#REF!,#REF!,#REF!,#REF!,#REF!,#REF!,#REF!,#REF!,#REF!,#REF!,#REF!,#REF!,#REF!,#REF!,#REF!</definedName>
    <definedName function="false" hidden="true" name="__APW_RESTORE_DATA2239__" vbProcedure="false">#REF!,#REF!,#REF!,#REF!,#REF!,#REF!,#REF!,#REF!,#REF!,#REF!,#REF!,#REF!,#REF!,#REF!,#REF!,#REF!</definedName>
    <definedName function="false" hidden="true" name="__APW_RESTORE_DATA223__" vbProcedure="false">#REF!,#REF!,#REF!,#REF!,#REF!,#REF!,#REF!,#REF!,#REF!,#REF!,#REF!,#REF!,#REF!,#REF!,#REF!</definedName>
    <definedName function="false" hidden="true" name="__APW_RESTORE_DATA2240__" vbProcedure="false">#REF!,#REF!,#REF!,#REF!,#REF!,#REF!,#REF!,#REF!,#REF!,#REF!,#REF!,#REF!,#REF!,#REF!,#REF!,#REF!</definedName>
    <definedName function="false" hidden="true" name="__APW_RESTORE_DATA2241__" vbProcedure="false">#REF!,#REF!,#REF!,#REF!,#REF!,#REF!,#REF!,#REF!,#REF!,#REF!,#REF!,#REF!,#REF!,#REF!,#REF!</definedName>
    <definedName function="false" hidden="true" name="__APW_RESTORE_DATA2242__" vbProcedure="false">#REF!,#REF!,#REF!,#REF!,#REF!,#REF!,#REF!,#REF!,#REF!,#REF!,#REF!,#REF!,#REF!,#REF!,#REF!</definedName>
    <definedName function="false" hidden="true" name="__APW_RESTORE_DATA2243__" vbProcedure="false">#REF!,#REF!,#REF!,#REF!,#REF!,#REF!,#REF!,#REF!,#REF!,#REF!,#REF!,#REF!,#REF!,#REF!,#REF!</definedName>
    <definedName function="false" hidden="true" name="__APW_RESTORE_DATA2244__" vbProcedure="false">#REF!,#REF!,#REF!,#REF!,#REF!,#REF!,#REF!,#REF!,#REF!,#REF!,#REF!,#REF!,#REF!,#REF!,#REF!</definedName>
    <definedName function="false" hidden="true" name="__APW_RESTORE_DATA2245__" vbProcedure="false">#REF!,#REF!,#REF!,#REF!,#REF!,#REF!,#REF!,#REF!,#REF!,#REF!,#REF!,#REF!,#REF!,#REF!,#REF!</definedName>
    <definedName function="false" hidden="true" name="__APW_RESTORE_DATA2246__" vbProcedure="false">#REF!,#REF!,#REF!,#REF!,#REF!,#REF!,#REF!,#REF!,#REF!,#REF!,#REF!,#REF!,#REF!,#REF!,#REF!</definedName>
    <definedName function="false" hidden="true" name="__APW_RESTORE_DATA2247__" vbProcedure="false">#REF!,#REF!,#REF!,#REF!,#REF!,#REF!,#REF!,#REF!,#REF!,#REF!,#REF!,#REF!,#REF!,#REF!,#REF!</definedName>
    <definedName function="false" hidden="true" name="__APW_RESTORE_DATA2248__" vbProcedure="false">#REF!,#REF!,#REF!,#REF!,#REF!,#REF!,#REF!,#REF!,#REF!,#REF!,#REF!,#REF!,#REF!,#REF!,#REF!</definedName>
    <definedName function="false" hidden="true" name="__APW_RESTORE_DATA2249__" vbProcedure="false">#REF!,#REF!,#REF!,#REF!,#REF!,#REF!,#REF!,#REF!,#REF!,#REF!,#REF!,#REF!,#REF!,#REF!,#REF!</definedName>
    <definedName function="false" hidden="true" name="__APW_RESTORE_DATA224__" vbProcedure="false">#REF!,#REF!,#REF!,#REF!,#REF!,#REF!,#REF!,#REF!,#REF!,#REF!,#REF!,#REF!,#REF!,#REF!,#REF!</definedName>
    <definedName function="false" hidden="true" name="__APW_RESTORE_DATA2250__" vbProcedure="false">#REF!,#REF!,#REF!,#REF!,#REF!,#REF!,#REF!,#REF!,#REF!,#REF!,#REF!,#REF!,#REF!,#REF!,#REF!</definedName>
    <definedName function="false" hidden="true" name="__APW_RESTORE_DATA2251__" vbProcedure="false">#REF!,#REF!,#REF!,#REF!,#REF!,#REF!,#REF!,#REF!,#REF!,#REF!,#REF!,#REF!,#REF!,#REF!,#REF!</definedName>
    <definedName function="false" hidden="true" name="__APW_RESTORE_DATA2252__" vbProcedure="false">#REF!,#REF!,#REF!,#REF!,#REF!,#REF!,#REF!,#REF!,#REF!,#REF!,#REF!,#REF!,#REF!,#REF!,#REF!</definedName>
    <definedName function="false" hidden="true" name="__APW_RESTORE_DATA2253__" vbProcedure="false">#REF!,#REF!,#REF!,#REF!,#REF!,#REF!,#REF!,#REF!,#REF!,#REF!,#REF!,#REF!,#REF!,#REF!,#REF!</definedName>
    <definedName function="false" hidden="true" name="__APW_RESTORE_DATA2254__" vbProcedure="false">#REF!,#REF!,#REF!,#REF!,#REF!,#REF!,#REF!,#REF!,#REF!,#REF!,#REF!,#REF!,#REF!,#REF!,#REF!</definedName>
    <definedName function="false" hidden="true" name="__APW_RESTORE_DATA2255__" vbProcedure="false">#REF!,#REF!,#REF!,#REF!,#REF!,#REF!,#REF!,#REF!,#REF!,#REF!,#REF!,#REF!,#REF!,#REF!,#REF!</definedName>
    <definedName function="false" hidden="true" name="__APW_RESTORE_DATA2256__" vbProcedure="false">#REF!,#REF!,#REF!,#REF!,#REF!,#REF!,#REF!,#REF!,#REF!,#REF!,#REF!,#REF!,#REF!,#REF!,#REF!</definedName>
    <definedName function="false" hidden="true" name="__APW_RESTORE_DATA2257__" vbProcedure="false">#REF!,#REF!,#REF!,#REF!,#REF!,#REF!,#REF!,#REF!,#REF!,#REF!,#REF!,#REF!,#REF!,#REF!,#REF!</definedName>
    <definedName function="false" hidden="true" name="__APW_RESTORE_DATA2258__" vbProcedure="false">#REF!,#REF!,#REF!,#REF!,#REF!,#REF!,#REF!,#REF!,#REF!,#REF!,#REF!,#REF!,#REF!,#REF!,#REF!</definedName>
    <definedName function="false" hidden="true" name="__APW_RESTORE_DATA2259__" vbProcedure="false">#REF!,#REF!,#REF!,#REF!,#REF!,#REF!,#REF!,#REF!,#REF!,#REF!,#REF!,#REF!,#REF!,#REF!,#REF!</definedName>
    <definedName function="false" hidden="true" name="__APW_RESTORE_DATA225__" vbProcedure="false">#REF!,#REF!,#REF!,#REF!,#REF!,#REF!,#REF!,#REF!,#REF!,#REF!,#REF!,#REF!,#REF!,#REF!,#REF!</definedName>
    <definedName function="false" hidden="true" name="__APW_RESTORE_DATA2260__" vbProcedure="false">#REF!,#REF!,#REF!,#REF!,#REF!,#REF!,#REF!,#REF!,#REF!,#REF!,#REF!,#REF!,#REF!,#REF!,#REF!</definedName>
    <definedName function="false" hidden="true" name="__APW_RESTORE_DATA2261__" vbProcedure="false">#REF!,#REF!,#REF!,#REF!,#REF!,#REF!,#REF!,#REF!,#REF!,#REF!,#REF!,#REF!,#REF!,#REF!,#REF!</definedName>
    <definedName function="false" hidden="true" name="__APW_RESTORE_DATA2262__" vbProcedure="false">#REF!,#REF!,#REF!,#REF!,#REF!,#REF!,#REF!,#REF!,#REF!,#REF!,#REF!,#REF!,#REF!,#REF!,#REF!</definedName>
    <definedName function="false" hidden="true" name="__APW_RESTORE_DATA2263__" vbProcedure="false">#REF!,#REF!,#REF!,#REF!,#REF!,#REF!,#REF!,#REF!,#REF!,#REF!,#REF!,#REF!,#REF!,#REF!,#REF!</definedName>
    <definedName function="false" hidden="true" name="__APW_RESTORE_DATA2264__" vbProcedure="false">#REF!,#REF!,#REF!,#REF!,#REF!,#REF!,#REF!,#REF!,#REF!,#REF!,#REF!,#REF!,#REF!,#REF!,#REF!</definedName>
    <definedName function="false" hidden="true" name="__APW_RESTORE_DATA2265__" vbProcedure="false">#REF!,#REF!,#REF!,#REF!,#REF!,#REF!,#REF!,#REF!,#REF!,#REF!,#REF!,#REF!,#REF!,#REF!,#REF!</definedName>
    <definedName function="false" hidden="true" name="__APW_RESTORE_DATA2266__" vbProcedure="false">#REF!,#REF!,#REF!,#REF!,#REF!,#REF!,#REF!,#REF!,#REF!,#REF!,#REF!,#REF!,#REF!,#REF!,#REF!</definedName>
    <definedName function="false" hidden="true" name="__APW_RESTORE_DATA2267__" vbProcedure="false">#REF!,#REF!,#REF!,#REF!,#REF!,#REF!,#REF!,#REF!,#REF!,#REF!,#REF!,#REF!,#REF!,#REF!,#REF!</definedName>
    <definedName function="false" hidden="true" name="__APW_RESTORE_DATA2268__" vbProcedure="false">#REF!,#REF!,#REF!,#REF!,#REF!,#REF!,#REF!,#REF!,#REF!,#REF!,#REF!,#REF!,#REF!,#REF!,#REF!</definedName>
    <definedName function="false" hidden="true" name="__APW_RESTORE_DATA2269__" vbProcedure="false">#REF!,#REF!,#REF!,#REF!,#REF!,#REF!</definedName>
    <definedName function="false" hidden="true" name="__APW_RESTORE_DATA226__" vbProcedure="false">#REF!,#REF!,#REF!,#REF!,#REF!,#REF!,#REF!,#REF!,#REF!,#REF!,#REF!,#REF!,#REF!,#REF!,#REF!</definedName>
    <definedName function="false" hidden="true" name="__APW_RESTORE_DATA2270__" vbProcedure="false">#REF!,#REF!,#REF!,#REF!,#REF!,#REF!,#REF!,#REF!,#REF!,#REF!,#REF!,#REF!,#REF!,#REF!,#REF!,#REF!</definedName>
    <definedName function="false" hidden="true" name="__APW_RESTORE_DATA2271__" vbProcedure="false">#REF!,#REF!,#REF!,#REF!,#REF!,#REF!,#REF!,#REF!,#REF!,#REF!,#REF!,#REF!,#REF!,#REF!,#REF!,#REF!</definedName>
    <definedName function="false" hidden="true" name="__APW_RESTORE_DATA2272__" vbProcedure="false">#REF!,#REF!,#REF!,#REF!,#REF!,#REF!,#REF!,#REF!,#REF!,#REF!,#REF!,#REF!,#REF!,#REF!,#REF!,#REF!</definedName>
    <definedName function="false" hidden="true" name="__APW_RESTORE_DATA2273__" vbProcedure="false">#REF!,#REF!,#REF!,#REF!,#REF!,#REF!,#REF!,#REF!,#REF!,#REF!,#REF!,#REF!,#REF!,#REF!,#REF!,#REF!</definedName>
    <definedName function="false" hidden="true" name="__APW_RESTORE_DATA2274__" vbProcedure="false">#REF!,#REF!,#REF!,#REF!,#REF!,#REF!,#REF!,#REF!,#REF!,#REF!,#REF!,#REF!,#REF!,#REF!,#REF!,#REF!</definedName>
    <definedName function="false" hidden="true" name="__APW_RESTORE_DATA2275__" vbProcedure="false">#REF!,#REF!,#REF!,#REF!,#REF!,#REF!,#REF!,#REF!,#REF!,#REF!,#REF!,#REF!,#REF!,#REF!,#REF!,#REF!</definedName>
    <definedName function="false" hidden="true" name="__APW_RESTORE_DATA2276__" vbProcedure="false">#REF!,#REF!,#REF!,#REF!,#REF!,#REF!,#REF!,#REF!,#REF!,#REF!,#REF!,#REF!,#REF!,#REF!,#REF!</definedName>
    <definedName function="false" hidden="true" name="__APW_RESTORE_DATA2277__" vbProcedure="false">#REF!,#REF!,#REF!,#REF!,#REF!,#REF!,#REF!,#REF!,#REF!,#REF!,#REF!,#REF!,#REF!,#REF!,#REF!</definedName>
    <definedName function="false" hidden="true" name="__APW_RESTORE_DATA2278__" vbProcedure="false">#REF!,#REF!,#REF!,#REF!,#REF!,#REF!,#REF!,#REF!,#REF!,#REF!,#REF!,#REF!,#REF!,#REF!,#REF!</definedName>
    <definedName function="false" hidden="true" name="__APW_RESTORE_DATA2279__" vbProcedure="false">#REF!,#REF!,#REF!,#REF!,#REF!,#REF!,#REF!,#REF!,#REF!,#REF!,#REF!,#REF!,#REF!,#REF!,#REF!</definedName>
    <definedName function="false" hidden="true" name="__APW_RESTORE_DATA227__" vbProcedure="false">#REF!,#REF!,#REF!,#REF!,#REF!,#REF!,#REF!,#REF!,#REF!,#REF!,#REF!,#REF!,#REF!,#REF!,#REF!</definedName>
    <definedName function="false" hidden="true" name="__APW_RESTORE_DATA2280__" vbProcedure="false">#REF!,#REF!,#REF!,#REF!,#REF!,#REF!,#REF!,#REF!,#REF!,#REF!,#REF!,#REF!,#REF!,#REF!,#REF!</definedName>
    <definedName function="false" hidden="true" name="__APW_RESTORE_DATA2281__" vbProcedure="false">#REF!,#REF!,#REF!,#REF!,#REF!,#REF!,#REF!,#REF!,#REF!,#REF!,#REF!,#REF!,#REF!,#REF!,#REF!</definedName>
    <definedName function="false" hidden="true" name="__APW_RESTORE_DATA2282__" vbProcedure="false">#REF!,#REF!,#REF!,#REF!,#REF!,#REF!,#REF!,#REF!,#REF!,#REF!,#REF!,#REF!,#REF!,#REF!,#REF!</definedName>
    <definedName function="false" hidden="true" name="__APW_RESTORE_DATA2283__" vbProcedure="false">#REF!,#REF!,#REF!,#REF!,#REF!,#REF!,#REF!,#REF!,#REF!,#REF!,#REF!,#REF!,#REF!,#REF!,#REF!</definedName>
    <definedName function="false" hidden="true" name="__APW_RESTORE_DATA2284__" vbProcedure="false">#REF!,#REF!,#REF!,#REF!,#REF!,#REF!,#REF!,#REF!,#REF!,#REF!,#REF!,#REF!,#REF!,#REF!,#REF!</definedName>
    <definedName function="false" hidden="true" name="__APW_RESTORE_DATA2285__" vbProcedure="false">#REF!,#REF!,#REF!,#REF!,#REF!,#REF!,#REF!,#REF!,#REF!,#REF!,#REF!,#REF!,#REF!,#REF!,#REF!</definedName>
    <definedName function="false" hidden="true" name="__APW_RESTORE_DATA2286__" vbProcedure="false">#REF!,#REF!,#REF!,#REF!,#REF!,#REF!,#REF!,#REF!,#REF!,#REF!,#REF!,#REF!,#REF!,#REF!,#REF!</definedName>
    <definedName function="false" hidden="true" name="__APW_RESTORE_DATA2287__" vbProcedure="false">#REF!,#REF!,#REF!,#REF!,#REF!,#REF!,#REF!,#REF!,#REF!,#REF!,#REF!,#REF!,#REF!,#REF!,#REF!</definedName>
    <definedName function="false" hidden="true" name="__APW_RESTORE_DATA2288__" vbProcedure="false">#REF!,#REF!,#REF!,#REF!,#REF!,#REF!,#REF!,#REF!,#REF!,#REF!,#REF!,#REF!,#REF!,#REF!,#REF!</definedName>
    <definedName function="false" hidden="true" name="__APW_RESTORE_DATA2289__" vbProcedure="false">#REF!,#REF!,#REF!,#REF!,#REF!,#REF!,#REF!,#REF!,#REF!,#REF!,#REF!,#REF!,#REF!,#REF!,#REF!</definedName>
    <definedName function="false" hidden="true" name="__APW_RESTORE_DATA228__" vbProcedure="false">#REF!,#REF!,#REF!,#REF!,#REF!,#REF!,#REF!,#REF!,#REF!,#REF!,#REF!,#REF!,#REF!,#REF!,#REF!</definedName>
    <definedName function="false" hidden="true" name="__APW_RESTORE_DATA2290__" vbProcedure="false">#REF!,#REF!,#REF!,#REF!,#REF!,#REF!,#REF!,#REF!,#REF!,#REF!,#REF!,#REF!,#REF!,#REF!,#REF!</definedName>
    <definedName function="false" hidden="true" name="__APW_RESTORE_DATA2291__" vbProcedure="false">#REF!,#REF!,#REF!,#REF!,#REF!,#REF!,#REF!,#REF!,#REF!,#REF!,#REF!,#REF!,#REF!,#REF!,#REF!</definedName>
    <definedName function="false" hidden="true" name="__APW_RESTORE_DATA2292__" vbProcedure="false">#REF!,#REF!,#REF!,#REF!,#REF!,#REF!,#REF!,#REF!,#REF!,#REF!,#REF!,#REF!,#REF!,#REF!,#REF!</definedName>
    <definedName function="false" hidden="true" name="__APW_RESTORE_DATA2293__" vbProcedure="false">#REF!,#REF!,#REF!,#REF!,#REF!,#REF!,#REF!,#REF!,#REF!,#REF!,#REF!,#REF!,#REF!,#REF!,#REF!</definedName>
    <definedName function="false" hidden="true" name="__APW_RESTORE_DATA2294__" vbProcedure="false">#REF!,#REF!,#REF!,#REF!,#REF!,#REF!,#REF!,#REF!,#REF!,#REF!,#REF!,#REF!,#REF!,#REF!,#REF!</definedName>
    <definedName function="false" hidden="true" name="__APW_RESTORE_DATA2295__" vbProcedure="false">#REF!,#REF!,#REF!,#REF!,#REF!,#REF!,#REF!,#REF!,#REF!,#REF!,#REF!,#REF!,#REF!,#REF!,#REF!</definedName>
    <definedName function="false" hidden="true" name="__APW_RESTORE_DATA2296__" vbProcedure="false">#REF!,#REF!,#REF!,#REF!,#REF!,#REF!,#REF!,#REF!,#REF!,#REF!,#REF!,#REF!,#REF!,#REF!,#REF!</definedName>
    <definedName function="false" hidden="true" name="__APW_RESTORE_DATA2297__" vbProcedure="false">#REF!,#REF!,#REF!,#REF!,#REF!,#REF!,#REF!,#REF!,#REF!,#REF!,#REF!,#REF!,#REF!,#REF!,#REF!</definedName>
    <definedName function="false" hidden="true" name="__APW_RESTORE_DATA2298__" vbProcedure="false">#REF!,#REF!,#REF!,#REF!,#REF!,#REF!,#REF!,#REF!,#REF!,#REF!,#REF!,#REF!,#REF!,#REF!,#REF!</definedName>
    <definedName function="false" hidden="true" name="__APW_RESTORE_DATA2299__" vbProcedure="false">#REF!,#REF!,#REF!,#REF!,#REF!,#REF!,#REF!,#REF!,#REF!,#REF!,#REF!,#REF!,#REF!,#REF!,#REF!</definedName>
    <definedName function="false" hidden="true" name="__APW_RESTORE_DATA229__" vbProcedure="false">#REF!,#REF!,#REF!,#REF!,#REF!,#REF!,#REF!,#REF!,#REF!,#REF!,#REF!,#REF!,#REF!,#REF!,#REF!</definedName>
    <definedName function="false" hidden="true" name="__APW_RESTORE_DATA22__" vbProcedure="false">#REF!,#REF!,#REF!,#REF!,#REF!,#REF!,#REF!,#REF!,#REF!,#REF!,#REF!,#REF!,#REF!,#REF!,#REF!,#REF!</definedName>
    <definedName function="false" hidden="true" name="__APW_RESTORE_DATA2300__" vbProcedure="false">#REF!,#REF!,#REF!,#REF!,#REF!,#REF!,#REF!,#REF!,#REF!,#REF!,#REF!,#REF!,#REF!,#REF!,#REF!</definedName>
    <definedName function="false" hidden="true" name="__APW_RESTORE_DATA2301__" vbProcedure="false">#REF!,#REF!,#REF!,#REF!,#REF!,#REF!,#REF!,#REF!,#REF!,#REF!,#REF!,#REF!,#REF!,#REF!,#REF!</definedName>
    <definedName function="false" hidden="true" name="__APW_RESTORE_DATA2302__" vbProcedure="false">#REF!,#REF!,#REF!,#REF!,#REF!,#REF!,#REF!,#REF!,#REF!,#REF!,#REF!,#REF!,#REF!,#REF!,#REF!</definedName>
    <definedName function="false" hidden="true" name="__APW_RESTORE_DATA2303__" vbProcedure="false">#REF!,#REF!,#REF!,#REF!,#REF!,#REF!,#REF!,#REF!,#REF!,#REF!,#REF!,#REF!,#REF!,#REF!,#REF!</definedName>
    <definedName function="false" hidden="true" name="__APW_RESTORE_DATA2304__" vbProcedure="false">#REF!,#REF!,#REF!,#REF!,#REF!,#REF!</definedName>
    <definedName function="false" hidden="true" name="__APW_RESTORE_DATA2305__" vbProcedure="false">#REF!</definedName>
    <definedName function="false" hidden="true" name="__APW_RESTORE_DATA2306__" vbProcedure="false">#REF!</definedName>
    <definedName function="false" hidden="true" name="__APW_RESTORE_DATA2307__" vbProcedure="false">#REF!</definedName>
    <definedName function="false" hidden="true" name="__APW_RESTORE_DATA2309__" vbProcedure="false">#REF!</definedName>
    <definedName function="false" hidden="true" name="__APW_RESTORE_DATA230__" vbProcedure="false">#REF!,#REF!,#REF!,#REF!,#REF!,#REF!,#REF!,#REF!,#REF!,#REF!,#REF!,#REF!,#REF!,#REF!,#REF!</definedName>
    <definedName function="false" hidden="true" name="__APW_RESTORE_DATA2310__" vbProcedure="false">#REF!,#REF!,#REF!,#REF!,#REF!,#REF!,#REF!,#REF!,#REF!,#REF!,#REF!,#REF!,#REF!,#REF!,#REF!,#REF!</definedName>
    <definedName function="false" hidden="true" name="__APW_RESTORE_DATA2311__" vbProcedure="false">#REF!,#REF!,#REF!,#REF!,#REF!,#REF!,#REF!,#REF!,#REF!,#REF!,#REF!,#REF!,#REF!,#REF!,#REF!,#REF!</definedName>
    <definedName function="false" hidden="true" name="__APW_RESTORE_DATA2312__" vbProcedure="false">#REF!,#REF!,#REF!,#REF!,#REF!,#REF!,#REF!,#REF!,#REF!,#REF!,#REF!,#REF!,#REF!,#REF!,#REF!,#REF!</definedName>
    <definedName function="false" hidden="true" name="__APW_RESTORE_DATA2313__" vbProcedure="false">#REF!,#REF!,#REF!,#REF!,#REF!,#REF!,#REF!,#REF!,#REF!,#REF!,#REF!,#REF!,#REF!,#REF!,#REF!,#REF!</definedName>
    <definedName function="false" hidden="true" name="__APW_RESTORE_DATA2314__" vbProcedure="false">#REF!,#REF!,#REF!,#REF!,#REF!,#REF!,#REF!,#REF!,#REF!,#REF!,#REF!,#REF!,#REF!,#REF!,#REF!,#REF!</definedName>
    <definedName function="false" hidden="true" name="__APW_RESTORE_DATA2315__" vbProcedure="false">#REF!,#REF!,#REF!,#REF!,#REF!,#REF!,#REF!,#REF!,#REF!,#REF!,#REF!,#REF!,#REF!,#REF!,#REF!,#REF!</definedName>
    <definedName function="false" hidden="true" name="__APW_RESTORE_DATA2316__" vbProcedure="false">#REF!,#REF!,#REF!,#REF!,#REF!,#REF!,#REF!,#REF!,#REF!,#REF!,#REF!,#REF!,#REF!,#REF!,#REF!</definedName>
    <definedName function="false" hidden="true" name="__APW_RESTORE_DATA2317__" vbProcedure="false">#REF!,#REF!,#REF!,#REF!,#REF!,#REF!,#REF!,#REF!,#REF!,#REF!,#REF!,#REF!,#REF!,#REF!,#REF!</definedName>
    <definedName function="false" hidden="true" name="__APW_RESTORE_DATA2318__" vbProcedure="false">#REF!,#REF!,#REF!,#REF!,#REF!,#REF!,#REF!,#REF!,#REF!,#REF!,#REF!,#REF!,#REF!,#REF!,#REF!</definedName>
    <definedName function="false" hidden="true" name="__APW_RESTORE_DATA2319__" vbProcedure="false">#REF!,#REF!,#REF!,#REF!,#REF!,#REF!,#REF!,#REF!,#REF!,#REF!,#REF!,#REF!,#REF!,#REF!,#REF!</definedName>
    <definedName function="false" hidden="true" name="__APW_RESTORE_DATA231__" vbProcedure="false">#REF!,#REF!,#REF!,#REF!,#REF!,#REF!,#REF!,#REF!,#REF!,#REF!,#REF!,#REF!,#REF!,#REF!,#REF!</definedName>
    <definedName function="false" hidden="true" name="__APW_RESTORE_DATA2320__" vbProcedure="false">#REF!,#REF!,#REF!,#REF!,#REF!,#REF!,#REF!,#REF!,#REF!,#REF!,#REF!,#REF!,#REF!,#REF!,#REF!</definedName>
    <definedName function="false" hidden="true" name="__APW_RESTORE_DATA2321__" vbProcedure="false">#REF!,#REF!,#REF!,#REF!,#REF!,#REF!,#REF!,#REF!,#REF!,#REF!,#REF!,#REF!,#REF!,#REF!,#REF!</definedName>
    <definedName function="false" hidden="true" name="__APW_RESTORE_DATA2322__" vbProcedure="false">#REF!,#REF!,#REF!,#REF!,#REF!,#REF!,#REF!,#REF!,#REF!,#REF!,#REF!,#REF!,#REF!,#REF!,#REF!</definedName>
    <definedName function="false" hidden="true" name="__APW_RESTORE_DATA2323__" vbProcedure="false">#REF!,#REF!,#REF!,#REF!,#REF!,#REF!,#REF!,#REF!,#REF!,#REF!,#REF!,#REF!,#REF!,#REF!,#REF!</definedName>
    <definedName function="false" hidden="true" name="__APW_RESTORE_DATA2324__" vbProcedure="false">#REF!,#REF!,#REF!,#REF!,#REF!,#REF!,#REF!,#REF!,#REF!,#REF!,#REF!,#REF!,#REF!,#REF!,#REF!</definedName>
    <definedName function="false" hidden="true" name="__APW_RESTORE_DATA2325__" vbProcedure="false">#REF!,#REF!,#REF!,#REF!,#REF!,#REF!,#REF!,#REF!,#REF!,#REF!,#REF!,#REF!,#REF!,#REF!,#REF!</definedName>
    <definedName function="false" hidden="true" name="__APW_RESTORE_DATA2326__" vbProcedure="false">#REF!,#REF!,#REF!,#REF!,#REF!,#REF!,#REF!,#REF!,#REF!,#REF!,#REF!,#REF!,#REF!,#REF!,#REF!</definedName>
    <definedName function="false" hidden="true" name="__APW_RESTORE_DATA2327__" vbProcedure="false">#REF!,#REF!,#REF!,#REF!,#REF!,#REF!,#REF!,#REF!,#REF!,#REF!,#REF!,#REF!,#REF!,#REF!,#REF!</definedName>
    <definedName function="false" hidden="true" name="__APW_RESTORE_DATA2328__" vbProcedure="false">#REF!,#REF!,#REF!,#REF!,#REF!,#REF!,#REF!,#REF!,#REF!,#REF!,#REF!,#REF!,#REF!,#REF!,#REF!</definedName>
    <definedName function="false" hidden="true" name="__APW_RESTORE_DATA2329__" vbProcedure="false">#REF!,#REF!,#REF!,#REF!,#REF!,#REF!,#REF!,#REF!,#REF!,#REF!,#REF!,#REF!,#REF!,#REF!,#REF!</definedName>
    <definedName function="false" hidden="true" name="__APW_RESTORE_DATA232__" vbProcedure="false">#REF!,#REF!</definedName>
    <definedName function="false" hidden="true" name="__APW_RESTORE_DATA2330__" vbProcedure="false">#REF!,#REF!,#REF!,#REF!,#REF!,#REF!,#REF!,#REF!,#REF!,#REF!,#REF!,#REF!,#REF!,#REF!,#REF!</definedName>
    <definedName function="false" hidden="true" name="__APW_RESTORE_DATA2331__" vbProcedure="false">#REF!,#REF!,#REF!,#REF!,#REF!,#REF!,#REF!,#REF!,#REF!,#REF!,#REF!,#REF!,#REF!,#REF!,#REF!</definedName>
    <definedName function="false" hidden="true" name="__APW_RESTORE_DATA2332__" vbProcedure="false">#REF!,#REF!,#REF!,#REF!,#REF!,#REF!,#REF!,#REF!,#REF!,#REF!,#REF!,#REF!,#REF!,#REF!,#REF!</definedName>
    <definedName function="false" hidden="true" name="__APW_RESTORE_DATA2333__" vbProcedure="false">#REF!,#REF!,#REF!,#REF!,#REF!,#REF!,#REF!,#REF!,#REF!,#REF!,#REF!,#REF!,#REF!,#REF!,#REF!</definedName>
    <definedName function="false" hidden="true" name="__APW_RESTORE_DATA2334__" vbProcedure="false">#REF!,#REF!,#REF!,#REF!,#REF!,#REF!,#REF!,#REF!,#REF!,#REF!,#REF!,#REF!,#REF!,#REF!,#REF!</definedName>
    <definedName function="false" hidden="true" name="__APW_RESTORE_DATA2335__" vbProcedure="false">#REF!,#REF!,#REF!,#REF!,#REF!,#REF!,#REF!,#REF!,#REF!,#REF!,#REF!,#REF!,#REF!,#REF!,#REF!</definedName>
    <definedName function="false" hidden="true" name="__APW_RESTORE_DATA2336__" vbProcedure="false">#REF!,#REF!,#REF!,#REF!,#REF!,#REF!,#REF!,#REF!,#REF!,#REF!,#REF!,#REF!,#REF!,#REF!,#REF!</definedName>
    <definedName function="false" hidden="true" name="__APW_RESTORE_DATA2337__" vbProcedure="false">#REF!,#REF!,#REF!,#REF!,#REF!,#REF!,#REF!,#REF!,#REF!,#REF!,#REF!,#REF!,#REF!,#REF!,#REF!</definedName>
    <definedName function="false" hidden="true" name="__APW_RESTORE_DATA2338__" vbProcedure="false">#REF!,#REF!,#REF!,#REF!,#REF!,#REF!,#REF!,#REF!,#REF!,#REF!,#REF!,#REF!,#REF!,#REF!,#REF!</definedName>
    <definedName function="false" hidden="true" name="__APW_RESTORE_DATA2339__" vbProcedure="false">#REF!,#REF!,#REF!,#REF!,#REF!,#REF!,#REF!,#REF!,#REF!,#REF!,#REF!,#REF!,#REF!,#REF!,#REF!</definedName>
    <definedName function="false" hidden="true" name="__APW_RESTORE_DATA233__" vbProcedure="false">#REF!,#REF!</definedName>
    <definedName function="false" hidden="true" name="__APW_RESTORE_DATA2340__" vbProcedure="false">#REF!,#REF!,#REF!,#REF!,#REF!,#REF!,#REF!,#REF!,#REF!,#REF!,#REF!,#REF!,#REF!,#REF!,#REF!</definedName>
    <definedName function="false" hidden="true" name="__APW_RESTORE_DATA2341__" vbProcedure="false">#REF!,#REF!,#REF!,#REF!,#REF!,#REF!,#REF!,#REF!,#REF!,#REF!,#REF!,#REF!,#REF!,#REF!,#REF!</definedName>
    <definedName function="false" hidden="true" name="__APW_RESTORE_DATA2342__" vbProcedure="false">#REF!,#REF!,#REF!,#REF!,#REF!,#REF!,#REF!,#REF!,#REF!,#REF!,#REF!,#REF!,#REF!,#REF!,#REF!</definedName>
    <definedName function="false" hidden="true" name="__APW_RESTORE_DATA2343__" vbProcedure="false">#REF!,#REF!,#REF!,#REF!,#REF!,#REF!,#REF!,#REF!,#REF!,#REF!,#REF!,#REF!,#REF!,#REF!,#REF!</definedName>
    <definedName function="false" hidden="true" name="__APW_RESTORE_DATA2344__" vbProcedure="false">#REF!,#REF!,#REF!,#REF!,#REF!,#REF!</definedName>
    <definedName function="false" hidden="true" name="__APW_RESTORE_DATA2345__" vbProcedure="false">#REF!,#REF!,#REF!,#REF!,#REF!,#REF!,#REF!,#REF!,#REF!,#REF!,#REF!,#REF!,#REF!,#REF!,#REF!,#REF!</definedName>
    <definedName function="false" hidden="true" name="__APW_RESTORE_DATA2346__" vbProcedure="false">#REF!,#REF!,#REF!,#REF!,#REF!,#REF!,#REF!,#REF!,#REF!,#REF!,#REF!,#REF!,#REF!,#REF!,#REF!,#REF!</definedName>
    <definedName function="false" hidden="true" name="__APW_RESTORE_DATA2347__" vbProcedure="false">#REF!,#REF!,#REF!,#REF!,#REF!,#REF!,#REF!,#REF!,#REF!,#REF!,#REF!,#REF!,#REF!,#REF!,#REF!,#REF!</definedName>
    <definedName function="false" hidden="true" name="__APW_RESTORE_DATA2348__" vbProcedure="false">#REF!,#REF!,#REF!,#REF!,#REF!,#REF!,#REF!,#REF!,#REF!,#REF!,#REF!,#REF!,#REF!,#REF!,#REF!,#REF!</definedName>
    <definedName function="false" hidden="true" name="__APW_RESTORE_DATA2349__" vbProcedure="false">#REF!,#REF!,#REF!,#REF!,#REF!,#REF!,#REF!,#REF!,#REF!,#REF!,#REF!,#REF!,#REF!,#REF!,#REF!,#REF!</definedName>
    <definedName function="false" hidden="true" name="__APW_RESTORE_DATA234__" vbProcedure="false">#REF!,#REF!,#REF!,#REF!,#REF!,#REF!,#REF!,#REF!,#REF!,#REF!,#REF!,#REF!,#REF!,#REF!,#REF!</definedName>
    <definedName function="false" hidden="true" name="__APW_RESTORE_DATA2350__" vbProcedure="false">#REF!,#REF!,#REF!,#REF!,#REF!,#REF!,#REF!,#REF!,#REF!,#REF!,#REF!,#REF!,#REF!,#REF!,#REF!,#REF!</definedName>
    <definedName function="false" hidden="true" name="__APW_RESTORE_DATA2351__" vbProcedure="false">#REF!,#REF!,#REF!,#REF!,#REF!,#REF!,#REF!,#REF!,#REF!,#REF!,#REF!,#REF!,#REF!,#REF!,#REF!</definedName>
    <definedName function="false" hidden="true" name="__APW_RESTORE_DATA2352__" vbProcedure="false">#REF!,#REF!,#REF!,#REF!,#REF!,#REF!,#REF!,#REF!,#REF!,#REF!,#REF!,#REF!,#REF!,#REF!,#REF!</definedName>
    <definedName function="false" hidden="true" name="__APW_RESTORE_DATA2353__" vbProcedure="false">#REF!,#REF!,#REF!,#REF!,#REF!,#REF!,#REF!,#REF!,#REF!,#REF!,#REF!,#REF!,#REF!,#REF!,#REF!</definedName>
    <definedName function="false" hidden="true" name="__APW_RESTORE_DATA2354__" vbProcedure="false">#REF!,#REF!,#REF!,#REF!,#REF!,#REF!,#REF!,#REF!,#REF!,#REF!,#REF!,#REF!,#REF!,#REF!,#REF!</definedName>
    <definedName function="false" hidden="true" name="__APW_RESTORE_DATA2355__" vbProcedure="false">#REF!,#REF!,#REF!,#REF!,#REF!,#REF!,#REF!,#REF!,#REF!,#REF!,#REF!,#REF!,#REF!,#REF!,#REF!</definedName>
    <definedName function="false" hidden="true" name="__APW_RESTORE_DATA2356__" vbProcedure="false">#REF!,#REF!,#REF!,#REF!,#REF!,#REF!,#REF!,#REF!,#REF!,#REF!,#REF!,#REF!,#REF!,#REF!,#REF!</definedName>
    <definedName function="false" hidden="true" name="__APW_RESTORE_DATA2357__" vbProcedure="false">#REF!,#REF!,#REF!,#REF!,#REF!,#REF!,#REF!,#REF!,#REF!,#REF!,#REF!,#REF!,#REF!,#REF!,#REF!</definedName>
    <definedName function="false" hidden="true" name="__APW_RESTORE_DATA2358__" vbProcedure="false">#REF!,#REF!,#REF!,#REF!,#REF!,#REF!,#REF!,#REF!,#REF!,#REF!,#REF!,#REF!,#REF!,#REF!,#REF!</definedName>
    <definedName function="false" hidden="true" name="__APW_RESTORE_DATA2359__" vbProcedure="false">#REF!,#REF!,#REF!,#REF!,#REF!,#REF!,#REF!,#REF!,#REF!,#REF!,#REF!,#REF!,#REF!,#REF!,#REF!</definedName>
    <definedName function="false" hidden="true" name="__APW_RESTORE_DATA235__" vbProcedure="false">#REF!,#REF!,#REF!,#REF!,#REF!,#REF!,#REF!,#REF!,#REF!,#REF!,#REF!,#REF!,#REF!,#REF!,#REF!</definedName>
    <definedName function="false" hidden="true" name="__APW_RESTORE_DATA2360__" vbProcedure="false">#REF!,#REF!,#REF!,#REF!,#REF!,#REF!,#REF!,#REF!,#REF!,#REF!,#REF!,#REF!,#REF!,#REF!,#REF!</definedName>
    <definedName function="false" hidden="true" name="__APW_RESTORE_DATA2361__" vbProcedure="false">#REF!,#REF!,#REF!,#REF!,#REF!,#REF!,#REF!,#REF!,#REF!,#REF!,#REF!,#REF!,#REF!,#REF!,#REF!</definedName>
    <definedName function="false" hidden="true" name="__APW_RESTORE_DATA2362__" vbProcedure="false">#REF!,#REF!,#REF!,#REF!,#REF!,#REF!,#REF!,#REF!,#REF!,#REF!,#REF!,#REF!,#REF!,#REF!,#REF!</definedName>
    <definedName function="false" hidden="true" name="__APW_RESTORE_DATA2363__" vbProcedure="false">#REF!,#REF!,#REF!,#REF!,#REF!,#REF!,#REF!,#REF!,#REF!,#REF!,#REF!,#REF!,#REF!,#REF!,#REF!</definedName>
    <definedName function="false" hidden="true" name="__APW_RESTORE_DATA2364__" vbProcedure="false">#REF!,#REF!,#REF!,#REF!,#REF!,#REF!,#REF!,#REF!,#REF!,#REF!,#REF!,#REF!,#REF!,#REF!,#REF!</definedName>
    <definedName function="false" hidden="true" name="__APW_RESTORE_DATA2365__" vbProcedure="false">#REF!,#REF!,#REF!,#REF!,#REF!,#REF!,#REF!,#REF!,#REF!,#REF!,#REF!,#REF!,#REF!,#REF!,#REF!</definedName>
    <definedName function="false" hidden="true" name="__APW_RESTORE_DATA2366__" vbProcedure="false">#REF!,#REF!,#REF!,#REF!,#REF!,#REF!,#REF!,#REF!,#REF!,#REF!,#REF!,#REF!,#REF!,#REF!,#REF!</definedName>
    <definedName function="false" hidden="true" name="__APW_RESTORE_DATA2367__" vbProcedure="false">#REF!,#REF!,#REF!,#REF!,#REF!,#REF!,#REF!,#REF!,#REF!,#REF!,#REF!,#REF!,#REF!,#REF!,#REF!</definedName>
    <definedName function="false" hidden="true" name="__APW_RESTORE_DATA2368__" vbProcedure="false">#REF!,#REF!,#REF!,#REF!,#REF!,#REF!,#REF!,#REF!,#REF!,#REF!,#REF!,#REF!,#REF!,#REF!,#REF!</definedName>
    <definedName function="false" hidden="true" name="__APW_RESTORE_DATA2369__" vbProcedure="false">#REF!,#REF!,#REF!,#REF!,#REF!,#REF!,#REF!,#REF!,#REF!,#REF!,#REF!,#REF!,#REF!,#REF!,#REF!</definedName>
    <definedName function="false" hidden="true" name="__APW_RESTORE_DATA236__" vbProcedure="false">#REF!,#REF!,#REF!,#REF!,#REF!,#REF!,#REF!,#REF!,#REF!,#REF!,#REF!,#REF!,#REF!,#REF!,#REF!</definedName>
    <definedName function="false" hidden="true" name="__APW_RESTORE_DATA2370__" vbProcedure="false">#REF!,#REF!,#REF!,#REF!,#REF!,#REF!,#REF!,#REF!,#REF!,#REF!,#REF!,#REF!,#REF!,#REF!,#REF!</definedName>
    <definedName function="false" hidden="true" name="__APW_RESTORE_DATA2371__" vbProcedure="false">#REF!,#REF!,#REF!,#REF!,#REF!,#REF!,#REF!,#REF!,#REF!,#REF!,#REF!,#REF!,#REF!,#REF!,#REF!</definedName>
    <definedName function="false" hidden="true" name="__APW_RESTORE_DATA2372__" vbProcedure="false">#REF!,#REF!,#REF!,#REF!,#REF!,#REF!,#REF!,#REF!,#REF!,#REF!,#REF!,#REF!,#REF!,#REF!,#REF!</definedName>
    <definedName function="false" hidden="true" name="__APW_RESTORE_DATA2373__" vbProcedure="false">#REF!,#REF!,#REF!,#REF!,#REF!,#REF!,#REF!,#REF!,#REF!,#REF!,#REF!,#REF!,#REF!,#REF!,#REF!</definedName>
    <definedName function="false" hidden="true" name="__APW_RESTORE_DATA2374__" vbProcedure="false">#REF!,#REF!,#REF!,#REF!,#REF!,#REF!,#REF!,#REF!,#REF!,#REF!,#REF!,#REF!,#REF!,#REF!,#REF!</definedName>
    <definedName function="false" hidden="true" name="__APW_RESTORE_DATA2375__" vbProcedure="false">#REF!,#REF!,#REF!,#REF!,#REF!,#REF!,#REF!,#REF!,#REF!,#REF!,#REF!,#REF!,#REF!,#REF!,#REF!</definedName>
    <definedName function="false" hidden="true" name="__APW_RESTORE_DATA2376__" vbProcedure="false">#REF!,#REF!,#REF!,#REF!,#REF!,#REF!,#REF!,#REF!,#REF!,#REF!,#REF!,#REF!,#REF!,#REF!,#REF!</definedName>
    <definedName function="false" hidden="true" name="__APW_RESTORE_DATA2377__" vbProcedure="false">#REF!,#REF!,#REF!,#REF!,#REF!,#REF!,#REF!,#REF!,#REF!,#REF!,#REF!,#REF!,#REF!,#REF!,#REF!</definedName>
    <definedName function="false" hidden="true" name="__APW_RESTORE_DATA2378__" vbProcedure="false">#REF!,#REF!,#REF!,#REF!,#REF!,#REF!,#REF!,#REF!,#REF!,#REF!,#REF!,#REF!,#REF!,#REF!,#REF!</definedName>
    <definedName function="false" hidden="true" name="__APW_RESTORE_DATA2379__" vbProcedure="false">#REF!,#REF!,#REF!,#REF!,#REF!,#REF!</definedName>
    <definedName function="false" hidden="true" name="__APW_RESTORE_DATA237__" vbProcedure="false">#REF!,#REF!,#REF!,#REF!,#REF!,#REF!,#REF!,#REF!,#REF!,#REF!,#REF!,#REF!,#REF!,#REF!,#REF!</definedName>
    <definedName function="false" hidden="true" name="__APW_RESTORE_DATA2380__" vbProcedure="false">#REF!,#REF!,#REF!,#REF!,#REF!,#REF!,#REF!,#REF!,#REF!,#REF!,#REF!,#REF!,#REF!,#REF!,#REF!,#REF!</definedName>
    <definedName function="false" hidden="true" name="__APW_RESTORE_DATA2381__" vbProcedure="false">#REF!,#REF!,#REF!,#REF!,#REF!,#REF!,#REF!,#REF!,#REF!,#REF!,#REF!,#REF!,#REF!,#REF!,#REF!,#REF!</definedName>
    <definedName function="false" hidden="true" name="__APW_RESTORE_DATA2382__" vbProcedure="false">#REF!,#REF!,#REF!,#REF!,#REF!,#REF!,#REF!,#REF!,#REF!,#REF!,#REF!,#REF!,#REF!,#REF!,#REF!,#REF!</definedName>
    <definedName function="false" hidden="true" name="__APW_RESTORE_DATA2383__" vbProcedure="false">#REF!,#REF!,#REF!,#REF!,#REF!,#REF!,#REF!,#REF!,#REF!,#REF!,#REF!,#REF!,#REF!,#REF!,#REF!,#REF!</definedName>
    <definedName function="false" hidden="true" name="__APW_RESTORE_DATA2384__" vbProcedure="false">#REF!,#REF!,#REF!,#REF!,#REF!,#REF!,#REF!,#REF!,#REF!,#REF!,#REF!,#REF!,#REF!,#REF!,#REF!,#REF!</definedName>
    <definedName function="false" hidden="true" name="__APW_RESTORE_DATA2385__" vbProcedure="false">#REF!,#REF!,#REF!,#REF!,#REF!,#REF!,#REF!,#REF!,#REF!,#REF!,#REF!,#REF!,#REF!,#REF!,#REF!,#REF!</definedName>
    <definedName function="false" hidden="true" name="__APW_RESTORE_DATA2386__" vbProcedure="false">#REF!,#REF!,#REF!,#REF!,#REF!,#REF!,#REF!,#REF!,#REF!,#REF!,#REF!,#REF!,#REF!,#REF!,#REF!</definedName>
    <definedName function="false" hidden="true" name="__APW_RESTORE_DATA2387__" vbProcedure="false">#REF!,#REF!,#REF!,#REF!,#REF!,#REF!,#REF!,#REF!,#REF!,#REF!,#REF!,#REF!,#REF!,#REF!,#REF!</definedName>
    <definedName function="false" hidden="true" name="__APW_RESTORE_DATA2388__" vbProcedure="false">#REF!,#REF!,#REF!,#REF!,#REF!,#REF!,#REF!,#REF!,#REF!,#REF!,#REF!,#REF!,#REF!,#REF!,#REF!</definedName>
    <definedName function="false" hidden="true" name="__APW_RESTORE_DATA2389__" vbProcedure="false">#REF!,#REF!,#REF!,#REF!,#REF!,#REF!,#REF!,#REF!,#REF!,#REF!,#REF!,#REF!,#REF!,#REF!,#REF!</definedName>
    <definedName function="false" hidden="true" name="__APW_RESTORE_DATA238__" vbProcedure="false">#REF!,#REF!,#REF!,#REF!,#REF!,#REF!,#REF!,#REF!,#REF!,#REF!,#REF!,#REF!,#REF!,#REF!,#REF!</definedName>
    <definedName function="false" hidden="true" name="__APW_RESTORE_DATA2390__" vbProcedure="false">#REF!,#REF!,#REF!,#REF!,#REF!,#REF!,#REF!,#REF!,#REF!,#REF!,#REF!,#REF!,#REF!,#REF!,#REF!</definedName>
    <definedName function="false" hidden="true" name="__APW_RESTORE_DATA2391__" vbProcedure="false">#REF!,#REF!,#REF!,#REF!,#REF!,#REF!,#REF!,#REF!,#REF!,#REF!,#REF!,#REF!,#REF!,#REF!,#REF!</definedName>
    <definedName function="false" hidden="true" name="__APW_RESTORE_DATA2392__" vbProcedure="false">#REF!,#REF!,#REF!,#REF!,#REF!,#REF!,#REF!,#REF!,#REF!,#REF!,#REF!,#REF!,#REF!,#REF!,#REF!</definedName>
    <definedName function="false" hidden="true" name="__APW_RESTORE_DATA2393__" vbProcedure="false">#REF!,#REF!,#REF!,#REF!,#REF!,#REF!,#REF!,#REF!,#REF!,#REF!,#REF!,#REF!,#REF!,#REF!,#REF!</definedName>
    <definedName function="false" hidden="true" name="__APW_RESTORE_DATA2394__" vbProcedure="false">#REF!,#REF!,#REF!,#REF!,#REF!,#REF!,#REF!,#REF!,#REF!,#REF!,#REF!,#REF!,#REF!,#REF!,#REF!</definedName>
    <definedName function="false" hidden="true" name="__APW_RESTORE_DATA2395__" vbProcedure="false">#REF!,#REF!,#REF!,#REF!,#REF!,#REF!,#REF!,#REF!,#REF!,#REF!,#REF!,#REF!,#REF!,#REF!,#REF!</definedName>
    <definedName function="false" hidden="true" name="__APW_RESTORE_DATA2396__" vbProcedure="false">#REF!,#REF!,#REF!,#REF!,#REF!,#REF!,#REF!,#REF!,#REF!,#REF!,#REF!,#REF!,#REF!,#REF!,#REF!</definedName>
    <definedName function="false" hidden="true" name="__APW_RESTORE_DATA2397__" vbProcedure="false">#REF!,#REF!,#REF!,#REF!,#REF!,#REF!,#REF!,#REF!,#REF!,#REF!,#REF!,#REF!,#REF!,#REF!,#REF!</definedName>
    <definedName function="false" hidden="true" name="__APW_RESTORE_DATA2398__" vbProcedure="false">#REF!,#REF!,#REF!,#REF!,#REF!,#REF!,#REF!,#REF!,#REF!,#REF!,#REF!,#REF!,#REF!,#REF!,#REF!</definedName>
    <definedName function="false" hidden="true" name="__APW_RESTORE_DATA2399__" vbProcedure="false">#REF!,#REF!,#REF!,#REF!,#REF!,#REF!,#REF!,#REF!,#REF!,#REF!,#REF!,#REF!,#REF!,#REF!,#REF!</definedName>
    <definedName function="false" hidden="true" name="__APW_RESTORE_DATA239__" vbProcedure="false">#REF!,#REF!,#REF!,#REF!,#REF!,#REF!,#REF!,#REF!,#REF!,#REF!,#REF!,#REF!,#REF!,#REF!,#REF!</definedName>
    <definedName function="false" hidden="true" name="__APW_RESTORE_DATA23__" vbProcedure="false">#REF!,#REF!,#REF!,#REF!,#REF!,#REF!,#REF!,#REF!,#REF!,#REF!,#REF!,#REF!,#REF!,#REF!,#REF!</definedName>
    <definedName function="false" hidden="true" name="__APW_RESTORE_DATA2400__" vbProcedure="false">#REF!,#REF!,#REF!,#REF!,#REF!,#REF!,#REF!,#REF!,#REF!,#REF!,#REF!,#REF!,#REF!,#REF!,#REF!</definedName>
    <definedName function="false" hidden="true" name="__APW_RESTORE_DATA2401__" vbProcedure="false">#REF!,#REF!,#REF!,#REF!,#REF!,#REF!,#REF!,#REF!,#REF!,#REF!,#REF!,#REF!,#REF!,#REF!,#REF!</definedName>
    <definedName function="false" hidden="true" name="__APW_RESTORE_DATA2402__" vbProcedure="false">#REF!,#REF!,#REF!,#REF!,#REF!,#REF!,#REF!,#REF!,#REF!,#REF!,#REF!,#REF!,#REF!,#REF!,#REF!</definedName>
    <definedName function="false" hidden="true" name="__APW_RESTORE_DATA2403__" vbProcedure="false">#REF!,#REF!,#REF!,#REF!,#REF!,#REF!,#REF!,#REF!,#REF!,#REF!,#REF!,#REF!,#REF!,#REF!,#REF!</definedName>
    <definedName function="false" hidden="true" name="__APW_RESTORE_DATA2404__" vbProcedure="false">#REF!,#REF!,#REF!,#REF!,#REF!,#REF!,#REF!,#REF!,#REF!,#REF!,#REF!,#REF!,#REF!,#REF!,#REF!</definedName>
    <definedName function="false" hidden="true" name="__APW_RESTORE_DATA2405__" vbProcedure="false">#REF!,#REF!,#REF!,#REF!,#REF!,#REF!,#REF!,#REF!,#REF!,#REF!,#REF!,#REF!,#REF!,#REF!,#REF!</definedName>
    <definedName function="false" hidden="true" name="__APW_RESTORE_DATA2406__" vbProcedure="false">#REF!,#REF!,#REF!,#REF!,#REF!,#REF!,#REF!,#REF!,#REF!,#REF!,#REF!,#REF!,#REF!,#REF!,#REF!</definedName>
    <definedName function="false" hidden="true" name="__APW_RESTORE_DATA2407__" vbProcedure="false">#REF!,#REF!,#REF!,#REF!,#REF!,#REF!,#REF!,#REF!,#REF!,#REF!,#REF!,#REF!,#REF!,#REF!,#REF!</definedName>
    <definedName function="false" hidden="true" name="__APW_RESTORE_DATA2408__" vbProcedure="false">#REF!,#REF!,#REF!,#REF!,#REF!,#REF!,#REF!,#REF!,#REF!,#REF!,#REF!,#REF!,#REF!,#REF!,#REF!</definedName>
    <definedName function="false" hidden="true" name="__APW_RESTORE_DATA2409__" vbProcedure="false">#REF!,#REF!,#REF!,#REF!,#REF!,#REF!,#REF!,#REF!,#REF!,#REF!,#REF!,#REF!,#REF!,#REF!,#REF!</definedName>
    <definedName function="false" hidden="true" name="__APW_RESTORE_DATA240__" vbProcedure="false">#REF!,#REF!,#REF!,#REF!,#REF!,#REF!,#REF!,#REF!,#REF!,#REF!,#REF!,#REF!,#REF!,#REF!,#REF!</definedName>
    <definedName function="false" hidden="true" name="__APW_RESTORE_DATA2410__" vbProcedure="false">#REF!,#REF!,#REF!,#REF!,#REF!,#REF!,#REF!,#REF!,#REF!,#REF!,#REF!,#REF!,#REF!,#REF!,#REF!</definedName>
    <definedName function="false" hidden="true" name="__APW_RESTORE_DATA2411__" vbProcedure="false">#REF!,#REF!,#REF!,#REF!,#REF!,#REF!,#REF!,#REF!,#REF!,#REF!,#REF!,#REF!,#REF!,#REF!,#REF!</definedName>
    <definedName function="false" hidden="true" name="__APW_RESTORE_DATA2412__" vbProcedure="false">#REF!,#REF!,#REF!,#REF!,#REF!,#REF!,#REF!,#REF!,#REF!,#REF!,#REF!,#REF!,#REF!,#REF!,#REF!</definedName>
    <definedName function="false" hidden="true" name="__APW_RESTORE_DATA2413__" vbProcedure="false">#REF!,#REF!,#REF!,#REF!,#REF!,#REF!,#REF!,#REF!,#REF!,#REF!,#REF!,#REF!,#REF!,#REF!,#REF!</definedName>
    <definedName function="false" hidden="true" name="__APW_RESTORE_DATA2414__" vbProcedure="false">#REF!,#REF!,#REF!,#REF!,#REF!,#REF!</definedName>
    <definedName function="false" hidden="true" name="__APW_RESTORE_DATA2415__" vbProcedure="false">#REF!,#REF!,#REF!,#REF!,#REF!,#REF!,#REF!,#REF!,#REF!,#REF!,#REF!,#REF!,#REF!,#REF!,#REF!,#REF!</definedName>
    <definedName function="false" hidden="true" name="__APW_RESTORE_DATA2416__" vbProcedure="false">#REF!,#REF!,#REF!,#REF!,#REF!,#REF!,#REF!,#REF!,#REF!,#REF!,#REF!,#REF!,#REF!,#REF!,#REF!,#REF!</definedName>
    <definedName function="false" hidden="true" name="__APW_RESTORE_DATA2417__" vbProcedure="false">#REF!,#REF!,#REF!,#REF!,#REF!,#REF!,#REF!,#REF!,#REF!,#REF!,#REF!,#REF!,#REF!,#REF!,#REF!,#REF!</definedName>
    <definedName function="false" hidden="true" name="__APW_RESTORE_DATA2418__" vbProcedure="false">#REF!,#REF!,#REF!,#REF!,#REF!,#REF!,#REF!,#REF!,#REF!,#REF!,#REF!,#REF!,#REF!,#REF!,#REF!,#REF!</definedName>
    <definedName function="false" hidden="true" name="__APW_RESTORE_DATA2419__" vbProcedure="false">#REF!,#REF!,#REF!,#REF!,#REF!,#REF!,#REF!,#REF!,#REF!,#REF!,#REF!,#REF!,#REF!,#REF!,#REF!,#REF!</definedName>
    <definedName function="false" hidden="true" name="__APW_RESTORE_DATA241__" vbProcedure="false">#REF!,#REF!,#REF!,#REF!,#REF!,#REF!,#REF!,#REF!,#REF!,#REF!,#REF!,#REF!,#REF!,#REF!,#REF!</definedName>
    <definedName function="false" hidden="true" name="__APW_RESTORE_DATA2420__" vbProcedure="false">#REF!,#REF!,#REF!,#REF!,#REF!,#REF!,#REF!,#REF!,#REF!,#REF!,#REF!,#REF!,#REF!,#REF!,#REF!,#REF!</definedName>
    <definedName function="false" hidden="true" name="__APW_RESTORE_DATA2421__" vbProcedure="false">#REF!,#REF!,#REF!,#REF!,#REF!,#REF!,#REF!,#REF!,#REF!,#REF!,#REF!,#REF!,#REF!,#REF!,#REF!</definedName>
    <definedName function="false" hidden="true" name="__APW_RESTORE_DATA2422__" vbProcedure="false">#REF!,#REF!,#REF!,#REF!,#REF!,#REF!,#REF!,#REF!,#REF!,#REF!,#REF!,#REF!,#REF!,#REF!,#REF!</definedName>
    <definedName function="false" hidden="true" name="__APW_RESTORE_DATA2423__" vbProcedure="false">#REF!,#REF!,#REF!,#REF!,#REF!,#REF!,#REF!,#REF!,#REF!,#REF!,#REF!,#REF!,#REF!,#REF!,#REF!</definedName>
    <definedName function="false" hidden="true" name="__APW_RESTORE_DATA2424__" vbProcedure="false">#REF!,#REF!,#REF!,#REF!,#REF!,#REF!,#REF!,#REF!,#REF!,#REF!,#REF!,#REF!,#REF!,#REF!,#REF!</definedName>
    <definedName function="false" hidden="true" name="__APW_RESTORE_DATA2425__" vbProcedure="false">#REF!,#REF!,#REF!,#REF!,#REF!,#REF!,#REF!,#REF!,#REF!,#REF!,#REF!,#REF!,#REF!,#REF!,#REF!</definedName>
    <definedName function="false" hidden="true" name="__APW_RESTORE_DATA2426__" vbProcedure="false">#REF!,#REF!,#REF!,#REF!,#REF!,#REF!,#REF!,#REF!,#REF!,#REF!,#REF!,#REF!,#REF!,#REF!,#REF!</definedName>
    <definedName function="false" hidden="true" name="__APW_RESTORE_DATA2427__" vbProcedure="false">#REF!,#REF!,#REF!,#REF!,#REF!,#REF!,#REF!,#REF!,#REF!,#REF!,#REF!,#REF!,#REF!,#REF!,#REF!</definedName>
    <definedName function="false" hidden="true" name="__APW_RESTORE_DATA2428__" vbProcedure="false">#REF!,#REF!,#REF!,#REF!,#REF!,#REF!,#REF!,#REF!,#REF!,#REF!,#REF!,#REF!,#REF!,#REF!,#REF!</definedName>
    <definedName function="false" hidden="true" name="__APW_RESTORE_DATA2429__" vbProcedure="false">#REF!,#REF!,#REF!,#REF!,#REF!,#REF!,#REF!,#REF!,#REF!,#REF!,#REF!,#REF!,#REF!,#REF!,#REF!</definedName>
    <definedName function="false" hidden="true" name="__APW_RESTORE_DATA242__" vbProcedure="false">#REF!,#REF!,#REF!,#REF!,#REF!,#REF!,#REF!,#REF!,#REF!,#REF!,#REF!,#REF!,#REF!,#REF!,#REF!</definedName>
    <definedName function="false" hidden="true" name="__APW_RESTORE_DATA2430__" vbProcedure="false">#REF!,#REF!,#REF!,#REF!,#REF!,#REF!,#REF!,#REF!,#REF!,#REF!,#REF!,#REF!,#REF!,#REF!,#REF!</definedName>
    <definedName function="false" hidden="true" name="__APW_RESTORE_DATA2431__" vbProcedure="false">#REF!,#REF!,#REF!,#REF!,#REF!,#REF!,#REF!,#REF!,#REF!,#REF!,#REF!,#REF!,#REF!,#REF!,#REF!</definedName>
    <definedName function="false" hidden="true" name="__APW_RESTORE_DATA2432__" vbProcedure="false">#REF!,#REF!,#REF!,#REF!,#REF!,#REF!,#REF!,#REF!,#REF!,#REF!,#REF!,#REF!,#REF!,#REF!,#REF!</definedName>
    <definedName function="false" hidden="true" name="__APW_RESTORE_DATA2433__" vbProcedure="false">#REF!,#REF!,#REF!,#REF!,#REF!,#REF!,#REF!,#REF!,#REF!,#REF!,#REF!,#REF!,#REF!,#REF!,#REF!</definedName>
    <definedName function="false" hidden="true" name="__APW_RESTORE_DATA2434__" vbProcedure="false">#REF!,#REF!,#REF!,#REF!,#REF!,#REF!,#REF!,#REF!,#REF!,#REF!,#REF!,#REF!,#REF!,#REF!,#REF!</definedName>
    <definedName function="false" hidden="true" name="__APW_RESTORE_DATA2435__" vbProcedure="false">#REF!,#REF!,#REF!,#REF!,#REF!,#REF!,#REF!,#REF!,#REF!,#REF!,#REF!,#REF!,#REF!,#REF!,#REF!</definedName>
    <definedName function="false" hidden="true" name="__APW_RESTORE_DATA2436__" vbProcedure="false">#REF!,#REF!,#REF!,#REF!,#REF!,#REF!,#REF!,#REF!,#REF!,#REF!,#REF!,#REF!,#REF!,#REF!,#REF!</definedName>
    <definedName function="false" hidden="true" name="__APW_RESTORE_DATA2437__" vbProcedure="false">#REF!,#REF!,#REF!,#REF!,#REF!,#REF!,#REF!,#REF!,#REF!,#REF!,#REF!,#REF!,#REF!,#REF!,#REF!</definedName>
    <definedName function="false" hidden="true" name="__APW_RESTORE_DATA2438__" vbProcedure="false">#REF!,#REF!,#REF!,#REF!,#REF!,#REF!,#REF!,#REF!,#REF!,#REF!,#REF!,#REF!,#REF!,#REF!,#REF!</definedName>
    <definedName function="false" hidden="true" name="__APW_RESTORE_DATA2439__" vbProcedure="false">#REF!,#REF!,#REF!,#REF!,#REF!,#REF!,#REF!,#REF!,#REF!,#REF!,#REF!,#REF!,#REF!,#REF!,#REF!</definedName>
    <definedName function="false" hidden="true" name="__APW_RESTORE_DATA243__" vbProcedure="false">#REF!,#REF!,#REF!,#REF!,#REF!,#REF!,#REF!,#REF!,#REF!,#REF!,#REF!,#REF!,#REF!,#REF!,#REF!</definedName>
    <definedName function="false" hidden="true" name="__APW_RESTORE_DATA2440__" vbProcedure="false">#REF!,#REF!,#REF!,#REF!,#REF!,#REF!,#REF!,#REF!,#REF!,#REF!,#REF!,#REF!,#REF!,#REF!,#REF!</definedName>
    <definedName function="false" hidden="true" name="__APW_RESTORE_DATA2441__" vbProcedure="false">#REF!,#REF!,#REF!,#REF!,#REF!,#REF!,#REF!,#REF!,#REF!,#REF!,#REF!,#REF!,#REF!,#REF!,#REF!</definedName>
    <definedName function="false" hidden="true" name="__APW_RESTORE_DATA2442__" vbProcedure="false">#REF!,#REF!,#REF!,#REF!,#REF!,#REF!,#REF!,#REF!,#REF!,#REF!,#REF!,#REF!,#REF!,#REF!,#REF!</definedName>
    <definedName function="false" hidden="true" name="__APW_RESTORE_DATA2443__" vbProcedure="false">#REF!,#REF!,#REF!,#REF!,#REF!,#REF!,#REF!,#REF!,#REF!,#REF!,#REF!,#REF!,#REF!,#REF!,#REF!</definedName>
    <definedName function="false" hidden="true" name="__APW_RESTORE_DATA2444__" vbProcedure="false">#REF!,#REF!,#REF!,#REF!,#REF!,#REF!,#REF!,#REF!,#REF!,#REF!,#REF!,#REF!,#REF!,#REF!,#REF!</definedName>
    <definedName function="false" hidden="true" name="__APW_RESTORE_DATA2445__" vbProcedure="false">#REF!,#REF!,#REF!,#REF!,#REF!,#REF!,#REF!,#REF!,#REF!,#REF!,#REF!,#REF!,#REF!,#REF!,#REF!</definedName>
    <definedName function="false" hidden="true" name="__APW_RESTORE_DATA2446__" vbProcedure="false">#REF!,#REF!,#REF!,#REF!,#REF!,#REF!,#REF!,#REF!,#REF!,#REF!,#REF!,#REF!,#REF!,#REF!,#REF!</definedName>
    <definedName function="false" hidden="true" name="__APW_RESTORE_DATA2447__" vbProcedure="false">#REF!,#REF!,#REF!,#REF!,#REF!,#REF!,#REF!,#REF!,#REF!,#REF!,#REF!,#REF!,#REF!,#REF!,#REF!</definedName>
    <definedName function="false" hidden="true" name="__APW_RESTORE_DATA2448__" vbProcedure="false">#REF!,#REF!,#REF!,#REF!,#REF!,#REF!,#REF!,#REF!,#REF!,#REF!,#REF!,#REF!,#REF!,#REF!,#REF!</definedName>
    <definedName function="false" hidden="true" name="__APW_RESTORE_DATA2449__" vbProcedure="false">#REF!,#REF!,#REF!,#REF!,#REF!,#REF!</definedName>
    <definedName function="false" hidden="true" name="__APW_RESTORE_DATA244__" vbProcedure="false">#REF!,#REF!,#REF!,#REF!,#REF!,#REF!,#REF!,#REF!,#REF!,#REF!,#REF!,#REF!,#REF!,#REF!,#REF!</definedName>
    <definedName function="false" hidden="true" name="__APW_RESTORE_DATA2450__" vbProcedure="false">#REF!</definedName>
    <definedName function="false" hidden="true" name="__APW_RESTORE_DATA2451__" vbProcedure="false">#REF!</definedName>
    <definedName function="false" hidden="true" name="__APW_RESTORE_DATA2452__" vbProcedure="false">#REF!</definedName>
    <definedName function="false" hidden="true" name="__APW_RESTORE_DATA2454__" vbProcedure="false">#REF!</definedName>
    <definedName function="false" hidden="true" name="__APW_RESTORE_DATA2455__" vbProcedure="false">#REF!,#REF!,#REF!,#REF!,#REF!,#REF!,#REF!,#REF!,#REF!,#REF!,#REF!,#REF!,#REF!,#REF!,#REF!,#REF!</definedName>
    <definedName function="false" hidden="true" name="__APW_RESTORE_DATA2456__" vbProcedure="false">#REF!,#REF!,#REF!,#REF!,#REF!,#REF!,#REF!,#REF!,#REF!,#REF!,#REF!,#REF!,#REF!,#REF!,#REF!,#REF!</definedName>
    <definedName function="false" hidden="true" name="__APW_RESTORE_DATA2457__" vbProcedure="false">#REF!,#REF!,#REF!,#REF!,#REF!,#REF!,#REF!,#REF!,#REF!,#REF!,#REF!,#REF!,#REF!,#REF!,#REF!,#REF!</definedName>
    <definedName function="false" hidden="true" name="__APW_RESTORE_DATA2458__" vbProcedure="false">#REF!,#REF!,#REF!,#REF!,#REF!,#REF!,#REF!,#REF!,#REF!,#REF!,#REF!,#REF!,#REF!,#REF!,#REF!,#REF!</definedName>
    <definedName function="false" hidden="true" name="__APW_RESTORE_DATA2459__" vbProcedure="false">#REF!,#REF!,#REF!,#REF!,#REF!,#REF!,#REF!,#REF!,#REF!,#REF!,#REF!,#REF!,#REF!,#REF!,#REF!,#REF!</definedName>
    <definedName function="false" hidden="true" name="__APW_RESTORE_DATA245__" vbProcedure="false">#REF!,#REF!,#REF!,#REF!,#REF!,#REF!,#REF!,#REF!,#REF!,#REF!,#REF!,#REF!,#REF!,#REF!,#REF!</definedName>
    <definedName function="false" hidden="true" name="__APW_RESTORE_DATA2460__" vbProcedure="false">#REF!,#REF!,#REF!,#REF!,#REF!,#REF!,#REF!,#REF!,#REF!,#REF!,#REF!,#REF!,#REF!,#REF!,#REF!,#REF!</definedName>
    <definedName function="false" hidden="true" name="__APW_RESTORE_DATA2461__" vbProcedure="false">#REF!,#REF!,#REF!,#REF!,#REF!,#REF!,#REF!,#REF!,#REF!,#REF!,#REF!,#REF!,#REF!,#REF!,#REF!</definedName>
    <definedName function="false" hidden="true" name="__APW_RESTORE_DATA2462__" vbProcedure="false">#REF!,#REF!,#REF!,#REF!,#REF!,#REF!,#REF!,#REF!,#REF!,#REF!,#REF!,#REF!,#REF!,#REF!,#REF!</definedName>
    <definedName function="false" hidden="true" name="__APW_RESTORE_DATA2463__" vbProcedure="false">#REF!,#REF!,#REF!,#REF!,#REF!,#REF!,#REF!,#REF!,#REF!,#REF!,#REF!,#REF!,#REF!,#REF!,#REF!</definedName>
    <definedName function="false" hidden="true" name="__APW_RESTORE_DATA2464__" vbProcedure="false">#REF!,#REF!,#REF!,#REF!,#REF!,#REF!,#REF!,#REF!,#REF!,#REF!,#REF!,#REF!,#REF!,#REF!,#REF!</definedName>
    <definedName function="false" hidden="true" name="__APW_RESTORE_DATA2465__" vbProcedure="false">#REF!,#REF!,#REF!,#REF!,#REF!,#REF!,#REF!,#REF!,#REF!,#REF!,#REF!,#REF!,#REF!,#REF!,#REF!</definedName>
    <definedName function="false" hidden="true" name="__APW_RESTORE_DATA2466__" vbProcedure="false">#REF!,#REF!,#REF!,#REF!,#REF!,#REF!,#REF!,#REF!,#REF!,#REF!,#REF!,#REF!,#REF!,#REF!,#REF!</definedName>
    <definedName function="false" hidden="true" name="__APW_RESTORE_DATA2467__" vbProcedure="false">#REF!,#REF!,#REF!,#REF!,#REF!,#REF!,#REF!,#REF!,#REF!,#REF!,#REF!,#REF!,#REF!,#REF!,#REF!</definedName>
    <definedName function="false" hidden="true" name="__APW_RESTORE_DATA2468__" vbProcedure="false">#REF!,#REF!,#REF!,#REF!,#REF!,#REF!,#REF!,#REF!,#REF!,#REF!,#REF!,#REF!,#REF!,#REF!,#REF!</definedName>
    <definedName function="false" hidden="true" name="__APW_RESTORE_DATA2469__" vbProcedure="false">#REF!,#REF!,#REF!,#REF!,#REF!,#REF!,#REF!,#REF!,#REF!,#REF!,#REF!,#REF!,#REF!,#REF!,#REF!</definedName>
    <definedName function="false" hidden="true" name="__APW_RESTORE_DATA246__" vbProcedure="false">#REF!,#REF!,#REF!,#REF!,#REF!,#REF!,#REF!,#REF!,#REF!,#REF!,#REF!,#REF!,#REF!,#REF!,#REF!</definedName>
    <definedName function="false" hidden="true" name="__APW_RESTORE_DATA2470__" vbProcedure="false">#REF!,#REF!,#REF!,#REF!,#REF!,#REF!,#REF!,#REF!,#REF!,#REF!,#REF!,#REF!,#REF!,#REF!,#REF!</definedName>
    <definedName function="false" hidden="true" name="__APW_RESTORE_DATA2471__" vbProcedure="false">#REF!,#REF!,#REF!,#REF!,#REF!,#REF!,#REF!,#REF!,#REF!,#REF!,#REF!,#REF!,#REF!,#REF!,#REF!</definedName>
    <definedName function="false" hidden="true" name="__APW_RESTORE_DATA2472__" vbProcedure="false">#REF!,#REF!,#REF!,#REF!,#REF!,#REF!,#REF!,#REF!,#REF!,#REF!,#REF!,#REF!,#REF!,#REF!,#REF!</definedName>
    <definedName function="false" hidden="true" name="__APW_RESTORE_DATA2473__" vbProcedure="false">#REF!,#REF!,#REF!,#REF!,#REF!,#REF!,#REF!,#REF!,#REF!,#REF!,#REF!,#REF!,#REF!,#REF!,#REF!</definedName>
    <definedName function="false" hidden="true" name="__APW_RESTORE_DATA2474__" vbProcedure="false">#REF!,#REF!,#REF!,#REF!,#REF!,#REF!,#REF!,#REF!,#REF!,#REF!,#REF!,#REF!,#REF!,#REF!,#REF!</definedName>
    <definedName function="false" hidden="true" name="__APW_RESTORE_DATA2475__" vbProcedure="false">#REF!,#REF!,#REF!,#REF!,#REF!,#REF!,#REF!,#REF!,#REF!,#REF!,#REF!,#REF!,#REF!,#REF!,#REF!</definedName>
    <definedName function="false" hidden="true" name="__APW_RESTORE_DATA2476__" vbProcedure="false">#REF!,#REF!,#REF!,#REF!,#REF!,#REF!,#REF!,#REF!,#REF!,#REF!,#REF!,#REF!,#REF!,#REF!,#REF!</definedName>
    <definedName function="false" hidden="true" name="__APW_RESTORE_DATA2477__" vbProcedure="false">#REF!,#REF!,#REF!,#REF!,#REF!,#REF!,#REF!,#REF!,#REF!,#REF!,#REF!,#REF!,#REF!,#REF!,#REF!</definedName>
    <definedName function="false" hidden="true" name="__APW_RESTORE_DATA2478__" vbProcedure="false">#REF!,#REF!,#REF!,#REF!,#REF!,#REF!,#REF!,#REF!,#REF!,#REF!,#REF!,#REF!,#REF!,#REF!,#REF!</definedName>
    <definedName function="false" hidden="true" name="__APW_RESTORE_DATA2479__" vbProcedure="false">#REF!,#REF!,#REF!,#REF!,#REF!,#REF!,#REF!,#REF!,#REF!,#REF!,#REF!,#REF!,#REF!,#REF!,#REF!</definedName>
    <definedName function="false" hidden="true" name="__APW_RESTORE_DATA247__" vbProcedure="false">#REF!,#REF!,#REF!,#REF!,#REF!,#REF!,#REF!,#REF!,#REF!,#REF!,#REF!,#REF!,#REF!,#REF!,#REF!</definedName>
    <definedName function="false" hidden="true" name="__APW_RESTORE_DATA2480__" vbProcedure="false">#REF!,#REF!,#REF!,#REF!,#REF!,#REF!,#REF!,#REF!,#REF!,#REF!,#REF!,#REF!,#REF!,#REF!,#REF!</definedName>
    <definedName function="false" hidden="true" name="__APW_RESTORE_DATA2481__" vbProcedure="false">#REF!,#REF!,#REF!,#REF!,#REF!,#REF!,#REF!,#REF!,#REF!,#REF!,#REF!,#REF!,#REF!,#REF!,#REF!</definedName>
    <definedName function="false" hidden="true" name="__APW_RESTORE_DATA2482__" vbProcedure="false">#REF!,#REF!,#REF!,#REF!,#REF!,#REF!,#REF!,#REF!,#REF!,#REF!,#REF!,#REF!,#REF!,#REF!,#REF!</definedName>
    <definedName function="false" hidden="true" name="__APW_RESTORE_DATA2483__" vbProcedure="false">#REF!,#REF!,#REF!,#REF!,#REF!,#REF!,#REF!,#REF!,#REF!,#REF!,#REF!,#REF!,#REF!,#REF!,#REF!</definedName>
    <definedName function="false" hidden="true" name="__APW_RESTORE_DATA2484__" vbProcedure="false">#REF!,#REF!,#REF!,#REF!,#REF!,#REF!,#REF!,#REF!,#REF!,#REF!,#REF!,#REF!,#REF!,#REF!,#REF!</definedName>
    <definedName function="false" hidden="true" name="__APW_RESTORE_DATA2485__" vbProcedure="false">#REF!,#REF!,#REF!,#REF!,#REF!,#REF!,#REF!,#REF!,#REF!,#REF!,#REF!,#REF!,#REF!,#REF!,#REF!</definedName>
    <definedName function="false" hidden="true" name="__APW_RESTORE_DATA2486__" vbProcedure="false">#REF!,#REF!,#REF!,#REF!,#REF!,#REF!,#REF!,#REF!,#REF!,#REF!,#REF!,#REF!,#REF!,#REF!,#REF!</definedName>
    <definedName function="false" hidden="true" name="__APW_RESTORE_DATA2487__" vbProcedure="false">#REF!,#REF!,#REF!,#REF!,#REF!,#REF!,#REF!,#REF!,#REF!,#REF!,#REF!,#REF!,#REF!,#REF!,#REF!</definedName>
    <definedName function="false" hidden="true" name="__APW_RESTORE_DATA2488__" vbProcedure="false">#REF!,#REF!,#REF!,#REF!,#REF!,#REF!,#REF!,#REF!,#REF!,#REF!,#REF!,#REF!,#REF!,#REF!,#REF!</definedName>
    <definedName function="false" hidden="true" name="__APW_RESTORE_DATA2489__" vbProcedure="false">#REF!,#REF!,#REF!,#REF!,#REF!,#REF!</definedName>
    <definedName function="false" hidden="true" name="__APW_RESTORE_DATA248__" vbProcedure="false">#REF!,#REF!,#REF!,#REF!,#REF!,#REF!,#REF!,#REF!,#REF!,#REF!,#REF!,#REF!,#REF!,#REF!,#REF!</definedName>
    <definedName function="false" hidden="true" name="__APW_RESTORE_DATA2490__" vbProcedure="false">#REF!,#REF!,#REF!,#REF!,#REF!,#REF!,#REF!,#REF!,#REF!,#REF!,#REF!,#REF!,#REF!,#REF!,#REF!,#REF!</definedName>
    <definedName function="false" hidden="true" name="__APW_RESTORE_DATA2491__" vbProcedure="false">#REF!,#REF!,#REF!,#REF!,#REF!,#REF!,#REF!,#REF!,#REF!,#REF!,#REF!,#REF!,#REF!,#REF!,#REF!,#REF!</definedName>
    <definedName function="false" hidden="true" name="__APW_RESTORE_DATA2492__" vbProcedure="false">#REF!,#REF!,#REF!,#REF!,#REF!,#REF!,#REF!,#REF!,#REF!,#REF!,#REF!,#REF!,#REF!,#REF!,#REF!,#REF!</definedName>
    <definedName function="false" hidden="true" name="__APW_RESTORE_DATA2493__" vbProcedure="false">#REF!,#REF!,#REF!,#REF!,#REF!,#REF!,#REF!,#REF!,#REF!,#REF!,#REF!,#REF!,#REF!,#REF!,#REF!,#REF!</definedName>
    <definedName function="false" hidden="true" name="__APW_RESTORE_DATA2494__" vbProcedure="false">#REF!,#REF!,#REF!,#REF!,#REF!,#REF!,#REF!,#REF!,#REF!,#REF!,#REF!,#REF!,#REF!,#REF!,#REF!,#REF!</definedName>
    <definedName function="false" hidden="true" name="__APW_RESTORE_DATA2495__" vbProcedure="false">#REF!,#REF!,#REF!,#REF!,#REF!,#REF!,#REF!,#REF!,#REF!,#REF!,#REF!,#REF!,#REF!,#REF!,#REF!,#REF!</definedName>
    <definedName function="false" hidden="true" name="__APW_RESTORE_DATA2496__" vbProcedure="false">#REF!,#REF!,#REF!,#REF!,#REF!,#REF!,#REF!,#REF!,#REF!,#REF!,#REF!,#REF!,#REF!,#REF!,#REF!</definedName>
    <definedName function="false" hidden="true" name="__APW_RESTORE_DATA2497__" vbProcedure="false">#REF!,#REF!,#REF!,#REF!,#REF!,#REF!,#REF!,#REF!,#REF!,#REF!,#REF!,#REF!,#REF!,#REF!,#REF!</definedName>
    <definedName function="false" hidden="true" name="__APW_RESTORE_DATA2498__" vbProcedure="false">#REF!,#REF!,#REF!,#REF!,#REF!,#REF!,#REF!,#REF!,#REF!,#REF!,#REF!,#REF!,#REF!,#REF!,#REF!</definedName>
    <definedName function="false" hidden="true" name="__APW_RESTORE_DATA2499__" vbProcedure="false">#REF!,#REF!,#REF!,#REF!,#REF!,#REF!,#REF!,#REF!,#REF!,#REF!,#REF!,#REF!,#REF!,#REF!,#REF!</definedName>
    <definedName function="false" hidden="true" name="__APW_RESTORE_DATA249__" vbProcedure="false">#REF!,#REF!</definedName>
    <definedName function="false" hidden="true" name="__APW_RESTORE_DATA24__" vbProcedure="false">#REF!,#REF!,#REF!,#REF!,#REF!,#REF!,#REF!,#REF!,#REF!,#REF!,#REF!,#REF!,#REF!,#REF!,#REF!,#REF!</definedName>
    <definedName function="false" hidden="true" name="__APW_RESTORE_DATA2500__" vbProcedure="false">#REF!,#REF!,#REF!,#REF!,#REF!,#REF!,#REF!,#REF!,#REF!,#REF!,#REF!,#REF!,#REF!,#REF!,#REF!</definedName>
    <definedName function="false" hidden="true" name="__APW_RESTORE_DATA2501__" vbProcedure="false">#REF!,#REF!,#REF!,#REF!,#REF!,#REF!,#REF!,#REF!,#REF!,#REF!,#REF!,#REF!,#REF!,#REF!,#REF!</definedName>
    <definedName function="false" hidden="true" name="__APW_RESTORE_DATA2502__" vbProcedure="false">#REF!,#REF!,#REF!,#REF!,#REF!,#REF!,#REF!,#REF!,#REF!,#REF!,#REF!,#REF!,#REF!,#REF!,#REF!</definedName>
    <definedName function="false" hidden="true" name="__APW_RESTORE_DATA2503__" vbProcedure="false">#REF!,#REF!,#REF!,#REF!,#REF!,#REF!,#REF!,#REF!,#REF!,#REF!,#REF!,#REF!,#REF!,#REF!,#REF!</definedName>
    <definedName function="false" hidden="true" name="__APW_RESTORE_DATA2504__" vbProcedure="false">#REF!,#REF!,#REF!,#REF!,#REF!,#REF!,#REF!,#REF!,#REF!,#REF!,#REF!,#REF!,#REF!,#REF!,#REF!</definedName>
    <definedName function="false" hidden="true" name="__APW_RESTORE_DATA2505__" vbProcedure="false">#REF!,#REF!,#REF!,#REF!,#REF!,#REF!,#REF!,#REF!,#REF!,#REF!,#REF!,#REF!,#REF!,#REF!,#REF!</definedName>
    <definedName function="false" hidden="true" name="__APW_RESTORE_DATA2506__" vbProcedure="false">#REF!,#REF!,#REF!,#REF!,#REF!,#REF!,#REF!,#REF!,#REF!,#REF!,#REF!,#REF!,#REF!,#REF!,#REF!</definedName>
    <definedName function="false" hidden="true" name="__APW_RESTORE_DATA2507__" vbProcedure="false">#REF!,#REF!,#REF!,#REF!,#REF!,#REF!,#REF!,#REF!,#REF!,#REF!,#REF!,#REF!,#REF!,#REF!,#REF!</definedName>
    <definedName function="false" hidden="true" name="__APW_RESTORE_DATA2508__" vbProcedure="false">#REF!,#REF!,#REF!,#REF!,#REF!,#REF!,#REF!,#REF!,#REF!,#REF!,#REF!,#REF!,#REF!,#REF!,#REF!</definedName>
    <definedName function="false" hidden="true" name="__APW_RESTORE_DATA2509__" vbProcedure="false">#REF!,#REF!,#REF!,#REF!,#REF!,#REF!,#REF!,#REF!,#REF!,#REF!,#REF!,#REF!,#REF!,#REF!,#REF!</definedName>
    <definedName function="false" hidden="true" name="__APW_RESTORE_DATA250__" vbProcedure="false">#REF!,#REF!,#REF!,#REF!,#REF!,#REF!,#REF!,#REF!,#REF!,#REF!,#REF!,#REF!,#REF!,#REF!,#REF!</definedName>
    <definedName function="false" hidden="true" name="__APW_RESTORE_DATA2510__" vbProcedure="false">#REF!,#REF!,#REF!,#REF!,#REF!,#REF!,#REF!,#REF!,#REF!,#REF!,#REF!,#REF!,#REF!,#REF!,#REF!</definedName>
    <definedName function="false" hidden="true" name="__APW_RESTORE_DATA2511__" vbProcedure="false">#REF!,#REF!,#REF!,#REF!,#REF!,#REF!,#REF!,#REF!,#REF!,#REF!,#REF!,#REF!,#REF!,#REF!,#REF!</definedName>
    <definedName function="false" hidden="true" name="__APW_RESTORE_DATA2512__" vbProcedure="false">#REF!,#REF!,#REF!,#REF!,#REF!,#REF!,#REF!,#REF!,#REF!,#REF!,#REF!,#REF!,#REF!,#REF!,#REF!</definedName>
    <definedName function="false" hidden="true" name="__APW_RESTORE_DATA2513__" vbProcedure="false">#REF!,#REF!,#REF!,#REF!,#REF!,#REF!,#REF!,#REF!,#REF!,#REF!,#REF!,#REF!,#REF!,#REF!,#REF!</definedName>
    <definedName function="false" hidden="true" name="__APW_RESTORE_DATA2514__" vbProcedure="false">#REF!,#REF!,#REF!,#REF!,#REF!,#REF!,#REF!,#REF!,#REF!,#REF!,#REF!,#REF!,#REF!,#REF!,#REF!</definedName>
    <definedName function="false" hidden="true" name="__APW_RESTORE_DATA2515__" vbProcedure="false">#REF!,#REF!,#REF!,#REF!,#REF!,#REF!,#REF!,#REF!,#REF!,#REF!,#REF!,#REF!,#REF!,#REF!,#REF!</definedName>
    <definedName function="false" hidden="true" name="__APW_RESTORE_DATA2516__" vbProcedure="false">#REF!,#REF!,#REF!,#REF!,#REF!,#REF!,#REF!,#REF!,#REF!,#REF!,#REF!,#REF!,#REF!,#REF!,#REF!</definedName>
    <definedName function="false" hidden="true" name="__APW_RESTORE_DATA2517__" vbProcedure="false">#REF!,#REF!,#REF!,#REF!,#REF!,#REF!,#REF!,#REF!,#REF!,#REF!,#REF!,#REF!,#REF!,#REF!,#REF!</definedName>
    <definedName function="false" hidden="true" name="__APW_RESTORE_DATA2518__" vbProcedure="false">#REF!,#REF!,#REF!,#REF!,#REF!,#REF!,#REF!,#REF!,#REF!,#REF!,#REF!,#REF!,#REF!,#REF!,#REF!</definedName>
    <definedName function="false" hidden="true" name="__APW_RESTORE_DATA2519__" vbProcedure="false">#REF!,#REF!,#REF!,#REF!,#REF!,#REF!,#REF!,#REF!,#REF!,#REF!,#REF!,#REF!,#REF!,#REF!,#REF!</definedName>
    <definedName function="false" hidden="true" name="__APW_RESTORE_DATA251__" vbProcedure="false">#REF!,#REF!,#REF!,#REF!,#REF!,#REF!,#REF!,#REF!</definedName>
    <definedName function="false" hidden="true" name="__APW_RESTORE_DATA2520__" vbProcedure="false">#REF!,#REF!,#REF!,#REF!,#REF!,#REF!,#REF!,#REF!,#REF!,#REF!,#REF!,#REF!,#REF!,#REF!,#REF!</definedName>
    <definedName function="false" hidden="true" name="__APW_RESTORE_DATA2521__" vbProcedure="false">#REF!,#REF!,#REF!,#REF!,#REF!,#REF!,#REF!,#REF!,#REF!,#REF!,#REF!,#REF!,#REF!,#REF!,#REF!</definedName>
    <definedName function="false" hidden="true" name="__APW_RESTORE_DATA2522__" vbProcedure="false">#REF!,#REF!,#REF!,#REF!,#REF!,#REF!,#REF!,#REF!,#REF!,#REF!,#REF!,#REF!,#REF!,#REF!,#REF!</definedName>
    <definedName function="false" hidden="true" name="__APW_RESTORE_DATA2523__" vbProcedure="false">#REF!,#REF!,#REF!,#REF!,#REF!,#REF!,#REF!,#REF!,#REF!,#REF!,#REF!,#REF!,#REF!,#REF!,#REF!</definedName>
    <definedName function="false" hidden="true" name="__APW_RESTORE_DATA2524__" vbProcedure="false">#REF!,#REF!,#REF!,#REF!,#REF!,#REF!</definedName>
    <definedName function="false" hidden="true" name="__APW_RESTORE_DATA2525__" vbProcedure="false">#REF!,#REF!,#REF!,#REF!,#REF!,#REF!,#REF!,#REF!,#REF!,#REF!,#REF!,#REF!,#REF!,#REF!,#REF!,#REF!</definedName>
    <definedName function="false" hidden="true" name="__APW_RESTORE_DATA2526__" vbProcedure="false">#REF!,#REF!,#REF!,#REF!,#REF!,#REF!,#REF!,#REF!,#REF!,#REF!,#REF!,#REF!,#REF!,#REF!,#REF!,#REF!</definedName>
    <definedName function="false" hidden="true" name="__APW_RESTORE_DATA2527__" vbProcedure="false">#REF!,#REF!,#REF!,#REF!,#REF!,#REF!,#REF!,#REF!,#REF!,#REF!,#REF!,#REF!,#REF!,#REF!,#REF!,#REF!</definedName>
    <definedName function="false" hidden="true" name="__APW_RESTORE_DATA2528__" vbProcedure="false">#REF!,#REF!,#REF!,#REF!,#REF!,#REF!,#REF!,#REF!,#REF!,#REF!,#REF!,#REF!,#REF!,#REF!,#REF!,#REF!</definedName>
    <definedName function="false" hidden="true" name="__APW_RESTORE_DATA2529__" vbProcedure="false">#REF!,#REF!,#REF!,#REF!,#REF!,#REF!,#REF!,#REF!,#REF!,#REF!,#REF!,#REF!,#REF!,#REF!,#REF!,#REF!</definedName>
    <definedName function="false" hidden="true" name="__APW_RESTORE_DATA252__" vbProcedure="false">#REF!,#REF!,#REF!,#REF!,#REF!,#REF!,#REF!,#REF!,#REF!,#REF!,#REF!,#REF!,#REF!,#REF!,#REF!,#REF!</definedName>
    <definedName function="false" hidden="true" name="__APW_RESTORE_DATA2530__" vbProcedure="false">#REF!,#REF!,#REF!,#REF!,#REF!,#REF!,#REF!,#REF!,#REF!,#REF!,#REF!,#REF!,#REF!,#REF!,#REF!,#REF!</definedName>
    <definedName function="false" hidden="true" name="__APW_RESTORE_DATA2531__" vbProcedure="false">#REF!,#REF!,#REF!,#REF!,#REF!,#REF!,#REF!,#REF!,#REF!,#REF!,#REF!,#REF!,#REF!,#REF!,#REF!</definedName>
    <definedName function="false" hidden="true" name="__APW_RESTORE_DATA2532__" vbProcedure="false">#REF!,#REF!,#REF!,#REF!,#REF!,#REF!,#REF!,#REF!,#REF!,#REF!,#REF!,#REF!,#REF!,#REF!,#REF!</definedName>
    <definedName function="false" hidden="true" name="__APW_RESTORE_DATA2533__" vbProcedure="false">#REF!,#REF!,#REF!,#REF!,#REF!,#REF!,#REF!,#REF!,#REF!,#REF!,#REF!,#REF!,#REF!,#REF!,#REF!</definedName>
    <definedName function="false" hidden="true" name="__APW_RESTORE_DATA2534__" vbProcedure="false">#REF!,#REF!,#REF!,#REF!,#REF!,#REF!,#REF!,#REF!,#REF!,#REF!,#REF!,#REF!,#REF!,#REF!,#REF!</definedName>
    <definedName function="false" hidden="true" name="__APW_RESTORE_DATA2535__" vbProcedure="false">#REF!,#REF!,#REF!,#REF!,#REF!,#REF!,#REF!,#REF!,#REF!,#REF!,#REF!,#REF!,#REF!,#REF!,#REF!</definedName>
    <definedName function="false" hidden="true" name="__APW_RESTORE_DATA2536__" vbProcedure="false">#REF!,#REF!,#REF!,#REF!,#REF!,#REF!,#REF!,#REF!,#REF!,#REF!,#REF!,#REF!,#REF!,#REF!,#REF!</definedName>
    <definedName function="false" hidden="true" name="__APW_RESTORE_DATA2537__" vbProcedure="false">#REF!,#REF!,#REF!,#REF!,#REF!,#REF!,#REF!,#REF!,#REF!,#REF!,#REF!,#REF!,#REF!,#REF!,#REF!</definedName>
    <definedName function="false" hidden="true" name="__APW_RESTORE_DATA2538__" vbProcedure="false">#REF!,#REF!,#REF!,#REF!,#REF!,#REF!,#REF!,#REF!,#REF!,#REF!,#REF!,#REF!,#REF!,#REF!,#REF!</definedName>
    <definedName function="false" hidden="true" name="__APW_RESTORE_DATA2539__" vbProcedure="false">#REF!,#REF!,#REF!,#REF!,#REF!,#REF!,#REF!,#REF!,#REF!,#REF!,#REF!,#REF!,#REF!,#REF!,#REF!</definedName>
    <definedName function="false" hidden="true" name="__APW_RESTORE_DATA253__" vbProcedure="false">#REF!,#REF!,#REF!,#REF!,#REF!,#REF!,#REF!,#REF!,#REF!,#REF!,#REF!,#REF!,#REF!,#REF!,#REF!,#REF!</definedName>
    <definedName function="false" hidden="true" name="__APW_RESTORE_DATA2540__" vbProcedure="false">#REF!,#REF!,#REF!,#REF!,#REF!,#REF!,#REF!,#REF!,#REF!,#REF!,#REF!,#REF!,#REF!,#REF!,#REF!</definedName>
    <definedName function="false" hidden="true" name="__APW_RESTORE_DATA2541__" vbProcedure="false">#REF!,#REF!,#REF!,#REF!,#REF!,#REF!,#REF!,#REF!,#REF!,#REF!,#REF!,#REF!,#REF!,#REF!,#REF!</definedName>
    <definedName function="false" hidden="true" name="__APW_RESTORE_DATA2542__" vbProcedure="false">#REF!,#REF!,#REF!,#REF!,#REF!,#REF!,#REF!,#REF!,#REF!,#REF!,#REF!,#REF!,#REF!,#REF!,#REF!</definedName>
    <definedName function="false" hidden="true" name="__APW_RESTORE_DATA2543__" vbProcedure="false">#REF!,#REF!,#REF!,#REF!,#REF!,#REF!,#REF!,#REF!,#REF!,#REF!,#REF!,#REF!,#REF!,#REF!,#REF!</definedName>
    <definedName function="false" hidden="true" name="__APW_RESTORE_DATA2544__" vbProcedure="false">#REF!,#REF!,#REF!,#REF!,#REF!,#REF!,#REF!,#REF!,#REF!,#REF!,#REF!,#REF!,#REF!,#REF!,#REF!</definedName>
    <definedName function="false" hidden="true" name="__APW_RESTORE_DATA2545__" vbProcedure="false">#REF!,#REF!,#REF!,#REF!,#REF!,#REF!,#REF!,#REF!,#REF!,#REF!,#REF!,#REF!,#REF!,#REF!,#REF!</definedName>
    <definedName function="false" hidden="true" name="__APW_RESTORE_DATA2546__" vbProcedure="false">#REF!,#REF!,#REF!,#REF!,#REF!,#REF!,#REF!,#REF!,#REF!,#REF!,#REF!,#REF!,#REF!,#REF!,#REF!</definedName>
    <definedName function="false" hidden="true" name="__APW_RESTORE_DATA2547__" vbProcedure="false">#REF!,#REF!,#REF!,#REF!,#REF!,#REF!,#REF!,#REF!,#REF!,#REF!,#REF!,#REF!,#REF!,#REF!,#REF!</definedName>
    <definedName function="false" hidden="true" name="__APW_RESTORE_DATA2548__" vbProcedure="false">#REF!,#REF!,#REF!,#REF!,#REF!,#REF!,#REF!,#REF!,#REF!,#REF!,#REF!,#REF!,#REF!,#REF!,#REF!</definedName>
    <definedName function="false" hidden="true" name="__APW_RESTORE_DATA2549__" vbProcedure="false">#REF!,#REF!,#REF!,#REF!,#REF!,#REF!,#REF!,#REF!,#REF!,#REF!,#REF!,#REF!,#REF!,#REF!,#REF!</definedName>
    <definedName function="false" hidden="true" name="__APW_RESTORE_DATA254__" vbProcedure="false">#REF!,#REF!</definedName>
    <definedName function="false" hidden="true" name="__APW_RESTORE_DATA2550__" vbProcedure="false">#REF!,#REF!,#REF!,#REF!,#REF!,#REF!,#REF!,#REF!,#REF!,#REF!,#REF!,#REF!,#REF!,#REF!,#REF!</definedName>
    <definedName function="false" hidden="true" name="__APW_RESTORE_DATA2551__" vbProcedure="false">#REF!,#REF!,#REF!,#REF!,#REF!,#REF!,#REF!,#REF!,#REF!,#REF!,#REF!,#REF!,#REF!,#REF!,#REF!</definedName>
    <definedName function="false" hidden="true" name="__APW_RESTORE_DATA2552__" vbProcedure="false">#REF!,#REF!,#REF!,#REF!,#REF!,#REF!,#REF!,#REF!,#REF!,#REF!,#REF!,#REF!,#REF!,#REF!,#REF!</definedName>
    <definedName function="false" hidden="true" name="__APW_RESTORE_DATA2553__" vbProcedure="false">#REF!,#REF!,#REF!,#REF!,#REF!,#REF!,#REF!,#REF!,#REF!,#REF!,#REF!,#REF!,#REF!,#REF!,#REF!</definedName>
    <definedName function="false" hidden="true" name="__APW_RESTORE_DATA2554__" vbProcedure="false">#REF!,#REF!,#REF!,#REF!,#REF!,#REF!,#REF!,#REF!,#REF!,#REF!,#REF!,#REF!,#REF!,#REF!,#REF!</definedName>
    <definedName function="false" hidden="true" name="__APW_RESTORE_DATA2555__" vbProcedure="false">#REF!,#REF!,#REF!,#REF!,#REF!,#REF!,#REF!,#REF!,#REF!,#REF!,#REF!,#REF!,#REF!,#REF!,#REF!</definedName>
    <definedName function="false" hidden="true" name="__APW_RESTORE_DATA2556__" vbProcedure="false">#REF!,#REF!,#REF!,#REF!,#REF!,#REF!,#REF!,#REF!,#REF!,#REF!,#REF!,#REF!,#REF!,#REF!,#REF!</definedName>
    <definedName function="false" hidden="true" name="__APW_RESTORE_DATA2557__" vbProcedure="false">#REF!,#REF!,#REF!,#REF!,#REF!,#REF!,#REF!,#REF!,#REF!,#REF!,#REF!,#REF!,#REF!,#REF!,#REF!</definedName>
    <definedName function="false" hidden="true" name="__APW_RESTORE_DATA2558__" vbProcedure="false">#REF!,#REF!,#REF!,#REF!,#REF!,#REF!,#REF!,#REF!,#REF!,#REF!,#REF!,#REF!,#REF!,#REF!,#REF!</definedName>
    <definedName function="false" hidden="true" name="__APW_RESTORE_DATA2559__" vbProcedure="false">#REF!,#REF!,#REF!,#REF!,#REF!,#REF!</definedName>
    <definedName function="false" hidden="true" name="__APW_RESTORE_DATA255__" vbProcedure="false">#REF!,#REF!,#REF!,#REF!,#REF!,#REF!,#REF!,#REF!,#REF!,#REF!,#REF!,#REF!,#REF!,#REF!,#REF!,#REF!</definedName>
    <definedName function="false" hidden="true" name="__APW_RESTORE_DATA2560__" vbProcedure="false">#REF!,#REF!,#REF!,#REF!,#REF!,#REF!,#REF!,#REF!,#REF!,#REF!,#REF!,#REF!,#REF!,#REF!,#REF!,#REF!</definedName>
    <definedName function="false" hidden="true" name="__APW_RESTORE_DATA2561__" vbProcedure="false">#REF!,#REF!,#REF!,#REF!,#REF!,#REF!,#REF!,#REF!,#REF!,#REF!,#REF!,#REF!,#REF!,#REF!,#REF!,#REF!</definedName>
    <definedName function="false" hidden="true" name="__APW_RESTORE_DATA2562__" vbProcedure="false">#REF!,#REF!,#REF!,#REF!,#REF!,#REF!,#REF!,#REF!,#REF!,#REF!,#REF!,#REF!,#REF!,#REF!,#REF!,#REF!</definedName>
    <definedName function="false" hidden="true" name="__APW_RESTORE_DATA2563__" vbProcedure="false">#REF!,#REF!,#REF!,#REF!,#REF!,#REF!,#REF!,#REF!,#REF!,#REF!,#REF!,#REF!,#REF!,#REF!,#REF!,#REF!</definedName>
    <definedName function="false" hidden="true" name="__APW_RESTORE_DATA2564__" vbProcedure="false">#REF!,#REF!,#REF!,#REF!,#REF!,#REF!,#REF!,#REF!,#REF!,#REF!,#REF!,#REF!,#REF!,#REF!,#REF!,#REF!</definedName>
    <definedName function="false" hidden="true" name="__APW_RESTORE_DATA2565__" vbProcedure="false">#REF!,#REF!,#REF!,#REF!,#REF!,#REF!,#REF!,#REF!,#REF!,#REF!,#REF!,#REF!,#REF!,#REF!,#REF!,#REF!</definedName>
    <definedName function="false" hidden="true" name="__APW_RESTORE_DATA2566__" vbProcedure="false">#REF!,#REF!,#REF!,#REF!,#REF!,#REF!,#REF!,#REF!,#REF!,#REF!,#REF!,#REF!,#REF!,#REF!,#REF!</definedName>
    <definedName function="false" hidden="true" name="__APW_RESTORE_DATA2567__" vbProcedure="false">#REF!,#REF!,#REF!,#REF!,#REF!,#REF!,#REF!,#REF!,#REF!,#REF!,#REF!,#REF!,#REF!,#REF!,#REF!</definedName>
    <definedName function="false" hidden="true" name="__APW_RESTORE_DATA2568__" vbProcedure="false">#REF!,#REF!,#REF!,#REF!,#REF!,#REF!,#REF!,#REF!,#REF!,#REF!,#REF!,#REF!,#REF!,#REF!,#REF!</definedName>
    <definedName function="false" hidden="true" name="__APW_RESTORE_DATA2569__" vbProcedure="false">#REF!,#REF!,#REF!,#REF!,#REF!,#REF!,#REF!,#REF!,#REF!,#REF!,#REF!,#REF!,#REF!,#REF!,#REF!</definedName>
    <definedName function="false" hidden="true" name="__APW_RESTORE_DATA256__" vbProcedure="false">#REF!,#REF!,#REF!,#REF!,#REF!,#REF!,#REF!,#REF!,#REF!,#REF!,#REF!,#REF!,#REF!,#REF!,#REF!,#REF!</definedName>
    <definedName function="false" hidden="true" name="__APW_RESTORE_DATA2570__" vbProcedure="false">#REF!,#REF!,#REF!,#REF!,#REF!,#REF!,#REF!,#REF!,#REF!,#REF!,#REF!,#REF!,#REF!,#REF!,#REF!</definedName>
    <definedName function="false" hidden="true" name="__APW_RESTORE_DATA2571__" vbProcedure="false">#REF!,#REF!,#REF!,#REF!,#REF!,#REF!,#REF!,#REF!,#REF!,#REF!,#REF!,#REF!,#REF!,#REF!,#REF!</definedName>
    <definedName function="false" hidden="true" name="__APW_RESTORE_DATA2572__" vbProcedure="false">#REF!,#REF!,#REF!,#REF!,#REF!,#REF!,#REF!,#REF!,#REF!,#REF!,#REF!,#REF!,#REF!,#REF!,#REF!</definedName>
    <definedName function="false" hidden="true" name="__APW_RESTORE_DATA2573__" vbProcedure="false">#REF!,#REF!,#REF!,#REF!,#REF!,#REF!,#REF!,#REF!,#REF!,#REF!,#REF!,#REF!,#REF!,#REF!,#REF!</definedName>
    <definedName function="false" hidden="true" name="__APW_RESTORE_DATA2574__" vbProcedure="false">#REF!,#REF!,#REF!,#REF!,#REF!,#REF!,#REF!,#REF!,#REF!,#REF!,#REF!,#REF!,#REF!,#REF!,#REF!</definedName>
    <definedName function="false" hidden="true" name="__APW_RESTORE_DATA2575__" vbProcedure="false">#REF!,#REF!,#REF!,#REF!,#REF!,#REF!,#REF!,#REF!,#REF!,#REF!,#REF!,#REF!,#REF!,#REF!,#REF!</definedName>
    <definedName function="false" hidden="true" name="__APW_RESTORE_DATA2576__" vbProcedure="false">#REF!,#REF!,#REF!,#REF!,#REF!,#REF!,#REF!,#REF!,#REF!,#REF!,#REF!,#REF!,#REF!,#REF!,#REF!</definedName>
    <definedName function="false" hidden="true" name="__APW_RESTORE_DATA2577__" vbProcedure="false">#REF!,#REF!,#REF!,#REF!,#REF!,#REF!,#REF!,#REF!,#REF!,#REF!,#REF!,#REF!,#REF!,#REF!,#REF!</definedName>
    <definedName function="false" hidden="true" name="__APW_RESTORE_DATA2578__" vbProcedure="false">#REF!,#REF!,#REF!,#REF!,#REF!,#REF!,#REF!,#REF!,#REF!,#REF!,#REF!,#REF!,#REF!,#REF!,#REF!</definedName>
    <definedName function="false" hidden="true" name="__APW_RESTORE_DATA2579__" vbProcedure="false">#REF!,#REF!,#REF!,#REF!,#REF!,#REF!,#REF!,#REF!,#REF!,#REF!,#REF!,#REF!,#REF!,#REF!,#REF!</definedName>
    <definedName function="false" hidden="true" name="__APW_RESTORE_DATA257__" vbProcedure="false">#REF!,#REF!,#REF!,#REF!,#REF!,#REF!,#REF!,#REF!,#REF!,#REF!,#REF!,#REF!,#REF!,#REF!,#REF!,#REF!</definedName>
    <definedName function="false" hidden="true" name="__APW_RESTORE_DATA2580__" vbProcedure="false">#REF!,#REF!,#REF!,#REF!,#REF!,#REF!,#REF!,#REF!,#REF!,#REF!,#REF!,#REF!,#REF!,#REF!,#REF!</definedName>
    <definedName function="false" hidden="true" name="__APW_RESTORE_DATA2581__" vbProcedure="false">#REF!,#REF!,#REF!,#REF!,#REF!,#REF!,#REF!,#REF!,#REF!,#REF!,#REF!,#REF!,#REF!,#REF!,#REF!</definedName>
    <definedName function="false" hidden="true" name="__APW_RESTORE_DATA2582__" vbProcedure="false">#REF!,#REF!,#REF!,#REF!,#REF!,#REF!,#REF!,#REF!,#REF!,#REF!,#REF!,#REF!,#REF!,#REF!,#REF!</definedName>
    <definedName function="false" hidden="true" name="__APW_RESTORE_DATA2583__" vbProcedure="false">#REF!,#REF!,#REF!,#REF!,#REF!,#REF!,#REF!,#REF!,#REF!,#REF!,#REF!,#REF!,#REF!,#REF!,#REF!</definedName>
    <definedName function="false" hidden="true" name="__APW_RESTORE_DATA2584__" vbProcedure="false">#REF!,#REF!,#REF!,#REF!,#REF!,#REF!,#REF!,#REF!,#REF!,#REF!,#REF!,#REF!,#REF!,#REF!,#REF!</definedName>
    <definedName function="false" hidden="true" name="__APW_RESTORE_DATA2585__" vbProcedure="false">#REF!,#REF!,#REF!,#REF!,#REF!,#REF!,#REF!,#REF!,#REF!,#REF!,#REF!,#REF!,#REF!,#REF!,#REF!</definedName>
    <definedName function="false" hidden="true" name="__APW_RESTORE_DATA2586__" vbProcedure="false">#REF!,#REF!,#REF!,#REF!,#REF!,#REF!,#REF!,#REF!,#REF!,#REF!,#REF!,#REF!,#REF!,#REF!,#REF!</definedName>
    <definedName function="false" hidden="true" name="__APW_RESTORE_DATA2587__" vbProcedure="false">#REF!,#REF!,#REF!,#REF!,#REF!,#REF!,#REF!,#REF!,#REF!,#REF!,#REF!,#REF!,#REF!,#REF!,#REF!</definedName>
    <definedName function="false" hidden="true" name="__APW_RESTORE_DATA2588__" vbProcedure="false">#REF!,#REF!,#REF!,#REF!,#REF!,#REF!,#REF!,#REF!,#REF!,#REF!,#REF!,#REF!,#REF!,#REF!,#REF!</definedName>
    <definedName function="false" hidden="true" name="__APW_RESTORE_DATA2589__" vbProcedure="false">#REF!,#REF!,#REF!,#REF!,#REF!,#REF!,#REF!,#REF!,#REF!,#REF!,#REF!,#REF!,#REF!,#REF!,#REF!</definedName>
    <definedName function="false" hidden="true" name="__APW_RESTORE_DATA258__" vbProcedure="false">#REF!,#REF!,#REF!,#REF!,#REF!,#REF!,#REF!,#REF!,#REF!,#REF!,#REF!,#REF!,#REF!,#REF!,#REF!</definedName>
    <definedName function="false" hidden="true" name="__APW_RESTORE_DATA2590__" vbProcedure="false">#REF!,#REF!,#REF!,#REF!,#REF!,#REF!,#REF!,#REF!,#REF!,#REF!,#REF!,#REF!,#REF!,#REF!,#REF!</definedName>
    <definedName function="false" hidden="true" name="__APW_RESTORE_DATA2591__" vbProcedure="false">#REF!,#REF!,#REF!,#REF!,#REF!,#REF!,#REF!,#REF!,#REF!,#REF!,#REF!,#REF!,#REF!,#REF!,#REF!</definedName>
    <definedName function="false" hidden="true" name="__APW_RESTORE_DATA2592__" vbProcedure="false">#REF!,#REF!,#REF!,#REF!,#REF!,#REF!,#REF!,#REF!,#REF!,#REF!,#REF!,#REF!,#REF!,#REF!,#REF!</definedName>
    <definedName function="false" hidden="true" name="__APW_RESTORE_DATA2593__" vbProcedure="false">#REF!,#REF!,#REF!,#REF!,#REF!,#REF!,#REF!,#REF!,#REF!,#REF!,#REF!,#REF!,#REF!,#REF!,#REF!</definedName>
    <definedName function="false" hidden="true" name="__APW_RESTORE_DATA2594__" vbProcedure="false">#REF!,#REF!,#REF!,#REF!,#REF!,#REF!</definedName>
    <definedName function="false" hidden="true" name="__APW_RESTORE_DATA2595__" vbProcedure="false">#REF!</definedName>
    <definedName function="false" hidden="true" name="__APW_RESTORE_DATA2596__" vbProcedure="false">#REF!</definedName>
    <definedName function="false" hidden="true" name="__APW_RESTORE_DATA2597__" vbProcedure="false">#REF!</definedName>
    <definedName function="false" hidden="true" name="__APW_RESTORE_DATA2599__" vbProcedure="false">#REF!</definedName>
    <definedName function="false" hidden="true" name="__APW_RESTORE_DATA259__" vbProcedure="false">#REF!,#REF!</definedName>
    <definedName function="false" hidden="true" name="__APW_RESTORE_DATA25__" vbProcedure="false">#REF!,#REF!,#REF!,#REF!,#REF!,#REF!,#REF!,#REF!,#REF!,#REF!,#REF!,#REF!,#REF!,#REF!,#REF!</definedName>
    <definedName function="false" hidden="true" name="__APW_RESTORE_DATA2600__" vbProcedure="false">#REF!,#REF!,#REF!,#REF!,#REF!,#REF!,#REF!,#REF!,#REF!,#REF!,#REF!,#REF!,#REF!,#REF!,#REF!,#REF!</definedName>
    <definedName function="false" hidden="true" name="__APW_RESTORE_DATA2601__" vbProcedure="false">#REF!,#REF!,#REF!,#REF!,#REF!,#REF!,#REF!,#REF!,#REF!,#REF!,#REF!,#REF!,#REF!,#REF!,#REF!,#REF!</definedName>
    <definedName function="false" hidden="true" name="__APW_RESTORE_DATA2602__" vbProcedure="false">#REF!,#REF!,#REF!,#REF!,#REF!,#REF!,#REF!,#REF!,#REF!,#REF!,#REF!,#REF!,#REF!,#REF!,#REF!,#REF!</definedName>
    <definedName function="false" hidden="true" name="__APW_RESTORE_DATA2603__" vbProcedure="false">#REF!,#REF!,#REF!,#REF!,#REF!,#REF!,#REF!,#REF!,#REF!,#REF!,#REF!,#REF!,#REF!,#REF!,#REF!,#REF!</definedName>
    <definedName function="false" hidden="true" name="__APW_RESTORE_DATA2604__" vbProcedure="false">#REF!,#REF!,#REF!,#REF!,#REF!,#REF!,#REF!,#REF!,#REF!,#REF!,#REF!,#REF!,#REF!,#REF!,#REF!,#REF!</definedName>
    <definedName function="false" hidden="true" name="__APW_RESTORE_DATA2605__" vbProcedure="false">#REF!,#REF!,#REF!,#REF!,#REF!,#REF!,#REF!,#REF!,#REF!,#REF!,#REF!,#REF!,#REF!,#REF!,#REF!,#REF!</definedName>
    <definedName function="false" hidden="true" name="__APW_RESTORE_DATA2606__" vbProcedure="false">#REF!,#REF!,#REF!,#REF!,#REF!,#REF!,#REF!,#REF!,#REF!,#REF!,#REF!,#REF!,#REF!,#REF!,#REF!</definedName>
    <definedName function="false" hidden="true" name="__APW_RESTORE_DATA2607__" vbProcedure="false">#REF!,#REF!,#REF!,#REF!,#REF!,#REF!,#REF!,#REF!,#REF!,#REF!,#REF!,#REF!,#REF!,#REF!,#REF!</definedName>
    <definedName function="false" hidden="true" name="__APW_RESTORE_DATA2608__" vbProcedure="false">#REF!,#REF!,#REF!,#REF!,#REF!,#REF!,#REF!,#REF!,#REF!,#REF!,#REF!,#REF!,#REF!,#REF!,#REF!</definedName>
    <definedName function="false" hidden="true" name="__APW_RESTORE_DATA2609__" vbProcedure="false">#REF!,#REF!,#REF!,#REF!,#REF!,#REF!,#REF!,#REF!,#REF!,#REF!,#REF!,#REF!,#REF!,#REF!,#REF!</definedName>
    <definedName function="false" hidden="true" name="__APW_RESTORE_DATA260__" vbProcedure="false">#REF!,#REF!,#REF!,#REF!,#REF!,#REF!,#REF!,#REF!,#REF!,#REF!,#REF!,#REF!,#REF!,#REF!,#REF!</definedName>
    <definedName function="false" hidden="true" name="__APW_RESTORE_DATA2610__" vbProcedure="false">#REF!,#REF!,#REF!,#REF!,#REF!,#REF!,#REF!,#REF!,#REF!,#REF!,#REF!,#REF!,#REF!,#REF!,#REF!</definedName>
    <definedName function="false" hidden="true" name="__APW_RESTORE_DATA2611__" vbProcedure="false">#REF!,#REF!,#REF!,#REF!,#REF!,#REF!,#REF!,#REF!,#REF!,#REF!,#REF!,#REF!,#REF!,#REF!,#REF!</definedName>
    <definedName function="false" hidden="true" name="__APW_RESTORE_DATA2612__" vbProcedure="false">#REF!,#REF!,#REF!,#REF!,#REF!,#REF!,#REF!,#REF!,#REF!,#REF!,#REF!,#REF!,#REF!,#REF!,#REF!</definedName>
    <definedName function="false" hidden="true" name="__APW_RESTORE_DATA2613__" vbProcedure="false">#REF!,#REF!,#REF!,#REF!,#REF!,#REF!,#REF!,#REF!,#REF!,#REF!,#REF!,#REF!,#REF!,#REF!,#REF!</definedName>
    <definedName function="false" hidden="true" name="__APW_RESTORE_DATA2614__" vbProcedure="false">#REF!,#REF!,#REF!,#REF!,#REF!,#REF!,#REF!,#REF!,#REF!,#REF!,#REF!,#REF!,#REF!,#REF!,#REF!</definedName>
    <definedName function="false" hidden="true" name="__APW_RESTORE_DATA2615__" vbProcedure="false">#REF!,#REF!,#REF!,#REF!,#REF!,#REF!,#REF!,#REF!,#REF!,#REF!,#REF!,#REF!,#REF!,#REF!,#REF!</definedName>
    <definedName function="false" hidden="true" name="__APW_RESTORE_DATA2616__" vbProcedure="false">#REF!,#REF!,#REF!,#REF!,#REF!,#REF!,#REF!,#REF!,#REF!,#REF!,#REF!,#REF!,#REF!,#REF!,#REF!</definedName>
    <definedName function="false" hidden="true" name="__APW_RESTORE_DATA2617__" vbProcedure="false">#REF!,#REF!,#REF!,#REF!,#REF!,#REF!,#REF!,#REF!,#REF!,#REF!,#REF!,#REF!,#REF!,#REF!,#REF!</definedName>
    <definedName function="false" hidden="true" name="__APW_RESTORE_DATA2618__" vbProcedure="false">#REF!,#REF!,#REF!,#REF!,#REF!,#REF!,#REF!,#REF!,#REF!,#REF!,#REF!,#REF!,#REF!,#REF!,#REF!</definedName>
    <definedName function="false" hidden="true" name="__APW_RESTORE_DATA2619__" vbProcedure="false">#REF!,#REF!,#REF!,#REF!,#REF!,#REF!,#REF!,#REF!,#REF!,#REF!,#REF!,#REF!,#REF!,#REF!,#REF!</definedName>
    <definedName function="false" hidden="true" name="__APW_RESTORE_DATA261__" vbProcedure="false">#REF!,#REF!,#REF!,#REF!,#REF!,#REF!,#REF!,#REF!,#REF!,#REF!,#REF!,#REF!,#REF!,#REF!,#REF!</definedName>
    <definedName function="false" hidden="true" name="__APW_RESTORE_DATA2620__" vbProcedure="false">#REF!,#REF!,#REF!,#REF!,#REF!,#REF!,#REF!,#REF!,#REF!,#REF!,#REF!,#REF!,#REF!,#REF!,#REF!</definedName>
    <definedName function="false" hidden="true" name="__APW_RESTORE_DATA2621__" vbProcedure="false">#REF!,#REF!,#REF!,#REF!,#REF!,#REF!,#REF!,#REF!,#REF!,#REF!,#REF!,#REF!,#REF!,#REF!,#REF!</definedName>
    <definedName function="false" hidden="true" name="__APW_RESTORE_DATA2622__" vbProcedure="false">#REF!,#REF!,#REF!,#REF!,#REF!,#REF!,#REF!,#REF!,#REF!,#REF!,#REF!,#REF!,#REF!,#REF!,#REF!</definedName>
    <definedName function="false" hidden="true" name="__APW_RESTORE_DATA2623__" vbProcedure="false">#REF!,#REF!,#REF!,#REF!,#REF!,#REF!,#REF!,#REF!,#REF!,#REF!,#REF!,#REF!,#REF!,#REF!,#REF!</definedName>
    <definedName function="false" hidden="true" name="__APW_RESTORE_DATA2624__" vbProcedure="false">#REF!,#REF!,#REF!,#REF!,#REF!,#REF!,#REF!,#REF!,#REF!,#REF!,#REF!,#REF!,#REF!,#REF!,#REF!</definedName>
    <definedName function="false" hidden="true" name="__APW_RESTORE_DATA2625__" vbProcedure="false">#REF!,#REF!,#REF!,#REF!,#REF!,#REF!,#REF!,#REF!,#REF!,#REF!,#REF!,#REF!,#REF!,#REF!,#REF!</definedName>
    <definedName function="false" hidden="true" name="__APW_RESTORE_DATA2626__" vbProcedure="false">#REF!,#REF!,#REF!,#REF!,#REF!,#REF!,#REF!,#REF!,#REF!,#REF!,#REF!,#REF!,#REF!,#REF!,#REF!</definedName>
    <definedName function="false" hidden="true" name="__APW_RESTORE_DATA2627__" vbProcedure="false">#REF!,#REF!,#REF!,#REF!,#REF!,#REF!,#REF!,#REF!,#REF!,#REF!,#REF!,#REF!,#REF!,#REF!,#REF!</definedName>
    <definedName function="false" hidden="true" name="__APW_RESTORE_DATA2628__" vbProcedure="false">#REF!,#REF!,#REF!,#REF!,#REF!,#REF!,#REF!,#REF!,#REF!,#REF!,#REF!,#REF!,#REF!,#REF!,#REF!</definedName>
    <definedName function="false" hidden="true" name="__APW_RESTORE_DATA2629__" vbProcedure="false">#REF!,#REF!,#REF!,#REF!,#REF!,#REF!,#REF!,#REF!,#REF!,#REF!,#REF!,#REF!,#REF!,#REF!,#REF!</definedName>
    <definedName function="false" hidden="true" name="__APW_RESTORE_DATA262__" vbProcedure="false">#REF!,#REF!,#REF!,#REF!,#REF!,#REF!,#REF!,#REF!,#REF!,#REF!,#REF!,#REF!,#REF!,#REF!,#REF!</definedName>
    <definedName function="false" hidden="true" name="__APW_RESTORE_DATA2630__" vbProcedure="false">#REF!,#REF!,#REF!,#REF!,#REF!,#REF!,#REF!,#REF!,#REF!,#REF!,#REF!,#REF!,#REF!,#REF!,#REF!</definedName>
    <definedName function="false" hidden="true" name="__APW_RESTORE_DATA2631__" vbProcedure="false">#REF!,#REF!,#REF!,#REF!,#REF!,#REF!,#REF!,#REF!,#REF!,#REF!,#REF!,#REF!,#REF!,#REF!,#REF!</definedName>
    <definedName function="false" hidden="true" name="__APW_RESTORE_DATA2632__" vbProcedure="false">#REF!,#REF!,#REF!,#REF!,#REF!,#REF!,#REF!,#REF!,#REF!,#REF!,#REF!,#REF!,#REF!,#REF!,#REF!</definedName>
    <definedName function="false" hidden="true" name="__APW_RESTORE_DATA2633__" vbProcedure="false">#REF!,#REF!,#REF!,#REF!,#REF!,#REF!,#REF!,#REF!,#REF!,#REF!,#REF!,#REF!,#REF!,#REF!,#REF!</definedName>
    <definedName function="false" hidden="true" name="__APW_RESTORE_DATA2634__" vbProcedure="false">#REF!,#REF!,#REF!,#REF!,#REF!,#REF!</definedName>
    <definedName function="false" hidden="true" name="__APW_RESTORE_DATA2635__" vbProcedure="false">#REF!,#REF!,#REF!,#REF!,#REF!,#REF!,#REF!,#REF!,#REF!,#REF!,#REF!,#REF!,#REF!,#REF!,#REF!,#REF!</definedName>
    <definedName function="false" hidden="true" name="__APW_RESTORE_DATA2636__" vbProcedure="false">#REF!,#REF!,#REF!,#REF!,#REF!,#REF!,#REF!,#REF!,#REF!,#REF!,#REF!,#REF!,#REF!,#REF!,#REF!,#REF!</definedName>
    <definedName function="false" hidden="true" name="__APW_RESTORE_DATA2637__" vbProcedure="false">#REF!,#REF!,#REF!,#REF!,#REF!,#REF!,#REF!,#REF!,#REF!,#REF!,#REF!,#REF!,#REF!,#REF!,#REF!,#REF!</definedName>
    <definedName function="false" hidden="true" name="__APW_RESTORE_DATA2638__" vbProcedure="false">#REF!,#REF!,#REF!,#REF!,#REF!,#REF!,#REF!,#REF!,#REF!,#REF!,#REF!,#REF!,#REF!,#REF!,#REF!,#REF!</definedName>
    <definedName function="false" hidden="true" name="__APW_RESTORE_DATA2639__" vbProcedure="false">#REF!,#REF!,#REF!,#REF!,#REF!,#REF!,#REF!,#REF!,#REF!,#REF!,#REF!,#REF!,#REF!,#REF!,#REF!,#REF!</definedName>
    <definedName function="false" hidden="true" name="__APW_RESTORE_DATA263__" vbProcedure="false">#REF!,#REF!,#REF!,#REF!,#REF!,#REF!,#REF!,#REF!,#REF!,#REF!,#REF!,#REF!,#REF!,#REF!,#REF!</definedName>
    <definedName function="false" hidden="true" name="__APW_RESTORE_DATA2640__" vbProcedure="false">#REF!,#REF!,#REF!,#REF!,#REF!,#REF!,#REF!,#REF!,#REF!,#REF!,#REF!,#REF!,#REF!,#REF!,#REF!,#REF!</definedName>
    <definedName function="false" hidden="true" name="__APW_RESTORE_DATA2641__" vbProcedure="false">#REF!,#REF!,#REF!,#REF!,#REF!,#REF!,#REF!,#REF!,#REF!,#REF!,#REF!,#REF!,#REF!,#REF!,#REF!</definedName>
    <definedName function="false" hidden="true" name="__APW_RESTORE_DATA2642__" vbProcedure="false">#REF!,#REF!,#REF!,#REF!,#REF!,#REF!,#REF!,#REF!,#REF!,#REF!,#REF!,#REF!,#REF!,#REF!,#REF!</definedName>
    <definedName function="false" hidden="true" name="__APW_RESTORE_DATA2643__" vbProcedure="false">#REF!,#REF!,#REF!,#REF!,#REF!,#REF!,#REF!,#REF!,#REF!,#REF!,#REF!,#REF!,#REF!,#REF!,#REF!</definedName>
    <definedName function="false" hidden="true" name="__APW_RESTORE_DATA2644__" vbProcedure="false">#REF!,#REF!,#REF!,#REF!,#REF!,#REF!,#REF!,#REF!,#REF!,#REF!,#REF!,#REF!,#REF!,#REF!,#REF!</definedName>
    <definedName function="false" hidden="true" name="__APW_RESTORE_DATA2645__" vbProcedure="false">#REF!,#REF!,#REF!,#REF!,#REF!,#REF!,#REF!,#REF!,#REF!,#REF!,#REF!,#REF!,#REF!,#REF!,#REF!</definedName>
    <definedName function="false" hidden="true" name="__APW_RESTORE_DATA2646__" vbProcedure="false">#REF!,#REF!,#REF!,#REF!,#REF!,#REF!,#REF!,#REF!,#REF!,#REF!,#REF!,#REF!,#REF!,#REF!,#REF!</definedName>
    <definedName function="false" hidden="true" name="__APW_RESTORE_DATA2647__" vbProcedure="false">#REF!,#REF!,#REF!,#REF!,#REF!,#REF!,#REF!,#REF!,#REF!,#REF!,#REF!,#REF!,#REF!,#REF!,#REF!</definedName>
    <definedName function="false" hidden="true" name="__APW_RESTORE_DATA2648__" vbProcedure="false">#REF!,#REF!,#REF!,#REF!,#REF!,#REF!,#REF!,#REF!,#REF!,#REF!,#REF!,#REF!,#REF!,#REF!,#REF!</definedName>
    <definedName function="false" hidden="true" name="__APW_RESTORE_DATA2649__" vbProcedure="false">#REF!,#REF!,#REF!,#REF!,#REF!,#REF!,#REF!,#REF!,#REF!,#REF!,#REF!,#REF!,#REF!,#REF!,#REF!</definedName>
    <definedName function="false" hidden="true" name="__APW_RESTORE_DATA264__" vbProcedure="false">#REF!,#REF!,#REF!,#REF!,#REF!,#REF!,#REF!,#REF!,#REF!,#REF!,#REF!,#REF!,#REF!,#REF!,#REF!</definedName>
    <definedName function="false" hidden="true" name="__APW_RESTORE_DATA2650__" vbProcedure="false">#REF!,#REF!,#REF!,#REF!,#REF!,#REF!,#REF!,#REF!,#REF!,#REF!,#REF!,#REF!,#REF!,#REF!,#REF!</definedName>
    <definedName function="false" hidden="true" name="__APW_RESTORE_DATA2651__" vbProcedure="false">#REF!,#REF!,#REF!,#REF!,#REF!,#REF!,#REF!,#REF!,#REF!,#REF!,#REF!,#REF!,#REF!,#REF!,#REF!</definedName>
    <definedName function="false" hidden="true" name="__APW_RESTORE_DATA2652__" vbProcedure="false">#REF!,#REF!,#REF!,#REF!,#REF!,#REF!,#REF!,#REF!,#REF!,#REF!,#REF!,#REF!,#REF!,#REF!,#REF!</definedName>
    <definedName function="false" hidden="true" name="__APW_RESTORE_DATA2653__" vbProcedure="false">#REF!,#REF!,#REF!,#REF!,#REF!,#REF!,#REF!,#REF!,#REF!,#REF!,#REF!,#REF!,#REF!,#REF!,#REF!</definedName>
    <definedName function="false" hidden="true" name="__APW_RESTORE_DATA2654__" vbProcedure="false">#REF!,#REF!,#REF!,#REF!,#REF!,#REF!,#REF!,#REF!,#REF!,#REF!,#REF!,#REF!,#REF!,#REF!,#REF!</definedName>
    <definedName function="false" hidden="true" name="__APW_RESTORE_DATA2655__" vbProcedure="false">#REF!,#REF!,#REF!,#REF!,#REF!,#REF!,#REF!,#REF!,#REF!,#REF!,#REF!,#REF!,#REF!,#REF!,#REF!</definedName>
    <definedName function="false" hidden="true" name="__APW_RESTORE_DATA2656__" vbProcedure="false">#REF!,#REF!,#REF!,#REF!,#REF!,#REF!,#REF!,#REF!,#REF!,#REF!,#REF!,#REF!,#REF!,#REF!,#REF!</definedName>
    <definedName function="false" hidden="true" name="__APW_RESTORE_DATA2657__" vbProcedure="false">#REF!,#REF!,#REF!,#REF!,#REF!,#REF!,#REF!,#REF!,#REF!,#REF!,#REF!,#REF!,#REF!,#REF!,#REF!</definedName>
    <definedName function="false" hidden="true" name="__APW_RESTORE_DATA2658__" vbProcedure="false">#REF!,#REF!,#REF!,#REF!,#REF!,#REF!,#REF!,#REF!,#REF!,#REF!,#REF!,#REF!,#REF!,#REF!,#REF!</definedName>
    <definedName function="false" hidden="true" name="__APW_RESTORE_DATA2659__" vbProcedure="false">#REF!,#REF!,#REF!,#REF!,#REF!,#REF!,#REF!,#REF!,#REF!,#REF!,#REF!,#REF!,#REF!,#REF!,#REF!</definedName>
    <definedName function="false" hidden="true" name="__APW_RESTORE_DATA265__" vbProcedure="false">#REF!,#REF!,#REF!,#REF!,#REF!,#REF!,#REF!,#REF!,#REF!,#REF!,#REF!,#REF!,#REF!,#REF!,#REF!</definedName>
    <definedName function="false" hidden="true" name="__APW_RESTORE_DATA2660__" vbProcedure="false">#REF!,#REF!,#REF!,#REF!,#REF!,#REF!,#REF!,#REF!,#REF!,#REF!,#REF!,#REF!,#REF!,#REF!,#REF!</definedName>
    <definedName function="false" hidden="true" name="__APW_RESTORE_DATA2661__" vbProcedure="false">#REF!,#REF!,#REF!,#REF!,#REF!,#REF!,#REF!,#REF!,#REF!,#REF!,#REF!,#REF!,#REF!,#REF!,#REF!</definedName>
    <definedName function="false" hidden="true" name="__APW_RESTORE_DATA2662__" vbProcedure="false">#REF!,#REF!,#REF!,#REF!,#REF!,#REF!,#REF!,#REF!,#REF!,#REF!,#REF!,#REF!,#REF!,#REF!,#REF!</definedName>
    <definedName function="false" hidden="true" name="__APW_RESTORE_DATA2663__" vbProcedure="false">#REF!,#REF!,#REF!,#REF!,#REF!,#REF!,#REF!,#REF!,#REF!,#REF!,#REF!,#REF!,#REF!,#REF!,#REF!</definedName>
    <definedName function="false" hidden="true" name="__APW_RESTORE_DATA2664__" vbProcedure="false">#REF!,#REF!,#REF!,#REF!,#REF!,#REF!,#REF!,#REF!,#REF!,#REF!,#REF!,#REF!,#REF!,#REF!,#REF!</definedName>
    <definedName function="false" hidden="true" name="__APW_RESTORE_DATA2665__" vbProcedure="false">#REF!,#REF!,#REF!,#REF!,#REF!,#REF!,#REF!,#REF!,#REF!,#REF!,#REF!,#REF!,#REF!,#REF!,#REF!</definedName>
    <definedName function="false" hidden="true" name="__APW_RESTORE_DATA2666__" vbProcedure="false">#REF!,#REF!,#REF!,#REF!,#REF!,#REF!,#REF!,#REF!,#REF!,#REF!,#REF!,#REF!,#REF!,#REF!,#REF!</definedName>
    <definedName function="false" hidden="true" name="__APW_RESTORE_DATA2667__" vbProcedure="false">#REF!,#REF!,#REF!,#REF!,#REF!,#REF!,#REF!,#REF!,#REF!,#REF!,#REF!,#REF!,#REF!,#REF!,#REF!</definedName>
    <definedName function="false" hidden="true" name="__APW_RESTORE_DATA2668__" vbProcedure="false">#REF!,#REF!,#REF!,#REF!,#REF!,#REF!,#REF!,#REF!,#REF!,#REF!,#REF!,#REF!,#REF!,#REF!,#REF!</definedName>
    <definedName function="false" hidden="true" name="__APW_RESTORE_DATA2669__" vbProcedure="false">#REF!,#REF!,#REF!,#REF!,#REF!,#REF!</definedName>
    <definedName function="false" hidden="true" name="__APW_RESTORE_DATA266__" vbProcedure="false">#REF!,#REF!,#REF!,#REF!,#REF!,#REF!,#REF!,#REF!,#REF!,#REF!,#REF!,#REF!,#REF!,#REF!,#REF!</definedName>
    <definedName function="false" hidden="true" name="__APW_RESTORE_DATA2670__" vbProcedure="false">#REF!,#REF!,#REF!,#REF!,#REF!,#REF!,#REF!,#REF!,#REF!,#REF!,#REF!,#REF!,#REF!,#REF!,#REF!,#REF!</definedName>
    <definedName function="false" hidden="true" name="__APW_RESTORE_DATA2671__" vbProcedure="false">#REF!,#REF!,#REF!,#REF!,#REF!,#REF!,#REF!,#REF!,#REF!,#REF!,#REF!,#REF!,#REF!,#REF!,#REF!,#REF!</definedName>
    <definedName function="false" hidden="true" name="__APW_RESTORE_DATA2672__" vbProcedure="false">#REF!,#REF!,#REF!,#REF!,#REF!,#REF!,#REF!,#REF!,#REF!,#REF!,#REF!,#REF!,#REF!,#REF!,#REF!,#REF!</definedName>
    <definedName function="false" hidden="true" name="__APW_RESTORE_DATA2673__" vbProcedure="false">#REF!,#REF!,#REF!,#REF!,#REF!,#REF!,#REF!,#REF!,#REF!,#REF!,#REF!,#REF!,#REF!,#REF!,#REF!,#REF!</definedName>
    <definedName function="false" hidden="true" name="__APW_RESTORE_DATA2674__" vbProcedure="false">#REF!,#REF!,#REF!,#REF!,#REF!,#REF!,#REF!,#REF!,#REF!,#REF!,#REF!,#REF!,#REF!,#REF!,#REF!,#REF!</definedName>
    <definedName function="false" hidden="true" name="__APW_RESTORE_DATA2675__" vbProcedure="false">#REF!,#REF!,#REF!,#REF!,#REF!,#REF!,#REF!,#REF!,#REF!,#REF!,#REF!,#REF!,#REF!,#REF!,#REF!,#REF!</definedName>
    <definedName function="false" hidden="true" name="__APW_RESTORE_DATA2676__" vbProcedure="false">#REF!,#REF!,#REF!,#REF!,#REF!,#REF!,#REF!,#REF!,#REF!,#REF!,#REF!,#REF!,#REF!,#REF!,#REF!</definedName>
    <definedName function="false" hidden="true" name="__APW_RESTORE_DATA2677__" vbProcedure="false">#REF!,#REF!,#REF!,#REF!,#REF!,#REF!,#REF!,#REF!,#REF!,#REF!,#REF!,#REF!,#REF!,#REF!,#REF!</definedName>
    <definedName function="false" hidden="true" name="__APW_RESTORE_DATA2678__" vbProcedure="false">#REF!,#REF!,#REF!,#REF!,#REF!,#REF!,#REF!,#REF!,#REF!,#REF!,#REF!,#REF!,#REF!,#REF!,#REF!</definedName>
    <definedName function="false" hidden="true" name="__APW_RESTORE_DATA2679__" vbProcedure="false">#REF!,#REF!,#REF!,#REF!,#REF!,#REF!,#REF!,#REF!,#REF!,#REF!,#REF!,#REF!,#REF!,#REF!,#REF!</definedName>
    <definedName function="false" hidden="true" name="__APW_RESTORE_DATA267__" vbProcedure="false">#REF!,#REF!,#REF!,#REF!,#REF!,#REF!,#REF!,#REF!,#REF!,#REF!,#REF!,#REF!,#REF!,#REF!,#REF!</definedName>
    <definedName function="false" hidden="true" name="__APW_RESTORE_DATA2680__" vbProcedure="false">#REF!,#REF!,#REF!,#REF!,#REF!,#REF!,#REF!,#REF!,#REF!,#REF!,#REF!,#REF!,#REF!,#REF!,#REF!</definedName>
    <definedName function="false" hidden="true" name="__APW_RESTORE_DATA2681__" vbProcedure="false">#REF!,#REF!,#REF!,#REF!,#REF!,#REF!,#REF!,#REF!,#REF!,#REF!,#REF!,#REF!,#REF!,#REF!,#REF!</definedName>
    <definedName function="false" hidden="true" name="__APW_RESTORE_DATA2682__" vbProcedure="false">#REF!,#REF!,#REF!,#REF!,#REF!,#REF!,#REF!,#REF!,#REF!,#REF!,#REF!,#REF!,#REF!,#REF!,#REF!</definedName>
    <definedName function="false" hidden="true" name="__APW_RESTORE_DATA2683__" vbProcedure="false">#REF!,#REF!,#REF!,#REF!,#REF!,#REF!,#REF!,#REF!,#REF!,#REF!,#REF!,#REF!,#REF!,#REF!,#REF!</definedName>
    <definedName function="false" hidden="true" name="__APW_RESTORE_DATA2684__" vbProcedure="false">#REF!,#REF!,#REF!,#REF!,#REF!,#REF!,#REF!,#REF!,#REF!,#REF!,#REF!,#REF!,#REF!,#REF!,#REF!</definedName>
    <definedName function="false" hidden="true" name="__APW_RESTORE_DATA2685__" vbProcedure="false">#REF!,#REF!,#REF!,#REF!,#REF!,#REF!,#REF!,#REF!,#REF!,#REF!,#REF!,#REF!,#REF!,#REF!,#REF!</definedName>
    <definedName function="false" hidden="true" name="__APW_RESTORE_DATA2686__" vbProcedure="false">#REF!,#REF!,#REF!,#REF!,#REF!,#REF!,#REF!,#REF!,#REF!,#REF!,#REF!,#REF!,#REF!,#REF!,#REF!</definedName>
    <definedName function="false" hidden="true" name="__APW_RESTORE_DATA2687__" vbProcedure="false">#REF!,#REF!,#REF!,#REF!,#REF!,#REF!,#REF!,#REF!,#REF!,#REF!,#REF!,#REF!,#REF!,#REF!,#REF!</definedName>
    <definedName function="false" hidden="true" name="__APW_RESTORE_DATA2688__" vbProcedure="false">#REF!,#REF!,#REF!,#REF!,#REF!,#REF!,#REF!,#REF!,#REF!,#REF!,#REF!,#REF!,#REF!,#REF!,#REF!</definedName>
    <definedName function="false" hidden="true" name="__APW_RESTORE_DATA2689__" vbProcedure="false">#REF!,#REF!,#REF!,#REF!,#REF!,#REF!,#REF!,#REF!,#REF!,#REF!,#REF!,#REF!,#REF!,#REF!,#REF!</definedName>
    <definedName function="false" hidden="true" name="__APW_RESTORE_DATA268__" vbProcedure="false">#REF!,#REF!,#REF!,#REF!,#REF!,#REF!,#REF!,#REF!,#REF!,#REF!,#REF!,#REF!,#REF!,#REF!,#REF!</definedName>
    <definedName function="false" hidden="true" name="__APW_RESTORE_DATA2690__" vbProcedure="false">#REF!,#REF!,#REF!,#REF!,#REF!,#REF!,#REF!,#REF!,#REF!,#REF!,#REF!,#REF!,#REF!,#REF!,#REF!</definedName>
    <definedName function="false" hidden="true" name="__APW_RESTORE_DATA2691__" vbProcedure="false">#REF!,#REF!,#REF!,#REF!,#REF!,#REF!,#REF!,#REF!,#REF!,#REF!,#REF!,#REF!,#REF!,#REF!,#REF!</definedName>
    <definedName function="false" hidden="true" name="__APW_RESTORE_DATA2692__" vbProcedure="false">#REF!,#REF!,#REF!,#REF!,#REF!,#REF!,#REF!,#REF!,#REF!,#REF!,#REF!,#REF!,#REF!,#REF!,#REF!</definedName>
    <definedName function="false" hidden="true" name="__APW_RESTORE_DATA2693__" vbProcedure="false">#REF!,#REF!,#REF!,#REF!,#REF!,#REF!,#REF!,#REF!,#REF!,#REF!,#REF!,#REF!,#REF!,#REF!,#REF!</definedName>
    <definedName function="false" hidden="true" name="__APW_RESTORE_DATA2694__" vbProcedure="false">#REF!,#REF!,#REF!,#REF!,#REF!,#REF!,#REF!,#REF!,#REF!,#REF!,#REF!,#REF!,#REF!,#REF!,#REF!</definedName>
    <definedName function="false" hidden="true" name="__APW_RESTORE_DATA2695__" vbProcedure="false">#REF!,#REF!,#REF!,#REF!,#REF!,#REF!,#REF!,#REF!,#REF!,#REF!,#REF!,#REF!,#REF!,#REF!,#REF!</definedName>
    <definedName function="false" hidden="true" name="__APW_RESTORE_DATA2696__" vbProcedure="false">#REF!,#REF!,#REF!,#REF!,#REF!,#REF!,#REF!,#REF!,#REF!,#REF!,#REF!,#REF!,#REF!,#REF!,#REF!</definedName>
    <definedName function="false" hidden="true" name="__APW_RESTORE_DATA2697__" vbProcedure="false">#REF!,#REF!,#REF!,#REF!,#REF!,#REF!,#REF!,#REF!,#REF!,#REF!,#REF!,#REF!,#REF!,#REF!,#REF!</definedName>
    <definedName function="false" hidden="true" name="__APW_RESTORE_DATA2698__" vbProcedure="false">#REF!,#REF!,#REF!,#REF!,#REF!,#REF!,#REF!,#REF!,#REF!,#REF!,#REF!,#REF!,#REF!,#REF!,#REF!</definedName>
    <definedName function="false" hidden="true" name="__APW_RESTORE_DATA2699__" vbProcedure="false">#REF!,#REF!,#REF!,#REF!,#REF!,#REF!,#REF!,#REF!,#REF!,#REF!,#REF!,#REF!,#REF!,#REF!,#REF!</definedName>
    <definedName function="false" hidden="true" name="__APW_RESTORE_DATA269__" vbProcedure="false">#REF!,#REF!,#REF!,#REF!,#REF!,#REF!,#REF!,#REF!,#REF!,#REF!,#REF!,#REF!,#REF!,#REF!,#REF!</definedName>
    <definedName function="false" hidden="true" name="__APW_RESTORE_DATA26__" vbProcedure="false">#REF!</definedName>
    <definedName function="false" hidden="true" name="__APW_RESTORE_DATA2700__" vbProcedure="false">#REF!,#REF!,#REF!,#REF!,#REF!,#REF!,#REF!,#REF!,#REF!,#REF!,#REF!,#REF!,#REF!,#REF!,#REF!</definedName>
    <definedName function="false" hidden="true" name="__APW_RESTORE_DATA2701__" vbProcedure="false">#REF!,#REF!,#REF!,#REF!,#REF!,#REF!,#REF!,#REF!,#REF!,#REF!,#REF!,#REF!,#REF!,#REF!,#REF!</definedName>
    <definedName function="false" hidden="true" name="__APW_RESTORE_DATA2702__" vbProcedure="false">#REF!,#REF!,#REF!,#REF!,#REF!,#REF!,#REF!,#REF!,#REF!,#REF!,#REF!,#REF!,#REF!,#REF!,#REF!</definedName>
    <definedName function="false" hidden="true" name="__APW_RESTORE_DATA2703__" vbProcedure="false">#REF!,#REF!,#REF!,#REF!,#REF!,#REF!,#REF!,#REF!,#REF!,#REF!,#REF!,#REF!,#REF!,#REF!,#REF!</definedName>
    <definedName function="false" hidden="true" name="__APW_RESTORE_DATA2704__" vbProcedure="false">#REF!,#REF!,#REF!,#REF!,#REF!,#REF!</definedName>
    <definedName function="false" hidden="true" name="__APW_RESTORE_DATA2705__" vbProcedure="false">#REF!,#REF!,#REF!,#REF!,#REF!,#REF!,#REF!,#REF!,#REF!,#REF!,#REF!,#REF!,#REF!,#REF!,#REF!,#REF!</definedName>
    <definedName function="false" hidden="true" name="__APW_RESTORE_DATA2706__" vbProcedure="false">#REF!,#REF!,#REF!,#REF!,#REF!,#REF!,#REF!,#REF!,#REF!,#REF!,#REF!,#REF!,#REF!,#REF!,#REF!,#REF!</definedName>
    <definedName function="false" hidden="true" name="__APW_RESTORE_DATA2707__" vbProcedure="false">#REF!,#REF!,#REF!,#REF!,#REF!,#REF!,#REF!,#REF!,#REF!,#REF!,#REF!,#REF!,#REF!,#REF!,#REF!,#REF!</definedName>
    <definedName function="false" hidden="true" name="__APW_RESTORE_DATA2708__" vbProcedure="false">#REF!,#REF!,#REF!,#REF!,#REF!,#REF!,#REF!,#REF!,#REF!,#REF!,#REF!,#REF!,#REF!,#REF!,#REF!,#REF!</definedName>
    <definedName function="false" hidden="true" name="__APW_RESTORE_DATA2709__" vbProcedure="false">#REF!,#REF!,#REF!,#REF!,#REF!,#REF!,#REF!,#REF!,#REF!,#REF!,#REF!,#REF!,#REF!,#REF!,#REF!,#REF!</definedName>
    <definedName function="false" hidden="true" name="__APW_RESTORE_DATA270__" vbProcedure="false">#REF!,#REF!,#REF!,#REF!,#REF!,#REF!,#REF!,#REF!,#REF!,#REF!,#REF!,#REF!,#REF!,#REF!,#REF!</definedName>
    <definedName function="false" hidden="true" name="__APW_RESTORE_DATA2710__" vbProcedure="false">#REF!,#REF!,#REF!,#REF!,#REF!,#REF!,#REF!,#REF!,#REF!,#REF!,#REF!,#REF!,#REF!,#REF!,#REF!,#REF!</definedName>
    <definedName function="false" hidden="true" name="__APW_RESTORE_DATA2711__" vbProcedure="false">#REF!,#REF!,#REF!,#REF!,#REF!,#REF!,#REF!,#REF!,#REF!,#REF!,#REF!,#REF!,#REF!,#REF!,#REF!</definedName>
    <definedName function="false" hidden="true" name="__APW_RESTORE_DATA2712__" vbProcedure="false">#REF!,#REF!,#REF!,#REF!,#REF!,#REF!,#REF!,#REF!,#REF!,#REF!,#REF!,#REF!,#REF!,#REF!,#REF!</definedName>
    <definedName function="false" hidden="true" name="__APW_RESTORE_DATA2713__" vbProcedure="false">#REF!,#REF!,#REF!,#REF!,#REF!,#REF!,#REF!,#REF!,#REF!,#REF!,#REF!,#REF!,#REF!,#REF!,#REF!</definedName>
    <definedName function="false" hidden="true" name="__APW_RESTORE_DATA2714__" vbProcedure="false">#REF!,#REF!,#REF!,#REF!,#REF!,#REF!,#REF!,#REF!,#REF!,#REF!,#REF!,#REF!,#REF!,#REF!,#REF!</definedName>
    <definedName function="false" hidden="true" name="__APW_RESTORE_DATA2715__" vbProcedure="false">#REF!,#REF!,#REF!,#REF!,#REF!,#REF!,#REF!,#REF!,#REF!,#REF!,#REF!,#REF!,#REF!,#REF!,#REF!</definedName>
    <definedName function="false" hidden="true" name="__APW_RESTORE_DATA2716__" vbProcedure="false">#REF!,#REF!,#REF!,#REF!,#REF!,#REF!,#REF!,#REF!,#REF!,#REF!,#REF!,#REF!,#REF!,#REF!,#REF!</definedName>
    <definedName function="false" hidden="true" name="__APW_RESTORE_DATA2717__" vbProcedure="false">#REF!,#REF!,#REF!,#REF!,#REF!,#REF!,#REF!,#REF!,#REF!,#REF!,#REF!,#REF!,#REF!,#REF!,#REF!</definedName>
    <definedName function="false" hidden="true" name="__APW_RESTORE_DATA2718__" vbProcedure="false">#REF!,#REF!,#REF!,#REF!,#REF!,#REF!,#REF!,#REF!,#REF!,#REF!,#REF!,#REF!,#REF!,#REF!,#REF!</definedName>
    <definedName function="false" hidden="true" name="__APW_RESTORE_DATA2719__" vbProcedure="false">#REF!,#REF!,#REF!,#REF!,#REF!,#REF!,#REF!,#REF!,#REF!,#REF!,#REF!,#REF!,#REF!,#REF!,#REF!</definedName>
    <definedName function="false" hidden="true" name="__APW_RESTORE_DATA271__" vbProcedure="false">#REF!,#REF!,#REF!,#REF!,#REF!,#REF!,#REF!,#REF!,#REF!,#REF!,#REF!,#REF!,#REF!,#REF!,#REF!</definedName>
    <definedName function="false" hidden="true" name="__APW_RESTORE_DATA2720__" vbProcedure="false">#REF!,#REF!,#REF!,#REF!,#REF!,#REF!,#REF!,#REF!,#REF!,#REF!,#REF!,#REF!,#REF!,#REF!,#REF!</definedName>
    <definedName function="false" hidden="true" name="__APW_RESTORE_DATA2721__" vbProcedure="false">#REF!,#REF!,#REF!,#REF!,#REF!,#REF!,#REF!,#REF!,#REF!,#REF!,#REF!,#REF!,#REF!,#REF!,#REF!</definedName>
    <definedName function="false" hidden="true" name="__APW_RESTORE_DATA2722__" vbProcedure="false">#REF!,#REF!,#REF!,#REF!,#REF!,#REF!,#REF!,#REF!,#REF!,#REF!,#REF!,#REF!,#REF!,#REF!,#REF!</definedName>
    <definedName function="false" hidden="true" name="__APW_RESTORE_DATA2723__" vbProcedure="false">#REF!,#REF!,#REF!,#REF!,#REF!,#REF!,#REF!,#REF!,#REF!,#REF!,#REF!,#REF!,#REF!,#REF!,#REF!</definedName>
    <definedName function="false" hidden="true" name="__APW_RESTORE_DATA2724__" vbProcedure="false">#REF!,#REF!,#REF!,#REF!,#REF!,#REF!,#REF!,#REF!,#REF!,#REF!,#REF!,#REF!,#REF!,#REF!,#REF!</definedName>
    <definedName function="false" hidden="true" name="__APW_RESTORE_DATA2725__" vbProcedure="false">#REF!,#REF!,#REF!,#REF!,#REF!,#REF!,#REF!,#REF!,#REF!,#REF!,#REF!,#REF!,#REF!,#REF!,#REF!</definedName>
    <definedName function="false" hidden="true" name="__APW_RESTORE_DATA2726__" vbProcedure="false">#REF!,#REF!,#REF!,#REF!,#REF!,#REF!,#REF!,#REF!,#REF!,#REF!,#REF!,#REF!,#REF!,#REF!,#REF!</definedName>
    <definedName function="false" hidden="true" name="__APW_RESTORE_DATA2727__" vbProcedure="false">#REF!,#REF!,#REF!,#REF!,#REF!,#REF!,#REF!,#REF!,#REF!,#REF!,#REF!,#REF!,#REF!,#REF!,#REF!</definedName>
    <definedName function="false" hidden="true" name="__APW_RESTORE_DATA2728__" vbProcedure="false">#REF!,#REF!,#REF!,#REF!,#REF!,#REF!,#REF!,#REF!,#REF!,#REF!,#REF!,#REF!,#REF!,#REF!,#REF!</definedName>
    <definedName function="false" hidden="true" name="__APW_RESTORE_DATA2729__" vbProcedure="false">#REF!,#REF!,#REF!,#REF!,#REF!,#REF!,#REF!,#REF!,#REF!,#REF!,#REF!,#REF!,#REF!,#REF!,#REF!</definedName>
    <definedName function="false" hidden="true" name="__APW_RESTORE_DATA272__" vbProcedure="false">#REF!,#REF!,#REF!,#REF!,#REF!,#REF!,#REF!,#REF!,#REF!,#REF!,#REF!,#REF!,#REF!,#REF!,#REF!</definedName>
    <definedName function="false" hidden="true" name="__APW_RESTORE_DATA2730__" vbProcedure="false">#REF!,#REF!,#REF!,#REF!,#REF!,#REF!,#REF!,#REF!,#REF!,#REF!,#REF!,#REF!,#REF!,#REF!,#REF!</definedName>
    <definedName function="false" hidden="true" name="__APW_RESTORE_DATA2731__" vbProcedure="false">#REF!,#REF!,#REF!,#REF!,#REF!,#REF!,#REF!,#REF!,#REF!,#REF!,#REF!,#REF!,#REF!,#REF!,#REF!</definedName>
    <definedName function="false" hidden="true" name="__APW_RESTORE_DATA2732__" vbProcedure="false">#REF!,#REF!,#REF!,#REF!,#REF!,#REF!,#REF!,#REF!,#REF!,#REF!,#REF!,#REF!,#REF!,#REF!,#REF!</definedName>
    <definedName function="false" hidden="true" name="__APW_RESTORE_DATA2733__" vbProcedure="false">#REF!,#REF!,#REF!,#REF!,#REF!,#REF!,#REF!,#REF!,#REF!,#REF!,#REF!,#REF!,#REF!,#REF!,#REF!</definedName>
    <definedName function="false" hidden="true" name="__APW_RESTORE_DATA2734__" vbProcedure="false">#REF!,#REF!,#REF!,#REF!,#REF!,#REF!,#REF!,#REF!,#REF!,#REF!,#REF!,#REF!,#REF!,#REF!,#REF!</definedName>
    <definedName function="false" hidden="true" name="__APW_RESTORE_DATA2735__" vbProcedure="false">#REF!,#REF!,#REF!,#REF!,#REF!,#REF!,#REF!,#REF!,#REF!,#REF!,#REF!,#REF!,#REF!,#REF!,#REF!</definedName>
    <definedName function="false" hidden="true" name="__APW_RESTORE_DATA2736__" vbProcedure="false">#REF!,#REF!,#REF!,#REF!,#REF!,#REF!,#REF!,#REF!,#REF!,#REF!,#REF!,#REF!,#REF!,#REF!,#REF!</definedName>
    <definedName function="false" hidden="true" name="__APW_RESTORE_DATA2737__" vbProcedure="false">#REF!,#REF!,#REF!,#REF!,#REF!,#REF!,#REF!,#REF!,#REF!,#REF!,#REF!,#REF!,#REF!,#REF!,#REF!</definedName>
    <definedName function="false" hidden="true" name="__APW_RESTORE_DATA2738__" vbProcedure="false">#REF!,#REF!,#REF!,#REF!,#REF!,#REF!,#REF!,#REF!,#REF!,#REF!,#REF!,#REF!,#REF!,#REF!,#REF!</definedName>
    <definedName function="false" hidden="true" name="__APW_RESTORE_DATA2739__" vbProcedure="false">#REF!,#REF!,#REF!,#REF!,#REF!,#REF!</definedName>
    <definedName function="false" hidden="true" name="__APW_RESTORE_DATA273__" vbProcedure="false">#REF!,#REF!,#REF!,#REF!,#REF!,#REF!,#REF!,#REF!,#REF!,#REF!,#REF!,#REF!,#REF!,#REF!,#REF!</definedName>
    <definedName function="false" hidden="true" name="__APW_RESTORE_DATA2740__" vbProcedure="false">#REF!</definedName>
    <definedName function="false" hidden="true" name="__APW_RESTORE_DATA2741__" vbProcedure="false">#REF!</definedName>
    <definedName function="false" hidden="true" name="__APW_RESTORE_DATA2742__" vbProcedure="false">#REF!</definedName>
    <definedName function="false" hidden="true" name="__APW_RESTORE_DATA2744__" vbProcedure="false">#REF!</definedName>
    <definedName function="false" hidden="true" name="__APW_RESTORE_DATA2745__" vbProcedure="false">#REF!,#REF!,#REF!,#REF!,#REF!,#REF!,#REF!,#REF!,#REF!,#REF!,#REF!,#REF!,#REF!,#REF!,#REF!,#REF!</definedName>
    <definedName function="false" hidden="true" name="__APW_RESTORE_DATA2746__" vbProcedure="false">#REF!,#REF!,#REF!,#REF!,#REF!,#REF!,#REF!,#REF!,#REF!,#REF!,#REF!,#REF!,#REF!,#REF!,#REF!,#REF!</definedName>
    <definedName function="false" hidden="true" name="__APW_RESTORE_DATA2747__" vbProcedure="false">#REF!,#REF!,#REF!,#REF!,#REF!,#REF!,#REF!,#REF!,#REF!,#REF!,#REF!,#REF!,#REF!,#REF!,#REF!,#REF!</definedName>
    <definedName function="false" hidden="true" name="__APW_RESTORE_DATA2748__" vbProcedure="false">#REF!,#REF!,#REF!,#REF!,#REF!,#REF!,#REF!,#REF!,#REF!,#REF!,#REF!,#REF!,#REF!,#REF!,#REF!,#REF!</definedName>
    <definedName function="false" hidden="true" name="__APW_RESTORE_DATA2749__" vbProcedure="false">#REF!,#REF!,#REF!,#REF!,#REF!,#REF!,#REF!,#REF!,#REF!,#REF!,#REF!,#REF!,#REF!,#REF!,#REF!,#REF!</definedName>
    <definedName function="false" hidden="true" name="__APW_RESTORE_DATA274__" vbProcedure="false">#REF!,#REF!</definedName>
    <definedName function="false" hidden="true" name="__APW_RESTORE_DATA2750__" vbProcedure="false">#REF!,#REF!,#REF!,#REF!,#REF!,#REF!,#REF!,#REF!,#REF!,#REF!,#REF!,#REF!,#REF!,#REF!,#REF!,#REF!</definedName>
    <definedName function="false" hidden="true" name="__APW_RESTORE_DATA2751__" vbProcedure="false">#REF!,#REF!,#REF!,#REF!,#REF!,#REF!,#REF!,#REF!,#REF!,#REF!,#REF!,#REF!,#REF!,#REF!,#REF!</definedName>
    <definedName function="false" hidden="true" name="__APW_RESTORE_DATA2752__" vbProcedure="false">#REF!,#REF!,#REF!,#REF!,#REF!,#REF!,#REF!,#REF!,#REF!,#REF!,#REF!,#REF!,#REF!,#REF!,#REF!</definedName>
    <definedName function="false" hidden="true" name="__APW_RESTORE_DATA2753__" vbProcedure="false">#REF!,#REF!,#REF!,#REF!,#REF!,#REF!,#REF!,#REF!,#REF!,#REF!,#REF!,#REF!,#REF!,#REF!,#REF!</definedName>
    <definedName function="false" hidden="true" name="__APW_RESTORE_DATA2754__" vbProcedure="false">#REF!,#REF!,#REF!,#REF!,#REF!,#REF!,#REF!,#REF!,#REF!,#REF!,#REF!,#REF!,#REF!,#REF!,#REF!</definedName>
    <definedName function="false" hidden="true" name="__APW_RESTORE_DATA2755__" vbProcedure="false">#REF!,#REF!,#REF!,#REF!,#REF!,#REF!,#REF!,#REF!,#REF!,#REF!,#REF!,#REF!,#REF!,#REF!,#REF!</definedName>
    <definedName function="false" hidden="true" name="__APW_RESTORE_DATA2756__" vbProcedure="false">#REF!,#REF!,#REF!,#REF!,#REF!,#REF!,#REF!,#REF!,#REF!,#REF!,#REF!,#REF!,#REF!,#REF!,#REF!</definedName>
    <definedName function="false" hidden="true" name="__APW_RESTORE_DATA2757__" vbProcedure="false">#REF!,#REF!,#REF!,#REF!,#REF!,#REF!,#REF!,#REF!,#REF!,#REF!,#REF!,#REF!,#REF!,#REF!,#REF!</definedName>
    <definedName function="false" hidden="true" name="__APW_RESTORE_DATA2758__" vbProcedure="false">#REF!,#REF!,#REF!,#REF!,#REF!,#REF!,#REF!,#REF!,#REF!,#REF!,#REF!,#REF!,#REF!,#REF!,#REF!</definedName>
    <definedName function="false" hidden="true" name="__APW_RESTORE_DATA2759__" vbProcedure="false">#REF!,#REF!,#REF!,#REF!,#REF!,#REF!,#REF!,#REF!,#REF!,#REF!,#REF!,#REF!,#REF!,#REF!,#REF!</definedName>
    <definedName function="false" hidden="true" name="__APW_RESTORE_DATA275__" vbProcedure="false">#REF!,#REF!</definedName>
    <definedName function="false" hidden="true" name="__APW_RESTORE_DATA2760__" vbProcedure="false">#REF!,#REF!,#REF!,#REF!,#REF!,#REF!,#REF!,#REF!,#REF!,#REF!,#REF!,#REF!,#REF!,#REF!,#REF!</definedName>
    <definedName function="false" hidden="true" name="__APW_RESTORE_DATA2761__" vbProcedure="false">#REF!,#REF!,#REF!,#REF!,#REF!,#REF!,#REF!,#REF!,#REF!,#REF!,#REF!,#REF!,#REF!,#REF!,#REF!</definedName>
    <definedName function="false" hidden="true" name="__APW_RESTORE_DATA2762__" vbProcedure="false">#REF!,#REF!,#REF!,#REF!,#REF!,#REF!,#REF!,#REF!,#REF!,#REF!,#REF!,#REF!,#REF!,#REF!,#REF!</definedName>
    <definedName function="false" hidden="true" name="__APW_RESTORE_DATA2763__" vbProcedure="false">#REF!,#REF!,#REF!,#REF!,#REF!,#REF!,#REF!,#REF!,#REF!,#REF!,#REF!,#REF!,#REF!,#REF!,#REF!</definedName>
    <definedName function="false" hidden="true" name="__APW_RESTORE_DATA2764__" vbProcedure="false">#REF!,#REF!,#REF!,#REF!,#REF!,#REF!,#REF!,#REF!,#REF!,#REF!,#REF!,#REF!,#REF!,#REF!,#REF!</definedName>
    <definedName function="false" hidden="true" name="__APW_RESTORE_DATA2765__" vbProcedure="false">#REF!,#REF!,#REF!,#REF!,#REF!,#REF!,#REF!,#REF!,#REF!,#REF!,#REF!,#REF!,#REF!,#REF!,#REF!</definedName>
    <definedName function="false" hidden="true" name="__APW_RESTORE_DATA2766__" vbProcedure="false">#REF!,#REF!,#REF!,#REF!,#REF!,#REF!,#REF!,#REF!,#REF!,#REF!,#REF!,#REF!,#REF!,#REF!,#REF!</definedName>
    <definedName function="false" hidden="true" name="__APW_RESTORE_DATA2767__" vbProcedure="false">#REF!,#REF!,#REF!,#REF!,#REF!,#REF!,#REF!,#REF!,#REF!,#REF!,#REF!,#REF!,#REF!,#REF!,#REF!</definedName>
    <definedName function="false" hidden="true" name="__APW_RESTORE_DATA2768__" vbProcedure="false">#REF!,#REF!,#REF!,#REF!,#REF!,#REF!,#REF!,#REF!,#REF!,#REF!,#REF!,#REF!,#REF!,#REF!,#REF!</definedName>
    <definedName function="false" hidden="true" name="__APW_RESTORE_DATA2769__" vbProcedure="false">#REF!,#REF!,#REF!,#REF!,#REF!,#REF!,#REF!,#REF!,#REF!,#REF!,#REF!,#REF!,#REF!,#REF!,#REF!</definedName>
    <definedName function="false" hidden="true" name="__APW_RESTORE_DATA276__" vbProcedure="false">#REF!,#REF!,#REF!,#REF!,#REF!,#REF!,#REF!,#REF!,#REF!,#REF!,#REF!,#REF!,#REF!,#REF!,#REF!</definedName>
    <definedName function="false" hidden="true" name="__APW_RESTORE_DATA2770__" vbProcedure="false">#REF!,#REF!,#REF!,#REF!,#REF!,#REF!,#REF!,#REF!,#REF!,#REF!,#REF!,#REF!,#REF!,#REF!,#REF!</definedName>
    <definedName function="false" hidden="true" name="__APW_RESTORE_DATA2771__" vbProcedure="false">#REF!,#REF!,#REF!,#REF!,#REF!,#REF!,#REF!,#REF!,#REF!,#REF!,#REF!,#REF!,#REF!,#REF!,#REF!</definedName>
    <definedName function="false" hidden="true" name="__APW_RESTORE_DATA2772__" vbProcedure="false">#REF!,#REF!,#REF!,#REF!,#REF!,#REF!,#REF!,#REF!,#REF!,#REF!,#REF!,#REF!,#REF!,#REF!,#REF!</definedName>
    <definedName function="false" hidden="true" name="__APW_RESTORE_DATA2773__" vbProcedure="false">#REF!,#REF!,#REF!,#REF!,#REF!,#REF!,#REF!,#REF!,#REF!,#REF!,#REF!,#REF!,#REF!,#REF!,#REF!</definedName>
    <definedName function="false" hidden="true" name="__APW_RESTORE_DATA2774__" vbProcedure="false">#REF!,#REF!,#REF!,#REF!,#REF!,#REF!,#REF!,#REF!,#REF!,#REF!,#REF!,#REF!,#REF!,#REF!,#REF!</definedName>
    <definedName function="false" hidden="true" name="__APW_RESTORE_DATA2775__" vbProcedure="false">#REF!,#REF!,#REF!,#REF!,#REF!,#REF!,#REF!,#REF!,#REF!,#REF!,#REF!,#REF!,#REF!,#REF!,#REF!</definedName>
    <definedName function="false" hidden="true" name="__APW_RESTORE_DATA2776__" vbProcedure="false">#REF!,#REF!,#REF!,#REF!,#REF!,#REF!,#REF!,#REF!,#REF!,#REF!,#REF!,#REF!,#REF!,#REF!,#REF!</definedName>
    <definedName function="false" hidden="true" name="__APW_RESTORE_DATA2777__" vbProcedure="false">#REF!,#REF!,#REF!,#REF!,#REF!,#REF!,#REF!,#REF!,#REF!,#REF!,#REF!,#REF!,#REF!,#REF!,#REF!</definedName>
    <definedName function="false" hidden="true" name="__APW_RESTORE_DATA2778__" vbProcedure="false">#REF!,#REF!,#REF!,#REF!,#REF!,#REF!,#REF!,#REF!,#REF!,#REF!,#REF!,#REF!,#REF!,#REF!,#REF!</definedName>
    <definedName function="false" hidden="true" name="__APW_RESTORE_DATA2779__" vbProcedure="false">#REF!,#REF!,#REF!,#REF!,#REF!,#REF!</definedName>
    <definedName function="false" hidden="true" name="__APW_RESTORE_DATA277__" vbProcedure="false">#REF!,#REF!,#REF!,#REF!,#REF!,#REF!,#REF!,#REF!,#REF!,#REF!,#REF!,#REF!,#REF!,#REF!,#REF!</definedName>
    <definedName function="false" hidden="true" name="__APW_RESTORE_DATA2780__" vbProcedure="false">#REF!,#REF!,#REF!,#REF!,#REF!,#REF!,#REF!,#REF!,#REF!,#REF!,#REF!,#REF!,#REF!,#REF!,#REF!,#REF!</definedName>
    <definedName function="false" hidden="true" name="__APW_RESTORE_DATA2781__" vbProcedure="false">#REF!,#REF!,#REF!,#REF!,#REF!,#REF!,#REF!,#REF!,#REF!,#REF!,#REF!,#REF!,#REF!,#REF!,#REF!,#REF!</definedName>
    <definedName function="false" hidden="true" name="__APW_RESTORE_DATA2782__" vbProcedure="false">#REF!,#REF!,#REF!,#REF!,#REF!,#REF!,#REF!,#REF!,#REF!,#REF!,#REF!,#REF!,#REF!,#REF!,#REF!,#REF!</definedName>
    <definedName function="false" hidden="true" name="__APW_RESTORE_DATA2783__" vbProcedure="false">#REF!,#REF!,#REF!,#REF!,#REF!,#REF!,#REF!,#REF!,#REF!,#REF!,#REF!,#REF!,#REF!,#REF!,#REF!,#REF!</definedName>
    <definedName function="false" hidden="true" name="__APW_RESTORE_DATA2784__" vbProcedure="false">#REF!,#REF!,#REF!,#REF!,#REF!,#REF!,#REF!,#REF!,#REF!,#REF!,#REF!,#REF!,#REF!,#REF!,#REF!,#REF!</definedName>
    <definedName function="false" hidden="true" name="__APW_RESTORE_DATA2785__" vbProcedure="false">#REF!,#REF!,#REF!,#REF!,#REF!,#REF!,#REF!,#REF!,#REF!,#REF!,#REF!,#REF!,#REF!,#REF!,#REF!,#REF!</definedName>
    <definedName function="false" hidden="true" name="__APW_RESTORE_DATA2786__" vbProcedure="false">#REF!,#REF!,#REF!,#REF!,#REF!,#REF!,#REF!,#REF!,#REF!,#REF!,#REF!,#REF!,#REF!,#REF!,#REF!</definedName>
    <definedName function="false" hidden="true" name="__APW_RESTORE_DATA2787__" vbProcedure="false">#REF!,#REF!,#REF!,#REF!,#REF!,#REF!,#REF!,#REF!,#REF!,#REF!,#REF!,#REF!,#REF!,#REF!,#REF!</definedName>
    <definedName function="false" hidden="true" name="__APW_RESTORE_DATA2788__" vbProcedure="false">#REF!,#REF!,#REF!,#REF!,#REF!,#REF!,#REF!,#REF!,#REF!,#REF!,#REF!,#REF!,#REF!,#REF!,#REF!</definedName>
    <definedName function="false" hidden="true" name="__APW_RESTORE_DATA2789__" vbProcedure="false">#REF!,#REF!,#REF!,#REF!,#REF!,#REF!,#REF!,#REF!,#REF!,#REF!,#REF!,#REF!,#REF!,#REF!,#REF!</definedName>
    <definedName function="false" hidden="true" name="__APW_RESTORE_DATA278__" vbProcedure="false">#REF!,#REF!,#REF!,#REF!,#REF!,#REF!,#REF!,#REF!,#REF!,#REF!,#REF!,#REF!,#REF!,#REF!,#REF!</definedName>
    <definedName function="false" hidden="true" name="__APW_RESTORE_DATA2790__" vbProcedure="false">#REF!,#REF!,#REF!,#REF!,#REF!,#REF!,#REF!,#REF!,#REF!,#REF!,#REF!,#REF!,#REF!,#REF!,#REF!</definedName>
    <definedName function="false" hidden="true" name="__APW_RESTORE_DATA2791__" vbProcedure="false">#REF!,#REF!,#REF!,#REF!,#REF!,#REF!,#REF!,#REF!,#REF!,#REF!,#REF!,#REF!,#REF!,#REF!,#REF!</definedName>
    <definedName function="false" hidden="true" name="__APW_RESTORE_DATA2792__" vbProcedure="false">#REF!,#REF!,#REF!,#REF!,#REF!,#REF!,#REF!,#REF!,#REF!,#REF!,#REF!,#REF!,#REF!,#REF!,#REF!</definedName>
    <definedName function="false" hidden="true" name="__APW_RESTORE_DATA2793__" vbProcedure="false">#REF!,#REF!,#REF!,#REF!,#REF!,#REF!,#REF!,#REF!,#REF!,#REF!,#REF!,#REF!,#REF!,#REF!,#REF!</definedName>
    <definedName function="false" hidden="true" name="__APW_RESTORE_DATA2794__" vbProcedure="false">#REF!,#REF!,#REF!,#REF!,#REF!,#REF!,#REF!,#REF!,#REF!,#REF!,#REF!,#REF!,#REF!,#REF!,#REF!</definedName>
    <definedName function="false" hidden="true" name="__APW_RESTORE_DATA2795__" vbProcedure="false">#REF!,#REF!,#REF!,#REF!,#REF!,#REF!,#REF!,#REF!,#REF!,#REF!,#REF!,#REF!,#REF!,#REF!,#REF!</definedName>
    <definedName function="false" hidden="true" name="__APW_RESTORE_DATA2796__" vbProcedure="false">#REF!,#REF!,#REF!,#REF!,#REF!,#REF!,#REF!,#REF!,#REF!,#REF!,#REF!,#REF!,#REF!,#REF!,#REF!</definedName>
    <definedName function="false" hidden="true" name="__APW_RESTORE_DATA2797__" vbProcedure="false">#REF!,#REF!,#REF!,#REF!,#REF!,#REF!,#REF!,#REF!,#REF!,#REF!,#REF!,#REF!,#REF!,#REF!,#REF!</definedName>
    <definedName function="false" hidden="true" name="__APW_RESTORE_DATA2798__" vbProcedure="false">#REF!,#REF!,#REF!,#REF!,#REF!,#REF!,#REF!,#REF!,#REF!,#REF!,#REF!,#REF!,#REF!,#REF!,#REF!</definedName>
    <definedName function="false" hidden="true" name="__APW_RESTORE_DATA2799__" vbProcedure="false">#REF!,#REF!,#REF!,#REF!,#REF!,#REF!,#REF!,#REF!,#REF!,#REF!,#REF!,#REF!,#REF!,#REF!,#REF!</definedName>
    <definedName function="false" hidden="true" name="__APW_RESTORE_DATA279__" vbProcedure="false">#REF!,#REF!,#REF!,#REF!,#REF!,#REF!,#REF!,#REF!,#REF!,#REF!,#REF!,#REF!,#REF!,#REF!,#REF!</definedName>
    <definedName function="false" hidden="true" name="__APW_RESTORE_DATA27__" vbProcedure="false">#REF!</definedName>
    <definedName function="false" hidden="true" name="__APW_RESTORE_DATA2800__" vbProcedure="false">#REF!,#REF!,#REF!,#REF!,#REF!,#REF!,#REF!,#REF!,#REF!,#REF!,#REF!,#REF!,#REF!,#REF!,#REF!</definedName>
    <definedName function="false" hidden="true" name="__APW_RESTORE_DATA2801__" vbProcedure="false">#REF!,#REF!,#REF!,#REF!,#REF!,#REF!,#REF!,#REF!,#REF!,#REF!,#REF!,#REF!,#REF!,#REF!,#REF!</definedName>
    <definedName function="false" hidden="true" name="__APW_RESTORE_DATA2802__" vbProcedure="false">#REF!,#REF!,#REF!,#REF!,#REF!,#REF!,#REF!,#REF!,#REF!,#REF!,#REF!,#REF!,#REF!,#REF!,#REF!</definedName>
    <definedName function="false" hidden="true" name="__APW_RESTORE_DATA2803__" vbProcedure="false">#REF!,#REF!,#REF!,#REF!,#REF!,#REF!,#REF!,#REF!,#REF!,#REF!,#REF!,#REF!,#REF!,#REF!,#REF!</definedName>
    <definedName function="false" hidden="true" name="__APW_RESTORE_DATA2804__" vbProcedure="false">#REF!,#REF!,#REF!,#REF!,#REF!,#REF!,#REF!,#REF!,#REF!,#REF!,#REF!,#REF!,#REF!,#REF!,#REF!</definedName>
    <definedName function="false" hidden="true" name="__APW_RESTORE_DATA2805__" vbProcedure="false">#REF!,#REF!,#REF!,#REF!,#REF!,#REF!,#REF!,#REF!,#REF!,#REF!,#REF!,#REF!,#REF!,#REF!,#REF!</definedName>
    <definedName function="false" hidden="true" name="__APW_RESTORE_DATA2806__" vbProcedure="false">#REF!,#REF!,#REF!,#REF!,#REF!,#REF!,#REF!,#REF!,#REF!,#REF!,#REF!,#REF!,#REF!,#REF!,#REF!</definedName>
    <definedName function="false" hidden="true" name="__APW_RESTORE_DATA2807__" vbProcedure="false">#REF!,#REF!,#REF!,#REF!,#REF!,#REF!,#REF!,#REF!,#REF!,#REF!,#REF!,#REF!,#REF!,#REF!,#REF!</definedName>
    <definedName function="false" hidden="true" name="__APW_RESTORE_DATA2808__" vbProcedure="false">#REF!,#REF!,#REF!,#REF!,#REF!,#REF!,#REF!,#REF!,#REF!,#REF!,#REF!,#REF!,#REF!,#REF!,#REF!</definedName>
    <definedName function="false" hidden="true" name="__APW_RESTORE_DATA2809__" vbProcedure="false">#REF!,#REF!,#REF!,#REF!,#REF!,#REF!,#REF!,#REF!,#REF!,#REF!,#REF!,#REF!,#REF!,#REF!,#REF!</definedName>
    <definedName function="false" hidden="true" name="__APW_RESTORE_DATA280__" vbProcedure="false">#REF!,#REF!,#REF!,#REF!,#REF!,#REF!,#REF!,#REF!,#REF!,#REF!,#REF!,#REF!,#REF!,#REF!,#REF!</definedName>
    <definedName function="false" hidden="true" name="__APW_RESTORE_DATA2810__" vbProcedure="false">#REF!,#REF!,#REF!,#REF!,#REF!,#REF!,#REF!,#REF!,#REF!,#REF!,#REF!,#REF!,#REF!,#REF!,#REF!</definedName>
    <definedName function="false" hidden="true" name="__APW_RESTORE_DATA2811__" vbProcedure="false">#REF!,#REF!,#REF!,#REF!,#REF!,#REF!,#REF!,#REF!,#REF!,#REF!,#REF!,#REF!,#REF!,#REF!,#REF!</definedName>
    <definedName function="false" hidden="true" name="__APW_RESTORE_DATA2812__" vbProcedure="false">#REF!,#REF!,#REF!,#REF!,#REF!,#REF!,#REF!,#REF!,#REF!,#REF!,#REF!,#REF!,#REF!,#REF!,#REF!</definedName>
    <definedName function="false" hidden="true" name="__APW_RESTORE_DATA2813__" vbProcedure="false">#REF!,#REF!,#REF!,#REF!,#REF!,#REF!,#REF!,#REF!,#REF!,#REF!,#REF!,#REF!,#REF!,#REF!,#REF!</definedName>
    <definedName function="false" hidden="true" name="__APW_RESTORE_DATA2814__" vbProcedure="false">#REF!,#REF!,#REF!,#REF!,#REF!,#REF!</definedName>
    <definedName function="false" hidden="true" name="__APW_RESTORE_DATA2815__" vbProcedure="false">#REF!,#REF!,#REF!,#REF!,#REF!,#REF!,#REF!,#REF!,#REF!,#REF!,#REF!,#REF!,#REF!,#REF!,#REF!,#REF!</definedName>
    <definedName function="false" hidden="true" name="__APW_RESTORE_DATA2816__" vbProcedure="false">#REF!,#REF!,#REF!,#REF!,#REF!,#REF!,#REF!,#REF!,#REF!,#REF!,#REF!,#REF!,#REF!,#REF!,#REF!,#REF!</definedName>
    <definedName function="false" hidden="true" name="__APW_RESTORE_DATA2817__" vbProcedure="false">#REF!,#REF!,#REF!,#REF!,#REF!,#REF!,#REF!,#REF!,#REF!,#REF!,#REF!,#REF!,#REF!,#REF!,#REF!,#REF!</definedName>
    <definedName function="false" hidden="true" name="__APW_RESTORE_DATA2818__" vbProcedure="false">#REF!,#REF!,#REF!,#REF!,#REF!,#REF!,#REF!,#REF!,#REF!,#REF!,#REF!,#REF!,#REF!,#REF!,#REF!,#REF!</definedName>
    <definedName function="false" hidden="true" name="__APW_RESTORE_DATA2819__" vbProcedure="false">#REF!,#REF!,#REF!,#REF!,#REF!,#REF!,#REF!,#REF!,#REF!,#REF!,#REF!,#REF!,#REF!,#REF!,#REF!,#REF!</definedName>
    <definedName function="false" hidden="true" name="__APW_RESTORE_DATA281__" vbProcedure="false">#REF!,#REF!,#REF!,#REF!,#REF!,#REF!,#REF!,#REF!,#REF!,#REF!,#REF!,#REF!,#REF!,#REF!,#REF!</definedName>
    <definedName function="false" hidden="true" name="__APW_RESTORE_DATA2820__" vbProcedure="false">#REF!,#REF!,#REF!,#REF!,#REF!,#REF!,#REF!,#REF!,#REF!,#REF!,#REF!,#REF!,#REF!,#REF!,#REF!,#REF!</definedName>
    <definedName function="false" hidden="true" name="__APW_RESTORE_DATA2821__" vbProcedure="false">#REF!,#REF!,#REF!,#REF!,#REF!,#REF!,#REF!,#REF!,#REF!,#REF!,#REF!,#REF!,#REF!,#REF!,#REF!</definedName>
    <definedName function="false" hidden="true" name="__APW_RESTORE_DATA2822__" vbProcedure="false">#REF!,#REF!,#REF!,#REF!,#REF!,#REF!,#REF!,#REF!,#REF!,#REF!,#REF!,#REF!,#REF!,#REF!,#REF!</definedName>
    <definedName function="false" hidden="true" name="__APW_RESTORE_DATA2823__" vbProcedure="false">#REF!,#REF!,#REF!,#REF!,#REF!,#REF!,#REF!,#REF!,#REF!,#REF!,#REF!,#REF!,#REF!,#REF!,#REF!</definedName>
    <definedName function="false" hidden="true" name="__APW_RESTORE_DATA2824__" vbProcedure="false">#REF!,#REF!,#REF!,#REF!,#REF!,#REF!,#REF!,#REF!,#REF!,#REF!,#REF!,#REF!,#REF!,#REF!,#REF!</definedName>
    <definedName function="false" hidden="true" name="__APW_RESTORE_DATA2825__" vbProcedure="false">#REF!,#REF!,#REF!,#REF!,#REF!,#REF!,#REF!,#REF!,#REF!,#REF!,#REF!,#REF!,#REF!,#REF!,#REF!</definedName>
    <definedName function="false" hidden="true" name="__APW_RESTORE_DATA2826__" vbProcedure="false">#REF!,#REF!,#REF!,#REF!,#REF!,#REF!,#REF!,#REF!,#REF!,#REF!,#REF!,#REF!,#REF!,#REF!,#REF!</definedName>
    <definedName function="false" hidden="true" name="__APW_RESTORE_DATA2827__" vbProcedure="false">#REF!,#REF!,#REF!,#REF!,#REF!,#REF!,#REF!,#REF!,#REF!,#REF!,#REF!,#REF!,#REF!,#REF!,#REF!</definedName>
    <definedName function="false" hidden="true" name="__APW_RESTORE_DATA2828__" vbProcedure="false">#REF!,#REF!,#REF!,#REF!,#REF!,#REF!,#REF!,#REF!,#REF!,#REF!,#REF!,#REF!,#REF!,#REF!,#REF!</definedName>
    <definedName function="false" hidden="true" name="__APW_RESTORE_DATA2829__" vbProcedure="false">#REF!,#REF!,#REF!,#REF!,#REF!,#REF!,#REF!,#REF!,#REF!,#REF!,#REF!,#REF!,#REF!,#REF!,#REF!</definedName>
    <definedName function="false" hidden="true" name="__APW_RESTORE_DATA282__" vbProcedure="false">#REF!,#REF!,#REF!,#REF!,#REF!,#REF!,#REF!,#REF!,#REF!,#REF!,#REF!,#REF!,#REF!,#REF!,#REF!</definedName>
    <definedName function="false" hidden="true" name="__APW_RESTORE_DATA2830__" vbProcedure="false">#REF!,#REF!,#REF!,#REF!,#REF!,#REF!,#REF!,#REF!,#REF!,#REF!,#REF!,#REF!,#REF!,#REF!,#REF!</definedName>
    <definedName function="false" hidden="true" name="__APW_RESTORE_DATA2831__" vbProcedure="false">#REF!,#REF!,#REF!,#REF!,#REF!,#REF!,#REF!,#REF!,#REF!,#REF!,#REF!,#REF!,#REF!,#REF!,#REF!</definedName>
    <definedName function="false" hidden="true" name="__APW_RESTORE_DATA2832__" vbProcedure="false">#REF!,#REF!,#REF!,#REF!,#REF!,#REF!,#REF!,#REF!,#REF!,#REF!,#REF!,#REF!,#REF!,#REF!,#REF!</definedName>
    <definedName function="false" hidden="true" name="__APW_RESTORE_DATA2833__" vbProcedure="false">#REF!,#REF!,#REF!,#REF!,#REF!,#REF!,#REF!,#REF!,#REF!,#REF!,#REF!,#REF!,#REF!,#REF!,#REF!</definedName>
    <definedName function="false" hidden="true" name="__APW_RESTORE_DATA2834__" vbProcedure="false">#REF!,#REF!,#REF!,#REF!,#REF!,#REF!,#REF!,#REF!,#REF!,#REF!,#REF!,#REF!,#REF!,#REF!,#REF!</definedName>
    <definedName function="false" hidden="true" name="__APW_RESTORE_DATA2835__" vbProcedure="false">#REF!,#REF!,#REF!,#REF!,#REF!,#REF!,#REF!,#REF!,#REF!,#REF!,#REF!,#REF!,#REF!,#REF!,#REF!</definedName>
    <definedName function="false" hidden="true" name="__APW_RESTORE_DATA2836__" vbProcedure="false">#REF!,#REF!,#REF!,#REF!,#REF!,#REF!,#REF!,#REF!,#REF!,#REF!,#REF!,#REF!,#REF!,#REF!,#REF!</definedName>
    <definedName function="false" hidden="true" name="__APW_RESTORE_DATA2837__" vbProcedure="false">#REF!,#REF!,#REF!,#REF!,#REF!,#REF!,#REF!,#REF!,#REF!,#REF!,#REF!,#REF!,#REF!,#REF!,#REF!</definedName>
    <definedName function="false" hidden="true" name="__APW_RESTORE_DATA2838__" vbProcedure="false">#REF!,#REF!,#REF!,#REF!,#REF!,#REF!,#REF!,#REF!,#REF!,#REF!,#REF!,#REF!,#REF!,#REF!,#REF!</definedName>
    <definedName function="false" hidden="true" name="__APW_RESTORE_DATA2839__" vbProcedure="false">#REF!,#REF!,#REF!,#REF!,#REF!,#REF!,#REF!,#REF!,#REF!,#REF!,#REF!,#REF!,#REF!,#REF!,#REF!</definedName>
    <definedName function="false" hidden="true" name="__APW_RESTORE_DATA283__" vbProcedure="false">#REF!,#REF!,#REF!,#REF!,#REF!,#REF!,#REF!,#REF!,#REF!,#REF!,#REF!,#REF!,#REF!,#REF!,#REF!</definedName>
    <definedName function="false" hidden="true" name="__APW_RESTORE_DATA2840__" vbProcedure="false">#REF!,#REF!,#REF!,#REF!,#REF!,#REF!,#REF!,#REF!,#REF!,#REF!,#REF!,#REF!,#REF!,#REF!,#REF!</definedName>
    <definedName function="false" hidden="true" name="__APW_RESTORE_DATA2841__" vbProcedure="false">#REF!,#REF!,#REF!,#REF!,#REF!,#REF!,#REF!,#REF!,#REF!,#REF!,#REF!,#REF!,#REF!,#REF!,#REF!</definedName>
    <definedName function="false" hidden="true" name="__APW_RESTORE_DATA2842__" vbProcedure="false">#REF!,#REF!,#REF!,#REF!,#REF!,#REF!,#REF!,#REF!,#REF!,#REF!,#REF!,#REF!,#REF!,#REF!,#REF!</definedName>
    <definedName function="false" hidden="true" name="__APW_RESTORE_DATA2843__" vbProcedure="false">#REF!,#REF!,#REF!,#REF!,#REF!,#REF!,#REF!,#REF!,#REF!,#REF!,#REF!,#REF!,#REF!,#REF!,#REF!</definedName>
    <definedName function="false" hidden="true" name="__APW_RESTORE_DATA2844__" vbProcedure="false">#REF!,#REF!,#REF!,#REF!,#REF!,#REF!,#REF!,#REF!,#REF!,#REF!,#REF!,#REF!,#REF!,#REF!,#REF!</definedName>
    <definedName function="false" hidden="true" name="__APW_RESTORE_DATA2845__" vbProcedure="false">#REF!,#REF!,#REF!,#REF!,#REF!,#REF!,#REF!,#REF!,#REF!,#REF!,#REF!,#REF!,#REF!,#REF!,#REF!</definedName>
    <definedName function="false" hidden="true" name="__APW_RESTORE_DATA2846__" vbProcedure="false">#REF!,#REF!,#REF!,#REF!,#REF!,#REF!,#REF!,#REF!,#REF!,#REF!,#REF!,#REF!,#REF!,#REF!,#REF!</definedName>
    <definedName function="false" hidden="true" name="__APW_RESTORE_DATA2847__" vbProcedure="false">#REF!,#REF!,#REF!,#REF!,#REF!,#REF!,#REF!,#REF!,#REF!,#REF!,#REF!,#REF!,#REF!,#REF!,#REF!</definedName>
    <definedName function="false" hidden="true" name="__APW_RESTORE_DATA2848__" vbProcedure="false">#REF!,#REF!,#REF!,#REF!,#REF!,#REF!,#REF!,#REF!,#REF!,#REF!,#REF!,#REF!,#REF!,#REF!,#REF!</definedName>
    <definedName function="false" hidden="true" name="__APW_RESTORE_DATA2849__" vbProcedure="false">#REF!,#REF!,#REF!,#REF!,#REF!,#REF!</definedName>
    <definedName function="false" hidden="true" name="__APW_RESTORE_DATA284__" vbProcedure="false">#REF!,#REF!,#REF!,#REF!,#REF!,#REF!,#REF!,#REF!,#REF!,#REF!,#REF!,#REF!,#REF!,#REF!,#REF!</definedName>
    <definedName function="false" hidden="true" name="__APW_RESTORE_DATA2850__" vbProcedure="false">#REF!,#REF!,#REF!,#REF!,#REF!,#REF!,#REF!,#REF!,#REF!,#REF!,#REF!,#REF!,#REF!,#REF!,#REF!,#REF!</definedName>
    <definedName function="false" hidden="true" name="__APW_RESTORE_DATA2851__" vbProcedure="false">#REF!,#REF!,#REF!,#REF!,#REF!,#REF!,#REF!,#REF!,#REF!,#REF!,#REF!,#REF!,#REF!,#REF!,#REF!,#REF!</definedName>
    <definedName function="false" hidden="true" name="__APW_RESTORE_DATA2852__" vbProcedure="false">#REF!,#REF!,#REF!,#REF!,#REF!,#REF!,#REF!,#REF!,#REF!,#REF!,#REF!,#REF!,#REF!,#REF!,#REF!,#REF!</definedName>
    <definedName function="false" hidden="true" name="__APW_RESTORE_DATA2853__" vbProcedure="false">#REF!,#REF!,#REF!,#REF!,#REF!,#REF!,#REF!,#REF!,#REF!,#REF!,#REF!,#REF!,#REF!,#REF!,#REF!,#REF!</definedName>
    <definedName function="false" hidden="true" name="__APW_RESTORE_DATA2854__" vbProcedure="false">#REF!,#REF!,#REF!,#REF!,#REF!,#REF!,#REF!,#REF!,#REF!,#REF!,#REF!,#REF!,#REF!,#REF!,#REF!,#REF!</definedName>
    <definedName function="false" hidden="true" name="__APW_RESTORE_DATA2855__" vbProcedure="false">#REF!,#REF!,#REF!,#REF!,#REF!,#REF!,#REF!,#REF!,#REF!,#REF!,#REF!,#REF!,#REF!,#REF!,#REF!,#REF!</definedName>
    <definedName function="false" hidden="true" name="__APW_RESTORE_DATA2856__" vbProcedure="false">#REF!,#REF!,#REF!,#REF!,#REF!,#REF!,#REF!,#REF!,#REF!,#REF!,#REF!,#REF!,#REF!,#REF!,#REF!</definedName>
    <definedName function="false" hidden="true" name="__APW_RESTORE_DATA2857__" vbProcedure="false">#REF!,#REF!,#REF!,#REF!,#REF!,#REF!,#REF!,#REF!,#REF!,#REF!,#REF!,#REF!,#REF!,#REF!,#REF!</definedName>
    <definedName function="false" hidden="true" name="__APW_RESTORE_DATA2858__" vbProcedure="false">#REF!,#REF!,#REF!,#REF!,#REF!,#REF!,#REF!,#REF!,#REF!,#REF!,#REF!,#REF!,#REF!,#REF!,#REF!</definedName>
    <definedName function="false" hidden="true" name="__APW_RESTORE_DATA2859__" vbProcedure="false">#REF!,#REF!,#REF!,#REF!,#REF!,#REF!,#REF!,#REF!,#REF!,#REF!,#REF!,#REF!,#REF!,#REF!,#REF!</definedName>
    <definedName function="false" hidden="true" name="__APW_RESTORE_DATA285__" vbProcedure="false">#REF!,#REF!,#REF!,#REF!,#REF!,#REF!,#REF!,#REF!,#REF!,#REF!,#REF!,#REF!,#REF!,#REF!,#REF!</definedName>
    <definedName function="false" hidden="true" name="__APW_RESTORE_DATA2860__" vbProcedure="false">#REF!,#REF!,#REF!,#REF!,#REF!,#REF!,#REF!,#REF!,#REF!,#REF!,#REF!,#REF!,#REF!,#REF!,#REF!</definedName>
    <definedName function="false" hidden="true" name="__APW_RESTORE_DATA2861__" vbProcedure="false">#REF!,#REF!,#REF!,#REF!,#REF!,#REF!,#REF!,#REF!,#REF!,#REF!,#REF!,#REF!,#REF!,#REF!,#REF!</definedName>
    <definedName function="false" hidden="true" name="__APW_RESTORE_DATA2862__" vbProcedure="false">#REF!,#REF!,#REF!,#REF!,#REF!,#REF!,#REF!,#REF!,#REF!,#REF!,#REF!,#REF!,#REF!,#REF!,#REF!</definedName>
    <definedName function="false" hidden="true" name="__APW_RESTORE_DATA2863__" vbProcedure="false">#REF!,#REF!,#REF!,#REF!,#REF!,#REF!,#REF!,#REF!,#REF!,#REF!,#REF!,#REF!,#REF!,#REF!,#REF!</definedName>
    <definedName function="false" hidden="true" name="__APW_RESTORE_DATA2864__" vbProcedure="false">#REF!,#REF!,#REF!,#REF!,#REF!,#REF!,#REF!,#REF!,#REF!,#REF!,#REF!,#REF!,#REF!,#REF!,#REF!</definedName>
    <definedName function="false" hidden="true" name="__APW_RESTORE_DATA2865__" vbProcedure="false">#REF!,#REF!,#REF!,#REF!,#REF!,#REF!,#REF!,#REF!,#REF!,#REF!,#REF!,#REF!,#REF!,#REF!,#REF!</definedName>
    <definedName function="false" hidden="true" name="__APW_RESTORE_DATA2866__" vbProcedure="false">#REF!,#REF!,#REF!,#REF!,#REF!,#REF!,#REF!,#REF!,#REF!,#REF!,#REF!,#REF!,#REF!,#REF!,#REF!</definedName>
    <definedName function="false" hidden="true" name="__APW_RESTORE_DATA2867__" vbProcedure="false">#REF!,#REF!,#REF!,#REF!,#REF!,#REF!,#REF!,#REF!,#REF!,#REF!,#REF!,#REF!,#REF!,#REF!,#REF!</definedName>
    <definedName function="false" hidden="true" name="__APW_RESTORE_DATA2868__" vbProcedure="false">#REF!,#REF!,#REF!,#REF!,#REF!,#REF!,#REF!,#REF!,#REF!,#REF!,#REF!,#REF!,#REF!,#REF!,#REF!</definedName>
    <definedName function="false" hidden="true" name="__APW_RESTORE_DATA2869__" vbProcedure="false">#REF!,#REF!,#REF!,#REF!,#REF!,#REF!,#REF!,#REF!,#REF!,#REF!,#REF!,#REF!,#REF!,#REF!,#REF!</definedName>
    <definedName function="false" hidden="true" name="__APW_RESTORE_DATA286__" vbProcedure="false">#REF!,#REF!,#REF!,#REF!,#REF!,#REF!,#REF!,#REF!</definedName>
    <definedName function="false" hidden="true" name="__APW_RESTORE_DATA2870__" vbProcedure="false">#REF!,#REF!,#REF!,#REF!,#REF!,#REF!,#REF!,#REF!,#REF!,#REF!,#REF!,#REF!,#REF!,#REF!,#REF!</definedName>
    <definedName function="false" hidden="true" name="__APW_RESTORE_DATA2871__" vbProcedure="false">#REF!,#REF!,#REF!,#REF!,#REF!,#REF!,#REF!,#REF!,#REF!,#REF!,#REF!,#REF!,#REF!,#REF!,#REF!</definedName>
    <definedName function="false" hidden="true" name="__APW_RESTORE_DATA2872__" vbProcedure="false">#REF!,#REF!,#REF!,#REF!,#REF!,#REF!,#REF!,#REF!,#REF!,#REF!,#REF!,#REF!,#REF!,#REF!,#REF!</definedName>
    <definedName function="false" hidden="true" name="__APW_RESTORE_DATA2873__" vbProcedure="false">#REF!,#REF!,#REF!,#REF!,#REF!,#REF!,#REF!,#REF!,#REF!,#REF!,#REF!,#REF!,#REF!,#REF!,#REF!</definedName>
    <definedName function="false" hidden="true" name="__APW_RESTORE_DATA2874__" vbProcedure="false">#REF!,#REF!,#REF!,#REF!,#REF!,#REF!,#REF!,#REF!,#REF!,#REF!,#REF!,#REF!,#REF!,#REF!,#REF!</definedName>
    <definedName function="false" hidden="true" name="__APW_RESTORE_DATA2875__" vbProcedure="false">#REF!,#REF!,#REF!,#REF!,#REF!,#REF!,#REF!,#REF!,#REF!,#REF!,#REF!,#REF!,#REF!,#REF!,#REF!</definedName>
    <definedName function="false" hidden="true" name="__APW_RESTORE_DATA2876__" vbProcedure="false">#REF!,#REF!,#REF!,#REF!,#REF!,#REF!,#REF!,#REF!,#REF!,#REF!,#REF!,#REF!,#REF!,#REF!,#REF!</definedName>
    <definedName function="false" hidden="true" name="__APW_RESTORE_DATA2877__" vbProcedure="false">#REF!,#REF!,#REF!,#REF!,#REF!,#REF!,#REF!,#REF!,#REF!,#REF!,#REF!,#REF!,#REF!,#REF!,#REF!</definedName>
    <definedName function="false" hidden="true" name="__APW_RESTORE_DATA2878__" vbProcedure="false">#REF!,#REF!,#REF!,#REF!,#REF!,#REF!,#REF!,#REF!,#REF!,#REF!,#REF!,#REF!,#REF!,#REF!,#REF!</definedName>
    <definedName function="false" hidden="true" name="__APW_RESTORE_DATA2879__" vbProcedure="false">#REF!,#REF!,#REF!,#REF!,#REF!,#REF!,#REF!,#REF!,#REF!,#REF!,#REF!,#REF!,#REF!,#REF!,#REF!</definedName>
    <definedName function="false" hidden="true" name="__APW_RESTORE_DATA287__" vbProcedure="false">#REF!</definedName>
    <definedName function="false" hidden="true" name="__APW_RESTORE_DATA2880__" vbProcedure="false">#REF!,#REF!,#REF!,#REF!,#REF!,#REF!,#REF!,#REF!,#REF!,#REF!,#REF!,#REF!,#REF!,#REF!,#REF!</definedName>
    <definedName function="false" hidden="true" name="__APW_RESTORE_DATA2881__" vbProcedure="false">#REF!,#REF!,#REF!,#REF!,#REF!,#REF!,#REF!,#REF!,#REF!,#REF!,#REF!,#REF!,#REF!,#REF!,#REF!</definedName>
    <definedName function="false" hidden="true" name="__APW_RESTORE_DATA2882__" vbProcedure="false">#REF!,#REF!,#REF!,#REF!,#REF!,#REF!,#REF!,#REF!,#REF!,#REF!,#REF!,#REF!,#REF!,#REF!,#REF!</definedName>
    <definedName function="false" hidden="true" name="__APW_RESTORE_DATA2883__" vbProcedure="false">#REF!,#REF!,#REF!,#REF!,#REF!,#REF!,#REF!,#REF!,#REF!,#REF!,#REF!,#REF!,#REF!,#REF!,#REF!</definedName>
    <definedName function="false" hidden="true" name="__APW_RESTORE_DATA2884__" vbProcedure="false">#REF!,#REF!,#REF!,#REF!,#REF!,#REF!</definedName>
    <definedName function="false" hidden="true" name="__APW_RESTORE_DATA2885__" vbProcedure="false">#REF!</definedName>
    <definedName function="false" hidden="true" name="__APW_RESTORE_DATA2886__" vbProcedure="false">#REF!</definedName>
    <definedName function="false" hidden="true" name="__APW_RESTORE_DATA2887__" vbProcedure="false">#REF!</definedName>
    <definedName function="false" hidden="true" name="__APW_RESTORE_DATA2889__" vbProcedure="false">#REF!</definedName>
    <definedName function="false" hidden="true" name="__APW_RESTORE_DATA288__" vbProcedure="false">#REF!,#REF!</definedName>
    <definedName function="false" hidden="true" name="__APW_RESTORE_DATA2890__" vbProcedure="false">#REF!,#REF!,#REF!,#REF!,#REF!,#REF!,#REF!,#REF!,#REF!,#REF!,#REF!,#REF!,#REF!,#REF!,#REF!,#REF!</definedName>
    <definedName function="false" hidden="true" name="__APW_RESTORE_DATA2891__" vbProcedure="false">#REF!,#REF!,#REF!,#REF!,#REF!,#REF!,#REF!,#REF!,#REF!,#REF!,#REF!,#REF!,#REF!,#REF!,#REF!,#REF!</definedName>
    <definedName function="false" hidden="true" name="__APW_RESTORE_DATA2892__" vbProcedure="false">#REF!,#REF!,#REF!,#REF!,#REF!,#REF!,#REF!,#REF!,#REF!,#REF!,#REF!,#REF!,#REF!,#REF!,#REF!,#REF!</definedName>
    <definedName function="false" hidden="true" name="__APW_RESTORE_DATA2893__" vbProcedure="false">#REF!,#REF!,#REF!,#REF!,#REF!,#REF!,#REF!,#REF!,#REF!,#REF!,#REF!,#REF!,#REF!,#REF!,#REF!,#REF!</definedName>
    <definedName function="false" hidden="true" name="__APW_RESTORE_DATA2894__" vbProcedure="false">#REF!,#REF!,#REF!,#REF!,#REF!,#REF!,#REF!,#REF!,#REF!,#REF!,#REF!,#REF!,#REF!,#REF!,#REF!,#REF!</definedName>
    <definedName function="false" hidden="true" name="__APW_RESTORE_DATA2895__" vbProcedure="false">#REF!,#REF!,#REF!,#REF!,#REF!,#REF!,#REF!,#REF!,#REF!,#REF!,#REF!,#REF!,#REF!,#REF!,#REF!,#REF!</definedName>
    <definedName function="false" hidden="true" name="__APW_RESTORE_DATA2896__" vbProcedure="false">#REF!,#REF!,#REF!,#REF!,#REF!,#REF!,#REF!,#REF!,#REF!,#REF!,#REF!,#REF!,#REF!,#REF!,#REF!</definedName>
    <definedName function="false" hidden="true" name="__APW_RESTORE_DATA2897__" vbProcedure="false">#REF!,#REF!,#REF!,#REF!,#REF!,#REF!,#REF!,#REF!,#REF!,#REF!,#REF!,#REF!,#REF!,#REF!,#REF!</definedName>
    <definedName function="false" hidden="true" name="__APW_RESTORE_DATA2898__" vbProcedure="false">#REF!,#REF!,#REF!,#REF!,#REF!,#REF!,#REF!,#REF!,#REF!,#REF!,#REF!,#REF!,#REF!,#REF!,#REF!</definedName>
    <definedName function="false" hidden="true" name="__APW_RESTORE_DATA2899__" vbProcedure="false">#REF!,#REF!,#REF!,#REF!,#REF!,#REF!,#REF!,#REF!,#REF!,#REF!,#REF!,#REF!,#REF!,#REF!,#REF!</definedName>
    <definedName function="false" hidden="true" name="__APW_RESTORE_DATA289__" vbProcedure="false">#REF!</definedName>
    <definedName function="false" hidden="true" name="__APW_RESTORE_DATA28__" vbProcedure="false">#REF!,#REF!,#REF!,#REF!,#REF!,#REF!,#REF!,#REF!,#REF!,#REF!,#REF!,#REF!,#REF!,#REF!,#REF!,#REF!</definedName>
    <definedName function="false" hidden="true" name="__APW_RESTORE_DATA2900__" vbProcedure="false">#REF!,#REF!,#REF!,#REF!,#REF!,#REF!,#REF!,#REF!,#REF!,#REF!,#REF!,#REF!,#REF!,#REF!,#REF!</definedName>
    <definedName function="false" hidden="true" name="__APW_RESTORE_DATA2901__" vbProcedure="false">#REF!,#REF!,#REF!,#REF!,#REF!,#REF!,#REF!,#REF!,#REF!,#REF!,#REF!,#REF!,#REF!,#REF!,#REF!</definedName>
    <definedName function="false" hidden="true" name="__APW_RESTORE_DATA2902__" vbProcedure="false">#REF!,#REF!,#REF!,#REF!,#REF!,#REF!,#REF!,#REF!,#REF!,#REF!,#REF!,#REF!,#REF!,#REF!,#REF!</definedName>
    <definedName function="false" hidden="true" name="__APW_RESTORE_DATA2903__" vbProcedure="false">#REF!,#REF!,#REF!,#REF!,#REF!,#REF!,#REF!,#REF!,#REF!,#REF!,#REF!,#REF!,#REF!,#REF!,#REF!</definedName>
    <definedName function="false" hidden="true" name="__APW_RESTORE_DATA2904__" vbProcedure="false">#REF!,#REF!,#REF!,#REF!,#REF!,#REF!,#REF!,#REF!,#REF!,#REF!,#REF!,#REF!,#REF!,#REF!,#REF!</definedName>
    <definedName function="false" hidden="true" name="__APW_RESTORE_DATA2905__" vbProcedure="false">#REF!,#REF!,#REF!,#REF!,#REF!,#REF!,#REF!,#REF!,#REF!,#REF!,#REF!,#REF!,#REF!,#REF!,#REF!</definedName>
    <definedName function="false" hidden="true" name="__APW_RESTORE_DATA2906__" vbProcedure="false">#REF!,#REF!,#REF!,#REF!,#REF!,#REF!,#REF!,#REF!,#REF!,#REF!,#REF!,#REF!,#REF!,#REF!,#REF!</definedName>
    <definedName function="false" hidden="true" name="__APW_RESTORE_DATA2907__" vbProcedure="false">#REF!,#REF!,#REF!,#REF!,#REF!,#REF!,#REF!,#REF!,#REF!,#REF!,#REF!,#REF!,#REF!,#REF!,#REF!</definedName>
    <definedName function="false" hidden="true" name="__APW_RESTORE_DATA2908__" vbProcedure="false">#REF!,#REF!,#REF!,#REF!,#REF!,#REF!,#REF!,#REF!,#REF!,#REF!,#REF!,#REF!,#REF!,#REF!,#REF!</definedName>
    <definedName function="false" hidden="true" name="__APW_RESTORE_DATA2909__" vbProcedure="false">#REF!,#REF!,#REF!,#REF!,#REF!,#REF!,#REF!,#REF!,#REF!,#REF!,#REF!,#REF!,#REF!,#REF!,#REF!</definedName>
    <definedName function="false" hidden="true" name="__APW_RESTORE_DATA290__" vbProcedure="false">#REF!</definedName>
    <definedName function="false" hidden="true" name="__APW_RESTORE_DATA2910__" vbProcedure="false">#REF!,#REF!,#REF!,#REF!,#REF!,#REF!,#REF!,#REF!,#REF!,#REF!,#REF!,#REF!,#REF!,#REF!,#REF!</definedName>
    <definedName function="false" hidden="true" name="__APW_RESTORE_DATA2911__" vbProcedure="false">#REF!,#REF!,#REF!,#REF!,#REF!,#REF!,#REF!,#REF!,#REF!,#REF!,#REF!,#REF!,#REF!,#REF!,#REF!</definedName>
    <definedName function="false" hidden="true" name="__APW_RESTORE_DATA2912__" vbProcedure="false">#REF!,#REF!,#REF!,#REF!,#REF!,#REF!,#REF!,#REF!,#REF!,#REF!,#REF!,#REF!,#REF!,#REF!,#REF!</definedName>
    <definedName function="false" hidden="true" name="__APW_RESTORE_DATA2913__" vbProcedure="false">#REF!,#REF!,#REF!,#REF!,#REF!,#REF!,#REF!,#REF!,#REF!,#REF!,#REF!,#REF!,#REF!,#REF!,#REF!</definedName>
    <definedName function="false" hidden="true" name="__APW_RESTORE_DATA2914__" vbProcedure="false">#REF!,#REF!,#REF!,#REF!,#REF!,#REF!,#REF!,#REF!,#REF!,#REF!,#REF!,#REF!,#REF!,#REF!,#REF!</definedName>
    <definedName function="false" hidden="true" name="__APW_RESTORE_DATA2915__" vbProcedure="false">#REF!,#REF!,#REF!,#REF!,#REF!,#REF!,#REF!,#REF!,#REF!,#REF!,#REF!,#REF!,#REF!,#REF!,#REF!</definedName>
    <definedName function="false" hidden="true" name="__APW_RESTORE_DATA2916__" vbProcedure="false">#REF!,#REF!,#REF!,#REF!,#REF!,#REF!,#REF!,#REF!,#REF!,#REF!,#REF!,#REF!,#REF!,#REF!,#REF!</definedName>
    <definedName function="false" hidden="true" name="__APW_RESTORE_DATA2917__" vbProcedure="false">#REF!,#REF!,#REF!,#REF!,#REF!,#REF!,#REF!,#REF!,#REF!,#REF!,#REF!,#REF!,#REF!,#REF!,#REF!</definedName>
    <definedName function="false" hidden="true" name="__APW_RESTORE_DATA2918__" vbProcedure="false">#REF!,#REF!,#REF!,#REF!,#REF!,#REF!,#REF!,#REF!,#REF!,#REF!,#REF!,#REF!,#REF!,#REF!,#REF!</definedName>
    <definedName function="false" hidden="true" name="__APW_RESTORE_DATA2919__" vbProcedure="false">#REF!,#REF!,#REF!,#REF!,#REF!,#REF!,#REF!,#REF!,#REF!,#REF!,#REF!,#REF!,#REF!,#REF!,#REF!</definedName>
    <definedName function="false" hidden="true" name="__APW_RESTORE_DATA291__" vbProcedure="false">#REF!,#REF!</definedName>
    <definedName function="false" hidden="true" name="__APW_RESTORE_DATA2920__" vbProcedure="false">#REF!,#REF!,#REF!,#REF!,#REF!,#REF!,#REF!,#REF!,#REF!,#REF!,#REF!,#REF!,#REF!,#REF!,#REF!</definedName>
    <definedName function="false" hidden="true" name="__APW_RESTORE_DATA2921__" vbProcedure="false">#REF!,#REF!,#REF!,#REF!,#REF!,#REF!,#REF!,#REF!,#REF!,#REF!,#REF!,#REF!,#REF!,#REF!,#REF!</definedName>
    <definedName function="false" hidden="true" name="__APW_RESTORE_DATA2922__" vbProcedure="false">#REF!,#REF!,#REF!,#REF!,#REF!,#REF!,#REF!,#REF!,#REF!,#REF!,#REF!,#REF!,#REF!,#REF!,#REF!</definedName>
    <definedName function="false" hidden="true" name="__APW_RESTORE_DATA2923__" vbProcedure="false">#REF!,#REF!,#REF!,#REF!,#REF!,#REF!,#REF!,#REF!,#REF!,#REF!,#REF!,#REF!,#REF!,#REF!,#REF!</definedName>
    <definedName function="false" hidden="true" name="__APW_RESTORE_DATA2924__" vbProcedure="false">#REF!,#REF!,#REF!,#REF!,#REF!,#REF!</definedName>
    <definedName function="false" hidden="true" name="__APW_RESTORE_DATA2925__" vbProcedure="false">#REF!,#REF!,#REF!,#REF!,#REF!,#REF!,#REF!,#REF!,#REF!,#REF!,#REF!,#REF!,#REF!,#REF!,#REF!,#REF!</definedName>
    <definedName function="false" hidden="true" name="__APW_RESTORE_DATA2926__" vbProcedure="false">#REF!,#REF!,#REF!,#REF!,#REF!,#REF!,#REF!,#REF!,#REF!,#REF!,#REF!,#REF!,#REF!,#REF!,#REF!,#REF!</definedName>
    <definedName function="false" hidden="true" name="__APW_RESTORE_DATA2927__" vbProcedure="false">#REF!,#REF!,#REF!,#REF!,#REF!,#REF!,#REF!,#REF!,#REF!,#REF!,#REF!,#REF!,#REF!,#REF!,#REF!,#REF!</definedName>
    <definedName function="false" hidden="true" name="__APW_RESTORE_DATA2928__" vbProcedure="false">#REF!,#REF!,#REF!,#REF!,#REF!,#REF!,#REF!,#REF!,#REF!,#REF!,#REF!,#REF!,#REF!,#REF!,#REF!,#REF!</definedName>
    <definedName function="false" hidden="true" name="__APW_RESTORE_DATA2929__" vbProcedure="false">#REF!,#REF!,#REF!,#REF!,#REF!,#REF!,#REF!,#REF!,#REF!,#REF!,#REF!,#REF!,#REF!,#REF!,#REF!,#REF!</definedName>
    <definedName function="false" hidden="true" name="__APW_RESTORE_DATA292__" vbProcedure="false">#REF!</definedName>
    <definedName function="false" hidden="true" name="__APW_RESTORE_DATA2930__" vbProcedure="false">#REF!,#REF!,#REF!,#REF!,#REF!,#REF!,#REF!,#REF!,#REF!,#REF!,#REF!,#REF!,#REF!,#REF!,#REF!,#REF!</definedName>
    <definedName function="false" hidden="true" name="__APW_RESTORE_DATA2931__" vbProcedure="false">#REF!,#REF!,#REF!,#REF!,#REF!,#REF!,#REF!,#REF!,#REF!,#REF!,#REF!,#REF!,#REF!,#REF!,#REF!</definedName>
    <definedName function="false" hidden="true" name="__APW_RESTORE_DATA2932__" vbProcedure="false">#REF!,#REF!,#REF!,#REF!,#REF!,#REF!,#REF!,#REF!,#REF!,#REF!,#REF!,#REF!,#REF!,#REF!,#REF!</definedName>
    <definedName function="false" hidden="true" name="__APW_RESTORE_DATA2933__" vbProcedure="false">#REF!,#REF!,#REF!,#REF!,#REF!,#REF!,#REF!,#REF!,#REF!,#REF!,#REF!,#REF!,#REF!,#REF!,#REF!</definedName>
    <definedName function="false" hidden="true" name="__APW_RESTORE_DATA2934__" vbProcedure="false">#REF!,#REF!,#REF!,#REF!,#REF!,#REF!,#REF!,#REF!,#REF!,#REF!,#REF!,#REF!,#REF!,#REF!,#REF!</definedName>
    <definedName function="false" hidden="true" name="__APW_RESTORE_DATA2935__" vbProcedure="false">#REF!,#REF!,#REF!,#REF!,#REF!,#REF!,#REF!,#REF!,#REF!,#REF!,#REF!,#REF!,#REF!,#REF!,#REF!</definedName>
    <definedName function="false" hidden="true" name="__APW_RESTORE_DATA2936__" vbProcedure="false">#REF!,#REF!,#REF!,#REF!,#REF!,#REF!,#REF!,#REF!,#REF!,#REF!,#REF!,#REF!,#REF!,#REF!,#REF!</definedName>
    <definedName function="false" hidden="true" name="__APW_RESTORE_DATA2937__" vbProcedure="false">#REF!,#REF!,#REF!,#REF!,#REF!,#REF!,#REF!,#REF!,#REF!,#REF!,#REF!,#REF!,#REF!,#REF!,#REF!</definedName>
    <definedName function="false" hidden="true" name="__APW_RESTORE_DATA2938__" vbProcedure="false">#REF!,#REF!,#REF!,#REF!,#REF!,#REF!,#REF!,#REF!,#REF!,#REF!,#REF!,#REF!,#REF!,#REF!,#REF!</definedName>
    <definedName function="false" hidden="true" name="__APW_RESTORE_DATA2939__" vbProcedure="false">#REF!,#REF!,#REF!,#REF!,#REF!,#REF!,#REF!,#REF!,#REF!,#REF!,#REF!,#REF!,#REF!,#REF!,#REF!</definedName>
    <definedName function="false" hidden="true" name="__APW_RESTORE_DATA293__" vbProcedure="false">#REF!,#REF!</definedName>
    <definedName function="false" hidden="true" name="__APW_RESTORE_DATA2940__" vbProcedure="false">#REF!,#REF!,#REF!,#REF!,#REF!,#REF!,#REF!,#REF!,#REF!,#REF!,#REF!,#REF!,#REF!,#REF!,#REF!</definedName>
    <definedName function="false" hidden="true" name="__APW_RESTORE_DATA2941__" vbProcedure="false">#REF!,#REF!,#REF!,#REF!,#REF!,#REF!,#REF!,#REF!,#REF!,#REF!,#REF!,#REF!,#REF!,#REF!,#REF!</definedName>
    <definedName function="false" hidden="true" name="__APW_RESTORE_DATA2942__" vbProcedure="false">#REF!,#REF!,#REF!,#REF!,#REF!,#REF!,#REF!,#REF!,#REF!,#REF!,#REF!,#REF!,#REF!,#REF!,#REF!</definedName>
    <definedName function="false" hidden="true" name="__APW_RESTORE_DATA2943__" vbProcedure="false">#REF!,#REF!,#REF!,#REF!,#REF!,#REF!,#REF!,#REF!,#REF!,#REF!,#REF!,#REF!,#REF!,#REF!,#REF!</definedName>
    <definedName function="false" hidden="true" name="__APW_RESTORE_DATA2944__" vbProcedure="false">#REF!,#REF!,#REF!,#REF!,#REF!,#REF!,#REF!,#REF!,#REF!,#REF!,#REF!,#REF!,#REF!,#REF!,#REF!</definedName>
    <definedName function="false" hidden="true" name="__APW_RESTORE_DATA2945__" vbProcedure="false">#REF!,#REF!,#REF!,#REF!,#REF!,#REF!,#REF!,#REF!,#REF!,#REF!,#REF!,#REF!,#REF!,#REF!,#REF!</definedName>
    <definedName function="false" hidden="true" name="__APW_RESTORE_DATA2946__" vbProcedure="false">#REF!,#REF!,#REF!,#REF!,#REF!,#REF!,#REF!,#REF!,#REF!,#REF!,#REF!,#REF!,#REF!,#REF!,#REF!</definedName>
    <definedName function="false" hidden="true" name="__APW_RESTORE_DATA2947__" vbProcedure="false">#REF!,#REF!,#REF!,#REF!,#REF!,#REF!,#REF!,#REF!,#REF!,#REF!,#REF!,#REF!,#REF!,#REF!,#REF!</definedName>
    <definedName function="false" hidden="true" name="__APW_RESTORE_DATA2948__" vbProcedure="false">#REF!,#REF!,#REF!,#REF!,#REF!,#REF!,#REF!,#REF!,#REF!,#REF!,#REF!,#REF!,#REF!,#REF!,#REF!</definedName>
    <definedName function="false" hidden="true" name="__APW_RESTORE_DATA2949__" vbProcedure="false">#REF!,#REF!,#REF!,#REF!,#REF!,#REF!,#REF!,#REF!,#REF!,#REF!,#REF!,#REF!,#REF!,#REF!,#REF!</definedName>
    <definedName function="false" hidden="true" name="__APW_RESTORE_DATA294__" vbProcedure="false">#REF!,#REF!,#REF!,#REF!,#REF!,#REF!,#REF!,#REF!,#REF!,#REF!,#REF!,#REF!,#REF!,#REF!,#REF!,#REF!</definedName>
    <definedName function="false" hidden="true" name="__APW_RESTORE_DATA2950__" vbProcedure="false">#REF!,#REF!,#REF!,#REF!,#REF!,#REF!,#REF!,#REF!,#REF!,#REF!,#REF!,#REF!,#REF!,#REF!,#REF!</definedName>
    <definedName function="false" hidden="true" name="__APW_RESTORE_DATA2951__" vbProcedure="false">#REF!,#REF!,#REF!,#REF!,#REF!,#REF!,#REF!,#REF!,#REF!,#REF!,#REF!,#REF!,#REF!,#REF!,#REF!</definedName>
    <definedName function="false" hidden="true" name="__APW_RESTORE_DATA2952__" vbProcedure="false">#REF!,#REF!,#REF!,#REF!,#REF!,#REF!,#REF!,#REF!,#REF!,#REF!,#REF!,#REF!,#REF!,#REF!,#REF!</definedName>
    <definedName function="false" hidden="true" name="__APW_RESTORE_DATA2953__" vbProcedure="false">#REF!,#REF!,#REF!,#REF!,#REF!,#REF!,#REF!,#REF!,#REF!,#REF!,#REF!,#REF!,#REF!,#REF!,#REF!</definedName>
    <definedName function="false" hidden="true" name="__APW_RESTORE_DATA2954__" vbProcedure="false">#REF!,#REF!,#REF!,#REF!,#REF!,#REF!,#REF!,#REF!,#REF!,#REF!,#REF!,#REF!,#REF!,#REF!,#REF!</definedName>
    <definedName function="false" hidden="true" name="__APW_RESTORE_DATA2955__" vbProcedure="false">#REF!,#REF!,#REF!,#REF!,#REF!,#REF!,#REF!,#REF!,#REF!,#REF!,#REF!,#REF!,#REF!,#REF!,#REF!</definedName>
    <definedName function="false" hidden="true" name="__APW_RESTORE_DATA2956__" vbProcedure="false">#REF!,#REF!,#REF!,#REF!,#REF!,#REF!,#REF!,#REF!,#REF!,#REF!,#REF!,#REF!,#REF!,#REF!,#REF!</definedName>
    <definedName function="false" hidden="true" name="__APW_RESTORE_DATA2957__" vbProcedure="false">#REF!,#REF!,#REF!,#REF!,#REF!,#REF!,#REF!,#REF!,#REF!,#REF!,#REF!,#REF!,#REF!,#REF!,#REF!</definedName>
    <definedName function="false" hidden="true" name="__APW_RESTORE_DATA2958__" vbProcedure="false">#REF!,#REF!,#REF!,#REF!,#REF!,#REF!,#REF!,#REF!,#REF!,#REF!,#REF!,#REF!,#REF!,#REF!,#REF!</definedName>
    <definedName function="false" hidden="true" name="__APW_RESTORE_DATA2959__" vbProcedure="false">#REF!,#REF!,#REF!,#REF!,#REF!,#REF!</definedName>
    <definedName function="false" hidden="true" name="__APW_RESTORE_DATA295__" vbProcedure="false">#REF!,#REF!,#REF!,#REF!,#REF!,#REF!,#REF!,#REF!,#REF!,#REF!,#REF!,#REF!,#REF!,#REF!,#REF!,#REF!</definedName>
    <definedName function="false" hidden="true" name="__APW_RESTORE_DATA2960__" vbProcedure="false">#REF!,#REF!,#REF!,#REF!,#REF!,#REF!,#REF!,#REF!,#REF!,#REF!,#REF!,#REF!,#REF!,#REF!,#REF!,#REF!</definedName>
    <definedName function="false" hidden="true" name="__APW_RESTORE_DATA2961__" vbProcedure="false">#REF!,#REF!,#REF!,#REF!,#REF!,#REF!,#REF!,#REF!,#REF!,#REF!,#REF!,#REF!,#REF!,#REF!,#REF!,#REF!</definedName>
    <definedName function="false" hidden="true" name="__APW_RESTORE_DATA2962__" vbProcedure="false">#REF!,#REF!,#REF!,#REF!,#REF!,#REF!,#REF!,#REF!,#REF!,#REF!,#REF!,#REF!,#REF!,#REF!,#REF!,#REF!</definedName>
    <definedName function="false" hidden="true" name="__APW_RESTORE_DATA2963__" vbProcedure="false">#REF!,#REF!,#REF!,#REF!,#REF!,#REF!,#REF!,#REF!,#REF!,#REF!,#REF!,#REF!,#REF!,#REF!,#REF!,#REF!</definedName>
    <definedName function="false" hidden="true" name="__APW_RESTORE_DATA2964__" vbProcedure="false">#REF!,#REF!,#REF!,#REF!,#REF!,#REF!,#REF!,#REF!,#REF!,#REF!,#REF!,#REF!,#REF!,#REF!,#REF!,#REF!</definedName>
    <definedName function="false" hidden="true" name="__APW_RESTORE_DATA2965__" vbProcedure="false">#REF!,#REF!,#REF!,#REF!,#REF!,#REF!,#REF!,#REF!,#REF!,#REF!,#REF!,#REF!,#REF!,#REF!,#REF!,#REF!</definedName>
    <definedName function="false" hidden="true" name="__APW_RESTORE_DATA2966__" vbProcedure="false">#REF!,#REF!,#REF!,#REF!,#REF!,#REF!,#REF!,#REF!,#REF!,#REF!,#REF!,#REF!,#REF!,#REF!,#REF!</definedName>
    <definedName function="false" hidden="true" name="__APW_RESTORE_DATA2967__" vbProcedure="false">#REF!,#REF!,#REF!,#REF!,#REF!,#REF!,#REF!,#REF!,#REF!,#REF!,#REF!,#REF!,#REF!,#REF!,#REF!</definedName>
    <definedName function="false" hidden="true" name="__APW_RESTORE_DATA2968__" vbProcedure="false">#REF!,#REF!,#REF!,#REF!,#REF!,#REF!,#REF!,#REF!,#REF!,#REF!,#REF!,#REF!,#REF!,#REF!,#REF!</definedName>
    <definedName function="false" hidden="true" name="__APW_RESTORE_DATA2969__" vbProcedure="false">#REF!,#REF!,#REF!,#REF!,#REF!,#REF!,#REF!,#REF!,#REF!,#REF!,#REF!,#REF!,#REF!,#REF!,#REF!</definedName>
    <definedName function="false" hidden="true" name="__APW_RESTORE_DATA296__" vbProcedure="false">#REF!,#REF!,#REF!,#REF!,#REF!,#REF!,#REF!,#REF!,#REF!,#REF!,#REF!,#REF!,#REF!,#REF!,#REF!,#REF!</definedName>
    <definedName function="false" hidden="true" name="__APW_RESTORE_DATA2970__" vbProcedure="false">#REF!,#REF!,#REF!,#REF!,#REF!,#REF!,#REF!,#REF!,#REF!,#REF!,#REF!,#REF!,#REF!,#REF!,#REF!</definedName>
    <definedName function="false" hidden="true" name="__APW_RESTORE_DATA2971__" vbProcedure="false">#REF!,#REF!,#REF!,#REF!,#REF!,#REF!,#REF!,#REF!,#REF!,#REF!,#REF!,#REF!,#REF!,#REF!,#REF!</definedName>
    <definedName function="false" hidden="true" name="__APW_RESTORE_DATA2972__" vbProcedure="false">#REF!,#REF!,#REF!,#REF!,#REF!,#REF!,#REF!,#REF!,#REF!,#REF!,#REF!,#REF!,#REF!,#REF!,#REF!</definedName>
    <definedName function="false" hidden="true" name="__APW_RESTORE_DATA2973__" vbProcedure="false">#REF!,#REF!,#REF!,#REF!,#REF!,#REF!,#REF!,#REF!,#REF!,#REF!,#REF!,#REF!,#REF!,#REF!,#REF!</definedName>
    <definedName function="false" hidden="true" name="__APW_RESTORE_DATA2974__" vbProcedure="false">#REF!,#REF!,#REF!,#REF!,#REF!,#REF!,#REF!,#REF!,#REF!,#REF!,#REF!,#REF!,#REF!,#REF!,#REF!</definedName>
    <definedName function="false" hidden="true" name="__APW_RESTORE_DATA2975__" vbProcedure="false">#REF!,#REF!,#REF!,#REF!,#REF!,#REF!,#REF!,#REF!,#REF!,#REF!,#REF!,#REF!,#REF!,#REF!,#REF!</definedName>
    <definedName function="false" hidden="true" name="__APW_RESTORE_DATA2976__" vbProcedure="false">#REF!,#REF!,#REF!,#REF!,#REF!,#REF!,#REF!,#REF!,#REF!,#REF!,#REF!,#REF!,#REF!,#REF!,#REF!</definedName>
    <definedName function="false" hidden="true" name="__APW_RESTORE_DATA2977__" vbProcedure="false">#REF!,#REF!,#REF!,#REF!,#REF!,#REF!,#REF!,#REF!,#REF!,#REF!,#REF!,#REF!,#REF!,#REF!,#REF!</definedName>
    <definedName function="false" hidden="true" name="__APW_RESTORE_DATA2978__" vbProcedure="false">#REF!,#REF!,#REF!,#REF!,#REF!,#REF!,#REF!,#REF!,#REF!,#REF!,#REF!,#REF!,#REF!,#REF!,#REF!</definedName>
    <definedName function="false" hidden="true" name="__APW_RESTORE_DATA2979__" vbProcedure="false">#REF!,#REF!,#REF!,#REF!,#REF!,#REF!,#REF!,#REF!,#REF!,#REF!,#REF!,#REF!,#REF!,#REF!,#REF!</definedName>
    <definedName function="false" hidden="true" name="__APW_RESTORE_DATA297__" vbProcedure="false">#REF!,#REF!,#REF!,#REF!,#REF!,#REF!,#REF!,#REF!,#REF!,#REF!,#REF!,#REF!,#REF!,#REF!,#REF!,#REF!</definedName>
    <definedName function="false" hidden="true" name="__APW_RESTORE_DATA2980__" vbProcedure="false">#REF!,#REF!,#REF!,#REF!,#REF!,#REF!,#REF!,#REF!,#REF!,#REF!,#REF!,#REF!,#REF!,#REF!,#REF!</definedName>
    <definedName function="false" hidden="true" name="__APW_RESTORE_DATA2981__" vbProcedure="false">#REF!,#REF!,#REF!,#REF!,#REF!,#REF!,#REF!,#REF!,#REF!,#REF!,#REF!,#REF!,#REF!,#REF!,#REF!</definedName>
    <definedName function="false" hidden="true" name="__APW_RESTORE_DATA2982__" vbProcedure="false">#REF!,#REF!,#REF!,#REF!,#REF!,#REF!,#REF!,#REF!,#REF!,#REF!,#REF!,#REF!,#REF!,#REF!,#REF!</definedName>
    <definedName function="false" hidden="true" name="__APW_RESTORE_DATA2983__" vbProcedure="false">#REF!,#REF!,#REF!,#REF!,#REF!,#REF!,#REF!,#REF!,#REF!,#REF!,#REF!,#REF!,#REF!,#REF!,#REF!</definedName>
    <definedName function="false" hidden="true" name="__APW_RESTORE_DATA2984__" vbProcedure="false">#REF!,#REF!,#REF!,#REF!,#REF!,#REF!,#REF!,#REF!,#REF!,#REF!,#REF!,#REF!,#REF!,#REF!,#REF!</definedName>
    <definedName function="false" hidden="true" name="__APW_RESTORE_DATA2985__" vbProcedure="false">#REF!,#REF!,#REF!,#REF!,#REF!,#REF!,#REF!,#REF!,#REF!,#REF!,#REF!,#REF!,#REF!,#REF!,#REF!</definedName>
    <definedName function="false" hidden="true" name="__APW_RESTORE_DATA2986__" vbProcedure="false">#REF!,#REF!,#REF!,#REF!,#REF!,#REF!,#REF!,#REF!,#REF!,#REF!,#REF!,#REF!,#REF!,#REF!,#REF!</definedName>
    <definedName function="false" hidden="true" name="__APW_RESTORE_DATA2987__" vbProcedure="false">#REF!,#REF!,#REF!,#REF!,#REF!,#REF!,#REF!,#REF!,#REF!,#REF!,#REF!,#REF!,#REF!,#REF!,#REF!</definedName>
    <definedName function="false" hidden="true" name="__APW_RESTORE_DATA2988__" vbProcedure="false">#REF!,#REF!,#REF!,#REF!,#REF!,#REF!,#REF!,#REF!,#REF!,#REF!,#REF!,#REF!,#REF!,#REF!,#REF!</definedName>
    <definedName function="false" hidden="true" name="__APW_RESTORE_DATA2989__" vbProcedure="false">#REF!,#REF!,#REF!,#REF!,#REF!,#REF!,#REF!,#REF!,#REF!,#REF!,#REF!,#REF!,#REF!,#REF!,#REF!</definedName>
    <definedName function="false" hidden="true" name="__APW_RESTORE_DATA298__" vbProcedure="false">#REF!,#REF!</definedName>
    <definedName function="false" hidden="true" name="__APW_RESTORE_DATA2990__" vbProcedure="false">#REF!,#REF!,#REF!,#REF!,#REF!,#REF!,#REF!,#REF!,#REF!,#REF!,#REF!,#REF!,#REF!,#REF!,#REF!</definedName>
    <definedName function="false" hidden="true" name="__APW_RESTORE_DATA2991__" vbProcedure="false">#REF!,#REF!,#REF!,#REF!,#REF!,#REF!,#REF!,#REF!,#REF!,#REF!,#REF!,#REF!,#REF!,#REF!,#REF!</definedName>
    <definedName function="false" hidden="true" name="__APW_RESTORE_DATA2992__" vbProcedure="false">#REF!,#REF!,#REF!,#REF!,#REF!,#REF!,#REF!,#REF!,#REF!,#REF!,#REF!,#REF!,#REF!,#REF!,#REF!</definedName>
    <definedName function="false" hidden="true" name="__APW_RESTORE_DATA2993__" vbProcedure="false">#REF!,#REF!,#REF!,#REF!,#REF!,#REF!,#REF!,#REF!,#REF!,#REF!,#REF!,#REF!,#REF!,#REF!,#REF!</definedName>
    <definedName function="false" hidden="true" name="__APW_RESTORE_DATA2994__" vbProcedure="false">#REF!,#REF!,#REF!,#REF!,#REF!,#REF!</definedName>
    <definedName function="false" hidden="true" name="__APW_RESTORE_DATA2995__" vbProcedure="false">#REF!,#REF!,#REF!,#REF!,#REF!,#REF!,#REF!,#REF!,#REF!,#REF!,#REF!,#REF!,#REF!,#REF!,#REF!,#REF!</definedName>
    <definedName function="false" hidden="true" name="__APW_RESTORE_DATA2996__" vbProcedure="false">#REF!,#REF!,#REF!,#REF!,#REF!,#REF!,#REF!,#REF!,#REF!,#REF!,#REF!,#REF!,#REF!,#REF!,#REF!,#REF!</definedName>
    <definedName function="false" hidden="true" name="__APW_RESTORE_DATA2997__" vbProcedure="false">#REF!,#REF!,#REF!,#REF!,#REF!,#REF!,#REF!,#REF!,#REF!,#REF!,#REF!,#REF!,#REF!,#REF!,#REF!,#REF!</definedName>
    <definedName function="false" hidden="true" name="__APW_RESTORE_DATA2998__" vbProcedure="false">#REF!,#REF!,#REF!,#REF!,#REF!,#REF!,#REF!,#REF!,#REF!,#REF!,#REF!,#REF!,#REF!,#REF!,#REF!,#REF!</definedName>
    <definedName function="false" hidden="true" name="__APW_RESTORE_DATA2999__" vbProcedure="false">#REF!,#REF!,#REF!,#REF!,#REF!,#REF!,#REF!,#REF!,#REF!,#REF!,#REF!,#REF!,#REF!,#REF!,#REF!,#REF!</definedName>
    <definedName function="false" hidden="true" name="__APW_RESTORE_DATA299__" vbProcedure="false">#REF!,#REF!,#REF!,#REF!,#REF!,#REF!,#REF!,#REF!,#REF!,#REF!,#REF!,#REF!,#REF!,#REF!,#REF!</definedName>
    <definedName function="false" hidden="true" name="__APW_RESTORE_DATA29__" vbProcedure="false">#REF!,#REF!,#REF!,#REF!,#REF!,#REF!,#REF!,#REF!,#REF!,#REF!,#REF!,#REF!,#REF!,#REF!,#REF!</definedName>
    <definedName function="false" hidden="true" name="__APW_RESTORE_DATA2__" vbProcedure="false">#REF!</definedName>
    <definedName function="false" hidden="true" name="__APW_RESTORE_DATA3000__" vbProcedure="false">#REF!,#REF!,#REF!,#REF!,#REF!,#REF!,#REF!,#REF!,#REF!,#REF!,#REF!,#REF!,#REF!,#REF!,#REF!,#REF!</definedName>
    <definedName function="false" hidden="true" name="__APW_RESTORE_DATA3001__" vbProcedure="false">#REF!,#REF!,#REF!,#REF!,#REF!,#REF!,#REF!,#REF!,#REF!,#REF!,#REF!,#REF!,#REF!,#REF!,#REF!</definedName>
    <definedName function="false" hidden="true" name="__APW_RESTORE_DATA3002__" vbProcedure="false">#REF!,#REF!,#REF!,#REF!,#REF!,#REF!,#REF!,#REF!,#REF!,#REF!,#REF!,#REF!,#REF!,#REF!,#REF!</definedName>
    <definedName function="false" hidden="true" name="__APW_RESTORE_DATA3003__" vbProcedure="false">#REF!,#REF!,#REF!,#REF!,#REF!,#REF!,#REF!,#REF!,#REF!,#REF!,#REF!,#REF!,#REF!,#REF!,#REF!</definedName>
    <definedName function="false" hidden="true" name="__APW_RESTORE_DATA3004__" vbProcedure="false">#REF!,#REF!,#REF!,#REF!,#REF!,#REF!,#REF!,#REF!,#REF!,#REF!,#REF!,#REF!,#REF!,#REF!,#REF!</definedName>
    <definedName function="false" hidden="true" name="__APW_RESTORE_DATA3005__" vbProcedure="false">#REF!,#REF!,#REF!,#REF!,#REF!,#REF!,#REF!,#REF!,#REF!,#REF!,#REF!,#REF!,#REF!,#REF!,#REF!</definedName>
    <definedName function="false" hidden="true" name="__APW_RESTORE_DATA3006__" vbProcedure="false">#REF!,#REF!,#REF!,#REF!,#REF!,#REF!,#REF!,#REF!,#REF!,#REF!,#REF!,#REF!,#REF!,#REF!,#REF!</definedName>
    <definedName function="false" hidden="true" name="__APW_RESTORE_DATA3007__" vbProcedure="false">#REF!,#REF!,#REF!,#REF!,#REF!,#REF!,#REF!,#REF!,#REF!,#REF!,#REF!,#REF!,#REF!,#REF!,#REF!</definedName>
    <definedName function="false" hidden="true" name="__APW_RESTORE_DATA3008__" vbProcedure="false">#REF!,#REF!,#REF!,#REF!,#REF!,#REF!,#REF!,#REF!,#REF!,#REF!,#REF!,#REF!,#REF!,#REF!,#REF!</definedName>
    <definedName function="false" hidden="true" name="__APW_RESTORE_DATA3009__" vbProcedure="false">#REF!,#REF!,#REF!,#REF!,#REF!,#REF!,#REF!,#REF!,#REF!,#REF!,#REF!,#REF!,#REF!,#REF!,#REF!</definedName>
    <definedName function="false" hidden="true" name="__APW_RESTORE_DATA300__" vbProcedure="false">#REF!,#REF!,#REF!,#REF!,#REF!,#REF!,#REF!,#REF!,#REF!,#REF!,#REF!,#REF!,#REF!,#REF!,#REF!</definedName>
    <definedName function="false" hidden="true" name="__APW_RESTORE_DATA3010__" vbProcedure="false">#REF!,#REF!,#REF!,#REF!,#REF!,#REF!,#REF!,#REF!,#REF!,#REF!,#REF!,#REF!,#REF!,#REF!,#REF!</definedName>
    <definedName function="false" hidden="true" name="__APW_RESTORE_DATA3011__" vbProcedure="false">#REF!,#REF!,#REF!,#REF!,#REF!,#REF!,#REF!,#REF!,#REF!,#REF!,#REF!,#REF!,#REF!,#REF!,#REF!</definedName>
    <definedName function="false" hidden="true" name="__APW_RESTORE_DATA3012__" vbProcedure="false">#REF!,#REF!,#REF!,#REF!,#REF!,#REF!,#REF!,#REF!,#REF!,#REF!,#REF!,#REF!,#REF!,#REF!,#REF!</definedName>
    <definedName function="false" hidden="true" name="__APW_RESTORE_DATA3013__" vbProcedure="false">#REF!,#REF!,#REF!,#REF!,#REF!,#REF!,#REF!,#REF!,#REF!,#REF!,#REF!,#REF!,#REF!,#REF!,#REF!</definedName>
    <definedName function="false" hidden="true" name="__APW_RESTORE_DATA3014__" vbProcedure="false">#REF!,#REF!,#REF!,#REF!,#REF!,#REF!,#REF!,#REF!,#REF!,#REF!,#REF!,#REF!,#REF!,#REF!,#REF!</definedName>
    <definedName function="false" hidden="true" name="__APW_RESTORE_DATA3015__" vbProcedure="false">#REF!,#REF!,#REF!,#REF!,#REF!,#REF!,#REF!,#REF!,#REF!,#REF!,#REF!,#REF!,#REF!,#REF!,#REF!</definedName>
    <definedName function="false" hidden="true" name="__APW_RESTORE_DATA3016__" vbProcedure="false">#REF!,#REF!,#REF!,#REF!,#REF!,#REF!,#REF!,#REF!,#REF!,#REF!,#REF!,#REF!,#REF!,#REF!,#REF!</definedName>
    <definedName function="false" hidden="true" name="__APW_RESTORE_DATA3017__" vbProcedure="false">#REF!,#REF!,#REF!,#REF!,#REF!,#REF!,#REF!,#REF!,#REF!,#REF!,#REF!,#REF!,#REF!,#REF!,#REF!</definedName>
    <definedName function="false" hidden="true" name="__APW_RESTORE_DATA3018__" vbProcedure="false">#REF!,#REF!,#REF!,#REF!,#REF!,#REF!,#REF!,#REF!,#REF!,#REF!,#REF!,#REF!,#REF!,#REF!,#REF!</definedName>
    <definedName function="false" hidden="true" name="__APW_RESTORE_DATA3019__" vbProcedure="false">#REF!,#REF!,#REF!,#REF!,#REF!,#REF!,#REF!,#REF!,#REF!,#REF!,#REF!,#REF!,#REF!,#REF!,#REF!</definedName>
    <definedName function="false" hidden="true" name="__APW_RESTORE_DATA301__" vbProcedure="false">#REF!,#REF!,#REF!,#REF!,#REF!,#REF!,#REF!,#REF!,#REF!,#REF!,#REF!,#REF!,#REF!,#REF!,#REF!</definedName>
    <definedName function="false" hidden="true" name="__APW_RESTORE_DATA3020__" vbProcedure="false">#REF!,#REF!,#REF!,#REF!,#REF!,#REF!,#REF!,#REF!,#REF!,#REF!,#REF!,#REF!,#REF!,#REF!,#REF!</definedName>
    <definedName function="false" hidden="true" name="__APW_RESTORE_DATA3021__" vbProcedure="false">#REF!,#REF!,#REF!,#REF!,#REF!,#REF!,#REF!,#REF!,#REF!,#REF!,#REF!,#REF!,#REF!,#REF!,#REF!</definedName>
    <definedName function="false" hidden="true" name="__APW_RESTORE_DATA3022__" vbProcedure="false">#REF!,#REF!,#REF!,#REF!,#REF!,#REF!,#REF!,#REF!,#REF!,#REF!,#REF!,#REF!,#REF!,#REF!,#REF!</definedName>
    <definedName function="false" hidden="true" name="__APW_RESTORE_DATA3023__" vbProcedure="false">#REF!,#REF!,#REF!,#REF!,#REF!,#REF!,#REF!,#REF!,#REF!,#REF!,#REF!,#REF!,#REF!,#REF!,#REF!</definedName>
    <definedName function="false" hidden="true" name="__APW_RESTORE_DATA3024__" vbProcedure="false">#REF!,#REF!,#REF!,#REF!,#REF!,#REF!,#REF!,#REF!,#REF!,#REF!,#REF!,#REF!,#REF!,#REF!,#REF!</definedName>
    <definedName function="false" hidden="true" name="__APW_RESTORE_DATA3025__" vbProcedure="false">#REF!,#REF!,#REF!,#REF!,#REF!,#REF!,#REF!,#REF!,#REF!,#REF!,#REF!,#REF!,#REF!,#REF!,#REF!</definedName>
    <definedName function="false" hidden="true" name="__APW_RESTORE_DATA3026__" vbProcedure="false">#REF!,#REF!,#REF!,#REF!,#REF!,#REF!,#REF!,#REF!,#REF!,#REF!,#REF!,#REF!,#REF!,#REF!,#REF!</definedName>
    <definedName function="false" hidden="true" name="__APW_RESTORE_DATA3027__" vbProcedure="false">#REF!,#REF!,#REF!,#REF!,#REF!,#REF!,#REF!,#REF!,#REF!,#REF!,#REF!,#REF!,#REF!,#REF!,#REF!</definedName>
    <definedName function="false" hidden="true" name="__APW_RESTORE_DATA3028__" vbProcedure="false">#REF!,#REF!,#REF!,#REF!,#REF!,#REF!,#REF!,#REF!,#REF!,#REF!,#REF!,#REF!,#REF!,#REF!,#REF!</definedName>
    <definedName function="false" hidden="true" name="__APW_RESTORE_DATA3029__" vbProcedure="false">#REF!,#REF!,#REF!,#REF!,#REF!,#REF!</definedName>
    <definedName function="false" hidden="true" name="__APW_RESTORE_DATA302__" vbProcedure="false">#REF!,#REF!,#REF!,#REF!,#REF!,#REF!,#REF!,#REF!,#REF!,#REF!,#REF!,#REF!,#REF!,#REF!,#REF!</definedName>
    <definedName function="false" hidden="true" name="__APW_RESTORE_DATA3030__" vbProcedure="false">#REF!</definedName>
    <definedName function="false" hidden="true" name="__APW_RESTORE_DATA3031__" vbProcedure="false">#REF!</definedName>
    <definedName function="false" hidden="true" name="__APW_RESTORE_DATA3032__" vbProcedure="false">#REF!</definedName>
    <definedName function="false" hidden="true" name="__APW_RESTORE_DATA3034__" vbProcedure="false">#REF!</definedName>
    <definedName function="false" hidden="true" name="__APW_RESTORE_DATA3035__" vbProcedure="false">#REF!,#REF!,#REF!,#REF!,#REF!,#REF!,#REF!,#REF!,#REF!,#REF!,#REF!,#REF!,#REF!,#REF!,#REF!,#REF!</definedName>
    <definedName function="false" hidden="true" name="__APW_RESTORE_DATA3036__" vbProcedure="false">#REF!,#REF!,#REF!,#REF!,#REF!,#REF!,#REF!,#REF!,#REF!,#REF!,#REF!,#REF!,#REF!,#REF!,#REF!,#REF!</definedName>
    <definedName function="false" hidden="true" name="__APW_RESTORE_DATA3037__" vbProcedure="false">#REF!,#REF!,#REF!,#REF!,#REF!,#REF!,#REF!,#REF!,#REF!,#REF!,#REF!,#REF!,#REF!,#REF!,#REF!,#REF!</definedName>
    <definedName function="false" hidden="true" name="__APW_RESTORE_DATA3038__" vbProcedure="false">#REF!,#REF!,#REF!,#REF!,#REF!,#REF!,#REF!,#REF!,#REF!,#REF!,#REF!,#REF!,#REF!,#REF!,#REF!,#REF!</definedName>
    <definedName function="false" hidden="true" name="__APW_RESTORE_DATA3039__" vbProcedure="false">#REF!,#REF!,#REF!,#REF!,#REF!,#REF!,#REF!,#REF!,#REF!,#REF!,#REF!,#REF!,#REF!,#REF!,#REF!,#REF!</definedName>
    <definedName function="false" hidden="true" name="__APW_RESTORE_DATA303__" vbProcedure="false">#REF!,#REF!,#REF!,#REF!,#REF!,#REF!,#REF!,#REF!,#REF!,#REF!,#REF!,#REF!,#REF!,#REF!,#REF!</definedName>
    <definedName function="false" hidden="true" name="__APW_RESTORE_DATA3040__" vbProcedure="false">#REF!,#REF!,#REF!,#REF!,#REF!,#REF!,#REF!,#REF!,#REF!,#REF!,#REF!,#REF!,#REF!,#REF!,#REF!,#REF!</definedName>
    <definedName function="false" hidden="true" name="__APW_RESTORE_DATA3041__" vbProcedure="false">#REF!,#REF!,#REF!,#REF!,#REF!,#REF!,#REF!,#REF!,#REF!,#REF!,#REF!,#REF!,#REF!,#REF!,#REF!</definedName>
    <definedName function="false" hidden="true" name="__APW_RESTORE_DATA3042__" vbProcedure="false">#REF!,#REF!,#REF!,#REF!,#REF!,#REF!,#REF!,#REF!,#REF!,#REF!,#REF!,#REF!,#REF!,#REF!,#REF!</definedName>
    <definedName function="false" hidden="true" name="__APW_RESTORE_DATA3043__" vbProcedure="false">#REF!,#REF!,#REF!,#REF!,#REF!,#REF!,#REF!,#REF!,#REF!,#REF!,#REF!,#REF!,#REF!,#REF!,#REF!</definedName>
    <definedName function="false" hidden="true" name="__APW_RESTORE_DATA3044__" vbProcedure="false">#REF!,#REF!,#REF!,#REF!,#REF!,#REF!,#REF!,#REF!,#REF!,#REF!,#REF!,#REF!,#REF!,#REF!,#REF!</definedName>
    <definedName function="false" hidden="true" name="__APW_RESTORE_DATA3045__" vbProcedure="false">#REF!,#REF!,#REF!,#REF!,#REF!,#REF!,#REF!,#REF!,#REF!,#REF!,#REF!,#REF!,#REF!,#REF!,#REF!</definedName>
    <definedName function="false" hidden="true" name="__APW_RESTORE_DATA3046__" vbProcedure="false">#REF!,#REF!,#REF!,#REF!,#REF!,#REF!,#REF!,#REF!,#REF!,#REF!,#REF!,#REF!,#REF!,#REF!,#REF!</definedName>
    <definedName function="false" hidden="true" name="__APW_RESTORE_DATA3047__" vbProcedure="false">#REF!,#REF!,#REF!,#REF!,#REF!,#REF!,#REF!,#REF!,#REF!,#REF!,#REF!,#REF!,#REF!,#REF!,#REF!</definedName>
    <definedName function="false" hidden="true" name="__APW_RESTORE_DATA3048__" vbProcedure="false">#REF!,#REF!,#REF!,#REF!,#REF!,#REF!,#REF!,#REF!,#REF!,#REF!,#REF!,#REF!,#REF!,#REF!,#REF!</definedName>
    <definedName function="false" hidden="true" name="__APW_RESTORE_DATA3049__" vbProcedure="false">#REF!,#REF!,#REF!,#REF!,#REF!,#REF!,#REF!,#REF!,#REF!,#REF!,#REF!,#REF!,#REF!,#REF!,#REF!</definedName>
    <definedName function="false" hidden="true" name="__APW_RESTORE_DATA304__" vbProcedure="false">#REF!,#REF!,#REF!,#REF!,#REF!,#REF!,#REF!,#REF!,#REF!,#REF!,#REF!,#REF!,#REF!,#REF!,#REF!</definedName>
    <definedName function="false" hidden="true" name="__APW_RESTORE_DATA3050__" vbProcedure="false">#REF!,#REF!,#REF!,#REF!,#REF!,#REF!,#REF!,#REF!,#REF!,#REF!,#REF!,#REF!,#REF!,#REF!,#REF!</definedName>
    <definedName function="false" hidden="true" name="__APW_RESTORE_DATA3051__" vbProcedure="false">#REF!,#REF!,#REF!,#REF!,#REF!,#REF!,#REF!,#REF!,#REF!,#REF!,#REF!,#REF!,#REF!,#REF!,#REF!</definedName>
    <definedName function="false" hidden="true" name="__APW_RESTORE_DATA3052__" vbProcedure="false">#REF!,#REF!,#REF!,#REF!,#REF!,#REF!,#REF!,#REF!,#REF!,#REF!,#REF!,#REF!,#REF!,#REF!,#REF!</definedName>
    <definedName function="false" hidden="true" name="__APW_RESTORE_DATA3053__" vbProcedure="false">#REF!,#REF!,#REF!,#REF!,#REF!,#REF!,#REF!,#REF!,#REF!,#REF!,#REF!,#REF!,#REF!,#REF!,#REF!</definedName>
    <definedName function="false" hidden="true" name="__APW_RESTORE_DATA3054__" vbProcedure="false">#REF!,#REF!,#REF!,#REF!,#REF!,#REF!,#REF!,#REF!,#REF!,#REF!,#REF!,#REF!,#REF!,#REF!,#REF!</definedName>
    <definedName function="false" hidden="true" name="__APW_RESTORE_DATA3055__" vbProcedure="false">#REF!,#REF!,#REF!,#REF!,#REF!,#REF!,#REF!,#REF!,#REF!,#REF!,#REF!,#REF!,#REF!,#REF!,#REF!</definedName>
    <definedName function="false" hidden="true" name="__APW_RESTORE_DATA3056__" vbProcedure="false">#REF!,#REF!,#REF!,#REF!,#REF!,#REF!,#REF!,#REF!,#REF!,#REF!,#REF!,#REF!,#REF!,#REF!,#REF!</definedName>
    <definedName function="false" hidden="true" name="__APW_RESTORE_DATA3057__" vbProcedure="false">#REF!,#REF!,#REF!,#REF!,#REF!,#REF!,#REF!,#REF!,#REF!,#REF!,#REF!,#REF!,#REF!,#REF!,#REF!</definedName>
    <definedName function="false" hidden="true" name="__APW_RESTORE_DATA3058__" vbProcedure="false">#REF!,#REF!,#REF!,#REF!,#REF!,#REF!,#REF!,#REF!,#REF!,#REF!,#REF!,#REF!,#REF!,#REF!,#REF!</definedName>
    <definedName function="false" hidden="true" name="__APW_RESTORE_DATA3059__" vbProcedure="false">#REF!,#REF!,#REF!,#REF!,#REF!,#REF!,#REF!,#REF!,#REF!,#REF!,#REF!,#REF!,#REF!,#REF!,#REF!</definedName>
    <definedName function="false" hidden="true" name="__APW_RESTORE_DATA305__" vbProcedure="false">#REF!,#REF!,#REF!,#REF!,#REF!,#REF!,#REF!,#REF!,#REF!,#REF!,#REF!,#REF!,#REF!,#REF!,#REF!</definedName>
    <definedName function="false" hidden="true" name="__APW_RESTORE_DATA3060__" vbProcedure="false">#REF!,#REF!,#REF!,#REF!,#REF!,#REF!,#REF!,#REF!,#REF!,#REF!,#REF!,#REF!,#REF!,#REF!,#REF!</definedName>
    <definedName function="false" hidden="true" name="__APW_RESTORE_DATA3061__" vbProcedure="false">#REF!,#REF!,#REF!,#REF!,#REF!,#REF!,#REF!,#REF!,#REF!,#REF!,#REF!,#REF!,#REF!,#REF!,#REF!</definedName>
    <definedName function="false" hidden="true" name="__APW_RESTORE_DATA3062__" vbProcedure="false">#REF!,#REF!,#REF!,#REF!,#REF!,#REF!,#REF!,#REF!,#REF!,#REF!,#REF!,#REF!,#REF!,#REF!,#REF!</definedName>
    <definedName function="false" hidden="true" name="__APW_RESTORE_DATA3063__" vbProcedure="false">#REF!,#REF!,#REF!,#REF!,#REF!,#REF!,#REF!,#REF!,#REF!,#REF!,#REF!,#REF!,#REF!,#REF!,#REF!</definedName>
    <definedName function="false" hidden="true" name="__APW_RESTORE_DATA3064__" vbProcedure="false">#REF!,#REF!,#REF!,#REF!,#REF!,#REF!,#REF!,#REF!,#REF!,#REF!,#REF!,#REF!,#REF!,#REF!,#REF!</definedName>
    <definedName function="false" hidden="true" name="__APW_RESTORE_DATA3065__" vbProcedure="false">#REF!,#REF!,#REF!,#REF!,#REF!,#REF!,#REF!,#REF!,#REF!,#REF!,#REF!,#REF!,#REF!,#REF!,#REF!</definedName>
    <definedName function="false" hidden="true" name="__APW_RESTORE_DATA3066__" vbProcedure="false">#REF!,#REF!,#REF!,#REF!,#REF!,#REF!,#REF!,#REF!,#REF!,#REF!,#REF!,#REF!,#REF!,#REF!,#REF!</definedName>
    <definedName function="false" hidden="true" name="__APW_RESTORE_DATA3067__" vbProcedure="false">#REF!,#REF!,#REF!,#REF!,#REF!,#REF!,#REF!,#REF!,#REF!,#REF!,#REF!,#REF!,#REF!,#REF!,#REF!</definedName>
    <definedName function="false" hidden="true" name="__APW_RESTORE_DATA3068__" vbProcedure="false">#REF!,#REF!,#REF!,#REF!,#REF!,#REF!,#REF!,#REF!,#REF!,#REF!,#REF!,#REF!,#REF!,#REF!,#REF!</definedName>
    <definedName function="false" hidden="true" name="__APW_RESTORE_DATA3069__" vbProcedure="false">#REF!,#REF!,#REF!,#REF!,#REF!,#REF!</definedName>
    <definedName function="false" hidden="true" name="__APW_RESTORE_DATA306__" vbProcedure="false">#REF!,#REF!,#REF!,#REF!,#REF!,#REF!,#REF!,#REF!,#REF!,#REF!,#REF!,#REF!,#REF!,#REF!,#REF!</definedName>
    <definedName function="false" hidden="true" name="__APW_RESTORE_DATA3070__" vbProcedure="false">#REF!,#REF!,#REF!,#REF!,#REF!,#REF!,#REF!,#REF!,#REF!,#REF!,#REF!,#REF!,#REF!,#REF!,#REF!,#REF!</definedName>
    <definedName function="false" hidden="true" name="__APW_RESTORE_DATA3071__" vbProcedure="false">#REF!,#REF!,#REF!,#REF!,#REF!,#REF!,#REF!,#REF!,#REF!,#REF!,#REF!,#REF!,#REF!,#REF!,#REF!,#REF!</definedName>
    <definedName function="false" hidden="true" name="__APW_RESTORE_DATA3072__" vbProcedure="false">#REF!,#REF!,#REF!,#REF!,#REF!,#REF!,#REF!,#REF!,#REF!,#REF!,#REF!,#REF!,#REF!,#REF!,#REF!,#REF!</definedName>
    <definedName function="false" hidden="true" name="__APW_RESTORE_DATA3073__" vbProcedure="false">#REF!,#REF!,#REF!,#REF!,#REF!,#REF!,#REF!,#REF!,#REF!,#REF!,#REF!,#REF!,#REF!,#REF!,#REF!,#REF!</definedName>
    <definedName function="false" hidden="true" name="__APW_RESTORE_DATA3074__" vbProcedure="false">#REF!,#REF!,#REF!,#REF!,#REF!,#REF!,#REF!,#REF!,#REF!,#REF!,#REF!,#REF!,#REF!,#REF!,#REF!,#REF!</definedName>
    <definedName function="false" hidden="true" name="__APW_RESTORE_DATA3075__" vbProcedure="false">#REF!,#REF!,#REF!,#REF!,#REF!,#REF!,#REF!,#REF!,#REF!,#REF!,#REF!,#REF!,#REF!,#REF!,#REF!,#REF!</definedName>
    <definedName function="false" hidden="true" name="__APW_RESTORE_DATA3076__" vbProcedure="false">#REF!,#REF!,#REF!,#REF!,#REF!,#REF!,#REF!,#REF!,#REF!,#REF!,#REF!,#REF!,#REF!,#REF!,#REF!</definedName>
    <definedName function="false" hidden="true" name="__APW_RESTORE_DATA3077__" vbProcedure="false">#REF!,#REF!,#REF!,#REF!,#REF!,#REF!,#REF!,#REF!,#REF!,#REF!,#REF!,#REF!,#REF!,#REF!,#REF!</definedName>
    <definedName function="false" hidden="true" name="__APW_RESTORE_DATA3078__" vbProcedure="false">#REF!,#REF!,#REF!,#REF!,#REF!,#REF!,#REF!,#REF!,#REF!,#REF!,#REF!,#REF!,#REF!,#REF!,#REF!</definedName>
    <definedName function="false" hidden="true" name="__APW_RESTORE_DATA3079__" vbProcedure="false">#REF!,#REF!,#REF!,#REF!,#REF!,#REF!,#REF!,#REF!,#REF!,#REF!,#REF!,#REF!,#REF!,#REF!,#REF!</definedName>
    <definedName function="false" hidden="true" name="__APW_RESTORE_DATA307__" vbProcedure="false">#REF!,#REF!,#REF!,#REF!,#REF!,#REF!,#REF!,#REF!,#REF!,#REF!,#REF!,#REF!,#REF!,#REF!,#REF!</definedName>
    <definedName function="false" hidden="true" name="__APW_RESTORE_DATA3080__" vbProcedure="false">#REF!,#REF!,#REF!,#REF!,#REF!,#REF!,#REF!,#REF!,#REF!,#REF!,#REF!,#REF!,#REF!,#REF!,#REF!</definedName>
    <definedName function="false" hidden="true" name="__APW_RESTORE_DATA3081__" vbProcedure="false">#REF!,#REF!,#REF!,#REF!,#REF!,#REF!,#REF!,#REF!,#REF!,#REF!,#REF!,#REF!,#REF!,#REF!,#REF!</definedName>
    <definedName function="false" hidden="true" name="__APW_RESTORE_DATA3082__" vbProcedure="false">#REF!,#REF!,#REF!,#REF!,#REF!,#REF!,#REF!,#REF!,#REF!,#REF!,#REF!,#REF!,#REF!,#REF!,#REF!</definedName>
    <definedName function="false" hidden="true" name="__APW_RESTORE_DATA3083__" vbProcedure="false">#REF!,#REF!,#REF!,#REF!,#REF!,#REF!,#REF!,#REF!,#REF!,#REF!,#REF!,#REF!,#REF!,#REF!,#REF!</definedName>
    <definedName function="false" hidden="true" name="__APW_RESTORE_DATA3084__" vbProcedure="false">#REF!,#REF!,#REF!,#REF!,#REF!,#REF!,#REF!,#REF!,#REF!,#REF!,#REF!,#REF!,#REF!,#REF!,#REF!</definedName>
    <definedName function="false" hidden="true" name="__APW_RESTORE_DATA3085__" vbProcedure="false">#REF!,#REF!,#REF!,#REF!,#REF!,#REF!,#REF!,#REF!,#REF!,#REF!,#REF!,#REF!,#REF!,#REF!,#REF!</definedName>
    <definedName function="false" hidden="true" name="__APW_RESTORE_DATA3086__" vbProcedure="false">#REF!,#REF!,#REF!,#REF!,#REF!,#REF!,#REF!,#REF!,#REF!,#REF!,#REF!,#REF!,#REF!,#REF!,#REF!</definedName>
    <definedName function="false" hidden="true" name="__APW_RESTORE_DATA3087__" vbProcedure="false">#REF!,#REF!,#REF!,#REF!,#REF!,#REF!,#REF!,#REF!,#REF!,#REF!,#REF!,#REF!,#REF!,#REF!,#REF!</definedName>
    <definedName function="false" hidden="true" name="__APW_RESTORE_DATA3088__" vbProcedure="false">#REF!,#REF!,#REF!,#REF!,#REF!,#REF!,#REF!,#REF!,#REF!,#REF!,#REF!,#REF!,#REF!,#REF!,#REF!</definedName>
    <definedName function="false" hidden="true" name="__APW_RESTORE_DATA3089__" vbProcedure="false">#REF!,#REF!,#REF!,#REF!,#REF!,#REF!,#REF!,#REF!,#REF!,#REF!,#REF!,#REF!,#REF!,#REF!,#REF!</definedName>
    <definedName function="false" hidden="true" name="__APW_RESTORE_DATA308__" vbProcedure="false">#REF!,#REF!,#REF!,#REF!,#REF!,#REF!,#REF!,#REF!,#REF!,#REF!,#REF!,#REF!,#REF!,#REF!,#REF!</definedName>
    <definedName function="false" hidden="true" name="__APW_RESTORE_DATA3090__" vbProcedure="false">#REF!,#REF!,#REF!,#REF!,#REF!,#REF!,#REF!,#REF!,#REF!,#REF!,#REF!,#REF!,#REF!,#REF!,#REF!</definedName>
    <definedName function="false" hidden="true" name="__APW_RESTORE_DATA3091__" vbProcedure="false">#REF!,#REF!,#REF!,#REF!,#REF!,#REF!,#REF!,#REF!,#REF!,#REF!,#REF!,#REF!,#REF!,#REF!,#REF!</definedName>
    <definedName function="false" hidden="true" name="__APW_RESTORE_DATA3092__" vbProcedure="false">#REF!,#REF!,#REF!,#REF!,#REF!,#REF!,#REF!,#REF!,#REF!,#REF!,#REF!,#REF!,#REF!,#REF!,#REF!</definedName>
    <definedName function="false" hidden="true" name="__APW_RESTORE_DATA3093__" vbProcedure="false">#REF!,#REF!,#REF!,#REF!,#REF!,#REF!,#REF!,#REF!,#REF!,#REF!,#REF!,#REF!,#REF!,#REF!,#REF!</definedName>
    <definedName function="false" hidden="true" name="__APW_RESTORE_DATA3094__" vbProcedure="false">#REF!,#REF!,#REF!,#REF!,#REF!,#REF!,#REF!,#REF!,#REF!,#REF!,#REF!,#REF!,#REF!,#REF!,#REF!</definedName>
    <definedName function="false" hidden="true" name="__APW_RESTORE_DATA3095__" vbProcedure="false">#REF!,#REF!,#REF!,#REF!,#REF!,#REF!,#REF!,#REF!,#REF!,#REF!,#REF!,#REF!,#REF!,#REF!,#REF!</definedName>
    <definedName function="false" hidden="true" name="__APW_RESTORE_DATA3096__" vbProcedure="false">#REF!,#REF!,#REF!,#REF!,#REF!,#REF!,#REF!,#REF!,#REF!,#REF!,#REF!,#REF!,#REF!,#REF!,#REF!</definedName>
    <definedName function="false" hidden="true" name="__APW_RESTORE_DATA3097__" vbProcedure="false">#REF!,#REF!,#REF!,#REF!,#REF!,#REF!,#REF!,#REF!,#REF!,#REF!,#REF!,#REF!,#REF!,#REF!,#REF!</definedName>
    <definedName function="false" hidden="true" name="__APW_RESTORE_DATA3098__" vbProcedure="false">#REF!,#REF!,#REF!,#REF!,#REF!,#REF!,#REF!,#REF!,#REF!,#REF!,#REF!,#REF!,#REF!,#REF!,#REF!</definedName>
    <definedName function="false" hidden="true" name="__APW_RESTORE_DATA3099__" vbProcedure="false">#REF!,#REF!,#REF!,#REF!,#REF!,#REF!,#REF!,#REF!,#REF!,#REF!,#REF!,#REF!,#REF!,#REF!,#REF!</definedName>
    <definedName function="false" hidden="true" name="__APW_RESTORE_DATA309__" vbProcedure="false">#REF!,#REF!,#REF!,#REF!,#REF!,#REF!,#REF!,#REF!,#REF!,#REF!,#REF!,#REF!,#REF!,#REF!,#REF!</definedName>
    <definedName function="false" hidden="true" name="__APW_RESTORE_DATA30__" vbProcedure="false">#REF!,#REF!,#REF!,#REF!,#REF!,#REF!,#REF!,#REF!,#REF!,#REF!,#REF!,#REF!,#REF!,#REF!,#REF!,#REF!</definedName>
    <definedName function="false" hidden="true" name="__APW_RESTORE_DATA3100__" vbProcedure="false">#REF!,#REF!,#REF!,#REF!,#REF!,#REF!,#REF!,#REF!,#REF!,#REF!,#REF!,#REF!,#REF!,#REF!,#REF!</definedName>
    <definedName function="false" hidden="true" name="__APW_RESTORE_DATA3101__" vbProcedure="false">#REF!,#REF!,#REF!,#REF!,#REF!,#REF!,#REF!,#REF!,#REF!,#REF!,#REF!,#REF!,#REF!,#REF!,#REF!</definedName>
    <definedName function="false" hidden="true" name="__APW_RESTORE_DATA3102__" vbProcedure="false">#REF!,#REF!,#REF!,#REF!,#REF!,#REF!,#REF!,#REF!,#REF!,#REF!,#REF!,#REF!,#REF!,#REF!,#REF!</definedName>
    <definedName function="false" hidden="true" name="__APW_RESTORE_DATA3103__" vbProcedure="false">#REF!,#REF!,#REF!,#REF!,#REF!,#REF!,#REF!,#REF!,#REF!,#REF!,#REF!,#REF!,#REF!,#REF!,#REF!</definedName>
    <definedName function="false" hidden="true" name="__APW_RESTORE_DATA3104__" vbProcedure="false">#REF!,#REF!,#REF!,#REF!,#REF!,#REF!</definedName>
    <definedName function="false" hidden="true" name="__APW_RESTORE_DATA3105__" vbProcedure="false">#REF!,#REF!,#REF!,#REF!,#REF!,#REF!,#REF!,#REF!,#REF!,#REF!,#REF!,#REF!,#REF!,#REF!,#REF!,#REF!</definedName>
    <definedName function="false" hidden="true" name="__APW_RESTORE_DATA3106__" vbProcedure="false">#REF!,#REF!,#REF!,#REF!,#REF!,#REF!,#REF!,#REF!,#REF!,#REF!,#REF!,#REF!,#REF!,#REF!,#REF!,#REF!</definedName>
    <definedName function="false" hidden="true" name="__APW_RESTORE_DATA3107__" vbProcedure="false">#REF!,#REF!,#REF!,#REF!,#REF!,#REF!,#REF!,#REF!,#REF!,#REF!,#REF!,#REF!,#REF!,#REF!,#REF!,#REF!</definedName>
    <definedName function="false" hidden="true" name="__APW_RESTORE_DATA3108__" vbProcedure="false">#REF!,#REF!,#REF!,#REF!,#REF!,#REF!,#REF!,#REF!,#REF!,#REF!,#REF!,#REF!,#REF!,#REF!,#REF!,#REF!</definedName>
    <definedName function="false" hidden="true" name="__APW_RESTORE_DATA3109__" vbProcedure="false">#REF!,#REF!,#REF!,#REF!,#REF!,#REF!,#REF!,#REF!,#REF!,#REF!,#REF!,#REF!,#REF!,#REF!,#REF!,#REF!</definedName>
    <definedName function="false" hidden="true" name="__APW_RESTORE_DATA310__" vbProcedure="false">#REF!,#REF!,#REF!,#REF!,#REF!,#REF!,#REF!,#REF!,#REF!,#REF!,#REF!,#REF!,#REF!,#REF!,#REF!</definedName>
    <definedName function="false" hidden="true" name="__APW_RESTORE_DATA3110__" vbProcedure="false">#REF!,#REF!,#REF!,#REF!,#REF!,#REF!,#REF!,#REF!,#REF!,#REF!,#REF!,#REF!,#REF!,#REF!,#REF!,#REF!</definedName>
    <definedName function="false" hidden="true" name="__APW_RESTORE_DATA3111__" vbProcedure="false">#REF!,#REF!,#REF!,#REF!,#REF!,#REF!,#REF!,#REF!,#REF!,#REF!,#REF!,#REF!,#REF!,#REF!,#REF!</definedName>
    <definedName function="false" hidden="true" name="__APW_RESTORE_DATA3112__" vbProcedure="false">#REF!,#REF!,#REF!,#REF!,#REF!,#REF!,#REF!,#REF!,#REF!,#REF!,#REF!,#REF!,#REF!,#REF!,#REF!</definedName>
    <definedName function="false" hidden="true" name="__APW_RESTORE_DATA3113__" vbProcedure="false">#REF!,#REF!,#REF!,#REF!,#REF!,#REF!,#REF!,#REF!,#REF!,#REF!,#REF!,#REF!,#REF!,#REF!,#REF!</definedName>
    <definedName function="false" hidden="true" name="__APW_RESTORE_DATA3114__" vbProcedure="false">#REF!,#REF!,#REF!,#REF!,#REF!,#REF!,#REF!,#REF!,#REF!,#REF!,#REF!,#REF!,#REF!,#REF!,#REF!</definedName>
    <definedName function="false" hidden="true" name="__APW_RESTORE_DATA3115__" vbProcedure="false">#REF!,#REF!,#REF!,#REF!,#REF!,#REF!,#REF!,#REF!,#REF!,#REF!,#REF!,#REF!,#REF!,#REF!,#REF!</definedName>
    <definedName function="false" hidden="true" name="__APW_RESTORE_DATA3116__" vbProcedure="false">#REF!,#REF!,#REF!,#REF!,#REF!,#REF!,#REF!,#REF!,#REF!,#REF!,#REF!,#REF!,#REF!,#REF!,#REF!</definedName>
    <definedName function="false" hidden="true" name="__APW_RESTORE_DATA3117__" vbProcedure="false">#REF!,#REF!,#REF!,#REF!,#REF!,#REF!,#REF!,#REF!,#REF!,#REF!,#REF!,#REF!,#REF!,#REF!,#REF!</definedName>
    <definedName function="false" hidden="true" name="__APW_RESTORE_DATA3118__" vbProcedure="false">#REF!,#REF!,#REF!,#REF!,#REF!,#REF!,#REF!,#REF!,#REF!,#REF!,#REF!,#REF!,#REF!,#REF!,#REF!</definedName>
    <definedName function="false" hidden="true" name="__APW_RESTORE_DATA3119__" vbProcedure="false">#REF!,#REF!,#REF!,#REF!,#REF!,#REF!,#REF!,#REF!,#REF!,#REF!,#REF!,#REF!,#REF!,#REF!,#REF!</definedName>
    <definedName function="false" hidden="true" name="__APW_RESTORE_DATA311__" vbProcedure="false">#REF!,#REF!,#REF!,#REF!,#REF!,#REF!,#REF!,#REF!,#REF!,#REF!,#REF!,#REF!,#REF!,#REF!,#REF!</definedName>
    <definedName function="false" hidden="true" name="__APW_RESTORE_DATA3120__" vbProcedure="false">#REF!,#REF!,#REF!,#REF!,#REF!,#REF!,#REF!,#REF!,#REF!,#REF!,#REF!,#REF!,#REF!,#REF!,#REF!</definedName>
    <definedName function="false" hidden="true" name="__APW_RESTORE_DATA3121__" vbProcedure="false">#REF!,#REF!,#REF!,#REF!,#REF!,#REF!,#REF!,#REF!,#REF!,#REF!,#REF!,#REF!,#REF!,#REF!,#REF!</definedName>
    <definedName function="false" hidden="true" name="__APW_RESTORE_DATA3122__" vbProcedure="false">#REF!,#REF!,#REF!,#REF!,#REF!,#REF!,#REF!,#REF!,#REF!,#REF!,#REF!,#REF!,#REF!,#REF!,#REF!</definedName>
    <definedName function="false" hidden="true" name="__APW_RESTORE_DATA3123__" vbProcedure="false">#REF!,#REF!,#REF!,#REF!,#REF!,#REF!,#REF!,#REF!,#REF!,#REF!,#REF!,#REF!,#REF!,#REF!,#REF!</definedName>
    <definedName function="false" hidden="true" name="__APW_RESTORE_DATA3124__" vbProcedure="false">#REF!,#REF!,#REF!,#REF!,#REF!,#REF!,#REF!,#REF!,#REF!,#REF!,#REF!,#REF!,#REF!,#REF!,#REF!</definedName>
    <definedName function="false" hidden="true" name="__APW_RESTORE_DATA3125__" vbProcedure="false">#REF!,#REF!,#REF!,#REF!,#REF!,#REF!,#REF!,#REF!,#REF!,#REF!,#REF!,#REF!,#REF!,#REF!,#REF!</definedName>
    <definedName function="false" hidden="true" name="__APW_RESTORE_DATA3126__" vbProcedure="false">#REF!,#REF!,#REF!,#REF!,#REF!,#REF!,#REF!,#REF!,#REF!,#REF!,#REF!,#REF!,#REF!,#REF!,#REF!</definedName>
    <definedName function="false" hidden="true" name="__APW_RESTORE_DATA3127__" vbProcedure="false">#REF!,#REF!,#REF!,#REF!,#REF!,#REF!,#REF!,#REF!,#REF!,#REF!,#REF!,#REF!,#REF!,#REF!,#REF!</definedName>
    <definedName function="false" hidden="true" name="__APW_RESTORE_DATA3128__" vbProcedure="false">#REF!,#REF!,#REF!,#REF!,#REF!,#REF!,#REF!,#REF!,#REF!,#REF!,#REF!,#REF!,#REF!,#REF!,#REF!</definedName>
    <definedName function="false" hidden="true" name="__APW_RESTORE_DATA3129__" vbProcedure="false">#REF!,#REF!,#REF!,#REF!,#REF!,#REF!,#REF!,#REF!,#REF!,#REF!,#REF!,#REF!,#REF!,#REF!,#REF!</definedName>
    <definedName function="false" hidden="true" name="__APW_RESTORE_DATA312__" vbProcedure="false">#REF!,#REF!,#REF!,#REF!,#REF!,#REF!,#REF!,#REF!,#REF!,#REF!,#REF!,#REF!,#REF!,#REF!,#REF!</definedName>
    <definedName function="false" hidden="true" name="__APW_RESTORE_DATA3130__" vbProcedure="false">#REF!,#REF!,#REF!,#REF!,#REF!,#REF!,#REF!,#REF!,#REF!,#REF!,#REF!,#REF!,#REF!,#REF!,#REF!</definedName>
    <definedName function="false" hidden="true" name="__APW_RESTORE_DATA3131__" vbProcedure="false">#REF!,#REF!,#REF!,#REF!,#REF!,#REF!,#REF!,#REF!,#REF!,#REF!,#REF!,#REF!,#REF!,#REF!,#REF!</definedName>
    <definedName function="false" hidden="true" name="__APW_RESTORE_DATA3132__" vbProcedure="false">#REF!,#REF!,#REF!,#REF!,#REF!,#REF!,#REF!,#REF!,#REF!,#REF!,#REF!,#REF!,#REF!,#REF!,#REF!</definedName>
    <definedName function="false" hidden="true" name="__APW_RESTORE_DATA3133__" vbProcedure="false">#REF!,#REF!,#REF!,#REF!,#REF!,#REF!,#REF!,#REF!,#REF!,#REF!,#REF!,#REF!,#REF!,#REF!,#REF!</definedName>
    <definedName function="false" hidden="true" name="__APW_RESTORE_DATA3134__" vbProcedure="false">#REF!,#REF!,#REF!,#REF!,#REF!,#REF!,#REF!,#REF!,#REF!,#REF!,#REF!,#REF!,#REF!,#REF!,#REF!</definedName>
    <definedName function="false" hidden="true" name="__APW_RESTORE_DATA3135__" vbProcedure="false">#REF!,#REF!,#REF!,#REF!,#REF!,#REF!,#REF!,#REF!,#REF!,#REF!,#REF!,#REF!,#REF!,#REF!,#REF!</definedName>
    <definedName function="false" hidden="true" name="__APW_RESTORE_DATA3136__" vbProcedure="false">#REF!,#REF!,#REF!,#REF!,#REF!,#REF!,#REF!,#REF!,#REF!,#REF!,#REF!,#REF!,#REF!,#REF!,#REF!</definedName>
    <definedName function="false" hidden="true" name="__APW_RESTORE_DATA3137__" vbProcedure="false">#REF!,#REF!,#REF!,#REF!,#REF!,#REF!,#REF!,#REF!,#REF!,#REF!,#REF!,#REF!,#REF!,#REF!,#REF!</definedName>
    <definedName function="false" hidden="true" name="__APW_RESTORE_DATA3138__" vbProcedure="false">#REF!,#REF!,#REF!,#REF!,#REF!,#REF!,#REF!,#REF!,#REF!,#REF!,#REF!,#REF!,#REF!,#REF!,#REF!</definedName>
    <definedName function="false" hidden="true" name="__APW_RESTORE_DATA3139__" vbProcedure="false">#REF!,#REF!,#REF!,#REF!,#REF!,#REF!</definedName>
    <definedName function="false" hidden="true" name="__APW_RESTORE_DATA313__" vbProcedure="false">#REF!,#REF!</definedName>
    <definedName function="false" hidden="true" name="__APW_RESTORE_DATA3140__" vbProcedure="false">#REF!,#REF!,#REF!,#REF!,#REF!,#REF!,#REF!,#REF!,#REF!,#REF!,#REF!,#REF!,#REF!,#REF!,#REF!,#REF!</definedName>
    <definedName function="false" hidden="true" name="__APW_RESTORE_DATA3141__" vbProcedure="false">#REF!,#REF!,#REF!,#REF!,#REF!,#REF!,#REF!,#REF!,#REF!,#REF!,#REF!,#REF!,#REF!,#REF!,#REF!,#REF!</definedName>
    <definedName function="false" hidden="true" name="__APW_RESTORE_DATA3142__" vbProcedure="false">#REF!,#REF!,#REF!,#REF!,#REF!,#REF!,#REF!,#REF!,#REF!,#REF!,#REF!,#REF!,#REF!,#REF!,#REF!,#REF!</definedName>
    <definedName function="false" hidden="true" name="__APW_RESTORE_DATA3143__" vbProcedure="false">#REF!,#REF!,#REF!,#REF!,#REF!,#REF!,#REF!,#REF!,#REF!,#REF!,#REF!,#REF!,#REF!,#REF!,#REF!,#REF!</definedName>
    <definedName function="false" hidden="true" name="__APW_RESTORE_DATA3144__" vbProcedure="false">#REF!,#REF!,#REF!,#REF!,#REF!,#REF!,#REF!,#REF!,#REF!,#REF!,#REF!,#REF!,#REF!,#REF!,#REF!,#REF!</definedName>
    <definedName function="false" hidden="true" name="__APW_RESTORE_DATA3145__" vbProcedure="false">#REF!,#REF!,#REF!,#REF!,#REF!,#REF!,#REF!,#REF!,#REF!,#REF!,#REF!,#REF!,#REF!,#REF!,#REF!,#REF!</definedName>
    <definedName function="false" hidden="true" name="__APW_RESTORE_DATA3146__" vbProcedure="false">#REF!,#REF!,#REF!,#REF!,#REF!,#REF!,#REF!,#REF!,#REF!,#REF!,#REF!,#REF!,#REF!,#REF!,#REF!</definedName>
    <definedName function="false" hidden="true" name="__APW_RESTORE_DATA3147__" vbProcedure="false">#REF!,#REF!,#REF!,#REF!,#REF!,#REF!,#REF!,#REF!,#REF!,#REF!,#REF!,#REF!,#REF!,#REF!,#REF!</definedName>
    <definedName function="false" hidden="true" name="__APW_RESTORE_DATA3148__" vbProcedure="false">#REF!,#REF!,#REF!,#REF!,#REF!,#REF!,#REF!,#REF!,#REF!,#REF!,#REF!,#REF!,#REF!,#REF!,#REF!</definedName>
    <definedName function="false" hidden="true" name="__APW_RESTORE_DATA3149__" vbProcedure="false">#REF!,#REF!,#REF!,#REF!,#REF!,#REF!,#REF!,#REF!,#REF!,#REF!,#REF!,#REF!,#REF!,#REF!,#REF!</definedName>
    <definedName function="false" hidden="true" name="__APW_RESTORE_DATA314__" vbProcedure="false">#REF!,#REF!</definedName>
    <definedName function="false" hidden="true" name="__APW_RESTORE_DATA3150__" vbProcedure="false">#REF!,#REF!,#REF!,#REF!,#REF!,#REF!,#REF!,#REF!,#REF!,#REF!,#REF!,#REF!,#REF!,#REF!,#REF!</definedName>
    <definedName function="false" hidden="true" name="__APW_RESTORE_DATA3151__" vbProcedure="false">#REF!,#REF!,#REF!,#REF!,#REF!,#REF!,#REF!,#REF!,#REF!,#REF!,#REF!,#REF!,#REF!,#REF!,#REF!</definedName>
    <definedName function="false" hidden="true" name="__APW_RESTORE_DATA3152__" vbProcedure="false">#REF!,#REF!,#REF!,#REF!,#REF!,#REF!,#REF!,#REF!,#REF!,#REF!,#REF!,#REF!,#REF!,#REF!,#REF!</definedName>
    <definedName function="false" hidden="true" name="__APW_RESTORE_DATA3153__" vbProcedure="false">#REF!,#REF!,#REF!,#REF!,#REF!,#REF!,#REF!,#REF!,#REF!,#REF!,#REF!,#REF!,#REF!,#REF!,#REF!</definedName>
    <definedName function="false" hidden="true" name="__APW_RESTORE_DATA3154__" vbProcedure="false">#REF!,#REF!,#REF!,#REF!,#REF!,#REF!,#REF!,#REF!,#REF!,#REF!,#REF!,#REF!,#REF!,#REF!,#REF!</definedName>
    <definedName function="false" hidden="true" name="__APW_RESTORE_DATA3155__" vbProcedure="false">#REF!,#REF!,#REF!,#REF!,#REF!,#REF!,#REF!,#REF!,#REF!,#REF!,#REF!,#REF!,#REF!,#REF!,#REF!</definedName>
    <definedName function="false" hidden="true" name="__APW_RESTORE_DATA3156__" vbProcedure="false">#REF!,#REF!,#REF!,#REF!,#REF!,#REF!,#REF!,#REF!,#REF!,#REF!,#REF!,#REF!,#REF!,#REF!,#REF!</definedName>
    <definedName function="false" hidden="true" name="__APW_RESTORE_DATA3157__" vbProcedure="false">#REF!,#REF!,#REF!,#REF!,#REF!,#REF!,#REF!,#REF!,#REF!,#REF!,#REF!,#REF!,#REF!,#REF!,#REF!</definedName>
    <definedName function="false" hidden="true" name="__APW_RESTORE_DATA3158__" vbProcedure="false">#REF!,#REF!,#REF!,#REF!,#REF!,#REF!,#REF!,#REF!,#REF!,#REF!,#REF!,#REF!,#REF!,#REF!,#REF!</definedName>
    <definedName function="false" hidden="true" name="__APW_RESTORE_DATA3159__" vbProcedure="false">#REF!,#REF!,#REF!,#REF!,#REF!,#REF!,#REF!,#REF!,#REF!,#REF!,#REF!,#REF!,#REF!,#REF!,#REF!</definedName>
    <definedName function="false" hidden="true" name="__APW_RESTORE_DATA315__" vbProcedure="false">#REF!,#REF!,#REF!,#REF!,#REF!,#REF!,#REF!,#REF!,#REF!,#REF!,#REF!,#REF!,#REF!,#REF!,#REF!</definedName>
    <definedName function="false" hidden="true" name="__APW_RESTORE_DATA3160__" vbProcedure="false">#REF!,#REF!,#REF!,#REF!,#REF!,#REF!,#REF!,#REF!,#REF!,#REF!,#REF!,#REF!,#REF!,#REF!,#REF!</definedName>
    <definedName function="false" hidden="true" name="__APW_RESTORE_DATA3161__" vbProcedure="false">#REF!,#REF!,#REF!,#REF!,#REF!,#REF!,#REF!,#REF!,#REF!,#REF!,#REF!,#REF!,#REF!,#REF!,#REF!</definedName>
    <definedName function="false" hidden="true" name="__APW_RESTORE_DATA3162__" vbProcedure="false">#REF!,#REF!,#REF!,#REF!,#REF!,#REF!,#REF!,#REF!,#REF!,#REF!,#REF!,#REF!,#REF!,#REF!,#REF!</definedName>
    <definedName function="false" hidden="true" name="__APW_RESTORE_DATA3163__" vbProcedure="false">#REF!,#REF!,#REF!,#REF!,#REF!,#REF!,#REF!,#REF!,#REF!,#REF!,#REF!,#REF!,#REF!,#REF!,#REF!</definedName>
    <definedName function="false" hidden="true" name="__APW_RESTORE_DATA3164__" vbProcedure="false">#REF!,#REF!,#REF!,#REF!,#REF!,#REF!,#REF!,#REF!,#REF!,#REF!,#REF!,#REF!,#REF!,#REF!,#REF!</definedName>
    <definedName function="false" hidden="true" name="__APW_RESTORE_DATA3165__" vbProcedure="false">#REF!,#REF!,#REF!,#REF!,#REF!,#REF!,#REF!,#REF!,#REF!,#REF!,#REF!,#REF!,#REF!,#REF!,#REF!</definedName>
    <definedName function="false" hidden="true" name="__APW_RESTORE_DATA3166__" vbProcedure="false">#REF!,#REF!,#REF!,#REF!,#REF!,#REF!,#REF!,#REF!,#REF!,#REF!,#REF!,#REF!,#REF!,#REF!,#REF!</definedName>
    <definedName function="false" hidden="true" name="__APW_RESTORE_DATA3167__" vbProcedure="false">#REF!,#REF!,#REF!,#REF!,#REF!,#REF!,#REF!,#REF!,#REF!,#REF!,#REF!,#REF!,#REF!,#REF!,#REF!</definedName>
    <definedName function="false" hidden="true" name="__APW_RESTORE_DATA3168__" vbProcedure="false">#REF!,#REF!,#REF!,#REF!,#REF!,#REF!,#REF!,#REF!,#REF!,#REF!,#REF!,#REF!,#REF!,#REF!,#REF!</definedName>
    <definedName function="false" hidden="true" name="__APW_RESTORE_DATA3169__" vbProcedure="false">#REF!,#REF!,#REF!,#REF!,#REF!,#REF!,#REF!,#REF!,#REF!,#REF!,#REF!,#REF!,#REF!,#REF!,#REF!</definedName>
    <definedName function="false" hidden="true" name="__APW_RESTORE_DATA316__" vbProcedure="false">#REF!,#REF!,#REF!,#REF!,#REF!,#REF!,#REF!,#REF!,#REF!,#REF!,#REF!,#REF!,#REF!,#REF!,#REF!</definedName>
    <definedName function="false" hidden="true" name="__APW_RESTORE_DATA3170__" vbProcedure="false">#REF!,#REF!,#REF!,#REF!,#REF!,#REF!,#REF!,#REF!,#REF!,#REF!,#REF!,#REF!,#REF!,#REF!,#REF!</definedName>
    <definedName function="false" hidden="true" name="__APW_RESTORE_DATA3171__" vbProcedure="false">#REF!,#REF!,#REF!,#REF!,#REF!,#REF!,#REF!,#REF!,#REF!,#REF!,#REF!,#REF!,#REF!,#REF!,#REF!</definedName>
    <definedName function="false" hidden="true" name="__APW_RESTORE_DATA3172__" vbProcedure="false">#REF!,#REF!,#REF!,#REF!,#REF!,#REF!,#REF!,#REF!,#REF!,#REF!,#REF!,#REF!,#REF!,#REF!,#REF!</definedName>
    <definedName function="false" hidden="true" name="__APW_RESTORE_DATA3173__" vbProcedure="false">#REF!,#REF!,#REF!,#REF!,#REF!,#REF!,#REF!,#REF!,#REF!,#REF!,#REF!,#REF!,#REF!,#REF!,#REF!</definedName>
    <definedName function="false" hidden="true" name="__APW_RESTORE_DATA3174__" vbProcedure="false">#REF!,#REF!,#REF!,#REF!,#REF!,#REF!</definedName>
    <definedName function="false" hidden="true" name="__APW_RESTORE_DATA3175__" vbProcedure="false">#REF!</definedName>
    <definedName function="false" hidden="true" name="__APW_RESTORE_DATA3176__" vbProcedure="false">#REF!</definedName>
    <definedName function="false" hidden="true" name="__APW_RESTORE_DATA3177__" vbProcedure="false">#REF!</definedName>
    <definedName function="false" hidden="true" name="__APW_RESTORE_DATA3179__" vbProcedure="false">#REF!</definedName>
    <definedName function="false" hidden="true" name="__APW_RESTORE_DATA317__" vbProcedure="false">#REF!,#REF!,#REF!,#REF!,#REF!,#REF!,#REF!,#REF!,#REF!,#REF!,#REF!,#REF!,#REF!,#REF!,#REF!</definedName>
    <definedName function="false" hidden="true" name="__APW_RESTORE_DATA3180__" vbProcedure="false">#REF!</definedName>
    <definedName function="false" hidden="true" name="__APW_RESTORE_DATA3181__" vbProcedure="false">#REF!,#REF!,#REF!,#REF!,#REF!,#REF!,#REF!,#REF!,#REF!,#REF!,#REF!,#REF!,#REF!,#REF!,#REF!,#REF!</definedName>
    <definedName function="false" hidden="true" name="__APW_RESTORE_DATA3182__" vbProcedure="false">#REF!,#REF!,#REF!,#REF!,#REF!,#REF!,#REF!,#REF!,#REF!,#REF!,#REF!,#REF!,#REF!,#REF!,#REF!,#REF!</definedName>
    <definedName function="false" hidden="true" name="__APW_RESTORE_DATA3183__" vbProcedure="false">#REF!,#REF!,#REF!,#REF!,#REF!,#REF!,#REF!,#REF!,#REF!,#REF!,#REF!,#REF!,#REF!,#REF!,#REF!,#REF!</definedName>
    <definedName function="false" hidden="true" name="__APW_RESTORE_DATA3184__" vbProcedure="false">#REF!,#REF!,#REF!,#REF!,#REF!,#REF!,#REF!,#REF!,#REF!,#REF!,#REF!,#REF!,#REF!,#REF!,#REF!,#REF!</definedName>
    <definedName function="false" hidden="true" name="__APW_RESTORE_DATA3185__" vbProcedure="false">#REF!,#REF!,#REF!,#REF!,#REF!,#REF!,#REF!,#REF!,#REF!,#REF!,#REF!,#REF!,#REF!,#REF!,#REF!,#REF!</definedName>
    <definedName function="false" hidden="true" name="__APW_RESTORE_DATA3186__" vbProcedure="false">#REF!,#REF!,#REF!,#REF!,#REF!,#REF!,#REF!,#REF!,#REF!,#REF!,#REF!,#REF!,#REF!,#REF!,#REF!,#REF!</definedName>
    <definedName function="false" hidden="true" name="__APW_RESTORE_DATA3187__" vbProcedure="false">#REF!,#REF!,#REF!,#REF!,#REF!,#REF!,#REF!,#REF!,#REF!,#REF!,#REF!,#REF!,#REF!,#REF!,#REF!</definedName>
    <definedName function="false" hidden="true" name="__APW_RESTORE_DATA3188__" vbProcedure="false">#REF!,#REF!,#REF!,#REF!,#REF!,#REF!,#REF!,#REF!,#REF!,#REF!,#REF!,#REF!,#REF!,#REF!,#REF!</definedName>
    <definedName function="false" hidden="true" name="__APW_RESTORE_DATA3189__" vbProcedure="false">#REF!,#REF!,#REF!,#REF!,#REF!,#REF!,#REF!,#REF!,#REF!,#REF!,#REF!,#REF!,#REF!,#REF!,#REF!</definedName>
    <definedName function="false" hidden="true" name="__APW_RESTORE_DATA318__" vbProcedure="false">#REF!,#REF!,#REF!,#REF!,#REF!,#REF!,#REF!,#REF!,#REF!,#REF!,#REF!,#REF!,#REF!,#REF!,#REF!</definedName>
    <definedName function="false" hidden="true" name="__APW_RESTORE_DATA3190__" vbProcedure="false">#REF!,#REF!,#REF!,#REF!,#REF!,#REF!,#REF!,#REF!,#REF!,#REF!,#REF!,#REF!,#REF!,#REF!,#REF!</definedName>
    <definedName function="false" hidden="true" name="__APW_RESTORE_DATA3191__" vbProcedure="false">#REF!,#REF!,#REF!,#REF!,#REF!,#REF!,#REF!,#REF!,#REF!,#REF!,#REF!,#REF!,#REF!,#REF!,#REF!</definedName>
    <definedName function="false" hidden="true" name="__APW_RESTORE_DATA3192__" vbProcedure="false">#REF!,#REF!,#REF!,#REF!,#REF!,#REF!,#REF!,#REF!,#REF!,#REF!,#REF!,#REF!,#REF!,#REF!,#REF!</definedName>
    <definedName function="false" hidden="true" name="__APW_RESTORE_DATA3193__" vbProcedure="false">#REF!,#REF!,#REF!,#REF!,#REF!,#REF!,#REF!,#REF!,#REF!,#REF!,#REF!,#REF!,#REF!,#REF!,#REF!</definedName>
    <definedName function="false" hidden="true" name="__APW_RESTORE_DATA3194__" vbProcedure="false">#REF!,#REF!,#REF!,#REF!,#REF!,#REF!,#REF!,#REF!,#REF!,#REF!,#REF!,#REF!,#REF!,#REF!,#REF!</definedName>
    <definedName function="false" hidden="true" name="__APW_RESTORE_DATA3195__" vbProcedure="false">#REF!,#REF!,#REF!,#REF!,#REF!,#REF!,#REF!,#REF!,#REF!,#REF!,#REF!,#REF!,#REF!,#REF!,#REF!</definedName>
    <definedName function="false" hidden="true" name="__APW_RESTORE_DATA3196__" vbProcedure="false">#REF!,#REF!,#REF!,#REF!,#REF!,#REF!,#REF!,#REF!,#REF!,#REF!,#REF!,#REF!,#REF!,#REF!,#REF!</definedName>
    <definedName function="false" hidden="true" name="__APW_RESTORE_DATA3197__" vbProcedure="false">#REF!,#REF!,#REF!,#REF!,#REF!,#REF!,#REF!,#REF!,#REF!,#REF!,#REF!,#REF!,#REF!,#REF!,#REF!</definedName>
    <definedName function="false" hidden="true" name="__APW_RESTORE_DATA3198__" vbProcedure="false">#REF!,#REF!,#REF!,#REF!,#REF!,#REF!,#REF!,#REF!,#REF!,#REF!,#REF!,#REF!,#REF!,#REF!,#REF!</definedName>
    <definedName function="false" hidden="true" name="__APW_RESTORE_DATA3199__" vbProcedure="false">#REF!,#REF!,#REF!,#REF!,#REF!,#REF!,#REF!,#REF!,#REF!,#REF!,#REF!,#REF!,#REF!,#REF!,#REF!</definedName>
    <definedName function="false" hidden="true" name="__APW_RESTORE_DATA319__" vbProcedure="false">#REF!,#REF!,#REF!,#REF!,#REF!,#REF!,#REF!,#REF!,#REF!,#REF!,#REF!,#REF!,#REF!,#REF!,#REF!</definedName>
    <definedName function="false" hidden="true" name="__APW_RESTORE_DATA31__" vbProcedure="false">#REF!,#REF!,#REF!,#REF!,#REF!,#REF!,#REF!,#REF!,#REF!,#REF!,#REF!,#REF!,#REF!,#REF!,#REF!</definedName>
    <definedName function="false" hidden="true" name="__APW_RESTORE_DATA3200__" vbProcedure="false">#REF!,#REF!,#REF!,#REF!,#REF!,#REF!,#REF!,#REF!,#REF!,#REF!,#REF!,#REF!,#REF!,#REF!,#REF!</definedName>
    <definedName function="false" hidden="true" name="__APW_RESTORE_DATA3201__" vbProcedure="false">#REF!,#REF!,#REF!,#REF!,#REF!,#REF!,#REF!,#REF!,#REF!,#REF!,#REF!,#REF!,#REF!,#REF!,#REF!</definedName>
    <definedName function="false" hidden="true" name="__APW_RESTORE_DATA3202__" vbProcedure="false">#REF!,#REF!,#REF!,#REF!,#REF!,#REF!,#REF!,#REF!,#REF!,#REF!,#REF!,#REF!,#REF!,#REF!,#REF!</definedName>
    <definedName function="false" hidden="true" name="__APW_RESTORE_DATA3203__" vbProcedure="false">#REF!,#REF!,#REF!,#REF!,#REF!,#REF!,#REF!,#REF!,#REF!,#REF!,#REF!,#REF!,#REF!,#REF!,#REF!</definedName>
    <definedName function="false" hidden="true" name="__APW_RESTORE_DATA3204__" vbProcedure="false">#REF!,#REF!,#REF!,#REF!,#REF!,#REF!,#REF!,#REF!,#REF!,#REF!,#REF!,#REF!,#REF!,#REF!,#REF!</definedName>
    <definedName function="false" hidden="true" name="__APW_RESTORE_DATA3205__" vbProcedure="false">#REF!,#REF!,#REF!,#REF!,#REF!,#REF!,#REF!,#REF!,#REF!,#REF!,#REF!,#REF!,#REF!,#REF!,#REF!</definedName>
    <definedName function="false" hidden="true" name="__APW_RESTORE_DATA3206__" vbProcedure="false">#REF!,#REF!,#REF!,#REF!,#REF!,#REF!,#REF!,#REF!,#REF!,#REF!,#REF!,#REF!,#REF!,#REF!,#REF!</definedName>
    <definedName function="false" hidden="true" name="__APW_RESTORE_DATA3207__" vbProcedure="false">#REF!,#REF!,#REF!,#REF!,#REF!,#REF!,#REF!,#REF!,#REF!,#REF!,#REF!,#REF!,#REF!,#REF!,#REF!</definedName>
    <definedName function="false" hidden="true" name="__APW_RESTORE_DATA3208__" vbProcedure="false">#REF!,#REF!,#REF!,#REF!,#REF!,#REF!,#REF!,#REF!,#REF!,#REF!,#REF!,#REF!,#REF!,#REF!,#REF!</definedName>
    <definedName function="false" hidden="true" name="__APW_RESTORE_DATA3209__" vbProcedure="false">#REF!,#REF!,#REF!,#REF!,#REF!,#REF!,#REF!,#REF!,#REF!,#REF!,#REF!,#REF!,#REF!,#REF!,#REF!</definedName>
    <definedName function="false" hidden="true" name="__APW_RESTORE_DATA320__" vbProcedure="false">#REF!,#REF!,#REF!,#REF!,#REF!,#REF!,#REF!,#REF!,#REF!,#REF!,#REF!,#REF!,#REF!,#REF!,#REF!</definedName>
    <definedName function="false" hidden="true" name="__APW_RESTORE_DATA3210__" vbProcedure="false">#REF!,#REF!,#REF!,#REF!,#REF!,#REF!,#REF!,#REF!,#REF!,#REF!,#REF!,#REF!,#REF!,#REF!,#REF!</definedName>
    <definedName function="false" hidden="true" name="__APW_RESTORE_DATA3211__" vbProcedure="false">#REF!,#REF!,#REF!,#REF!,#REF!,#REF!,#REF!,#REF!,#REF!,#REF!,#REF!,#REF!,#REF!,#REF!,#REF!</definedName>
    <definedName function="false" hidden="true" name="__APW_RESTORE_DATA3212__" vbProcedure="false">#REF!,#REF!,#REF!,#REF!,#REF!,#REF!,#REF!,#REF!,#REF!,#REF!,#REF!,#REF!,#REF!,#REF!,#REF!</definedName>
    <definedName function="false" hidden="true" name="__APW_RESTORE_DATA3213__" vbProcedure="false">#REF!,#REF!,#REF!,#REF!,#REF!,#REF!,#REF!,#REF!,#REF!,#REF!,#REF!,#REF!,#REF!,#REF!,#REF!</definedName>
    <definedName function="false" hidden="true" name="__APW_RESTORE_DATA3214__" vbProcedure="false">#REF!,#REF!,#REF!,#REF!,#REF!,#REF!,#REF!,#REF!,#REF!,#REF!,#REF!,#REF!,#REF!,#REF!,#REF!</definedName>
    <definedName function="false" hidden="true" name="__APW_RESTORE_DATA3215__" vbProcedure="false">#REF!,#REF!,#REF!,#REF!,#REF!,#REF!</definedName>
    <definedName function="false" hidden="true" name="__APW_RESTORE_DATA3216__" vbProcedure="false">#REF!,#REF!,#REF!,#REF!,#REF!,#REF!,#REF!,#REF!,#REF!,#REF!,#REF!,#REF!,#REF!,#REF!,#REF!,#REF!</definedName>
    <definedName function="false" hidden="true" name="__APW_RESTORE_DATA3217__" vbProcedure="false">#REF!,#REF!,#REF!,#REF!,#REF!,#REF!,#REF!,#REF!,#REF!,#REF!,#REF!,#REF!,#REF!,#REF!,#REF!,#REF!</definedName>
    <definedName function="false" hidden="true" name="__APW_RESTORE_DATA3218__" vbProcedure="false">#REF!,#REF!,#REF!,#REF!,#REF!,#REF!,#REF!,#REF!,#REF!,#REF!,#REF!,#REF!,#REF!,#REF!,#REF!,#REF!</definedName>
    <definedName function="false" hidden="true" name="__APW_RESTORE_DATA3219__" vbProcedure="false">#REF!,#REF!,#REF!,#REF!,#REF!,#REF!,#REF!,#REF!,#REF!,#REF!,#REF!,#REF!,#REF!,#REF!,#REF!,#REF!</definedName>
    <definedName function="false" hidden="true" name="__APW_RESTORE_DATA321__" vbProcedure="false">#REF!,#REF!,#REF!,#REF!,#REF!,#REF!,#REF!,#REF!,#REF!,#REF!,#REF!,#REF!,#REF!,#REF!,#REF!</definedName>
    <definedName function="false" hidden="true" name="__APW_RESTORE_DATA3220__" vbProcedure="false">#REF!,#REF!,#REF!,#REF!,#REF!,#REF!,#REF!,#REF!,#REF!,#REF!,#REF!,#REF!,#REF!,#REF!,#REF!,#REF!</definedName>
    <definedName function="false" hidden="true" name="__APW_RESTORE_DATA3221__" vbProcedure="false">#REF!,#REF!,#REF!,#REF!,#REF!,#REF!,#REF!,#REF!,#REF!,#REF!,#REF!,#REF!,#REF!,#REF!,#REF!,#REF!</definedName>
    <definedName function="false" hidden="true" name="__APW_RESTORE_DATA3222__" vbProcedure="false">#REF!,#REF!,#REF!,#REF!,#REF!,#REF!,#REF!,#REF!,#REF!,#REF!,#REF!,#REF!,#REF!,#REF!,#REF!</definedName>
    <definedName function="false" hidden="true" name="__APW_RESTORE_DATA3223__" vbProcedure="false">#REF!,#REF!,#REF!,#REF!,#REF!,#REF!,#REF!,#REF!,#REF!,#REF!,#REF!,#REF!,#REF!,#REF!,#REF!</definedName>
    <definedName function="false" hidden="true" name="__APW_RESTORE_DATA3224__" vbProcedure="false">#REF!,#REF!,#REF!,#REF!,#REF!,#REF!,#REF!,#REF!,#REF!,#REF!,#REF!,#REF!,#REF!,#REF!,#REF!</definedName>
    <definedName function="false" hidden="true" name="__APW_RESTORE_DATA3225__" vbProcedure="false">#REF!,#REF!,#REF!,#REF!,#REF!,#REF!,#REF!,#REF!,#REF!,#REF!,#REF!,#REF!,#REF!,#REF!,#REF!</definedName>
    <definedName function="false" hidden="true" name="__APW_RESTORE_DATA3226__" vbProcedure="false">#REF!,#REF!,#REF!,#REF!,#REF!,#REF!,#REF!,#REF!,#REF!,#REF!,#REF!,#REF!,#REF!,#REF!,#REF!</definedName>
    <definedName function="false" hidden="true" name="__APW_RESTORE_DATA3227__" vbProcedure="false">#REF!,#REF!,#REF!,#REF!,#REF!,#REF!,#REF!,#REF!,#REF!,#REF!,#REF!,#REF!,#REF!,#REF!,#REF!</definedName>
    <definedName function="false" hidden="true" name="__APW_RESTORE_DATA3228__" vbProcedure="false">#REF!,#REF!,#REF!,#REF!,#REF!,#REF!,#REF!,#REF!,#REF!,#REF!,#REF!,#REF!,#REF!,#REF!,#REF!</definedName>
    <definedName function="false" hidden="true" name="__APW_RESTORE_DATA3229__" vbProcedure="false">#REF!,#REF!,#REF!,#REF!,#REF!,#REF!,#REF!,#REF!,#REF!,#REF!,#REF!,#REF!,#REF!,#REF!,#REF!</definedName>
    <definedName function="false" hidden="true" name="__APW_RESTORE_DATA322__" vbProcedure="false">#REF!,#REF!,#REF!,#REF!,#REF!,#REF!,#REF!,#REF!,#REF!,#REF!,#REF!,#REF!,#REF!,#REF!,#REF!</definedName>
    <definedName function="false" hidden="true" name="__APW_RESTORE_DATA3230__" vbProcedure="false">#REF!,#REF!,#REF!,#REF!,#REF!,#REF!,#REF!,#REF!,#REF!,#REF!,#REF!,#REF!,#REF!,#REF!,#REF!</definedName>
    <definedName function="false" hidden="true" name="__APW_RESTORE_DATA3231__" vbProcedure="false">#REF!,#REF!,#REF!,#REF!,#REF!,#REF!,#REF!,#REF!,#REF!,#REF!,#REF!,#REF!,#REF!,#REF!,#REF!</definedName>
    <definedName function="false" hidden="true" name="__APW_RESTORE_DATA3232__" vbProcedure="false">#REF!,#REF!,#REF!,#REF!,#REF!,#REF!,#REF!,#REF!,#REF!,#REF!,#REF!,#REF!,#REF!,#REF!,#REF!</definedName>
    <definedName function="false" hidden="true" name="__APW_RESTORE_DATA3233__" vbProcedure="false">#REF!,#REF!,#REF!,#REF!,#REF!,#REF!,#REF!,#REF!,#REF!,#REF!,#REF!,#REF!,#REF!,#REF!,#REF!</definedName>
    <definedName function="false" hidden="true" name="__APW_RESTORE_DATA3234__" vbProcedure="false">#REF!,#REF!,#REF!,#REF!,#REF!,#REF!,#REF!,#REF!,#REF!,#REF!,#REF!,#REF!,#REF!,#REF!,#REF!</definedName>
    <definedName function="false" hidden="true" name="__APW_RESTORE_DATA3235__" vbProcedure="false">#REF!,#REF!,#REF!,#REF!,#REF!,#REF!,#REF!,#REF!,#REF!,#REF!,#REF!,#REF!,#REF!,#REF!,#REF!</definedName>
    <definedName function="false" hidden="true" name="__APW_RESTORE_DATA3236__" vbProcedure="false">#REF!,#REF!,#REF!,#REF!,#REF!,#REF!,#REF!,#REF!,#REF!,#REF!,#REF!,#REF!,#REF!,#REF!,#REF!</definedName>
    <definedName function="false" hidden="true" name="__APW_RESTORE_DATA3237__" vbProcedure="false">#REF!,#REF!,#REF!,#REF!,#REF!,#REF!,#REF!,#REF!,#REF!,#REF!,#REF!,#REF!,#REF!,#REF!,#REF!</definedName>
    <definedName function="false" hidden="true" name="__APW_RESTORE_DATA3238__" vbProcedure="false">#REF!,#REF!,#REF!,#REF!,#REF!,#REF!,#REF!,#REF!,#REF!,#REF!,#REF!,#REF!,#REF!,#REF!,#REF!</definedName>
    <definedName function="false" hidden="true" name="__APW_RESTORE_DATA3239__" vbProcedure="false">#REF!,#REF!,#REF!,#REF!,#REF!,#REF!,#REF!,#REF!,#REF!,#REF!,#REF!,#REF!,#REF!,#REF!,#REF!</definedName>
    <definedName function="false" hidden="true" name="__APW_RESTORE_DATA323__" vbProcedure="false">#REF!,#REF!,#REF!,#REF!,#REF!,#REF!,#REF!,#REF!,#REF!,#REF!,#REF!,#REF!,#REF!,#REF!,#REF!</definedName>
    <definedName function="false" hidden="true" name="__APW_RESTORE_DATA3240__" vbProcedure="false">#REF!,#REF!,#REF!,#REF!,#REF!,#REF!,#REF!,#REF!,#REF!,#REF!,#REF!,#REF!,#REF!,#REF!,#REF!</definedName>
    <definedName function="false" hidden="true" name="__APW_RESTORE_DATA3241__" vbProcedure="false">#REF!,#REF!,#REF!,#REF!,#REF!,#REF!,#REF!,#REF!,#REF!,#REF!,#REF!,#REF!,#REF!,#REF!,#REF!</definedName>
    <definedName function="false" hidden="true" name="__APW_RESTORE_DATA3242__" vbProcedure="false">#REF!,#REF!,#REF!,#REF!,#REF!,#REF!,#REF!,#REF!,#REF!,#REF!,#REF!,#REF!,#REF!,#REF!,#REF!</definedName>
    <definedName function="false" hidden="true" name="__APW_RESTORE_DATA3243__" vbProcedure="false">#REF!,#REF!,#REF!,#REF!,#REF!,#REF!,#REF!,#REF!,#REF!,#REF!,#REF!,#REF!,#REF!,#REF!,#REF!</definedName>
    <definedName function="false" hidden="true" name="__APW_RESTORE_DATA3244__" vbProcedure="false">#REF!,#REF!,#REF!,#REF!,#REF!,#REF!,#REF!,#REF!,#REF!,#REF!,#REF!,#REF!,#REF!,#REF!,#REF!</definedName>
    <definedName function="false" hidden="true" name="__APW_RESTORE_DATA3245__" vbProcedure="false">#REF!,#REF!,#REF!,#REF!,#REF!,#REF!,#REF!,#REF!,#REF!,#REF!,#REF!,#REF!,#REF!,#REF!,#REF!</definedName>
    <definedName function="false" hidden="true" name="__APW_RESTORE_DATA3246__" vbProcedure="false">#REF!,#REF!,#REF!,#REF!,#REF!,#REF!,#REF!,#REF!,#REF!,#REF!,#REF!,#REF!,#REF!,#REF!,#REF!</definedName>
    <definedName function="false" hidden="true" name="__APW_RESTORE_DATA3247__" vbProcedure="false">#REF!,#REF!,#REF!,#REF!,#REF!,#REF!,#REF!,#REF!,#REF!,#REF!,#REF!,#REF!,#REF!,#REF!,#REF!</definedName>
    <definedName function="false" hidden="true" name="__APW_RESTORE_DATA3248__" vbProcedure="false">#REF!,#REF!,#REF!,#REF!,#REF!,#REF!,#REF!,#REF!,#REF!,#REF!,#REF!,#REF!,#REF!,#REF!,#REF!</definedName>
    <definedName function="false" hidden="true" name="__APW_RESTORE_DATA3249__" vbProcedure="false">#REF!,#REF!,#REF!,#REF!,#REF!,#REF!,#REF!,#REF!,#REF!,#REF!,#REF!,#REF!,#REF!,#REF!,#REF!</definedName>
    <definedName function="false" hidden="true" name="__APW_RESTORE_DATA324__" vbProcedure="false">#REF!,#REF!,#REF!,#REF!,#REF!,#REF!,#REF!,#REF!,#REF!,#REF!,#REF!,#REF!,#REF!,#REF!,#REF!</definedName>
    <definedName function="false" hidden="true" name="__APW_RESTORE_DATA3250__" vbProcedure="false">#REF!,#REF!,#REF!,#REF!,#REF!,#REF!</definedName>
    <definedName function="false" hidden="true" name="__APW_RESTORE_DATA3251__" vbProcedure="false">#REF!,#REF!,#REF!,#REF!,#REF!,#REF!,#REF!,#REF!,#REF!,#REF!,#REF!,#REF!,#REF!,#REF!,#REF!,#REF!</definedName>
    <definedName function="false" hidden="true" name="__APW_RESTORE_DATA3252__" vbProcedure="false">#REF!,#REF!,#REF!,#REF!,#REF!,#REF!,#REF!,#REF!,#REF!,#REF!,#REF!,#REF!,#REF!,#REF!,#REF!,#REF!</definedName>
    <definedName function="false" hidden="true" name="__APW_RESTORE_DATA3253__" vbProcedure="false">#REF!,#REF!,#REF!,#REF!,#REF!,#REF!,#REF!,#REF!,#REF!,#REF!,#REF!,#REF!,#REF!,#REF!,#REF!,#REF!</definedName>
    <definedName function="false" hidden="true" name="__APW_RESTORE_DATA3254__" vbProcedure="false">#REF!,#REF!,#REF!,#REF!,#REF!,#REF!,#REF!,#REF!,#REF!,#REF!,#REF!,#REF!,#REF!,#REF!,#REF!,#REF!</definedName>
    <definedName function="false" hidden="true" name="__APW_RESTORE_DATA3255__" vbProcedure="false">#REF!,#REF!,#REF!,#REF!,#REF!,#REF!,#REF!,#REF!,#REF!,#REF!,#REF!,#REF!,#REF!,#REF!,#REF!,#REF!</definedName>
    <definedName function="false" hidden="true" name="__APW_RESTORE_DATA3256__" vbProcedure="false">#REF!,#REF!,#REF!,#REF!,#REF!,#REF!,#REF!,#REF!,#REF!,#REF!,#REF!,#REF!,#REF!,#REF!,#REF!,#REF!</definedName>
    <definedName function="false" hidden="true" name="__APW_RESTORE_DATA3257__" vbProcedure="false">#REF!,#REF!,#REF!,#REF!,#REF!,#REF!,#REF!,#REF!,#REF!,#REF!,#REF!,#REF!,#REF!,#REF!,#REF!</definedName>
    <definedName function="false" hidden="true" name="__APW_RESTORE_DATA3258__" vbProcedure="false">#REF!,#REF!,#REF!,#REF!,#REF!,#REF!,#REF!,#REF!,#REF!,#REF!,#REF!,#REF!,#REF!,#REF!,#REF!</definedName>
    <definedName function="false" hidden="true" name="__APW_RESTORE_DATA3259__" vbProcedure="false">#REF!,#REF!,#REF!,#REF!,#REF!,#REF!,#REF!,#REF!,#REF!,#REF!,#REF!,#REF!,#REF!,#REF!,#REF!</definedName>
    <definedName function="false" hidden="true" name="__APW_RESTORE_DATA325__" vbProcedure="false">#REF!,#REF!,#REF!,#REF!,#REF!,#REF!,#REF!,#REF!,#REF!,#REF!,#REF!,#REF!,#REF!,#REF!,#REF!</definedName>
    <definedName function="false" hidden="true" name="__APW_RESTORE_DATA3260__" vbProcedure="false">#REF!,#REF!,#REF!,#REF!,#REF!,#REF!,#REF!,#REF!,#REF!,#REF!,#REF!,#REF!,#REF!,#REF!,#REF!</definedName>
    <definedName function="false" hidden="true" name="__APW_RESTORE_DATA3261__" vbProcedure="false">#REF!,#REF!,#REF!,#REF!,#REF!,#REF!,#REF!,#REF!,#REF!,#REF!,#REF!,#REF!,#REF!,#REF!,#REF!</definedName>
    <definedName function="false" hidden="true" name="__APW_RESTORE_DATA3262__" vbProcedure="false">#REF!,#REF!,#REF!,#REF!,#REF!,#REF!,#REF!,#REF!,#REF!,#REF!,#REF!,#REF!,#REF!,#REF!,#REF!</definedName>
    <definedName function="false" hidden="true" name="__APW_RESTORE_DATA3263__" vbProcedure="false">#REF!,#REF!,#REF!,#REF!,#REF!,#REF!,#REF!,#REF!,#REF!,#REF!,#REF!,#REF!,#REF!,#REF!,#REF!</definedName>
    <definedName function="false" hidden="true" name="__APW_RESTORE_DATA3264__" vbProcedure="false">#REF!,#REF!,#REF!,#REF!,#REF!,#REF!,#REF!,#REF!,#REF!,#REF!,#REF!,#REF!,#REF!,#REF!,#REF!</definedName>
    <definedName function="false" hidden="true" name="__APW_RESTORE_DATA3265__" vbProcedure="false">#REF!,#REF!,#REF!,#REF!,#REF!,#REF!,#REF!,#REF!,#REF!,#REF!,#REF!,#REF!,#REF!,#REF!,#REF!</definedName>
    <definedName function="false" hidden="true" name="__APW_RESTORE_DATA3266__" vbProcedure="false">#REF!,#REF!,#REF!,#REF!,#REF!,#REF!,#REF!,#REF!,#REF!,#REF!,#REF!,#REF!,#REF!,#REF!,#REF!</definedName>
    <definedName function="false" hidden="true" name="__APW_RESTORE_DATA3267__" vbProcedure="false">#REF!,#REF!,#REF!,#REF!,#REF!,#REF!,#REF!,#REF!,#REF!,#REF!,#REF!,#REF!,#REF!,#REF!,#REF!</definedName>
    <definedName function="false" hidden="true" name="__APW_RESTORE_DATA3268__" vbProcedure="false">#REF!,#REF!,#REF!,#REF!,#REF!,#REF!,#REF!,#REF!,#REF!,#REF!,#REF!,#REF!,#REF!,#REF!,#REF!</definedName>
    <definedName function="false" hidden="true" name="__APW_RESTORE_DATA3269__" vbProcedure="false">#REF!,#REF!,#REF!,#REF!,#REF!,#REF!,#REF!,#REF!,#REF!,#REF!,#REF!,#REF!,#REF!,#REF!,#REF!</definedName>
    <definedName function="false" hidden="true" name="__APW_RESTORE_DATA326__" vbProcedure="false">#REF!,#REF!,#REF!,#REF!,#REF!,#REF!,#REF!,#REF!,#REF!,#REF!,#REF!,#REF!,#REF!,#REF!,#REF!</definedName>
    <definedName function="false" hidden="true" name="__APW_RESTORE_DATA3270__" vbProcedure="false">#REF!,#REF!,#REF!,#REF!,#REF!,#REF!,#REF!,#REF!,#REF!,#REF!,#REF!,#REF!,#REF!,#REF!,#REF!</definedName>
    <definedName function="false" hidden="true" name="__APW_RESTORE_DATA3271__" vbProcedure="false">#REF!,#REF!,#REF!,#REF!,#REF!,#REF!,#REF!,#REF!,#REF!,#REF!,#REF!,#REF!,#REF!,#REF!,#REF!</definedName>
    <definedName function="false" hidden="true" name="__APW_RESTORE_DATA3272__" vbProcedure="false">#REF!,#REF!,#REF!,#REF!,#REF!,#REF!,#REF!,#REF!,#REF!,#REF!,#REF!,#REF!,#REF!,#REF!,#REF!</definedName>
    <definedName function="false" hidden="true" name="__APW_RESTORE_DATA3273__" vbProcedure="false">#REF!,#REF!,#REF!,#REF!,#REF!,#REF!,#REF!,#REF!,#REF!,#REF!,#REF!,#REF!,#REF!,#REF!,#REF!</definedName>
    <definedName function="false" hidden="true" name="__APW_RESTORE_DATA3274__" vbProcedure="false">#REF!,#REF!,#REF!,#REF!,#REF!,#REF!,#REF!,#REF!,#REF!,#REF!,#REF!,#REF!,#REF!,#REF!,#REF!</definedName>
    <definedName function="false" hidden="true" name="__APW_RESTORE_DATA3275__" vbProcedure="false">#REF!,#REF!,#REF!,#REF!,#REF!,#REF!,#REF!,#REF!,#REF!,#REF!,#REF!,#REF!,#REF!,#REF!,#REF!</definedName>
    <definedName function="false" hidden="true" name="__APW_RESTORE_DATA3276__" vbProcedure="false">#REF!,#REF!,#REF!,#REF!,#REF!,#REF!,#REF!,#REF!,#REF!,#REF!,#REF!,#REF!,#REF!,#REF!,#REF!</definedName>
    <definedName function="false" hidden="true" name="__APW_RESTORE_DATA3277__" vbProcedure="false">#REF!,#REF!,#REF!,#REF!,#REF!,#REF!,#REF!,#REF!,#REF!,#REF!,#REF!,#REF!,#REF!,#REF!,#REF!</definedName>
    <definedName function="false" hidden="true" name="__APW_RESTORE_DATA3278__" vbProcedure="false">#REF!,#REF!,#REF!,#REF!,#REF!,#REF!,#REF!,#REF!,#REF!,#REF!,#REF!,#REF!,#REF!,#REF!,#REF!</definedName>
    <definedName function="false" hidden="true" name="__APW_RESTORE_DATA3279__" vbProcedure="false">#REF!,#REF!,#REF!,#REF!,#REF!,#REF!,#REF!,#REF!,#REF!,#REF!,#REF!,#REF!,#REF!,#REF!,#REF!</definedName>
    <definedName function="false" hidden="true" name="__APW_RESTORE_DATA327__" vbProcedure="false">#REF!,#REF!</definedName>
    <definedName function="false" hidden="true" name="__APW_RESTORE_DATA3280__" vbProcedure="false">#REF!,#REF!,#REF!,#REF!,#REF!,#REF!,#REF!,#REF!,#REF!,#REF!,#REF!,#REF!,#REF!,#REF!,#REF!</definedName>
    <definedName function="false" hidden="true" name="__APW_RESTORE_DATA3281__" vbProcedure="false">#REF!,#REF!,#REF!,#REF!,#REF!,#REF!,#REF!,#REF!,#REF!,#REF!,#REF!,#REF!,#REF!,#REF!,#REF!</definedName>
    <definedName function="false" hidden="true" name="__APW_RESTORE_DATA3282__" vbProcedure="false">#REF!,#REF!,#REF!,#REF!,#REF!,#REF!,#REF!,#REF!,#REF!,#REF!,#REF!,#REF!,#REF!,#REF!,#REF!</definedName>
    <definedName function="false" hidden="true" name="__APW_RESTORE_DATA3283__" vbProcedure="false">#REF!,#REF!,#REF!,#REF!,#REF!,#REF!,#REF!,#REF!,#REF!,#REF!,#REF!,#REF!,#REF!,#REF!,#REF!</definedName>
    <definedName function="false" hidden="true" name="__APW_RESTORE_DATA3284__" vbProcedure="false">#REF!,#REF!,#REF!,#REF!,#REF!,#REF!,#REF!,#REF!,#REF!,#REF!,#REF!,#REF!,#REF!,#REF!,#REF!</definedName>
    <definedName function="false" hidden="true" name="__APW_RESTORE_DATA3285__" vbProcedure="false">#REF!,#REF!,#REF!,#REF!,#REF!,#REF!</definedName>
    <definedName function="false" hidden="true" name="__APW_RESTORE_DATA3286__" vbProcedure="false">#REF!,#REF!,#REF!,#REF!,#REF!,#REF!,#REF!,#REF!,#REF!,#REF!,#REF!,#REF!,#REF!,#REF!,#REF!,#REF!</definedName>
    <definedName function="false" hidden="true" name="__APW_RESTORE_DATA3287__" vbProcedure="false">#REF!,#REF!,#REF!,#REF!,#REF!,#REF!,#REF!,#REF!,#REF!,#REF!,#REF!,#REF!,#REF!,#REF!,#REF!,#REF!</definedName>
    <definedName function="false" hidden="true" name="__APW_RESTORE_DATA3288__" vbProcedure="false">#REF!,#REF!,#REF!,#REF!,#REF!,#REF!,#REF!,#REF!,#REF!,#REF!,#REF!,#REF!,#REF!,#REF!,#REF!,#REF!</definedName>
    <definedName function="false" hidden="true" name="__APW_RESTORE_DATA3289__" vbProcedure="false">#REF!,#REF!,#REF!,#REF!,#REF!,#REF!,#REF!,#REF!,#REF!,#REF!,#REF!,#REF!,#REF!,#REF!,#REF!,#REF!</definedName>
    <definedName function="false" hidden="true" name="__APW_RESTORE_DATA328__" vbProcedure="false">#REF!,#REF!,#REF!,#REF!,#REF!,#REF!,#REF!,#REF!,#REF!,#REF!,#REF!,#REF!,#REF!,#REF!,#REF!,#REF!</definedName>
    <definedName function="false" hidden="true" name="__APW_RESTORE_DATA3290__" vbProcedure="false">#REF!,#REF!,#REF!,#REF!,#REF!,#REF!,#REF!,#REF!,#REF!,#REF!,#REF!,#REF!,#REF!,#REF!,#REF!,#REF!</definedName>
    <definedName function="false" hidden="true" name="__APW_RESTORE_DATA3291__" vbProcedure="false">#REF!,#REF!,#REF!,#REF!,#REF!,#REF!,#REF!,#REF!,#REF!,#REF!,#REF!,#REF!,#REF!,#REF!,#REF!,#REF!</definedName>
    <definedName function="false" hidden="true" name="__APW_RESTORE_DATA3292__" vbProcedure="false">#REF!,#REF!,#REF!,#REF!,#REF!,#REF!,#REF!,#REF!,#REF!,#REF!,#REF!,#REF!,#REF!,#REF!,#REF!</definedName>
    <definedName function="false" hidden="true" name="__APW_RESTORE_DATA3293__" vbProcedure="false">#REF!,#REF!,#REF!,#REF!,#REF!,#REF!,#REF!,#REF!,#REF!,#REF!,#REF!,#REF!,#REF!,#REF!,#REF!</definedName>
    <definedName function="false" hidden="true" name="__APW_RESTORE_DATA3294__" vbProcedure="false">#REF!,#REF!,#REF!,#REF!,#REF!,#REF!,#REF!,#REF!,#REF!,#REF!,#REF!,#REF!,#REF!,#REF!,#REF!</definedName>
    <definedName function="false" hidden="true" name="__APW_RESTORE_DATA3295__" vbProcedure="false">#REF!,#REF!,#REF!,#REF!,#REF!,#REF!,#REF!,#REF!,#REF!,#REF!,#REF!,#REF!,#REF!,#REF!,#REF!</definedName>
    <definedName function="false" hidden="true" name="__APW_RESTORE_DATA3296__" vbProcedure="false">#REF!,#REF!,#REF!,#REF!,#REF!,#REF!,#REF!,#REF!,#REF!,#REF!,#REF!,#REF!,#REF!,#REF!,#REF!</definedName>
    <definedName function="false" hidden="true" name="__APW_RESTORE_DATA3297__" vbProcedure="false">#REF!,#REF!,#REF!,#REF!,#REF!,#REF!,#REF!,#REF!,#REF!,#REF!,#REF!,#REF!,#REF!,#REF!,#REF!</definedName>
    <definedName function="false" hidden="true" name="__APW_RESTORE_DATA3298__" vbProcedure="false">#REF!,#REF!,#REF!,#REF!,#REF!,#REF!,#REF!,#REF!,#REF!,#REF!,#REF!,#REF!,#REF!,#REF!,#REF!</definedName>
    <definedName function="false" hidden="true" name="__APW_RESTORE_DATA3299__" vbProcedure="false">#REF!,#REF!,#REF!,#REF!,#REF!,#REF!,#REF!,#REF!,#REF!,#REF!,#REF!,#REF!,#REF!,#REF!,#REF!</definedName>
    <definedName function="false" hidden="true" name="__APW_RESTORE_DATA329__" vbProcedure="false">#REF!,#REF!,#REF!,#REF!,#REF!,#REF!,#REF!,#REF!,#REF!,#REF!,#REF!,#REF!,#REF!,#REF!,#REF!,#REF!</definedName>
    <definedName function="false" hidden="true" name="__APW_RESTORE_DATA32__" vbProcedure="false">#REF!</definedName>
    <definedName function="false" hidden="true" name="__APW_RESTORE_DATA3300__" vbProcedure="false">#REF!,#REF!,#REF!,#REF!,#REF!,#REF!,#REF!,#REF!,#REF!,#REF!,#REF!,#REF!,#REF!,#REF!,#REF!</definedName>
    <definedName function="false" hidden="true" name="__APW_RESTORE_DATA3301__" vbProcedure="false">#REF!,#REF!,#REF!,#REF!,#REF!,#REF!,#REF!,#REF!,#REF!,#REF!,#REF!,#REF!,#REF!,#REF!,#REF!</definedName>
    <definedName function="false" hidden="true" name="__APW_RESTORE_DATA3302__" vbProcedure="false">#REF!,#REF!,#REF!,#REF!,#REF!,#REF!,#REF!,#REF!,#REF!,#REF!,#REF!,#REF!,#REF!,#REF!,#REF!</definedName>
    <definedName function="false" hidden="true" name="__APW_RESTORE_DATA3303__" vbProcedure="false">#REF!,#REF!,#REF!,#REF!,#REF!,#REF!,#REF!,#REF!,#REF!,#REF!,#REF!,#REF!,#REF!,#REF!,#REF!</definedName>
    <definedName function="false" hidden="true" name="__APW_RESTORE_DATA3304__" vbProcedure="false">#REF!,#REF!,#REF!,#REF!,#REF!,#REF!,#REF!,#REF!,#REF!,#REF!,#REF!,#REF!,#REF!,#REF!,#REF!</definedName>
    <definedName function="false" hidden="true" name="__APW_RESTORE_DATA3305__" vbProcedure="false">#REF!,#REF!,#REF!,#REF!,#REF!,#REF!,#REF!,#REF!,#REF!,#REF!,#REF!,#REF!,#REF!,#REF!,#REF!</definedName>
    <definedName function="false" hidden="true" name="__APW_RESTORE_DATA3306__" vbProcedure="false">#REF!,#REF!,#REF!,#REF!,#REF!,#REF!,#REF!,#REF!,#REF!,#REF!,#REF!,#REF!,#REF!,#REF!,#REF!</definedName>
    <definedName function="false" hidden="true" name="__APW_RESTORE_DATA3307__" vbProcedure="false">#REF!,#REF!,#REF!,#REF!,#REF!,#REF!,#REF!,#REF!,#REF!,#REF!,#REF!,#REF!,#REF!,#REF!,#REF!</definedName>
    <definedName function="false" hidden="true" name="__APW_RESTORE_DATA3308__" vbProcedure="false">#REF!,#REF!,#REF!,#REF!,#REF!,#REF!,#REF!,#REF!,#REF!,#REF!,#REF!,#REF!,#REF!,#REF!,#REF!</definedName>
    <definedName function="false" hidden="true" name="__APW_RESTORE_DATA3309__" vbProcedure="false">#REF!,#REF!,#REF!,#REF!,#REF!,#REF!,#REF!,#REF!,#REF!,#REF!,#REF!,#REF!,#REF!,#REF!,#REF!</definedName>
    <definedName function="false" hidden="true" name="__APW_RESTORE_DATA330__" vbProcedure="false">#REF!,#REF!,#REF!,#REF!,#REF!,#REF!,#REF!,#REF!,#REF!,#REF!,#REF!,#REF!,#REF!,#REF!,#REF!,#REF!</definedName>
    <definedName function="false" hidden="true" name="__APW_RESTORE_DATA3310__" vbProcedure="false">#REF!,#REF!,#REF!,#REF!,#REF!,#REF!,#REF!,#REF!,#REF!,#REF!,#REF!,#REF!,#REF!,#REF!,#REF!</definedName>
    <definedName function="false" hidden="true" name="__APW_RESTORE_DATA3311__" vbProcedure="false">#REF!,#REF!,#REF!,#REF!,#REF!,#REF!,#REF!,#REF!,#REF!,#REF!,#REF!,#REF!,#REF!,#REF!,#REF!</definedName>
    <definedName function="false" hidden="true" name="__APW_RESTORE_DATA3312__" vbProcedure="false">#REF!,#REF!,#REF!,#REF!,#REF!,#REF!,#REF!,#REF!,#REF!,#REF!,#REF!,#REF!,#REF!,#REF!,#REF!</definedName>
    <definedName function="false" hidden="true" name="__APW_RESTORE_DATA3313__" vbProcedure="false">#REF!,#REF!,#REF!,#REF!,#REF!,#REF!,#REF!,#REF!,#REF!,#REF!,#REF!,#REF!,#REF!,#REF!,#REF!</definedName>
    <definedName function="false" hidden="true" name="__APW_RESTORE_DATA3314__" vbProcedure="false">#REF!,#REF!,#REF!,#REF!,#REF!,#REF!,#REF!,#REF!,#REF!,#REF!,#REF!,#REF!,#REF!,#REF!,#REF!</definedName>
    <definedName function="false" hidden="true" name="__APW_RESTORE_DATA3315__" vbProcedure="false">#REF!,#REF!,#REF!,#REF!,#REF!,#REF!,#REF!,#REF!,#REF!,#REF!,#REF!,#REF!,#REF!,#REF!,#REF!</definedName>
    <definedName function="false" hidden="true" name="__APW_RESTORE_DATA3316__" vbProcedure="false">#REF!,#REF!,#REF!,#REF!,#REF!,#REF!,#REF!,#REF!,#REF!,#REF!,#REF!,#REF!,#REF!,#REF!,#REF!</definedName>
    <definedName function="false" hidden="true" name="__APW_RESTORE_DATA3317__" vbProcedure="false">#REF!,#REF!,#REF!,#REF!,#REF!,#REF!,#REF!,#REF!,#REF!,#REF!,#REF!,#REF!,#REF!,#REF!,#REF!</definedName>
    <definedName function="false" hidden="true" name="__APW_RESTORE_DATA3318__" vbProcedure="false">#REF!,#REF!,#REF!,#REF!,#REF!,#REF!,#REF!,#REF!,#REF!,#REF!,#REF!,#REF!,#REF!,#REF!,#REF!</definedName>
    <definedName function="false" hidden="true" name="__APW_RESTORE_DATA3319__" vbProcedure="false">#REF!,#REF!,#REF!,#REF!,#REF!,#REF!,#REF!,#REF!,#REF!,#REF!,#REF!,#REF!,#REF!,#REF!,#REF!</definedName>
    <definedName function="false" hidden="true" name="__APW_RESTORE_DATA331__" vbProcedure="false">#REF!,#REF!,#REF!,#REF!,#REF!,#REF!,#REF!,#REF!,#REF!,#REF!,#REF!,#REF!,#REF!,#REF!,#REF!,#REF!</definedName>
    <definedName function="false" hidden="true" name="__APW_RESTORE_DATA3320__" vbProcedure="false">#REF!,#REF!,#REF!,#REF!,#REF!,#REF!</definedName>
    <definedName function="false" hidden="true" name="__APW_RESTORE_DATA332__" vbProcedure="false">#REF!,#REF!</definedName>
    <definedName function="false" hidden="true" name="__APW_RESTORE_DATA333__" vbProcedure="false">#REF!,#REF!,#REF!,#REF!,#REF!,#REF!,#REF!,#REF!,#REF!,#REF!,#REF!,#REF!,#REF!,#REF!,#REF!,#REF!</definedName>
    <definedName function="false" hidden="true" name="__APW_RESTORE_DATA334__" vbProcedure="false">#REF!,#REF!,#REF!,#REF!,#REF!,#REF!,#REF!,#REF!,#REF!,#REF!,#REF!,#REF!,#REF!,#REF!,#REF!</definedName>
    <definedName function="false" hidden="true" name="__APW_RESTORE_DATA335__" vbProcedure="false">#REF!,#REF!,#REF!,#REF!,#REF!,#REF!,#REF!,#REF!,#REF!,#REF!,#REF!,#REF!,#REF!,#REF!,#REF!</definedName>
    <definedName function="false" hidden="true" name="__APW_RESTORE_DATA336__" vbProcedure="false">#REF!,#REF!,#REF!,#REF!,#REF!,#REF!,#REF!,#REF!,#REF!,#REF!,#REF!,#REF!,#REF!,#REF!,#REF!</definedName>
    <definedName function="false" hidden="true" name="__APW_RESTORE_DATA337__" vbProcedure="false">#REF!,#REF!</definedName>
    <definedName function="false" hidden="true" name="__APW_RESTORE_DATA338__" vbProcedure="false">#REF!,#REF!,#REF!,#REF!,#REF!,#REF!,#REF!,#REF!,#REF!,#REF!,#REF!,#REF!,#REF!,#REF!,#REF!</definedName>
    <definedName function="false" hidden="true" name="__APW_RESTORE_DATA339__" vbProcedure="false">#REF!,#REF!,#REF!,#REF!,#REF!,#REF!,#REF!,#REF!,#REF!,#REF!,#REF!,#REF!,#REF!,#REF!,#REF!</definedName>
    <definedName function="false" hidden="true" name="__APW_RESTORE_DATA33__" vbProcedure="false">#REF!</definedName>
    <definedName function="false" hidden="true" name="__APW_RESTORE_DATA340__" vbProcedure="false">#REF!,#REF!,#REF!,#REF!,#REF!,#REF!,#REF!,#REF!,#REF!,#REF!,#REF!,#REF!,#REF!,#REF!,#REF!</definedName>
    <definedName function="false" hidden="true" name="__APW_RESTORE_DATA341__" vbProcedure="false">#REF!,#REF!,#REF!,#REF!,#REF!,#REF!,#REF!,#REF!,#REF!,#REF!,#REF!,#REF!,#REF!,#REF!,#REF!</definedName>
    <definedName function="false" hidden="true" name="__APW_RESTORE_DATA342__" vbProcedure="false">#REF!,#REF!,#REF!,#REF!,#REF!,#REF!,#REF!,#REF!,#REF!,#REF!,#REF!,#REF!,#REF!,#REF!,#REF!</definedName>
    <definedName function="false" hidden="true" name="__APW_RESTORE_DATA343__" vbProcedure="false">#REF!,#REF!,#REF!,#REF!,#REF!,#REF!,#REF!,#REF!,#REF!,#REF!,#REF!,#REF!,#REF!,#REF!,#REF!</definedName>
    <definedName function="false" hidden="true" name="__APW_RESTORE_DATA344__" vbProcedure="false">#REF!,#REF!,#REF!,#REF!,#REF!,#REF!,#REF!,#REF!,#REF!,#REF!,#REF!,#REF!,#REF!,#REF!,#REF!</definedName>
    <definedName function="false" hidden="true" name="__APW_RESTORE_DATA345__" vbProcedure="false">#REF!,#REF!,#REF!,#REF!,#REF!,#REF!,#REF!,#REF!,#REF!,#REF!,#REF!,#REF!,#REF!,#REF!,#REF!</definedName>
    <definedName function="false" hidden="true" name="__APW_RESTORE_DATA346__" vbProcedure="false">#REF!,#REF!,#REF!,#REF!,#REF!,#REF!,#REF!,#REF!,#REF!,#REF!,#REF!,#REF!,#REF!,#REF!,#REF!</definedName>
    <definedName function="false" hidden="true" name="__APW_RESTORE_DATA347__" vbProcedure="false">#REF!,#REF!,#REF!,#REF!,#REF!,#REF!,#REF!,#REF!,#REF!,#REF!,#REF!,#REF!,#REF!,#REF!,#REF!</definedName>
    <definedName function="false" hidden="true" name="__APW_RESTORE_DATA348__" vbProcedure="false">#REF!,#REF!,#REF!,#REF!,#REF!,#REF!,#REF!,#REF!,#REF!,#REF!,#REF!,#REF!,#REF!,#REF!,#REF!</definedName>
    <definedName function="false" hidden="true" name="__APW_RESTORE_DATA349__" vbProcedure="false">#REF!,#REF!,#REF!,#REF!,#REF!,#REF!,#REF!,#REF!,#REF!,#REF!,#REF!,#REF!,#REF!,#REF!,#REF!</definedName>
    <definedName function="false" hidden="true" name="__APW_RESTORE_DATA34__" vbProcedure="false">#REF!,#REF!,#REF!,#REF!,#REF!,#REF!,#REF!,#REF!,#REF!,#REF!,#REF!,#REF!,#REF!,#REF!,#REF!,#REF!</definedName>
    <definedName function="false" hidden="true" name="__APW_RESTORE_DATA350__" vbProcedure="false">#REF!,#REF!,#REF!,#REF!,#REF!,#REF!,#REF!,#REF!,#REF!,#REF!,#REF!,#REF!,#REF!,#REF!,#REF!</definedName>
    <definedName function="false" hidden="true" name="__APW_RESTORE_DATA351__" vbProcedure="false">#REF!,#REF!,#REF!,#REF!,#REF!,#REF!,#REF!,#REF!,#REF!,#REF!,#REF!,#REF!,#REF!,#REF!,#REF!</definedName>
    <definedName function="false" hidden="true" name="__APW_RESTORE_DATA352__" vbProcedure="false">#REF!,#REF!</definedName>
    <definedName function="false" hidden="true" name="__APW_RESTORE_DATA353__" vbProcedure="false">#REF!,#REF!</definedName>
    <definedName function="false" hidden="true" name="__APW_RESTORE_DATA354__" vbProcedure="false">#REF!,#REF!,#REF!,#REF!,#REF!,#REF!,#REF!,#REF!,#REF!,#REF!,#REF!,#REF!,#REF!,#REF!,#REF!</definedName>
    <definedName function="false" hidden="true" name="__APW_RESTORE_DATA355__" vbProcedure="false">#REF!,#REF!,#REF!,#REF!,#REF!,#REF!,#REF!,#REF!,#REF!,#REF!,#REF!,#REF!,#REF!,#REF!,#REF!</definedName>
    <definedName function="false" hidden="true" name="__APW_RESTORE_DATA356__" vbProcedure="false">#REF!,#REF!,#REF!,#REF!,#REF!,#REF!,#REF!,#REF!,#REF!,#REF!,#REF!,#REF!,#REF!,#REF!,#REF!</definedName>
    <definedName function="false" hidden="true" name="__APW_RESTORE_DATA357__" vbProcedure="false">#REF!,#REF!,#REF!,#REF!,#REF!,#REF!,#REF!,#REF!,#REF!,#REF!,#REF!,#REF!,#REF!,#REF!,#REF!</definedName>
    <definedName function="false" hidden="true" name="__APW_RESTORE_DATA358__" vbProcedure="false">#REF!,#REF!,#REF!,#REF!,#REF!,#REF!,#REF!,#REF!,#REF!,#REF!,#REF!,#REF!,#REF!,#REF!,#REF!</definedName>
    <definedName function="false" hidden="true" name="__APW_RESTORE_DATA359__" vbProcedure="false">#REF!,#REF!,#REF!,#REF!,#REF!,#REF!,#REF!,#REF!,#REF!,#REF!,#REF!,#REF!,#REF!,#REF!,#REF!</definedName>
    <definedName function="false" hidden="true" name="__APW_RESTORE_DATA35__" vbProcedure="false">#REF!,#REF!,#REF!,#REF!,#REF!,#REF!,#REF!,#REF!,#REF!,#REF!,#REF!,#REF!,#REF!,#REF!,#REF!</definedName>
    <definedName function="false" hidden="true" name="__APW_RESTORE_DATA360__" vbProcedure="false">#REF!,#REF!,#REF!,#REF!,#REF!,#REF!,#REF!,#REF!,#REF!,#REF!,#REF!,#REF!,#REF!,#REF!,#REF!</definedName>
    <definedName function="false" hidden="true" name="__APW_RESTORE_DATA361__" vbProcedure="false">#REF!,#REF!,#REF!,#REF!,#REF!,#REF!,#REF!,#REF!,#REF!,#REF!,#REF!,#REF!,#REF!,#REF!,#REF!</definedName>
    <definedName function="false" hidden="true" name="__APW_RESTORE_DATA362__" vbProcedure="false">#REF!,#REF!,#REF!,#REF!,#REF!,#REF!</definedName>
    <definedName function="false" hidden="true" name="__APW_RESTORE_DATA363__" vbProcedure="false">#REF!,#REF!,#REF!,#REF!,#REF!,#REF!,#REF!,#REF!,#REF!,#REF!,#REF!,#REF!,#REF!,#REF!,#REF!,#REF!</definedName>
    <definedName function="false" hidden="true" name="__APW_RESTORE_DATA364__" vbProcedure="false">#REF!,#REF!,#REF!,#REF!,#REF!,#REF!,#REF!,#REF!,#REF!,#REF!,#REF!,#REF!,#REF!,#REF!,#REF!,#REF!</definedName>
    <definedName function="false" hidden="true" name="__APW_RESTORE_DATA365__" vbProcedure="false">#REF!,#REF!,#REF!,#REF!,#REF!,#REF!,#REF!,#REF!,#REF!,#REF!,#REF!,#REF!,#REF!,#REF!,#REF!,#REF!</definedName>
    <definedName function="false" hidden="true" name="__APW_RESTORE_DATA366__" vbProcedure="false">#REF!,#REF!</definedName>
    <definedName function="false" hidden="true" name="__APW_RESTORE_DATA367__" vbProcedure="false">#REF!,#REF!,#REF!,#REF!,#REF!,#REF!,#REF!,#REF!,#REF!,#REF!,#REF!,#REF!,#REF!,#REF!,#REF!,#REF!</definedName>
    <definedName function="false" hidden="true" name="__APW_RESTORE_DATA368__" vbProcedure="false">#REF!,#REF!,#REF!,#REF!,#REF!,#REF!,#REF!,#REF!,#REF!,#REF!,#REF!,#REF!,#REF!,#REF!,#REF!,#REF!</definedName>
    <definedName function="false" hidden="true" name="__APW_RESTORE_DATA369__" vbProcedure="false">#REF!,#REF!,#REF!,#REF!,#REF!,#REF!,#REF!,#REF!,#REF!,#REF!,#REF!,#REF!,#REF!,#REF!,#REF!</definedName>
    <definedName function="false" hidden="true" name="__APW_RESTORE_DATA36__" vbProcedure="false">#REF!,#REF!,#REF!,#REF!,#REF!,#REF!,#REF!,#REF!,#REF!,#REF!,#REF!,#REF!,#REF!,#REF!,#REF!,#REF!</definedName>
    <definedName function="false" hidden="true" name="__APW_RESTORE_DATA370__" vbProcedure="false">#REF!,#REF!,#REF!,#REF!,#REF!,#REF!,#REF!,#REF!,#REF!,#REF!,#REF!,#REF!,#REF!,#REF!,#REF!</definedName>
    <definedName function="false" hidden="true" name="__APW_RESTORE_DATA371__" vbProcedure="false">#REF!,#REF!</definedName>
    <definedName function="false" hidden="true" name="__APW_RESTORE_DATA372__" vbProcedure="false">#REF!,#REF!,#REF!,#REF!,#REF!,#REF!,#REF!,#REF!,#REF!,#REF!,#REF!,#REF!,#REF!,#REF!,#REF!</definedName>
    <definedName function="false" hidden="true" name="__APW_RESTORE_DATA373__" vbProcedure="false">#REF!,#REF!,#REF!,#REF!,#REF!,#REF!,#REF!,#REF!,#REF!,#REF!,#REF!,#REF!,#REF!,#REF!,#REF!</definedName>
    <definedName function="false" hidden="true" name="__APW_RESTORE_DATA374__" vbProcedure="false">#REF!,#REF!,#REF!,#REF!,#REF!,#REF!,#REF!,#REF!,#REF!,#REF!,#REF!,#REF!,#REF!,#REF!,#REF!</definedName>
    <definedName function="false" hidden="true" name="__APW_RESTORE_DATA375__" vbProcedure="false">#REF!,#REF!,#REF!,#REF!,#REF!,#REF!,#REF!,#REF!,#REF!,#REF!,#REF!,#REF!,#REF!,#REF!,#REF!</definedName>
    <definedName function="false" hidden="true" name="__APW_RESTORE_DATA376__" vbProcedure="false">#REF!,#REF!</definedName>
    <definedName function="false" hidden="true" name="__APW_RESTORE_DATA377__" vbProcedure="false">#REF!,#REF!,#REF!,#REF!,#REF!,#REF!,#REF!,#REF!,#REF!,#REF!,#REF!,#REF!,#REF!,#REF!,#REF!</definedName>
    <definedName function="false" hidden="true" name="__APW_RESTORE_DATA378__" vbProcedure="false">#REF!,#REF!,#REF!,#REF!,#REF!,#REF!,#REF!,#REF!,#REF!,#REF!,#REF!,#REF!,#REF!,#REF!,#REF!</definedName>
    <definedName function="false" hidden="true" name="__APW_RESTORE_DATA379__" vbProcedure="false">#REF!,#REF!,#REF!,#REF!,#REF!,#REF!,#REF!,#REF!,#REF!,#REF!,#REF!,#REF!,#REF!,#REF!,#REF!</definedName>
    <definedName function="false" hidden="true" name="__APW_RESTORE_DATA37__" vbProcedure="false">#REF!,#REF!,#REF!,#REF!,#REF!,#REF!,#REF!,#REF!,#REF!,#REF!,#REF!,#REF!,#REF!,#REF!,#REF!</definedName>
    <definedName function="false" hidden="true" name="__APW_RESTORE_DATA380__" vbProcedure="false">#REF!,#REF!,#REF!,#REF!,#REF!,#REF!,#REF!,#REF!,#REF!,#REF!,#REF!,#REF!,#REF!,#REF!,#REF!</definedName>
    <definedName function="false" hidden="true" name="__APW_RESTORE_DATA381__" vbProcedure="false">#REF!,#REF!,#REF!,#REF!,#REF!,#REF!,#REF!,#REF!,#REF!,#REF!,#REF!,#REF!,#REF!,#REF!,#REF!</definedName>
    <definedName function="false" hidden="true" name="__APW_RESTORE_DATA382__" vbProcedure="false">#REF!,#REF!,#REF!,#REF!,#REF!,#REF!,#REF!,#REF!,#REF!,#REF!,#REF!,#REF!,#REF!,#REF!,#REF!</definedName>
    <definedName function="false" hidden="true" name="__APW_RESTORE_DATA383__" vbProcedure="false">#REF!,#REF!,#REF!,#REF!,#REF!,#REF!,#REF!,#REF!,#REF!,#REF!,#REF!,#REF!,#REF!,#REF!,#REF!</definedName>
    <definedName function="false" hidden="true" name="__APW_RESTORE_DATA384__" vbProcedure="false">#REF!,#REF!,#REF!,#REF!,#REF!,#REF!,#REF!,#REF!,#REF!,#REF!,#REF!,#REF!,#REF!,#REF!,#REF!</definedName>
    <definedName function="false" hidden="true" name="__APW_RESTORE_DATA385__" vbProcedure="false">#REF!,#REF!,#REF!,#REF!,#REF!,#REF!,#REF!,#REF!,#REF!,#REF!,#REF!,#REF!,#REF!,#REF!,#REF!</definedName>
    <definedName function="false" hidden="true" name="__APW_RESTORE_DATA386__" vbProcedure="false">#REF!,#REF!,#REF!,#REF!,#REF!,#REF!,#REF!,#REF!,#REF!,#REF!,#REF!,#REF!,#REF!,#REF!,#REF!</definedName>
    <definedName function="false" hidden="true" name="__APW_RESTORE_DATA387__" vbProcedure="false">#REF!,#REF!,#REF!,#REF!,#REF!,#REF!,#REF!,#REF!,#REF!,#REF!,#REF!,#REF!,#REF!,#REF!,#REF!</definedName>
    <definedName function="false" hidden="true" name="__APW_RESTORE_DATA388__" vbProcedure="false">#REF!,#REF!,#REF!,#REF!,#REF!,#REF!,#REF!,#REF!,#REF!,#REF!,#REF!,#REF!,#REF!,#REF!,#REF!</definedName>
    <definedName function="false" hidden="true" name="__APW_RESTORE_DATA389__" vbProcedure="false">#REF!,#REF!,#REF!,#REF!,#REF!,#REF!,#REF!,#REF!,#REF!,#REF!,#REF!,#REF!,#REF!,#REF!,#REF!</definedName>
    <definedName function="false" hidden="true" name="__APW_RESTORE_DATA38__" vbProcedure="false">#REF!,#REF!,#REF!,#REF!,#REF!,#REF!,#REF!,#REF!,#REF!,#REF!,#REF!,#REF!,#REF!,#REF!,#REF!</definedName>
    <definedName function="false" hidden="true" name="__APW_RESTORE_DATA390__" vbProcedure="false">#REF!,#REF!,#REF!,#REF!,#REF!,#REF!,#REF!,#REF!,#REF!,#REF!,#REF!,#REF!,#REF!,#REF!,#REF!</definedName>
    <definedName function="false" hidden="true" name="__APW_RESTORE_DATA391__" vbProcedure="false">#REF!,#REF!</definedName>
    <definedName function="false" hidden="true" name="__APW_RESTORE_DATA392__" vbProcedure="false">#REF!,#REF!</definedName>
    <definedName function="false" hidden="true" name="__APW_RESTORE_DATA393__" vbProcedure="false">#REF!,#REF!,#REF!,#REF!,#REF!,#REF!,#REF!,#REF!,#REF!,#REF!,#REF!,#REF!,#REF!,#REF!,#REF!</definedName>
    <definedName function="false" hidden="true" name="__APW_RESTORE_DATA394__" vbProcedure="false">#REF!,#REF!,#REF!,#REF!,#REF!,#REF!,#REF!,#REF!,#REF!,#REF!,#REF!,#REF!,#REF!,#REF!,#REF!</definedName>
    <definedName function="false" hidden="true" name="__APW_RESTORE_DATA395__" vbProcedure="false">#REF!,#REF!,#REF!,#REF!,#REF!,#REF!,#REF!,#REF!,#REF!,#REF!,#REF!,#REF!,#REF!,#REF!,#REF!</definedName>
    <definedName function="false" hidden="true" name="__APW_RESTORE_DATA396__" vbProcedure="false">#REF!,#REF!,#REF!,#REF!,#REF!,#REF!,#REF!,#REF!,#REF!,#REF!,#REF!,#REF!,#REF!,#REF!,#REF!</definedName>
    <definedName function="false" hidden="true" name="__APW_RESTORE_DATA397__" vbProcedure="false">#REF!,#REF!,#REF!,#REF!,#REF!,#REF!</definedName>
    <definedName function="false" hidden="true" name="__APW_RESTORE_DATA398__" vbProcedure="false">#REF!,#REF!,#REF!,#REF!,#REF!,#REF!,#REF!,#REF!,#REF!,#REF!,#REF!,#REF!,#REF!,#REF!,#REF!,#REF!</definedName>
    <definedName function="false" hidden="true" name="__APW_RESTORE_DATA399__" vbProcedure="false">#REF!,#REF!,#REF!,#REF!,#REF!,#REF!,#REF!,#REF!,#REF!,#REF!,#REF!,#REF!,#REF!,#REF!,#REF!,#REF!</definedName>
    <definedName function="false" hidden="true" name="__APW_RESTORE_DATA39__" vbProcedure="false">#REF!</definedName>
    <definedName function="false" hidden="true" name="__APW_RESTORE_DATA3__" vbProcedure="false">#REF!</definedName>
    <definedName function="false" hidden="true" name="__APW_RESTORE_DATA400__" vbProcedure="false">#REF!,#REF!,#REF!,#REF!,#REF!,#REF!,#REF!,#REF!,#REF!,#REF!,#REF!,#REF!,#REF!,#REF!,#REF!,#REF!</definedName>
    <definedName function="false" hidden="true" name="__APW_RESTORE_DATA401__" vbProcedure="false">#REF!,#REF!,#REF!,#REF!,#REF!,#REF!,#REF!,#REF!,#REF!,#REF!,#REF!,#REF!,#REF!,#REF!,#REF!,#REF!</definedName>
    <definedName function="false" hidden="true" name="__APW_RESTORE_DATA402__" vbProcedure="false">#REF!,#REF!,#REF!,#REF!,#REF!,#REF!,#REF!,#REF!,#REF!,#REF!,#REF!,#REF!,#REF!,#REF!,#REF!,#REF!</definedName>
    <definedName function="false" hidden="true" name="__APW_RESTORE_DATA403__" vbProcedure="false">#REF!,#REF!,#REF!,#REF!,#REF!,#REF!,#REF!,#REF!,#REF!,#REF!,#REF!,#REF!,#REF!,#REF!,#REF!,#REF!</definedName>
    <definedName function="false" hidden="true" name="__APW_RESTORE_DATA404__" vbProcedure="false">#REF!,#REF!,#REF!,#REF!,#REF!,#REF!,#REF!,#REF!,#REF!,#REF!,#REF!,#REF!,#REF!,#REF!,#REF!</definedName>
    <definedName function="false" hidden="true" name="__APW_RESTORE_DATA405__" vbProcedure="false">#REF!,#REF!</definedName>
    <definedName function="false" hidden="true" name="__APW_RESTORE_DATA406__" vbProcedure="false">#REF!,#REF!,#REF!,#REF!,#REF!,#REF!,#REF!,#REF!,#REF!,#REF!,#REF!,#REF!,#REF!,#REF!,#REF!</definedName>
    <definedName function="false" hidden="true" name="__APW_RESTORE_DATA407__" vbProcedure="false">#REF!,#REF!,#REF!,#REF!,#REF!,#REF!,#REF!,#REF!,#REF!,#REF!,#REF!,#REF!,#REF!,#REF!,#REF!</definedName>
    <definedName function="false" hidden="true" name="__APW_RESTORE_DATA408__" vbProcedure="false">#REF!,#REF!,#REF!,#REF!,#REF!,#REF!,#REF!,#REF!,#REF!,#REF!,#REF!,#REF!,#REF!,#REF!,#REF!</definedName>
    <definedName function="false" hidden="true" name="__APW_RESTORE_DATA409__" vbProcedure="false">#REF!,#REF!,#REF!,#REF!,#REF!,#REF!,#REF!,#REF!,#REF!,#REF!,#REF!,#REF!,#REF!,#REF!,#REF!</definedName>
    <definedName function="false" hidden="true" name="__APW_RESTORE_DATA40__" vbProcedure="false">#REF!</definedName>
    <definedName function="false" hidden="true" name="__APW_RESTORE_DATA410__" vbProcedure="false">#REF!,#REF!</definedName>
    <definedName function="false" hidden="true" name="__APW_RESTORE_DATA411__" vbProcedure="false">#REF!,#REF!,#REF!,#REF!,#REF!,#REF!,#REF!,#REF!,#REF!,#REF!,#REF!,#REF!,#REF!,#REF!,#REF!</definedName>
    <definedName function="false" hidden="true" name="__APW_RESTORE_DATA412__" vbProcedure="false">#REF!,#REF!,#REF!,#REF!,#REF!,#REF!,#REF!,#REF!,#REF!,#REF!,#REF!,#REF!,#REF!,#REF!,#REF!</definedName>
    <definedName function="false" hidden="true" name="__APW_RESTORE_DATA413__" vbProcedure="false">#REF!,#REF!,#REF!,#REF!,#REF!,#REF!,#REF!,#REF!,#REF!,#REF!,#REF!,#REF!,#REF!,#REF!,#REF!</definedName>
    <definedName function="false" hidden="true" name="__APW_RESTORE_DATA414__" vbProcedure="false">#REF!,#REF!,#REF!,#REF!,#REF!,#REF!,#REF!,#REF!,#REF!,#REF!,#REF!,#REF!,#REF!,#REF!,#REF!</definedName>
    <definedName function="false" hidden="true" name="__APW_RESTORE_DATA415__" vbProcedure="false">#REF!,#REF!</definedName>
    <definedName function="false" hidden="true" name="__APW_RESTORE_DATA416__" vbProcedure="false">#REF!,#REF!,#REF!,#REF!,#REF!,#REF!,#REF!,#REF!,#REF!,#REF!,#REF!,#REF!,#REF!,#REF!,#REF!</definedName>
    <definedName function="false" hidden="true" name="__APW_RESTORE_DATA417__" vbProcedure="false">#REF!,#REF!,#REF!,#REF!,#REF!,#REF!,#REF!,#REF!,#REF!,#REF!,#REF!,#REF!,#REF!,#REF!,#REF!</definedName>
    <definedName function="false" hidden="true" name="__APW_RESTORE_DATA418__" vbProcedure="false">#REF!,#REF!,#REF!,#REF!,#REF!,#REF!,#REF!,#REF!,#REF!,#REF!,#REF!,#REF!,#REF!,#REF!,#REF!</definedName>
    <definedName function="false" hidden="true" name="__APW_RESTORE_DATA419__" vbProcedure="false">#REF!,#REF!,#REF!,#REF!,#REF!,#REF!,#REF!,#REF!,#REF!,#REF!,#REF!,#REF!,#REF!,#REF!,#REF!</definedName>
    <definedName function="false" hidden="true" name="__APW_RESTORE_DATA41__" vbProcedure="false">#REF!</definedName>
    <definedName function="false" hidden="true" name="__APW_RESTORE_DATA420__" vbProcedure="false">#REF!,#REF!,#REF!,#REF!,#REF!,#REF!,#REF!,#REF!,#REF!,#REF!,#REF!,#REF!,#REF!,#REF!,#REF!</definedName>
    <definedName function="false" hidden="true" name="__APW_RESTORE_DATA421__" vbProcedure="false">#REF!,#REF!,#REF!,#REF!,#REF!,#REF!,#REF!,#REF!,#REF!,#REF!,#REF!,#REF!,#REF!,#REF!,#REF!</definedName>
    <definedName function="false" hidden="true" name="__APW_RESTORE_DATA422__" vbProcedure="false">#REF!,#REF!,#REF!,#REF!,#REF!,#REF!,#REF!,#REF!,#REF!,#REF!,#REF!,#REF!,#REF!,#REF!,#REF!</definedName>
    <definedName function="false" hidden="true" name="__APW_RESTORE_DATA423__" vbProcedure="false">#REF!,#REF!,#REF!,#REF!,#REF!,#REF!,#REF!,#REF!,#REF!,#REF!,#REF!,#REF!,#REF!,#REF!,#REF!</definedName>
    <definedName function="false" hidden="true" name="__APW_RESTORE_DATA424__" vbProcedure="false">#REF!,#REF!,#REF!,#REF!,#REF!,#REF!,#REF!,#REF!,#REF!,#REF!,#REF!,#REF!,#REF!,#REF!,#REF!</definedName>
    <definedName function="false" hidden="true" name="__APW_RESTORE_DATA425__" vbProcedure="false">#REF!,#REF!,#REF!,#REF!,#REF!,#REF!,#REF!,#REF!,#REF!,#REF!,#REF!,#REF!,#REF!,#REF!,#REF!</definedName>
    <definedName function="false" hidden="true" name="__APW_RESTORE_DATA426__" vbProcedure="false">#REF!,#REF!,#REF!,#REF!,#REF!,#REF!,#REF!,#REF!,#REF!,#REF!,#REF!,#REF!,#REF!,#REF!,#REF!</definedName>
    <definedName function="false" hidden="true" name="__APW_RESTORE_DATA427__" vbProcedure="false">#REF!,#REF!,#REF!,#REF!,#REF!,#REF!,#REF!,#REF!,#REF!,#REF!,#REF!,#REF!,#REF!,#REF!,#REF!</definedName>
    <definedName function="false" hidden="true" name="__APW_RESTORE_DATA428__" vbProcedure="false">#REF!,#REF!,#REF!,#REF!,#REF!,#REF!,#REF!,#REF!,#REF!,#REF!,#REF!,#REF!,#REF!,#REF!,#REF!</definedName>
    <definedName function="false" hidden="true" name="__APW_RESTORE_DATA429__" vbProcedure="false">#REF!,#REF!,#REF!,#REF!,#REF!,#REF!,#REF!,#REF!,#REF!,#REF!,#REF!,#REF!,#REF!,#REF!,#REF!</definedName>
    <definedName function="false" hidden="true" name="__APW_RESTORE_DATA42__" vbProcedure="false">#REF!,#REF!,#REF!,#REF!,#REF!,#REF!,#REF!,#REF!,#REF!,#REF!,#REF!,#REF!,#REF!,#REF!,#REF!,#REF!</definedName>
    <definedName function="false" hidden="true" name="__APW_RESTORE_DATA430__" vbProcedure="false">#REF!,#REF!</definedName>
    <definedName function="false" hidden="true" name="__APW_RESTORE_DATA431__" vbProcedure="false">#REF!,#REF!</definedName>
    <definedName function="false" hidden="true" name="__APW_RESTORE_DATA432__" vbProcedure="false">#REF!,#REF!,#REF!,#REF!,#REF!,#REF!</definedName>
    <definedName function="false" hidden="true" name="__APW_RESTORE_DATA433__" vbProcedure="false">#REF!</definedName>
    <definedName function="false" hidden="true" name="__APW_RESTORE_DATA434__" vbProcedure="false">#REF!</definedName>
    <definedName function="false" hidden="true" name="__APW_RESTORE_DATA435__" vbProcedure="false">#REF!</definedName>
    <definedName function="false" hidden="true" name="__APW_RESTORE_DATA436__" vbProcedure="false">#REF!,#REF!,#REF!,#REF!,#REF!,#REF!,#REF!,#REF!,#REF!,#REF!,#REF!,#REF!,#REF!,#REF!,#REF!,#REF!</definedName>
    <definedName function="false" hidden="true" name="__APW_RESTORE_DATA437__" vbProcedure="false">#REF!,#REF!,#REF!,#REF!,#REF!,#REF!,#REF!,#REF!,#REF!,#REF!,#REF!,#REF!,#REF!,#REF!,#REF!,#REF!</definedName>
    <definedName function="false" hidden="true" name="__APW_RESTORE_DATA438__" vbProcedure="false">#REF!,#REF!,#REF!,#REF!,#REF!,#REF!,#REF!,#REF!,#REF!,#REF!,#REF!,#REF!,#REF!,#REF!,#REF!,#REF!</definedName>
    <definedName function="false" hidden="true" name="__APW_RESTORE_DATA439__" vbProcedure="false">#REF!,#REF!,#REF!,#REF!,#REF!,#REF!,#REF!,#REF!,#REF!,#REF!,#REF!,#REF!,#REF!,#REF!,#REF!,#REF!</definedName>
    <definedName function="false" hidden="true" name="__APW_RESTORE_DATA43__" vbProcedure="false">#REF!,#REF!,#REF!,#REF!,#REF!,#REF!,#REF!,#REF!,#REF!,#REF!,#REF!,#REF!,#REF!,#REF!,#REF!</definedName>
    <definedName function="false" hidden="true" name="__APW_RESTORE_DATA440__" vbProcedure="false">#REF!,#REF!,#REF!,#REF!,#REF!,#REF!,#REF!,#REF!,#REF!,#REF!,#REF!,#REF!,#REF!,#REF!,#REF!,#REF!</definedName>
    <definedName function="false" hidden="true" name="__APW_RESTORE_DATA441__" vbProcedure="false">#REF!,#REF!,#REF!,#REF!,#REF!,#REF!,#REF!,#REF!,#REF!,#REF!,#REF!,#REF!,#REF!,#REF!,#REF!,#REF!</definedName>
    <definedName function="false" hidden="true" name="__APW_RESTORE_DATA442__" vbProcedure="false">#REF!,#REF!,#REF!,#REF!,#REF!,#REF!,#REF!,#REF!,#REF!,#REF!,#REF!,#REF!,#REF!,#REF!,#REF!</definedName>
    <definedName function="false" hidden="true" name="__APW_RESTORE_DATA443__" vbProcedure="false">#REF!,#REF!,#REF!,#REF!,#REF!,#REF!,#REF!,#REF!,#REF!,#REF!,#REF!,#REF!,#REF!,#REF!,#REF!</definedName>
    <definedName function="false" hidden="true" name="__APW_RESTORE_DATA444__" vbProcedure="false">#REF!,#REF!</definedName>
    <definedName function="false" hidden="true" name="__APW_RESTORE_DATA445__" vbProcedure="false">#REF!,#REF!,#REF!,#REF!,#REF!,#REF!,#REF!,#REF!,#REF!,#REF!,#REF!,#REF!,#REF!,#REF!,#REF!</definedName>
    <definedName function="false" hidden="true" name="__APW_RESTORE_DATA446__" vbProcedure="false">#REF!,#REF!,#REF!,#REF!,#REF!,#REF!,#REF!,#REF!,#REF!,#REF!,#REF!,#REF!,#REF!,#REF!,#REF!</definedName>
    <definedName function="false" hidden="true" name="__APW_RESTORE_DATA447__" vbProcedure="false">#REF!,#REF!,#REF!,#REF!,#REF!,#REF!,#REF!,#REF!,#REF!,#REF!,#REF!,#REF!,#REF!,#REF!,#REF!</definedName>
    <definedName function="false" hidden="true" name="__APW_RESTORE_DATA448__" vbProcedure="false">#REF!,#REF!,#REF!,#REF!,#REF!,#REF!,#REF!,#REF!,#REF!,#REF!,#REF!,#REF!,#REF!,#REF!,#REF!</definedName>
    <definedName function="false" hidden="true" name="__APW_RESTORE_DATA449__" vbProcedure="false">#REF!,#REF!</definedName>
    <definedName function="false" hidden="true" name="__APW_RESTORE_DATA44__" vbProcedure="false">#REF!,#REF!,#REF!,#REF!,#REF!,#REF!,#REF!,#REF!,#REF!,#REF!,#REF!,#REF!,#REF!,#REF!,#REF!,#REF!</definedName>
    <definedName function="false" hidden="true" name="__APW_RESTORE_DATA450__" vbProcedure="false">#REF!,#REF!,#REF!,#REF!,#REF!,#REF!,#REF!,#REF!,#REF!,#REF!,#REF!,#REF!,#REF!,#REF!,#REF!</definedName>
    <definedName function="false" hidden="true" name="__APW_RESTORE_DATA451__" vbProcedure="false">#REF!,#REF!,#REF!,#REF!,#REF!,#REF!,#REF!,#REF!,#REF!,#REF!,#REF!,#REF!,#REF!,#REF!,#REF!</definedName>
    <definedName function="false" hidden="true" name="__APW_RESTORE_DATA452__" vbProcedure="false">#REF!,#REF!,#REF!,#REF!,#REF!,#REF!,#REF!,#REF!,#REF!,#REF!,#REF!,#REF!,#REF!,#REF!,#REF!</definedName>
    <definedName function="false" hidden="true" name="__APW_RESTORE_DATA453__" vbProcedure="false">#REF!,#REF!,#REF!,#REF!,#REF!,#REF!,#REF!,#REF!,#REF!,#REF!,#REF!,#REF!,#REF!,#REF!,#REF!</definedName>
    <definedName function="false" hidden="true" name="__APW_RESTORE_DATA454__" vbProcedure="false">#REF!,#REF!</definedName>
    <definedName function="false" hidden="true" name="__APW_RESTORE_DATA455__" vbProcedure="false">#REF!,#REF!,#REF!,#REF!,#REF!,#REF!,#REF!,#REF!,#REF!,#REF!,#REF!,#REF!,#REF!,#REF!,#REF!</definedName>
    <definedName function="false" hidden="true" name="__APW_RESTORE_DATA456__" vbProcedure="false">#REF!,#REF!,#REF!,#REF!,#REF!,#REF!,#REF!,#REF!,#REF!,#REF!,#REF!,#REF!,#REF!,#REF!,#REF!</definedName>
    <definedName function="false" hidden="true" name="__APW_RESTORE_DATA457__" vbProcedure="false">#REF!,#REF!,#REF!,#REF!,#REF!,#REF!,#REF!,#REF!,#REF!,#REF!,#REF!,#REF!,#REF!,#REF!,#REF!</definedName>
    <definedName function="false" hidden="true" name="__APW_RESTORE_DATA458__" vbProcedure="false">#REF!,#REF!,#REF!,#REF!,#REF!,#REF!,#REF!,#REF!,#REF!,#REF!,#REF!,#REF!,#REF!,#REF!,#REF!</definedName>
    <definedName function="false" hidden="true" name="__APW_RESTORE_DATA459__" vbProcedure="false">#REF!,#REF!,#REF!,#REF!,#REF!,#REF!,#REF!,#REF!,#REF!,#REF!,#REF!,#REF!,#REF!,#REF!,#REF!</definedName>
    <definedName function="false" hidden="true" name="__APW_RESTORE_DATA45__" vbProcedure="false">#REF!,#REF!,#REF!,#REF!,#REF!,#REF!,#REF!,#REF!,#REF!,#REF!,#REF!,#REF!,#REF!,#REF!,#REF!</definedName>
    <definedName function="false" hidden="true" name="__APW_RESTORE_DATA460__" vbProcedure="false">#REF!,#REF!,#REF!,#REF!,#REF!,#REF!,#REF!,#REF!,#REF!,#REF!,#REF!,#REF!,#REF!,#REF!,#REF!</definedName>
    <definedName function="false" hidden="true" name="__APW_RESTORE_DATA461__" vbProcedure="false">#REF!,#REF!,#REF!,#REF!,#REF!,#REF!,#REF!,#REF!,#REF!,#REF!,#REF!,#REF!,#REF!,#REF!,#REF!</definedName>
    <definedName function="false" hidden="true" name="__APW_RESTORE_DATA462__" vbProcedure="false">#REF!,#REF!,#REF!,#REF!,#REF!,#REF!,#REF!,#REF!,#REF!,#REF!,#REF!,#REF!,#REF!,#REF!,#REF!</definedName>
    <definedName function="false" hidden="true" name="__APW_RESTORE_DATA463__" vbProcedure="false">#REF!,#REF!,#REF!,#REF!,#REF!,#REF!,#REF!,#REF!,#REF!,#REF!,#REF!,#REF!,#REF!,#REF!,#REF!</definedName>
    <definedName function="false" hidden="true" name="__APW_RESTORE_DATA464__" vbProcedure="false">#REF!,#REF!,#REF!,#REF!,#REF!,#REF!,#REF!,#REF!,#REF!,#REF!,#REF!,#REF!,#REF!,#REF!,#REF!</definedName>
    <definedName function="false" hidden="true" name="__APW_RESTORE_DATA465__" vbProcedure="false">#REF!,#REF!,#REF!,#REF!,#REF!,#REF!,#REF!,#REF!,#REF!,#REF!,#REF!,#REF!,#REF!,#REF!,#REF!</definedName>
    <definedName function="false" hidden="true" name="__APW_RESTORE_DATA466__" vbProcedure="false">#REF!,#REF!,#REF!,#REF!,#REF!,#REF!,#REF!,#REF!,#REF!,#REF!,#REF!,#REF!,#REF!,#REF!,#REF!</definedName>
    <definedName function="false" hidden="true" name="__APW_RESTORE_DATA467__" vbProcedure="false">#REF!,#REF!,#REF!,#REF!,#REF!,#REF!,#REF!,#REF!,#REF!,#REF!,#REF!,#REF!,#REF!,#REF!,#REF!</definedName>
    <definedName function="false" hidden="true" name="__APW_RESTORE_DATA468__" vbProcedure="false">#REF!,#REF!,#REF!,#REF!,#REF!,#REF!,#REF!,#REF!,#REF!,#REF!,#REF!,#REF!,#REF!,#REF!,#REF!</definedName>
    <definedName function="false" hidden="true" name="__APW_RESTORE_DATA469__" vbProcedure="false">#REF!,#REF!</definedName>
    <definedName function="false" hidden="true" name="__APW_RESTORE_DATA46__" vbProcedure="false">#REF!</definedName>
    <definedName function="false" hidden="true" name="__APW_RESTORE_DATA470__" vbProcedure="false">#REF!,#REF!</definedName>
    <definedName function="false" hidden="true" name="__APW_RESTORE_DATA471__" vbProcedure="false">#REF!,#REF!,#REF!,#REF!,#REF!,#REF!,#REF!,#REF!,#REF!,#REF!,#REF!,#REF!,#REF!,#REF!,#REF!,#REF!</definedName>
    <definedName function="false" hidden="true" name="__APW_RESTORE_DATA472__" vbProcedure="false">#REF!,#REF!,#REF!,#REF!,#REF!,#REF!,#REF!,#REF!,#REF!,#REF!,#REF!,#REF!,#REF!,#REF!,#REF!,#REF!</definedName>
    <definedName function="false" hidden="true" name="__APW_RESTORE_DATA473__" vbProcedure="false">#REF!,#REF!,#REF!,#REF!,#REF!,#REF!,#REF!,#REF!,#REF!,#REF!,#REF!,#REF!,#REF!,#REF!,#REF!,#REF!</definedName>
    <definedName function="false" hidden="true" name="__APW_RESTORE_DATA474__" vbProcedure="false">#REF!,#REF!,#REF!,#REF!,#REF!,#REF!,#REF!,#REF!,#REF!,#REF!,#REF!,#REF!,#REF!,#REF!,#REF!,#REF!</definedName>
    <definedName function="false" hidden="true" name="__APW_RESTORE_DATA475__" vbProcedure="false">#REF!,#REF!,#REF!,#REF!,#REF!,#REF!,#REF!,#REF!,#REF!,#REF!,#REF!,#REF!,#REF!,#REF!,#REF!,#REF!</definedName>
    <definedName function="false" hidden="true" name="__APW_RESTORE_DATA476__" vbProcedure="false">#REF!,#REF!,#REF!,#REF!,#REF!,#REF!,#REF!,#REF!,#REF!,#REF!,#REF!,#REF!,#REF!,#REF!,#REF!,#REF!</definedName>
    <definedName function="false" hidden="true" name="__APW_RESTORE_DATA477__" vbProcedure="false">#REF!,#REF!,#REF!,#REF!,#REF!,#REF!,#REF!,#REF!,#REF!,#REF!,#REF!,#REF!,#REF!,#REF!,#REF!</definedName>
    <definedName function="false" hidden="true" name="__APW_RESTORE_DATA478__" vbProcedure="false">#REF!,#REF!,#REF!,#REF!,#REF!,#REF!,#REF!,#REF!,#REF!,#REF!,#REF!,#REF!,#REF!,#REF!,#REF!</definedName>
    <definedName function="false" hidden="true" name="__APW_RESTORE_DATA479__" vbProcedure="false">#REF!,#REF!,#REF!,#REF!,#REF!,#REF!,#REF!,#REF!,#REF!,#REF!,#REF!,#REF!,#REF!,#REF!,#REF!</definedName>
    <definedName function="false" hidden="true" name="__APW_RESTORE_DATA47__" vbProcedure="false">#REF!</definedName>
    <definedName function="false" hidden="true" name="__APW_RESTORE_DATA480__" vbProcedure="false">#REF!,#REF!,#REF!,#REF!,#REF!,#REF!,#REF!,#REF!,#REF!,#REF!,#REF!,#REF!,#REF!,#REF!,#REF!</definedName>
    <definedName function="false" hidden="true" name="__APW_RESTORE_DATA481__" vbProcedure="false">#REF!,#REF!,#REF!,#REF!,#REF!,#REF!,#REF!,#REF!,#REF!,#REF!,#REF!,#REF!,#REF!,#REF!,#REF!</definedName>
    <definedName function="false" hidden="true" name="__APW_RESTORE_DATA482__" vbProcedure="false">#REF!,#REF!,#REF!,#REF!,#REF!,#REF!,#REF!,#REF!,#REF!,#REF!,#REF!,#REF!,#REF!,#REF!,#REF!</definedName>
    <definedName function="false" hidden="true" name="__APW_RESTORE_DATA483__" vbProcedure="false">#REF!,#REF!</definedName>
    <definedName function="false" hidden="true" name="__APW_RESTORE_DATA484__" vbProcedure="false">#REF!,#REF!,#REF!,#REF!,#REF!,#REF!,#REF!,#REF!,#REF!,#REF!,#REF!,#REF!,#REF!,#REF!,#REF!</definedName>
    <definedName function="false" hidden="true" name="__APW_RESTORE_DATA485__" vbProcedure="false">#REF!,#REF!,#REF!,#REF!,#REF!,#REF!,#REF!,#REF!,#REF!,#REF!,#REF!,#REF!,#REF!,#REF!,#REF!</definedName>
    <definedName function="false" hidden="true" name="__APW_RESTORE_DATA486__" vbProcedure="false">#REF!,#REF!,#REF!,#REF!,#REF!,#REF!,#REF!,#REF!,#REF!,#REF!,#REF!,#REF!,#REF!,#REF!,#REF!</definedName>
    <definedName function="false" hidden="true" name="__APW_RESTORE_DATA487__" vbProcedure="false">#REF!,#REF!,#REF!,#REF!,#REF!,#REF!,#REF!,#REF!,#REF!,#REF!,#REF!,#REF!,#REF!,#REF!,#REF!</definedName>
    <definedName function="false" hidden="true" name="__APW_RESTORE_DATA488__" vbProcedure="false">#REF!,#REF!</definedName>
    <definedName function="false" hidden="true" name="__APW_RESTORE_DATA489__" vbProcedure="false">#REF!,#REF!,#REF!,#REF!,#REF!,#REF!,#REF!,#REF!,#REF!,#REF!,#REF!,#REF!,#REF!,#REF!,#REF!</definedName>
    <definedName function="false" hidden="true" name="__APW_RESTORE_DATA48__" vbProcedure="false">#REF!,#REF!,#REF!,#REF!,#REF!,#REF!,#REF!,#REF!,#REF!,#REF!,#REF!,#REF!,#REF!,#REF!,#REF!,#REF!</definedName>
    <definedName function="false" hidden="true" name="__APW_RESTORE_DATA490__" vbProcedure="false">#REF!,#REF!,#REF!,#REF!,#REF!,#REF!,#REF!,#REF!,#REF!,#REF!,#REF!,#REF!,#REF!,#REF!,#REF!</definedName>
    <definedName function="false" hidden="true" name="__APW_RESTORE_DATA491__" vbProcedure="false">#REF!,#REF!,#REF!,#REF!,#REF!,#REF!,#REF!,#REF!,#REF!,#REF!,#REF!,#REF!,#REF!,#REF!,#REF!</definedName>
    <definedName function="false" hidden="true" name="__APW_RESTORE_DATA492__" vbProcedure="false">#REF!,#REF!,#REF!,#REF!,#REF!,#REF!,#REF!,#REF!,#REF!,#REF!,#REF!,#REF!,#REF!,#REF!,#REF!</definedName>
    <definedName function="false" hidden="true" name="__APW_RESTORE_DATA493__" vbProcedure="false">#REF!,#REF!</definedName>
    <definedName function="false" hidden="true" name="__APW_RESTORE_DATA494__" vbProcedure="false">#REF!,#REF!,#REF!,#REF!,#REF!,#REF!,#REF!,#REF!,#REF!,#REF!,#REF!,#REF!,#REF!,#REF!,#REF!</definedName>
    <definedName function="false" hidden="true" name="__APW_RESTORE_DATA495__" vbProcedure="false">#REF!,#REF!,#REF!,#REF!,#REF!,#REF!,#REF!,#REF!,#REF!,#REF!,#REF!,#REF!,#REF!,#REF!,#REF!</definedName>
    <definedName function="false" hidden="true" name="__APW_RESTORE_DATA496__" vbProcedure="false">#REF!,#REF!,#REF!,#REF!,#REF!,#REF!,#REF!,#REF!,#REF!,#REF!,#REF!,#REF!,#REF!,#REF!,#REF!</definedName>
    <definedName function="false" hidden="true" name="__APW_RESTORE_DATA497__" vbProcedure="false">#REF!,#REF!,#REF!,#REF!,#REF!,#REF!,#REF!,#REF!,#REF!,#REF!,#REF!,#REF!,#REF!,#REF!,#REF!</definedName>
    <definedName function="false" hidden="true" name="__APW_RESTORE_DATA498__" vbProcedure="false">#REF!,#REF!,#REF!,#REF!,#REF!,#REF!,#REF!,#REF!,#REF!,#REF!,#REF!,#REF!,#REF!,#REF!,#REF!</definedName>
    <definedName function="false" hidden="true" name="__APW_RESTORE_DATA499__" vbProcedure="false">#REF!,#REF!,#REF!,#REF!,#REF!,#REF!,#REF!,#REF!,#REF!,#REF!,#REF!,#REF!,#REF!,#REF!,#REF!</definedName>
    <definedName function="false" hidden="true" name="__APW_RESTORE_DATA49__" vbProcedure="false">#REF!,#REF!,#REF!,#REF!,#REF!,#REF!,#REF!,#REF!,#REF!,#REF!,#REF!,#REF!,#REF!,#REF!,#REF!</definedName>
    <definedName function="false" hidden="true" name="__APW_RESTORE_DATA4__" vbProcedure="false">#REF!</definedName>
    <definedName function="false" hidden="true" name="__APW_RESTORE_DATA500__" vbProcedure="false">#REF!,#REF!,#REF!,#REF!,#REF!,#REF!,#REF!,#REF!,#REF!,#REF!,#REF!,#REF!,#REF!,#REF!,#REF!</definedName>
    <definedName function="false" hidden="true" name="__APW_RESTORE_DATA501__" vbProcedure="false">#REF!,#REF!,#REF!,#REF!,#REF!,#REF!,#REF!,#REF!,#REF!,#REF!,#REF!,#REF!,#REF!,#REF!,#REF!</definedName>
    <definedName function="false" hidden="true" name="__APW_RESTORE_DATA502__" vbProcedure="false">#REF!,#REF!,#REF!,#REF!,#REF!,#REF!,#REF!,#REF!,#REF!,#REF!,#REF!,#REF!,#REF!,#REF!,#REF!</definedName>
    <definedName function="false" hidden="true" name="__APW_RESTORE_DATA503__" vbProcedure="false">#REF!,#REF!,#REF!,#REF!,#REF!,#REF!,#REF!,#REF!,#REF!,#REF!,#REF!,#REF!,#REF!,#REF!,#REF!</definedName>
    <definedName function="false" hidden="true" name="__APW_RESTORE_DATA504__" vbProcedure="false">#REF!,#REF!,#REF!,#REF!,#REF!,#REF!,#REF!,#REF!,#REF!,#REF!,#REF!,#REF!,#REF!,#REF!,#REF!</definedName>
    <definedName function="false" hidden="true" name="__APW_RESTORE_DATA505__" vbProcedure="false">#REF!,#REF!,#REF!,#REF!,#REF!,#REF!</definedName>
    <definedName function="false" hidden="true" name="__APW_RESTORE_DATA506__" vbProcedure="false">#REF!,#REF!,#REF!,#REF!,#REF!,#REF!,#REF!,#REF!,#REF!,#REF!,#REF!,#REF!,#REF!,#REF!,#REF!,#REF!</definedName>
    <definedName function="false" hidden="true" name="__APW_RESTORE_DATA507__" vbProcedure="false">#REF!,#REF!,#REF!,#REF!,#REF!,#REF!,#REF!,#REF!,#REF!,#REF!,#REF!,#REF!,#REF!,#REF!,#REF!,#REF!</definedName>
    <definedName function="false" hidden="true" name="__APW_RESTORE_DATA508__" vbProcedure="false">#REF!,#REF!</definedName>
    <definedName function="false" hidden="true" name="__APW_RESTORE_DATA509__" vbProcedure="false">#REF!,#REF!</definedName>
    <definedName function="false" hidden="true" name="__APW_RESTORE_DATA50__" vbProcedure="false">#REF!,#REF!,#REF!,#REF!,#REF!,#REF!,#REF!,#REF!,#REF!,#REF!,#REF!,#REF!,#REF!,#REF!,#REF!,#REF!</definedName>
    <definedName function="false" hidden="true" name="__APW_RESTORE_DATA510__" vbProcedure="false">#REF!,#REF!,#REF!,#REF!,#REF!,#REF!,#REF!,#REF!,#REF!,#REF!,#REF!,#REF!,#REF!,#REF!,#REF!,#REF!</definedName>
    <definedName function="false" hidden="true" name="__APW_RESTORE_DATA511__" vbProcedure="false">#REF!,#REF!,#REF!,#REF!,#REF!,#REF!,#REF!,#REF!,#REF!,#REF!,#REF!,#REF!,#REF!,#REF!,#REF!,#REF!</definedName>
    <definedName function="false" hidden="true" name="__APW_RESTORE_DATA512__" vbProcedure="false">#REF!,#REF!,#REF!,#REF!,#REF!,#REF!,#REF!,#REF!,#REF!,#REF!,#REF!,#REF!,#REF!,#REF!,#REF!</definedName>
    <definedName function="false" hidden="true" name="__APW_RESTORE_DATA513__" vbProcedure="false">#REF!,#REF!,#REF!,#REF!,#REF!,#REF!,#REF!,#REF!,#REF!,#REF!,#REF!,#REF!,#REF!,#REF!,#REF!</definedName>
    <definedName function="false" hidden="true" name="__APW_RESTORE_DATA514__" vbProcedure="false">#REF!,#REF!,#REF!,#REF!,#REF!,#REF!,#REF!,#REF!,#REF!,#REF!,#REF!,#REF!,#REF!,#REF!,#REF!</definedName>
    <definedName function="false" hidden="true" name="__APW_RESTORE_DATA515__" vbProcedure="false">#REF!,#REF!,#REF!,#REF!,#REF!,#REF!,#REF!,#REF!,#REF!,#REF!,#REF!,#REF!,#REF!,#REF!,#REF!</definedName>
    <definedName function="false" hidden="true" name="__APW_RESTORE_DATA516__" vbProcedure="false">#REF!,#REF!,#REF!,#REF!,#REF!,#REF!,#REF!,#REF!,#REF!,#REF!,#REF!,#REF!,#REF!,#REF!,#REF!</definedName>
    <definedName function="false" hidden="true" name="__APW_RESTORE_DATA517__" vbProcedure="false">#REF!,#REF!,#REF!,#REF!,#REF!,#REF!,#REF!,#REF!,#REF!,#REF!,#REF!,#REF!,#REF!,#REF!,#REF!</definedName>
    <definedName function="false" hidden="true" name="__APW_RESTORE_DATA518__" vbProcedure="false">#REF!,#REF!,#REF!,#REF!,#REF!,#REF!,#REF!,#REF!,#REF!,#REF!,#REF!,#REF!,#REF!,#REF!,#REF!</definedName>
    <definedName function="false" hidden="true" name="__APW_RESTORE_DATA519__" vbProcedure="false">#REF!,#REF!,#REF!,#REF!,#REF!,#REF!,#REF!,#REF!,#REF!,#REF!,#REF!,#REF!,#REF!,#REF!,#REF!</definedName>
    <definedName function="false" hidden="true" name="__APW_RESTORE_DATA51__" vbProcedure="false">#REF!,#REF!,#REF!,#REF!,#REF!,#REF!,#REF!,#REF!,#REF!,#REF!,#REF!,#REF!,#REF!,#REF!,#REF!</definedName>
    <definedName function="false" hidden="true" name="__APW_RESTORE_DATA520__" vbProcedure="false">#REF!,#REF!,#REF!,#REF!,#REF!,#REF!,#REF!,#REF!,#REF!,#REF!,#REF!,#REF!,#REF!,#REF!,#REF!</definedName>
    <definedName function="false" hidden="true" name="__APW_RESTORE_DATA521__" vbProcedure="false">#REF!,#REF!,#REF!,#REF!,#REF!,#REF!,#REF!,#REF!,#REF!,#REF!,#REF!,#REF!,#REF!,#REF!,#REF!</definedName>
    <definedName function="false" hidden="true" name="__APW_RESTORE_DATA522__" vbProcedure="false">#REF!,#REF!</definedName>
    <definedName function="false" hidden="true" name="__APW_RESTORE_DATA523__" vbProcedure="false">#REF!,#REF!,#REF!,#REF!,#REF!,#REF!,#REF!,#REF!,#REF!,#REF!,#REF!,#REF!,#REF!,#REF!,#REF!</definedName>
    <definedName function="false" hidden="true" name="__APW_RESTORE_DATA524__" vbProcedure="false">#REF!,#REF!,#REF!,#REF!,#REF!,#REF!,#REF!,#REF!,#REF!,#REF!,#REF!,#REF!,#REF!,#REF!,#REF!</definedName>
    <definedName function="false" hidden="true" name="__APW_RESTORE_DATA525__" vbProcedure="false">#REF!,#REF!,#REF!,#REF!,#REF!,#REF!,#REF!,#REF!,#REF!,#REF!,#REF!,#REF!,#REF!,#REF!,#REF!</definedName>
    <definedName function="false" hidden="true" name="__APW_RESTORE_DATA526__" vbProcedure="false">#REF!,#REF!,#REF!,#REF!,#REF!,#REF!,#REF!,#REF!,#REF!,#REF!,#REF!,#REF!,#REF!,#REF!,#REF!</definedName>
    <definedName function="false" hidden="true" name="__APW_RESTORE_DATA527__" vbProcedure="false">#REF!,#REF!</definedName>
    <definedName function="false" hidden="true" name="__APW_RESTORE_DATA528__" vbProcedure="false">#REF!,#REF!,#REF!,#REF!,#REF!,#REF!,#REF!,#REF!,#REF!,#REF!,#REF!,#REF!,#REF!,#REF!,#REF!</definedName>
    <definedName function="false" hidden="true" name="__APW_RESTORE_DATA529__" vbProcedure="false">#REF!,#REF!,#REF!,#REF!,#REF!,#REF!,#REF!,#REF!,#REF!,#REF!,#REF!,#REF!,#REF!,#REF!,#REF!</definedName>
    <definedName function="false" hidden="true" name="__APW_RESTORE_DATA52__" vbProcedure="false">#REF!,#REF!,#REF!,#REF!,#REF!,#REF!,#REF!,#REF!,#REF!,#REF!,#REF!,#REF!,#REF!,#REF!,#REF!,#REF!</definedName>
    <definedName function="false" hidden="true" name="__APW_RESTORE_DATA530__" vbProcedure="false">#REF!,#REF!,#REF!,#REF!,#REF!,#REF!,#REF!,#REF!,#REF!,#REF!,#REF!,#REF!,#REF!,#REF!,#REF!</definedName>
    <definedName function="false" hidden="true" name="__APW_RESTORE_DATA531__" vbProcedure="false">#REF!,#REF!,#REF!,#REF!,#REF!,#REF!,#REF!,#REF!,#REF!,#REF!,#REF!,#REF!,#REF!,#REF!,#REF!</definedName>
    <definedName function="false" hidden="true" name="__APW_RESTORE_DATA532__" vbProcedure="false">#REF!,#REF!</definedName>
    <definedName function="false" hidden="true" name="__APW_RESTORE_DATA533__" vbProcedure="false">#REF!,#REF!,#REF!,#REF!,#REF!,#REF!,#REF!,#REF!,#REF!,#REF!,#REF!,#REF!,#REF!,#REF!,#REF!</definedName>
    <definedName function="false" hidden="true" name="__APW_RESTORE_DATA534__" vbProcedure="false">#REF!,#REF!,#REF!,#REF!,#REF!,#REF!,#REF!,#REF!,#REF!,#REF!,#REF!,#REF!,#REF!,#REF!,#REF!</definedName>
    <definedName function="false" hidden="true" name="__APW_RESTORE_DATA535__" vbProcedure="false">#REF!,#REF!,#REF!,#REF!,#REF!,#REF!,#REF!,#REF!,#REF!,#REF!,#REF!,#REF!,#REF!,#REF!,#REF!</definedName>
    <definedName function="false" hidden="true" name="__APW_RESTORE_DATA536__" vbProcedure="false">#REF!,#REF!,#REF!,#REF!,#REF!,#REF!,#REF!,#REF!,#REF!,#REF!,#REF!,#REF!,#REF!,#REF!,#REF!</definedName>
    <definedName function="false" hidden="true" name="__APW_RESTORE_DATA537__" vbProcedure="false">#REF!,#REF!,#REF!,#REF!,#REF!,#REF!,#REF!,#REF!,#REF!,#REF!,#REF!,#REF!,#REF!,#REF!,#REF!</definedName>
    <definedName function="false" hidden="true" name="__APW_RESTORE_DATA538__" vbProcedure="false">#REF!,#REF!,#REF!,#REF!,#REF!,#REF!,#REF!,#REF!,#REF!,#REF!,#REF!,#REF!,#REF!,#REF!,#REF!</definedName>
    <definedName function="false" hidden="true" name="__APW_RESTORE_DATA539__" vbProcedure="false">#REF!,#REF!,#REF!,#REF!,#REF!,#REF!,#REF!,#REF!,#REF!,#REF!,#REF!,#REF!,#REF!,#REF!,#REF!</definedName>
    <definedName function="false" hidden="true" name="__APW_RESTORE_DATA53__" vbProcedure="false">#REF!,#REF!,#REF!,#REF!,#REF!,#REF!,#REF!,#REF!,#REF!,#REF!,#REF!,#REF!,#REF!,#REF!,#REF!</definedName>
    <definedName function="false" hidden="true" name="__APW_RESTORE_DATA540__" vbProcedure="false">#REF!,#REF!,#REF!,#REF!,#REF!,#REF!</definedName>
    <definedName function="false" hidden="true" name="__APW_RESTORE_DATA541__" vbProcedure="false">#REF!,#REF!,#REF!,#REF!,#REF!,#REF!,#REF!,#REF!,#REF!,#REF!,#REF!,#REF!,#REF!,#REF!,#REF!,#REF!</definedName>
    <definedName function="false" hidden="true" name="__APW_RESTORE_DATA542__" vbProcedure="false">#REF!,#REF!,#REF!,#REF!,#REF!,#REF!,#REF!,#REF!,#REF!,#REF!,#REF!,#REF!,#REF!,#REF!,#REF!,#REF!</definedName>
    <definedName function="false" hidden="true" name="__APW_RESTORE_DATA543__" vbProcedure="false">#REF!,#REF!,#REF!,#REF!,#REF!,#REF!,#REF!,#REF!,#REF!,#REF!,#REF!,#REF!,#REF!,#REF!,#REF!,#REF!</definedName>
    <definedName function="false" hidden="true" name="__APW_RESTORE_DATA544__" vbProcedure="false">#REF!,#REF!,#REF!,#REF!,#REF!,#REF!,#REF!,#REF!,#REF!,#REF!,#REF!,#REF!,#REF!,#REF!,#REF!,#REF!</definedName>
    <definedName function="false" hidden="true" name="__APW_RESTORE_DATA545__" vbProcedure="false">#REF!,#REF!,#REF!,#REF!,#REF!,#REF!,#REF!,#REF!,#REF!,#REF!,#REF!,#REF!,#REF!,#REF!,#REF!,#REF!</definedName>
    <definedName function="false" hidden="true" name="__APW_RESTORE_DATA546__" vbProcedure="false">#REF!,#REF!,#REF!,#REF!,#REF!,#REF!,#REF!,#REF!,#REF!,#REF!,#REF!,#REF!,#REF!,#REF!,#REF!,#REF!</definedName>
    <definedName function="false" hidden="true" name="__APW_RESTORE_DATA547__" vbProcedure="false">#REF!,#REF!</definedName>
    <definedName function="false" hidden="true" name="__APW_RESTORE_DATA548__" vbProcedure="false">#REF!,#REF!</definedName>
    <definedName function="false" hidden="true" name="__APW_RESTORE_DATA549__" vbProcedure="false">#REF!,#REF!,#REF!,#REF!,#REF!,#REF!,#REF!,#REF!,#REF!,#REF!,#REF!,#REF!,#REF!,#REF!,#REF!</definedName>
    <definedName function="false" hidden="true" name="__APW_RESTORE_DATA54__" vbProcedure="false">#REF!</definedName>
    <definedName function="false" hidden="true" name="__APW_RESTORE_DATA550__" vbProcedure="false">#REF!,#REF!,#REF!,#REF!,#REF!,#REF!,#REF!,#REF!,#REF!,#REF!,#REF!,#REF!,#REF!,#REF!,#REF!</definedName>
    <definedName function="false" hidden="true" name="__APW_RESTORE_DATA551__" vbProcedure="false">#REF!,#REF!,#REF!,#REF!,#REF!,#REF!,#REF!,#REF!,#REF!,#REF!,#REF!,#REF!,#REF!,#REF!,#REF!</definedName>
    <definedName function="false" hidden="true" name="__APW_RESTORE_DATA552__" vbProcedure="false">#REF!,#REF!,#REF!,#REF!,#REF!,#REF!,#REF!,#REF!,#REF!,#REF!,#REF!,#REF!,#REF!,#REF!,#REF!</definedName>
    <definedName function="false" hidden="true" name="__APW_RESTORE_DATA553__" vbProcedure="false">#REF!,#REF!,#REF!,#REF!,#REF!,#REF!,#REF!,#REF!,#REF!,#REF!,#REF!,#REF!,#REF!,#REF!,#REF!</definedName>
    <definedName function="false" hidden="true" name="__APW_RESTORE_DATA554__" vbProcedure="false">#REF!,#REF!,#REF!,#REF!,#REF!,#REF!,#REF!,#REF!,#REF!,#REF!,#REF!,#REF!,#REF!,#REF!,#REF!</definedName>
    <definedName function="false" hidden="true" name="__APW_RESTORE_DATA555__" vbProcedure="false">#REF!,#REF!,#REF!,#REF!,#REF!,#REF!,#REF!,#REF!,#REF!,#REF!,#REF!,#REF!,#REF!,#REF!,#REF!</definedName>
    <definedName function="false" hidden="true" name="__APW_RESTORE_DATA556__" vbProcedure="false">#REF!,#REF!,#REF!,#REF!,#REF!,#REF!,#REF!,#REF!,#REF!,#REF!,#REF!,#REF!,#REF!,#REF!,#REF!</definedName>
    <definedName function="false" hidden="true" name="__APW_RESTORE_DATA557__" vbProcedure="false">#REF!,#REF!,#REF!,#REF!,#REF!,#REF!,#REF!,#REF!,#REF!,#REF!,#REF!,#REF!,#REF!,#REF!,#REF!</definedName>
    <definedName function="false" hidden="true" name="__APW_RESTORE_DATA558__" vbProcedure="false">#REF!,#REF!,#REF!,#REF!,#REF!,#REF!,#REF!,#REF!,#REF!,#REF!,#REF!,#REF!,#REF!,#REF!,#REF!</definedName>
    <definedName function="false" hidden="true" name="__APW_RESTORE_DATA559__" vbProcedure="false">#REF!,#REF!,#REF!,#REF!,#REF!,#REF!,#REF!,#REF!,#REF!,#REF!,#REF!,#REF!,#REF!,#REF!,#REF!</definedName>
    <definedName function="false" hidden="true" name="__APW_RESTORE_DATA55__" vbProcedure="false">#REF!</definedName>
    <definedName function="false" hidden="true" name="__APW_RESTORE_DATA560__" vbProcedure="false">#REF!,#REF!,#REF!,#REF!,#REF!,#REF!,#REF!,#REF!,#REF!,#REF!,#REF!,#REF!,#REF!,#REF!,#REF!</definedName>
    <definedName function="false" hidden="true" name="__APW_RESTORE_DATA561__" vbProcedure="false">#REF!,#REF!</definedName>
    <definedName function="false" hidden="true" name="__APW_RESTORE_DATA562__" vbProcedure="false">#REF!,#REF!,#REF!,#REF!,#REF!,#REF!,#REF!,#REF!,#REF!,#REF!,#REF!,#REF!,#REF!,#REF!,#REF!</definedName>
    <definedName function="false" hidden="true" name="__APW_RESTORE_DATA563__" vbProcedure="false">#REF!,#REF!,#REF!,#REF!,#REF!,#REF!,#REF!,#REF!,#REF!,#REF!,#REF!,#REF!,#REF!,#REF!,#REF!</definedName>
    <definedName function="false" hidden="true" name="__APW_RESTORE_DATA564__" vbProcedure="false">#REF!,#REF!,#REF!,#REF!,#REF!,#REF!,#REF!,#REF!,#REF!,#REF!,#REF!,#REF!,#REF!,#REF!,#REF!</definedName>
    <definedName function="false" hidden="true" name="__APW_RESTORE_DATA565__" vbProcedure="false">#REF!,#REF!,#REF!,#REF!,#REF!,#REF!,#REF!,#REF!,#REF!,#REF!,#REF!,#REF!,#REF!,#REF!,#REF!</definedName>
    <definedName function="false" hidden="true" name="__APW_RESTORE_DATA566__" vbProcedure="false">#REF!,#REF!</definedName>
    <definedName function="false" hidden="true" name="__APW_RESTORE_DATA567__" vbProcedure="false">#REF!,#REF!,#REF!,#REF!,#REF!,#REF!,#REF!,#REF!,#REF!,#REF!,#REF!,#REF!,#REF!,#REF!,#REF!</definedName>
    <definedName function="false" hidden="true" name="__APW_RESTORE_DATA568__" vbProcedure="false">#REF!,#REF!,#REF!,#REF!,#REF!,#REF!,#REF!,#REF!,#REF!,#REF!,#REF!,#REF!,#REF!,#REF!,#REF!</definedName>
    <definedName function="false" hidden="true" name="__APW_RESTORE_DATA569__" vbProcedure="false">#REF!,#REF!,#REF!,#REF!,#REF!,#REF!,#REF!,#REF!,#REF!,#REF!,#REF!,#REF!,#REF!,#REF!,#REF!</definedName>
    <definedName function="false" hidden="true" name="__APW_RESTORE_DATA56__" vbProcedure="false">#REF!,#REF!,#REF!,#REF!,#REF!,#REF!,#REF!,#REF!,#REF!,#REF!,#REF!,#REF!,#REF!,#REF!,#REF!,#REF!</definedName>
    <definedName function="false" hidden="true" name="__APW_RESTORE_DATA570__" vbProcedure="false">#REF!,#REF!,#REF!,#REF!,#REF!,#REF!,#REF!,#REF!,#REF!,#REF!,#REF!,#REF!,#REF!,#REF!,#REF!</definedName>
    <definedName function="false" hidden="true" name="__APW_RESTORE_DATA571__" vbProcedure="false">#REF!,#REF!</definedName>
    <definedName function="false" hidden="true" name="__APW_RESTORE_DATA572__" vbProcedure="false">#REF!,#REF!,#REF!,#REF!,#REF!,#REF!,#REF!,#REF!,#REF!,#REF!,#REF!,#REF!,#REF!,#REF!,#REF!</definedName>
    <definedName function="false" hidden="true" name="__APW_RESTORE_DATA573__" vbProcedure="false">#REF!,#REF!,#REF!,#REF!,#REF!,#REF!,#REF!,#REF!,#REF!,#REF!,#REF!,#REF!,#REF!,#REF!,#REF!</definedName>
    <definedName function="false" hidden="true" name="__APW_RESTORE_DATA574__" vbProcedure="false">#REF!,#REF!,#REF!,#REF!,#REF!,#REF!,#REF!,#REF!,#REF!,#REF!,#REF!,#REF!,#REF!,#REF!,#REF!</definedName>
    <definedName function="false" hidden="true" name="__APW_RESTORE_DATA575__" vbProcedure="false">#REF!,#REF!,#REF!,#REF!,#REF!,#REF!</definedName>
    <definedName function="false" hidden="true" name="__APW_RESTORE_DATA576__" vbProcedure="false">#REF!</definedName>
    <definedName function="false" hidden="true" name="__APW_RESTORE_DATA577__" vbProcedure="false">#REF!,#REF!,#REF!,#REF!,#REF!,#REF!,#REF!,#REF!,#REF!,#REF!,#REF!,#REF!,#REF!,#REF!,#REF!,#REF!</definedName>
    <definedName function="false" hidden="true" name="__APW_RESTORE_DATA578__" vbProcedure="false">#REF!,#REF!,#REF!,#REF!,#REF!,#REF!,#REF!,#REF!,#REF!,#REF!,#REF!,#REF!,#REF!,#REF!,#REF!,#REF!</definedName>
    <definedName function="false" hidden="true" name="__APW_RESTORE_DATA579__" vbProcedure="false">#REF!,#REF!,#REF!,#REF!,#REF!,#REF!,#REF!,#REF!,#REF!,#REF!,#REF!,#REF!,#REF!,#REF!,#REF!,#REF!</definedName>
    <definedName function="false" hidden="true" name="__APW_RESTORE_DATA57__" vbProcedure="false">#REF!,#REF!,#REF!,#REF!,#REF!,#REF!,#REF!,#REF!,#REF!,#REF!,#REF!,#REF!,#REF!,#REF!,#REF!</definedName>
    <definedName function="false" hidden="true" name="__APW_RESTORE_DATA580__" vbProcedure="false">#REF!,#REF!,#REF!,#REF!,#REF!,#REF!,#REF!,#REF!,#REF!,#REF!,#REF!,#REF!,#REF!,#REF!,#REF!,#REF!</definedName>
    <definedName function="false" hidden="true" name="__APW_RESTORE_DATA581__" vbProcedure="false">#REF!,#REF!,#REF!,#REF!,#REF!,#REF!,#REF!,#REF!,#REF!,#REF!,#REF!,#REF!,#REF!,#REF!,#REF!,#REF!</definedName>
    <definedName function="false" hidden="true" name="__APW_RESTORE_DATA582__" vbProcedure="false">#REF!,#REF!,#REF!,#REF!,#REF!,#REF!,#REF!,#REF!,#REF!,#REF!,#REF!,#REF!,#REF!,#REF!,#REF!,#REF!</definedName>
    <definedName function="false" hidden="true" name="__APW_RESTORE_DATA583__" vbProcedure="false">#REF!,#REF!,#REF!,#REF!,#REF!,#REF!,#REF!,#REF!,#REF!,#REF!,#REF!,#REF!,#REF!,#REF!,#REF!</definedName>
    <definedName function="false" hidden="true" name="__APW_RESTORE_DATA584__" vbProcedure="false">#REF!,#REF!,#REF!,#REF!,#REF!,#REF!,#REF!,#REF!,#REF!,#REF!,#REF!,#REF!,#REF!,#REF!,#REF!</definedName>
    <definedName function="false" hidden="true" name="__APW_RESTORE_DATA585__" vbProcedure="false">#REF!,#REF!,#REF!,#REF!,#REF!,#REF!,#REF!,#REF!,#REF!,#REF!,#REF!,#REF!,#REF!,#REF!,#REF!</definedName>
    <definedName function="false" hidden="true" name="__APW_RESTORE_DATA586__" vbProcedure="false">#REF!,#REF!</definedName>
    <definedName function="false" hidden="true" name="__APW_RESTORE_DATA587__" vbProcedure="false">#REF!,#REF!</definedName>
    <definedName function="false" hidden="true" name="__APW_RESTORE_DATA588__" vbProcedure="false">#REF!,#REF!,#REF!,#REF!,#REF!,#REF!,#REF!,#REF!,#REF!,#REF!,#REF!,#REF!,#REF!,#REF!,#REF!</definedName>
    <definedName function="false" hidden="true" name="__APW_RESTORE_DATA589__" vbProcedure="false">#REF!,#REF!,#REF!,#REF!,#REF!,#REF!,#REF!,#REF!,#REF!,#REF!,#REF!,#REF!,#REF!,#REF!,#REF!</definedName>
    <definedName function="false" hidden="true" name="__APW_RESTORE_DATA58__" vbProcedure="false">#REF!,#REF!,#REF!,#REF!,#REF!,#REF!,#REF!,#REF!,#REF!,#REF!,#REF!,#REF!,#REF!,#REF!,#REF!,#REF!</definedName>
    <definedName function="false" hidden="true" name="__APW_RESTORE_DATA590__" vbProcedure="false">#REF!,#REF!,#REF!,#REF!,#REF!,#REF!,#REF!,#REF!,#REF!,#REF!,#REF!,#REF!,#REF!,#REF!,#REF!</definedName>
    <definedName function="false" hidden="true" name="__APW_RESTORE_DATA591__" vbProcedure="false">#REF!,#REF!,#REF!,#REF!,#REF!,#REF!,#REF!,#REF!,#REF!,#REF!,#REF!,#REF!,#REF!,#REF!,#REF!</definedName>
    <definedName function="false" hidden="true" name="__APW_RESTORE_DATA592__" vbProcedure="false">#REF!,#REF!,#REF!,#REF!,#REF!,#REF!,#REF!,#REF!,#REF!,#REF!,#REF!,#REF!,#REF!,#REF!,#REF!</definedName>
    <definedName function="false" hidden="true" name="__APW_RESTORE_DATA593__" vbProcedure="false">#REF!,#REF!,#REF!,#REF!,#REF!,#REF!,#REF!,#REF!,#REF!,#REF!,#REF!,#REF!,#REF!,#REF!,#REF!</definedName>
    <definedName function="false" hidden="true" name="__APW_RESTORE_DATA594__" vbProcedure="false">#REF!,#REF!,#REF!,#REF!,#REF!,#REF!,#REF!,#REF!,#REF!,#REF!,#REF!,#REF!,#REF!,#REF!,#REF!</definedName>
    <definedName function="false" hidden="true" name="__APW_RESTORE_DATA595__" vbProcedure="false">#REF!,#REF!,#REF!,#REF!,#REF!,#REF!,#REF!,#REF!,#REF!,#REF!,#REF!,#REF!,#REF!,#REF!,#REF!</definedName>
    <definedName function="false" hidden="true" name="__APW_RESTORE_DATA596__" vbProcedure="false">#REF!,#REF!,#REF!,#REF!,#REF!,#REF!,#REF!,#REF!,#REF!,#REF!,#REF!,#REF!,#REF!,#REF!,#REF!</definedName>
    <definedName function="false" hidden="true" name="__APW_RESTORE_DATA597__" vbProcedure="false">#REF!,#REF!,#REF!,#REF!,#REF!,#REF!,#REF!,#REF!,#REF!,#REF!,#REF!,#REF!,#REF!,#REF!,#REF!</definedName>
    <definedName function="false" hidden="true" name="__APW_RESTORE_DATA598__" vbProcedure="false">#REF!,#REF!,#REF!,#REF!,#REF!,#REF!,#REF!,#REF!,#REF!,#REF!,#REF!,#REF!,#REF!,#REF!,#REF!</definedName>
    <definedName function="false" hidden="true" name="__APW_RESTORE_DATA599__" vbProcedure="false">#REF!,#REF!,#REF!,#REF!,#REF!,#REF!,#REF!,#REF!,#REF!,#REF!,#REF!,#REF!,#REF!,#REF!,#REF!</definedName>
    <definedName function="false" hidden="true" name="__APW_RESTORE_DATA59__" vbProcedure="false">#REF!,#REF!,#REF!,#REF!,#REF!,#REF!,#REF!,#REF!,#REF!,#REF!,#REF!,#REF!,#REF!,#REF!,#REF!</definedName>
    <definedName function="false" hidden="true" name="__APW_RESTORE_DATA5__" vbProcedure="false">#REF!</definedName>
    <definedName function="false" hidden="true" name="__APW_RESTORE_DATA600__" vbProcedure="false">#REF!,#REF!</definedName>
    <definedName function="false" hidden="true" name="__APW_RESTORE_DATA601__" vbProcedure="false">#REF!,#REF!,#REF!,#REF!,#REF!,#REF!,#REF!,#REF!,#REF!,#REF!,#REF!,#REF!,#REF!,#REF!,#REF!</definedName>
    <definedName function="false" hidden="true" name="__APW_RESTORE_DATA602__" vbProcedure="false">#REF!,#REF!,#REF!,#REF!,#REF!,#REF!,#REF!,#REF!,#REF!,#REF!,#REF!,#REF!,#REF!,#REF!,#REF!</definedName>
    <definedName function="false" hidden="true" name="__APW_RESTORE_DATA603__" vbProcedure="false">#REF!,#REF!,#REF!,#REF!,#REF!,#REF!,#REF!,#REF!,#REF!,#REF!,#REF!,#REF!,#REF!,#REF!,#REF!</definedName>
    <definedName function="false" hidden="true" name="__APW_RESTORE_DATA604__" vbProcedure="false">#REF!,#REF!,#REF!,#REF!,#REF!,#REF!,#REF!,#REF!,#REF!,#REF!,#REF!,#REF!,#REF!,#REF!,#REF!</definedName>
    <definedName function="false" hidden="true" name="__APW_RESTORE_DATA605__" vbProcedure="false">#REF!,#REF!</definedName>
    <definedName function="false" hidden="true" name="__APW_RESTORE_DATA606__" vbProcedure="false">#REF!,#REF!,#REF!,#REF!,#REF!,#REF!,#REF!,#REF!,#REF!,#REF!,#REF!,#REF!,#REF!,#REF!,#REF!</definedName>
    <definedName function="false" hidden="true" name="__APW_RESTORE_DATA607__" vbProcedure="false">#REF!,#REF!,#REF!,#REF!,#REF!,#REF!,#REF!,#REF!,#REF!,#REF!,#REF!,#REF!,#REF!,#REF!,#REF!</definedName>
    <definedName function="false" hidden="true" name="__APW_RESTORE_DATA608__" vbProcedure="false">#REF!,#REF!,#REF!,#REF!,#REF!,#REF!,#REF!,#REF!,#REF!,#REF!,#REF!,#REF!,#REF!,#REF!,#REF!</definedName>
    <definedName function="false" hidden="true" name="__APW_RESTORE_DATA609__" vbProcedure="false">#REF!,#REF!,#REF!,#REF!,#REF!,#REF!,#REF!,#REF!,#REF!,#REF!,#REF!,#REF!,#REF!,#REF!,#REF!</definedName>
    <definedName function="false" hidden="true" name="__APW_RESTORE_DATA60__" vbProcedure="false">#REF!,#REF!,#REF!,#REF!,#REF!,#REF!,#REF!,#REF!,#REF!,#REF!,#REF!,#REF!,#REF!,#REF!,#REF!,#REF!</definedName>
    <definedName function="false" hidden="true" name="__APW_RESTORE_DATA610__" vbProcedure="false">#REF!,#REF!</definedName>
    <definedName function="false" hidden="true" name="__APW_RESTORE_DATA611__" vbProcedure="false">#REF!,#REF!,#REF!,#REF!,#REF!,#REF!</definedName>
    <definedName function="false" hidden="true" name="__APW_RESTORE_DATA612__" vbProcedure="false">#REF!,#REF!,#REF!,#REF!,#REF!,#REF!,#REF!,#REF!,#REF!,#REF!,#REF!,#REF!,#REF!,#REF!,#REF!,#REF!</definedName>
    <definedName function="false" hidden="true" name="__APW_RESTORE_DATA613__" vbProcedure="false">#REF!,#REF!,#REF!,#REF!,#REF!,#REF!,#REF!,#REF!,#REF!,#REF!,#REF!,#REF!,#REF!,#REF!,#REF!,#REF!</definedName>
    <definedName function="false" hidden="true" name="__APW_RESTORE_DATA614__" vbProcedure="false">#REF!,#REF!,#REF!,#REF!,#REF!,#REF!,#REF!,#REF!,#REF!,#REF!,#REF!,#REF!,#REF!,#REF!,#REF!,#REF!</definedName>
    <definedName function="false" hidden="true" name="__APW_RESTORE_DATA615__" vbProcedure="false">#REF!,#REF!,#REF!,#REF!,#REF!,#REF!,#REF!,#REF!,#REF!,#REF!,#REF!,#REF!,#REF!,#REF!,#REF!,#REF!</definedName>
    <definedName function="false" hidden="true" name="__APW_RESTORE_DATA616__" vbProcedure="false">#REF!,#REF!,#REF!,#REF!,#REF!,#REF!,#REF!,#REF!,#REF!,#REF!,#REF!,#REF!,#REF!,#REF!,#REF!,#REF!</definedName>
    <definedName function="false" hidden="true" name="__APW_RESTORE_DATA617__" vbProcedure="false">#REF!,#REF!,#REF!,#REF!,#REF!,#REF!,#REF!,#REF!,#REF!,#REF!,#REF!,#REF!,#REF!,#REF!,#REF!,#REF!</definedName>
    <definedName function="false" hidden="true" name="__APW_RESTORE_DATA618__" vbProcedure="false">#REF!,#REF!,#REF!,#REF!,#REF!,#REF!,#REF!,#REF!,#REF!,#REF!,#REF!,#REF!,#REF!,#REF!,#REF!</definedName>
    <definedName function="false" hidden="true" name="__APW_RESTORE_DATA619__" vbProcedure="false">#REF!,#REF!,#REF!,#REF!,#REF!,#REF!,#REF!,#REF!,#REF!,#REF!,#REF!,#REF!,#REF!,#REF!,#REF!</definedName>
    <definedName function="false" hidden="true" name="__APW_RESTORE_DATA61__" vbProcedure="false">#REF!,#REF!,#REF!,#REF!,#REF!,#REF!,#REF!,#REF!,#REF!,#REF!,#REF!,#REF!,#REF!,#REF!,#REF!</definedName>
    <definedName function="false" hidden="true" name="__APW_RESTORE_DATA620__" vbProcedure="false">#REF!,#REF!,#REF!,#REF!,#REF!,#REF!,#REF!,#REF!,#REF!,#REF!,#REF!,#REF!,#REF!,#REF!,#REF!</definedName>
    <definedName function="false" hidden="true" name="__APW_RESTORE_DATA621__" vbProcedure="false">#REF!,#REF!,#REF!,#REF!,#REF!,#REF!,#REF!,#REF!,#REF!,#REF!,#REF!,#REF!,#REF!,#REF!,#REF!</definedName>
    <definedName function="false" hidden="true" name="__APW_RESTORE_DATA622__" vbProcedure="false">#REF!,#REF!,#REF!,#REF!,#REF!,#REF!,#REF!,#REF!,#REF!,#REF!,#REF!,#REF!,#REF!,#REF!,#REF!</definedName>
    <definedName function="false" hidden="true" name="__APW_RESTORE_DATA623__" vbProcedure="false">#REF!,#REF!,#REF!,#REF!,#REF!,#REF!,#REF!,#REF!,#REF!,#REF!,#REF!,#REF!,#REF!,#REF!,#REF!</definedName>
    <definedName function="false" hidden="true" name="__APW_RESTORE_DATA624__" vbProcedure="false">#REF!,#REF!,#REF!,#REF!,#REF!,#REF!,#REF!,#REF!,#REF!,#REF!,#REF!,#REF!,#REF!,#REF!,#REF!</definedName>
    <definedName function="false" hidden="true" name="__APW_RESTORE_DATA625__" vbProcedure="false">#REF!,#REF!</definedName>
    <definedName function="false" hidden="true" name="__APW_RESTORE_DATA626__" vbProcedure="false">#REF!,#REF!</definedName>
    <definedName function="false" hidden="true" name="__APW_RESTORE_DATA627__" vbProcedure="false">#REF!,#REF!,#REF!,#REF!,#REF!,#REF!,#REF!,#REF!,#REF!,#REF!,#REF!,#REF!,#REF!,#REF!,#REF!</definedName>
    <definedName function="false" hidden="true" name="__APW_RESTORE_DATA628__" vbProcedure="false">#REF!,#REF!,#REF!,#REF!,#REF!,#REF!,#REF!,#REF!,#REF!,#REF!,#REF!,#REF!,#REF!,#REF!,#REF!</definedName>
    <definedName function="false" hidden="true" name="__APW_RESTORE_DATA629__" vbProcedure="false">#REF!,#REF!,#REF!,#REF!,#REF!,#REF!,#REF!,#REF!,#REF!,#REF!,#REF!,#REF!,#REF!,#REF!,#REF!</definedName>
    <definedName function="false" hidden="true" name="__APW_RESTORE_DATA62__" vbProcedure="false">#REF!,#REF!,#REF!,#REF!,#REF!,#REF!,#REF!,#REF!,#REF!,#REF!,#REF!,#REF!,#REF!,#REF!,#REF!</definedName>
    <definedName function="false" hidden="true" name="__APW_RESTORE_DATA630__" vbProcedure="false">#REF!,#REF!,#REF!,#REF!,#REF!,#REF!,#REF!,#REF!,#REF!,#REF!,#REF!,#REF!,#REF!,#REF!,#REF!</definedName>
    <definedName function="false" hidden="true" name="__APW_RESTORE_DATA631__" vbProcedure="false">#REF!,#REF!,#REF!,#REF!,#REF!,#REF!,#REF!,#REF!,#REF!,#REF!,#REF!,#REF!,#REF!,#REF!,#REF!</definedName>
    <definedName function="false" hidden="true" name="__APW_RESTORE_DATA632__" vbProcedure="false">#REF!,#REF!,#REF!,#REF!,#REF!,#REF!,#REF!,#REF!,#REF!,#REF!,#REF!,#REF!,#REF!,#REF!,#REF!</definedName>
    <definedName function="false" hidden="true" name="__APW_RESTORE_DATA633__" vbProcedure="false">#REF!,#REF!,#REF!,#REF!,#REF!,#REF!,#REF!,#REF!,#REF!,#REF!,#REF!,#REF!,#REF!,#REF!,#REF!</definedName>
    <definedName function="false" hidden="true" name="__APW_RESTORE_DATA634__" vbProcedure="false">#REF!,#REF!,#REF!,#REF!,#REF!,#REF!,#REF!,#REF!,#REF!,#REF!,#REF!,#REF!,#REF!,#REF!,#REF!</definedName>
    <definedName function="false" hidden="true" name="__APW_RESTORE_DATA635__" vbProcedure="false">#REF!,#REF!,#REF!,#REF!,#REF!,#REF!,#REF!,#REF!,#REF!,#REF!,#REF!,#REF!,#REF!,#REF!,#REF!</definedName>
    <definedName function="false" hidden="true" name="__APW_RESTORE_DATA636__" vbProcedure="false">#REF!,#REF!,#REF!,#REF!,#REF!,#REF!,#REF!,#REF!,#REF!,#REF!,#REF!,#REF!,#REF!,#REF!,#REF!</definedName>
    <definedName function="false" hidden="true" name="__APW_RESTORE_DATA637__" vbProcedure="false">#REF!,#REF!,#REF!,#REF!,#REF!,#REF!,#REF!,#REF!,#REF!,#REF!,#REF!,#REF!,#REF!,#REF!,#REF!</definedName>
    <definedName function="false" hidden="true" name="__APW_RESTORE_DATA638__" vbProcedure="false">#REF!,#REF!,#REF!,#REF!,#REF!,#REF!,#REF!,#REF!,#REF!,#REF!,#REF!,#REF!,#REF!,#REF!,#REF!</definedName>
    <definedName function="false" hidden="true" name="__APW_RESTORE_DATA639__" vbProcedure="false">#REF!,#REF!</definedName>
    <definedName function="false" hidden="true" name="__APW_RESTORE_DATA63__" vbProcedure="false">#REF!,#REF!,#REF!,#REF!,#REF!,#REF!,#REF!,#REF!,#REF!,#REF!,#REF!,#REF!,#REF!,#REF!,#REF!</definedName>
    <definedName function="false" hidden="true" name="__APW_RESTORE_DATA640__" vbProcedure="false">#REF!,#REF!,#REF!,#REF!,#REF!,#REF!,#REF!,#REF!,#REF!,#REF!,#REF!,#REF!,#REF!,#REF!,#REF!</definedName>
    <definedName function="false" hidden="true" name="__APW_RESTORE_DATA641__" vbProcedure="false">#REF!,#REF!,#REF!,#REF!,#REF!,#REF!,#REF!,#REF!,#REF!,#REF!,#REF!,#REF!,#REF!,#REF!,#REF!</definedName>
    <definedName function="false" hidden="true" name="__APW_RESTORE_DATA642__" vbProcedure="false">#REF!,#REF!,#REF!,#REF!,#REF!,#REF!,#REF!,#REF!,#REF!,#REF!,#REF!,#REF!,#REF!,#REF!,#REF!</definedName>
    <definedName function="false" hidden="true" name="__APW_RESTORE_DATA643__" vbProcedure="false">#REF!,#REF!,#REF!,#REF!,#REF!,#REF!,#REF!,#REF!,#REF!,#REF!,#REF!,#REF!,#REF!,#REF!,#REF!</definedName>
    <definedName function="false" hidden="true" name="__APW_RESTORE_DATA644__" vbProcedure="false">#REF!,#REF!</definedName>
    <definedName function="false" hidden="true" name="__APW_RESTORE_DATA645__" vbProcedure="false">#REF!,#REF!,#REF!,#REF!,#REF!,#REF!,#REF!,#REF!,#REF!,#REF!,#REF!,#REF!,#REF!,#REF!,#REF!</definedName>
    <definedName function="false" hidden="true" name="__APW_RESTORE_DATA646__" vbProcedure="false">#REF!,#REF!,#REF!,#REF!,#REF!,#REF!</definedName>
    <definedName function="false" hidden="true" name="__APW_RESTORE_DATA647__" vbProcedure="false">#REF!,#REF!,#REF!,#REF!,#REF!,#REF!,#REF!,#REF!,#REF!,#REF!,#REF!,#REF!,#REF!,#REF!,#REF!,#REF!</definedName>
    <definedName function="false" hidden="true" name="__APW_RESTORE_DATA648__" vbProcedure="false">#REF!,#REF!,#REF!,#REF!,#REF!,#REF!,#REF!,#REF!,#REF!,#REF!,#REF!,#REF!,#REF!,#REF!,#REF!,#REF!</definedName>
    <definedName function="false" hidden="true" name="__APW_RESTORE_DATA649__" vbProcedure="false">#REF!,#REF!</definedName>
    <definedName function="false" hidden="true" name="__APW_RESTORE_DATA64__" vbProcedure="false">#REF!,#REF!,#REF!,#REF!,#REF!,#REF!,#REF!,#REF!,#REF!,#REF!,#REF!,#REF!,#REF!,#REF!,#REF!</definedName>
    <definedName function="false" hidden="true" name="__APW_RESTORE_DATA650__" vbProcedure="false">#REF!,#REF!,#REF!,#REF!,#REF!,#REF!,#REF!,#REF!,#REF!,#REF!,#REF!,#REF!,#REF!,#REF!,#REF!,#REF!</definedName>
    <definedName function="false" hidden="true" name="__APW_RESTORE_DATA651__" vbProcedure="false">#REF!,#REF!,#REF!,#REF!,#REF!,#REF!,#REF!,#REF!,#REF!,#REF!,#REF!,#REF!,#REF!,#REF!,#REF!,#REF!</definedName>
    <definedName function="false" hidden="true" name="__APW_RESTORE_DATA652__" vbProcedure="false">#REF!,#REF!,#REF!,#REF!,#REF!,#REF!,#REF!,#REF!,#REF!,#REF!,#REF!,#REF!,#REF!,#REF!,#REF!,#REF!</definedName>
    <definedName function="false" hidden="true" name="__APW_RESTORE_DATA653__" vbProcedure="false">#REF!,#REF!,#REF!,#REF!,#REF!,#REF!,#REF!,#REF!,#REF!,#REF!,#REF!,#REF!,#REF!,#REF!,#REF!</definedName>
    <definedName function="false" hidden="true" name="__APW_RESTORE_DATA654__" vbProcedure="false">#REF!,#REF!,#REF!,#REF!,#REF!,#REF!,#REF!,#REF!,#REF!,#REF!,#REF!,#REF!,#REF!,#REF!,#REF!</definedName>
    <definedName function="false" hidden="true" name="__APW_RESTORE_DATA655__" vbProcedure="false">#REF!,#REF!,#REF!,#REF!,#REF!,#REF!,#REF!,#REF!,#REF!,#REF!,#REF!,#REF!,#REF!,#REF!,#REF!</definedName>
    <definedName function="false" hidden="true" name="__APW_RESTORE_DATA656__" vbProcedure="false">#REF!,#REF!,#REF!,#REF!,#REF!,#REF!,#REF!,#REF!,#REF!,#REF!,#REF!,#REF!,#REF!,#REF!,#REF!</definedName>
    <definedName function="false" hidden="true" name="__APW_RESTORE_DATA657__" vbProcedure="false">#REF!,#REF!,#REF!,#REF!,#REF!,#REF!,#REF!,#REF!,#REF!,#REF!,#REF!,#REF!,#REF!,#REF!,#REF!</definedName>
    <definedName function="false" hidden="true" name="__APW_RESTORE_DATA658__" vbProcedure="false">#REF!,#REF!,#REF!,#REF!,#REF!,#REF!,#REF!,#REF!,#REF!,#REF!,#REF!,#REF!,#REF!,#REF!,#REF!</definedName>
    <definedName function="false" hidden="true" name="__APW_RESTORE_DATA659__" vbProcedure="false">#REF!,#REF!,#REF!,#REF!,#REF!,#REF!,#REF!,#REF!,#REF!,#REF!,#REF!,#REF!,#REF!,#REF!,#REF!</definedName>
    <definedName function="false" hidden="true" name="__APW_RESTORE_DATA65__" vbProcedure="false">#REF!,#REF!,#REF!,#REF!,#REF!,#REF!,#REF!,#REF!,#REF!,#REF!,#REF!,#REF!,#REF!,#REF!,#REF!</definedName>
    <definedName function="false" hidden="true" name="__APW_RESTORE_DATA660__" vbProcedure="false">#REF!,#REF!,#REF!,#REF!,#REF!,#REF!,#REF!,#REF!,#REF!,#REF!,#REF!,#REF!,#REF!,#REF!,#REF!</definedName>
    <definedName function="false" hidden="true" name="__APW_RESTORE_DATA661__" vbProcedure="false">#REF!,#REF!,#REF!,#REF!,#REF!,#REF!,#REF!,#REF!,#REF!,#REF!,#REF!,#REF!,#REF!,#REF!,#REF!</definedName>
    <definedName function="false" hidden="true" name="__APW_RESTORE_DATA662__" vbProcedure="false">#REF!,#REF!,#REF!,#REF!,#REF!,#REF!,#REF!,#REF!,#REF!,#REF!,#REF!,#REF!,#REF!,#REF!,#REF!</definedName>
    <definedName function="false" hidden="true" name="__APW_RESTORE_DATA663__" vbProcedure="false">#REF!,#REF!,#REF!,#REF!,#REF!,#REF!,#REF!,#REF!,#REF!,#REF!,#REF!,#REF!,#REF!,#REF!,#REF!</definedName>
    <definedName function="false" hidden="true" name="__APW_RESTORE_DATA664__" vbProcedure="false">#REF!,#REF!</definedName>
    <definedName function="false" hidden="true" name="__APW_RESTORE_DATA665__" vbProcedure="false">#REF!,#REF!</definedName>
    <definedName function="false" hidden="true" name="__APW_RESTORE_DATA666__" vbProcedure="false">#REF!,#REF!,#REF!,#REF!,#REF!,#REF!,#REF!,#REF!,#REF!,#REF!,#REF!,#REF!,#REF!,#REF!,#REF!</definedName>
    <definedName function="false" hidden="true" name="__APW_RESTORE_DATA667__" vbProcedure="false">#REF!,#REF!,#REF!,#REF!,#REF!,#REF!,#REF!,#REF!,#REF!,#REF!,#REF!,#REF!,#REF!,#REF!,#REF!</definedName>
    <definedName function="false" hidden="true" name="__APW_RESTORE_DATA668__" vbProcedure="false">#REF!,#REF!,#REF!,#REF!,#REF!,#REF!,#REF!,#REF!,#REF!,#REF!,#REF!,#REF!,#REF!,#REF!,#REF!</definedName>
    <definedName function="false" hidden="true" name="__APW_RESTORE_DATA669__" vbProcedure="false">#REF!,#REF!,#REF!,#REF!,#REF!,#REF!,#REF!,#REF!,#REF!,#REF!,#REF!,#REF!,#REF!,#REF!,#REF!</definedName>
    <definedName function="false" hidden="true" name="__APW_RESTORE_DATA66__" vbProcedure="false">#REF!,#REF!,#REF!,#REF!,#REF!,#REF!,#REF!,#REF!,#REF!,#REF!,#REF!,#REF!,#REF!,#REF!,#REF!</definedName>
    <definedName function="false" hidden="true" name="__APW_RESTORE_DATA670__" vbProcedure="false">#REF!,#REF!,#REF!,#REF!,#REF!,#REF!,#REF!,#REF!,#REF!,#REF!,#REF!,#REF!,#REF!,#REF!,#REF!</definedName>
    <definedName function="false" hidden="true" name="__APW_RESTORE_DATA671__" vbProcedure="false">#REF!,#REF!,#REF!,#REF!,#REF!,#REF!,#REF!,#REF!,#REF!,#REF!,#REF!,#REF!,#REF!,#REF!,#REF!</definedName>
    <definedName function="false" hidden="true" name="__APW_RESTORE_DATA672__" vbProcedure="false">#REF!,#REF!,#REF!,#REF!,#REF!,#REF!,#REF!,#REF!,#REF!,#REF!,#REF!,#REF!,#REF!,#REF!,#REF!</definedName>
    <definedName function="false" hidden="true" name="__APW_RESTORE_DATA673__" vbProcedure="false">#REF!,#REF!,#REF!,#REF!,#REF!,#REF!,#REF!,#REF!,#REF!,#REF!,#REF!,#REF!,#REF!,#REF!,#REF!</definedName>
    <definedName function="false" hidden="true" name="__APW_RESTORE_DATA674__" vbProcedure="false">#REF!,#REF!,#REF!,#REF!,#REF!,#REF!,#REF!,#REF!,#REF!,#REF!,#REF!,#REF!,#REF!,#REF!,#REF!</definedName>
    <definedName function="false" hidden="true" name="__APW_RESTORE_DATA675__" vbProcedure="false">#REF!,#REF!,#REF!,#REF!,#REF!,#REF!,#REF!,#REF!,#REF!,#REF!,#REF!,#REF!,#REF!,#REF!,#REF!</definedName>
    <definedName function="false" hidden="true" name="__APW_RESTORE_DATA676__" vbProcedure="false">#REF!,#REF!,#REF!,#REF!,#REF!,#REF!,#REF!,#REF!,#REF!,#REF!,#REF!,#REF!,#REF!,#REF!,#REF!</definedName>
    <definedName function="false" hidden="true" name="__APW_RESTORE_DATA677__" vbProcedure="false">#REF!,#REF!,#REF!,#REF!,#REF!,#REF!,#REF!,#REF!,#REF!,#REF!,#REF!,#REF!,#REF!,#REF!,#REF!</definedName>
    <definedName function="false" hidden="true" name="__APW_RESTORE_DATA678__" vbProcedure="false">#REF!,#REF!,#REF!,#REF!,#REF!,#REF!,#REF!,#REF!,#REF!,#REF!,#REF!,#REF!,#REF!,#REF!,#REF!</definedName>
    <definedName function="false" hidden="true" name="__APW_RESTORE_DATA679__" vbProcedure="false">#REF!,#REF!,#REF!,#REF!,#REF!,#REF!,#REF!,#REF!,#REF!,#REF!,#REF!,#REF!,#REF!,#REF!,#REF!</definedName>
    <definedName function="false" hidden="true" name="__APW_RESTORE_DATA67__" vbProcedure="false">#REF!,#REF!,#REF!,#REF!,#REF!,#REF!,#REF!,#REF!,#REF!,#REF!,#REF!,#REF!,#REF!,#REF!,#REF!</definedName>
    <definedName function="false" hidden="true" name="__APW_RESTORE_DATA680__" vbProcedure="false">#REF!,#REF!,#REF!,#REF!,#REF!,#REF!,#REF!,#REF!,#REF!,#REF!,#REF!,#REF!,#REF!,#REF!,#REF!</definedName>
    <definedName function="false" hidden="true" name="__APW_RESTORE_DATA681__" vbProcedure="false">#REF!,#REF!,#REF!,#REF!,#REF!,#REF!</definedName>
    <definedName function="false" hidden="true" name="__APW_RESTORE_DATA682__" vbProcedure="false">#REF!,#REF!,#REF!,#REF!,#REF!,#REF!,#REF!,#REF!,#REF!,#REF!,#REF!,#REF!,#REF!,#REF!,#REF!,#REF!</definedName>
    <definedName function="false" hidden="true" name="__APW_RESTORE_DATA683__" vbProcedure="false">#REF!,#REF!,#REF!,#REF!,#REF!,#REF!,#REF!,#REF!,#REF!,#REF!,#REF!,#REF!,#REF!,#REF!,#REF!,#REF!</definedName>
    <definedName function="false" hidden="true" name="__APW_RESTORE_DATA684__" vbProcedure="false">#REF!,#REF!,#REF!,#REF!,#REF!,#REF!,#REF!,#REF!,#REF!,#REF!,#REF!,#REF!,#REF!,#REF!,#REF!,#REF!</definedName>
    <definedName function="false" hidden="true" name="__APW_RESTORE_DATA685__" vbProcedure="false">#REF!,#REF!,#REF!,#REF!,#REF!,#REF!,#REF!,#REF!,#REF!,#REF!,#REF!,#REF!,#REF!,#REF!,#REF!,#REF!</definedName>
    <definedName function="false" hidden="true" name="__APW_RESTORE_DATA686__" vbProcedure="false">#REF!,#REF!,#REF!,#REF!,#REF!,#REF!,#REF!,#REF!,#REF!,#REF!,#REF!,#REF!,#REF!,#REF!,#REF!,#REF!</definedName>
    <definedName function="false" hidden="true" name="__APW_RESTORE_DATA687__" vbProcedure="false">#REF!,#REF!,#REF!,#REF!,#REF!,#REF!,#REF!,#REF!,#REF!,#REF!,#REF!,#REF!,#REF!,#REF!,#REF!,#REF!</definedName>
    <definedName function="false" hidden="true" name="__APW_RESTORE_DATA688__" vbProcedure="false">#REF!,#REF!,#REF!,#REF!,#REF!,#REF!,#REF!,#REF!,#REF!,#REF!,#REF!,#REF!,#REF!,#REF!,#REF!</definedName>
    <definedName function="false" hidden="true" name="__APW_RESTORE_DATA689__" vbProcedure="false">#REF!,#REF!,#REF!,#REF!,#REF!,#REF!,#REF!,#REF!,#REF!,#REF!,#REF!,#REF!,#REF!,#REF!,#REF!</definedName>
    <definedName function="false" hidden="true" name="__APW_RESTORE_DATA68__" vbProcedure="false">#REF!,#REF!,#REF!,#REF!,#REF!,#REF!,#REF!,#REF!,#REF!,#REF!,#REF!,#REF!,#REF!,#REF!,#REF!</definedName>
    <definedName function="false" hidden="true" name="__APW_RESTORE_DATA690__" vbProcedure="false">#REF!,#REF!,#REF!,#REF!,#REF!,#REF!,#REF!,#REF!,#REF!,#REF!,#REF!,#REF!,#REF!,#REF!,#REF!</definedName>
    <definedName function="false" hidden="true" name="__APW_RESTORE_DATA691__" vbProcedure="false">#REF!,#REF!,#REF!,#REF!,#REF!,#REF!,#REF!,#REF!,#REF!,#REF!,#REF!,#REF!,#REF!,#REF!,#REF!</definedName>
    <definedName function="false" hidden="true" name="__APW_RESTORE_DATA692__" vbProcedure="false">#REF!,#REF!,#REF!,#REF!,#REF!,#REF!,#REF!,#REF!,#REF!,#REF!,#REF!,#REF!,#REF!,#REF!,#REF!</definedName>
    <definedName function="false" hidden="true" name="__APW_RESTORE_DATA693__" vbProcedure="false">#REF!,#REF!,#REF!,#REF!,#REF!,#REF!,#REF!,#REF!,#REF!,#REF!,#REF!,#REF!,#REF!,#REF!,#REF!</definedName>
    <definedName function="false" hidden="true" name="__APW_RESTORE_DATA694__" vbProcedure="false">#REF!,#REF!,#REF!,#REF!,#REF!,#REF!,#REF!,#REF!,#REF!,#REF!,#REF!,#REF!,#REF!,#REF!,#REF!</definedName>
    <definedName function="false" hidden="true" name="__APW_RESTORE_DATA695__" vbProcedure="false">#REF!,#REF!,#REF!,#REF!,#REF!,#REF!,#REF!,#REF!,#REF!,#REF!,#REF!,#REF!,#REF!,#REF!,#REF!</definedName>
    <definedName function="false" hidden="true" name="__APW_RESTORE_DATA696__" vbProcedure="false">#REF!,#REF!,#REF!,#REF!,#REF!,#REF!,#REF!,#REF!,#REF!,#REF!,#REF!,#REF!,#REF!,#REF!,#REF!</definedName>
    <definedName function="false" hidden="true" name="__APW_RESTORE_DATA697__" vbProcedure="false">#REF!,#REF!,#REF!,#REF!,#REF!,#REF!,#REF!,#REF!,#REF!,#REF!,#REF!,#REF!,#REF!,#REF!,#REF!</definedName>
    <definedName function="false" hidden="true" name="__APW_RESTORE_DATA698__" vbProcedure="false">#REF!,#REF!,#REF!,#REF!,#REF!,#REF!,#REF!,#REF!,#REF!,#REF!,#REF!,#REF!,#REF!,#REF!,#REF!</definedName>
    <definedName function="false" hidden="true" name="__APW_RESTORE_DATA699__" vbProcedure="false">#REF!,#REF!,#REF!,#REF!,#REF!,#REF!,#REF!,#REF!,#REF!,#REF!,#REF!,#REF!,#REF!,#REF!,#REF!</definedName>
    <definedName function="false" hidden="true" name="__APW_RESTORE_DATA69__" vbProcedure="false">#REF!,#REF!,#REF!,#REF!,#REF!,#REF!,#REF!,#REF!,#REF!,#REF!,#REF!,#REF!,#REF!,#REF!,#REF!</definedName>
    <definedName function="false" hidden="true" name="__APW_RESTORE_DATA6__" vbProcedure="false">#REF!</definedName>
    <definedName function="false" hidden="true" name="__APW_RESTORE_DATA700__" vbProcedure="false">#REF!,#REF!,#REF!,#REF!,#REF!,#REF!,#REF!,#REF!,#REF!,#REF!,#REF!,#REF!,#REF!,#REF!,#REF!</definedName>
    <definedName function="false" hidden="true" name="__APW_RESTORE_DATA701__" vbProcedure="false">#REF!,#REF!,#REF!,#REF!,#REF!,#REF!,#REF!,#REF!,#REF!,#REF!,#REF!,#REF!,#REF!,#REF!,#REF!</definedName>
    <definedName function="false" hidden="true" name="__APW_RESTORE_DATA702__" vbProcedure="false">#REF!,#REF!,#REF!,#REF!,#REF!,#REF!,#REF!,#REF!,#REF!,#REF!,#REF!,#REF!,#REF!,#REF!,#REF!</definedName>
    <definedName function="false" hidden="true" name="__APW_RESTORE_DATA703__" vbProcedure="false">#REF!,#REF!,#REF!,#REF!,#REF!,#REF!,#REF!,#REF!,#REF!,#REF!,#REF!,#REF!,#REF!,#REF!,#REF!</definedName>
    <definedName function="false" hidden="true" name="__APW_RESTORE_DATA704__" vbProcedure="false">#REF!,#REF!,#REF!,#REF!,#REF!,#REF!,#REF!,#REF!,#REF!,#REF!,#REF!,#REF!,#REF!,#REF!,#REF!</definedName>
    <definedName function="false" hidden="true" name="__APW_RESTORE_DATA705__" vbProcedure="false">#REF!,#REF!,#REF!,#REF!,#REF!,#REF!,#REF!,#REF!,#REF!,#REF!,#REF!,#REF!,#REF!,#REF!,#REF!</definedName>
    <definedName function="false" hidden="true" name="__APW_RESTORE_DATA706__" vbProcedure="false">#REF!,#REF!,#REF!,#REF!,#REF!,#REF!,#REF!,#REF!,#REF!,#REF!,#REF!,#REF!,#REF!,#REF!,#REF!</definedName>
    <definedName function="false" hidden="true" name="__APW_RESTORE_DATA707__" vbProcedure="false">#REF!,#REF!,#REF!,#REF!,#REF!,#REF!,#REF!,#REF!,#REF!,#REF!,#REF!,#REF!,#REF!,#REF!,#REF!</definedName>
    <definedName function="false" hidden="true" name="__APW_RESTORE_DATA708__" vbProcedure="false">#REF!,#REF!,#REF!,#REF!,#REF!,#REF!,#REF!,#REF!,#REF!,#REF!,#REF!,#REF!,#REF!,#REF!,#REF!</definedName>
    <definedName function="false" hidden="true" name="__APW_RESTORE_DATA709__" vbProcedure="false">#REF!,#REF!,#REF!,#REF!,#REF!,#REF!,#REF!,#REF!,#REF!,#REF!,#REF!,#REF!,#REF!,#REF!,#REF!</definedName>
    <definedName function="false" hidden="true" name="__APW_RESTORE_DATA70__" vbProcedure="false">#REF!,#REF!,#REF!,#REF!,#REF!,#REF!,#REF!,#REF!,#REF!,#REF!,#REF!,#REF!,#REF!,#REF!,#REF!</definedName>
    <definedName function="false" hidden="true" name="__APW_RESTORE_DATA710__" vbProcedure="false">#REF!,#REF!,#REF!,#REF!,#REF!,#REF!,#REF!,#REF!,#REF!,#REF!,#REF!,#REF!,#REF!,#REF!,#REF!</definedName>
    <definedName function="false" hidden="true" name="__APW_RESTORE_DATA711__" vbProcedure="false">#REF!,#REF!,#REF!,#REF!,#REF!,#REF!,#REF!,#REF!,#REF!,#REF!,#REF!,#REF!,#REF!,#REF!,#REF!</definedName>
    <definedName function="false" hidden="true" name="__APW_RESTORE_DATA712__" vbProcedure="false">#REF!,#REF!,#REF!,#REF!,#REF!,#REF!,#REF!,#REF!,#REF!,#REF!,#REF!,#REF!,#REF!,#REF!,#REF!</definedName>
    <definedName function="false" hidden="true" name="__APW_RESTORE_DATA713__" vbProcedure="false">#REF!,#REF!,#REF!,#REF!,#REF!,#REF!,#REF!,#REF!,#REF!,#REF!,#REF!,#REF!,#REF!,#REF!,#REF!</definedName>
    <definedName function="false" hidden="true" name="__APW_RESTORE_DATA714__" vbProcedure="false">#REF!,#REF!,#REF!,#REF!,#REF!,#REF!,#REF!,#REF!,#REF!,#REF!,#REF!,#REF!,#REF!,#REF!,#REF!</definedName>
    <definedName function="false" hidden="true" name="__APW_RESTORE_DATA715__" vbProcedure="false">#REF!,#REF!,#REF!,#REF!,#REF!,#REF!,#REF!,#REF!,#REF!,#REF!,#REF!,#REF!,#REF!,#REF!,#REF!</definedName>
    <definedName function="false" hidden="true" name="__APW_RESTORE_DATA716__" vbProcedure="false">#REF!,#REF!,#REF!,#REF!,#REF!,#REF!</definedName>
    <definedName function="false" hidden="true" name="__APW_RESTORE_DATA717__" vbProcedure="false">#REF!</definedName>
    <definedName function="false" hidden="true" name="__APW_RESTORE_DATA718__" vbProcedure="false">#REF!</definedName>
    <definedName function="false" hidden="true" name="__APW_RESTORE_DATA719__" vbProcedure="false">#REF!,#REF!</definedName>
    <definedName function="false" hidden="true" name="__APW_RESTORE_DATA71__" vbProcedure="false">#REF!,#REF!,#REF!,#REF!,#REF!,#REF!,#REF!,#REF!,#REF!,#REF!,#REF!,#REF!,#REF!,#REF!,#REF!</definedName>
    <definedName function="false" hidden="true" name="__APW_RESTORE_DATA720__" vbProcedure="false">#REF!</definedName>
    <definedName function="false" hidden="true" name="__APW_RESTORE_DATA721__" vbProcedure="false">#REF!,#REF!,#REF!,#REF!,#REF!,#REF!,#REF!,#REF!,#REF!,#REF!,#REF!,#REF!,#REF!,#REF!,#REF!,#REF!</definedName>
    <definedName function="false" hidden="true" name="__APW_RESTORE_DATA722__" vbProcedure="false">#REF!,#REF!,#REF!,#REF!,#REF!,#REF!,#REF!,#REF!,#REF!,#REF!,#REF!,#REF!,#REF!,#REF!,#REF!,#REF!</definedName>
    <definedName function="false" hidden="true" name="__APW_RESTORE_DATA723__" vbProcedure="false">#REF!,#REF!,#REF!,#REF!,#REF!,#REF!,#REF!,#REF!,#REF!,#REF!,#REF!,#REF!,#REF!,#REF!,#REF!,#REF!</definedName>
    <definedName function="false" hidden="true" name="__APW_RESTORE_DATA724__" vbProcedure="false">#REF!,#REF!,#REF!,#REF!,#REF!,#REF!,#REF!,#REF!,#REF!,#REF!,#REF!,#REF!,#REF!,#REF!,#REF!,#REF!</definedName>
    <definedName function="false" hidden="true" name="__APW_RESTORE_DATA725__" vbProcedure="false">#REF!,#REF!,#REF!,#REF!,#REF!,#REF!,#REF!,#REF!,#REF!,#REF!,#REF!,#REF!,#REF!,#REF!,#REF!,#REF!</definedName>
    <definedName function="false" hidden="true" name="__APW_RESTORE_DATA726__" vbProcedure="false">#REF!,#REF!,#REF!,#REF!,#REF!,#REF!,#REF!,#REF!,#REF!,#REF!,#REF!,#REF!,#REF!,#REF!,#REF!,#REF!</definedName>
    <definedName function="false" hidden="true" name="__APW_RESTORE_DATA727__" vbProcedure="false">#REF!,#REF!,#REF!,#REF!,#REF!,#REF!,#REF!,#REF!,#REF!,#REF!,#REF!,#REF!,#REF!,#REF!,#REF!</definedName>
    <definedName function="false" hidden="true" name="__APW_RESTORE_DATA728__" vbProcedure="false">#REF!,#REF!,#REF!,#REF!,#REF!,#REF!,#REF!,#REF!,#REF!,#REF!,#REF!,#REF!,#REF!,#REF!,#REF!</definedName>
    <definedName function="false" hidden="true" name="__APW_RESTORE_DATA729__" vbProcedure="false">#REF!,#REF!,#REF!,#REF!,#REF!,#REF!,#REF!,#REF!,#REF!,#REF!,#REF!,#REF!,#REF!,#REF!,#REF!</definedName>
    <definedName function="false" hidden="true" name="__APW_RESTORE_DATA72__" vbProcedure="false">#REF!,#REF!,#REF!,#REF!,#REF!,#REF!,#REF!,#REF!,#REF!,#REF!,#REF!,#REF!,#REF!,#REF!,#REF!</definedName>
    <definedName function="false" hidden="true" name="__APW_RESTORE_DATA730__" vbProcedure="false">#REF!,#REF!,#REF!,#REF!,#REF!,#REF!,#REF!,#REF!,#REF!,#REF!,#REF!,#REF!,#REF!,#REF!,#REF!</definedName>
    <definedName function="false" hidden="true" name="__APW_RESTORE_DATA731__" vbProcedure="false">#REF!,#REF!,#REF!,#REF!,#REF!,#REF!,#REF!,#REF!,#REF!,#REF!,#REF!,#REF!,#REF!,#REF!,#REF!</definedName>
    <definedName function="false" hidden="true" name="__APW_RESTORE_DATA732__" vbProcedure="false">#REF!,#REF!,#REF!,#REF!,#REF!,#REF!,#REF!,#REF!,#REF!,#REF!,#REF!,#REF!,#REF!,#REF!,#REF!</definedName>
    <definedName function="false" hidden="true" name="__APW_RESTORE_DATA733__" vbProcedure="false">#REF!,#REF!,#REF!,#REF!,#REF!,#REF!,#REF!,#REF!,#REF!,#REF!,#REF!,#REF!,#REF!,#REF!,#REF!</definedName>
    <definedName function="false" hidden="true" name="__APW_RESTORE_DATA734__" vbProcedure="false">#REF!,#REF!,#REF!,#REF!,#REF!,#REF!,#REF!,#REF!,#REF!,#REF!,#REF!,#REF!,#REF!,#REF!,#REF!</definedName>
    <definedName function="false" hidden="true" name="__APW_RESTORE_DATA735__" vbProcedure="false">#REF!,#REF!,#REF!,#REF!,#REF!,#REF!,#REF!,#REF!,#REF!,#REF!,#REF!,#REF!,#REF!,#REF!,#REF!</definedName>
    <definedName function="false" hidden="true" name="__APW_RESTORE_DATA736__" vbProcedure="false">#REF!,#REF!,#REF!,#REF!,#REF!,#REF!,#REF!,#REF!,#REF!,#REF!,#REF!,#REF!,#REF!,#REF!,#REF!</definedName>
    <definedName function="false" hidden="true" name="__APW_RESTORE_DATA737__" vbProcedure="false">#REF!,#REF!,#REF!,#REF!,#REF!,#REF!,#REF!,#REF!,#REF!,#REF!,#REF!,#REF!,#REF!,#REF!,#REF!</definedName>
    <definedName function="false" hidden="true" name="__APW_RESTORE_DATA738__" vbProcedure="false">#REF!,#REF!,#REF!,#REF!,#REF!,#REF!,#REF!,#REF!,#REF!,#REF!,#REF!,#REF!,#REF!,#REF!,#REF!</definedName>
    <definedName function="false" hidden="true" name="__APW_RESTORE_DATA739__" vbProcedure="false">#REF!,#REF!,#REF!,#REF!,#REF!,#REF!,#REF!,#REF!,#REF!,#REF!,#REF!,#REF!,#REF!,#REF!,#REF!</definedName>
    <definedName function="false" hidden="true" name="__APW_RESTORE_DATA73__" vbProcedure="false">#REF!,#REF!,#REF!,#REF!,#REF!,#REF!,#REF!,#REF!,#REF!,#REF!,#REF!,#REF!,#REF!,#REF!,#REF!</definedName>
    <definedName function="false" hidden="true" name="__APW_RESTORE_DATA740__" vbProcedure="false">#REF!,#REF!,#REF!,#REF!,#REF!,#REF!,#REF!,#REF!,#REF!,#REF!,#REF!,#REF!,#REF!,#REF!,#REF!</definedName>
    <definedName function="false" hidden="true" name="__APW_RESTORE_DATA741__" vbProcedure="false">#REF!,#REF!,#REF!,#REF!,#REF!,#REF!,#REF!,#REF!,#REF!,#REF!,#REF!,#REF!,#REF!,#REF!,#REF!</definedName>
    <definedName function="false" hidden="true" name="__APW_RESTORE_DATA742__" vbProcedure="false">#REF!,#REF!,#REF!,#REF!,#REF!,#REF!,#REF!,#REF!,#REF!,#REF!,#REF!,#REF!,#REF!,#REF!,#REF!</definedName>
    <definedName function="false" hidden="true" name="__APW_RESTORE_DATA743__" vbProcedure="false">#REF!,#REF!,#REF!,#REF!,#REF!,#REF!,#REF!,#REF!,#REF!,#REF!,#REF!,#REF!,#REF!,#REF!,#REF!</definedName>
    <definedName function="false" hidden="true" name="__APW_RESTORE_DATA744__" vbProcedure="false">#REF!,#REF!,#REF!,#REF!,#REF!,#REF!,#REF!,#REF!,#REF!,#REF!,#REF!,#REF!,#REF!,#REF!,#REF!</definedName>
    <definedName function="false" hidden="true" name="__APW_RESTORE_DATA745__" vbProcedure="false">#REF!,#REF!,#REF!,#REF!,#REF!,#REF!,#REF!,#REF!,#REF!,#REF!,#REF!,#REF!,#REF!,#REF!,#REF!</definedName>
    <definedName function="false" hidden="true" name="__APW_RESTORE_DATA746__" vbProcedure="false">#REF!,#REF!,#REF!,#REF!,#REF!,#REF!,#REF!,#REF!,#REF!,#REF!,#REF!,#REF!,#REF!,#REF!,#REF!</definedName>
    <definedName function="false" hidden="true" name="__APW_RESTORE_DATA747__" vbProcedure="false">#REF!,#REF!,#REF!,#REF!,#REF!,#REF!,#REF!,#REF!,#REF!,#REF!,#REF!,#REF!,#REF!,#REF!,#REF!</definedName>
    <definedName function="false" hidden="true" name="__APW_RESTORE_DATA748__" vbProcedure="false">#REF!,#REF!,#REF!,#REF!,#REF!,#REF!,#REF!,#REF!,#REF!,#REF!,#REF!,#REF!,#REF!,#REF!,#REF!</definedName>
    <definedName function="false" hidden="true" name="__APW_RESTORE_DATA749__" vbProcedure="false">#REF!,#REF!,#REF!,#REF!,#REF!,#REF!,#REF!,#REF!,#REF!,#REF!,#REF!,#REF!,#REF!,#REF!,#REF!</definedName>
    <definedName function="false" hidden="true" name="__APW_RESTORE_DATA74__" vbProcedure="false">#REF!,#REF!,#REF!,#REF!,#REF!,#REF!,#REF!</definedName>
    <definedName function="false" hidden="true" name="__APW_RESTORE_DATA750__" vbProcedure="false">#REF!,#REF!,#REF!,#REF!,#REF!,#REF!,#REF!,#REF!,#REF!,#REF!,#REF!,#REF!,#REF!,#REF!,#REF!</definedName>
    <definedName function="false" hidden="true" name="__APW_RESTORE_DATA751__" vbProcedure="false">#REF!,#REF!,#REF!,#REF!,#REF!,#REF!,#REF!,#REF!,#REF!,#REF!,#REF!,#REF!,#REF!,#REF!,#REF!</definedName>
    <definedName function="false" hidden="true" name="__APW_RESTORE_DATA752__" vbProcedure="false">#REF!,#REF!,#REF!,#REF!,#REF!,#REF!,#REF!,#REF!,#REF!,#REF!,#REF!,#REF!,#REF!,#REF!,#REF!</definedName>
    <definedName function="false" hidden="true" name="__APW_RESTORE_DATA753__" vbProcedure="false">#REF!,#REF!,#REF!,#REF!,#REF!,#REF!,#REF!,#REF!,#REF!,#REF!,#REF!,#REF!,#REF!,#REF!,#REF!</definedName>
    <definedName function="false" hidden="true" name="__APW_RESTORE_DATA754__" vbProcedure="false">#REF!,#REF!,#REF!,#REF!,#REF!,#REF!,#REF!,#REF!,#REF!,#REF!,#REF!,#REF!,#REF!,#REF!,#REF!</definedName>
    <definedName function="false" hidden="true" name="__APW_RESTORE_DATA755__" vbProcedure="false">#REF!,#REF!,#REF!,#REF!,#REF!,#REF!</definedName>
    <definedName function="false" hidden="true" name="__APW_RESTORE_DATA756__" vbProcedure="false">#REF!,#REF!,#REF!,#REF!,#REF!,#REF!,#REF!,#REF!,#REF!,#REF!,#REF!,#REF!,#REF!,#REF!,#REF!,#REF!</definedName>
    <definedName function="false" hidden="true" name="__APW_RESTORE_DATA757__" vbProcedure="false">#REF!,#REF!,#REF!,#REF!,#REF!,#REF!,#REF!,#REF!,#REF!,#REF!,#REF!,#REF!,#REF!,#REF!,#REF!,#REF!</definedName>
    <definedName function="false" hidden="true" name="__APW_RESTORE_DATA758__" vbProcedure="false">#REF!,#REF!,#REF!,#REF!,#REF!,#REF!,#REF!,#REF!,#REF!,#REF!,#REF!,#REF!,#REF!,#REF!,#REF!,#REF!</definedName>
    <definedName function="false" hidden="true" name="__APW_RESTORE_DATA759__" vbProcedure="false">#REF!,#REF!,#REF!,#REF!,#REF!,#REF!,#REF!,#REF!,#REF!,#REF!,#REF!,#REF!,#REF!,#REF!,#REF!,#REF!</definedName>
    <definedName function="false" hidden="true" name="__APW_RESTORE_DATA75__" vbProcedure="false">#REF!,#REF!,#REF!,#REF!,#REF!,#REF!,#REF!,#REF!,#REF!,#REF!,#REF!,#REF!,#REF!,#REF!,#REF!,#REF!</definedName>
    <definedName function="false" hidden="true" name="__APW_RESTORE_DATA760__" vbProcedure="false">#REF!,#REF!,#REF!,#REF!,#REF!,#REF!,#REF!,#REF!,#REF!,#REF!,#REF!,#REF!,#REF!,#REF!,#REF!,#REF!</definedName>
    <definedName function="false" hidden="true" name="__APW_RESTORE_DATA761__" vbProcedure="false">#REF!,#REF!,#REF!,#REF!,#REF!,#REF!,#REF!,#REF!,#REF!,#REF!,#REF!,#REF!,#REF!,#REF!,#REF!,#REF!</definedName>
    <definedName function="false" hidden="true" name="__APW_RESTORE_DATA762__" vbProcedure="false">#REF!,#REF!,#REF!,#REF!,#REF!,#REF!,#REF!,#REF!,#REF!,#REF!,#REF!,#REF!,#REF!,#REF!,#REF!</definedName>
    <definedName function="false" hidden="true" name="__APW_RESTORE_DATA763__" vbProcedure="false">#REF!,#REF!,#REF!,#REF!,#REF!,#REF!,#REF!,#REF!,#REF!,#REF!,#REF!,#REF!,#REF!,#REF!,#REF!</definedName>
    <definedName function="false" hidden="true" name="__APW_RESTORE_DATA764__" vbProcedure="false">#REF!,#REF!,#REF!,#REF!,#REF!,#REF!,#REF!,#REF!,#REF!,#REF!,#REF!,#REF!,#REF!,#REF!,#REF!</definedName>
    <definedName function="false" hidden="true" name="__APW_RESTORE_DATA765__" vbProcedure="false">#REF!,#REF!,#REF!,#REF!,#REF!,#REF!,#REF!,#REF!,#REF!,#REF!,#REF!,#REF!,#REF!,#REF!,#REF!</definedName>
    <definedName function="false" hidden="true" name="__APW_RESTORE_DATA766__" vbProcedure="false">#REF!,#REF!,#REF!,#REF!,#REF!,#REF!,#REF!,#REF!,#REF!,#REF!,#REF!,#REF!,#REF!,#REF!,#REF!</definedName>
    <definedName function="false" hidden="true" name="__APW_RESTORE_DATA767__" vbProcedure="false">#REF!,#REF!,#REF!,#REF!,#REF!,#REF!,#REF!,#REF!,#REF!,#REF!,#REF!,#REF!,#REF!,#REF!,#REF!</definedName>
    <definedName function="false" hidden="true" name="__APW_RESTORE_DATA768__" vbProcedure="false">#REF!,#REF!,#REF!,#REF!,#REF!,#REF!,#REF!,#REF!,#REF!,#REF!,#REF!,#REF!,#REF!,#REF!,#REF!</definedName>
    <definedName function="false" hidden="true" name="__APW_RESTORE_DATA769__" vbProcedure="false">#REF!,#REF!,#REF!,#REF!,#REF!,#REF!,#REF!,#REF!,#REF!,#REF!,#REF!,#REF!,#REF!,#REF!,#REF!</definedName>
    <definedName function="false" hidden="true" name="__APW_RESTORE_DATA76__" vbProcedure="false">#REF!,#REF!</definedName>
    <definedName function="false" hidden="true" name="__APW_RESTORE_DATA770__" vbProcedure="false">#REF!,#REF!,#REF!,#REF!,#REF!,#REF!,#REF!,#REF!,#REF!,#REF!,#REF!,#REF!,#REF!,#REF!,#REF!</definedName>
    <definedName function="false" hidden="true" name="__APW_RESTORE_DATA771__" vbProcedure="false">#REF!,#REF!,#REF!,#REF!,#REF!,#REF!,#REF!,#REF!,#REF!,#REF!,#REF!,#REF!,#REF!,#REF!,#REF!</definedName>
    <definedName function="false" hidden="true" name="__APW_RESTORE_DATA772__" vbProcedure="false">#REF!,#REF!,#REF!,#REF!,#REF!,#REF!,#REF!,#REF!,#REF!,#REF!,#REF!,#REF!,#REF!,#REF!,#REF!</definedName>
    <definedName function="false" hidden="true" name="__APW_RESTORE_DATA773__" vbProcedure="false">#REF!,#REF!,#REF!,#REF!,#REF!,#REF!,#REF!,#REF!,#REF!,#REF!,#REF!,#REF!,#REF!,#REF!,#REF!</definedName>
    <definedName function="false" hidden="true" name="__APW_RESTORE_DATA774__" vbProcedure="false">#REF!,#REF!,#REF!,#REF!,#REF!,#REF!,#REF!,#REF!,#REF!,#REF!,#REF!,#REF!,#REF!,#REF!,#REF!</definedName>
    <definedName function="false" hidden="true" name="__APW_RESTORE_DATA775__" vbProcedure="false">#REF!,#REF!,#REF!,#REF!,#REF!,#REF!,#REF!,#REF!,#REF!,#REF!,#REF!,#REF!,#REF!,#REF!,#REF!</definedName>
    <definedName function="false" hidden="true" name="__APW_RESTORE_DATA776__" vbProcedure="false">#REF!,#REF!,#REF!,#REF!,#REF!,#REF!,#REF!,#REF!,#REF!,#REF!,#REF!,#REF!,#REF!,#REF!,#REF!</definedName>
    <definedName function="false" hidden="true" name="__APW_RESTORE_DATA777__" vbProcedure="false">#REF!,#REF!,#REF!,#REF!,#REF!,#REF!,#REF!,#REF!,#REF!,#REF!,#REF!,#REF!,#REF!,#REF!,#REF!</definedName>
    <definedName function="false" hidden="true" name="__APW_RESTORE_DATA778__" vbProcedure="false">#REF!,#REF!,#REF!,#REF!,#REF!,#REF!,#REF!,#REF!,#REF!,#REF!,#REF!,#REF!,#REF!,#REF!,#REF!</definedName>
    <definedName function="false" hidden="true" name="__APW_RESTORE_DATA779__" vbProcedure="false">#REF!,#REF!,#REF!,#REF!,#REF!,#REF!,#REF!,#REF!,#REF!,#REF!,#REF!,#REF!,#REF!,#REF!,#REF!</definedName>
    <definedName function="false" hidden="true" name="__APW_RESTORE_DATA77__" vbProcedure="false">#REF!,#REF!</definedName>
    <definedName function="false" hidden="true" name="__APW_RESTORE_DATA780__" vbProcedure="false">#REF!,#REF!,#REF!,#REF!,#REF!,#REF!,#REF!,#REF!,#REF!,#REF!,#REF!,#REF!,#REF!,#REF!,#REF!</definedName>
    <definedName function="false" hidden="true" name="__APW_RESTORE_DATA781__" vbProcedure="false">#REF!,#REF!,#REF!,#REF!,#REF!,#REF!,#REF!,#REF!,#REF!,#REF!,#REF!,#REF!,#REF!,#REF!,#REF!</definedName>
    <definedName function="false" hidden="true" name="__APW_RESTORE_DATA782__" vbProcedure="false">#REF!,#REF!,#REF!,#REF!,#REF!,#REF!,#REF!,#REF!,#REF!,#REF!,#REF!,#REF!,#REF!,#REF!,#REF!</definedName>
    <definedName function="false" hidden="true" name="__APW_RESTORE_DATA783__" vbProcedure="false">#REF!,#REF!,#REF!,#REF!,#REF!,#REF!,#REF!,#REF!,#REF!,#REF!,#REF!,#REF!,#REF!,#REF!,#REF!</definedName>
    <definedName function="false" hidden="true" name="__APW_RESTORE_DATA784__" vbProcedure="false">#REF!,#REF!,#REF!,#REF!,#REF!,#REF!,#REF!,#REF!,#REF!,#REF!,#REF!,#REF!,#REF!,#REF!,#REF!</definedName>
    <definedName function="false" hidden="true" name="__APW_RESTORE_DATA785__" vbProcedure="false">#REF!,#REF!,#REF!,#REF!,#REF!,#REF!,#REF!,#REF!,#REF!,#REF!,#REF!,#REF!,#REF!,#REF!,#REF!</definedName>
    <definedName function="false" hidden="true" name="__APW_RESTORE_DATA786__" vbProcedure="false">#REF!,#REF!,#REF!,#REF!,#REF!,#REF!,#REF!,#REF!,#REF!,#REF!,#REF!,#REF!,#REF!,#REF!,#REF!</definedName>
    <definedName function="false" hidden="true" name="__APW_RESTORE_DATA787__" vbProcedure="false">#REF!,#REF!,#REF!,#REF!,#REF!,#REF!,#REF!,#REF!,#REF!,#REF!,#REF!,#REF!,#REF!,#REF!,#REF!</definedName>
    <definedName function="false" hidden="true" name="__APW_RESTORE_DATA788__" vbProcedure="false">#REF!,#REF!,#REF!,#REF!,#REF!,#REF!,#REF!,#REF!,#REF!,#REF!,#REF!,#REF!,#REF!,#REF!,#REF!</definedName>
    <definedName function="false" hidden="true" name="__APW_RESTORE_DATA789__" vbProcedure="false">#REF!,#REF!,#REF!,#REF!,#REF!,#REF!,#REF!,#REF!,#REF!,#REF!,#REF!,#REF!,#REF!,#REF!,#REF!</definedName>
    <definedName function="false" hidden="true" name="__APW_RESTORE_DATA78__" vbProcedure="false">#REF!,#REF!,#REF!,#REF!,#REF!,#REF!,#REF!,#REF!,#REF!,#REF!,#REF!,#REF!,#REF!,#REF!,#REF!,#REF!</definedName>
    <definedName function="false" hidden="true" name="__APW_RESTORE_DATA790__" vbProcedure="false">#REF!,#REF!,#REF!,#REF!,#REF!,#REF!</definedName>
    <definedName function="false" hidden="true" name="__APW_RESTORE_DATA791__" vbProcedure="false">#REF!,#REF!,#REF!,#REF!,#REF!,#REF!,#REF!,#REF!,#REF!,#REF!,#REF!,#REF!,#REF!,#REF!,#REF!,#REF!</definedName>
    <definedName function="false" hidden="true" name="__APW_RESTORE_DATA792__" vbProcedure="false">#REF!,#REF!,#REF!,#REF!,#REF!,#REF!,#REF!,#REF!,#REF!,#REF!,#REF!,#REF!,#REF!,#REF!,#REF!,#REF!</definedName>
    <definedName function="false" hidden="true" name="__APW_RESTORE_DATA793__" vbProcedure="false">#REF!,#REF!,#REF!,#REF!,#REF!,#REF!,#REF!,#REF!,#REF!,#REF!,#REF!,#REF!,#REF!,#REF!,#REF!,#REF!</definedName>
    <definedName function="false" hidden="true" name="__APW_RESTORE_DATA794__" vbProcedure="false">#REF!,#REF!,#REF!,#REF!,#REF!,#REF!,#REF!,#REF!,#REF!,#REF!,#REF!,#REF!,#REF!,#REF!,#REF!,#REF!</definedName>
    <definedName function="false" hidden="true" name="__APW_RESTORE_DATA795__" vbProcedure="false">#REF!,#REF!,#REF!,#REF!,#REF!,#REF!,#REF!,#REF!,#REF!,#REF!,#REF!,#REF!,#REF!,#REF!,#REF!,#REF!</definedName>
    <definedName function="false" hidden="true" name="__APW_RESTORE_DATA796__" vbProcedure="false">#REF!,#REF!,#REF!,#REF!,#REF!,#REF!,#REF!,#REF!,#REF!,#REF!,#REF!,#REF!,#REF!,#REF!,#REF!,#REF!</definedName>
    <definedName function="false" hidden="true" name="__APW_RESTORE_DATA797__" vbProcedure="false">#REF!,#REF!,#REF!,#REF!,#REF!,#REF!,#REF!,#REF!,#REF!,#REF!,#REF!,#REF!,#REF!,#REF!,#REF!</definedName>
    <definedName function="false" hidden="true" name="__APW_RESTORE_DATA798__" vbProcedure="false">#REF!,#REF!,#REF!,#REF!,#REF!,#REF!,#REF!,#REF!,#REF!,#REF!,#REF!,#REF!,#REF!,#REF!,#REF!</definedName>
    <definedName function="false" hidden="true" name="__APW_RESTORE_DATA799__" vbProcedure="false">#REF!,#REF!,#REF!,#REF!,#REF!,#REF!,#REF!,#REF!,#REF!,#REF!,#REF!,#REF!,#REF!,#REF!,#REF!</definedName>
    <definedName function="false" hidden="true" name="__APW_RESTORE_DATA79__" vbProcedure="false">#REF!,#REF!,#REF!,#REF!,#REF!,#REF!,#REF!,#REF!,#REF!,#REF!,#REF!,#REF!,#REF!,#REF!,#REF!,#REF!</definedName>
    <definedName function="false" hidden="true" name="__APW_RESTORE_DATA7__" vbProcedure="false">#REF!</definedName>
    <definedName function="false" hidden="true" name="__APW_RESTORE_DATA800__" vbProcedure="false">#REF!,#REF!,#REF!,#REF!,#REF!,#REF!,#REF!,#REF!,#REF!,#REF!,#REF!,#REF!,#REF!,#REF!,#REF!</definedName>
    <definedName function="false" hidden="true" name="__APW_RESTORE_DATA801__" vbProcedure="false">#REF!,#REF!,#REF!,#REF!,#REF!,#REF!,#REF!,#REF!,#REF!,#REF!,#REF!,#REF!,#REF!,#REF!,#REF!</definedName>
    <definedName function="false" hidden="true" name="__APW_RESTORE_DATA802__" vbProcedure="false">#REF!,#REF!,#REF!,#REF!,#REF!,#REF!,#REF!,#REF!,#REF!,#REF!,#REF!,#REF!,#REF!,#REF!,#REF!</definedName>
    <definedName function="false" hidden="true" name="__APW_RESTORE_DATA803__" vbProcedure="false">#REF!,#REF!,#REF!,#REF!,#REF!,#REF!,#REF!,#REF!,#REF!,#REF!,#REF!,#REF!,#REF!,#REF!,#REF!</definedName>
    <definedName function="false" hidden="true" name="__APW_RESTORE_DATA804__" vbProcedure="false">#REF!,#REF!,#REF!,#REF!,#REF!,#REF!,#REF!,#REF!,#REF!,#REF!,#REF!,#REF!,#REF!,#REF!,#REF!</definedName>
    <definedName function="false" hidden="true" name="__APW_RESTORE_DATA805__" vbProcedure="false">#REF!,#REF!,#REF!,#REF!,#REF!,#REF!,#REF!,#REF!,#REF!,#REF!,#REF!,#REF!,#REF!,#REF!,#REF!</definedName>
    <definedName function="false" hidden="true" name="__APW_RESTORE_DATA806__" vbProcedure="false">#REF!,#REF!,#REF!,#REF!,#REF!,#REF!,#REF!,#REF!,#REF!,#REF!,#REF!,#REF!,#REF!,#REF!,#REF!</definedName>
    <definedName function="false" hidden="true" name="__APW_RESTORE_DATA807__" vbProcedure="false">#REF!,#REF!,#REF!,#REF!,#REF!,#REF!,#REF!,#REF!,#REF!,#REF!,#REF!,#REF!,#REF!,#REF!,#REF!</definedName>
    <definedName function="false" hidden="true" name="__APW_RESTORE_DATA808__" vbProcedure="false">#REF!,#REF!,#REF!,#REF!,#REF!,#REF!,#REF!,#REF!,#REF!,#REF!,#REF!,#REF!,#REF!,#REF!,#REF!</definedName>
    <definedName function="false" hidden="true" name="__APW_RESTORE_DATA809__" vbProcedure="false">#REF!,#REF!,#REF!,#REF!,#REF!,#REF!,#REF!,#REF!,#REF!,#REF!,#REF!,#REF!,#REF!,#REF!,#REF!</definedName>
    <definedName function="false" hidden="true" name="__APW_RESTORE_DATA80__" vbProcedure="false">#REF!,#REF!,#REF!,#REF!,#REF!,#REF!,#REF!,#REF!,#REF!,#REF!,#REF!,#REF!,#REF!,#REF!,#REF!,#REF!</definedName>
    <definedName function="false" hidden="true" name="__APW_RESTORE_DATA810__" vbProcedure="false">#REF!,#REF!,#REF!,#REF!,#REF!,#REF!,#REF!,#REF!,#REF!,#REF!,#REF!,#REF!,#REF!,#REF!,#REF!</definedName>
    <definedName function="false" hidden="true" name="__APW_RESTORE_DATA811__" vbProcedure="false">#REF!,#REF!,#REF!,#REF!,#REF!,#REF!,#REF!,#REF!,#REF!,#REF!,#REF!,#REF!,#REF!,#REF!,#REF!</definedName>
    <definedName function="false" hidden="true" name="__APW_RESTORE_DATA812__" vbProcedure="false">#REF!,#REF!,#REF!,#REF!,#REF!,#REF!,#REF!,#REF!,#REF!,#REF!,#REF!,#REF!,#REF!,#REF!,#REF!</definedName>
    <definedName function="false" hidden="true" name="__APW_RESTORE_DATA813__" vbProcedure="false">#REF!,#REF!,#REF!,#REF!,#REF!,#REF!,#REF!,#REF!,#REF!,#REF!,#REF!,#REF!,#REF!,#REF!,#REF!</definedName>
    <definedName function="false" hidden="true" name="__APW_RESTORE_DATA814__" vbProcedure="false">#REF!,#REF!,#REF!,#REF!,#REF!,#REF!,#REF!,#REF!,#REF!,#REF!,#REF!,#REF!,#REF!,#REF!,#REF!</definedName>
    <definedName function="false" hidden="true" name="__APW_RESTORE_DATA815__" vbProcedure="false">#REF!,#REF!,#REF!,#REF!,#REF!,#REF!,#REF!,#REF!,#REF!,#REF!,#REF!,#REF!,#REF!,#REF!,#REF!</definedName>
    <definedName function="false" hidden="true" name="__APW_RESTORE_DATA816__" vbProcedure="false">#REF!,#REF!,#REF!,#REF!,#REF!,#REF!,#REF!,#REF!,#REF!,#REF!,#REF!,#REF!,#REF!,#REF!,#REF!</definedName>
    <definedName function="false" hidden="true" name="__APW_RESTORE_DATA817__" vbProcedure="false">#REF!,#REF!,#REF!,#REF!,#REF!,#REF!,#REF!,#REF!,#REF!,#REF!,#REF!,#REF!,#REF!,#REF!,#REF!</definedName>
    <definedName function="false" hidden="true" name="__APW_RESTORE_DATA818__" vbProcedure="false">#REF!,#REF!,#REF!,#REF!,#REF!,#REF!,#REF!,#REF!,#REF!,#REF!,#REF!,#REF!,#REF!,#REF!,#REF!</definedName>
    <definedName function="false" hidden="true" name="__APW_RESTORE_DATA819__" vbProcedure="false">#REF!,#REF!,#REF!,#REF!,#REF!,#REF!,#REF!,#REF!,#REF!,#REF!,#REF!,#REF!,#REF!,#REF!,#REF!</definedName>
    <definedName function="false" hidden="true" name="__APW_RESTORE_DATA81__" vbProcedure="false">#REF!,#REF!,#REF!,#REF!,#REF!,#REF!,#REF!,#REF!,#REF!,#REF!,#REF!,#REF!,#REF!,#REF!,#REF!</definedName>
    <definedName function="false" hidden="true" name="__APW_RESTORE_DATA820__" vbProcedure="false">#REF!,#REF!,#REF!,#REF!,#REF!,#REF!,#REF!,#REF!,#REF!,#REF!,#REF!,#REF!,#REF!,#REF!,#REF!</definedName>
    <definedName function="false" hidden="true" name="__APW_RESTORE_DATA821__" vbProcedure="false">#REF!,#REF!,#REF!,#REF!,#REF!,#REF!,#REF!,#REF!,#REF!,#REF!,#REF!,#REF!,#REF!,#REF!,#REF!</definedName>
    <definedName function="false" hidden="true" name="__APW_RESTORE_DATA822__" vbProcedure="false">#REF!,#REF!,#REF!,#REF!,#REF!,#REF!,#REF!,#REF!,#REF!,#REF!,#REF!,#REF!,#REF!,#REF!,#REF!</definedName>
    <definedName function="false" hidden="true" name="__APW_RESTORE_DATA823__" vbProcedure="false">#REF!,#REF!,#REF!,#REF!,#REF!,#REF!,#REF!,#REF!,#REF!,#REF!,#REF!,#REF!,#REF!,#REF!,#REF!</definedName>
    <definedName function="false" hidden="true" name="__APW_RESTORE_DATA824__" vbProcedure="false">#REF!,#REF!,#REF!,#REF!,#REF!,#REF!,#REF!,#REF!,#REF!,#REF!,#REF!,#REF!,#REF!,#REF!,#REF!</definedName>
    <definedName function="false" hidden="true" name="__APW_RESTORE_DATA825__" vbProcedure="false">#REF!,#REF!,#REF!,#REF!,#REF!,#REF!</definedName>
    <definedName function="false" hidden="true" name="__APW_RESTORE_DATA826__" vbProcedure="false">#REF!,#REF!,#REF!,#REF!,#REF!,#REF!,#REF!,#REF!,#REF!,#REF!,#REF!,#REF!,#REF!,#REF!,#REF!,#REF!</definedName>
    <definedName function="false" hidden="true" name="__APW_RESTORE_DATA827__" vbProcedure="false">#REF!,#REF!,#REF!,#REF!,#REF!,#REF!,#REF!,#REF!,#REF!,#REF!,#REF!,#REF!,#REF!,#REF!,#REF!,#REF!</definedName>
    <definedName function="false" hidden="true" name="__APW_RESTORE_DATA828__" vbProcedure="false">#REF!,#REF!,#REF!,#REF!,#REF!,#REF!,#REF!,#REF!,#REF!,#REF!,#REF!,#REF!,#REF!,#REF!,#REF!,#REF!</definedName>
    <definedName function="false" hidden="true" name="__APW_RESTORE_DATA829__" vbProcedure="false">#REF!,#REF!,#REF!,#REF!,#REF!,#REF!,#REF!,#REF!,#REF!,#REF!,#REF!,#REF!,#REF!,#REF!,#REF!,#REF!</definedName>
    <definedName function="false" hidden="true" name="__APW_RESTORE_DATA82__" vbProcedure="false">#REF!,#REF!,#REF!,#REF!,#REF!,#REF!,#REF!,#REF!,#REF!,#REF!,#REF!,#REF!,#REF!,#REF!,#REF!</definedName>
    <definedName function="false" hidden="true" name="__APW_RESTORE_DATA830__" vbProcedure="false">#REF!,#REF!,#REF!,#REF!,#REF!,#REF!,#REF!,#REF!,#REF!,#REF!,#REF!,#REF!,#REF!,#REF!,#REF!,#REF!</definedName>
    <definedName function="false" hidden="true" name="__APW_RESTORE_DATA831__" vbProcedure="false">#REF!,#REF!,#REF!,#REF!,#REF!,#REF!,#REF!,#REF!,#REF!,#REF!,#REF!,#REF!,#REF!,#REF!,#REF!,#REF!</definedName>
    <definedName function="false" hidden="true" name="__APW_RESTORE_DATA832__" vbProcedure="false">#REF!,#REF!,#REF!,#REF!,#REF!,#REF!,#REF!,#REF!,#REF!,#REF!,#REF!,#REF!,#REF!,#REF!,#REF!</definedName>
    <definedName function="false" hidden="true" name="__APW_RESTORE_DATA833__" vbProcedure="false">#REF!,#REF!,#REF!,#REF!,#REF!,#REF!,#REF!,#REF!,#REF!,#REF!,#REF!,#REF!,#REF!,#REF!,#REF!</definedName>
    <definedName function="false" hidden="true" name="__APW_RESTORE_DATA834__" vbProcedure="false">#REF!,#REF!,#REF!,#REF!,#REF!,#REF!,#REF!,#REF!,#REF!,#REF!,#REF!,#REF!,#REF!,#REF!,#REF!</definedName>
    <definedName function="false" hidden="true" name="__APW_RESTORE_DATA835__" vbProcedure="false">#REF!,#REF!,#REF!,#REF!,#REF!,#REF!,#REF!,#REF!,#REF!,#REF!,#REF!,#REF!,#REF!,#REF!,#REF!</definedName>
    <definedName function="false" hidden="true" name="__APW_RESTORE_DATA836__" vbProcedure="false">#REF!,#REF!,#REF!,#REF!,#REF!,#REF!,#REF!,#REF!,#REF!,#REF!,#REF!,#REF!,#REF!,#REF!,#REF!</definedName>
    <definedName function="false" hidden="true" name="__APW_RESTORE_DATA837__" vbProcedure="false">#REF!,#REF!,#REF!,#REF!,#REF!,#REF!,#REF!,#REF!,#REF!,#REF!,#REF!,#REF!,#REF!,#REF!,#REF!</definedName>
    <definedName function="false" hidden="true" name="__APW_RESTORE_DATA838__" vbProcedure="false">#REF!,#REF!,#REF!,#REF!,#REF!,#REF!,#REF!,#REF!,#REF!,#REF!,#REF!,#REF!,#REF!,#REF!,#REF!</definedName>
    <definedName function="false" hidden="true" name="__APW_RESTORE_DATA839__" vbProcedure="false">#REF!,#REF!,#REF!,#REF!,#REF!,#REF!,#REF!,#REF!,#REF!,#REF!,#REF!,#REF!,#REF!,#REF!,#REF!</definedName>
    <definedName function="false" hidden="true" name="__APW_RESTORE_DATA83__" vbProcedure="false">#REF!,#REF!,#REF!,#REF!,#REF!,#REF!,#REF!,#REF!,#REF!,#REF!,#REF!,#REF!,#REF!,#REF!,#REF!</definedName>
    <definedName function="false" hidden="true" name="__APW_RESTORE_DATA840__" vbProcedure="false">#REF!,#REF!,#REF!,#REF!,#REF!,#REF!,#REF!,#REF!,#REF!,#REF!,#REF!,#REF!,#REF!,#REF!,#REF!</definedName>
    <definedName function="false" hidden="true" name="__APW_RESTORE_DATA841__" vbProcedure="false">#REF!,#REF!,#REF!,#REF!,#REF!,#REF!,#REF!,#REF!,#REF!,#REF!,#REF!,#REF!,#REF!,#REF!,#REF!</definedName>
    <definedName function="false" hidden="true" name="__APW_RESTORE_DATA842__" vbProcedure="false">#REF!,#REF!,#REF!,#REF!,#REF!,#REF!,#REF!,#REF!,#REF!,#REF!,#REF!,#REF!,#REF!,#REF!,#REF!</definedName>
    <definedName function="false" hidden="true" name="__APW_RESTORE_DATA843__" vbProcedure="false">#REF!,#REF!,#REF!,#REF!,#REF!,#REF!,#REF!,#REF!,#REF!,#REF!,#REF!,#REF!,#REF!,#REF!,#REF!</definedName>
    <definedName function="false" hidden="true" name="__APW_RESTORE_DATA844__" vbProcedure="false">#REF!,#REF!,#REF!,#REF!,#REF!,#REF!,#REF!,#REF!,#REF!,#REF!,#REF!,#REF!,#REF!,#REF!,#REF!</definedName>
    <definedName function="false" hidden="true" name="__APW_RESTORE_DATA845__" vbProcedure="false">#REF!,#REF!,#REF!,#REF!,#REF!,#REF!,#REF!,#REF!,#REF!,#REF!,#REF!,#REF!,#REF!,#REF!,#REF!</definedName>
    <definedName function="false" hidden="true" name="__APW_RESTORE_DATA846__" vbProcedure="false">#REF!,#REF!,#REF!,#REF!,#REF!,#REF!,#REF!,#REF!,#REF!,#REF!,#REF!,#REF!,#REF!,#REF!,#REF!</definedName>
    <definedName function="false" hidden="true" name="__APW_RESTORE_DATA847__" vbProcedure="false">#REF!,#REF!,#REF!,#REF!,#REF!,#REF!,#REF!,#REF!,#REF!,#REF!,#REF!,#REF!,#REF!,#REF!,#REF!</definedName>
    <definedName function="false" hidden="true" name="__APW_RESTORE_DATA848__" vbProcedure="false">#REF!,#REF!,#REF!,#REF!,#REF!,#REF!,#REF!,#REF!,#REF!,#REF!,#REF!,#REF!,#REF!,#REF!,#REF!</definedName>
    <definedName function="false" hidden="true" name="__APW_RESTORE_DATA849__" vbProcedure="false">#REF!,#REF!,#REF!,#REF!,#REF!,#REF!,#REF!,#REF!,#REF!,#REF!,#REF!,#REF!,#REF!,#REF!,#REF!</definedName>
    <definedName function="false" hidden="true" name="__APW_RESTORE_DATA84__" vbProcedure="false">#REF!,#REF!,#REF!,#REF!,#REF!,#REF!,#REF!,#REF!,#REF!,#REF!,#REF!,#REF!,#REF!,#REF!,#REF!</definedName>
    <definedName function="false" hidden="true" name="__APW_RESTORE_DATA850__" vbProcedure="false">#REF!,#REF!,#REF!,#REF!,#REF!,#REF!,#REF!,#REF!,#REF!,#REF!,#REF!,#REF!,#REF!,#REF!,#REF!</definedName>
    <definedName function="false" hidden="true" name="__APW_RESTORE_DATA851__" vbProcedure="false">#REF!,#REF!,#REF!,#REF!,#REF!,#REF!,#REF!,#REF!,#REF!,#REF!,#REF!,#REF!,#REF!,#REF!,#REF!</definedName>
    <definedName function="false" hidden="true" name="__APW_RESTORE_DATA852__" vbProcedure="false">#REF!,#REF!,#REF!,#REF!,#REF!,#REF!,#REF!,#REF!,#REF!,#REF!,#REF!,#REF!,#REF!,#REF!,#REF!</definedName>
    <definedName function="false" hidden="true" name="__APW_RESTORE_DATA853__" vbProcedure="false">#REF!,#REF!,#REF!,#REF!,#REF!,#REF!,#REF!,#REF!,#REF!,#REF!,#REF!,#REF!,#REF!,#REF!,#REF!</definedName>
    <definedName function="false" hidden="true" name="__APW_RESTORE_DATA854__" vbProcedure="false">#REF!,#REF!,#REF!,#REF!,#REF!,#REF!,#REF!,#REF!,#REF!,#REF!,#REF!,#REF!,#REF!,#REF!,#REF!</definedName>
    <definedName function="false" hidden="true" name="__APW_RESTORE_DATA855__" vbProcedure="false">#REF!,#REF!,#REF!,#REF!,#REF!,#REF!,#REF!,#REF!,#REF!,#REF!,#REF!,#REF!,#REF!,#REF!,#REF!</definedName>
    <definedName function="false" hidden="true" name="__APW_RESTORE_DATA856__" vbProcedure="false">#REF!,#REF!,#REF!,#REF!,#REF!,#REF!,#REF!,#REF!,#REF!,#REF!,#REF!,#REF!,#REF!,#REF!,#REF!</definedName>
    <definedName function="false" hidden="true" name="__APW_RESTORE_DATA857__" vbProcedure="false">#REF!,#REF!,#REF!,#REF!,#REF!,#REF!,#REF!,#REF!,#REF!,#REF!,#REF!,#REF!,#REF!,#REF!,#REF!</definedName>
    <definedName function="false" hidden="true" name="__APW_RESTORE_DATA858__" vbProcedure="false">#REF!,#REF!,#REF!,#REF!,#REF!,#REF!,#REF!,#REF!,#REF!,#REF!,#REF!,#REF!,#REF!,#REF!,#REF!</definedName>
    <definedName function="false" hidden="true" name="__APW_RESTORE_DATA859__" vbProcedure="false">#REF!,#REF!,#REF!,#REF!,#REF!,#REF!,#REF!,#REF!,#REF!,#REF!,#REF!,#REF!,#REF!,#REF!,#REF!</definedName>
    <definedName function="false" hidden="true" name="__APW_RESTORE_DATA85__" vbProcedure="false">#REF!,#REF!,#REF!,#REF!,#REF!,#REF!,#REF!,#REF!,#REF!,#REF!,#REF!,#REF!,#REF!,#REF!,#REF!</definedName>
    <definedName function="false" hidden="true" name="__APW_RESTORE_DATA860__" vbProcedure="false">#REF!,#REF!,#REF!,#REF!,#REF!,#REF!</definedName>
    <definedName function="false" hidden="true" name="__APW_RESTORE_DATA861__" vbProcedure="false">#REF!</definedName>
    <definedName function="false" hidden="true" name="__APW_RESTORE_DATA862__" vbProcedure="false">#REF!</definedName>
    <definedName function="false" hidden="true" name="__APW_RESTORE_DATA863__" vbProcedure="false">#REF!</definedName>
    <definedName function="false" hidden="true" name="__APW_RESTORE_DATA864__" vbProcedure="false">#REF!</definedName>
    <definedName function="false" hidden="true" name="__APW_RESTORE_DATA865__" vbProcedure="false">#REF!,#REF!,#REF!,#REF!,#REF!,#REF!,#REF!,#REF!,#REF!,#REF!,#REF!,#REF!,#REF!,#REF!,#REF!,#REF!</definedName>
    <definedName function="false" hidden="true" name="__APW_RESTORE_DATA866__" vbProcedure="false">#REF!,#REF!,#REF!,#REF!,#REF!,#REF!,#REF!,#REF!,#REF!,#REF!,#REF!,#REF!,#REF!,#REF!,#REF!,#REF!</definedName>
    <definedName function="false" hidden="true" name="__APW_RESTORE_DATA867__" vbProcedure="false">#REF!,#REF!,#REF!,#REF!,#REF!,#REF!,#REF!,#REF!,#REF!,#REF!,#REF!,#REF!,#REF!,#REF!,#REF!,#REF!</definedName>
    <definedName function="false" hidden="true" name="__APW_RESTORE_DATA868__" vbProcedure="false">#REF!,#REF!,#REF!,#REF!,#REF!,#REF!,#REF!,#REF!,#REF!,#REF!,#REF!,#REF!,#REF!,#REF!,#REF!,#REF!</definedName>
    <definedName function="false" hidden="true" name="__APW_RESTORE_DATA869__" vbProcedure="false">#REF!,#REF!,#REF!,#REF!,#REF!,#REF!,#REF!,#REF!,#REF!,#REF!,#REF!,#REF!,#REF!,#REF!,#REF!,#REF!</definedName>
    <definedName function="false" hidden="true" name="__APW_RESTORE_DATA86__" vbProcedure="false">#REF!,#REF!,#REF!,#REF!,#REF!,#REF!,#REF!,#REF!,#REF!,#REF!,#REF!,#REF!,#REF!,#REF!,#REF!</definedName>
    <definedName function="false" hidden="true" name="__APW_RESTORE_DATA870__" vbProcedure="false">#REF!,#REF!,#REF!,#REF!,#REF!,#REF!,#REF!,#REF!,#REF!,#REF!,#REF!,#REF!,#REF!,#REF!,#REF!,#REF!</definedName>
    <definedName function="false" hidden="true" name="__APW_RESTORE_DATA871__" vbProcedure="false">#REF!,#REF!,#REF!,#REF!,#REF!,#REF!,#REF!,#REF!,#REF!,#REF!,#REF!,#REF!,#REF!,#REF!,#REF!</definedName>
    <definedName function="false" hidden="true" name="__APW_RESTORE_DATA872__" vbProcedure="false">#REF!,#REF!,#REF!,#REF!,#REF!,#REF!,#REF!,#REF!,#REF!,#REF!,#REF!,#REF!,#REF!,#REF!,#REF!</definedName>
    <definedName function="false" hidden="true" name="__APW_RESTORE_DATA873__" vbProcedure="false">#REF!,#REF!,#REF!,#REF!,#REF!,#REF!,#REF!,#REF!,#REF!,#REF!,#REF!,#REF!,#REF!,#REF!,#REF!</definedName>
    <definedName function="false" hidden="true" name="__APW_RESTORE_DATA874__" vbProcedure="false">#REF!,#REF!,#REF!,#REF!,#REF!,#REF!,#REF!,#REF!,#REF!,#REF!,#REF!,#REF!,#REF!,#REF!,#REF!</definedName>
    <definedName function="false" hidden="true" name="__APW_RESTORE_DATA875__" vbProcedure="false">#REF!,#REF!,#REF!,#REF!,#REF!,#REF!,#REF!,#REF!,#REF!,#REF!,#REF!,#REF!,#REF!,#REF!,#REF!</definedName>
    <definedName function="false" hidden="true" name="__APW_RESTORE_DATA876__" vbProcedure="false">#REF!,#REF!,#REF!,#REF!,#REF!,#REF!,#REF!,#REF!,#REF!,#REF!,#REF!,#REF!,#REF!,#REF!,#REF!</definedName>
    <definedName function="false" hidden="true" name="__APW_RESTORE_DATA877__" vbProcedure="false">#REF!,#REF!,#REF!,#REF!,#REF!,#REF!,#REF!,#REF!,#REF!,#REF!,#REF!,#REF!,#REF!,#REF!,#REF!</definedName>
    <definedName function="false" hidden="true" name="__APW_RESTORE_DATA878__" vbProcedure="false">#REF!,#REF!,#REF!,#REF!,#REF!,#REF!,#REF!,#REF!,#REF!,#REF!,#REF!,#REF!,#REF!,#REF!,#REF!</definedName>
    <definedName function="false" hidden="true" name="__APW_RESTORE_DATA879__" vbProcedure="false">#REF!,#REF!,#REF!,#REF!,#REF!,#REF!,#REF!,#REF!,#REF!,#REF!,#REF!,#REF!,#REF!,#REF!,#REF!</definedName>
    <definedName function="false" hidden="true" name="__APW_RESTORE_DATA87__" vbProcedure="false">#REF!,#REF!,#REF!,#REF!,#REF!,#REF!,#REF!,#REF!,#REF!,#REF!,#REF!,#REF!,#REF!,#REF!,#REF!</definedName>
    <definedName function="false" hidden="true" name="__APW_RESTORE_DATA880__" vbProcedure="false">#REF!,#REF!,#REF!,#REF!,#REF!,#REF!,#REF!,#REF!,#REF!,#REF!,#REF!,#REF!,#REF!,#REF!,#REF!</definedName>
    <definedName function="false" hidden="true" name="__APW_RESTORE_DATA881__" vbProcedure="false">#REF!,#REF!,#REF!,#REF!,#REF!,#REF!,#REF!,#REF!,#REF!,#REF!,#REF!,#REF!,#REF!,#REF!,#REF!</definedName>
    <definedName function="false" hidden="true" name="__APW_RESTORE_DATA882__" vbProcedure="false">#REF!,#REF!,#REF!,#REF!,#REF!,#REF!,#REF!,#REF!,#REF!,#REF!,#REF!,#REF!,#REF!,#REF!,#REF!</definedName>
    <definedName function="false" hidden="true" name="__APW_RESTORE_DATA883__" vbProcedure="false">#REF!,#REF!,#REF!,#REF!,#REF!,#REF!,#REF!,#REF!,#REF!,#REF!,#REF!,#REF!,#REF!,#REF!,#REF!</definedName>
    <definedName function="false" hidden="true" name="__APW_RESTORE_DATA884__" vbProcedure="false">#REF!,#REF!,#REF!,#REF!,#REF!,#REF!,#REF!,#REF!,#REF!,#REF!,#REF!,#REF!,#REF!,#REF!,#REF!</definedName>
    <definedName function="false" hidden="true" name="__APW_RESTORE_DATA885__" vbProcedure="false">#REF!,#REF!,#REF!,#REF!,#REF!,#REF!,#REF!,#REF!,#REF!,#REF!,#REF!,#REF!,#REF!,#REF!,#REF!</definedName>
    <definedName function="false" hidden="true" name="__APW_RESTORE_DATA886__" vbProcedure="false">#REF!,#REF!,#REF!,#REF!,#REF!,#REF!,#REF!,#REF!,#REF!,#REF!,#REF!,#REF!,#REF!,#REF!,#REF!</definedName>
    <definedName function="false" hidden="true" name="__APW_RESTORE_DATA887__" vbProcedure="false">#REF!,#REF!,#REF!,#REF!,#REF!,#REF!,#REF!,#REF!,#REF!,#REF!,#REF!,#REF!,#REF!,#REF!,#REF!</definedName>
    <definedName function="false" hidden="true" name="__APW_RESTORE_DATA888__" vbProcedure="false">#REF!,#REF!,#REF!,#REF!,#REF!,#REF!,#REF!,#REF!,#REF!,#REF!,#REF!,#REF!,#REF!,#REF!,#REF!</definedName>
    <definedName function="false" hidden="true" name="__APW_RESTORE_DATA889__" vbProcedure="false">#REF!,#REF!,#REF!,#REF!,#REF!,#REF!,#REF!,#REF!,#REF!,#REF!,#REF!,#REF!,#REF!,#REF!,#REF!</definedName>
    <definedName function="false" hidden="true" name="__APW_RESTORE_DATA88__" vbProcedure="false">#REF!,#REF!,#REF!,#REF!,#REF!,#REF!,#REF!,#REF!,#REF!,#REF!,#REF!,#REF!,#REF!,#REF!,#REF!</definedName>
    <definedName function="false" hidden="true" name="__APW_RESTORE_DATA890__" vbProcedure="false">#REF!,#REF!,#REF!,#REF!,#REF!,#REF!,#REF!,#REF!,#REF!,#REF!,#REF!,#REF!,#REF!,#REF!,#REF!</definedName>
    <definedName function="false" hidden="true" name="__APW_RESTORE_DATA891__" vbProcedure="false">#REF!,#REF!,#REF!,#REF!,#REF!,#REF!,#REF!,#REF!,#REF!,#REF!,#REF!,#REF!,#REF!,#REF!,#REF!</definedName>
    <definedName function="false" hidden="true" name="__APW_RESTORE_DATA892__" vbProcedure="false">#REF!,#REF!,#REF!,#REF!,#REF!,#REF!,#REF!,#REF!,#REF!,#REF!,#REF!,#REF!,#REF!,#REF!,#REF!</definedName>
    <definedName function="false" hidden="true" name="__APW_RESTORE_DATA893__" vbProcedure="false">#REF!,#REF!,#REF!,#REF!,#REF!,#REF!,#REF!,#REF!,#REF!,#REF!,#REF!,#REF!,#REF!,#REF!,#REF!</definedName>
    <definedName function="false" hidden="true" name="__APW_RESTORE_DATA894__" vbProcedure="false">#REF!,#REF!,#REF!,#REF!,#REF!,#REF!,#REF!,#REF!,#REF!,#REF!,#REF!,#REF!,#REF!,#REF!,#REF!</definedName>
    <definedName function="false" hidden="true" name="__APW_RESTORE_DATA895__" vbProcedure="false">#REF!,#REF!,#REF!,#REF!,#REF!,#REF!,#REF!,#REF!,#REF!,#REF!,#REF!,#REF!,#REF!,#REF!,#REF!</definedName>
    <definedName function="false" hidden="true" name="__APW_RESTORE_DATA896__" vbProcedure="false">#REF!,#REF!,#REF!,#REF!,#REF!,#REF!,#REF!,#REF!,#REF!,#REF!,#REF!,#REF!,#REF!,#REF!,#REF!</definedName>
    <definedName function="false" hidden="true" name="__APW_RESTORE_DATA897__" vbProcedure="false">#REF!,#REF!,#REF!,#REF!,#REF!,#REF!,#REF!,#REF!,#REF!,#REF!,#REF!,#REF!,#REF!,#REF!,#REF!</definedName>
    <definedName function="false" hidden="true" name="__APW_RESTORE_DATA898__" vbProcedure="false">#REF!,#REF!,#REF!,#REF!,#REF!,#REF!,#REF!,#REF!,#REF!,#REF!,#REF!,#REF!,#REF!,#REF!,#REF!</definedName>
    <definedName function="false" hidden="true" name="__APW_RESTORE_DATA899__" vbProcedure="false">#REF!,#REF!,#REF!,#REF!,#REF!,#REF!</definedName>
    <definedName function="false" hidden="true" name="__APW_RESTORE_DATA89__" vbProcedure="false">#REF!,#REF!,#REF!,#REF!,#REF!,#REF!,#REF!,#REF!,#REF!,#REF!,#REF!,#REF!,#REF!,#REF!,#REF!</definedName>
    <definedName function="false" hidden="true" name="__APW_RESTORE_DATA8__" vbProcedure="false">#REF!</definedName>
    <definedName function="false" hidden="true" name="__APW_RESTORE_DATA900__" vbProcedure="false">#REF!,#REF!,#REF!,#REF!,#REF!,#REF!,#REF!,#REF!,#REF!,#REF!,#REF!,#REF!,#REF!,#REF!,#REF!,#REF!</definedName>
    <definedName function="false" hidden="true" name="__APW_RESTORE_DATA901__" vbProcedure="false">#REF!,#REF!,#REF!,#REF!,#REF!,#REF!,#REF!,#REF!,#REF!,#REF!,#REF!,#REF!,#REF!,#REF!,#REF!,#REF!</definedName>
    <definedName function="false" hidden="true" name="__APW_RESTORE_DATA902__" vbProcedure="false">#REF!,#REF!,#REF!,#REF!,#REF!,#REF!,#REF!,#REF!,#REF!,#REF!,#REF!,#REF!,#REF!,#REF!,#REF!,#REF!</definedName>
    <definedName function="false" hidden="true" name="__APW_RESTORE_DATA903__" vbProcedure="false">#REF!,#REF!,#REF!,#REF!,#REF!,#REF!,#REF!,#REF!,#REF!,#REF!,#REF!,#REF!,#REF!,#REF!,#REF!,#REF!</definedName>
    <definedName function="false" hidden="true" name="__APW_RESTORE_DATA904__" vbProcedure="false">#REF!,#REF!,#REF!,#REF!,#REF!,#REF!,#REF!,#REF!,#REF!,#REF!,#REF!,#REF!,#REF!,#REF!,#REF!,#REF!</definedName>
    <definedName function="false" hidden="true" name="__APW_RESTORE_DATA905__" vbProcedure="false">#REF!,#REF!,#REF!,#REF!,#REF!,#REF!,#REF!,#REF!,#REF!,#REF!,#REF!,#REF!,#REF!,#REF!,#REF!,#REF!</definedName>
    <definedName function="false" hidden="true" name="__APW_RESTORE_DATA906__" vbProcedure="false">#REF!,#REF!,#REF!,#REF!,#REF!,#REF!,#REF!,#REF!,#REF!,#REF!,#REF!,#REF!,#REF!,#REF!,#REF!</definedName>
    <definedName function="false" hidden="true" name="__APW_RESTORE_DATA907__" vbProcedure="false">#REF!,#REF!,#REF!,#REF!,#REF!,#REF!,#REF!,#REF!,#REF!,#REF!,#REF!,#REF!,#REF!,#REF!,#REF!</definedName>
    <definedName function="false" hidden="true" name="__APW_RESTORE_DATA908__" vbProcedure="false">#REF!,#REF!,#REF!,#REF!,#REF!,#REF!,#REF!,#REF!,#REF!,#REF!,#REF!,#REF!,#REF!,#REF!,#REF!</definedName>
    <definedName function="false" hidden="true" name="__APW_RESTORE_DATA909__" vbProcedure="false">#REF!,#REF!,#REF!,#REF!,#REF!,#REF!,#REF!,#REF!,#REF!,#REF!,#REF!,#REF!,#REF!,#REF!,#REF!</definedName>
    <definedName function="false" hidden="true" name="__APW_RESTORE_DATA90__" vbProcedure="false">#REF!,#REF!</definedName>
    <definedName function="false" hidden="true" name="__APW_RESTORE_DATA910__" vbProcedure="false">#REF!,#REF!,#REF!,#REF!,#REF!,#REF!,#REF!,#REF!,#REF!,#REF!,#REF!,#REF!,#REF!,#REF!,#REF!</definedName>
    <definedName function="false" hidden="true" name="__APW_RESTORE_DATA911__" vbProcedure="false">#REF!,#REF!,#REF!,#REF!,#REF!,#REF!,#REF!,#REF!,#REF!,#REF!,#REF!,#REF!,#REF!,#REF!,#REF!</definedName>
    <definedName function="false" hidden="true" name="__APW_RESTORE_DATA912__" vbProcedure="false">#REF!,#REF!,#REF!,#REF!,#REF!,#REF!,#REF!,#REF!,#REF!,#REF!,#REF!,#REF!,#REF!,#REF!,#REF!</definedName>
    <definedName function="false" hidden="true" name="__APW_RESTORE_DATA913__" vbProcedure="false">#REF!,#REF!,#REF!,#REF!,#REF!,#REF!,#REF!,#REF!,#REF!,#REF!,#REF!,#REF!,#REF!,#REF!,#REF!</definedName>
    <definedName function="false" hidden="true" name="__APW_RESTORE_DATA914__" vbProcedure="false">#REF!,#REF!,#REF!,#REF!,#REF!,#REF!,#REF!,#REF!,#REF!,#REF!,#REF!,#REF!,#REF!,#REF!,#REF!</definedName>
    <definedName function="false" hidden="true" name="__APW_RESTORE_DATA915__" vbProcedure="false">#REF!,#REF!,#REF!,#REF!,#REF!,#REF!,#REF!,#REF!,#REF!,#REF!,#REF!,#REF!,#REF!,#REF!,#REF!</definedName>
    <definedName function="false" hidden="true" name="__APW_RESTORE_DATA916__" vbProcedure="false">#REF!,#REF!,#REF!,#REF!,#REF!,#REF!,#REF!,#REF!,#REF!,#REF!,#REF!,#REF!,#REF!,#REF!,#REF!</definedName>
    <definedName function="false" hidden="true" name="__APW_RESTORE_DATA917__" vbProcedure="false">#REF!,#REF!,#REF!,#REF!,#REF!,#REF!,#REF!,#REF!,#REF!,#REF!,#REF!,#REF!,#REF!,#REF!,#REF!</definedName>
    <definedName function="false" hidden="true" name="__APW_RESTORE_DATA918__" vbProcedure="false">#REF!,#REF!,#REF!,#REF!,#REF!,#REF!,#REF!,#REF!,#REF!,#REF!,#REF!,#REF!,#REF!,#REF!,#REF!</definedName>
    <definedName function="false" hidden="true" name="__APW_RESTORE_DATA919__" vbProcedure="false">#REF!,#REF!,#REF!,#REF!,#REF!,#REF!,#REF!,#REF!,#REF!,#REF!,#REF!,#REF!,#REF!,#REF!,#REF!</definedName>
    <definedName function="false" hidden="true" name="__APW_RESTORE_DATA91__" vbProcedure="false">#REF!,#REF!,#REF!,#REF!,#REF!,#REF!,#REF!,#REF!,#REF!,#REF!,#REF!,#REF!,#REF!,#REF!,#REF!</definedName>
    <definedName function="false" hidden="true" name="__APW_RESTORE_DATA920__" vbProcedure="false">#REF!,#REF!,#REF!,#REF!,#REF!,#REF!,#REF!,#REF!,#REF!,#REF!,#REF!,#REF!,#REF!,#REF!,#REF!</definedName>
    <definedName function="false" hidden="true" name="__APW_RESTORE_DATA921__" vbProcedure="false">#REF!,#REF!,#REF!,#REF!,#REF!,#REF!,#REF!,#REF!,#REF!,#REF!,#REF!,#REF!,#REF!,#REF!,#REF!</definedName>
    <definedName function="false" hidden="true" name="__APW_RESTORE_DATA922__" vbProcedure="false">#REF!,#REF!,#REF!,#REF!,#REF!,#REF!,#REF!,#REF!,#REF!,#REF!,#REF!,#REF!,#REF!,#REF!,#REF!</definedName>
    <definedName function="false" hidden="true" name="__APW_RESTORE_DATA923__" vbProcedure="false">#REF!,#REF!,#REF!,#REF!,#REF!,#REF!,#REF!,#REF!,#REF!,#REF!,#REF!,#REF!,#REF!,#REF!,#REF!</definedName>
    <definedName function="false" hidden="true" name="__APW_RESTORE_DATA924__" vbProcedure="false">#REF!,#REF!,#REF!,#REF!,#REF!,#REF!,#REF!,#REF!,#REF!,#REF!,#REF!,#REF!,#REF!,#REF!,#REF!</definedName>
    <definedName function="false" hidden="true" name="__APW_RESTORE_DATA925__" vbProcedure="false">#REF!,#REF!,#REF!,#REF!,#REF!,#REF!,#REF!,#REF!,#REF!,#REF!,#REF!,#REF!,#REF!,#REF!,#REF!</definedName>
    <definedName function="false" hidden="true" name="__APW_RESTORE_DATA926__" vbProcedure="false">#REF!,#REF!,#REF!,#REF!,#REF!,#REF!,#REF!,#REF!,#REF!,#REF!,#REF!,#REF!,#REF!,#REF!,#REF!</definedName>
    <definedName function="false" hidden="true" name="__APW_RESTORE_DATA927__" vbProcedure="false">#REF!,#REF!,#REF!,#REF!,#REF!,#REF!,#REF!,#REF!,#REF!,#REF!,#REF!,#REF!,#REF!,#REF!,#REF!</definedName>
    <definedName function="false" hidden="true" name="__APW_RESTORE_DATA928__" vbProcedure="false">#REF!,#REF!,#REF!,#REF!,#REF!,#REF!,#REF!,#REF!,#REF!,#REF!,#REF!,#REF!,#REF!,#REF!,#REF!</definedName>
    <definedName function="false" hidden="true" name="__APW_RESTORE_DATA929__" vbProcedure="false">#REF!,#REF!,#REF!,#REF!,#REF!,#REF!,#REF!,#REF!,#REF!,#REF!,#REF!,#REF!,#REF!,#REF!,#REF!</definedName>
    <definedName function="false" hidden="true" name="__APW_RESTORE_DATA92__" vbProcedure="false">#REF!,#REF!,#REF!,#REF!,#REF!,#REF!,#REF!,#REF!,#REF!,#REF!,#REF!,#REF!,#REF!,#REF!,#REF!</definedName>
    <definedName function="false" hidden="true" name="__APW_RESTORE_DATA930__" vbProcedure="false">#REF!,#REF!,#REF!,#REF!,#REF!,#REF!,#REF!,#REF!,#REF!,#REF!,#REF!,#REF!,#REF!,#REF!,#REF!</definedName>
    <definedName function="false" hidden="true" name="__APW_RESTORE_DATA931__" vbProcedure="false">#REF!,#REF!,#REF!,#REF!,#REF!,#REF!,#REF!,#REF!,#REF!,#REF!,#REF!,#REF!,#REF!,#REF!,#REF!</definedName>
    <definedName function="false" hidden="true" name="__APW_RESTORE_DATA932__" vbProcedure="false">#REF!,#REF!,#REF!,#REF!,#REF!,#REF!,#REF!,#REF!,#REF!,#REF!,#REF!,#REF!,#REF!,#REF!,#REF!</definedName>
    <definedName function="false" hidden="true" name="__APW_RESTORE_DATA933__" vbProcedure="false">#REF!,#REF!,#REF!,#REF!,#REF!,#REF!,#REF!,#REF!,#REF!,#REF!,#REF!,#REF!,#REF!,#REF!,#REF!</definedName>
    <definedName function="false" hidden="true" name="__APW_RESTORE_DATA934__" vbProcedure="false">#REF!,#REF!,#REF!,#REF!,#REF!,#REF!</definedName>
    <definedName function="false" hidden="true" name="__APW_RESTORE_DATA935__" vbProcedure="false">#REF!,#REF!,#REF!,#REF!,#REF!,#REF!,#REF!,#REF!,#REF!,#REF!,#REF!,#REF!,#REF!,#REF!,#REF!,#REF!</definedName>
    <definedName function="false" hidden="true" name="__APW_RESTORE_DATA936__" vbProcedure="false">#REF!,#REF!,#REF!,#REF!,#REF!,#REF!,#REF!,#REF!,#REF!,#REF!,#REF!,#REF!,#REF!,#REF!,#REF!,#REF!</definedName>
    <definedName function="false" hidden="true" name="__APW_RESTORE_DATA937__" vbProcedure="false">#REF!,#REF!,#REF!,#REF!,#REF!,#REF!,#REF!,#REF!,#REF!,#REF!,#REF!,#REF!,#REF!,#REF!,#REF!,#REF!</definedName>
    <definedName function="false" hidden="true" name="__APW_RESTORE_DATA938__" vbProcedure="false">#REF!,#REF!,#REF!,#REF!,#REF!,#REF!,#REF!,#REF!,#REF!,#REF!,#REF!,#REF!,#REF!,#REF!,#REF!,#REF!</definedName>
    <definedName function="false" hidden="true" name="__APW_RESTORE_DATA939__" vbProcedure="false">#REF!,#REF!,#REF!,#REF!,#REF!,#REF!,#REF!,#REF!,#REF!,#REF!,#REF!,#REF!,#REF!,#REF!,#REF!,#REF!</definedName>
    <definedName function="false" hidden="true" name="__APW_RESTORE_DATA93__" vbProcedure="false">#REF!,#REF!,#REF!,#REF!,#REF!,#REF!,#REF!,#REF!,#REF!,#REF!,#REF!,#REF!,#REF!,#REF!,#REF!</definedName>
    <definedName function="false" hidden="true" name="__APW_RESTORE_DATA940__" vbProcedure="false">#REF!,#REF!,#REF!,#REF!,#REF!,#REF!,#REF!,#REF!,#REF!,#REF!,#REF!,#REF!,#REF!,#REF!,#REF!,#REF!</definedName>
    <definedName function="false" hidden="true" name="__APW_RESTORE_DATA941__" vbProcedure="false">#REF!,#REF!,#REF!,#REF!,#REF!,#REF!,#REF!,#REF!,#REF!,#REF!,#REF!,#REF!,#REF!,#REF!,#REF!</definedName>
    <definedName function="false" hidden="true" name="__APW_RESTORE_DATA942__" vbProcedure="false">#REF!,#REF!,#REF!,#REF!,#REF!,#REF!,#REF!,#REF!,#REF!,#REF!,#REF!,#REF!,#REF!,#REF!,#REF!</definedName>
    <definedName function="false" hidden="true" name="__APW_RESTORE_DATA943__" vbProcedure="false">#REF!,#REF!,#REF!,#REF!,#REF!,#REF!,#REF!,#REF!,#REF!,#REF!,#REF!,#REF!,#REF!,#REF!,#REF!</definedName>
    <definedName function="false" hidden="true" name="__APW_RESTORE_DATA944__" vbProcedure="false">#REF!,#REF!,#REF!,#REF!,#REF!,#REF!,#REF!,#REF!,#REF!,#REF!,#REF!,#REF!,#REF!,#REF!,#REF!</definedName>
    <definedName function="false" hidden="true" name="__APW_RESTORE_DATA945__" vbProcedure="false">#REF!,#REF!,#REF!,#REF!,#REF!,#REF!,#REF!,#REF!,#REF!,#REF!,#REF!,#REF!,#REF!,#REF!,#REF!</definedName>
    <definedName function="false" hidden="true" name="__APW_RESTORE_DATA946__" vbProcedure="false">#REF!,#REF!,#REF!,#REF!,#REF!,#REF!,#REF!,#REF!,#REF!,#REF!,#REF!,#REF!,#REF!,#REF!,#REF!</definedName>
    <definedName function="false" hidden="true" name="__APW_RESTORE_DATA947__" vbProcedure="false">#REF!,#REF!,#REF!,#REF!,#REF!,#REF!,#REF!,#REF!,#REF!,#REF!,#REF!,#REF!,#REF!,#REF!,#REF!</definedName>
    <definedName function="false" hidden="true" name="__APW_RESTORE_DATA948__" vbProcedure="false">#REF!,#REF!,#REF!,#REF!,#REF!,#REF!,#REF!,#REF!,#REF!,#REF!,#REF!,#REF!,#REF!,#REF!,#REF!</definedName>
    <definedName function="false" hidden="true" name="__APW_RESTORE_DATA949__" vbProcedure="false">#REF!,#REF!,#REF!,#REF!,#REF!,#REF!,#REF!,#REF!,#REF!,#REF!,#REF!,#REF!,#REF!,#REF!,#REF!</definedName>
    <definedName function="false" hidden="true" name="__APW_RESTORE_DATA94__" vbProcedure="false">#REF!,#REF!,#REF!,#REF!,#REF!,#REF!,#REF!,#REF!,#REF!,#REF!,#REF!,#REF!,#REF!,#REF!,#REF!</definedName>
    <definedName function="false" hidden="true" name="__APW_RESTORE_DATA950__" vbProcedure="false">#REF!,#REF!,#REF!,#REF!,#REF!,#REF!,#REF!,#REF!,#REF!,#REF!,#REF!,#REF!,#REF!,#REF!,#REF!</definedName>
    <definedName function="false" hidden="true" name="__APW_RESTORE_DATA951__" vbProcedure="false">#REF!,#REF!,#REF!,#REF!,#REF!,#REF!,#REF!,#REF!,#REF!,#REF!,#REF!,#REF!,#REF!,#REF!,#REF!</definedName>
    <definedName function="false" hidden="true" name="__APW_RESTORE_DATA952__" vbProcedure="false">#REF!,#REF!,#REF!,#REF!,#REF!,#REF!,#REF!,#REF!,#REF!,#REF!,#REF!,#REF!,#REF!,#REF!,#REF!</definedName>
    <definedName function="false" hidden="true" name="__APW_RESTORE_DATA953__" vbProcedure="false">#REF!,#REF!,#REF!,#REF!,#REF!,#REF!,#REF!,#REF!,#REF!,#REF!,#REF!,#REF!,#REF!,#REF!,#REF!</definedName>
    <definedName function="false" hidden="true" name="__APW_RESTORE_DATA954__" vbProcedure="false">#REF!,#REF!,#REF!,#REF!,#REF!,#REF!,#REF!,#REF!,#REF!,#REF!,#REF!,#REF!,#REF!,#REF!,#REF!</definedName>
    <definedName function="false" hidden="true" name="__APW_RESTORE_DATA955__" vbProcedure="false">#REF!,#REF!,#REF!,#REF!,#REF!,#REF!,#REF!,#REF!,#REF!,#REF!,#REF!,#REF!,#REF!,#REF!,#REF!</definedName>
    <definedName function="false" hidden="true" name="__APW_RESTORE_DATA956__" vbProcedure="false">#REF!,#REF!,#REF!,#REF!,#REF!,#REF!,#REF!,#REF!,#REF!,#REF!,#REF!,#REF!,#REF!,#REF!,#REF!</definedName>
    <definedName function="false" hidden="true" name="__APW_RESTORE_DATA957__" vbProcedure="false">#REF!,#REF!,#REF!,#REF!,#REF!,#REF!,#REF!,#REF!,#REF!,#REF!,#REF!,#REF!,#REF!,#REF!,#REF!</definedName>
    <definedName function="false" hidden="true" name="__APW_RESTORE_DATA958__" vbProcedure="false">#REF!,#REF!,#REF!,#REF!,#REF!,#REF!,#REF!,#REF!,#REF!,#REF!,#REF!,#REF!,#REF!,#REF!,#REF!</definedName>
    <definedName function="false" hidden="true" name="__APW_RESTORE_DATA959__" vbProcedure="false">#REF!,#REF!,#REF!,#REF!,#REF!,#REF!,#REF!,#REF!,#REF!,#REF!,#REF!,#REF!,#REF!,#REF!,#REF!</definedName>
    <definedName function="false" hidden="true" name="__APW_RESTORE_DATA95__" vbProcedure="false">#REF!,#REF!</definedName>
    <definedName function="false" hidden="true" name="__APW_RESTORE_DATA960__" vbProcedure="false">#REF!,#REF!,#REF!,#REF!,#REF!,#REF!,#REF!,#REF!,#REF!,#REF!,#REF!,#REF!,#REF!,#REF!,#REF!</definedName>
    <definedName function="false" hidden="true" name="__APW_RESTORE_DATA961__" vbProcedure="false">#REF!,#REF!,#REF!,#REF!,#REF!,#REF!,#REF!,#REF!,#REF!,#REF!,#REF!,#REF!,#REF!,#REF!,#REF!</definedName>
    <definedName function="false" hidden="true" name="__APW_RESTORE_DATA962__" vbProcedure="false">#REF!,#REF!,#REF!,#REF!,#REF!,#REF!,#REF!,#REF!,#REF!,#REF!,#REF!,#REF!,#REF!,#REF!,#REF!</definedName>
    <definedName function="false" hidden="true" name="__APW_RESTORE_DATA963__" vbProcedure="false">#REF!,#REF!,#REF!,#REF!,#REF!,#REF!,#REF!,#REF!,#REF!,#REF!,#REF!,#REF!,#REF!,#REF!,#REF!</definedName>
    <definedName function="false" hidden="true" name="__APW_RESTORE_DATA964__" vbProcedure="false">#REF!,#REF!,#REF!,#REF!,#REF!,#REF!,#REF!,#REF!,#REF!,#REF!,#REF!,#REF!,#REF!,#REF!,#REF!</definedName>
    <definedName function="false" hidden="true" name="__APW_RESTORE_DATA965__" vbProcedure="false">#REF!,#REF!,#REF!,#REF!,#REF!,#REF!,#REF!,#REF!,#REF!,#REF!,#REF!,#REF!,#REF!,#REF!,#REF!</definedName>
    <definedName function="false" hidden="true" name="__APW_RESTORE_DATA966__" vbProcedure="false">#REF!,#REF!,#REF!,#REF!,#REF!,#REF!,#REF!,#REF!,#REF!,#REF!,#REF!,#REF!,#REF!,#REF!,#REF!</definedName>
    <definedName function="false" hidden="true" name="__APW_RESTORE_DATA967__" vbProcedure="false">#REF!,#REF!,#REF!,#REF!,#REF!,#REF!,#REF!,#REF!,#REF!,#REF!,#REF!,#REF!,#REF!,#REF!,#REF!</definedName>
    <definedName function="false" hidden="true" name="__APW_RESTORE_DATA968__" vbProcedure="false">#REF!,#REF!,#REF!,#REF!,#REF!,#REF!,#REF!,#REF!,#REF!,#REF!,#REF!,#REF!,#REF!,#REF!,#REF!</definedName>
    <definedName function="false" hidden="true" name="__APW_RESTORE_DATA969__" vbProcedure="false">#REF!,#REF!,#REF!,#REF!,#REF!,#REF!</definedName>
    <definedName function="false" hidden="true" name="__APW_RESTORE_DATA96__" vbProcedure="false">#REF!,#REF!,#REF!,#REF!,#REF!,#REF!,#REF!,#REF!,#REF!,#REF!,#REF!,#REF!,#REF!,#REF!,#REF!</definedName>
    <definedName function="false" hidden="true" name="__APW_RESTORE_DATA970__" vbProcedure="false">#REF!,#REF!,#REF!,#REF!,#REF!,#REF!,#REF!,#REF!,#REF!,#REF!,#REF!,#REF!,#REF!,#REF!,#REF!,#REF!</definedName>
    <definedName function="false" hidden="true" name="__APW_RESTORE_DATA971__" vbProcedure="false">#REF!,#REF!,#REF!,#REF!,#REF!,#REF!,#REF!,#REF!,#REF!,#REF!,#REF!,#REF!,#REF!,#REF!,#REF!,#REF!</definedName>
    <definedName function="false" hidden="true" name="__APW_RESTORE_DATA972__" vbProcedure="false">#REF!,#REF!,#REF!,#REF!,#REF!,#REF!,#REF!,#REF!,#REF!,#REF!,#REF!,#REF!,#REF!,#REF!,#REF!,#REF!</definedName>
    <definedName function="false" hidden="true" name="__APW_RESTORE_DATA973__" vbProcedure="false">#REF!,#REF!,#REF!,#REF!,#REF!,#REF!,#REF!,#REF!,#REF!,#REF!,#REF!,#REF!,#REF!,#REF!,#REF!,#REF!</definedName>
    <definedName function="false" hidden="true" name="__APW_RESTORE_DATA974__" vbProcedure="false">#REF!,#REF!,#REF!,#REF!,#REF!,#REF!,#REF!,#REF!,#REF!,#REF!,#REF!,#REF!,#REF!,#REF!,#REF!,#REF!</definedName>
    <definedName function="false" hidden="true" name="__APW_RESTORE_DATA975__" vbProcedure="false">#REF!,#REF!,#REF!,#REF!,#REF!,#REF!,#REF!,#REF!,#REF!,#REF!,#REF!,#REF!,#REF!,#REF!,#REF!,#REF!</definedName>
    <definedName function="false" hidden="true" name="__APW_RESTORE_DATA976__" vbProcedure="false">#REF!,#REF!,#REF!,#REF!,#REF!,#REF!,#REF!,#REF!,#REF!,#REF!,#REF!,#REF!,#REF!,#REF!,#REF!</definedName>
    <definedName function="false" hidden="true" name="__APW_RESTORE_DATA977__" vbProcedure="false">#REF!,#REF!,#REF!,#REF!,#REF!,#REF!,#REF!,#REF!,#REF!,#REF!,#REF!,#REF!,#REF!,#REF!,#REF!</definedName>
    <definedName function="false" hidden="true" name="__APW_RESTORE_DATA978__" vbProcedure="false">#REF!,#REF!,#REF!,#REF!,#REF!,#REF!,#REF!,#REF!,#REF!,#REF!,#REF!,#REF!,#REF!,#REF!,#REF!</definedName>
    <definedName function="false" hidden="true" name="__APW_RESTORE_DATA979__" vbProcedure="false">#REF!,#REF!,#REF!,#REF!,#REF!,#REF!,#REF!,#REF!,#REF!,#REF!,#REF!,#REF!,#REF!,#REF!,#REF!</definedName>
    <definedName function="false" hidden="true" name="__APW_RESTORE_DATA97__" vbProcedure="false">#REF!,#REF!,#REF!,#REF!,#REF!,#REF!,#REF!,#REF!,#REF!,#REF!,#REF!,#REF!,#REF!,#REF!,#REF!</definedName>
    <definedName function="false" hidden="true" name="__APW_RESTORE_DATA980__" vbProcedure="false">#REF!,#REF!,#REF!,#REF!,#REF!,#REF!,#REF!,#REF!,#REF!,#REF!,#REF!,#REF!,#REF!,#REF!,#REF!</definedName>
    <definedName function="false" hidden="true" name="__APW_RESTORE_DATA981__" vbProcedure="false">#REF!,#REF!,#REF!,#REF!,#REF!,#REF!,#REF!,#REF!,#REF!,#REF!,#REF!,#REF!,#REF!,#REF!,#REF!</definedName>
    <definedName function="false" hidden="true" name="__APW_RESTORE_DATA982__" vbProcedure="false">#REF!,#REF!,#REF!,#REF!,#REF!,#REF!,#REF!,#REF!,#REF!,#REF!,#REF!,#REF!,#REF!,#REF!,#REF!</definedName>
    <definedName function="false" hidden="true" name="__APW_RESTORE_DATA983__" vbProcedure="false">#REF!,#REF!,#REF!,#REF!,#REF!,#REF!,#REF!,#REF!,#REF!,#REF!,#REF!,#REF!,#REF!,#REF!,#REF!</definedName>
    <definedName function="false" hidden="true" name="__APW_RESTORE_DATA984__" vbProcedure="false">#REF!,#REF!,#REF!,#REF!,#REF!,#REF!,#REF!,#REF!,#REF!,#REF!,#REF!,#REF!,#REF!,#REF!,#REF!</definedName>
    <definedName function="false" hidden="true" name="__APW_RESTORE_DATA985__" vbProcedure="false">#REF!,#REF!,#REF!,#REF!,#REF!,#REF!,#REF!,#REF!,#REF!,#REF!,#REF!,#REF!,#REF!,#REF!,#REF!</definedName>
    <definedName function="false" hidden="true" name="__APW_RESTORE_DATA986__" vbProcedure="false">#REF!,#REF!,#REF!,#REF!,#REF!,#REF!,#REF!,#REF!,#REF!,#REF!,#REF!,#REF!,#REF!,#REF!,#REF!</definedName>
    <definedName function="false" hidden="true" name="__APW_RESTORE_DATA987__" vbProcedure="false">#REF!,#REF!,#REF!,#REF!,#REF!,#REF!,#REF!,#REF!,#REF!,#REF!,#REF!,#REF!,#REF!,#REF!,#REF!</definedName>
    <definedName function="false" hidden="true" name="__APW_RESTORE_DATA988__" vbProcedure="false">#REF!,#REF!,#REF!,#REF!,#REF!,#REF!,#REF!,#REF!,#REF!,#REF!,#REF!,#REF!,#REF!,#REF!,#REF!</definedName>
    <definedName function="false" hidden="true" name="__APW_RESTORE_DATA989__" vbProcedure="false">#REF!,#REF!,#REF!,#REF!,#REF!,#REF!,#REF!,#REF!,#REF!,#REF!,#REF!,#REF!,#REF!,#REF!,#REF!</definedName>
    <definedName function="false" hidden="true" name="__APW_RESTORE_DATA98__" vbProcedure="false">#REF!,#REF!,#REF!,#REF!,#REF!,#REF!,#REF!,#REF!,#REF!,#REF!,#REF!,#REF!,#REF!,#REF!,#REF!</definedName>
    <definedName function="false" hidden="true" name="__APW_RESTORE_DATA990__" vbProcedure="false">#REF!,#REF!,#REF!,#REF!,#REF!,#REF!,#REF!,#REF!,#REF!,#REF!,#REF!,#REF!,#REF!,#REF!,#REF!</definedName>
    <definedName function="false" hidden="true" name="__APW_RESTORE_DATA991__" vbProcedure="false">#REF!,#REF!,#REF!,#REF!,#REF!,#REF!,#REF!,#REF!,#REF!,#REF!,#REF!,#REF!,#REF!,#REF!,#REF!</definedName>
    <definedName function="false" hidden="true" name="__APW_RESTORE_DATA992__" vbProcedure="false">#REF!,#REF!,#REF!,#REF!,#REF!,#REF!,#REF!,#REF!,#REF!,#REF!,#REF!,#REF!,#REF!,#REF!,#REF!</definedName>
    <definedName function="false" hidden="true" name="__APW_RESTORE_DATA993__" vbProcedure="false">#REF!,#REF!,#REF!,#REF!,#REF!,#REF!,#REF!,#REF!,#REF!,#REF!,#REF!,#REF!,#REF!,#REF!,#REF!</definedName>
    <definedName function="false" hidden="true" name="__APW_RESTORE_DATA994__" vbProcedure="false">#REF!,#REF!,#REF!,#REF!,#REF!,#REF!,#REF!,#REF!,#REF!,#REF!,#REF!,#REF!,#REF!,#REF!,#REF!</definedName>
    <definedName function="false" hidden="true" name="__APW_RESTORE_DATA995__" vbProcedure="false">#REF!,#REF!,#REF!,#REF!,#REF!,#REF!,#REF!,#REF!,#REF!,#REF!,#REF!,#REF!,#REF!,#REF!,#REF!</definedName>
    <definedName function="false" hidden="true" name="__APW_RESTORE_DATA996__" vbProcedure="false">#REF!,#REF!,#REF!,#REF!,#REF!,#REF!,#REF!,#REF!,#REF!,#REF!,#REF!,#REF!,#REF!,#REF!,#REF!</definedName>
    <definedName function="false" hidden="true" name="__APW_RESTORE_DATA997__" vbProcedure="false">#REF!,#REF!,#REF!,#REF!,#REF!,#REF!,#REF!,#REF!,#REF!,#REF!,#REF!,#REF!,#REF!,#REF!,#REF!</definedName>
    <definedName function="false" hidden="true" name="__APW_RESTORE_DATA998__" vbProcedure="false">#REF!,#REF!,#REF!,#REF!,#REF!,#REF!,#REF!,#REF!,#REF!,#REF!,#REF!,#REF!,#REF!,#REF!,#REF!</definedName>
    <definedName function="false" hidden="true" name="__APW_RESTORE_DATA999__" vbProcedure="false">#REF!,#REF!,#REF!,#REF!,#REF!,#REF!,#REF!,#REF!,#REF!,#REF!,#REF!,#REF!,#REF!,#REF!,#REF!</definedName>
    <definedName function="false" hidden="true" name="__APW_RESTORE_DATA99__" vbProcedure="false">#REF!,#REF!,#REF!,#REF!,#REF!,#REF!,#REF!,#REF!,#REF!,#REF!,#REF!,#REF!,#REF!,#REF!,#REF!</definedName>
    <definedName function="false" hidden="true" name="__APW_RESTORE_DATA9__" vbProcedure="false">#REF!</definedName>
    <definedName function="false" hidden="true" name="__APW_RESTORE_HYPERLINK0__" vbProcedure="false">#REF!</definedName>
    <definedName function="false" hidden="true" name="__APW_RESTORE_HYPERLINK100__" vbProcedure="false">#REF!</definedName>
    <definedName function="false" hidden="true" name="__APW_RESTORE_HYPERLINK101__" vbProcedure="false">#REF!</definedName>
    <definedName function="false" hidden="true" name="__APW_RESTORE_HYPERLINK102__" vbProcedure="false">#REF!</definedName>
    <definedName function="false" hidden="true" name="__APW_RESTORE_HYPERLINK103__" vbProcedure="false">#REF!</definedName>
    <definedName function="false" hidden="true" name="__APW_RESTORE_HYPERLINK104__" vbProcedure="false">#REF!</definedName>
    <definedName function="false" hidden="true" name="__APW_RESTORE_HYPERLINK105__" vbProcedure="false">#REF!</definedName>
    <definedName function="false" hidden="true" name="__APW_RESTORE_HYPERLINK106__" vbProcedure="false">#REF!</definedName>
    <definedName function="false" hidden="true" name="__APW_RESTORE_HYPERLINK107__" vbProcedure="false">#REF!</definedName>
    <definedName function="false" hidden="true" name="__APW_RESTORE_HYPERLINK108__" vbProcedure="false">#REF!</definedName>
    <definedName function="false" hidden="true" name="__APW_RESTORE_HYPERLINK109__" vbProcedure="false">#REF!</definedName>
    <definedName function="false" hidden="true" name="__APW_RESTORE_HYPERLINK10__" vbProcedure="false">#REF!</definedName>
    <definedName function="false" hidden="true" name="__APW_RESTORE_HYPERLINK110__" vbProcedure="false">#REF!</definedName>
    <definedName function="false" hidden="true" name="__APW_RESTORE_HYPERLINK111__" vbProcedure="false">#REF!</definedName>
    <definedName function="false" hidden="true" name="__APW_RESTORE_HYPERLINK112__" vbProcedure="false">#REF!</definedName>
    <definedName function="false" hidden="true" name="__APW_RESTORE_HYPERLINK113__" vbProcedure="false">#REF!</definedName>
    <definedName function="false" hidden="true" name="__APW_RESTORE_HYPERLINK114__" vbProcedure="false">#REF!</definedName>
    <definedName function="false" hidden="true" name="__APW_RESTORE_HYPERLINK115__" vbProcedure="false">#REF!</definedName>
    <definedName function="false" hidden="true" name="__APW_RESTORE_HYPERLINK116__" vbProcedure="false">#REF!</definedName>
    <definedName function="false" hidden="true" name="__APW_RESTORE_HYPERLINK117__" vbProcedure="false">#REF!</definedName>
    <definedName function="false" hidden="true" name="__APW_RESTORE_HYPERLINK118__" vbProcedure="false">#REF!</definedName>
    <definedName function="false" hidden="true" name="__APW_RESTORE_HYPERLINK11__" vbProcedure="false">#REF!</definedName>
    <definedName function="false" hidden="true" name="__APW_RESTORE_HYPERLINK12__" vbProcedure="false">#REF!</definedName>
    <definedName function="false" hidden="true" name="__APW_RESTORE_HYPERLINK13__" vbProcedure="false">#REF!</definedName>
    <definedName function="false" hidden="true" name="__APW_RESTORE_HYPERLINK14__" vbProcedure="false">#REF!</definedName>
    <definedName function="false" hidden="true" name="__APW_RESTORE_HYPERLINK15__" vbProcedure="false">#REF!</definedName>
    <definedName function="false" hidden="true" name="__APW_RESTORE_HYPERLINK16__" vbProcedure="false">#REF!</definedName>
    <definedName function="false" hidden="true" name="__APW_RESTORE_HYPERLINK17__" vbProcedure="false">#REF!</definedName>
    <definedName function="false" hidden="true" name="__APW_RESTORE_HYPERLINK18__" vbProcedure="false">#REF!</definedName>
    <definedName function="false" hidden="true" name="__APW_RESTORE_HYPERLINK19__" vbProcedure="false">#REF!</definedName>
    <definedName function="false" hidden="true" name="__APW_RESTORE_HYPERLINK1__" vbProcedure="false">#REF!</definedName>
    <definedName function="false" hidden="true" name="__APW_RESTORE_HYPERLINK20__" vbProcedure="false">#REF!</definedName>
    <definedName function="false" hidden="true" name="__APW_RESTORE_HYPERLINK21__" vbProcedure="false">#REF!</definedName>
    <definedName function="false" hidden="true" name="__APW_RESTORE_HYPERLINK22__" vbProcedure="false">#REF!</definedName>
    <definedName function="false" hidden="true" name="__APW_RESTORE_HYPERLINK23__" vbProcedure="false">#REF!</definedName>
    <definedName function="false" hidden="true" name="__APW_RESTORE_HYPERLINK24__" vbProcedure="false">#REF!</definedName>
    <definedName function="false" hidden="true" name="__APW_RESTORE_HYPERLINK25__" vbProcedure="false">#REF!</definedName>
    <definedName function="false" hidden="true" name="__APW_RESTORE_HYPERLINK26__" vbProcedure="false">#REF!</definedName>
    <definedName function="false" hidden="true" name="__APW_RESTORE_HYPERLINK27__" vbProcedure="false">#REF!</definedName>
    <definedName function="false" hidden="true" name="__APW_RESTORE_HYPERLINK28__" vbProcedure="false">#REF!</definedName>
    <definedName function="false" hidden="true" name="__APW_RESTORE_HYPERLINK29__" vbProcedure="false">#REF!</definedName>
    <definedName function="false" hidden="true" name="__APW_RESTORE_HYPERLINK2__" vbProcedure="false">#REF!</definedName>
    <definedName function="false" hidden="true" name="__APW_RESTORE_HYPERLINK30__" vbProcedure="false">#REF!</definedName>
    <definedName function="false" hidden="true" name="__APW_RESTORE_HYPERLINK31__" vbProcedure="false">#REF!</definedName>
    <definedName function="false" hidden="true" name="__APW_RESTORE_HYPERLINK32__" vbProcedure="false">#REF!</definedName>
    <definedName function="false" hidden="true" name="__APW_RESTORE_HYPERLINK33__" vbProcedure="false">#REF!</definedName>
    <definedName function="false" hidden="true" name="__APW_RESTORE_HYPERLINK34__" vbProcedure="false">#REF!</definedName>
    <definedName function="false" hidden="true" name="__APW_RESTORE_HYPERLINK35__" vbProcedure="false">#REF!</definedName>
    <definedName function="false" hidden="true" name="__APW_RESTORE_HYPERLINK36__" vbProcedure="false">#REF!</definedName>
    <definedName function="false" hidden="true" name="__APW_RESTORE_HYPERLINK37__" vbProcedure="false">#REF!</definedName>
    <definedName function="false" hidden="true" name="__APW_RESTORE_HYPERLINK38__" vbProcedure="false">#REF!</definedName>
    <definedName function="false" hidden="true" name="__APW_RESTORE_HYPERLINK39__" vbProcedure="false">#REF!</definedName>
    <definedName function="false" hidden="true" name="__APW_RESTORE_HYPERLINK3__" vbProcedure="false">#REF!</definedName>
    <definedName function="false" hidden="true" name="__APW_RESTORE_HYPERLINK40__" vbProcedure="false">#REF!</definedName>
    <definedName function="false" hidden="true" name="__APW_RESTORE_HYPERLINK41__" vbProcedure="false">#REF!</definedName>
    <definedName function="false" hidden="true" name="__APW_RESTORE_HYPERLINK42__" vbProcedure="false">#REF!</definedName>
    <definedName function="false" hidden="true" name="__APW_RESTORE_HYPERLINK43__" vbProcedure="false">#REF!</definedName>
    <definedName function="false" hidden="true" name="__APW_RESTORE_HYPERLINK44__" vbProcedure="false">#REF!</definedName>
    <definedName function="false" hidden="true" name="__APW_RESTORE_HYPERLINK45__" vbProcedure="false">#REF!</definedName>
    <definedName function="false" hidden="true" name="__APW_RESTORE_HYPERLINK46__" vbProcedure="false">#REF!</definedName>
    <definedName function="false" hidden="true" name="__APW_RESTORE_HYPERLINK47__" vbProcedure="false">#REF!</definedName>
    <definedName function="false" hidden="true" name="__APW_RESTORE_HYPERLINK48__" vbProcedure="false">#REF!</definedName>
    <definedName function="false" hidden="true" name="__APW_RESTORE_HYPERLINK49__" vbProcedure="false">#REF!</definedName>
    <definedName function="false" hidden="true" name="__APW_RESTORE_HYPERLINK4__" vbProcedure="false">#REF!</definedName>
    <definedName function="false" hidden="true" name="__APW_RESTORE_HYPERLINK50__" vbProcedure="false">#REF!</definedName>
    <definedName function="false" hidden="true" name="__APW_RESTORE_HYPERLINK51__" vbProcedure="false">#REF!</definedName>
    <definedName function="false" hidden="true" name="__APW_RESTORE_HYPERLINK52__" vbProcedure="false">#REF!</definedName>
    <definedName function="false" hidden="true" name="__APW_RESTORE_HYPERLINK53__" vbProcedure="false">#REF!</definedName>
    <definedName function="false" hidden="true" name="__APW_RESTORE_HYPERLINK54__" vbProcedure="false">#REF!</definedName>
    <definedName function="false" hidden="true" name="__APW_RESTORE_HYPERLINK55__" vbProcedure="false">#REF!</definedName>
    <definedName function="false" hidden="true" name="__APW_RESTORE_HYPERLINK56__" vbProcedure="false">#REF!</definedName>
    <definedName function="false" hidden="true" name="__APW_RESTORE_HYPERLINK57__" vbProcedure="false">#REF!</definedName>
    <definedName function="false" hidden="true" name="__APW_RESTORE_HYPERLINK58__" vbProcedure="false">#REF!</definedName>
    <definedName function="false" hidden="true" name="__APW_RESTORE_HYPERLINK59__" vbProcedure="false">#REF!</definedName>
    <definedName function="false" hidden="true" name="__APW_RESTORE_HYPERLINK5__" vbProcedure="false">#REF!</definedName>
    <definedName function="false" hidden="true" name="__APW_RESTORE_HYPERLINK60__" vbProcedure="false">#REF!</definedName>
    <definedName function="false" hidden="true" name="__APW_RESTORE_HYPERLINK61__" vbProcedure="false">#REF!</definedName>
    <definedName function="false" hidden="true" name="__APW_RESTORE_HYPERLINK62__" vbProcedure="false">#REF!</definedName>
    <definedName function="false" hidden="true" name="__APW_RESTORE_HYPERLINK63__" vbProcedure="false">#REF!</definedName>
    <definedName function="false" hidden="true" name="__APW_RESTORE_HYPERLINK64__" vbProcedure="false">#REF!</definedName>
    <definedName function="false" hidden="true" name="__APW_RESTORE_HYPERLINK65__" vbProcedure="false">#REF!</definedName>
    <definedName function="false" hidden="true" name="__APW_RESTORE_HYPERLINK66__" vbProcedure="false">#REF!</definedName>
    <definedName function="false" hidden="true" name="__APW_RESTORE_HYPERLINK67__" vbProcedure="false">#REF!</definedName>
    <definedName function="false" hidden="true" name="__APW_RESTORE_HYPERLINK68__" vbProcedure="false">#REF!</definedName>
    <definedName function="false" hidden="true" name="__APW_RESTORE_HYPERLINK69__" vbProcedure="false">#REF!</definedName>
    <definedName function="false" hidden="true" name="__APW_RESTORE_HYPERLINK6__" vbProcedure="false">#REF!</definedName>
    <definedName function="false" hidden="true" name="__APW_RESTORE_HYPERLINK70__" vbProcedure="false">#REF!</definedName>
    <definedName function="false" hidden="true" name="__APW_RESTORE_HYPERLINK71__" vbProcedure="false">#REF!</definedName>
    <definedName function="false" hidden="true" name="__APW_RESTORE_HYPERLINK72__" vbProcedure="false">#REF!</definedName>
    <definedName function="false" hidden="true" name="__APW_RESTORE_HYPERLINK73__" vbProcedure="false">#REF!</definedName>
    <definedName function="false" hidden="true" name="__APW_RESTORE_HYPERLINK74__" vbProcedure="false">#REF!</definedName>
    <definedName function="false" hidden="true" name="__APW_RESTORE_HYPERLINK75__" vbProcedure="false">#REF!</definedName>
    <definedName function="false" hidden="true" name="__APW_RESTORE_HYPERLINK76__" vbProcedure="false">#REF!</definedName>
    <definedName function="false" hidden="true" name="__APW_RESTORE_HYPERLINK77__" vbProcedure="false">#REF!</definedName>
    <definedName function="false" hidden="true" name="__APW_RESTORE_HYPERLINK78__" vbProcedure="false">#REF!</definedName>
    <definedName function="false" hidden="true" name="__APW_RESTORE_HYPERLINK79__" vbProcedure="false">#REF!</definedName>
    <definedName function="false" hidden="true" name="__APW_RESTORE_HYPERLINK7__" vbProcedure="false">#REF!</definedName>
    <definedName function="false" hidden="true" name="__APW_RESTORE_HYPERLINK80__" vbProcedure="false">#REF!</definedName>
    <definedName function="false" hidden="true" name="__APW_RESTORE_HYPERLINK81__" vbProcedure="false">#REF!</definedName>
    <definedName function="false" hidden="true" name="__APW_RESTORE_HYPERLINK82__" vbProcedure="false">#REF!</definedName>
    <definedName function="false" hidden="true" name="__APW_RESTORE_HYPERLINK83__" vbProcedure="false">#REF!</definedName>
    <definedName function="false" hidden="true" name="__APW_RESTORE_HYPERLINK84__" vbProcedure="false">#REF!</definedName>
    <definedName function="false" hidden="true" name="__APW_RESTORE_HYPERLINK85__" vbProcedure="false">#REF!</definedName>
    <definedName function="false" hidden="true" name="__APW_RESTORE_HYPERLINK86__" vbProcedure="false">#REF!</definedName>
    <definedName function="false" hidden="true" name="__APW_RESTORE_HYPERLINK87__" vbProcedure="false">#REF!</definedName>
    <definedName function="false" hidden="true" name="__APW_RESTORE_HYPERLINK88__" vbProcedure="false">#REF!</definedName>
    <definedName function="false" hidden="true" name="__APW_RESTORE_HYPERLINK89__" vbProcedure="false">#REF!</definedName>
    <definedName function="false" hidden="true" name="__APW_RESTORE_HYPERLINK8__" vbProcedure="false">#REF!</definedName>
    <definedName function="false" hidden="true" name="__APW_RESTORE_HYPERLINK90__" vbProcedure="false">#REF!</definedName>
    <definedName function="false" hidden="true" name="__APW_RESTORE_HYPERLINK91__" vbProcedure="false">#REF!</definedName>
    <definedName function="false" hidden="true" name="__APW_RESTORE_HYPERLINK92__" vbProcedure="false">#REF!</definedName>
    <definedName function="false" hidden="true" name="__APW_RESTORE_HYPERLINK93__" vbProcedure="false">#REF!</definedName>
    <definedName function="false" hidden="true" name="__APW_RESTORE_HYPERLINK94__" vbProcedure="false">#REF!</definedName>
    <definedName function="false" hidden="true" name="__APW_RESTORE_HYPERLINK95__" vbProcedure="false">#REF!</definedName>
    <definedName function="false" hidden="true" name="__APW_RESTORE_HYPERLINK96__" vbProcedure="false">#REF!</definedName>
    <definedName function="false" hidden="true" name="__APW_RESTORE_HYPERLINK97__" vbProcedure="false">#REF!</definedName>
    <definedName function="false" hidden="true" name="__APW_RESTORE_HYPERLINK98__" vbProcedure="false">#REF!</definedName>
    <definedName function="false" hidden="true" name="__APW_RESTORE_HYPERLINK99__" vbProcedure="false">#REF!</definedName>
    <definedName function="false" hidden="true" name="__APW_RESTORE_HYPERLINK9__" vbProcedure="false">#REF!</definedName>
    <definedName function="false" hidden="true" name="__aro30" vbProcedure="false">{#N/A,#N/A,FALSE,"Staffnos &amp; cost"}</definedName>
    <definedName function="false" hidden="true" name="__art4"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__ASS6434" vbProcedure="false">{"TOTALASSEMBLY",#N/A,FALSE,"ASSEMBLY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function="false" hidden="true" name="__b1" vbProcedure="false">word</definedName>
    <definedName function="false" hidden="true" name="__b111" vbProcedure="false">{#N/A,#N/A,FALSE,"Pharm";#N/A,#N/A,FALSE,"WWCM"}</definedName>
    <definedName function="false" hidden="true" name="__b18" vbProcedure="false">{"Tages_D",#N/A,FALSE,"Tagesbericht";"Tages_PL",#N/A,FALSE,"Tagesbericht"}</definedName>
    <definedName function="false" hidden="true" name="__b19" vbProcedure="false">{"Tages_D",#N/A,FALSE,"Tagesbericht";"Tages_PL",#N/A,FALSE,"Tagesbericht"}</definedName>
    <definedName function="false" hidden="true" name="__bb1"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__bb12"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__BB13"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__bb2"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__BIO1" vbProcedure="false">{"toc1",#N/A,FALSE,"TOC";"cover",#N/A,FALSE,"Cover";"ts1",#N/A,FALSE,"Transaction Summary";"ei3",#N/A,FALSE,"Earnings Impact";"ad3",#N/A,FALSE,"accretion dilution"}</definedName>
    <definedName function="false" hidden="true" name="__bud3" vbProcedure="false">{"budget95",#N/A,TRUE,"Tabelle1";"Tab1",#N/A,TRUE,"Tabelle2"}</definedName>
    <definedName function="false" hidden="true" name="__c" vbProcedure="false">{"budget95",#N/A,TRUE,"Tabelle1";"Tab1",#N/A,TRUE,"Tabelle2"}</definedName>
    <definedName function="false" hidden="true" name="__CAP10" vbProcedure="false">{"LC",#N/A,FALSE,"FC-15 Cap Expend"}</definedName>
    <definedName function="false" hidden="true" name="__Co50" vbProcedure="false">{#N/A,"DR",FALSE,"increm pf";#N/A,"MAMSI",FALSE,"increm pf";#N/A,"MAXI",FALSE,"increm pf";#N/A,"PCAM",FALSE,"increm pf";#N/A,"PHSV",FALSE,"increm pf";#N/A,"SIE",FALSE,"increm pf"}</definedName>
    <definedName function="false" hidden="true" name="__cum1" vbProcedure="false">{"SCM_Detail",#N/A,FALSE,"SCM";"SCM_Top",#N/A,FALSE,"SCM"}</definedName>
    <definedName function="false" hidden="true" name="__CuN3" vbProcedure="false">{#N/A,#N/A,FALSE,"WOBE_DE.XLS";#N/A,#N/A,FALSE,"WOB_1.XLS";#N/A,#N/A,FALSE,"WOB_2.XLS";#N/A,#N/A,FALSE,"WOB_3.XLS";#N/A,#N/A,FALSE,"WOB_4.XLS";#N/A,#N/A,FALSE,"WOB_5.XLS"}</definedName>
    <definedName function="false" hidden="true" name="__d1" vbProcedure="false">{#N/A,#N/A,FALSE,"bel";#N/A,#N/A,FALSE,"neth"}</definedName>
    <definedName function="false" hidden="true" name="__das2" vbProcedure="false">{#N/A,#N/A,TRUE,"Cover";#N/A,#N/A,TRUE,"Summary";#N/A,#N/A,TRUE,"P&amp;L";#N/A,#N/A,TRUE,"CF";#N/A,#N/A,TRUE,"BS";#N/A,#N/A,TRUE,"BS_Assumptions";#N/A,#N/A,TRUE,"GSM1800 - Revenues";#N/A,#N/A,TRUE,"Int'l - Revenues";#N/A,#N/A,TRUE,"Domestic Trunk - Revenues";#N/A,#N/A,TRUE,"Interconnection Charges";#N/A,#N/A,TRUE,"Cost of Service";#N/A,#N/A,TRUE,"Handset Cost";#N/A,#N/A,TRUE,"Op. Expenses";#N/A,#N/A,TRUE,"Debt Schedule";#N/A,#N/A,TRUE,"Capex";#N/A,#N/A,TRUE,"Fixed Assets &amp; Def. Exp.";#N/A,#N/A,TRUE,"Deprec. &amp; Amort.";#N/A,#N/A,TRUE,"Capital Allowance";#N/A,#N/A,TRUE,"Tax Schedule";#N/A,#N/A,TRUE,"P&amp;L (GSM1800)";#N/A,#N/A,TRUE,"P&amp;L (PSTN&amp;EQUAL ACCESS)";#N/A,#N/A,TRUE,"P&amp;L (IDD)";#N/A,#N/A,TRUE,"DCF"}</definedName>
    <definedName function="false" hidden="true" name="__DCF1" vbProcedure="false">{#N/A,#N/A,FALSE,"DCF Summary";#N/A,#N/A,FALSE,"Casema";#N/A,#N/A,FALSE,"Casema NoTel";#N/A,#N/A,FALSE,"UK";#N/A,#N/A,FALSE,"RCF";#N/A,#N/A,FALSE,"Intercable CZ";#N/A,#N/A,FALSE,"Interkabel P"}</definedName>
    <definedName function="false" hidden="true" name="__DF4" vbProcedure="false">#REF!</definedName>
    <definedName function="false" hidden="true" name="__dfk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djd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dkj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DP6434" vbProcedure="false">{"TOTALDPAK",#N/A,FALSE,"DPAK PRODUCTION";"HADPAK",#N/A,FALSE,"DPAK PRODUCTION";"PSIDPAK",#N/A,FALSE,"DPAK PRODUCTION"}</definedName>
    <definedName function="false" hidden="true" name="__dsd1" vbProcedure="false">{#N/A,#N/A,FALSE,"Summary";#N/A,#N/A,FALSE,"Rollup";#N/A,#N/A,FALSE,"SG&amp;A";#N/A,#N/A,FALSE,"Sales_Rollup";"mixstar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function="false" hidden="true" name="__dwa1" vbProcedure="false">{#N/A,"PURCHM",FALSE,"Business Analysis";#N/A,"SPADD",FALSE,"Business Analysis"}</definedName>
    <definedName function="false" hidden="true" name="__eo2" vbProcedure="false">{"'B1'!$B$3:$E$3"}</definedName>
    <definedName function="false" hidden="true" name="__eo4" vbProcedure="false">{"'B1'!$B$3:$E$3"}</definedName>
    <definedName function="false" hidden="true" name="__eu93" vbProcedure="false">{"Comp_of_Price_Effect",#N/A,FALSE,"QTRDPVAR"}</definedName>
    <definedName function="false" hidden="true" name="__ew10" vbProcedure="false">{"'B1'!$B$3:$E$3"}</definedName>
    <definedName function="false" hidden="true" name="__ew2" vbProcedure="false">{"'B1'!$B$3:$E$3"}</definedName>
    <definedName function="false" hidden="true" name="__ew3" vbProcedure="false">{"'B1'!$B$3:$E$3"}</definedName>
    <definedName function="false" hidden="true" name="__ew4" vbProcedure="false">{"'B1'!$B$3:$E$3"}</definedName>
    <definedName function="false" hidden="true" name="__ew5" vbProcedure="false">{"'B1'!$B$3:$E$3"}</definedName>
    <definedName function="false" hidden="true" name="__ew6" vbProcedure="false">{"'B1'!$B$3:$E$3"}</definedName>
    <definedName function="false" hidden="true" name="__ew8" vbProcedure="false">{"'B1'!$B$3:$E$3"}</definedName>
    <definedName function="false" hidden="true" name="__FA16434" vbProcedure="false">{"TOTALFAB",#N/A,FALSE,"WAFER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function="false" hidden="true" name="__FA26434"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__FA96434"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__FAC6434" vbProcedure="false">{"TOTAL",#N/A,FALSE,"FACILITIES EXPENSE";"TOTALDETAIL",#N/A,FALSE,"FACILITIES EXPENSE";"MATERIALS",#N/A,FALSE,"FACILITIES EXPENSE";"FACILITIES",#N/A,FALSE,"FACILITIES EXPENSE";"CHEM",#N/A,FALSE,"FACILITIES EXPENSE";"GENSVC",#N/A,FALSE,"FACILITIES EXPENSE";"SAFETY",#N/A,FALSE,"FACILITIES EXPENSE"}</definedName>
    <definedName function="false" hidden="true" name="__FDS_HYPERLINK_TOGGLE_STATE__" vbProcedure="false">"ON"</definedName>
    <definedName function="false" hidden="true" name="__FDS_UNIQUE_RANGE_ID_GENERATOR_COUNTER" vbProcedure="false">2</definedName>
    <definedName function="false" hidden="true" name="__FDS_USED_FOR_REUSING_RANGE_IDS_RECYCLE" vbProcedure="false">{2129,1901,1644,1624,1795,2136,2137}</definedName>
    <definedName function="false" hidden="true" name="__fy97" vbProcedure="false">{#N/A,#N/A,FALSE,"FY97";#N/A,#N/A,FALSE,"FY98";#N/A,#N/A,FALSE,"FY99";#N/A,#N/A,FALSE,"FY00";#N/A,#N/A,FALSE,"FY01"}</definedName>
    <definedName function="false" hidden="true" name="__G1" vbProcedure="false">{"'Future Reviews'!$A$1:$D$58"}</definedName>
    <definedName function="false" hidden="true" name="__gh1" vbProcedure="false">{"'Data'!$A$1:$D$17"}</definedName>
    <definedName function="false" hidden="true" name="__guv1" vbProcedure="false">{"K GuV o. Kommentar",#N/A,FALSE,"Kaufhof"}</definedName>
    <definedName function="false" hidden="true" name="__guv3" vbProcedure="false">{"K GuV o. Kommentar",#N/A,FALSE,"Kaufhof"}</definedName>
    <definedName function="false" hidden="true" name="__hk01" vbProcedure="false">{"budget95",#N/A,TRUE,"Tabelle1";"Tab1",#N/A,TRUE,"Tabelle2"}</definedName>
    <definedName function="false" hidden="true" name="__i3" vbProcedure="false">{"vue1",#N/A,FALSE,"synthese";"vue2",#N/A,FALSE,"synthese"}</definedName>
    <definedName function="false" hidden="true" name="__IntlFixup" vbProcedure="false">TRUE()</definedName>
    <definedName function="false" hidden="true" name="__IntlFixupTable" vbProcedure="false">#REF!</definedName>
    <definedName function="false" hidden="true" name="__key2" vbProcedure="false">{#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function="false" hidden="true" name="__key3" vbProcedure="false">#REF!</definedName>
    <definedName function="false" hidden="true" name="__LG2" vbProcedure="false">{#N/A,#N/A,TRUE,"매출진척-1";#N/A,#N/A,TRUE,"매출진척-2";#N/A,#N/A,TRUE,"제품실적";#N/A,#N/A,TRUE,"RAC";#N/A,#N/A,TRUE,"PAC ";#N/A,#N/A,TRUE,"재고현황";#N/A,#N/A,TRUE,"공지사항"}</definedName>
    <definedName function="false" hidden="true" name="__M6" vbProcedure="false">{"SUMM",#N/A,TRUE,"C";"ACT_PROD",#N/A,TRUE,"A";"ACT_SHIP",#N/A,TRUE,"A";"BP_YLD",#N/A,TRUE,"B";"ACTZ_PROD",#N/A,TRUE,"D";"ACTZ_SHIP",#N/A,TRUE,"D";"ACTZ_YLD",#N/A,TRUE,"E";"CPSI_PROD",#N/A,TRUE,"F";"CPSI_SHIP",#N/A,TRUE,"F"}</definedName>
    <definedName function="false" hidden="true" name="__Mar08" vbProcedure="false">{#N/A,#N/A,FALSE,"Aging Summary";#N/A,#N/A,FALSE,"Ratio Analysis";#N/A,#N/A,FALSE,"Test 120 Day Accts";#N/A,#N/A,FALSE,"Tickmarks"}</definedName>
    <definedName function="false" hidden="true" name="__mno9" vbProcedure="false">{"detail",#N/A,FALSE,"mfg";"summary",#N/A,FALSE,"mfg"}</definedName>
    <definedName function="false" hidden="true" name="__mw2" vbProcedure="false">{"budget95",#N/A,TRUE,"Tabelle1";"Tab1",#N/A,TRUE,"Tabelle2"}</definedName>
    <definedName function="false" hidden="true" name="__mw3" vbProcedure="false">{"budget95",#N/A,TRUE,"Tabelle1";"Tab1",#N/A,TRUE,"Tabelle2"}</definedName>
    <definedName function="false" hidden="true" name="__n1" vbProcedure="false">{"cover",#N/A,TRUE,"Cover";"toc8",#N/A,TRUE,"TOC";"over",#N/A,TRUE,"Overview";"ts2",#N/A,TRUE,"Det_Trans_Sum";"ei1c",#N/A,TRUE,"Earnings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function="false" hidden="true" name="__na2" vbProcedure="false">{"'SIVA Pricing Model'!$A$1:$F$39"}</definedName>
    <definedName function="false" hidden="true" name="__na3" vbProcedure="false">{"'SIVA Pricing Model'!$A$1:$F$39"}</definedName>
    <definedName function="false" hidden="true" name="__new1" vbProcedure="false">{#N/A,#N/A,FALSE,"Pharm";#N/A,#N/A,FALSE,"WWCM"}</definedName>
    <definedName function="false" hidden="true" name="__New2"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true" name="__new3" vbProcedure="false">{"FY98Q1 nvs",#N/A,FALSE,"FY98 - Q1";"FY98Q2 nvs",#N/A,FALSE,"FY98 - Q2";"FY98Q3 nvs",#N/A,FALSE,"FY98 - Q3";"FY98Q4 nvs",#N/A,FALSE,"FY98 - Q4"}</definedName>
    <definedName function="false" hidden="true" name="__new4" vbProcedure="false">{"INPUT",#N/A,FALSE,"REVENUE AND GM ";"CONTROL",#N/A,FALSE,"REVENUE AND GM ";"SWITCH",#N/A,FALSE,"REVENUE AND GM ";"OUTPUT",#N/A,FALSE,"REVENUE AND GM ";"TOTAL",#N/A,FALSE,"REVENUE AND GM "}</definedName>
    <definedName function="false" hidden="true" name="__new5" vbProcedure="false">{"FY97Total",#N/A,FALSE,"FY97 - Total";"FY98Total",#N/A,FALSE,"FY98 - Total"}</definedName>
    <definedName function="false" hidden="true" name="__new6" vbProcedure="false">{"FY97Q1",#N/A,FALSE,"FY97 - Q1";"FY97Q2",#N/A,FALSE,"FY97 - Q2";"FY97Q3",#N/A,FALSE,"FY97 - Q3";"FY97Q4",#N/A,FALSE,"FY97 - Q4"}</definedName>
    <definedName function="false" hidden="true" name="__o1" vbProcedure="false">{#N/A,#N/A,FALSE,"SUMMARY";#N/A,#N/A,FALSE,"mcsh";#N/A,#N/A,FALSE,"vol&amp;rev";#N/A,#N/A,FALSE,"wkgcap";#N/A,#N/A,FALSE,"DEPR&amp;DT";#N/A,#N/A,FALSE,"ASSETS";#N/A,#N/A,FALSE,"NI&amp;OTH&amp;DIV";#N/A,#N/A,FALSE,"CASHFLOW";#N/A,#N/A,FALSE,"CAPEMPL";#N/A,#N/A,FALSE,"ROCE"}</definedName>
    <definedName function="false" hidden="true" name="__old3" vbProcedure="false">{0,FALSE,4.45014771701848E-308,0}</definedName>
    <definedName function="false" hidden="true" name="__OSX2" vbProcedure="false">{"Area1",#N/A,FALSE,"OREWACC";"Area2",#N/A,FALSE,"OREWACC"}</definedName>
    <definedName function="false" hidden="true" name="__P2" vbProcedure="false">{#N/A,#N/A,FALSE,"단축1";#N/A,#N/A,FALSE,"단축2";#N/A,#N/A,FALSE,"단축3";#N/A,#N/A,FALSE,"장축";#N/A,#N/A,FALSE,"4WD"}</definedName>
    <definedName function="false" hidden="true" name="__q1"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__q234" vbProcedure="false">#N/A</definedName>
    <definedName function="false" hidden="true" name="__q3" vbProcedure="false">#REF!</definedName>
    <definedName function="false" hidden="true" name="__QR6434" vbProcedure="false">{"QAEXPENSE",#N/A,FALSE,"QUALITY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function="false" hidden="true" name="__r" vbProcedure="false">{"consolidated",#N/A,FALSE,"Sheet1";"cms",#N/A,FALSE,"Sheet1";"fse",#N/A,FALSE,"Sheet1"}</definedName>
    <definedName function="false" hidden="true" name="__r78ri"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__r7irro"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__rc"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__s" vbProcedure="false">{"SCM_Detail",#N/A,FALSE,"SCM";"SCM_Top",#N/A,FALSE,"SCM"}</definedName>
    <definedName function="false" hidden="true" name="__s1" vbProcedure="false">#N/A</definedName>
    <definedName function="false" hidden="true" name="__s2" vbProcedure="false">#N/A</definedName>
    <definedName function="false" hidden="true" name="__s3" vbProcedure="false">#N/A</definedName>
    <definedName function="false" hidden="true" name="__s34" vbProcedure="false">{"QTD_GENERALH2",#N/A,FALSE,"QTD"}</definedName>
    <definedName function="false" hidden="true" name="__s4" vbProcedure="false">#N/A</definedName>
    <definedName function="false" hidden="true" name="__s5" vbProcedure="false">#N/A</definedName>
    <definedName function="false" hidden="true" name="__s6" vbProcedure="false">#N/A</definedName>
    <definedName function="false" hidden="true" name="__sd34" vbProcedure="false">{"QTD",#N/A,FALSE,"SUM"}</definedName>
    <definedName function="false" hidden="true" name="__SDW1" vbProcedure="false">#REF!</definedName>
    <definedName function="false" hidden="true" name="__sdy001" vbProcedure="false">{#N/A,#N/A,FALSE,"PrintM"}</definedName>
    <definedName function="false" hidden="true" name="__sdy01" vbProcedure="false">{#N/A,#N/A,FALSE,"PrintM"}</definedName>
    <definedName function="false" hidden="true" name="__sdy1" vbProcedure="false">{#N/A,#N/A,FALSE,"PrintM"}</definedName>
    <definedName function="false" hidden="true" name="__t1" vbProcedure="false">{#N/A,#N/A,FALSE,"1996PL";#N/A,#N/A,FALSE,"1997PL";#N/A,#N/A,FALSE,"1998PL";#N/A,#N/A,FALSE,"1999PL"}</definedName>
    <definedName function="false" hidden="true" name="__T2" vbProcedure="false">{#N/A,#N/A,FALSE,"단축1";#N/A,#N/A,FALSE,"단축2";#N/A,#N/A,FALSE,"단축3";#N/A,#N/A,FALSE,"장축";#N/A,#N/A,FALSE,"4WD"}</definedName>
    <definedName function="false" hidden="true" name="__T3" vbProcedure="false">{#N/A,#N/A,FALSE,"단축1";#N/A,#N/A,FALSE,"단축2";#N/A,#N/A,FALSE,"단축3";#N/A,#N/A,FALSE,"장축";#N/A,#N/A,FALSE,"4WD"}</definedName>
    <definedName function="false" hidden="true" name="__T5" vbProcedure="false">{#N/A,#N/A,FALSE,"단축1";#N/A,#N/A,FALSE,"단축2";#N/A,#N/A,FALSE,"단축3";#N/A,#N/A,FALSE,"장축";#N/A,#N/A,FALSE,"4WD"}</definedName>
    <definedName function="false" hidden="true" name="__TEM6434" vbProcedure="false">{"ALLOCATION1",#N/A,FALSE,"EXPENSE ALLOCATIONS";"ALLOCATION2",#N/A,FALSE,"EXPENSE ALLOCATIONS";"ALLOCATION3",#N/A,FALSE,"EXPENSE ALLOCATIONS";"ALLOCATION4",#N/A,FALSE,"EXPENSE ALLOCATIONS"}</definedName>
    <definedName function="false" hidden="true" name="__tes2" vbProcedure="false">{"'Expense Details'!$A$1:$AM$222"}</definedName>
    <definedName function="false" hidden="true" name="__Tes6" vbProcedure="false">{"'SIVA Pricing Model'!$A$1:$F$39"}</definedName>
    <definedName function="false" hidden="true" name="__tm1" vbProcedure="false">{#N/A,#N/A,FALSE,"Pharm";#N/A,#N/A,FALSE,"WWCM"}</definedName>
    <definedName function="false" hidden="true" name="__tom11" vbProcedure="false">{"'Demand Units'!$Z$2:$AF$53"}</definedName>
    <definedName function="false" hidden="true" name="__tu7" vbProcedure="false">{"sales",#N/A,FALSE,"Sales";"sales existing",#N/A,FALSE,"Sales";"sales rd1",#N/A,FALSE,"Sales";"sales rd2",#N/A,FALSE,"Sales"}</definedName>
    <definedName function="false" hidden="true" name="__u18" vbProcedure="false">{"Tages_D",#N/A,FALSE,"Tagesbericht";"Tages_PL",#N/A,FALSE,"Tagesbericht"}</definedName>
    <definedName function="false" hidden="true" name="__u20" vbProcedure="false">{"fleisch",#N/A,FALSE,"WG HK";"food",#N/A,FALSE,"WG HK";"hartwaren",#N/A,FALSE,"WG HK";"weichwaren",#N/A,FALSE,"WG HK"}</definedName>
    <definedName function="false" hidden="true" name="__wer33" vbProcedure="false">{"cover",#N/A,TRUE,"Cover";"toc5",#N/A,TRUE,"TOC";"over",#N/A,TRUE,"Overview";"ts2",#N/A,TRUE,"Det_Trans_Sum";"ei1",#N/A,TRUE,"Earnings Impact";"ad1",#N/A,TRUE,"accretion dilution";"pfis1",#N/A,TRUE,"Pro Forma Income Statement";"ca1",#N/A,TRUE,"Contribution_Analysis";"acq1",#N/A,TRUE,"Acquirer";"tar1",#N/A,TRUE,"Target"}</definedName>
    <definedName function="false" hidden="true" name="__wr4"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__wrm3" vbProcedure="false">{"vue1",#N/A,FALSE,"synthese";"vue2",#N/A,FALSE,"synthese"}</definedName>
    <definedName function="false" hidden="true" name="__wrn02" vbProcedure="false">{#N/A,#N/A,FALSE,"Sheet2"}</definedName>
    <definedName function="false" hidden="true" name="__wrn1" vbProcedure="false">{#N/A,#N/A,FALSE,"DCF";#N/A,#N/A,FALSE,"WACC";#N/A,#N/A,FALSE,"Sales_EBIT";#N/A,#N/A,FALSE,"Capex_Depreciation";#N/A,#N/A,FALSE,"WC";#N/A,#N/A,FALSE,"Interest";#N/A,#N/A,FALSE,"Assumptions"}</definedName>
    <definedName function="false" hidden="true" name="__wrn2" vbProcedure="false">{"vue1",#N/A,FALSE,"synthese";"vue2",#N/A,FALSE,"synthese"}</definedName>
    <definedName function="false" hidden="true" name="__wrn3" vbProcedure="false">{"vue1",#N/A,FALSE,"synthese";"vue2",#N/A,FALSE,"synthese"}</definedName>
    <definedName function="false" hidden="true" name="__ww2" vbProcedure="false">{#N/A,#N/A,FALSE,"Admin";#N/A,#N/A,FALSE,"Other"}</definedName>
    <definedName function="false" hidden="true" name="__x1" vbProcedure="false">{"detail",#N/A,FALSE,"mfg";"summary",#N/A,FALSE,"mfg"}</definedName>
    <definedName function="false" hidden="true" name="__X2" vbProcedure="false">{#N/A,#N/A,FALSE,"Other";#N/A,#N/A,FALSE,"Ace";#N/A,#N/A,FALSE,"Derm"}</definedName>
    <definedName function="false" hidden="true" name="__x3" vbProcedure="false">{"detail",#N/A,FALSE,"mfg";"summary",#N/A,FALSE,"mfg"}</definedName>
    <definedName function="false" hidden="true" name="__x4" vbProcedure="false">{#N/A,"PURCHM",FALSE,"Business Analysis";#N/A,"SPADD",FALSE,"Business Analysis"}</definedName>
    <definedName function="false" hidden="true" name="__x5"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xf2"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__XG2" vbProcedure="false">{#N/A,#N/A,FALSE,"단축1";#N/A,#N/A,FALSE,"단축2";#N/A,#N/A,FALSE,"단축3";#N/A,#N/A,FALSE,"장축";#N/A,#N/A,FALSE,"4WD"}</definedName>
    <definedName function="false" hidden="true" name="__xx10" vbProcedure="false">{#N/A,"PURCHM",FALSE,"Business Analysis";#N/A,"SPADD",FALSE,"Business Analysis"}</definedName>
    <definedName function="false" hidden="true" name="__xx3" vbProcedure="false">{"detail",#N/A,FALSE,"mfg";"summary",#N/A,FALSE,"mfg"}</definedName>
    <definedName function="false" hidden="true" name="__xx4"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__xx5"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__xx6"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__xx7" vbProcedure="false">{"oct_res_comm",#N/A,FALSE,"VarToBud"}</definedName>
    <definedName function="false" hidden="true" name="__xx8"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__xx9" vbProcedure="false">{"AS REP",#N/A,FALSE,"EEFSNAP2";"PROP",#N/A,FALSE,"EEFSNAP2";"RISKS",#N/A,FALSE,"EEFSNAP2";"VIEW ALL",#N/A,FALSE,"EEFSNAP2"}</definedName>
    <definedName function="false" hidden="true" name="__z" vbProcedure="false">{"mgmt forecast",#N/A,FALSE,"Mgmt Forecast";"dcf table",#N/A,FALSE,"Mgmt Forecast";"sensitivity",#N/A,FALSE,"Mgmt Forecast";"table inputs",#N/A,FALSE,"Mgmt Forecast";"calculations",#N/A,FALSE,"Mgmt Forecast"}</definedName>
    <definedName function="false" hidden="true" name="__z10" vbProcedure="false">{"'Future Reviews'!$A$1:$D$58"}</definedName>
    <definedName function="false" hidden="true" name="__z11" vbProcedure="false">{"'Future Reviews'!$A$1:$D$58"}</definedName>
    <definedName function="false" hidden="true" name="__z12" vbProcedure="false">{"'Future Reviews'!$A$1:$D$58"}</definedName>
    <definedName function="false" hidden="true" name="__z13" vbProcedure="false">{"'Future Reviews'!$A$1:$D$58"}</definedName>
    <definedName function="false" hidden="true" name="__z2" vbProcedure="false">{"'Future Reviews'!$A$1:$D$58"}</definedName>
    <definedName function="false" hidden="true" name="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z25" vbProcedure="false">{"detail",#N/A,FALSE,"mfg";"summary",#N/A,FALSE,"mfg"}</definedName>
    <definedName function="false" hidden="true" name="__z3" vbProcedure="false">{"'Future Reviews'!$A$1:$D$58"}</definedName>
    <definedName function="false" hidden="true" name="__z4" vbProcedure="false">{"'Future Reviews'!$A$1:$D$58"}</definedName>
    <definedName function="false" hidden="true" name="__z5" vbProcedure="false">{"'Future Reviews'!$A$1:$D$58"}</definedName>
    <definedName function="false" hidden="true" name="__z6" vbProcedure="false">{"'Future Reviews'!$A$1:$D$58"}</definedName>
    <definedName function="false" hidden="true" name="__z7" vbProcedure="false">{"'Future Reviews'!$A$1:$D$58"}</definedName>
    <definedName function="false" hidden="true" name="__z8" vbProcedure="false">{"'Future Reviews'!$A$1:$D$58"}</definedName>
    <definedName function="false" hidden="true" name="__z9" vbProcedure="false">{"'Future Reviews'!$A$1:$D$58"}</definedName>
    <definedName function="false" hidden="true" name="__zz1" vbProcedure="false">{"pro_view",#N/A,FALSE,"EEFSNAP2";"rep_view",#N/A,FALSE,"EEFSNAP2"}</definedName>
    <definedName function="false" hidden="true" name="__zz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a1"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___A11" vbProcedure="false">{#N/A,#N/A,FALSE,"Umsatz 99";#N/A,#N/A,FALSE,"ER 99 "}</definedName>
    <definedName function="false" hidden="true" name="___a14" vbProcedure="false">{"TAG1AGMS",#N/A,FALSE,"TAG 1A"}</definedName>
    <definedName function="false" hidden="true" name="___a15" vbProcedure="false">{"weichwaren",#N/A,FALSE,"Liste 1";"hartwaren",#N/A,FALSE,"Liste 1";"food",#N/A,FALSE,"Liste 1";"fleisch",#N/A,FALSE,"Liste 1"}</definedName>
    <definedName function="false" hidden="true" name="___a16" vbProcedure="false">{"weichwaren",#N/A,FALSE,"Liste 1";"hartwaren",#N/A,FALSE,"Liste 1";"food",#N/A,FALSE,"Liste 1";"fleisch",#N/A,FALSE,"Liste 1"}</definedName>
    <definedName function="false" hidden="true" name="___a17" vbProcedure="false">{"TAG1AGMS",#N/A,FALSE,"TAG 1A"}</definedName>
    <definedName function="false" hidden="true" name="___a18" vbProcedure="false">{"Tages_D",#N/A,FALSE,"Tagesbericht";"Tages_PL",#N/A,FALSE,"Tagesbericht"}</definedName>
    <definedName function="false" hidden="true" name="___a19" vbProcedure="false">{"fleisch",#N/A,FALSE,"WG HK";"food",#N/A,FALSE,"WG HK";"hartwaren",#N/A,FALSE,"WG HK";"weichwaren",#N/A,FALSE,"WG HK"}</definedName>
    <definedName function="false" hidden="true" name="___a2"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___a3"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___a33" vbProcedure="false">{"fleisch",#N/A,FALSE,"WG HK";"food",#N/A,FALSE,"WG HK";"hartwaren",#N/A,FALSE,"WG HK";"weichwaren",#N/A,FALSE,"WG HK"}</definedName>
    <definedName function="false" hidden="true" name="___a36" vbProcedure="false">{"Accretion",#N/A,FALSE,"Assum"}</definedName>
    <definedName function="false" hidden="true" name="___a37" vbProcedure="false">{#N/A,#N/A,TRUE,"Lines";#N/A,#N/A,TRUE,"Stations";#N/A,#N/A,TRUE,"Cap. Expenses";#N/A,#N/A,TRUE,"Land";#N/A,#N/A,TRUE,"Cen Proces Sys";#N/A,#N/A,TRUE,"telecom";#N/A,#N/A,TRUE,"Other"}</definedName>
    <definedName function="false" hidden="true" name="___a38" vbProcedure="false">{"Assumptions",#N/A,FALSE,"Assum"}</definedName>
    <definedName function="false" hidden="true" name="___a39" vbProcedure="false">{#N/A,#N/A,FALSE,"CAG"}</definedName>
    <definedName function="false" hidden="true" name="___a4"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___a40" vbProcedure="false">{#N/A,#N/A,FALSE,"CPB"}</definedName>
    <definedName function="false" hidden="true" name="___a41" vbProcedure="false">{#N/A,#N/A,FALSE,"Credit Summary"}</definedName>
    <definedName function="false" hidden="true" name="___a42" vbProcedure="false">{"FCB_ALL",#N/A,FALSE,"FCB"}</definedName>
    <definedName function="false" hidden="true" name="___a43" vbProcedure="false">{"FCB_ALL",#N/A,FALSE,"FCB"}</definedName>
    <definedName function="false" hidden="true" name="___a44" vbProcedure="false">{#N/A,#N/A,TRUE,"Cover";#N/A,#N/A,TRUE,"Corrections";#N/A,#N/A,TRUE,"Tariffs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function="false" hidden="true" name="___a45" vbProcedure="false">{#N/A,#N/A,FALSE,"GIS"}</definedName>
    <definedName function="false" hidden="true" name="___a46" vbProcedure="false">{#N/A,#N/A,TRUE,"Cover His PWC";#N/A,#N/A,TRUE,"P&amp;L";#N/A,#N/A,TRUE,"BS";#N/A,#N/A,TRUE,"Depreciation";#N/A,#N/A,TRUE,"GRAPHS";#N/A,#N/A,TRUE,"DCF EBITDA Multiple";#N/A,#N/A,TRUE,"DCF Perpetual Growth"}</definedName>
    <definedName function="false" hidden="true" name="___a47" vbProcedure="false">{#N/A,#N/A,TRUE,"Cover His T";#N/A,#N/A,TRUE,"P&amp;L";#N/A,#N/A,TRUE,"BS";#N/A,#N/A,TRUE,"Depreciation";#N/A,#N/A,TRUE,"GRAPHS";#N/A,#N/A,TRUE,"DCF EBITDA Multiple";#N/A,#N/A,TRUE,"DCF Perpetual Growth"}</definedName>
    <definedName function="false" hidden="true" name="___a48" vbProcedure="false">{#N/A,#N/A,FALSE,"HNZ"}</definedName>
    <definedName function="false" hidden="true" name="___a49" vbProcedure="false">{#N/A,#N/A,TRUE,"Cover";#N/A,#N/A,TRUE,"Valuation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function="false" hidden="true" name="___a5"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___a50" vbProcedure="false">{#N/A,#N/A,FALSE,"K"}</definedName>
    <definedName function="false" hidden="true" name="___a51" vbProcedure="false">{#N/A,#N/A,TRUE,"Cover";#N/A,#N/A,TRUE,"Tariffs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function="false" hidden="true" name="___a52" vbProcedure="false">{#N/A,#N/A,FALSE,"MCCRK"}</definedName>
    <definedName function="false" hidden="true" name="___a53" vbProcedure="false">{#N/A,#N/A,FALSE,"NA"}</definedName>
    <definedName function="false" hidden="true" name="___a54" vbProcedure="false">{"cap_structure",#N/A,FALSE,"Graph-Mkt Cap";"price",#N/A,FALSE,"Graph-Price";"ebit",#N/A,FALSE,"Graph-EBITDA";"ebitda",#N/A,FALSE,"Graph-EBITDA"}</definedName>
    <definedName function="false" hidden="true" name="___a55" vbProcedure="false">{"Tages_D",#N/A,FALSE,"Tagesbericht";"Tages_PL",#N/A,FALSE,"Tagesbericht"}</definedName>
    <definedName function="false" hidden="true" name="___a56" vbProcedure="false">{"summary1",#N/A,TRUE,"Comps";"summary2",#N/A,TRUE,"Comps";"summary3",#N/A,TRUE,"Comps"}</definedName>
    <definedName function="false" hidden="true" name="___a57" vbProcedure="false">{"summary1",#N/A,TRUE,"Comps";"summary2",#N/A,TRUE,"Comps";"summary3",#N/A,TRUE,"Comps"}</definedName>
    <definedName function="false" hidden="true" name="___a58" vbProcedure="false">{#N/A,"DR",FALSE,"increm pf";#N/A,"MAMSI",FALSE,"increm pf";#N/A,"MAXI",FALSE,"increm pf";#N/A,"PCAM",FALSE,"increm pf";#N/A,"PHSV",FALSE,"increm pf";#N/A,"SIE",FALSE,"increm pf"}</definedName>
    <definedName function="false" hidden="true" name="___a59" vbProcedure="false">{#N/A,"Foundation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function="false" hidden="true" name="___a6"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name="___a60" vbProcedure="false">{#N/A,#N/A,TRUE,"Cover Repl";#N/A,#N/A,TRUE,"P&amp;L";#N/A,#N/A,TRUE,"P&amp;L (2)";#N/A,#N/A,TRUE,"BS";#N/A,#N/A,TRUE,"Depreciation";#N/A,#N/A,TRUE,"GRAPHS";#N/A,#N/A,TRUE,"DCF EBITDA Multiple";#N/A,#N/A,TRUE,"DCF Perpetual Growth"}</definedName>
    <definedName function="false" hidden="true" name="___a61" vbProcedure="false">{#N/A,#N/A,FALSE,"Trading Summary"}</definedName>
    <definedName function="false" hidden="true" name="___a63" vbProcedure="false">{#N/A,#N/A,FALSE,"WWY"}</definedName>
    <definedName function="false" hidden="true" name="___a64"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true" name="___a65"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true" name="___a66" vbProcedure="false">{"TAG1AGMS",#N/A,FALSE,"TAG 1A"}</definedName>
    <definedName function="false" hidden="true" name="___a67"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name="___a68"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true" name="___a7" vbProcedure="false">{#N/A,#N/A,TRUE,"Cover";#N/A,#N/A,TRUE,"Macro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function="false" hidden="true" name="___aa22" vbProcedure="false">{"Tages_D",#N/A,FALSE,"Tagesbericht";"Tages_PL",#N/A,FALSE,"Tagesbericht"}</definedName>
    <definedName function="false" hidden="true" name="___aaa1" vbProcedure="false">{#N/A,#N/A,FALSE,"Model";#N/A,#N/A,FALSE,"Division"}</definedName>
    <definedName function="false" hidden="true" name="___abc1" vbProcedure="false">{"detail",#N/A,FALSE,"mfg";"summary",#N/A,FALSE,"mfg"}</definedName>
    <definedName function="false" hidden="true" name="___abc2" vbProcedure="false">{"detail",#N/A,FALSE,"mfg";"summary",#N/A,FALSE,"mfg"}</definedName>
    <definedName function="false" hidden="true" name="___ae2" vbProcedure="false">{"'Inventory &amp; Anal-Cur Wkbk'!$A$7:$AP$71"}</definedName>
    <definedName function="false" hidden="true" name="___age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ALL6434" vbProcedure="false">{"ALLOCATION1",#N/A,FALSE,"EXPENSE ALLOCATIONS";"ALLOCATION2",#N/A,FALSE,"EXPENSE ALLOCATIONS";"ALLOCATION3",#N/A,FALSE,"EXPENSE ALLOCATIONS";"ALLOCATION4",#N/A,FALSE,"EXPENSE ALLOCATIONS"}</definedName>
    <definedName function="false" hidden="true" name="___ASS6434" vbProcedure="false">{"TOTALASSEMBLY",#N/A,FALSE,"ASSEMBLY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function="false" hidden="true" name="___b18" vbProcedure="false">{"Tages_D",#N/A,FALSE,"Tagesbericht";"Tages_PL",#N/A,FALSE,"Tagesbericht"}</definedName>
    <definedName function="false" hidden="true" name="___b19" vbProcedure="false">{"Tages_D",#N/A,FALSE,"Tagesbericht";"Tages_PL",#N/A,FALSE,"Tagesbericht"}</definedName>
    <definedName function="false" hidden="true" name="___bb1"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___bb12"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___BB13"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___bb2" vbProcedure="false">{#N/A,#N/A,FALSE,"Cover";#N/A,#N/A,FALSE,"Summary";#N/A,#N/A,FALSE,"P&amp;L";#N/A,#N/A,FALSE,"CF";#N/A,#N/A,FALSE,"BS";#N/A,#N/A,FALSE,"BS_Assumptions";#N/A,#N/A,FALSE,"GSM1800 - Revenues";#N/A,#N/A,FALSE,"Int'l - Revenues";#N/A,#N/A,FALSE,"Domestic Trunk - Revenues";#N/A,#N/A,FALSE,"Interconnection Charges";#N/A,#N/A,FALSE,"Cost of Service";#N/A,#N/A,FALSE,"Handset Cost";#N/A,#N/A,FALSE,"Op. Expenses";#N/A,#N/A,FALSE,"Debt Schedule";#N/A,#N/A,FALSE,"Fixed Assets &amp; Def. Exp.";#N/A,#N/A,FALSE,"Deprec. &amp; Amort.";#N/A,#N/A,FALSE,"Capital Allowance";#N/A,#N/A,FALSE,"Tax Schedule"}</definedName>
    <definedName function="false" hidden="true" name="___c" vbProcedure="false">{#N/A,#N/A,FALSE,"Layout Cash Flow"}</definedName>
    <definedName function="false" hidden="true" name="___CAP10" vbProcedure="false">{"LC",#N/A,FALSE,"FC-15 Cap Expend"}</definedName>
    <definedName function="false" hidden="true" name="___cum1" vbProcedure="false">{"SCM_Detail",#N/A,FALSE,"SCM";"SCM_Top",#N/A,FALSE,"SCM"}</definedName>
    <definedName function="false" hidden="true" name="___DCF1" vbProcedure="false">{#N/A,#N/A,FALSE,"DCF Summary";#N/A,#N/A,FALSE,"Casema";#N/A,#N/A,FALSE,"Casema NoTel";#N/A,#N/A,FALSE,"UK";#N/A,#N/A,FALSE,"RCF";#N/A,#N/A,FALSE,"Intercable CZ";#N/A,#N/A,FALSE,"Interkabel P"}</definedName>
    <definedName function="false" hidden="true" name="___DF4" vbProcedure="false">#REF!</definedName>
    <definedName function="false" hidden="true" name="___dfk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djd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dkj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DP6434" vbProcedure="false">{"TOTALDPAK",#N/A,FALSE,"DPAK PRODUCTION";"HADPAK",#N/A,FALSE,"DPAK PRODUCTION";"PSIDPAK",#N/A,FALSE,"DPAK PRODUCTION"}</definedName>
    <definedName function="false" hidden="true" name="___eo2" vbProcedure="false">{"'B1'!$B$3:$E$3"}</definedName>
    <definedName function="false" hidden="true" name="___eo4" vbProcedure="false">{"'B1'!$B$3:$E$3"}</definedName>
    <definedName function="false" hidden="true" name="___ew10" vbProcedure="false">{"'B1'!$B$3:$E$3"}</definedName>
    <definedName function="false" hidden="true" name="___ew2" vbProcedure="false">{"'B1'!$B$3:$E$3"}</definedName>
    <definedName function="false" hidden="true" name="___ew3" vbProcedure="false">{"'B1'!$B$3:$E$3"}</definedName>
    <definedName function="false" hidden="true" name="___ew4" vbProcedure="false">{"'B1'!$B$3:$E$3"}</definedName>
    <definedName function="false" hidden="true" name="___ew5" vbProcedure="false">{"'B1'!$B$3:$E$3"}</definedName>
    <definedName function="false" hidden="true" name="___ew6" vbProcedure="false">{"'B1'!$B$3:$E$3"}</definedName>
    <definedName function="false" hidden="true" name="___ew8" vbProcedure="false">{"'B1'!$B$3:$E$3"}</definedName>
    <definedName function="false" hidden="true" name="___FA16434" vbProcedure="false">{"TOTALFAB",#N/A,FALSE,"WAFER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function="false" hidden="true" name="___FA26434"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___FA96434"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___FAC6434" vbProcedure="false">{"TOTAL",#N/A,FALSE,"FACILITIES EXPENSE";"TOTALDETAIL",#N/A,FALSE,"FACILITIES EXPENSE";"MATERIALS",#N/A,FALSE,"FACILITIES EXPENSE";"FACILITIES",#N/A,FALSE,"FACILITIES EXPENSE";"CHEM",#N/A,FALSE,"FACILITIES EXPENSE";"GENSVC",#N/A,FALSE,"FACILITIES EXPENSE";"SAFETY",#N/A,FALSE,"FACILITIES EXPENSE"}</definedName>
    <definedName function="false" hidden="true" name="___fy97" vbProcedure="false">{#N/A,#N/A,FALSE,"FY97";#N/A,#N/A,FALSE,"FY98";#N/A,#N/A,FALSE,"FY99";#N/A,#N/A,FALSE,"FY00";#N/A,#N/A,FALSE,"FY01"}</definedName>
    <definedName function="false" hidden="true" name="___gh1" vbProcedure="false">{"'Data'!$A$1:$D$17"}</definedName>
    <definedName function="false" hidden="true" name="___guv1" vbProcedure="false">{"K GuV o. Kommentar",#N/A,FALSE,"Kaufhof"}</definedName>
    <definedName function="false" hidden="true" name="___guv3" vbProcedure="false">{"K GuV o. Kommentar",#N/A,FALSE,"Kaufhof"}</definedName>
    <definedName function="false" hidden="true" name="___key3" vbProcedure="false">#REF!</definedName>
    <definedName function="false" hidden="true" name="___LG2" vbProcedure="false">{#N/A,#N/A,TRUE,"매출진척-1";#N/A,#N/A,TRUE,"매출진척-2";#N/A,#N/A,TRUE,"제품실적";#N/A,#N/A,TRUE,"RAC";#N/A,#N/A,TRUE,"PAC ";#N/A,#N/A,TRUE,"재고현황";#N/A,#N/A,TRUE,"공지사항"}</definedName>
    <definedName function="false" hidden="true" name="___mai99" vbProcedure="false">{"en FRF",#N/A,FALSE,"fév99";"en €uros",#N/A,FALSE,"fév99"}</definedName>
    <definedName function="false" hidden="true" name="___mds_description___" vbProcedure="false">"Demo Template"</definedName>
    <definedName function="false" hidden="true" name="___na2" vbProcedure="false">{"'SIVA Pricing Model'!$A$1:$F$39"}</definedName>
    <definedName function="false" hidden="true" name="___na3" vbProcedure="false">{"'SIVA Pricing Model'!$A$1:$F$39"}</definedName>
    <definedName function="false" hidden="true" name="___New2" vbProcedure="false">{"TOTAL",#N/A,FALSE,"A";"FISCAL94",#N/A,FALSE,"A";"FISCAL95",#N/A,FALSE,"A";"FISCAL96",#N/A,FALSE,"A";"misc page",#N/A,FALSE,"A"}</definedName>
    <definedName function="false" hidden="true" name="___new3" vbProcedure="false">{"FY98Q1 nvs",#N/A,FALSE,"FY98 - Q1";"FY98Q2 nvs",#N/A,FALSE,"FY98 - Q2";"FY98Q3 nvs",#N/A,FALSE,"FY98 - Q3";"FY98Q4 nvs",#N/A,FALSE,"FY98 - Q4"}</definedName>
    <definedName function="false" hidden="true" name="___new4" vbProcedure="false">{"INPUT",#N/A,FALSE,"REVENUE AND GM ";"CONTROL",#N/A,FALSE,"REVENUE AND GM ";"SWITCH",#N/A,FALSE,"REVENUE AND GM ";"OUTPUT",#N/A,FALSE,"REVENUE AND GM ";"TOTAL",#N/A,FALSE,"REVENUE AND GM "}</definedName>
    <definedName function="false" hidden="true" name="___new5" vbProcedure="false">{"FY97Total",#N/A,FALSE,"FY97 - Total";"FY98Total",#N/A,FALSE,"FY98 - Total"}</definedName>
    <definedName function="false" hidden="true" name="___new6" vbProcedure="false">{"FY97Q1",#N/A,FALSE,"FY97 - Q1";"FY97Q2",#N/A,FALSE,"FY97 - Q2";"FY97Q3",#N/A,FALSE,"FY97 - Q3";"FY97Q4",#N/A,FALSE,"FY97 - Q4"}</definedName>
    <definedName function="false" hidden="true" name="___o1" vbProcedure="false">{#N/A,#N/A,FALSE,"SUMMARY";#N/A,#N/A,FALSE,"mcsh";#N/A,#N/A,FALSE,"vol&amp;rev";#N/A,#N/A,FALSE,"wkgcap";#N/A,#N/A,FALSE,"DEPR&amp;DT";#N/A,#N/A,FALSE,"ASSETS";#N/A,#N/A,FALSE,"NI&amp;OTH&amp;DIV";#N/A,#N/A,FALSE,"CASHFLOW";#N/A,#N/A,FALSE,"CAPEMPL";#N/A,#N/A,FALSE,"ROCE"}</definedName>
    <definedName function="false" hidden="true" name="___OSX2" vbProcedure="false">{"Area1",#N/A,FALSE,"OREWACC";"Area2",#N/A,FALSE,"OREWACC"}</definedName>
    <definedName function="false" hidden="true" name="___P2" vbProcedure="false">{#N/A,#N/A,FALSE,"단축1";#N/A,#N/A,FALSE,"단축2";#N/A,#N/A,FALSE,"단축3";#N/A,#N/A,FALSE,"장축";#N/A,#N/A,FALSE,"4WD"}</definedName>
    <definedName function="false" hidden="true" name="___q3" vbProcedure="false">#REF!</definedName>
    <definedName function="false" hidden="true" name="___QR6434" vbProcedure="false">{"QAEXPENSE",#N/A,FALSE,"QUALITY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function="false" hidden="true" name="___r" vbProcedure="false">{"consolidated",#N/A,FALSE,"Sheet1";"cms",#N/A,FALSE,"Sheet1";"fse",#N/A,FALSE,"Sheet1"}</definedName>
    <definedName function="false" hidden="true" name="___s" vbProcedure="false">{"CONS12",#N/A,FALSE,"1996BSCH";"DOM12",#N/A,FALSE,"1996BSCH";"CAN12",#N/A,FALSE,"1996BSCH";"DDODC12",#N/A,FALSE,"1996BSCH";"DDE12",#N/A,FALSE,"1996BSCH";"DDOC12",#N/A,FALSE,"1996BSCH";"ELIM6MO",#N/A,FALSE,"1996BSCH";"other12",#N/A,FALSE,"1996BSCH";"var12",#N/A,FALSE,"1996BSCH"}</definedName>
    <definedName function="false" hidden="true" name="___SDW1" vbProcedure="false">#REF!</definedName>
    <definedName function="false" hidden="true" name="___t1" vbProcedure="false">{#N/A,#N/A,FALSE,"1996PL";#N/A,#N/A,FALSE,"1997PL";#N/A,#N/A,FALSE,"1998PL";#N/A,#N/A,FALSE,"1999PL"}</definedName>
    <definedName function="false" hidden="true" name="___T2" vbProcedure="false">{#N/A,#N/A,FALSE,"단축1";#N/A,#N/A,FALSE,"단축2";#N/A,#N/A,FALSE,"단축3";#N/A,#N/A,FALSE,"장축";#N/A,#N/A,FALSE,"4WD"}</definedName>
    <definedName function="false" hidden="true" name="___T3" vbProcedure="false">{#N/A,#N/A,FALSE,"단축1";#N/A,#N/A,FALSE,"단축2";#N/A,#N/A,FALSE,"단축3";#N/A,#N/A,FALSE,"장축";#N/A,#N/A,FALSE,"4WD"}</definedName>
    <definedName function="false" hidden="true" name="___T5" vbProcedure="false">{#N/A,#N/A,FALSE,"단축1";#N/A,#N/A,FALSE,"단축2";#N/A,#N/A,FALSE,"단축3";#N/A,#N/A,FALSE,"장축";#N/A,#N/A,FALSE,"4WD"}</definedName>
    <definedName function="false" hidden="true" name="___TEM6434" vbProcedure="false">{"ALLOCATION1",#N/A,FALSE,"EXPENSE ALLOCATIONS";"ALLOCATION2",#N/A,FALSE,"EXPENSE ALLOCATIONS";"ALLOCATION3",#N/A,FALSE,"EXPENSE ALLOCATIONS";"ALLOCATION4",#N/A,FALSE,"EXPENSE ALLOCATIONS"}</definedName>
    <definedName function="false" hidden="true" name="___Tes6" vbProcedure="false">{"'SIVA Pricing Model'!$A$1:$F$39"}</definedName>
    <definedName function="false" hidden="true" name="___u18" vbProcedure="false">{"Tages_D",#N/A,FALSE,"Tagesbericht";"Tages_PL",#N/A,FALSE,"Tagesbericht"}</definedName>
    <definedName function="false" hidden="true" name="___u20" vbProcedure="false">{"fleisch",#N/A,FALSE,"WG HK";"food",#N/A,FALSE,"WG HK";"hartwaren",#N/A,FALSE,"WG HK";"weichwaren",#N/A,FALSE,"WG HK"}</definedName>
    <definedName function="false" hidden="true" name="___wrn1" vbProcedure="false">{#N/A,#N/A,FALSE,"DCF";#N/A,#N/A,FALSE,"WACC";#N/A,#N/A,FALSE,"Sales_EBIT";#N/A,#N/A,FALSE,"Capex_Depreciation";#N/A,#N/A,FALSE,"WC";#N/A,#N/A,FALSE,"Interest";#N/A,#N/A,FALSE,"Assumptions"}</definedName>
    <definedName function="false" hidden="true" name="___ww2" vbProcedure="false">{#N/A,#N/A,FALSE,"Admin";#N/A,#N/A,FALSE,"Other"}</definedName>
    <definedName function="false" hidden="true" name="___XG2" vbProcedure="false">{#N/A,#N/A,FALSE,"단축1";#N/A,#N/A,FALSE,"단축2";#N/A,#N/A,FALSE,"단축3";#N/A,#N/A,FALSE,"장축";#N/A,#N/A,FALSE,"4WD"}</definedName>
    <definedName function="false" hidden="true" name="___z" vbProcedure="false">{"mgmt forecast",#N/A,FALSE,"Mgmt Forecast";"dcf table",#N/A,FALSE,"Mgmt Forecast";"sensitivity",#N/A,FALSE,"Mgmt Forecast";"table inputs",#N/A,FALSE,"Mgmt Forecast";"calculations",#N/A,FALSE,"Mgmt Forecast"}</definedName>
    <definedName function="false" hidden="true" name="___z12" vbProcedure="false">{"pro_view",#N/A,FALSE,"EEFSNAP2";"rep_view",#N/A,FALSE,"EEFSNAP2"}</definedName>
    <definedName function="false" hidden="true" name="_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z25" vbProcedure="false">{"detail",#N/A,FALSE,"mfg";"summary",#N/A,FALSE,"mfg"}</definedName>
    <definedName function="false" hidden="true" name="____A11" vbProcedure="false">{#N/A,#N/A,FALSE,"Umsatz 99";#N/A,#N/A,FALSE,"ER 99 "}</definedName>
    <definedName function="false" hidden="true" name="____a14" vbProcedure="false">{"TAG1AGMS",#N/A,FALSE,"TAG 1A"}</definedName>
    <definedName function="false" hidden="true" name="____a15" vbProcedure="false">{"weichwaren",#N/A,FALSE,"Liste 1";"hartwaren",#N/A,FALSE,"Liste 1";"food",#N/A,FALSE,"Liste 1";"fleisch",#N/A,FALSE,"Liste 1"}</definedName>
    <definedName function="false" hidden="true" name="____a16" vbProcedure="false">{"weichwaren",#N/A,FALSE,"Liste 1";"hartwaren",#N/A,FALSE,"Liste 1";"food",#N/A,FALSE,"Liste 1";"fleisch",#N/A,FALSE,"Liste 1"}</definedName>
    <definedName function="false" hidden="true" name="____a17" vbProcedure="false">{"TAG1AGMS",#N/A,FALSE,"TAG 1A"}</definedName>
    <definedName function="false" hidden="true" name="____a18" vbProcedure="false">{"Tages_D",#N/A,FALSE,"Tagesbericht";"Tages_PL",#N/A,FALSE,"Tagesbericht"}</definedName>
    <definedName function="false" hidden="true" name="____a19" vbProcedure="false">{"fleisch",#N/A,FALSE,"WG HK";"food",#N/A,FALSE,"WG HK";"hartwaren",#N/A,FALSE,"WG HK";"weichwaren",#N/A,FALSE,"WG HK"}</definedName>
    <definedName function="false" hidden="true" name="____a2" vbProcedure="false">{#N/A,#N/A,FALSE,"Sheet1"}</definedName>
    <definedName function="false" hidden="true" name="____a3" vbProcedure="false">{#N/A,#N/A,FALSE,"Sheet1"}</definedName>
    <definedName function="false" hidden="true" name="____a33" vbProcedure="false">{"fleisch",#N/A,FALSE,"WG HK";"food",#N/A,FALSE,"WG HK";"hartwaren",#N/A,FALSE,"WG HK";"weichwaren",#N/A,FALSE,"WG HK"}</definedName>
    <definedName function="false" hidden="true" name="____a55" vbProcedure="false">{"Tages_D",#N/A,FALSE,"Tagesbericht";"Tages_PL",#N/A,FALSE,"Tagesbericht"}</definedName>
    <definedName function="false" hidden="true" name="____a66" vbProcedure="false">{"TAG1AGMS",#N/A,FALSE,"TAG 1A"}</definedName>
    <definedName function="false" hidden="true" name="____aa22" vbProcedure="false">{"Tages_D",#N/A,FALSE,"Tagesbericht";"Tages_PL",#N/A,FALSE,"Tagesbericht"}</definedName>
    <definedName function="false" hidden="true" name="____abc1" vbProcedure="false">{"detail",#N/A,FALSE,"mfg";"summary",#N/A,FALSE,"mfg"}</definedName>
    <definedName function="false" hidden="true" name="____abc2" vbProcedure="false">{"detail",#N/A,FALSE,"mfg";"summary",#N/A,FALSE,"mfg"}</definedName>
    <definedName function="false" hidden="true" name="____ae2" vbProcedure="false">{"'Inventory &amp; Anal-Cur Wkbk'!$A$7:$AP$71"}</definedName>
    <definedName function="false" hidden="true" name="____age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_ALL6434" vbProcedure="false">{"ALLOCATION1",#N/A,FALSE,"EXPENSE ALLOCATIONS";"ALLOCATION2",#N/A,FALSE,"EXPENSE ALLOCATIONS";"ALLOCATION3",#N/A,FALSE,"EXPENSE ALLOCATIONS";"ALLOCATION4",#N/A,FALSE,"EXPENSE ALLOCATIONS"}</definedName>
    <definedName function="false" hidden="true" name="____ASS6434" vbProcedure="false">{"TOTALASSEMBLY",#N/A,FALSE,"ASSEMBLY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function="false" hidden="true" name="____b18" vbProcedure="false">{"Tages_D",#N/A,FALSE,"Tagesbericht";"Tages_PL",#N/A,FALSE,"Tagesbericht"}</definedName>
    <definedName function="false" hidden="true" name="____b19" vbProcedure="false">{"Tages_D",#N/A,FALSE,"Tagesbericht";"Tages_PL",#N/A,FALSE,"Tagesbericht"}</definedName>
    <definedName function="false" hidden="true" name="____c" vbProcedure="false">{"Fiesta Facer Page",#N/A,FALSE,"Q_C_S";"Fiesta Main Page",#N/A,FALSE,"V_L";"Fiesta 95BP Struct",#N/A,FALSE,"StructBP";"Fiesta Post 95BP Struct",#N/A,FALSE,"AdjStructBP"}</definedName>
    <definedName function="false" hidden="true" name="____CAP10" vbProcedure="false">{"LC",#N/A,FALSE,"FC-15 Cap Expend"}</definedName>
    <definedName function="false" hidden="true" name="____cum1" vbProcedure="false">{"SCM_Detail",#N/A,FALSE,"SCM";"SCM_Top",#N/A,FALSE,"SCM"}</definedName>
    <definedName function="false" hidden="true" name="____DF4" vbProcedure="false">#REF!</definedName>
    <definedName function="false" hidden="true" name="____dfk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_djd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_dkj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_DP6434" vbProcedure="false">{"TOTALDPAK",#N/A,FALSE,"DPAK PRODUCTION";"HADPAK",#N/A,FALSE,"DPAK PRODUCTION";"PSIDPAK",#N/A,FALSE,"DPAK PRODUCTION"}</definedName>
    <definedName function="false" hidden="true" name="____dsd1" vbProcedure="false">{#N/A,#N/A,FALSE,"Summary";#N/A,#N/A,FALSE,"Rollup";#N/A,#N/A,FALSE,"SG&amp;A";#N/A,#N/A,FALSE,"Sales_Rollup";"mixstar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function="false" hidden="true" name="____eo2" vbProcedure="false">{"'B1'!$B$3:$E$3"}</definedName>
    <definedName function="false" hidden="true" name="____eo4" vbProcedure="false">{"'B1'!$B$3:$E$3"}</definedName>
    <definedName function="false" hidden="true" name="____ew10" vbProcedure="false">{"'B1'!$B$3:$E$3"}</definedName>
    <definedName function="false" hidden="true" name="____ew2" vbProcedure="false">{"'B1'!$B$3:$E$3"}</definedName>
    <definedName function="false" hidden="true" name="____ew3" vbProcedure="false">{"'B1'!$B$3:$E$3"}</definedName>
    <definedName function="false" hidden="true" name="____ew4" vbProcedure="false">{"'B1'!$B$3:$E$3"}</definedName>
    <definedName function="false" hidden="true" name="____ew5" vbProcedure="false">{"'B1'!$B$3:$E$3"}</definedName>
    <definedName function="false" hidden="true" name="____ew6" vbProcedure="false">{"'B1'!$B$3:$E$3"}</definedName>
    <definedName function="false" hidden="true" name="____ew8" vbProcedure="false">{"'B1'!$B$3:$E$3"}</definedName>
    <definedName function="false" hidden="true" name="____FA16434" vbProcedure="false">{"TOTALFAB",#N/A,FALSE,"WAFER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function="false" hidden="true" name="____FA26434"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____FA96434"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____FAC6434" vbProcedure="false">{"TOTAL",#N/A,FALSE,"FACILITIES EXPENSE";"TOTALDETAIL",#N/A,FALSE,"FACILITIES EXPENSE";"MATERIALS",#N/A,FALSE,"FACILITIES EXPENSE";"FACILITIES",#N/A,FALSE,"FACILITIES EXPENSE";"CHEM",#N/A,FALSE,"FACILITIES EXPENSE";"GENSVC",#N/A,FALSE,"FACILITIES EXPENSE";"SAFETY",#N/A,FALSE,"FACILITIES EXPENSE"}</definedName>
    <definedName function="false" hidden="true" name="____guv1" vbProcedure="false">{"K GuV o. Kommentar",#N/A,FALSE,"Kaufhof"}</definedName>
    <definedName function="false" hidden="true" name="____guv3" vbProcedure="false">{"K GuV o. Kommentar",#N/A,FALSE,"Kaufhof"}</definedName>
    <definedName function="false" hidden="true" name="____i3" vbProcedure="false">{"vue1",#N/A,FALSE,"synthese";"vue2",#N/A,FALSE,"synthese"}</definedName>
    <definedName function="false" hidden="true" name="____key3" vbProcedure="false">#REF!</definedName>
    <definedName function="false" hidden="true" name="____LG2" vbProcedure="false">{#N/A,#N/A,TRUE,"매출진척-1";#N/A,#N/A,TRUE,"매출진척-2";#N/A,#N/A,TRUE,"제품실적";#N/A,#N/A,TRUE,"RAC";#N/A,#N/A,TRUE,"PAC ";#N/A,#N/A,TRUE,"재고현황";#N/A,#N/A,TRUE,"공지사항"}</definedName>
    <definedName function="false" hidden="true" name="____na2" vbProcedure="false">{"'SIVA Pricing Model'!$A$1:$F$39"}</definedName>
    <definedName function="false" hidden="true" name="____na3" vbProcedure="false">{"'SIVA Pricing Model'!$A$1:$F$39"}</definedName>
    <definedName function="false" hidden="true" name="____New2"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true" name="____new3" vbProcedure="false">{"FY98Q1 nvs",#N/A,FALSE,"FY98 - Q1";"FY98Q2 nvs",#N/A,FALSE,"FY98 - Q2";"FY98Q3 nvs",#N/A,FALSE,"FY98 - Q3";"FY98Q4 nvs",#N/A,FALSE,"FY98 - Q4"}</definedName>
    <definedName function="false" hidden="true" name="____new4" vbProcedure="false">{"INPUT",#N/A,FALSE,"REVENUE AND GM ";"CONTROL",#N/A,FALSE,"REVENUE AND GM ";"SWITCH",#N/A,FALSE,"REVENUE AND GM ";"OUTPUT",#N/A,FALSE,"REVENUE AND GM ";"TOTAL",#N/A,FALSE,"REVENUE AND GM "}</definedName>
    <definedName function="false" hidden="true" name="____new5" vbProcedure="false">{"FY97Total",#N/A,FALSE,"FY97 - Total";"FY98Total",#N/A,FALSE,"FY98 - Total"}</definedName>
    <definedName function="false" hidden="true" name="____new6" vbProcedure="false">{"FY97Q1",#N/A,FALSE,"FY97 - Q1";"FY97Q2",#N/A,FALSE,"FY97 - Q2";"FY97Q3",#N/A,FALSE,"FY97 - Q3";"FY97Q4",#N/A,FALSE,"FY97 - Q4"}</definedName>
    <definedName function="false" hidden="true" name="____o1" vbProcedure="false">{#N/A,#N/A,FALSE,"SUMMARY";#N/A,#N/A,FALSE,"mcsh";#N/A,#N/A,FALSE,"vol&amp;rev";#N/A,#N/A,FALSE,"wkgcap";#N/A,#N/A,FALSE,"DEPR&amp;DT";#N/A,#N/A,FALSE,"ASSETS";#N/A,#N/A,FALSE,"NI&amp;OTH&amp;DIV";#N/A,#N/A,FALSE,"CASHFLOW";#N/A,#N/A,FALSE,"CAPEMPL";#N/A,#N/A,FALSE,"ROCE"}</definedName>
    <definedName function="false" hidden="true" name="____OSX2" vbProcedure="false">{"Area1",#N/A,FALSE,"OREWACC";"Area2",#N/A,FALSE,"OREWACC"}</definedName>
    <definedName function="false" hidden="true" name="____P2" vbProcedure="false">{#N/A,#N/A,FALSE,"단축1";#N/A,#N/A,FALSE,"단축2";#N/A,#N/A,FALSE,"단축3";#N/A,#N/A,FALSE,"장축";#N/A,#N/A,FALSE,"4WD"}</definedName>
    <definedName function="false" hidden="true" name="____q3" vbProcedure="false">#REF!</definedName>
    <definedName function="false" hidden="true" name="____QR6434" vbProcedure="false">{"QAEXPENSE",#N/A,FALSE,"QUALITY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function="false" hidden="true" name="____rc" vbProcedure="fals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function="false" hidden="true" name="____s" vbProcedure="false">{"CONS12",#N/A,FALSE,"1996BSCH";"DOM12",#N/A,FALSE,"1996BSCH";"CAN12",#N/A,FALSE,"1996BSCH";"DDODC12",#N/A,FALSE,"1996BSCH";"DDE12",#N/A,FALSE,"1996BSCH";"DDOC12",#N/A,FALSE,"1996BSCH";"ELIM6MO",#N/A,FALSE,"1996BSCH";"other12",#N/A,FALSE,"1996BSCH";"var12",#N/A,FALSE,"1996BSCH"}</definedName>
    <definedName function="false" hidden="true" name="____SDW1" vbProcedure="false">#REF!</definedName>
    <definedName function="false" hidden="true" name="____t1" vbProcedure="false">{#N/A,#N/A,FALSE,"1996PL";#N/A,#N/A,FALSE,"1997PL";#N/A,#N/A,FALSE,"1998PL";#N/A,#N/A,FALSE,"1999PL"}</definedName>
    <definedName function="false" hidden="true" name="____T2" vbProcedure="false">{#N/A,#N/A,FALSE,"단축1";#N/A,#N/A,FALSE,"단축2";#N/A,#N/A,FALSE,"단축3";#N/A,#N/A,FALSE,"장축";#N/A,#N/A,FALSE,"4WD"}</definedName>
    <definedName function="false" hidden="true" name="____T3" vbProcedure="false">{#N/A,#N/A,FALSE,"단축1";#N/A,#N/A,FALSE,"단축2";#N/A,#N/A,FALSE,"단축3";#N/A,#N/A,FALSE,"장축";#N/A,#N/A,FALSE,"4WD"}</definedName>
    <definedName function="false" hidden="true" name="____T5" vbProcedure="false">{#N/A,#N/A,FALSE,"단축1";#N/A,#N/A,FALSE,"단축2";#N/A,#N/A,FALSE,"단축3";#N/A,#N/A,FALSE,"장축";#N/A,#N/A,FALSE,"4WD"}</definedName>
    <definedName function="false" hidden="true" name="____TEM6434" vbProcedure="false">{"ALLOCATION1",#N/A,FALSE,"EXPENSE ALLOCATIONS";"ALLOCATION2",#N/A,FALSE,"EXPENSE ALLOCATIONS";"ALLOCATION3",#N/A,FALSE,"EXPENSE ALLOCATIONS";"ALLOCATION4",#N/A,FALSE,"EXPENSE ALLOCATIONS"}</definedName>
    <definedName function="false" hidden="true" name="____Tes6" vbProcedure="false">{"'SIVA Pricing Model'!$A$1:$F$39"}</definedName>
    <definedName function="false" hidden="true" name="____u18" vbProcedure="false">{"Tages_D",#N/A,FALSE,"Tagesbericht";"Tages_PL",#N/A,FALSE,"Tagesbericht"}</definedName>
    <definedName function="false" hidden="true" name="____u20" vbProcedure="false">{"fleisch",#N/A,FALSE,"WG HK";"food",#N/A,FALSE,"WG HK";"hartwaren",#N/A,FALSE,"WG HK";"weichwaren",#N/A,FALSE,"WG HK"}</definedName>
    <definedName function="false" hidden="true" name="____wrm3" vbProcedure="false">{"vue1",#N/A,FALSE,"synthese";"vue2",#N/A,FALSE,"synthese"}</definedName>
    <definedName function="false" hidden="true" name="____wrn2" vbProcedure="false">{"vue1",#N/A,FALSE,"synthese";"vue2",#N/A,FALSE,"synthese"}</definedName>
    <definedName function="false" hidden="true" name="____wrn3" vbProcedure="false">{"vue1",#N/A,FALSE,"synthese";"vue2",#N/A,FALSE,"synthese"}</definedName>
    <definedName function="false" hidden="true" name="____ww2" vbProcedure="false">{#N/A,#N/A,FALSE,"Admin";#N/A,#N/A,FALSE,"Other"}</definedName>
    <definedName function="false" hidden="true" name="____x1" vbProcedure="false">{"detail",#N/A,FALSE,"mfg";"summary",#N/A,FALSE,"mfg"}</definedName>
    <definedName function="false" hidden="true" name="____x2" vbProcedure="false">{#N/A,"PURCHM",FALSE,"Business Analysis";#N/A,"SPADD",FALSE,"Business Analysis"}</definedName>
    <definedName function="false" hidden="true" name="____x3" vbProcedure="false">{"detail",#N/A,FALSE,"mfg";"summary",#N/A,FALSE,"mfg"}</definedName>
    <definedName function="false" hidden="true" name="____x4" vbProcedure="false">{#N/A,"PURCHM",FALSE,"Business Analysis";#N/A,"SPADD",FALSE,"Business Analysis"}</definedName>
    <definedName function="false" hidden="true" name="____x5"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XG2" vbProcedure="false">{#N/A,#N/A,FALSE,"단축1";#N/A,#N/A,FALSE,"단축2";#N/A,#N/A,FALSE,"단축3";#N/A,#N/A,FALSE,"장축";#N/A,#N/A,FALSE,"4WD"}</definedName>
    <definedName function="false" hidden="true" name="____xx10" vbProcedure="false">{#N/A,"PURCHM",FALSE,"Business Analysis";#N/A,"SPADD",FALSE,"Business Analysis"}</definedName>
    <definedName function="false" hidden="true" name="____xx3" vbProcedure="false">{"detail",#N/A,FALSE,"mfg";"summary",#N/A,FALSE,"mfg"}</definedName>
    <definedName function="false" hidden="true" name="____xx4" vbProcedure="false">{"ELIM_YTD",#N/A,FALSE,"EES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function="false" hidden="true" name="____xx5"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____xx6" vbProcedure="false">{"EES_YTD_CHECK",#N/A,FALSE,"EES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function="false" hidden="true" name="____xx7" vbProcedure="false">{"oct_res_comm",#N/A,FALSE,"VarToBud"}</definedName>
    <definedName function="false" hidden="true" name="____xx8" vbProcedure="false">{"QTR_ACT",#N/A,FALSE,"PROP_PBIT_DEV_Q3";"QTR_BUD",#N/A,FALSE,"PROP_PBIT_DEV_Q3";"YTD_BUD",#N/A,FALSE,"PROP_PBIT_DEV_Q3";"YTD_ACT",#N/A,FALSE,"PROP_PBIT_DEV_Q3";"FY95 SNAP3",#N/A,FALSE,"PROP_PBIT_DEV_Q3";"FY95_BUD",#N/A,FALSE,"PROP_PBIT_DEV_Q3";"FY96_BUD",#N/A,FALSE,"PROP_PBIT_DEV_Q3"}</definedName>
    <definedName function="false" hidden="true" name="____xx9" vbProcedure="false">{"AS REP",#N/A,FALSE,"EEFSNAP2";"PROP",#N/A,FALSE,"EEFSNAP2";"RISKS",#N/A,FALSE,"EEFSNAP2";"VIEW ALL",#N/A,FALSE,"EEFSNAP2"}</definedName>
    <definedName function="false" hidden="true" name="____z" vbProcedure="false">{"mgmt forecast",#N/A,FALSE,"Mgmt Forecast";"dcf table",#N/A,FALSE,"Mgmt Forecast";"sensitivity",#N/A,FALSE,"Mgmt Forecast";"table inputs",#N/A,FALSE,"Mgmt Forecast";"calculations",#N/A,FALSE,"Mgmt Forecast"}</definedName>
    <definedName function="false" hidden="true" name="____z12" vbProcedure="false">{"pro_view",#N/A,FALSE,"EEFSNAP2";"rep_view",#N/A,FALSE,"EEFSNAP2"}</definedName>
    <definedName function="false" hidden="true" name="__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z25" vbProcedure="false">{"detail",#N/A,FALSE,"mfg";"summary",#N/A,FALSE,"mfg"}</definedName>
    <definedName function="false" hidden="true" name="____zz1" vbProcedure="false">{"pro_view",#N/A,FALSE,"EEFSNAP2";"rep_view",#N/A,FALSE,"EEFSNAP2"}</definedName>
    <definedName function="false" hidden="true" name="____zz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_a1" vbProcedure="false">{TRUE,TRUE,-1.25,-15.5,772.5,492.75,FALSE,FALSE,TRUE,TRUE,0,1,4,1,57,3,5,4,TRUE,TRUE,3,TRUE,1,TRUE,100,"Swvu.Alles.","ACwvu.Alles.",#N/A,FALSE,FALSE,1.08,0.25,0.590551181102362,0.393700787401575,1,"","&amp;L&amp;6&amp;F / &amp;A / &amp;D",FALSE,FALSE,FALSE,FALSE,1,100,#N/A,#N/A,FALSE,FALSE,#N/A,#N/A,FALSE,FALSE,FALSE,9,65532,65532,FALSE,FALSE,TRUE,TRUE,TRUE}</definedName>
    <definedName function="false" hidden="true" name="_____A11" vbProcedure="false">{#N/A,#N/A,FALSE,"Umsatz 99";#N/A,#N/A,FALSE,"ER 99 "}</definedName>
    <definedName function="false" hidden="true" name="_____a14" vbProcedure="false">{"TAG1AGMS",#N/A,FALSE,"TAG 1A"}</definedName>
    <definedName function="false" hidden="true" name="_____a15" vbProcedure="false">{"weichwaren",#N/A,FALSE,"Liste 1";"hartwaren",#N/A,FALSE,"Liste 1";"food",#N/A,FALSE,"Liste 1";"fleisch",#N/A,FALSE,"Liste 1"}</definedName>
    <definedName function="false" hidden="true" name="_____a16" vbProcedure="false">{"weichwaren",#N/A,FALSE,"Liste 1";"hartwaren",#N/A,FALSE,"Liste 1";"food",#N/A,FALSE,"Liste 1";"fleisch",#N/A,FALSE,"Liste 1"}</definedName>
    <definedName function="false" hidden="true" name="_____a17" vbProcedure="false">{"TAG1AGMS",#N/A,FALSE,"TAG 1A"}</definedName>
    <definedName function="false" hidden="true" name="_____a18" vbProcedure="false">{"Tages_D",#N/A,FALSE,"Tagesbericht";"Tages_PL",#N/A,FALSE,"Tagesbericht"}</definedName>
    <definedName function="false" hidden="true" name="_____a19" vbProcedure="false">{"fleisch",#N/A,FALSE,"WG HK";"food",#N/A,FALSE,"WG HK";"hartwaren",#N/A,FALSE,"WG HK";"weichwaren",#N/A,FALSE,"WG HK"}</definedName>
    <definedName function="false" hidden="true" name="_____a2"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_____a3"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_____a33" vbProcedure="false">{"fleisch",#N/A,FALSE,"WG HK";"food",#N/A,FALSE,"WG HK";"hartwaren",#N/A,FALSE,"WG HK";"weichwaren",#N/A,FALSE,"WG HK"}</definedName>
    <definedName function="false" hidden="true" name="_____a4" vbProcedure="false">{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function="false" hidden="true" name="_____a5" vbProcedure="false">{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function="false" hidden="true" name="_____a55" vbProcedure="false">{"Tages_D",#N/A,FALSE,"Tagesbericht";"Tages_PL",#N/A,FALSE,"Tagesbericht"}</definedName>
    <definedName function="false" hidden="true" name="_____a66" vbProcedure="false">{"TAG1AGMS",#N/A,FALSE,"TAG 1A"}</definedName>
    <definedName function="false" hidden="true" name="_____aa22" vbProcedure="false">{"Tages_D",#N/A,FALSE,"Tagesbericht";"Tages_PL",#N/A,FALSE,"Tagesbericht"}</definedName>
    <definedName function="false" hidden="true" name="_____abc1" vbProcedure="false">{"detail",#N/A,FALSE,"mfg";"summary",#N/A,FALSE,"mfg"}</definedName>
    <definedName function="false" hidden="true" name="_____abc2" vbProcedure="false">{"detail",#N/A,FALSE,"mfg";"summary",#N/A,FALSE,"mfg"}</definedName>
    <definedName function="false" hidden="true" name="_____ae2" vbProcedure="false">{"'Inventory &amp; Anal-Cur Wkbk'!$A$7:$AP$71"}</definedName>
    <definedName function="false" hidden="true" name="_____age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__ALL6434" vbProcedure="false">{"ALLOCATION1",#N/A,FALSE,"EXPENSE ALLOCATIONS";"ALLOCATION2",#N/A,FALSE,"EXPENSE ALLOCATIONS";"ALLOCATION3",#N/A,FALSE,"EXPENSE ALLOCATIONS";"ALLOCATION4",#N/A,FALSE,"EXPENSE ALLOCATIONS"}</definedName>
    <definedName function="false" hidden="true" name="_____ASS6434" vbProcedure="false">{"TOTALASSEMBLY",#N/A,FALSE,"ASSEMBLY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function="false" hidden="true" name="_____b18" vbProcedure="false">{"Tages_D",#N/A,FALSE,"Tagesbericht";"Tages_PL",#N/A,FALSE,"Tagesbericht"}</definedName>
    <definedName function="false" hidden="true" name="_____b19" vbProcedure="false">{"Tages_D",#N/A,FALSE,"Tagesbericht";"Tages_PL",#N/A,FALSE,"Tagesbericht"}</definedName>
    <definedName function="false" hidden="true" name="_____c" vbProcedure="false">{"Fiesta Facer Page",#N/A,FALSE,"Q_C_S";"Fiesta Main Page",#N/A,FALSE,"V_L";"Fiesta 95BP Struct",#N/A,FALSE,"StructBP";"Fiesta Post 95BP Struct",#N/A,FALSE,"AdjStructBP"}</definedName>
    <definedName function="false" hidden="true" name="_____CAP10" vbProcedure="false">{"LC",#N/A,FALSE,"FC-15 Cap Expend"}</definedName>
    <definedName function="false" hidden="true" name="_____cum1" vbProcedure="false">{"SCM_Detail",#N/A,FALSE,"SCM";"SCM_Top",#N/A,FALSE,"SCM"}</definedName>
    <definedName function="false" hidden="true" name="_____dfk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__djd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__dkj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__DP6434" vbProcedure="false">{"TOTALDPAK",#N/A,FALSE,"DPAK PRODUCTION";"HADPAK",#N/A,FALSE,"DPAK PRODUCTION";"PSIDPAK",#N/A,FALSE,"DPAK PRODUCTION"}</definedName>
    <definedName function="false" hidden="true" name="_____FA16434" vbProcedure="false">{"TOTALFAB",#N/A,FALSE,"WAFER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function="false" hidden="true" name="_____FA26434"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_____FA96434"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_____FAC6434" vbProcedure="false">{"TOTAL",#N/A,FALSE,"FACILITIES EXPENSE";"TOTALDETAIL",#N/A,FALSE,"FACILITIES EXPENSE";"MATERIALS",#N/A,FALSE,"FACILITIES EXPENSE";"FACILITIES",#N/A,FALSE,"FACILITIES EXPENSE";"CHEM",#N/A,FALSE,"FACILITIES EXPENSE";"GENSVC",#N/A,FALSE,"FACILITIES EXPENSE";"SAFETY",#N/A,FALSE,"FACILITIES EXPENSE"}</definedName>
    <definedName function="false" hidden="true" name="_____guv1" vbProcedure="false">{"K GuV o. Kommentar",#N/A,FALSE,"Kaufhof"}</definedName>
    <definedName function="false" hidden="true" name="_____guv3" vbProcedure="false">{"K GuV o. Kommentar",#N/A,FALSE,"Kaufhof"}</definedName>
    <definedName function="false" hidden="true" name="_____LG2" vbProcedure="false">{#N/A,#N/A,TRUE,"매출진척-1";#N/A,#N/A,TRUE,"매출진척-2";#N/A,#N/A,TRUE,"제품실적";#N/A,#N/A,TRUE,"RAC";#N/A,#N/A,TRUE,"PAC ";#N/A,#N/A,TRUE,"재고현황";#N/A,#N/A,TRUE,"공지사항"}</definedName>
    <definedName function="false" hidden="true" name="_____na2" vbProcedure="false">{"'SIVA Pricing Model'!$A$1:$F$39"}</definedName>
    <definedName function="false" hidden="true" name="_____na3" vbProcedure="false">{"'SIVA Pricing Model'!$A$1:$F$39"}</definedName>
    <definedName function="false" hidden="true" name="_____New2" vbProcedure="false">{"TOTAL",#N/A,FALSE,"A";"FISCAL94",#N/A,FALSE,"A";"FISCAL95",#N/A,FALSE,"A";"FISCAL96",#N/A,FALSE,"A";"misc page",#N/A,FALSE,"A"}</definedName>
    <definedName function="false" hidden="true" name="_____new3" vbProcedure="false">{"FY98Q1 nvs",#N/A,FALSE,"FY98 - Q1";"FY98Q2 nvs",#N/A,FALSE,"FY98 - Q2";"FY98Q3 nvs",#N/A,FALSE,"FY98 - Q3";"FY98Q4 nvs",#N/A,FALSE,"FY98 - Q4"}</definedName>
    <definedName function="false" hidden="true" name="_____new4" vbProcedure="false">{"INPUT",#N/A,FALSE,"REVENUE AND GM ";"CONTROL",#N/A,FALSE,"REVENUE AND GM ";"SWITCH",#N/A,FALSE,"REVENUE AND GM ";"OUTPUT",#N/A,FALSE,"REVENUE AND GM ";"TOTAL",#N/A,FALSE,"REVENUE AND GM "}</definedName>
    <definedName function="false" hidden="true" name="_____new5" vbProcedure="false">{"FY97Total",#N/A,FALSE,"FY97 - Total";"FY98Total",#N/A,FALSE,"FY98 - Total"}</definedName>
    <definedName function="false" hidden="true" name="_____new6" vbProcedure="false">{"FY97Q1",#N/A,FALSE,"FY97 - Q1";"FY97Q2",#N/A,FALSE,"FY97 - Q2";"FY97Q3",#N/A,FALSE,"FY97 - Q3";"FY97Q4",#N/A,FALSE,"FY97 - Q4"}</definedName>
    <definedName function="false" hidden="true" name="_____o1" vbProcedure="false">{#N/A,#N/A,FALSE,"SUMMARY";#N/A,#N/A,FALSE,"mcsh";#N/A,#N/A,FALSE,"vol&amp;rev";#N/A,#N/A,FALSE,"wkgcap";#N/A,#N/A,FALSE,"DEPR&amp;DT";#N/A,#N/A,FALSE,"ASSETS";#N/A,#N/A,FALSE,"NI&amp;OTH&amp;DIV";#N/A,#N/A,FALSE,"CASHFLOW";#N/A,#N/A,FALSE,"CAPEMPL";#N/A,#N/A,FALSE,"ROCE"}</definedName>
    <definedName function="false" hidden="true" name="_____OSX2" vbProcedure="false">{"Area1",#N/A,FALSE,"OREWACC";"Area2",#N/A,FALSE,"OREWACC"}</definedName>
    <definedName function="false" hidden="true" name="_____P2" vbProcedure="false">{#N/A,#N/A,FALSE,"단축1";#N/A,#N/A,FALSE,"단축2";#N/A,#N/A,FALSE,"단축3";#N/A,#N/A,FALSE,"장축";#N/A,#N/A,FALSE,"4WD"}</definedName>
    <definedName function="false" hidden="true" name="_____q3" vbProcedure="false">#REF!</definedName>
    <definedName function="false" hidden="true" name="_____QR6434" vbProcedure="false">{"QAEXPENSE",#N/A,FALSE,"QUALITY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function="false" hidden="true" name="_____s" vbProcedure="false">{"CONS12",#N/A,FALSE,"1996BSCH";"DOM12",#N/A,FALSE,"1996BSCH";"CAN12",#N/A,FALSE,"1996BSCH";"DDODC12",#N/A,FALSE,"1996BSCH";"DDE12",#N/A,FALSE,"1996BSCH";"DDOC12",#N/A,FALSE,"1996BSCH";"ELIM6MO",#N/A,FALSE,"1996BSCH";"other12",#N/A,FALSE,"1996BSCH";"var12",#N/A,FALSE,"1996BSCH"}</definedName>
    <definedName function="false" hidden="true" name="_____SDW1" vbProcedure="false">#REF!</definedName>
    <definedName function="false" hidden="true" name="_____T2" vbProcedure="false">{#N/A,#N/A,FALSE,"단축1";#N/A,#N/A,FALSE,"단축2";#N/A,#N/A,FALSE,"단축3";#N/A,#N/A,FALSE,"장축";#N/A,#N/A,FALSE,"4WD"}</definedName>
    <definedName function="false" hidden="true" name="_____T3" vbProcedure="false">{#N/A,#N/A,FALSE,"단축1";#N/A,#N/A,FALSE,"단축2";#N/A,#N/A,FALSE,"단축3";#N/A,#N/A,FALSE,"장축";#N/A,#N/A,FALSE,"4WD"}</definedName>
    <definedName function="false" hidden="true" name="_____T5" vbProcedure="false">{#N/A,#N/A,FALSE,"단축1";#N/A,#N/A,FALSE,"단축2";#N/A,#N/A,FALSE,"단축3";#N/A,#N/A,FALSE,"장축";#N/A,#N/A,FALSE,"4WD"}</definedName>
    <definedName function="false" hidden="true" name="_____TEM6434" vbProcedure="false">{"ALLOCATION1",#N/A,FALSE,"EXPENSE ALLOCATIONS";"ALLOCATION2",#N/A,FALSE,"EXPENSE ALLOCATIONS";"ALLOCATION3",#N/A,FALSE,"EXPENSE ALLOCATIONS";"ALLOCATION4",#N/A,FALSE,"EXPENSE ALLOCATIONS"}</definedName>
    <definedName function="false" hidden="true" name="_____Tes6" vbProcedure="false">{"'SIVA Pricing Model'!$A$1:$F$39"}</definedName>
    <definedName function="false" hidden="true" name="_____u18" vbProcedure="false">{"Tages_D",#N/A,FALSE,"Tagesbericht";"Tages_PL",#N/A,FALSE,"Tagesbericht"}</definedName>
    <definedName function="false" hidden="true" name="_____u20" vbProcedure="false">{"fleisch",#N/A,FALSE,"WG HK";"food",#N/A,FALSE,"WG HK";"hartwaren",#N/A,FALSE,"WG HK";"weichwaren",#N/A,FALSE,"WG HK"}</definedName>
    <definedName function="false" hidden="true" name="_____ww2" vbProcedure="false">{#N/A,#N/A,FALSE,"Admin";#N/A,#N/A,FALSE,"Other"}</definedName>
    <definedName function="false" hidden="true" name="_____XG2" vbProcedure="false">{#N/A,#N/A,FALSE,"단축1";#N/A,#N/A,FALSE,"단축2";#N/A,#N/A,FALSE,"단축3";#N/A,#N/A,FALSE,"장축";#N/A,#N/A,FALSE,"4WD"}</definedName>
    <definedName function="false" hidden="true" name="_____z" vbProcedure="false">{"mgmt forecast",#N/A,FALSE,"Mgmt Forecast";"dcf table",#N/A,FALSE,"Mgmt Forecast";"sensitivity",#N/A,FALSE,"Mgmt Forecast";"table inputs",#N/A,FALSE,"Mgmt Forecast";"calculations",#N/A,FALSE,"Mgmt Forecast"}</definedName>
    <definedName function="false" hidden="true" name="_____z12" vbProcedure="false">{"pro_view",#N/A,FALSE,"EEFSNAP2";"rep_view",#N/A,FALSE,"EEFSNAP2"}</definedName>
    <definedName function="false" hidden="true" name="___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_z25" vbProcedure="false">{"detail",#N/A,FALSE,"mfg";"summary",#N/A,FALSE,"mfg"}</definedName>
    <definedName function="false" hidden="true" name="______A11" vbProcedure="false">{#N/A,#N/A,FALSE,"Umsatz 99";#N/A,#N/A,FALSE,"ER 99 "}</definedName>
    <definedName function="false" hidden="true" name="______a14" vbProcedure="false">{"TAG1AGMS",#N/A,FALSE,"TAG 1A"}</definedName>
    <definedName function="false" hidden="true" name="______a15" vbProcedure="false">{"weichwaren",#N/A,FALSE,"Liste 1";"hartwaren",#N/A,FALSE,"Liste 1";"food",#N/A,FALSE,"Liste 1";"fleisch",#N/A,FALSE,"Liste 1"}</definedName>
    <definedName function="false" hidden="true" name="______a16" vbProcedure="false">{"weichwaren",#N/A,FALSE,"Liste 1";"hartwaren",#N/A,FALSE,"Liste 1";"food",#N/A,FALSE,"Liste 1";"fleisch",#N/A,FALSE,"Liste 1"}</definedName>
    <definedName function="false" hidden="true" name="______a17" vbProcedure="false">{"TAG1AGMS",#N/A,FALSE,"TAG 1A"}</definedName>
    <definedName function="false" hidden="true" name="______a18" vbProcedure="false">{"Tages_D",#N/A,FALSE,"Tagesbericht";"Tages_PL",#N/A,FALSE,"Tagesbericht"}</definedName>
    <definedName function="false" hidden="true" name="______a19" vbProcedure="false">{"fleisch",#N/A,FALSE,"WG HK";"food",#N/A,FALSE,"WG HK";"hartwaren",#N/A,FALSE,"WG HK";"weichwaren",#N/A,FALSE,"WG HK"}</definedName>
    <definedName function="false" hidden="true" name="______a33" vbProcedure="false">{"fleisch",#N/A,FALSE,"WG HK";"food",#N/A,FALSE,"WG HK";"hartwaren",#N/A,FALSE,"WG HK";"weichwaren",#N/A,FALSE,"WG HK"}</definedName>
    <definedName function="false" hidden="true" name="______a55" vbProcedure="false">{"Tages_D",#N/A,FALSE,"Tagesbericht";"Tages_PL",#N/A,FALSE,"Tagesbericht"}</definedName>
    <definedName function="false" hidden="true" name="______a66" vbProcedure="false">{"TAG1AGMS",#N/A,FALSE,"TAG 1A"}</definedName>
    <definedName function="false" hidden="true" name="______aa22" vbProcedure="false">{"Tages_D",#N/A,FALSE,"Tagesbericht";"Tages_PL",#N/A,FALSE,"Tagesbericht"}</definedName>
    <definedName function="false" hidden="true" name="______aaa1" vbProcedure="false">{#N/A,#N/A,FALSE,"REPORT"}</definedName>
    <definedName function="false" hidden="true" name="______aas1" vbProcedure="false">{#N/A,#N/A,FALSE,"REPORT"}</definedName>
    <definedName function="false" hidden="true" name="______ACS2000" vbProcedure="false">{#N/A,#N/A,FALSE,"REPORT"}</definedName>
    <definedName function="false" hidden="true" name="______age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___ASS6434" vbProcedure="false">{"TOTALASSEMBLY",#N/A,FALSE,"ASSEMBLY EXPENSE";"DPAK",#N/A,FALSE,"ASSEMBLY EXPENSE";"TO220",#N/A,FALSE,"ASSEMBLY EXPENSE";"HEXDIP",#N/A,FALSE,"ASSEMBLY EXPENSE";"HEXSENSE",#N/A,FALSE,"ASSEMBLY EXPENSE";"MANAGEMENT",#N/A,FALSE,"ASSEMBLY EXPENSE";"MFGENGINEERING",#N/A,FALSE,"ASSEMBLY EXPENSE";"EQUIPENGINEERING",#N/A,FALSE,"ASSEMBLY EXPENSE";"TO220MGMT",#N/A,FALSE,"ASSEMBLY EXPENSE";"SAW",#N/A,FALSE,"ASSEMBLY EXPENSE";"EQUIPMENTSUPPORT",#N/A,FALSE,"ASSEMBLY EXPENSE";"MATERIALS",#N/A,FALSE,"ASSEMBLY EXPENSE"}</definedName>
    <definedName function="false" hidden="true" name="______b111" vbProcedure="false">{#N/A,#N/A,FALSE,"Pharm";#N/A,#N/A,FALSE,"WWCM"}</definedName>
    <definedName function="false" hidden="true" name="______b18" vbProcedure="false">{"Tages_D",#N/A,FALSE,"Tagesbericht";"Tages_PL",#N/A,FALSE,"Tagesbericht"}</definedName>
    <definedName function="false" hidden="true" name="______b19" vbProcedure="false">{"Tages_D",#N/A,FALSE,"Tagesbericht";"Tages_PL",#N/A,FALSE,"Tagesbericht"}</definedName>
    <definedName function="false" hidden="true" name="______c" vbProcedure="false">{"Fiesta Facer Page",#N/A,FALSE,"Q_C_S";"Fiesta Main Page",#N/A,FALSE,"V_L";"Fiesta 95BP Struct",#N/A,FALSE,"StructBP";"Fiesta Post 95BP Struct",#N/A,FALSE,"AdjStructBP"}</definedName>
    <definedName function="false" hidden="true" name="______CAP10" vbProcedure="false">{"LC",#N/A,FALSE,"FC-15 Cap Expend"}</definedName>
    <definedName function="false" hidden="true" name="______cum1" vbProcedure="false">{"SCM_Detail",#N/A,FALSE,"SCM";"SCM_Top",#N/A,FALSE,"SCM"}</definedName>
    <definedName function="false" hidden="true" name="______dfk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___djd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___dkj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___DP6434" vbProcedure="false">{"TOTALDPAK",#N/A,FALSE,"DPAK PRODUCTION";"HADPAK",#N/A,FALSE,"DPAK PRODUCTION";"PSIDPAK",#N/A,FALSE,"DPAK PRODUCTION"}</definedName>
    <definedName function="false" hidden="true" name="______eo2" vbProcedure="false">{"'B1'!$B$3:$E$3"}</definedName>
    <definedName function="false" hidden="true" name="______eo4" vbProcedure="false">{"'B1'!$B$3:$E$3"}</definedName>
    <definedName function="false" hidden="true" name="______ew10" vbProcedure="false">{"'B1'!$B$3:$E$3"}</definedName>
    <definedName function="false" hidden="true" name="______ew2" vbProcedure="false">{"'B1'!$B$3:$E$3"}</definedName>
    <definedName function="false" hidden="true" name="______ew3" vbProcedure="false">{"'B1'!$B$3:$E$3"}</definedName>
    <definedName function="false" hidden="true" name="______ew4" vbProcedure="false">{"'B1'!$B$3:$E$3"}</definedName>
    <definedName function="false" hidden="true" name="______ew5" vbProcedure="false">{"'B1'!$B$3:$E$3"}</definedName>
    <definedName function="false" hidden="true" name="______ew6" vbProcedure="false">{"'B1'!$B$3:$E$3"}</definedName>
    <definedName function="false" hidden="true" name="______ew8" vbProcedure="false">{"'B1'!$B$3:$E$3"}</definedName>
    <definedName function="false" hidden="true" name="______FA16434" vbProcedure="false">{"TOTALFAB",#N/A,FALSE,"WAFER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function="false" hidden="true" name="______FA26434"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______FA96434"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______FAC6434" vbProcedure="false">{"TOTAL",#N/A,FALSE,"FACILITIES EXPENSE";"TOTALDETAIL",#N/A,FALSE,"FACILITIES EXPENSE";"MATERIALS",#N/A,FALSE,"FACILITIES EXPENSE";"FACILITIES",#N/A,FALSE,"FACILITIES EXPENSE";"CHEM",#N/A,FALSE,"FACILITIES EXPENSE";"GENSVC",#N/A,FALSE,"FACILITIES EXPENSE";"SAFETY",#N/A,FALSE,"FACILITIES EXPENSE"}</definedName>
    <definedName function="false" hidden="true" name="______guv1" vbProcedure="false">{"K GuV o. Kommentar",#N/A,FALSE,"Kaufhof"}</definedName>
    <definedName function="false" hidden="true" name="______guv3" vbProcedure="false">{"K GuV o. Kommentar",#N/A,FALSE,"Kaufhof"}</definedName>
    <definedName function="false" hidden="true" name="______i3" vbProcedure="false">{"vue1",#N/A,FALSE,"synthese";"vue2",#N/A,FALSE,"synthese"}</definedName>
    <definedName function="false" hidden="true" name="______LG2" vbProcedure="false">{#N/A,#N/A,TRUE,"매출진척-1";#N/A,#N/A,TRUE,"매출진척-2";#N/A,#N/A,TRUE,"제품실적";#N/A,#N/A,TRUE,"RAC";#N/A,#N/A,TRUE,"PAC ";#N/A,#N/A,TRUE,"재고현황";#N/A,#N/A,TRUE,"공지사항"}</definedName>
    <definedName function="false" hidden="true" name="______na2" vbProcedure="false">{"'SIVA Pricing Model'!$A$1:$F$39"}</definedName>
    <definedName function="false" hidden="true" name="______na3" vbProcedure="false">{"'SIVA Pricing Model'!$A$1:$F$39"}</definedName>
    <definedName function="false" hidden="true" name="______new1" vbProcedure="false">{#N/A,#N/A,FALSE,"Pharm";#N/A,#N/A,FALSE,"WWCM"}</definedName>
    <definedName function="false" hidden="true" name="______New2"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true" name="______new3" vbProcedure="false">{"FY98Q1 nvs",#N/A,FALSE,"FY98 - Q1";"FY98Q2 nvs",#N/A,FALSE,"FY98 - Q2";"FY98Q3 nvs",#N/A,FALSE,"FY98 - Q3";"FY98Q4 nvs",#N/A,FALSE,"FY98 - Q4"}</definedName>
    <definedName function="false" hidden="true" name="______new4" vbProcedure="false">{"INPUT",#N/A,FALSE,"REVENUE AND GM ";"CONTROL",#N/A,FALSE,"REVENUE AND GM ";"SWITCH",#N/A,FALSE,"REVENUE AND GM ";"OUTPUT",#N/A,FALSE,"REVENUE AND GM ";"TOTAL",#N/A,FALSE,"REVENUE AND GM "}</definedName>
    <definedName function="false" hidden="true" name="______new5" vbProcedure="false">{"FY97Total",#N/A,FALSE,"FY97 - Total";"FY98Total",#N/A,FALSE,"FY98 - Total"}</definedName>
    <definedName function="false" hidden="true" name="______new6" vbProcedure="false">{"FY97Q1",#N/A,FALSE,"FY97 - Q1";"FY97Q2",#N/A,FALSE,"FY97 - Q2";"FY97Q3",#N/A,FALSE,"FY97 - Q3";"FY97Q4",#N/A,FALSE,"FY97 - Q4"}</definedName>
    <definedName function="false" hidden="true" name="______o1" vbProcedure="false">{#N/A,#N/A,FALSE,"SUMMARY";#N/A,#N/A,FALSE,"mcsh";#N/A,#N/A,FALSE,"vol&amp;rev";#N/A,#N/A,FALSE,"wkgcap";#N/A,#N/A,FALSE,"DEPR&amp;DT";#N/A,#N/A,FALSE,"ASSETS";#N/A,#N/A,FALSE,"NI&amp;OTH&amp;DIV";#N/A,#N/A,FALSE,"CASHFLOW";#N/A,#N/A,FALSE,"CAPEMPL";#N/A,#N/A,FALSE,"ROCE"}</definedName>
    <definedName function="false" hidden="true" name="______OSX2" vbProcedure="false">{"Area1",#N/A,FALSE,"OREWACC";"Area2",#N/A,FALSE,"OREWACC"}</definedName>
    <definedName function="false" hidden="true" name="______P2" vbProcedure="false">{#N/A,#N/A,FALSE,"단축1";#N/A,#N/A,FALSE,"단축2";#N/A,#N/A,FALSE,"단축3";#N/A,#N/A,FALSE,"장축";#N/A,#N/A,FALSE,"4WD"}</definedName>
    <definedName function="false" hidden="true" name="______q3" vbProcedure="false">#REF!</definedName>
    <definedName function="false" hidden="true" name="______QR6434" vbProcedure="false">{"QAEXPENSE",#N/A,FALSE,"QUALITY AND RELIABILITY EXPENSE";"qaadmin",#N/A,FALSE,"QUALITY AND RELIABILITY EXPENSE";"FA",#N/A,FALSE,"QUALITY AND RELIABILITY EXPENSE";"QA",#N/A,FALSE,"QUALITY AND RELIABILITY EXPENSE";"DOCCTRL",#N/A,FALSE,"QUALITY AND RELIABILITY EXPENSE";"PRODSUP",#N/A,FALSE,"QUALITY AND RELIABILITY EXPENSE"}</definedName>
    <definedName function="false" hidden="true" name="______r" vbProcedure="false">{#N/A,#N/A,FALSE,"Pharm";#N/A,#N/A,FALSE,"WWCM"}</definedName>
    <definedName function="false" hidden="true" name="______s" vbProcedure="false">{"SCM_Detail",#N/A,FALSE,"SCM";"SCM_Top",#N/A,FALSE,"SCM"}</definedName>
    <definedName function="false" hidden="true" name="______SDW1" vbProcedure="false">#REF!</definedName>
    <definedName function="false" hidden="true" name="______T2" vbProcedure="false">{#N/A,#N/A,FALSE,"단축1";#N/A,#N/A,FALSE,"단축2";#N/A,#N/A,FALSE,"단축3";#N/A,#N/A,FALSE,"장축";#N/A,#N/A,FALSE,"4WD"}</definedName>
    <definedName function="false" hidden="true" name="______T3" vbProcedure="false">{#N/A,#N/A,FALSE,"단축1";#N/A,#N/A,FALSE,"단축2";#N/A,#N/A,FALSE,"단축3";#N/A,#N/A,FALSE,"장축";#N/A,#N/A,FALSE,"4WD"}</definedName>
    <definedName function="false" hidden="true" name="______T5" vbProcedure="false">{#N/A,#N/A,FALSE,"단축1";#N/A,#N/A,FALSE,"단축2";#N/A,#N/A,FALSE,"단축3";#N/A,#N/A,FALSE,"장축";#N/A,#N/A,FALSE,"4WD"}</definedName>
    <definedName function="false" hidden="true" name="______TEM6434" vbProcedure="false">{"ALLOCATION1",#N/A,FALSE,"EXPENSE ALLOCATIONS";"ALLOCATION2",#N/A,FALSE,"EXPENSE ALLOCATIONS";"ALLOCATION3",#N/A,FALSE,"EXPENSE ALLOCATIONS";"ALLOCATION4",#N/A,FALSE,"EXPENSE ALLOCATIONS"}</definedName>
    <definedName function="false" hidden="true" name="______Tes6" vbProcedure="false">{"'SIVA Pricing Model'!$A$1:$F$39"}</definedName>
    <definedName function="false" hidden="true" name="______tm1" vbProcedure="false">{#N/A,#N/A,FALSE,"Pharm";#N/A,#N/A,FALSE,"WWCM"}</definedName>
    <definedName function="false" hidden="true" name="______u18" vbProcedure="false">{"Tages_D",#N/A,FALSE,"Tagesbericht";"Tages_PL",#N/A,FALSE,"Tagesbericht"}</definedName>
    <definedName function="false" hidden="true" name="______u20" vbProcedure="false">{"fleisch",#N/A,FALSE,"WG HK";"food",#N/A,FALSE,"WG HK";"hartwaren",#N/A,FALSE,"WG HK";"weichwaren",#N/A,FALSE,"WG HK"}</definedName>
    <definedName function="false" hidden="true" name="______wrm3" vbProcedure="false">{"vue1",#N/A,FALSE,"synthese";"vue2",#N/A,FALSE,"synthese"}</definedName>
    <definedName function="false" hidden="true" name="______wrn2" vbProcedure="false">{"vue1",#N/A,FALSE,"synthese";"vue2",#N/A,FALSE,"synthese"}</definedName>
    <definedName function="false" hidden="true" name="______wrn3" vbProcedure="false">{"vue1",#N/A,FALSE,"synthese";"vue2",#N/A,FALSE,"synthese"}</definedName>
    <definedName function="false" hidden="true" name="______ww2" vbProcedure="false">{#N/A,#N/A,FALSE,"Admin";#N/A,#N/A,FALSE,"Other"}</definedName>
    <definedName function="false" hidden="true" name="______X2" vbProcedure="false">{#N/A,#N/A,FALSE,"Other";#N/A,#N/A,FALSE,"Ace";#N/A,#N/A,FALSE,"Derm"}</definedName>
    <definedName function="false" hidden="true" name="______XG2" vbProcedure="false">{#N/A,#N/A,FALSE,"단축1";#N/A,#N/A,FALSE,"단축2";#N/A,#N/A,FALSE,"단축3";#N/A,#N/A,FALSE,"장축";#N/A,#N/A,FALSE,"4WD"}</definedName>
    <definedName function="false" hidden="true" name="______z" vbProcedure="false">{"mgmt forecast",#N/A,FALSE,"Mgmt Forecast";"dcf table",#N/A,FALSE,"Mgmt Forecast";"sensitivity",#N/A,FALSE,"Mgmt Forecast";"table inputs",#N/A,FALSE,"Mgmt Forecast";"calculations",#N/A,FALSE,"Mgmt Forecast"}</definedName>
    <definedName function="false" hidden="true" name="_______A11" vbProcedure="false">{#N/A,#N/A,FALSE,"Umsatz 99";#N/A,#N/A,FALSE,"ER 99 "}</definedName>
    <definedName function="false" hidden="true" name="_______a14" vbProcedure="false">{"TAG1AGMS",#N/A,FALSE,"TAG 1A"}</definedName>
    <definedName function="false" hidden="true" name="_______a15" vbProcedure="false">{"weichwaren",#N/A,FALSE,"Liste 1";"hartwaren",#N/A,FALSE,"Liste 1";"food",#N/A,FALSE,"Liste 1";"fleisch",#N/A,FALSE,"Liste 1"}</definedName>
    <definedName function="false" hidden="true" name="_______a16" vbProcedure="false">{"weichwaren",#N/A,FALSE,"Liste 1";"hartwaren",#N/A,FALSE,"Liste 1";"food",#N/A,FALSE,"Liste 1";"fleisch",#N/A,FALSE,"Liste 1"}</definedName>
    <definedName function="false" hidden="true" name="_______a17" vbProcedure="false">{"TAG1AGMS",#N/A,FALSE,"TAG 1A"}</definedName>
    <definedName function="false" hidden="true" name="_______a18" vbProcedure="false">{"Tages_D",#N/A,FALSE,"Tagesbericht";"Tages_PL",#N/A,FALSE,"Tagesbericht"}</definedName>
    <definedName function="false" hidden="true" name="_______a19" vbProcedure="false">{"fleisch",#N/A,FALSE,"WG HK";"food",#N/A,FALSE,"WG HK";"hartwaren",#N/A,FALSE,"WG HK";"weichwaren",#N/A,FALSE,"WG HK"}</definedName>
    <definedName function="false" hidden="true" name="_______a33" vbProcedure="false">{"fleisch",#N/A,FALSE,"WG HK";"food",#N/A,FALSE,"WG HK";"hartwaren",#N/A,FALSE,"WG HK";"weichwaren",#N/A,FALSE,"WG HK"}</definedName>
    <definedName function="false" hidden="true" name="_______a55" vbProcedure="false">{"Tages_D",#N/A,FALSE,"Tagesbericht";"Tages_PL",#N/A,FALSE,"Tagesbericht"}</definedName>
    <definedName function="false" hidden="true" name="_______a66" vbProcedure="false">{"TAG1AGMS",#N/A,FALSE,"TAG 1A"}</definedName>
    <definedName function="false" hidden="true" name="_______aa22" vbProcedure="false">{"Tages_D",#N/A,FALSE,"Tagesbericht";"Tages_PL",#N/A,FALSE,"Tagesbericht"}</definedName>
    <definedName function="false" hidden="true" name="_______abc1" vbProcedure="false">{"detail",#N/A,FALSE,"mfg";"summary",#N/A,FALSE,"mfg"}</definedName>
    <definedName function="false" hidden="true" name="_______abc2" vbProcedure="false">{"detail",#N/A,FALSE,"mfg";"summary",#N/A,FALSE,"mfg"}</definedName>
    <definedName function="false" hidden="true" name="_______age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____b18" vbProcedure="false">{"Tages_D",#N/A,FALSE,"Tagesbericht";"Tages_PL",#N/A,FALSE,"Tagesbericht"}</definedName>
    <definedName function="false" hidden="true" name="_______b19" vbProcedure="false">{"Tages_D",#N/A,FALSE,"Tagesbericht";"Tages_PL",#N/A,FALSE,"Tagesbericht"}</definedName>
    <definedName function="false" hidden="true" name="_______c" vbProcedure="false">{"Fiesta Facer Page",#N/A,FALSE,"Q_C_S";"Fiesta Main Page",#N/A,FALSE,"V_L";"Fiesta 95BP Struct",#N/A,FALSE,"StructBP";"Fiesta Post 95BP Struct",#N/A,FALSE,"AdjStructBP"}</definedName>
    <definedName function="false" hidden="true" name="_______CAP10" vbProcedure="false">{"LC",#N/A,FALSE,"FC-15 Cap Expend"}</definedName>
    <definedName function="false" hidden="true" name="_______cum1" vbProcedure="false">{"SCM_Detail",#N/A,FALSE,"SCM";"SCM_Top",#N/A,FALSE,"SCM"}</definedName>
    <definedName function="false" hidden="true" name="_______dfk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____djd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____dkj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true" name="_______FA16434" vbProcedure="false">{"TOTALFAB",#N/A,FALSE,"WAFER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function="false" hidden="true" name="_______FA26434"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_______FA96434" vbProcedure="false">{"TOTALFAB",#N/A,FALSE,"WAFER FAB 2 EXPENSE";"FABPRODUCTION",#N/A,FALSE,"WAFER FAB 2 EXPENSE";"FABENGINEERING",#N/A,FALSE,"WAFER FAB 2 EXPENSE";"FABEQUIPSUPPORT",#N/A,FALSE,"WAFER FAB 2 EXPENSE";"FABPRODUCTLINE",#N/A,FALSE,"WAFER FAB 2 EXPENSE";"FABMATERIALS",#N/A,FALSE,"WAFER FAB 2 EXPENSE"}</definedName>
    <definedName function="false" hidden="true" name="_______FAC6434" vbProcedure="false">{"TOTAL",#N/A,FALSE,"FACILITIES EXPENSE";"TOTALDETAIL",#N/A,FALSE,"FACILITIES EXPENSE";"MATERIALS",#N/A,FALSE,"FACILITIES EXPENSE";"FACILITIES",#N/A,FALSE,"FACILITIES EXPENSE";"CHEM",#N/A,FALSE,"FACILITIES EXPENSE";"GENSVC",#N/A,FALSE,"FACILITIES EXPENSE";"SAFETY",#N/A,FALSE,"FACILITIES EXPENSE"}</definedName>
    <definedName function="false" hidden="true" name="_______guv1" vbProcedure="false">{"K GuV o. Kommentar",#N/A,FALSE,"Kaufhof"}</definedName>
    <definedName function="false" hidden="true" name="_______guv3" vbProcedure="false">{"K GuV o. Kommentar",#N/A,FALSE,"Kaufhof"}</definedName>
    <definedName function="false" hidden="true" name="_______LG2" vbProcedure="false">{#N/A,#N/A,TRUE,"매출진척-1";#N/A,#N/A,TRUE,"매출진척-2";#N/A,#N/A,TRUE,"제품실적";#N/A,#N/A,TRUE,"RAC";#N/A,#N/A,TRUE,"PAC ";#N/A,#N/A,TRUE,"재고현황";#N/A,#N/A,TRUE,"공지사항"}</definedName>
    <definedName function="false" hidden="true" name="_______New2" vbProcedure="false">{"TOTAL",#N/A,FALSE,"A";"FISCAL94",#N/A,FALSE,"A";"FISCAL95",#N/A,FALSE,"A";"FISCAL96",#N/A,FALSE,"A";"misc page",#N/A,FALSE,"A"}</definedName>
    <definedName function="false" hidden="true" name="_______new3" vbProcedure="false">{"FY98Q1 nvs",#N/A,FALSE,"FY98 - Q1";"FY98Q2 nvs",#N/A,FALSE,"FY98 - Q2";"FY98Q3 nvs",#N/A,FALSE,"FY98 - Q3";"FY98Q4 nvs",#N/A,FALSE,"FY98 - Q4"}</definedName>
    <definedName function="false" hidden="true" name="_______new4" vbProcedure="false">{"INPUT",#N/A,FALSE,"REVENUE AND GM ";"CONTROL",#N/A,FALSE,"REVENUE AND GM ";"SWITCH",#N/A,FALSE,"REVENUE AND GM ";"OUTPUT",#N/A,FALSE,"REVENUE AND GM ";"TOTAL",#N/A,FALSE,"REVENUE AND GM "}</definedName>
    <definedName function="false" hidden="true" name="_______new5" vbProcedure="false">{"FY97Total",#N/A,FALSE,"FY97 - Total";"FY98Total",#N/A,FALSE,"FY98 - Total"}</definedName>
    <definedName function="false" hidden="true" name="_______new6" vbProcedure="false">{"FY97Q1",#N/A,FALSE,"FY97 - Q1";"FY97Q2",#N/A,FALSE,"FY97 - Q2";"FY97Q3",#N/A,FALSE,"FY97 - Q3";"FY97Q4",#N/A,FALSE,"FY97 - Q4"}</definedName>
    <definedName function="false" hidden="true" name="_______o1" vbProcedure="false">{#N/A,#N/A,FALSE,"SUMMARY";#N/A,#N/A,FALSE,"mcsh";#N/A,#N/A,FALSE,"vol&amp;rev";#N/A,#N/A,FALSE,"wkgcap";#N/A,#N/A,FALSE,"DEPR&amp;DT";#N/A,#N/A,FALSE,"ASSETS";#N/A,#N/A,FALSE,"NI&amp;OTH&amp;DIV";#N/A,#N/A,FALSE,"CASHFLOW";#N/A,#N/A,FALSE,"CAPEMPL";#N/A,#N/A,FALSE,"ROCE"}</definedName>
    <definedName function="false" hidden="true" name="_______OSX2" vbProcedure="false">{"Area1",#N/A,FALSE,"OREWACC";"Area2",#N/A,FALSE,"OREWACC"}</definedName>
    <definedName function="false" hidden="true" name="_______P2" vbProcedure="false">{#N/A,#N/A,FALSE,"단축1";#N/A,#N/A,FALSE,"단축2";#N/A,#N/A,FALSE,"단축3";#N/A,#N/A,FALSE,"장축";#N/A,#N/A,FALSE,"4WD"}</definedName>
    <definedName function="false" hidden="true" name="_______q3" vbProcedure="false">#REF!</definedName>
    <definedName function="false" hidden="true" name="_______s" vbProcedure="false">{"SCM_Detail",#N/A,FALSE,"SCM";"SCM_Top",#N/A,FALSE,"SCM"}</definedName>
    <definedName function="false" hidden="true" name="_______SDW1" vbProcedure="false">#REF!</definedName>
    <definedName function="false" hidden="true" name="_______T2" vbProcedure="false">{#N/A,#N/A,FALSE,"단축1";#N/A,#N/A,FALSE,"단축2";#N/A,#N/A,FALSE,"단축3";#N/A,#N/A,FALSE,"장축";#N/A,#N/A,FALSE,"4WD"}</definedName>
    <definedName function="false" hidden="true" name="_______T3" vbProcedure="false">{#N/A,#N/A,FALSE,"단축1";#N/A,#N/A,FALSE,"단축2";#N/A,#N/A,FALSE,"단축3";#N/A,#N/A,FALSE,"장축";#N/A,#N/A,FALSE,"4WD"}</definedName>
    <definedName function="false" hidden="true" name="_______T5" vbProcedure="false">{#N/A,#N/A,FALSE,"단축1";#N/A,#N/A,FALSE,"단축2";#N/A,#N/A,FALSE,"단축3";#N/A,#N/A,FALSE,"장축";#N/A,#N/A,FALSE,"4WD"}</definedName>
    <definedName function="false" hidden="true" name="_______Tes6" vbProcedure="false">{"'SIVA Pricing Model'!$A$1:$F$39"}</definedName>
    <definedName function="false" hidden="true" name="_______u18" vbProcedure="false">{"Tages_D",#N/A,FALSE,"Tagesbericht";"Tages_PL",#N/A,FALSE,"Tagesbericht"}</definedName>
    <definedName function="false" hidden="true" name="_______u20" vbProcedure="false">{"fleisch",#N/A,FALSE,"WG HK";"food",#N/A,FALSE,"WG HK";"hartwaren",#N/A,FALSE,"WG HK";"weichwaren",#N/A,FALSE,"WG HK"}</definedName>
    <definedName function="false" hidden="true" name="_______ww2" vbProcedure="false">{#N/A,#N/A,FALSE,"Admin";#N/A,#N/A,FALSE,"Other"}</definedName>
    <definedName function="false" hidden="true" name="_______XG2" vbProcedure="false">{#N/A,#N/A,FALSE,"단축1";#N/A,#N/A,FALSE,"단축2";#N/A,#N/A,FALSE,"단축3";#N/A,#N/A,FALSE,"장축";#N/A,#N/A,FALSE,"4WD"}</definedName>
    <definedName function="false" hidden="true" name="_______z" vbProcedure="false">{"mgmt forecast",#N/A,FALSE,"Mgmt Forecast";"dcf table",#N/A,FALSE,"Mgmt Forecast";"sensitivity",#N/A,FALSE,"Mgmt Forecast";"table inputs",#N/A,FALSE,"Mgmt Forecast";"calculations",#N/A,FALSE,"Mgmt Forecast"}</definedName>
    <definedName function="false" hidden="true" name="_______z12" vbProcedure="false">{"pro_view",#N/A,FALSE,"EEFSNAP2";"rep_view",#N/A,FALSE,"EEFSNAP2"}</definedName>
    <definedName function="false" hidden="true" name="_____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___z25" vbProcedure="false">{"detail",#N/A,FALSE,"mfg";"summary",#N/A,FALSE,"mfg"}</definedName>
    <definedName function="false" hidden="true" name="________A11" vbProcedure="false">{#N/A,#N/A,FALSE,"Umsatz 99";#N/A,#N/A,FALSE,"ER 99 "}</definedName>
    <definedName function="false" hidden="true" name="________a14" vbProcedure="false">{"TAG1AGMS",#N/A,FALSE,"TAG 1A"}</definedName>
    <definedName function="false" hidden="true" name="________a15" vbProcedure="false">{"weichwaren",#N/A,FALSE,"Liste 1";"hartwaren",#N/A,FALSE,"Liste 1";"food",#N/A,FALSE,"Liste 1";"fleisch",#N/A,FALSE,"Liste 1"}</definedName>
    <definedName function="false" hidden="true" name="________a16" vbProcedure="false">{"weichwaren",#N/A,FALSE,"Liste 1";"hartwaren",#N/A,FALSE,"Liste 1";"food",#N/A,FALSE,"Liste 1";"fleisch",#N/A,FALSE,"Liste 1"}</definedName>
    <definedName function="false" hidden="true" name="________a17" vbProcedure="false">{"TAG1AGMS",#N/A,FALSE,"TAG 1A"}</definedName>
    <definedName function="false" hidden="true" name="________a18" vbProcedure="false">{"Tages_D",#N/A,FALSE,"Tagesbericht";"Tages_PL",#N/A,FALSE,"Tagesbericht"}</definedName>
    <definedName function="false" hidden="true" name="________a19" vbProcedure="false">{"fleisch",#N/A,FALSE,"WG HK";"food",#N/A,FALSE,"WG HK";"hartwaren",#N/A,FALSE,"WG HK";"weichwaren",#N/A,FALSE,"WG HK"}</definedName>
    <definedName function="false" hidden="true" name="________a33" vbProcedure="false">{"fleisch",#N/A,FALSE,"WG HK";"food",#N/A,FALSE,"WG HK";"hartwaren",#N/A,FALSE,"WG HK";"weichwaren",#N/A,FALSE,"WG HK"}</definedName>
    <definedName function="false" hidden="true" name="________a55" vbProcedure="false">{"Tages_D",#N/A,FALSE,"Tagesbericht";"Tages_PL",#N/A,FALSE,"Tagesbericht"}</definedName>
    <definedName function="false" hidden="true" name="________a66" vbProcedure="false">{"TAG1AGMS",#N/A,FALSE,"TAG 1A"}</definedName>
    <definedName function="false" hidden="true" name="________aa22" vbProcedure="false">{"Tages_D",#N/A,FALSE,"Tagesbericht";"Tages_PL",#N/A,FALSE,"Tagesbericht"}</definedName>
    <definedName function="false" hidden="true" name="________abc1" vbProcedure="false">{"detail",#N/A,FALSE,"mfg";"summary",#N/A,FALSE,"mfg"}</definedName>
    <definedName function="false" hidden="true" name="________abc2" vbProcedure="false">{"detail",#N/A,FALSE,"mfg";"summary",#N/A,FALSE,"mfg"}</definedName>
    <definedName function="false" hidden="true" name="________b18" vbProcedure="false">{"Tages_D",#N/A,FALSE,"Tagesbericht";"Tages_PL",#N/A,FALSE,"Tagesbericht"}</definedName>
    <definedName function="false" hidden="true" name="________b19" vbProcedure="false">{"Tages_D",#N/A,FALSE,"Tagesbericht";"Tages_PL",#N/A,FALSE,"Tagesbericht"}</definedName>
    <definedName function="false" hidden="true" name="________c" vbProcedure="false">{"Fiesta Facer Page",#N/A,FALSE,"Q_C_S";"Fiesta Main Page",#N/A,FALSE,"V_L";"Fiesta 95BP Struct",#N/A,FALSE,"StructBP";"Fiesta Post 95BP Struct",#N/A,FALSE,"AdjStructBP"}</definedName>
    <definedName function="false" hidden="true" name="________cum1" vbProcedure="false">{"SCM_Detail",#N/A,FALSE,"SCM";"SCM_Top",#N/A,FALSE,"SCM"}</definedName>
    <definedName function="false" hidden="true" name="________eo2" vbProcedure="false">{"'B1'!$B$3:$E$3"}</definedName>
    <definedName function="false" hidden="true" name="________eo4" vbProcedure="false">{"'B1'!$B$3:$E$3"}</definedName>
    <definedName function="false" hidden="true" name="________ew10" vbProcedure="false">{"'B1'!$B$3:$E$3"}</definedName>
    <definedName function="false" hidden="true" name="________ew2" vbProcedure="false">{"'B1'!$B$3:$E$3"}</definedName>
    <definedName function="false" hidden="true" name="________ew3" vbProcedure="false">{"'B1'!$B$3:$E$3"}</definedName>
    <definedName function="false" hidden="true" name="________ew4" vbProcedure="false">{"'B1'!$B$3:$E$3"}</definedName>
    <definedName function="false" hidden="true" name="________ew5" vbProcedure="false">{"'B1'!$B$3:$E$3"}</definedName>
    <definedName function="false" hidden="true" name="________ew6" vbProcedure="false">{"'B1'!$B$3:$E$3"}</definedName>
    <definedName function="false" hidden="true" name="________ew8" vbProcedure="false">{"'B1'!$B$3:$E$3"}</definedName>
    <definedName function="false" hidden="true" name="________guv1" vbProcedure="false">{"K GuV o. Kommentar",#N/A,FALSE,"Kaufhof"}</definedName>
    <definedName function="false" hidden="true" name="________guv3" vbProcedure="false">{"K GuV o. Kommentar",#N/A,FALSE,"Kaufhof"}</definedName>
    <definedName function="false" hidden="true" name="________LG2" vbProcedure="false">{#N/A,#N/A,TRUE,"매출진척-1";#N/A,#N/A,TRUE,"매출진척-2";#N/A,#N/A,TRUE,"제품실적";#N/A,#N/A,TRUE,"RAC";#N/A,#N/A,TRUE,"PAC ";#N/A,#N/A,TRUE,"재고현황";#N/A,#N/A,TRUE,"공지사항"}</definedName>
    <definedName function="false" hidden="true" name="________New2"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true" name="________OSX2" vbProcedure="false">{"Area1",#N/A,FALSE,"OREWACC";"Area2",#N/A,FALSE,"OREWACC"}</definedName>
    <definedName function="false" hidden="true" name="________P2" vbProcedure="false">{#N/A,#N/A,FALSE,"단축1";#N/A,#N/A,FALSE,"단축2";#N/A,#N/A,FALSE,"단축3";#N/A,#N/A,FALSE,"장축";#N/A,#N/A,FALSE,"4WD"}</definedName>
    <definedName function="false" hidden="true" name="________q3" vbProcedure="false">#REF!</definedName>
    <definedName function="false" hidden="true" name="________s" vbProcedure="false">{"SCM_Detail",#N/A,FALSE,"SCM";"SCM_Top",#N/A,FALSE,"SCM"}</definedName>
    <definedName function="false" hidden="true" name="________SDW1" vbProcedure="false">#REF!</definedName>
    <definedName function="false" hidden="true" name="________T2" vbProcedure="false">{#N/A,#N/A,FALSE,"단축1";#N/A,#N/A,FALSE,"단축2";#N/A,#N/A,FALSE,"단축3";#N/A,#N/A,FALSE,"장축";#N/A,#N/A,FALSE,"4WD"}</definedName>
    <definedName function="false" hidden="true" name="________T3" vbProcedure="false">{#N/A,#N/A,FALSE,"단축1";#N/A,#N/A,FALSE,"단축2";#N/A,#N/A,FALSE,"단축3";#N/A,#N/A,FALSE,"장축";#N/A,#N/A,FALSE,"4WD"}</definedName>
    <definedName function="false" hidden="true" name="________T5" vbProcedure="false">{#N/A,#N/A,FALSE,"단축1";#N/A,#N/A,FALSE,"단축2";#N/A,#N/A,FALSE,"단축3";#N/A,#N/A,FALSE,"장축";#N/A,#N/A,FALSE,"4WD"}</definedName>
    <definedName function="false" hidden="true" name="________u18" vbProcedure="false">{"Tages_D",#N/A,FALSE,"Tagesbericht";"Tages_PL",#N/A,FALSE,"Tagesbericht"}</definedName>
    <definedName function="false" hidden="true" name="________u20" vbProcedure="false">{"fleisch",#N/A,FALSE,"WG HK";"food",#N/A,FALSE,"WG HK";"hartwaren",#N/A,FALSE,"WG HK";"weichwaren",#N/A,FALSE,"WG HK"}</definedName>
    <definedName function="false" hidden="true" name="________ww2" vbProcedure="false">{#N/A,#N/A,FALSE,"Admin";#N/A,#N/A,FALSE,"Other"}</definedName>
    <definedName function="false" hidden="true" name="________XG2" vbProcedure="false">{#N/A,#N/A,FALSE,"단축1";#N/A,#N/A,FALSE,"단축2";#N/A,#N/A,FALSE,"단축3";#N/A,#N/A,FALSE,"장축";#N/A,#N/A,FALSE,"4WD"}</definedName>
    <definedName function="false" hidden="true" name="________z" vbProcedure="false">{"mgmt forecast",#N/A,FALSE,"Mgmt Forecast";"dcf table",#N/A,FALSE,"Mgmt Forecast";"sensitivity",#N/A,FALSE,"Mgmt Forecast";"table inputs",#N/A,FALSE,"Mgmt Forecast";"calculations",#N/A,FALSE,"Mgmt Forecast"}</definedName>
    <definedName function="false" hidden="true" name="________z12" vbProcedure="false">{"pro_view",#N/A,FALSE,"EEFSNAP2";"rep_view",#N/A,FALSE,"EEFSNAP2"}</definedName>
    <definedName function="false" hidden="true" name="______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____z25" vbProcedure="false">{"detail",#N/A,FALSE,"mfg";"summary",#N/A,FALSE,"mfg"}</definedName>
    <definedName function="false" hidden="true" name="_________a14" vbProcedure="false">{"TAG1AGMS",#N/A,FALSE,"TAG 1A"}</definedName>
    <definedName function="false" hidden="true" name="_________a15" vbProcedure="false">{"weichwaren",#N/A,FALSE,"Liste 1";"hartwaren",#N/A,FALSE,"Liste 1";"food",#N/A,FALSE,"Liste 1";"fleisch",#N/A,FALSE,"Liste 1"}</definedName>
    <definedName function="false" hidden="true" name="_________a16" vbProcedure="false">{"weichwaren",#N/A,FALSE,"Liste 1";"hartwaren",#N/A,FALSE,"Liste 1";"food",#N/A,FALSE,"Liste 1";"fleisch",#N/A,FALSE,"Liste 1"}</definedName>
    <definedName function="false" hidden="true" name="_________a17" vbProcedure="false">{"TAG1AGMS",#N/A,FALSE,"TAG 1A"}</definedName>
    <definedName function="false" hidden="true" name="_________a18" vbProcedure="false">{"Tages_D",#N/A,FALSE,"Tagesbericht";"Tages_PL",#N/A,FALSE,"Tagesbericht"}</definedName>
    <definedName function="false" hidden="true" name="_________a19" vbProcedure="false">{"fleisch",#N/A,FALSE,"WG HK";"food",#N/A,FALSE,"WG HK";"hartwaren",#N/A,FALSE,"WG HK";"weichwaren",#N/A,FALSE,"WG HK"}</definedName>
    <definedName function="false" hidden="true" name="_________a33" vbProcedure="false">{"fleisch",#N/A,FALSE,"WG HK";"food",#N/A,FALSE,"WG HK";"hartwaren",#N/A,FALSE,"WG HK";"weichwaren",#N/A,FALSE,"WG HK"}</definedName>
    <definedName function="false" hidden="true" name="_________a55" vbProcedure="false">{"Tages_D",#N/A,FALSE,"Tagesbericht";"Tages_PL",#N/A,FALSE,"Tagesbericht"}</definedName>
    <definedName function="false" hidden="true" name="_________a66" vbProcedure="false">{"TAG1AGMS",#N/A,FALSE,"TAG 1A"}</definedName>
    <definedName function="false" hidden="true" name="_________aa22" vbProcedure="false">{"Tages_D",#N/A,FALSE,"Tagesbericht";"Tages_PL",#N/A,FALSE,"Tagesbericht"}</definedName>
    <definedName function="false" hidden="true" name="_________abc1" vbProcedure="false">{"detail",#N/A,FALSE,"mfg";"summary",#N/A,FALSE,"mfg"}</definedName>
    <definedName function="false" hidden="true" name="_________abc2" vbProcedure="false">{"detail",#N/A,FALSE,"mfg";"summary",#N/A,FALSE,"mfg"}</definedName>
    <definedName function="false" hidden="true" name="_________b18" vbProcedure="false">{"Tages_D",#N/A,FALSE,"Tagesbericht";"Tages_PL",#N/A,FALSE,"Tagesbericht"}</definedName>
    <definedName function="false" hidden="true" name="_________b19" vbProcedure="false">{"Tages_D",#N/A,FALSE,"Tagesbericht";"Tages_PL",#N/A,FALSE,"Tagesbericht"}</definedName>
    <definedName function="false" hidden="true" name="_________c" vbProcedure="false">{"Fiesta Facer Page",#N/A,FALSE,"Q_C_S";"Fiesta Main Page",#N/A,FALSE,"V_L";"Fiesta 95BP Struct",#N/A,FALSE,"StructBP";"Fiesta Post 95BP Struct",#N/A,FALSE,"AdjStructBP"}</definedName>
    <definedName function="false" hidden="true" name="_________eo2" vbProcedure="false">{"'B1'!$B$3:$E$3"}</definedName>
    <definedName function="false" hidden="true" name="_________eo4" vbProcedure="false">{"'B1'!$B$3:$E$3"}</definedName>
    <definedName function="false" hidden="true" name="_________ew10" vbProcedure="false">{"'B1'!$B$3:$E$3"}</definedName>
    <definedName function="false" hidden="true" name="_________ew2" vbProcedure="false">{"'B1'!$B$3:$E$3"}</definedName>
    <definedName function="false" hidden="true" name="_________ew3" vbProcedure="false">{"'B1'!$B$3:$E$3"}</definedName>
    <definedName function="false" hidden="true" name="_________ew4" vbProcedure="false">{"'B1'!$B$3:$E$3"}</definedName>
    <definedName function="false" hidden="true" name="_________ew5" vbProcedure="false">{"'B1'!$B$3:$E$3"}</definedName>
    <definedName function="false" hidden="true" name="_________ew6" vbProcedure="false">{"'B1'!$B$3:$E$3"}</definedName>
    <definedName function="false" hidden="true" name="_________ew8" vbProcedure="false">{"'B1'!$B$3:$E$3"}</definedName>
    <definedName function="false" hidden="true" name="_________guv1" vbProcedure="false">{"K GuV o. Kommentar",#N/A,FALSE,"Kaufhof"}</definedName>
    <definedName function="false" hidden="true" name="_________guv3" vbProcedure="false">{"K GuV o. Kommentar",#N/A,FALSE,"Kaufhof"}</definedName>
    <definedName function="false" hidden="true" name="_________LG2" vbProcedure="false">{#N/A,#N/A,TRUE,"매출진척-1";#N/A,#N/A,TRUE,"매출진척-2";#N/A,#N/A,TRUE,"제품실적";#N/A,#N/A,TRUE,"RAC";#N/A,#N/A,TRUE,"PAC ";#N/A,#N/A,TRUE,"재고현황";#N/A,#N/A,TRUE,"공지사항"}</definedName>
    <definedName function="false" hidden="true" name="_________P2" vbProcedure="false">{#N/A,#N/A,FALSE,"단축1";#N/A,#N/A,FALSE,"단축2";#N/A,#N/A,FALSE,"단축3";#N/A,#N/A,FALSE,"장축";#N/A,#N/A,FALSE,"4WD"}</definedName>
    <definedName function="false" hidden="true" name="_________q3" vbProcedure="false">#REF!</definedName>
    <definedName function="false" hidden="true" name="_________s" vbProcedure="false">{"SCM_Detail",#N/A,FALSE,"SCM";"SCM_Top",#N/A,FALSE,"SCM"}</definedName>
    <definedName function="false" hidden="true" name="_________SDW1" vbProcedure="false">#REF!</definedName>
    <definedName function="false" hidden="true" name="_________T2" vbProcedure="false">{#N/A,#N/A,FALSE,"단축1";#N/A,#N/A,FALSE,"단축2";#N/A,#N/A,FALSE,"단축3";#N/A,#N/A,FALSE,"장축";#N/A,#N/A,FALSE,"4WD"}</definedName>
    <definedName function="false" hidden="true" name="_________T3" vbProcedure="false">{#N/A,#N/A,FALSE,"단축1";#N/A,#N/A,FALSE,"단축2";#N/A,#N/A,FALSE,"단축3";#N/A,#N/A,FALSE,"장축";#N/A,#N/A,FALSE,"4WD"}</definedName>
    <definedName function="false" hidden="true" name="_________T5" vbProcedure="false">{#N/A,#N/A,FALSE,"단축1";#N/A,#N/A,FALSE,"단축2";#N/A,#N/A,FALSE,"단축3";#N/A,#N/A,FALSE,"장축";#N/A,#N/A,FALSE,"4WD"}</definedName>
    <definedName function="false" hidden="true" name="_________u18" vbProcedure="false">{"Tages_D",#N/A,FALSE,"Tagesbericht";"Tages_PL",#N/A,FALSE,"Tagesbericht"}</definedName>
    <definedName function="false" hidden="true" name="_________u20" vbProcedure="false">{"fleisch",#N/A,FALSE,"WG HK";"food",#N/A,FALSE,"WG HK";"hartwaren",#N/A,FALSE,"WG HK";"weichwaren",#N/A,FALSE,"WG HK"}</definedName>
    <definedName function="false" hidden="true" name="_________ww2" vbProcedure="false">{#N/A,#N/A,FALSE,"Admin";#N/A,#N/A,FALSE,"Other"}</definedName>
    <definedName function="false" hidden="true" name="_________XG2" vbProcedure="false">{#N/A,#N/A,FALSE,"단축1";#N/A,#N/A,FALSE,"단축2";#N/A,#N/A,FALSE,"단축3";#N/A,#N/A,FALSE,"장축";#N/A,#N/A,FALSE,"4WD"}</definedName>
    <definedName function="false" hidden="true" name="_________z" vbProcedure="false">{"mgmt forecast",#N/A,FALSE,"Mgmt Forecast";"dcf table",#N/A,FALSE,"Mgmt Forecast";"sensitivity",#N/A,FALSE,"Mgmt Forecast";"table inputs",#N/A,FALSE,"Mgmt Forecast";"calculations",#N/A,FALSE,"Mgmt Forecast"}</definedName>
    <definedName function="false" hidden="true" name="_________z12" vbProcedure="false">{"pro_view",#N/A,FALSE,"EEFSNAP2";"rep_view",#N/A,FALSE,"EEFSNAP2"}</definedName>
    <definedName function="false" hidden="true" name="_______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_____z25" vbProcedure="false">{"detail",#N/A,FALSE,"mfg";"summary",#N/A,FALSE,"mfg"}</definedName>
    <definedName function="false" hidden="true" name="__________A11" vbProcedure="false">{#N/A,#N/A,FALSE,"Umsatz 99";#N/A,#N/A,FALSE,"ER 99 "}</definedName>
    <definedName function="false" hidden="true" name="__________a14" vbProcedure="false">{"TAG1AGMS",#N/A,FALSE,"TAG 1A"}</definedName>
    <definedName function="false" hidden="true" name="__________a15" vbProcedure="false">{"weichwaren",#N/A,FALSE,"Liste 1";"hartwaren",#N/A,FALSE,"Liste 1";"food",#N/A,FALSE,"Liste 1";"fleisch",#N/A,FALSE,"Liste 1"}</definedName>
    <definedName function="false" hidden="true" name="__________a16" vbProcedure="false">{"weichwaren",#N/A,FALSE,"Liste 1";"hartwaren",#N/A,FALSE,"Liste 1";"food",#N/A,FALSE,"Liste 1";"fleisch",#N/A,FALSE,"Liste 1"}</definedName>
    <definedName function="false" hidden="true" name="__________a17" vbProcedure="false">{"TAG1AGMS",#N/A,FALSE,"TAG 1A"}</definedName>
    <definedName function="false" hidden="true" name="__________a18" vbProcedure="false">{"Tages_D",#N/A,FALSE,"Tagesbericht";"Tages_PL",#N/A,FALSE,"Tagesbericht"}</definedName>
    <definedName function="false" hidden="true" name="__________a19" vbProcedure="false">{"fleisch",#N/A,FALSE,"WG HK";"food",#N/A,FALSE,"WG HK";"hartwaren",#N/A,FALSE,"WG HK";"weichwaren",#N/A,FALSE,"WG HK"}</definedName>
    <definedName function="false" hidden="true" name="__________a33" vbProcedure="false">{"fleisch",#N/A,FALSE,"WG HK";"food",#N/A,FALSE,"WG HK";"hartwaren",#N/A,FALSE,"WG HK";"weichwaren",#N/A,FALSE,"WG HK"}</definedName>
    <definedName function="false" hidden="true" name="__________a55" vbProcedure="false">{"Tages_D",#N/A,FALSE,"Tagesbericht";"Tages_PL",#N/A,FALSE,"Tagesbericht"}</definedName>
    <definedName function="false" hidden="true" name="__________a66" vbProcedure="false">{"TAG1AGMS",#N/A,FALSE,"TAG 1A"}</definedName>
    <definedName function="false" hidden="true" name="__________aa22" vbProcedure="false">{"Tages_D",#N/A,FALSE,"Tagesbericht";"Tages_PL",#N/A,FALSE,"Tagesbericht"}</definedName>
    <definedName function="false" hidden="true" name="__________abc1" vbProcedure="false">{"detail",#N/A,FALSE,"mfg";"summary",#N/A,FALSE,"mfg"}</definedName>
    <definedName function="false" hidden="true" name="__________abc2" vbProcedure="false">{"detail",#N/A,FALSE,"mfg";"summary",#N/A,FALSE,"mfg"}</definedName>
    <definedName function="false" hidden="true" name="__________b18" vbProcedure="false">{"Tages_D",#N/A,FALSE,"Tagesbericht";"Tages_PL",#N/A,FALSE,"Tagesbericht"}</definedName>
    <definedName function="false" hidden="true" name="__________b19" vbProcedure="false">{"Tages_D",#N/A,FALSE,"Tagesbericht";"Tages_PL",#N/A,FALSE,"Tagesbericht"}</definedName>
    <definedName function="false" hidden="true" name="__________c" vbProcedure="false">{"Fiesta Facer Page",#N/A,FALSE,"Q_C_S";"Fiesta Main Page",#N/A,FALSE,"V_L";"Fiesta 95BP Struct",#N/A,FALSE,"StructBP";"Fiesta Post 95BP Struct",#N/A,FALSE,"AdjStructBP"}</definedName>
    <definedName function="false" hidden="true" name="__________guv1" vbProcedure="false">{"K GuV o. Kommentar",#N/A,FALSE,"Kaufhof"}</definedName>
    <definedName function="false" hidden="true" name="__________guv3" vbProcedure="false">{"K GuV o. Kommentar",#N/A,FALSE,"Kaufhof"}</definedName>
    <definedName function="false" hidden="true" name="__________LG2" vbProcedure="false">{#N/A,#N/A,TRUE,"매출진척-1";#N/A,#N/A,TRUE,"매출진척-2";#N/A,#N/A,TRUE,"제품실적";#N/A,#N/A,TRUE,"RAC";#N/A,#N/A,TRUE,"PAC ";#N/A,#N/A,TRUE,"재고현황";#N/A,#N/A,TRUE,"공지사항"}</definedName>
    <definedName function="false" hidden="true" name="__________New2"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true" name="__________OSX2" vbProcedure="false">{"Area1",#N/A,FALSE,"OREWACC";"Area2",#N/A,FALSE,"OREWACC"}</definedName>
    <definedName function="false" hidden="true" name="__________P2" vbProcedure="false">{#N/A,#N/A,FALSE,"단축1";#N/A,#N/A,FALSE,"단축2";#N/A,#N/A,FALSE,"단축3";#N/A,#N/A,FALSE,"장축";#N/A,#N/A,FALSE,"4WD"}</definedName>
    <definedName function="false" hidden="true" name="__________q3" vbProcedure="false">#REF!</definedName>
    <definedName function="false" hidden="true" name="__________s" vbProcedure="false">{"SCM_Detail",#N/A,FALSE,"SCM";"SCM_Top",#N/A,FALSE,"SCM"}</definedName>
    <definedName function="false" hidden="true" name="__________SDW1" vbProcedure="false">#REF!</definedName>
    <definedName function="false" hidden="true" name="__________T2" vbProcedure="false">{#N/A,#N/A,FALSE,"단축1";#N/A,#N/A,FALSE,"단축2";#N/A,#N/A,FALSE,"단축3";#N/A,#N/A,FALSE,"장축";#N/A,#N/A,FALSE,"4WD"}</definedName>
    <definedName function="false" hidden="true" name="__________T3" vbProcedure="false">{#N/A,#N/A,FALSE,"단축1";#N/A,#N/A,FALSE,"단축2";#N/A,#N/A,FALSE,"단축3";#N/A,#N/A,FALSE,"장축";#N/A,#N/A,FALSE,"4WD"}</definedName>
    <definedName function="false" hidden="true" name="__________T5" vbProcedure="false">{#N/A,#N/A,FALSE,"단축1";#N/A,#N/A,FALSE,"단축2";#N/A,#N/A,FALSE,"단축3";#N/A,#N/A,FALSE,"장축";#N/A,#N/A,FALSE,"4WD"}</definedName>
    <definedName function="false" hidden="true" name="__________u18" vbProcedure="false">{"Tages_D",#N/A,FALSE,"Tagesbericht";"Tages_PL",#N/A,FALSE,"Tagesbericht"}</definedName>
    <definedName function="false" hidden="true" name="__________u20" vbProcedure="false">{"fleisch",#N/A,FALSE,"WG HK";"food",#N/A,FALSE,"WG HK";"hartwaren",#N/A,FALSE,"WG HK";"weichwaren",#N/A,FALSE,"WG HK"}</definedName>
    <definedName function="false" hidden="true" name="__________ww2" vbProcedure="false">{#N/A,#N/A,FALSE,"Admin";#N/A,#N/A,FALSE,"Other"}</definedName>
    <definedName function="false" hidden="true" name="__________XG2" vbProcedure="false">{#N/A,#N/A,FALSE,"단축1";#N/A,#N/A,FALSE,"단축2";#N/A,#N/A,FALSE,"단축3";#N/A,#N/A,FALSE,"장축";#N/A,#N/A,FALSE,"4WD"}</definedName>
    <definedName function="false" hidden="true" name="__________z" vbProcedure="false">{"mgmt forecast",#N/A,FALSE,"Mgmt Forecast";"dcf table",#N/A,FALSE,"Mgmt Forecast";"sensitivity",#N/A,FALSE,"Mgmt Forecast";"table inputs",#N/A,FALSE,"Mgmt Forecast";"calculations",#N/A,FALSE,"Mgmt Forecast"}</definedName>
    <definedName function="false" hidden="true" name="__________z12" vbProcedure="false">{"pro_view",#N/A,FALSE,"EEFSNAP2";"rep_view",#N/A,FALSE,"EEFSNAP2"}</definedName>
    <definedName function="false" hidden="true" name="________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______z25" vbProcedure="false">{"detail",#N/A,FALSE,"mfg";"summary",#N/A,FALSE,"mfg"}</definedName>
    <definedName function="false" hidden="true" name="___________a14" vbProcedure="false">{"TAG1AGMS",#N/A,FALSE,"TAG 1A"}</definedName>
    <definedName function="false" hidden="true" name="___________a15" vbProcedure="false">{"weichwaren",#N/A,FALSE,"Liste 1";"hartwaren",#N/A,FALSE,"Liste 1";"food",#N/A,FALSE,"Liste 1";"fleisch",#N/A,FALSE,"Liste 1"}</definedName>
    <definedName function="false" hidden="true" name="___________a16" vbProcedure="false">{"weichwaren",#N/A,FALSE,"Liste 1";"hartwaren",#N/A,FALSE,"Liste 1";"food",#N/A,FALSE,"Liste 1";"fleisch",#N/A,FALSE,"Liste 1"}</definedName>
    <definedName function="false" hidden="true" name="___________a17" vbProcedure="false">{"TAG1AGMS",#N/A,FALSE,"TAG 1A"}</definedName>
    <definedName function="false" hidden="true" name="___________a18" vbProcedure="false">{"Tages_D",#N/A,FALSE,"Tagesbericht";"Tages_PL",#N/A,FALSE,"Tagesbericht"}</definedName>
    <definedName function="false" hidden="true" name="___________a19" vbProcedure="false">{"fleisch",#N/A,FALSE,"WG HK";"food",#N/A,FALSE,"WG HK";"hartwaren",#N/A,FALSE,"WG HK";"weichwaren",#N/A,FALSE,"WG HK"}</definedName>
    <definedName function="false" hidden="true" name="___________a33" vbProcedure="false">{"fleisch",#N/A,FALSE,"WG HK";"food",#N/A,FALSE,"WG HK";"hartwaren",#N/A,FALSE,"WG HK";"weichwaren",#N/A,FALSE,"WG HK"}</definedName>
    <definedName function="false" hidden="true" name="___________a55" vbProcedure="false">{"Tages_D",#N/A,FALSE,"Tagesbericht";"Tages_PL",#N/A,FALSE,"Tagesbericht"}</definedName>
    <definedName function="false" hidden="true" name="___________a66" vbProcedure="false">{"TAG1AGMS",#N/A,FALSE,"TAG 1A"}</definedName>
    <definedName function="false" hidden="true" name="___________aa22" vbProcedure="false">{"Tages_D",#N/A,FALSE,"Tagesbericht";"Tages_PL",#N/A,FALSE,"Tagesbericht"}</definedName>
    <definedName function="false" hidden="true" name="___________abc1" vbProcedure="false">{"detail",#N/A,FALSE,"mfg";"summary",#N/A,FALSE,"mfg"}</definedName>
    <definedName function="false" hidden="true" name="___________abc2" vbProcedure="false">{"detail",#N/A,FALSE,"mfg";"summary",#N/A,FALSE,"mfg"}</definedName>
    <definedName function="false" hidden="true" name="___________b18" vbProcedure="false">{"Tages_D",#N/A,FALSE,"Tagesbericht";"Tages_PL",#N/A,FALSE,"Tagesbericht"}</definedName>
    <definedName function="false" hidden="true" name="___________b19" vbProcedure="false">{"Tages_D",#N/A,FALSE,"Tagesbericht";"Tages_PL",#N/A,FALSE,"Tagesbericht"}</definedName>
    <definedName function="false" hidden="true" name="___________guv1" vbProcedure="false">{"K GuV o. Kommentar",#N/A,FALSE,"Kaufhof"}</definedName>
    <definedName function="false" hidden="true" name="___________guv3" vbProcedure="false">{"K GuV o. Kommentar",#N/A,FALSE,"Kaufhof"}</definedName>
    <definedName function="false" hidden="true" name="___________LG2" vbProcedure="false">{#N/A,#N/A,TRUE,"매출진척-1";#N/A,#N/A,TRUE,"매출진척-2";#N/A,#N/A,TRUE,"제품실적";#N/A,#N/A,TRUE,"RAC";#N/A,#N/A,TRUE,"PAC ";#N/A,#N/A,TRUE,"재고현황";#N/A,#N/A,TRUE,"공지사항"}</definedName>
    <definedName function="false" hidden="true" name="___________New2"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true" name="___________OSX2" vbProcedure="false">{"Area1",#N/A,FALSE,"OREWACC";"Area2",#N/A,FALSE,"OREWACC"}</definedName>
    <definedName function="false" hidden="true" name="___________P2" vbProcedure="false">{#N/A,#N/A,FALSE,"단축1";#N/A,#N/A,FALSE,"단축2";#N/A,#N/A,FALSE,"단축3";#N/A,#N/A,FALSE,"장축";#N/A,#N/A,FALSE,"4WD"}</definedName>
    <definedName function="false" hidden="true" name="___________q3" vbProcedure="false">#REF!</definedName>
    <definedName function="false" hidden="true" name="___________s" vbProcedure="false">{"SCM_Detail",#N/A,FALSE,"SCM";"SCM_Top",#N/A,FALSE,"SCM"}</definedName>
    <definedName function="false" hidden="true" name="___________SDW1" vbProcedure="false">#REF!</definedName>
    <definedName function="false" hidden="true" name="___________T2" vbProcedure="false">{#N/A,#N/A,FALSE,"단축1";#N/A,#N/A,FALSE,"단축2";#N/A,#N/A,FALSE,"단축3";#N/A,#N/A,FALSE,"장축";#N/A,#N/A,FALSE,"4WD"}</definedName>
    <definedName function="false" hidden="true" name="___________T3" vbProcedure="false">{#N/A,#N/A,FALSE,"단축1";#N/A,#N/A,FALSE,"단축2";#N/A,#N/A,FALSE,"단축3";#N/A,#N/A,FALSE,"장축";#N/A,#N/A,FALSE,"4WD"}</definedName>
    <definedName function="false" hidden="true" name="___________T5" vbProcedure="false">{#N/A,#N/A,FALSE,"단축1";#N/A,#N/A,FALSE,"단축2";#N/A,#N/A,FALSE,"단축3";#N/A,#N/A,FALSE,"장축";#N/A,#N/A,FALSE,"4WD"}</definedName>
    <definedName function="false" hidden="true" name="___________u18" vbProcedure="false">{"Tages_D",#N/A,FALSE,"Tagesbericht";"Tages_PL",#N/A,FALSE,"Tagesbericht"}</definedName>
    <definedName function="false" hidden="true" name="___________u20" vbProcedure="false">{"fleisch",#N/A,FALSE,"WG HK";"food",#N/A,FALSE,"WG HK";"hartwaren",#N/A,FALSE,"WG HK";"weichwaren",#N/A,FALSE,"WG HK"}</definedName>
    <definedName function="false" hidden="true" name="___________ww2" vbProcedure="false">{#N/A,#N/A,FALSE,"Admin";#N/A,#N/A,FALSE,"Other"}</definedName>
    <definedName function="false" hidden="true" name="___________XG2" vbProcedure="false">{#N/A,#N/A,FALSE,"단축1";#N/A,#N/A,FALSE,"단축2";#N/A,#N/A,FALSE,"단축3";#N/A,#N/A,FALSE,"장축";#N/A,#N/A,FALSE,"4WD"}</definedName>
    <definedName function="false" hidden="true" name="___________z12" vbProcedure="false">{"pro_view",#N/A,FALSE,"EEFSNAP2";"rep_view",#N/A,FALSE,"EEFSNAP2"}</definedName>
    <definedName function="false" hidden="true" name="_________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_______z25" vbProcedure="false">{"detail",#N/A,FALSE,"mfg";"summary",#N/A,FALSE,"mfg"}</definedName>
    <definedName function="false" hidden="true" name="____________A11" vbProcedure="false">{#N/A,#N/A,FALSE,"Umsatz 99";#N/A,#N/A,FALSE,"ER 99 "}</definedName>
    <definedName function="false" hidden="true" name="____________a14" vbProcedure="false">{"TAG1AGMS",#N/A,FALSE,"TAG 1A"}</definedName>
    <definedName function="false" hidden="true" name="____________a15" vbProcedure="false">{"weichwaren",#N/A,FALSE,"Liste 1";"hartwaren",#N/A,FALSE,"Liste 1";"food",#N/A,FALSE,"Liste 1";"fleisch",#N/A,FALSE,"Liste 1"}</definedName>
    <definedName function="false" hidden="true" name="____________a16" vbProcedure="false">{"weichwaren",#N/A,FALSE,"Liste 1";"hartwaren",#N/A,FALSE,"Liste 1";"food",#N/A,FALSE,"Liste 1";"fleisch",#N/A,FALSE,"Liste 1"}</definedName>
    <definedName function="false" hidden="true" name="____________a17" vbProcedure="false">{"TAG1AGMS",#N/A,FALSE,"TAG 1A"}</definedName>
    <definedName function="false" hidden="true" name="____________a18" vbProcedure="false">{"Tages_D",#N/A,FALSE,"Tagesbericht";"Tages_PL",#N/A,FALSE,"Tagesbericht"}</definedName>
    <definedName function="false" hidden="true" name="____________a19" vbProcedure="false">{"fleisch",#N/A,FALSE,"WG HK";"food",#N/A,FALSE,"WG HK";"hartwaren",#N/A,FALSE,"WG HK";"weichwaren",#N/A,FALSE,"WG HK"}</definedName>
    <definedName function="false" hidden="true" name="____________a33" vbProcedure="false">{"fleisch",#N/A,FALSE,"WG HK";"food",#N/A,FALSE,"WG HK";"hartwaren",#N/A,FALSE,"WG HK";"weichwaren",#N/A,FALSE,"WG HK"}</definedName>
    <definedName function="false" hidden="true" name="____________a55" vbProcedure="false">{"Tages_D",#N/A,FALSE,"Tagesbericht";"Tages_PL",#N/A,FALSE,"Tagesbericht"}</definedName>
    <definedName function="false" hidden="true" name="____________a66" vbProcedure="false">{"TAG1AGMS",#N/A,FALSE,"TAG 1A"}</definedName>
    <definedName function="false" hidden="true" name="____________aa22" vbProcedure="false">{"Tages_D",#N/A,FALSE,"Tagesbericht";"Tages_PL",#N/A,FALSE,"Tagesbericht"}</definedName>
    <definedName function="false" hidden="true" name="____________abc1" vbProcedure="false">{"detail",#N/A,FALSE,"mfg";"summary",#N/A,FALSE,"mfg"}</definedName>
    <definedName function="false" hidden="true" name="____________abc2" vbProcedure="false">{"detail",#N/A,FALSE,"mfg";"summary",#N/A,FALSE,"mfg"}</definedName>
    <definedName function="false" hidden="true" name="____________b18" vbProcedure="false">{"Tages_D",#N/A,FALSE,"Tagesbericht";"Tages_PL",#N/A,FALSE,"Tagesbericht"}</definedName>
    <definedName function="false" hidden="true" name="____________b19" vbProcedure="false">{"Tages_D",#N/A,FALSE,"Tagesbericht";"Tages_PL",#N/A,FALSE,"Tagesbericht"}</definedName>
    <definedName function="false" hidden="true" name="____________c" vbProcedure="false">{"Fiesta Facer Page",#N/A,FALSE,"Q_C_S";"Fiesta Main Page",#N/A,FALSE,"V_L";"Fiesta 95BP Struct",#N/A,FALSE,"StructBP";"Fiesta Post 95BP Struct",#N/A,FALSE,"AdjStructBP"}</definedName>
    <definedName function="false" hidden="true" name="____________guv1" vbProcedure="false">{"K GuV o. Kommentar",#N/A,FALSE,"Kaufhof"}</definedName>
    <definedName function="false" hidden="true" name="____________guv3" vbProcedure="false">{"K GuV o. Kommentar",#N/A,FALSE,"Kaufhof"}</definedName>
    <definedName function="false" hidden="true" name="____________LG2" vbProcedure="false">{#N/A,#N/A,TRUE,"매출진척-1";#N/A,#N/A,TRUE,"매출진척-2";#N/A,#N/A,TRUE,"제품실적";#N/A,#N/A,TRUE,"RAC";#N/A,#N/A,TRUE,"PAC ";#N/A,#N/A,TRUE,"재고현황";#N/A,#N/A,TRUE,"공지사항"}</definedName>
    <definedName function="false" hidden="true" name="____________New2" vbProcedure="false">{"ROIC",#N/A,FALSE,"ROIC";"Graphs",#N/A,FALSE,"TY analysis";"fcf",#N/A,FALSE,"FCF";"Matrix_2004",#N/A,FALSE,"MATRIX(2004)";"matrix_2008",#N/A,FALSE,"MATRIX(2008)";"FS_Condensed",#N/A,FALSE,"Financial Statements2";"TAXES",#N/A,FALSE,"Taxes";"DEBT_INVEST",#N/A,FALSE,"Debt&amp;Investment Schedule";"Main_menu",#N/A,FALSE,"Main Menu"}</definedName>
    <definedName function="false" hidden="true" name="____________OSX2" vbProcedure="false">{"Area1",#N/A,FALSE,"OREWACC";"Area2",#N/A,FALSE,"OREWACC"}</definedName>
    <definedName function="false" hidden="true" name="____________P2" vbProcedure="false">{#N/A,#N/A,FALSE,"단축1";#N/A,#N/A,FALSE,"단축2";#N/A,#N/A,FALSE,"단축3";#N/A,#N/A,FALSE,"장축";#N/A,#N/A,FALSE,"4WD"}</definedName>
    <definedName function="false" hidden="true" name="____________s" vbProcedure="false">{"SCM_Detail",#N/A,FALSE,"SCM";"SCM_Top",#N/A,FALSE,"SCM"}</definedName>
    <definedName function="false" hidden="true" name="____________SDW1" vbProcedure="false">#REF!</definedName>
    <definedName function="false" hidden="true" name="____________T2" vbProcedure="false">{#N/A,#N/A,FALSE,"단축1";#N/A,#N/A,FALSE,"단축2";#N/A,#N/A,FALSE,"단축3";#N/A,#N/A,FALSE,"장축";#N/A,#N/A,FALSE,"4WD"}</definedName>
    <definedName function="false" hidden="true" name="____________T3" vbProcedure="false">{#N/A,#N/A,FALSE,"단축1";#N/A,#N/A,FALSE,"단축2";#N/A,#N/A,FALSE,"단축3";#N/A,#N/A,FALSE,"장축";#N/A,#N/A,FALSE,"4WD"}</definedName>
    <definedName function="false" hidden="true" name="____________T5" vbProcedure="false">{#N/A,#N/A,FALSE,"단축1";#N/A,#N/A,FALSE,"단축2";#N/A,#N/A,FALSE,"단축3";#N/A,#N/A,FALSE,"장축";#N/A,#N/A,FALSE,"4WD"}</definedName>
    <definedName function="false" hidden="true" name="____________u18" vbProcedure="false">{"Tages_D",#N/A,FALSE,"Tagesbericht";"Tages_PL",#N/A,FALSE,"Tagesbericht"}</definedName>
    <definedName function="false" hidden="true" name="____________u20" vbProcedure="false">{"fleisch",#N/A,FALSE,"WG HK";"food",#N/A,FALSE,"WG HK";"hartwaren",#N/A,FALSE,"WG HK";"weichwaren",#N/A,FALSE,"WG HK"}</definedName>
    <definedName function="false" hidden="true" name="____________ww2" vbProcedure="false">{#N/A,#N/A,FALSE,"Admin";#N/A,#N/A,FALSE,"Other"}</definedName>
    <definedName function="false" hidden="true" name="____________XG2" vbProcedure="false">{#N/A,#N/A,FALSE,"단축1";#N/A,#N/A,FALSE,"단축2";#N/A,#N/A,FALSE,"단축3";#N/A,#N/A,FALSE,"장축";#N/A,#N/A,FALSE,"4WD"}</definedName>
    <definedName function="false" hidden="true" name="____________z" vbProcedure="false">{"mgmt forecast",#N/A,FALSE,"Mgmt Forecast";"dcf table",#N/A,FALSE,"Mgmt Forecast";"sensitivity",#N/A,FALSE,"Mgmt Forecast";"table inputs",#N/A,FALSE,"Mgmt Forecast";"calculations",#N/A,FALSE,"Mgmt Forecast"}</definedName>
    <definedName function="false" hidden="true" name="____________z12" vbProcedure="false">{"pro_view",#N/A,FALSE,"EEFSNAP2";"rep_view",#N/A,FALSE,"EEFSNAP2"}</definedName>
    <definedName function="false" hidden="true" name="____________z22" vbProcedure="false">{#N/A,"PURADD",FALSE,"Business Analysis";#N/A,"PURSPP",FALSE,"Business Analysis";#N/A,"CTGIND",FALSE,"Business Analysis";#N/A,"PURCHM",FALSE,"Business Analysis";#N/A,"SPADD",FALSE,"Business Analysis";#N/A,"EPOXY",FALSE,"Business Analysis";#N/A,"PURPER",FALSE,"Business Analysis"}</definedName>
    <definedName function="false" hidden="true" name="____________z25" vbProcedure="false">{"detail",#N/A,FALSE,"mfg";"summary",#N/A,FALSE,"mfg"}</definedName>
    <definedName function="false" hidden="true" name="_____________A11" vbProcedure="false">{#N/A,#N/A,FALSE,"Umsatz 99";#N/A,#N/A,FALSE,"ER 99 "}</definedName>
    <definedName function="false" hidden="true" name="_____________a14" vbProcedure="false">{"TAG1AGMS",#N/A,FALSE,"TAG 1A"}</definedName>
    <definedName function="false" hidden="true" name="_____________a15" vbProcedure="false">{"weichwaren",#N/A,FALSE,"Liste 1";"hartwaren",#N/A,FALSE,"Liste 1";"food",#N/A,FALSE,"Liste 1";"fleisch",#N/A,FALSE,"Liste 1"}</definedName>
    <definedName function="false" hidden="true" name="_____________a16" vbProcedure="false">{"weichwaren",#N/A,FALSE,"Liste 1";"hartwaren",#N/A,FALSE,"Liste 1";"food",#N/A,FALSE,"Liste 1";"fleisch",#N/A,FALSE,"Liste 1"}</definedName>
    <definedName function="false" hidden="true" name="_____________a17" vbProcedure="false">{"TAG1AGMS",#N/A,FALSE,"TAG 1A"}</definedName>
    <definedName function="false" hidden="true" name="_____________a18" vbProcedure="false">{"Tages_D",#N/A,FALSE,"Tagesbericht";"Tages_PL",#N/A,FALSE,"Tagesbericht"}</definedName>
    <definedName function="false" hidden="true" name="_____________a19" vbProcedure="false">{"fleisch",#N/A,FALSE,"WG HK";"food",#N/A,FALSE,"WG HK";"hartwaren",#N/A,FALSE,"WG HK";"weichwaren",#N/A,FALSE,"WG HK"}</definedName>
    <definedName function="false" hidden="true" name="_____________a33" vbProcedure="false">{"fleisch",#N/A,FALSE,"WG HK";"food",#N/A,FALSE,"WG HK";"hartwaren",#N/A,FALSE,"WG HK";"weichwaren",#N/A,FALSE,"WG HK"}</definedName>
    <definedName function="false" hidden="true" name="_____________a55" vbProcedure="false">{"Tages_D",#N/A,FALSE,"Tagesbericht";"Tages_PL",#N/A,FALSE,"Tagesbericht"}</definedName>
    <definedName function="false" hidden="true" name="_____________a66" vbProcedure="false">{"TAG1AGMS",#N/A,FALSE,"TAG 1A"}</definedName>
    <definedName function="false" hidden="true" name="_____________aa22" vbProcedure="false">{"Tages_D",#N/A,FALSE,"Tagesbericht";"Tages_PL",#N/A,FALSE,"Tagesbericht"}</definedName>
    <definedName function="false" hidden="true" name="_____________b18" vbProcedure="false">{"Tages_D",#N/A,FALSE,"Tagesbericht";"Tages_PL",#N/A,FALSE,"Tagesbericht"}</definedName>
    <definedName function="false" hidden="true" name="_____________b19" vbProcedure="false">{"Tages_D",#N/A,FALSE,"Tagesbericht";"Tages_PL",#N/A,FALSE,"Tagesbericht"}</definedName>
    <definedName function="false" hidden="true" name="_____________c" vbProcedure="false">{"Fiesta Facer Page",#N/A,FALSE,"Q_C_S";"Fiesta Main Page",#N/A,FALSE,"V_L";"Fiesta 95BP Struct",#N/A,FALSE,"StructBP";"Fiesta Post 95BP Struct",#N/A,FALSE,"AdjStructBP"}</definedName>
    <definedName function="false" hidden="true" name="_____________guv1" vbProcedure="false">{"K GuV o. Kommentar",#N/A,FALSE,"Kaufhof"}</definedName>
    <definedName function="false" hidden="true" name="_____________guv3" vbProcedure="false">{"K GuV o. Kommentar",#N/A,FALSE,"Kaufhof"}</definedName>
    <definedName function="false" hidden="true" name="_____________LG2" vbProcedure="false">{#N/A,#N/A,TRUE,"매출진척-1";#N/A,#N/A,TRUE,"매출진척-2";#N/A,#N/A,TRUE,"제품실적";#N/A,#N/A,TRUE,"RAC";#N/A,#N/A,TRUE,"PAC ";#N/A,#N/A,TRUE,"재고현황";#N/A,#N/A,TRUE,"공지사항"}</definedName>
    <definedName function="false" hidden="true" name="_____________P2" vbProcedure="false">{#N/A,#N/A,FALSE,"단축1";#N/A,#N/A,FALSE,"단축2";#N/A,#N/A,FALSE,"단축3";#N/A,#N/A,FALSE,"장축";#N/A,#N/A,FALSE,"4WD"}</definedName>
    <definedName function="false" hidden="true" name="_____________s" vbProcedure="false">{"CONS12",#N/A,FALSE,"1996BSCH";"DOM12",#N/A,FALSE,"1996BSCH";"CAN12",#N/A,FALSE,"1996BSCH";"DDODC12",#N/A,FALSE,"1996BSCH";"DDE12",#N/A,FALSE,"1996BSCH";"DDOC12",#N/A,FALSE,"1996BSCH";"ELIM6MO",#N/A,FALSE,"1996BSCH";"other12",#N/A,FALSE,"1996BSCH";"var12",#N/A,FALSE,"1996BSCH"}</definedName>
    <definedName function="false" hidden="true" name="_____________SDW1" vbProcedure="false">#REF!</definedName>
    <definedName function="false" hidden="true" name="_____________T2" vbProcedure="false">{#N/A,#N/A,FALSE,"단축1";#N/A,#N/A,FALSE,"단축2";#N/A,#N/A,FALSE,"단축3";#N/A,#N/A,FALSE,"장축";#N/A,#N/A,FALSE,"4WD"}</definedName>
    <definedName function="false" hidden="true" name="_____________T3" vbProcedure="false">{#N/A,#N/A,FALSE,"단축1";#N/A,#N/A,FALSE,"단축2";#N/A,#N/A,FALSE,"단축3";#N/A,#N/A,FALSE,"장축";#N/A,#N/A,FALSE,"4WD"}</definedName>
    <definedName function="false" hidden="true" name="_____________T5" vbProcedure="false">{#N/A,#N/A,FALSE,"단축1";#N/A,#N/A,FALSE,"단축2";#N/A,#N/A,FALSE,"단축3";#N/A,#N/A,FALSE,"장축";#N/A,#N/A,FALSE,"4WD"}</definedName>
    <definedName function="false" hidden="true" name="_____________u18" vbProcedure="false">{"Tages_D",#N/A,FALSE,"Tagesbericht";"Tages_PL",#N/A,FALSE,"Tagesbericht"}</definedName>
    <definedName function="false" hidden="true" name="_____________u20" vbProcedure="false">{"fleisch",#N/A,FALSE,"WG HK";"food",#N/A,FALSE,"WG HK";"hartwaren",#N/A,FALSE,"WG HK";"weichwaren",#N/A,FALSE,"WG HK"}</definedName>
    <definedName function="false" hidden="true" name="_____________ww2" vbProcedure="false">{#N/A,#N/A,FALSE,"Admin";#N/A,#N/A,FALSE,"Other"}</definedName>
    <definedName function="false" hidden="true" name="_____________XG2" vbProcedure="false">{#N/A,#N/A,FALSE,"단축1";#N/A,#N/A,FALSE,"단축2";#N/A,#N/A,FALSE,"단축3";#N/A,#N/A,FALSE,"장축";#N/A,#N/A,FALSE,"4WD"}</definedName>
    <definedName function="false" hidden="true" name="_____________z" vbProcedure="false">{"mgmt forecast",#N/A,FALSE,"Mgmt Forecast";"dcf table",#N/A,FALSE,"Mgmt Forecast";"sensitivity",#N/A,FALSE,"Mgmt Forecast";"table inputs",#N/A,FALSE,"Mgmt Forecast";"calculations",#N/A,FALSE,"Mgmt Forecast"}</definedName>
    <definedName function="false" hidden="true" name="______________a14" vbProcedure="false">{"TAG1AGMS",#N/A,FALSE,"TAG 1A"}</definedName>
    <definedName function="false" hidden="true" name="______________a15" vbProcedure="false">{"weichwaren",#N/A,FALSE,"Liste 1";"hartwaren",#N/A,FALSE,"Liste 1";"food",#N/A,FALSE,"Liste 1";"fleisch",#N/A,FALSE,"Liste 1"}</definedName>
    <definedName function="false" hidden="true" name="______________a16" vbProcedure="false">{"weichwaren",#N/A,FALSE,"Liste 1";"hartwaren",#N/A,FALSE,"Liste 1";"food",#N/A,FALSE,"Liste 1";"fleisch",#N/A,FALSE,"Liste 1"}</definedName>
    <definedName function="false" hidden="true" name="______________a17" vbProcedure="false">{"TAG1AGMS",#N/A,FALSE,"TAG 1A"}</definedName>
    <definedName function="false" hidden="true" name="______________a18" vbProcedure="false">{"Tages_D",#N/A,FALSE,"Tagesbericht";"Tages_PL",#N/A,FALSE,"Tagesbericht"}</definedName>
    <definedName function="false" hidden="true" name="______________a19" vbProcedure="false">{"fleisch",#N/A,FALSE,"WG HK";"food",#N/A,FALSE,"WG HK";"hartwaren",#N/A,FALSE,"WG HK";"weichwaren",#N/A,FALSE,"WG HK"}</definedName>
    <definedName function="false" hidden="true" name="______________a33" vbProcedure="false">{"fleisch",#N/A,FALSE,"WG HK";"food",#N/A,FALSE,"WG HK";"hartwaren",#N/A,FALSE,"WG HK";"weichwaren",#N/A,FALSE,"WG HK"}</definedName>
    <definedName function="false" hidden="true" name="______________a55" vbProcedure="false">{"Tages_D",#N/A,FALSE,"Tagesbericht";"Tages_PL",#N/A,FALSE,"Tagesbericht"}</definedName>
    <definedName function="false" hidden="true" name="______________a66" vbProcedure="false">{"TAG1AGMS",#N/A,FALSE,"TAG 1A"}</definedName>
    <definedName function="false" hidden="true" name="______________aa22" vbProcedure="false">{"Tages_D",#N/A,FALSE,"Tagesbericht";"Tages_PL",#N/A,FALSE,"Tagesbericht"}</definedName>
    <definedName function="false" hidden="true" name="______________b18" vbProcedure="false">{"Tages_D",#N/A,FALSE,"Tagesbericht";"Tages_PL",#N/A,FALSE,"Tagesbericht"}</definedName>
    <definedName function="false" hidden="true" name="______________guv1" vbProcedure="false">{"K GuV o. Kommentar",#N/A,FALSE,"Kaufhof"}</definedName>
    <definedName function="false" hidden="true" name="______________guv3" vbProcedure="false">{"K GuV o. Kommentar",#N/A,FALSE,"Kaufhof"}</definedName>
    <definedName function="false" hidden="true" name="______________LG2" vbProcedure="false">{#N/A,#N/A,TRUE,"매출진척-1";#N/A,#N/A,TRUE,"매출진척-2";#N/A,#N/A,TRUE,"제품실적";#N/A,#N/A,TRUE,"RAC";#N/A,#N/A,TRUE,"PAC ";#N/A,#N/A,TRUE,"재고현황";#N/A,#N/A,TRUE,"공지사항"}</definedName>
    <definedName function="false" hidden="true" name="______________na2" vbProcedure="false">{"'SIVA Pricing Model'!$A$1:$F$39"}</definedName>
    <definedName function="false" hidden="true" name="______________na3" vbProcedure="false">{"'SIVA Pricing Model'!$A$1:$F$39"}</definedName>
    <definedName function="false" hidden="true" name="______________P2" vbProcedure="false">{#N/A,#N/A,FALSE,"단축1";#N/A,#N/A,FALSE,"단축2";#N/A,#N/A,FALSE,"단축3";#N/A,#N/A,FALSE,"장축";#N/A,#N/A,FALSE,"4WD"}</definedName>
    <definedName function="false" hidden="true" name="______________s" vbProcedure="false">{"SCM_Detail",#N/A,FALSE,"SCM";"SCM_Top",#N/A,FALSE,"SCM"}</definedName>
    <definedName function="false" hidden="true" name="______________T2" vbProcedure="false">{#N/A,#N/A,FALSE,"단축1";#N/A,#N/A,FALSE,"단축2";#N/A,#N/A,FALSE,"단축3";#N/A,#N/A,FALSE,"장축";#N/A,#N/A,FALSE,"4WD"}</definedName>
    <definedName function="false" hidden="true" name="______________T3" vbProcedure="false">{#N/A,#N/A,FALSE,"단축1";#N/A,#N/A,FALSE,"단축2";#N/A,#N/A,FALSE,"단축3";#N/A,#N/A,FALSE,"장축";#N/A,#N/A,FALSE,"4WD"}</definedName>
    <definedName function="false" hidden="true" name="______________T5" vbProcedure="false">{#N/A,#N/A,FALSE,"단축1";#N/A,#N/A,FALSE,"단축2";#N/A,#N/A,FALSE,"단축3";#N/A,#N/A,FALSE,"장축";#N/A,#N/A,FALSE,"4WD"}</definedName>
    <definedName function="false" hidden="true" name="______________Tes6" vbProcedure="false">{"'SIVA Pricing Model'!$A$1:$F$39"}</definedName>
    <definedName function="false" hidden="true" name="______________u18" vbProcedure="false">{"Tages_D",#N/A,FALSE,"Tagesbericht";"Tages_PL",#N/A,FALSE,"Tagesbericht"}</definedName>
    <definedName function="false" hidden="true" name="______________u20" vbProcedure="false">{"fleisch",#N/A,FALSE,"WG HK";"food",#N/A,FALSE,"WG HK";"hartwaren",#N/A,FALSE,"WG HK";"weichwaren",#N/A,FALSE,"WG HK"}</definedName>
    <definedName function="false" hidden="true" name="______________ww2" vbProcedure="false">{#N/A,#N/A,FALSE,"Admin";#N/A,#N/A,FALSE,"Other"}</definedName>
    <definedName function="false" hidden="true" name="______________XG2" vbProcedure="false">{#N/A,#N/A,FALSE,"단축1";#N/A,#N/A,FALSE,"단축2";#N/A,#N/A,FALSE,"단축3";#N/A,#N/A,FALSE,"장축";#N/A,#N/A,FALSE,"4WD"}</definedName>
    <definedName function="false" hidden="true" name="_______________guv1" vbProcedure="false">{"K GuV o. Kommentar",#N/A,FALSE,"Kaufhof"}</definedName>
    <definedName function="false" hidden="true" name="_______________guv3" vbProcedure="false">{"K GuV o. Kommentar",#N/A,FALSE,"Kaufhof"}</definedName>
    <definedName function="false" hidden="true" name="_______________s" vbProcedure="false">{"CONS12",#N/A,FALSE,"1996BSCH";"DOM12",#N/A,FALSE,"1996BSCH";"CAN12",#N/A,FALSE,"1996BSCH";"DDODC12",#N/A,FALSE,"1996BSCH";"DDE12",#N/A,FALSE,"1996BSCH";"DDOC12",#N/A,FALSE,"1996BSCH";"ELIM6MO",#N/A,FALSE,"1996BSCH";"other12",#N/A,FALSE,"1996BSCH";"var12",#N/A,FALSE,"1996BSCH"}</definedName>
    <definedName function="false" hidden="true" name="_______________SDW1" vbProcedure="false">#REF!</definedName>
    <definedName function="false" hidden="true" name="_______________z" vbProcedure="false">{"mgmt forecast",#N/A,FALSE,"Mgmt Forecast";"dcf table",#N/A,FALSE,"Mgmt Forecast";"sensitivity",#N/A,FALSE,"Mgmt Forecast";"table inputs",#N/A,FALSE,"Mgmt Forecast";"calculations",#N/A,FALSE,"Mgmt Forecast"}</definedName>
    <definedName function="false" hidden="true" name="________________guv1" vbProcedure="false">{"K GuV o. Kommentar",#N/A,FALSE,"Kaufhof"}</definedName>
    <definedName function="false" hidden="true" name="________________guv3" vbProcedure="false">{"K GuV o. Kommentar",#N/A,FALSE,"Kaufhof"}</definedName>
    <definedName function="false" hidden="true" name="________________s" vbProcedure="false">{"CONS12",#N/A,FALSE,"1996BSCH";"DOM12",#N/A,FALSE,"1996BSCH";"CAN12",#N/A,FALSE,"1996BSCH";"DDODC12",#N/A,FALSE,"1996BSCH";"DDE12",#N/A,FALSE,"1996BSCH";"DDOC12",#N/A,FALSE,"1996BSCH";"ELIM6MO",#N/A,FALSE,"1996BSCH";"other12",#N/A,FALSE,"1996BSCH";"var12",#N/A,FALSE,"1996BSCH"}</definedName>
    <definedName function="false" hidden="true" name="________________SDW1" vbProcedure="false">#REF!</definedName>
    <definedName function="false" hidden="true" name="________________z" vbProcedure="false">{"mgmt forecast",#N/A,FALSE,"Mgmt Forecast";"dcf table",#N/A,FALSE,"Mgmt Forecast";"sensitivity",#N/A,FALSE,"Mgmt Forecast";"table inputs",#N/A,FALSE,"Mgmt Forecast";"calculations",#N/A,FALSE,"Mgmt Forecast"}</definedName>
    <definedName function="false" hidden="true" name="_________________guv1" vbProcedure="false">{"K GuV o. Kommentar",#N/A,FALSE,"Kaufhof"}</definedName>
    <definedName function="false" hidden="true" name="_________________guv3" vbProcedure="false">{"K GuV o. Kommentar",#N/A,FALSE,"Kaufhof"}</definedName>
    <definedName function="false" hidden="true" name="__________________guv1" vbProcedure="false">{"K GuV o. Kommentar",#N/A,FALSE,"Kaufhof"}</definedName>
    <definedName function="false" hidden="true" name="__________________guv3" vbProcedure="false">{"K GuV o. Kommentar",#N/A,FALSE,"Kaufhof"}</definedName>
    <definedName function="false" hidden="true" name="__________________s" vbProcedure="false">{"CONS12",#N/A,FALSE,"1996BSCH";"DOM12",#N/A,FALSE,"1996BSCH";"CAN12",#N/A,FALSE,"1996BSCH";"DDODC12",#N/A,FALSE,"1996BSCH";"DDE12",#N/A,FALSE,"1996BSCH";"DDOC12",#N/A,FALSE,"1996BSCH";"ELIM6MO",#N/A,FALSE,"1996BSCH";"other12",#N/A,FALSE,"1996BSCH";"var12",#N/A,FALSE,"1996BSCH"}</definedName>
    <definedName function="false" hidden="true" name="__________________z" vbProcedure="false">{"mgmt forecast",#N/A,FALSE,"Mgmt Forecast";"dcf table",#N/A,FALSE,"Mgmt Forecast";"sensitivity",#N/A,FALSE,"Mgmt Forecast";"table inputs",#N/A,FALSE,"Mgmt Forecast";"calculations",#N/A,FALSE,"Mgmt Forecast"}</definedName>
    <definedName function="false" hidden="true" name="___________________guv1" vbProcedure="false">{"K GuV o. Kommentar",#N/A,FALSE,"Kaufhof"}</definedName>
    <definedName function="false" hidden="true" name="___________________guv3" vbProcedure="false">{"K GuV o. Kommentar",#N/A,FALSE,"Kaufhof"}</definedName>
    <definedName function="false" hidden="true" name="____________________guv1" vbProcedure="false">{"K GuV o. Kommentar",#N/A,FALSE,"Kaufhof"}</definedName>
    <definedName function="false" hidden="true" name="____________________guv3" vbProcedure="false">{"K GuV o. Kommentar",#N/A,FALSE,"Kaufhof"}</definedName>
    <definedName function="false" hidden="true" name="_____________________guv1" vbProcedure="false">{"K GuV o. Kommentar",#N/A,FALSE,"Kaufhof"}</definedName>
    <definedName function="false" hidden="true" name="_____________________guv3" vbProcedure="false">{"K GuV o. Kommentar",#N/A,FALSE,"Kaufhof"}</definedName>
    <definedName function="false" hidden="true" name="______________________guv1" vbProcedure="false">{"K GuV o. Kommentar",#N/A,FALSE,"Kaufhof"}</definedName>
    <definedName function="false" hidden="true" name="______________________guv3" vbProcedure="false">{"K GuV o. Kommentar",#N/A,FALSE,"Kaufhof"}</definedName>
    <definedName function="false" hidden="true" name="_______________________guv1" vbProcedure="false">{"K GuV o. Kommentar",#N/A,FALSE,"Kaufhof"}</definedName>
    <definedName function="false" hidden="true" name="_______________________guv3" vbProcedure="false">{"K GuV o. Kommentar",#N/A,FALSE,"Kaufhof"}</definedName>
    <definedName function="false" hidden="true" name="________________________guv1" vbProcedure="false">{"K GuV o. Kommentar",#N/A,FALSE,"Kaufhof"}</definedName>
    <definedName function="false" hidden="true" name="________________________guv3" vbProcedure="false">{"K GuV o. Kommentar",#N/A,FALSE,"Kaufhof"}</definedName>
    <definedName function="false" hidden="true" name="_________________________guv1" vbProcedure="false">{"K GuV o. Kommentar",#N/A,FALSE,"Kaufhof"}</definedName>
    <definedName function="false" hidden="true" name="_________________________guv3" vbProcedure="false">{"K GuV o. Kommentar",#N/A,FALSE,"Kaufhof"}</definedName>
    <definedName function="false" hidden="true" name="__________________________guv1" vbProcedure="false">{"K GuV o. Kommentar",#N/A,FALSE,"Kaufhof"}</definedName>
    <definedName function="false" hidden="true" name="__________________________guv3" vbProcedure="false">{"K GuV o. Kommentar",#N/A,FALSE,"Kaufhof"}</definedName>
    <definedName function="false" hidden="true" name="___________________________guv1" vbProcedure="false">{"K GuV o. Kommentar",#N/A,FALSE,"Kaufhof"}</definedName>
    <definedName function="false" hidden="true" name="___________________________guv3" vbProcedure="false">{"K GuV o. Kommentar",#N/A,FALSE,"Kaufhof"}</definedName>
    <definedName function="false" hidden="true" name="____________________________guv1" vbProcedure="false">{"K GuV o. Kommentar",#N/A,FALSE,"Kaufhof"}</definedName>
    <definedName function="false" hidden="true" name="____________________________guv3" vbProcedure="false">{"K GuV o. Kommentar",#N/A,FALSE,"Kaufhof"}</definedName>
    <definedName function="false" hidden="true" name="____________________________ww2" vbProcedure="false">{#N/A,#N/A,FALSE,"Admin";#N/A,#N/A,FALSE,"Other"}</definedName>
    <definedName function="false" hidden="true" name="_____________________________guv1" vbProcedure="false">{"K GuV o. Kommentar",#N/A,FALSE,"Kaufhof"}</definedName>
    <definedName function="false" hidden="true" name="_____________________________guv3" vbProcedure="false">{"K GuV o. Kommentar",#N/A,FALSE,"Kaufhof"}</definedName>
    <definedName function="false" hidden="true" name="______________________________guv1" vbProcedure="false">{"K GuV o. Kommentar",#N/A,FALSE,"Kaufhof"}</definedName>
    <definedName function="false" hidden="true" name="______________________________guv3" vbProcedure="false">{"K GuV o. Kommentar",#N/A,FALSE,"Kaufhof"}</definedName>
    <definedName function="false" hidden="true" name="_______________________________guv1" vbProcedure="false">{"K GuV o. Kommentar",#N/A,FALSE,"Kaufhof"}</definedName>
    <definedName function="false" hidden="true" name="_______________________________guv3" vbProcedure="false">{"K GuV o. Kommentar",#N/A,FALSE,"Kaufhof"}</definedName>
    <definedName function="false" hidden="true" name="________________________________guv1" vbProcedure="false">{"K GuV o. Kommentar",#N/A,FALSE,"Kaufhof"}</definedName>
    <definedName function="false" hidden="true" name="________________________________guv3" vbProcedure="false">{"K GuV o. Kommentar",#N/A,FALSE,"Kaufhof"}</definedName>
    <definedName function="false" hidden="true" name="_________________________________guv1" vbProcedure="false">{"K GuV o. Kommentar",#N/A,FALSE,"Kaufhof"}</definedName>
    <definedName function="false" hidden="true" name="_________________________________guv3" vbProcedure="false">{"K GuV o. Kommentar",#N/A,FALSE,"Kaufhof"}</definedName>
    <definedName function="false" hidden="true" name="__________________________________guv1" vbProcedure="false">{"K GuV o. Kommentar",#N/A,FALSE,"Kaufhof"}</definedName>
    <definedName function="false" hidden="true" name="__________________________________guv3" vbProcedure="false">{"K GuV o. Kommentar",#N/A,FALSE,"Kaufhof"}</definedName>
    <definedName function="false" hidden="true" name="___________________________________guv1" vbProcedure="false">{"K GuV o. Kommentar",#N/A,FALSE,"Kaufhof"}</definedName>
    <definedName function="false" hidden="true" name="___________________________________guv3" vbProcedure="false">{"K GuV o. Kommentar",#N/A,FALSE,"Kaufhof"}</definedName>
    <definedName function="false" hidden="true" name="____________________________________guv1" vbProcedure="false">{"K GuV o. Kommentar",#N/A,FALSE,"Kaufhof"}</definedName>
    <definedName function="false" hidden="true" name="____________________________________guv3" vbProcedure="false">{"K GuV o. Kommentar",#N/A,FALSE,"Kaufhof"}</definedName>
    <definedName function="false" hidden="true" name="_____________________________________guv1" vbProcedure="false">{"K GuV o. Kommentar",#N/A,FALSE,"Kaufhof"}</definedName>
    <definedName function="false" hidden="true" name="_____________________________________guv3" vbProcedure="false">{"K GuV o. Kommentar",#N/A,FALSE,"Kaufhof"}</definedName>
    <definedName function="false" hidden="true" name="______________________________________guv1" vbProcedure="false">{"K GuV o. Kommentar",#N/A,FALSE,"Kaufhof"}</definedName>
    <definedName function="false" hidden="true" name="______________________________________guv3" vbProcedure="false">{"K GuV o. Kommentar",#N/A,FALSE,"Kaufhof"}</definedName>
    <definedName function="false" hidden="true" name="_______________________________________guv1" vbProcedure="false">{"K GuV o. Kommentar",#N/A,FALSE,"Kaufhof"}</definedName>
    <definedName function="false" hidden="true" name="_______________________________________guv3" vbProcedure="false">{"K GuV o. Kommentar",#N/A,FALSE,"Kaufhof"}</definedName>
    <definedName function="false" hidden="true" name="________________________________________guv1" vbProcedure="false">{"K GuV o. Kommentar",#N/A,FALSE,"Kaufhof"}</definedName>
    <definedName function="false" hidden="true" name="________________________________________guv3" vbProcedure="false">{"K GuV o. Kommentar",#N/A,FALSE,"Kaufhof"}</definedName>
    <definedName function="false" hidden="true" name="_________________________________________guv1" vbProcedure="false">{"K GuV o. Kommentar",#N/A,FALSE,"Kaufhof"}</definedName>
    <definedName function="false" hidden="true" name="_________________________________________guv3" vbProcedure="false">{"K GuV o. Kommentar",#N/A,FALSE,"Kaufhof"}</definedName>
    <definedName function="false" hidden="true" name="__________________________________________guv1" vbProcedure="false">{"K GuV o. Kommentar",#N/A,FALSE,"Kaufhof"}</definedName>
    <definedName function="false" hidden="true" name="__________________________________________guv3" vbProcedure="false">{"K GuV o. Kommentar",#N/A,FALSE,"Kaufhof"}</definedName>
    <definedName function="false" hidden="true" name="___________________________________________guv1" vbProcedure="false">{"K GuV o. Kommentar",#N/A,FALSE,"Kaufhof"}</definedName>
    <definedName function="false" hidden="true" name="___________________________________________guv3" vbProcedure="false">{"K GuV o. Kommentar",#N/A,FALSE,"Kaufhof"}</definedName>
    <definedName function="false" hidden="true" name="____________________________________________guv1" vbProcedure="false">{"K GuV o. Kommentar",#N/A,FALSE,"Kaufhof"}</definedName>
    <definedName function="false" hidden="true" name="____________________________________________guv3" vbProcedure="false">{"K GuV o. Kommentar",#N/A,FALSE,"Kaufhof"}</definedName>
    <definedName function="false" hidden="true" name="_____________________________________________guv1" vbProcedure="false">{"K GuV o. Kommentar",#N/A,FALSE,"Kaufhof"}</definedName>
    <definedName function="false" hidden="true" name="_____________________________________________guv3" vbProcedure="false">{"K GuV o. Kommentar",#N/A,FALSE,"Kaufhof"}</definedName>
    <definedName function="false" hidden="true" name="______________________________________________guv1" vbProcedure="false">{"K GuV o. Kommentar",#N/A,FALSE,"Kaufhof"}</definedName>
    <definedName function="false" hidden="true" name="______________________________________________guv3" vbProcedure="false">{"K GuV o. Kommentar",#N/A,FALSE,"Kaufhof"}</definedName>
    <definedName function="false" hidden="true" name="_______________________________________________guv1" vbProcedure="false">{"K GuV o. Kommentar",#N/A,FALSE,"Kaufhof"}</definedName>
    <definedName function="false" hidden="true" name="_______________________________________________guv3" vbProcedure="false">{"K GuV o. Kommentar",#N/A,FALSE,"Kaufhof"}</definedName>
    <definedName function="false" hidden="true" name="________________________________________________guv1" vbProcedure="false">{"K GuV o. Kommentar",#N/A,FALSE,"Kaufhof"}</definedName>
    <definedName function="false" hidden="true" name="________________________________________________guv3" vbProcedure="false">{"K GuV o. Kommentar",#N/A,FALSE,"Kaufhof"}</definedName>
    <definedName function="false" hidden="true" name="_________________________________________________guv1" vbProcedure="false">{"K GuV o. Kommentar",#N/A,FALSE,"Kaufhof"}</definedName>
    <definedName function="false" hidden="true" name="_________________________________________________guv3" vbProcedure="false">{"K GuV o. Kommentar",#N/A,FALSE,"Kaufhof"}</definedName>
    <definedName function="false" hidden="true" name="__________________________________________________guv1" vbProcedure="false">{"K GuV o. Kommentar",#N/A,FALSE,"Kaufhof"}</definedName>
    <definedName function="false" hidden="true" name="__________________________________________________guv3" vbProcedure="false">{"K GuV o. Kommentar",#N/A,FALSE,"Kaufhof"}</definedName>
    <definedName function="false" hidden="true" name="___________________________________________________guv1" vbProcedure="false">{"K GuV o. Kommentar",#N/A,FALSE,"Kaufhof"}</definedName>
    <definedName function="false" hidden="true" name="___________________________________________________guv3" vbProcedure="false">{"K GuV o. Kommentar",#N/A,FALSE,"Kaufhof"}</definedName>
    <definedName function="false" hidden="true" name="____________________________________________________guv1" vbProcedure="false">{"K GuV o. Kommentar",#N/A,FALSE,"Kaufhof"}</definedName>
    <definedName function="false" hidden="true" name="____________________________________________________guv3" vbProcedure="false">{"K GuV o. Kommentar",#N/A,FALSE,"Kaufhof"}</definedName>
    <definedName function="false" hidden="true" name="_____________________________________________________guv1" vbProcedure="false">{"K GuV o. Kommentar",#N/A,FALSE,"Kaufhof"}</definedName>
    <definedName function="false" hidden="true" name="_____________________________________________________guv3" vbProcedure="false">{"K GuV o. Kommentar",#N/A,FALSE,"Kaufhof"}</definedName>
    <definedName function="false" hidden="true" name="______________________________________________________guv1" vbProcedure="false">{"K GuV o. Kommentar",#N/A,FALSE,"Kaufhof"}</definedName>
    <definedName function="false" hidden="true" name="______________________________________________________guv3" vbProcedure="false">{"K GuV o. Kommentar",#N/A,FALSE,"Kaufhof"}</definedName>
    <definedName function="false" hidden="true" name="_______________________________________________________guv1" vbProcedure="false">{"K GuV o. Kommentar",#N/A,FALSE,"Kaufhof"}</definedName>
    <definedName function="false" hidden="true" name="_______________________________________________________guv3" vbProcedure="false">{"K GuV o. Kommentar",#N/A,FALSE,"Kaufhof"}</definedName>
    <definedName function="false" hidden="true" name="________________________________________________________guv1" vbProcedure="false">{"K GuV o. Kommentar",#N/A,FALSE,"Kaufhof"}</definedName>
    <definedName function="false" hidden="true" name="________________________________________________________guv3" vbProcedure="false">{"K GuV o. Kommentar",#N/A,FALSE,"Kaufhof"}</definedName>
    <definedName function="false" hidden="true" name="_________________________________________________________guv1" vbProcedure="false">{"K GuV o. Kommentar",#N/A,FALSE,"Kaufhof"}</definedName>
    <definedName function="false" hidden="true" name="_________________________________________________________guv3" vbProcedure="false">{"K GuV o. Kommentar",#N/A,FALSE,"Kaufhof"}</definedName>
    <definedName function="false" hidden="true" name="__________________________________________________________guv1" vbProcedure="false">{"K GuV o. Kommentar",#N/A,FALSE,"Kaufhof"}</definedName>
    <definedName function="false" hidden="true" name="__________________________________________________________guv3" vbProcedure="false">{"K GuV o. Kommentar",#N/A,FALSE,"Kaufhof"}</definedName>
    <definedName function="false" hidden="true" name="´x" vbProcedure="false">#REF!</definedName>
    <definedName function="false" hidden="true" name="älll" vbProcedure="false">{#N/A,#N/A,FALSE,"Produkte Erw.";#N/A,#N/A,FALSE,"Produkte Plan";#N/A,#N/A,FALSE,"Leistungen Erw.";#N/A,#N/A,FALSE,"Leistungen Plan";#N/A,#N/A,FALSE,"KA Allg.Kosten (2)";#N/A,#N/A,FALSE,"KA All.Kosten"}</definedName>
    <definedName function="false" hidden="true" name="äopä" vbProcedure="false">{#N/A,#N/A,FALSE,"Layout GuV"}</definedName>
    <definedName function="false" hidden="true" name="äää" vbProcedure="false">{#N/A,#N/A,FALSE,"Umsatz 99";#N/A,#N/A,FALSE,"ER 99 "}</definedName>
    <definedName function="false" hidden="true" name="ääää" vbProcedure="false">{"'Sample Status'!$A$1:$J$21"}</definedName>
    <definedName function="false" hidden="true" name="äääööö" vbProcedure="false">{#N/A,#N/A,FALSE,"Umsatz EO BP";#N/A,#N/A,FALSE,"Umsatz EO OP";#N/A,#N/A,FALSE,"ER EO BP";#N/A,#N/A,FALSE,"ER EO OP";#N/A,#N/A,FALSE,"EA EO (2)";#N/A,#N/A,FALSE,"EA EO";#N/A,#N/A,FALSE,"EA EO (3)";#N/A,#N/A,FALSE,"EA EO (4)";#N/A,#N/A,FALSE,"KA EO  (2)";#N/A,#N/A,FALSE,"KA EO";#N/A,#N/A,FALSE,"KA EO  (3)";#N/A,#N/A,FALSE,"KA EO (4)"}</definedName>
    <definedName function="false" hidden="true" name="äöäö" vbProcedure="false">{#N/A,#N/A,FALSE,"Umsatz CH";#N/A,#N/A,FALSE,"ER CH";#N/A,#N/A,FALSE,"EA CH (2) ";#N/A,#N/A,FALSE,"EA CH";#N/A,#N/A,FALSE,"EA CH (3) ";#N/A,#N/A,FALSE,"EA CH (4)";#N/A,#N/A,FALSE,"KA CH";#N/A,#N/A,FALSE,"KA CH  (2)";#N/A,#N/A,FALSE,"KA CH  (3)";#N/A,#N/A,FALSE,"KA CH (4)"}</definedName>
    <definedName function="false" hidden="true" name="ÇLK" vbProcedure="false">{"'comite'!$A$9:$G$44","'comite'!$A$1:$G$6"}</definedName>
    <definedName function="false" hidden="true" name="çç" vbProcedure="false">{"Informes",#N/A,FALSE,"CA";"Informes",#N/A,FALSE,"CN";"Informes",#N/A,FALSE,"INVERSIONES";"Informes",#N/A,FALSE,"CN Oficial";"Informes",#N/A,FALSE,"CA Oficial";"Informes",#N/A,FALSE,"Res Datos Areas"}</definedName>
    <definedName function="false" hidden="true" name="ñlkj" vbProcedure="fals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function="false" hidden="true" name="ñlñl" vbProcedure="false">{"pro_view",#N/A,FALSE,"EEFSNAP2";"rep_view",#N/A,FALSE,"EEFSNAP2"}</definedName>
    <definedName function="false" hidden="true" name="ñp" vbProcedure="false">{#N/A,"PURCHM",FALSE,"Business Analysis";#N/A,"SPADD",FALSE,"Business Analysis"}</definedName>
    <definedName function="false" hidden="true" name="ö" vbProcedure="false">{TRUE,TRUE,-1.25,-15.5,772.5,492.75,FALSE,FALSE,TRUE,TRUE,0,1,4,1,57,3,5,4,TRUE,TRUE,3,TRUE,1,TRUE,100,"Swvu.Budget_1996.","ACwvu.Budget_1996.",#N/A,FALSE,FALSE,1.08,0.25,0.590551181102362,0.393700787401575,1,"","&amp;L&amp;6&amp;F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function="false" hidden="true" name="öipöüpioüpiüio" vbProcedure="false">word</definedName>
    <definedName function="false" hidden="true" name="ökjösdjföklasjfd" vbProcedure="false">{#N/A,#N/A,FALSE,"Index";#N/A,#N/A,FALSE,"1.1";#N/A,#N/A,FALSE,"Scenario Summary"}</definedName>
    <definedName function="false" hidden="true" name="ööl" vbProcedure="false">{#N/A,#N/A,FALSE,"KA CH  (2)"}</definedName>
    <definedName function="false" hidden="true" name="öölkk" vbProcedure="false">{#N/A,#N/A,FALSE,"Umsatz CH";#N/A,#N/A,FALSE,"ER CH";#N/A,#N/A,FALSE,"EA CH (2) ";#N/A,#N/A,FALSE,"EA CH";#N/A,#N/A,FALSE,"EA CH (3) ";#N/A,#N/A,FALSE,"EA CH (4)";#N/A,#N/A,FALSE,"KA CH";#N/A,#N/A,FALSE,"KA CH  (2)";#N/A,#N/A,FALSE,"KA CH  (3)";#N/A,#N/A,FALSE,"KA CH (4)"}</definedName>
    <definedName function="false" hidden="true" name="öölälkk" vbProcedure="false">{#N/A,#N/A,FALSE,"Umsatz 99";#N/A,#N/A,FALSE,"ER 99 "}</definedName>
    <definedName function="false" hidden="true" name="ööö" vbProcedure="false">{#N/A,#N/A,FALSE,"Produkte Erw.";#N/A,#N/A,FALSE,"Produkte Plan";#N/A,#N/A,FALSE,"Leistungen Erw.";#N/A,#N/A,FALSE,"Leistungen Plan";#N/A,#N/A,FALSE,"KA Allg.Kosten (2)";#N/A,#N/A,FALSE,"KA All.Kosten"}</definedName>
    <definedName function="false" hidden="true" name="ööölllpp" vbProcedure="false">{"fleisch",#N/A,FALSE,"WG HK";"food",#N/A,FALSE,"WG HK";"hartwaren",#N/A,FALSE,"WG HK";"weichwaren",#N/A,FALSE,"WG HK"}</definedName>
    <definedName function="false" hidden="true" name="öü" vbProcedure="false">{TRUE,TRUE,-1.25,-15.5,772.5,492.75,FALSE,FALSE,TRUE,TRUE,0,1,4,1,57,3,5,4,TRUE,TRUE,3,TRUE,1,TRUE,100,"Swvu.Budget_1997.","ACwvu.Budget_1997.",#N/A,FALSE,FALSE,1.08,0.25,0.590551181102362,0.393700787401575,1,"","&amp;L&amp;6&amp;F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function="false" hidden="true" name="ü" vbProcedure="false">{#N/A,#N/A,FALSE,"Aging Summary";#N/A,#N/A,FALSE,"Ratio Analysis";#N/A,#N/A,FALSE,"Test 120 Day Accts";#N/A,#N/A,FALSE,"Tickmarks"}</definedName>
    <definedName function="false" hidden="true" name="übers" vbProcedure="false">{"budget95",#N/A,TRUE,"Tabelle1";"Tab1",#N/A,TRUE,"Tabelle2"}</definedName>
    <definedName function="false" hidden="true" name="ÜV1" vbProcedure="false">#REF!*#REF!</definedName>
    <definedName function="false" hidden="true" name="ÜV2" vbProcedure="false">#REF!*#REF!</definedName>
    <definedName function="false" hidden="true" name="ÜV3" vbProcedure="false">#REF!*#REF!</definedName>
    <definedName function="false" hidden="true" name="ÜV4" vbProcedure="false">#REF!*#REF!</definedName>
    <definedName function="false" hidden="true" name="üü.l" vbProcedure="false">{#N/A,#N/A,FALSE,"Umsatz EO BP";#N/A,#N/A,FALSE,"Umsatz EO OP";#N/A,#N/A,FALSE,"ER EO BP";#N/A,#N/A,FALSE,"ER EO OP";#N/A,#N/A,FALSE,"EA EO (2)";#N/A,#N/A,FALSE,"EA EO";#N/A,#N/A,FALSE,"EA EO (3)";#N/A,#N/A,FALSE,"EA EO (4)";#N/A,#N/A,FALSE,"KA EO  (2)";#N/A,#N/A,FALSE,"KA EO";#N/A,#N/A,FALSE,"KA EO  (3)";#N/A,#N/A,FALSE,"KA EO (4)"}</definedName>
    <definedName function="false" hidden="true" name="üüü" vbProcedure="false">{#N/A,#N/A,FALSE,"Umsatz HM";#N/A,#N/A,FALSE,"ER HM";#N/A,#N/A,FALSE,"EA HM  (2)";#N/A,#N/A,FALSE,"EA HM ";#N/A,#N/A,FALSE,"EA HM  (4)";#N/A,#N/A,FALSE,"EA HM  (3)";#N/A,#N/A,FALSE,"KA HM  (2)";#N/A,#N/A,FALSE,"KA HM";#N/A,#N/A,FALSE,"KA HM  (3)";#N/A,#N/A,FALSE,"KA HM (4)"}</definedName>
    <definedName function="false" hidden="true" name="üüüü" vbProcedure="false">{#N/A,#N/A,FALSE,"Rohstoffnotierungen";#N/A,#N/A,FALSE,"Umsatz OPE";#N/A,#N/A,FALSE,"ER HCST Erw. 99";#N/A,#N/A,FALSE,"ER HCST Plan 00";#N/A,#N/A,FALSE,"Umsatz KG";#N/A,#N/A,FALSE,"ER HCST";#N/A,#N/A,FALSE,"EA ST (2)";#N/A,#N/A,FALSE,"EA ST";#N/A,#N/A,FALSE,"EA ST (3)";#N/A,#N/A,FALSE,"EA ST (4)";#N/A,#N/A,FALSE,"KA ST  (2)";#N/A,#N/A,FALSE,"KA ST";#N/A,#N/A,FALSE,"KA ST  (3)";#N/A,#N/A,FALSE,"KA ST (4)"}</definedName>
    <definedName function="false" hidden="true" name="אאא" vbProcedure="false">{#N/A,#N/A,FALSE,"מאזן בוחן";"כל_מאזן_בוחן",#N/A,FALSE,"מאזן בוחן"}</definedName>
    <definedName function="false" hidden="true" name="בככ"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function="false" hidden="true" name="השקעה" vbProcedure="false">{"REP1",#N/A,FALSE,"ריכוז";"REP2",#N/A,FALSE,"מפורט1";"REP3",#N/A,FALSE,"מפורט1";"REP4",#N/A,FALSE,"מפורט2";"REP5",#N/A,FALSE,"מפורט2";"REP6",#N/A,FALSE,"מפורט2"}</definedName>
    <definedName function="false" hidden="true" name="חח" vbProcedure="false">{#N/A,#N/A,FALSE,"מאזן בוחן";"כל_מאזן_בוחן",#N/A,FALSE,"מאזן בוחן"}</definedName>
    <definedName function="false" hidden="true" name="לל" vbProcedure="false">{#N/A,#N/A,FALSE,"מאזן בוחן";"כל_מאזן_בוחן",#N/A,FALSE,"מאזן בוחן"}</definedName>
    <definedName function="false" hidden="true" name="מ" vbProcedure="false">{"מזומנים",#N/A,FALSE,"מאזן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function="false" hidden="true" name="קרן" vbProcedure="false">{"rep1",#N/A,FALSE,"ריכוז";"REP7",#N/A,FALSE,"מפורט_אזורים_ער""ז";"REP2",#N/A,FALSE,"מפורט1";"REP3",#N/A,FALSE,"מפורט1";"REP4",#N/A,FALSE,"מפורט2";"REP5",#N/A,FALSE,"מפורט2";"REP6",#N/A,FALSE,"מפורט2"}</definedName>
    <definedName function="false" hidden="true" name="Ⅱ" vbProcedure="false">{#N/A,#N/A,FALSE,"정공"}</definedName>
    <definedName function="false" hidden="true" name="あああああ" vbProcedure="false">#REF!</definedName>
    <definedName function="false" hidden="true" name="っＫ" vbProcedure="false">#REF!</definedName>
    <definedName function="false" hidden="true" name="わあわ" vbProcedure="false">{"CTO ACUMULADO",#N/A,FALSE,"BASE ANEXOS";"VAR ACUMULADAS",#N/A,FALSE,"BASE ANEXOS"}</definedName>
    <definedName function="false" hidden="true" name="カク9" vbProcedure="false">{"RES-2001",#N/A,FALSE,"BL2000";"A1-2001",#N/A,FALSE,"BL2000";"A2-2001",#N/A,FALSE,"BL2000"}</definedName>
    <definedName function="false" hidden="true" name="ㄱ" vbProcedure="false">{#N/A,#N/A,FALSE,"단축1";#N/A,#N/A,FALSE,"단축2";#N/A,#N/A,FALSE,"단축3";#N/A,#N/A,FALSE,"장축";#N/A,#N/A,FALSE,"4WD"}</definedName>
    <definedName function="false" hidden="true" name="ㄱㄱ" vbProcedure="false">{#N/A,#N/A,FALSE,"초도품";#N/A,#N/A,FALSE,"초도품 (2)";#N/A,#N/A,FALSE,"초도품 (3)";#N/A,#N/A,FALSE,"초도품 (4)";#N/A,#N/A,FALSE,"초도품 (5)";#N/A,#N/A,FALSE,"초도품 (6)"}</definedName>
    <definedName function="false" hidden="true" name="ㄱㅇ" vbProcedure="false">{#N/A,#N/A,FALSE,"단축1";#N/A,#N/A,FALSE,"단축2";#N/A,#N/A,FALSE,"단축3";#N/A,#N/A,FALSE,"장축";#N/A,#N/A,FALSE,"4WD"}</definedName>
    <definedName function="false" hidden="true" name="ㄴ" vbProcedure="false">{#N/A,#N/A,FALSE,"을지 (4)";#N/A,#N/A,FALSE,"을지 (5)";#N/A,#N/A,FALSE,"을지 (6)"}</definedName>
    <definedName function="false" hidden="true" name="ㄴㄴ" vbProcedure="false">{#N/A,#N/A,FALSE,"을지 (4)";#N/A,#N/A,FALSE,"을지 (5)";#N/A,#N/A,FALSE,"을지 (6)"}</definedName>
    <definedName function="false" hidden="true" name="ㄴㄴㅁ" vbProcedure="false">#N/A</definedName>
    <definedName function="false" hidden="true" name="ㄴㄹ" vbProcedure="false">{#N/A,#N/A,FALSE,"단축1";#N/A,#N/A,FALSE,"단축2";#N/A,#N/A,FALSE,"단축3";#N/A,#N/A,FALSE,"장축";#N/A,#N/A,FALSE,"4WD"}</definedName>
    <definedName function="false" hidden="true" name="ㄴㅁㅇㅎㅇ롱로" vbProcedure="false">#REF!</definedName>
    <definedName function="false" hidden="true" name="ㄴㅇ" vbProcedure="false">{#N/A,#N/A,TRUE,"Y생산";#N/A,#N/A,TRUE,"Y판매";#N/A,#N/A,TRUE,"Y총물량";#N/A,#N/A,TRUE,"Y능력";#N/A,#N/A,TRUE,"YKD"}</definedName>
    <definedName function="false" hidden="true" name="ㄴㅇ먀ㅓ랑나ㅣㅎㅇㄴㅁ" vbProcedure="false">{#N/A,#N/A,FALSE,"단축1";#N/A,#N/A,FALSE,"단축2";#N/A,#N/A,FALSE,"단축3";#N/A,#N/A,FALSE,"장축";#N/A,#N/A,FALSE,"4WD"}</definedName>
    <definedName function="false" hidden="true" name="ㄴㅋ" vbProcedure="false">{#N/A,#N/A,FALSE,"단축1";#N/A,#N/A,FALSE,"단축2";#N/A,#N/A,FALSE,"단축3";#N/A,#N/A,FALSE,"장축";#N/A,#N/A,FALSE,"4WD"}</definedName>
    <definedName function="false" hidden="true" name="ㄶㅇ노ㅗㄶ호" vbProcedure="false">{#N/A,#N/A,FALSE,"REPORT"}</definedName>
    <definedName function="false" hidden="true" name="ㄷㄷ" vbProcedure="false">{#N/A,#N/A,FALSE,"을지 (4)";#N/A,#N/A,FALSE,"을지 (5)";#N/A,#N/A,FALSE,"을지 (6)"}</definedName>
    <definedName function="false" hidden="true" name="ㄷㅇ" vbProcedure="false">{#N/A,#N/A,TRUE,"Y생산";#N/A,#N/A,TRUE,"Y판매";#N/A,#N/A,TRUE,"Y총물량";#N/A,#N/A,TRUE,"Y능력";#N/A,#N/A,TRUE,"YKD"}</definedName>
    <definedName function="false" hidden="true" name="ㄹ" vbProcedure="false">{#N/A,#N/A,FALSE,"을지 (4)";#N/A,#N/A,FALSE,"을지 (5)";#N/A,#N/A,FALSE,"을지 (6)"}</definedName>
    <definedName function="false" hidden="true" name="ㄹㅇㅀ" vbProcedure="false">{#N/A,#N/A,FALSE,"단축1";#N/A,#N/A,FALSE,"단축2";#N/A,#N/A,FALSE,"단축3";#N/A,#N/A,FALSE,"장축";#N/A,#N/A,FALSE,"4WD"}</definedName>
    <definedName function="false" hidden="true" name="ㅀㄹ" vbProcedure="false">{#N/A,#N/A,FALSE,"단축1";#N/A,#N/A,FALSE,"단축2";#N/A,#N/A,FALSE,"단축3";#N/A,#N/A,FALSE,"장축";#N/A,#N/A,FALSE,"4WD"}</definedName>
    <definedName function="false" hidden="true" name="ㅀ령러" vbProcedure="false">{#N/A,#N/A,FALSE,"단축1";#N/A,#N/A,FALSE,"단축2";#N/A,#N/A,FALSE,"단축3";#N/A,#N/A,FALSE,"장축";#N/A,#N/A,FALSE,"4WD"}</definedName>
    <definedName function="false" hidden="true" name="ㅀ미리밀ㅎ밈림" vbProcedure="false">{#N/A,#N/A,FALSE,"을지 (4)";#N/A,#N/A,FALSE,"을지 (5)";#N/A,#N/A,FALSE,"을지 (6)"}</definedName>
    <definedName function="false" hidden="true" name="ㅁㄴ" vbProcedure="false">{#N/A,#N/A,FALSE,"단축1";#N/A,#N/A,FALSE,"단축2";#N/A,#N/A,FALSE,"단축3";#N/A,#N/A,FALSE,"장축";#N/A,#N/A,FALSE,"4WD"}</definedName>
    <definedName function="false" hidden="true" name="ㅁㄴㅇ" vbProcedure="false">{#N/A,#N/A,FALSE,"단축1";#N/A,#N/A,FALSE,"단축2";#N/A,#N/A,FALSE,"단축3";#N/A,#N/A,FALSE,"장축";#N/A,#N/A,FALSE,"4WD"}</definedName>
    <definedName function="false" hidden="true" name="ㅁㄴㅇㄹ" vbProcedure="false">{#N/A,#N/A,FALSE,"단축1";#N/A,#N/A,FALSE,"단축2";#N/A,#N/A,FALSE,"단축3";#N/A,#N/A,FALSE,"장축";#N/A,#N/A,FALSE,"4WD"}</definedName>
    <definedName function="false" hidden="true" name="ㅁㄴㅇㅁㄴㅇ" vbProcedure="false">{#N/A,#N/A,FALSE,"단축1";#N/A,#N/A,FALSE,"단축2";#N/A,#N/A,FALSE,"단축3";#N/A,#N/A,FALSE,"장축";#N/A,#N/A,FALSE,"4WD"}</definedName>
    <definedName function="false" hidden="true" name="ㅁㄹㅇ" vbProcedure="false">{#N/A,#N/A,FALSE,"단축1";#N/A,#N/A,FALSE,"단축2";#N/A,#N/A,FALSE,"단축3";#N/A,#N/A,FALSE,"장축";#N/A,#N/A,FALSE,"4WD"}</definedName>
    <definedName function="false" hidden="true" name="ㅁㅁㅁㅁㅁㅁㅁㅁㅁ" vbProcedure="false">{#N/A,#N/A,FALSE,"단축1";#N/A,#N/A,FALSE,"단축2";#N/A,#N/A,FALSE,"단축3";#N/A,#N/A,FALSE,"장축";#N/A,#N/A,FALSE,"4WD"}</definedName>
    <definedName function="false" hidden="true" name="ㅁㅇㄱㅎ" vbProcedure="false">{#N/A,#N/A,FALSE,"단축1";#N/A,#N/A,FALSE,"단축2";#N/A,#N/A,FALSE,"단축3";#N/A,#N/A,FALSE,"장축";#N/A,#N/A,FALSE,"4WD"}</definedName>
    <definedName function="false" hidden="true" name="ㅁㅇㄹ" vbProcedure="false">{#N/A,#N/A,FALSE,"단축1";#N/A,#N/A,FALSE,"단축2";#N/A,#N/A,FALSE,"단축3";#N/A,#N/A,FALSE,"장축";#N/A,#N/A,FALSE,"4WD"}</definedName>
    <definedName function="false" hidden="true" name="ㅁㅇㅂㅈㄷㄹㅇ" vbProcedure="false">{#N/A,#N/A,FALSE,"단축1";#N/A,#N/A,FALSE,"단축2";#N/A,#N/A,FALSE,"단축3";#N/A,#N/A,FALSE,"장축";#N/A,#N/A,FALSE,"4WD"}</definedName>
    <definedName function="false" hidden="true" name="ㅁㅈㅂㅈㅂ" vbProcedure="false">#N/A</definedName>
    <definedName function="false" hidden="true" name="ㅂ" vbProcedure="false">{#N/A,#N/A,FALSE,"단축1";#N/A,#N/A,FALSE,"단축2";#N/A,#N/A,FALSE,"단축3";#N/A,#N/A,FALSE,"장축";#N/A,#N/A,FALSE,"4WD"}</definedName>
    <definedName function="false" hidden="true" name="ㅂㅁ" vbProcedure="false">{#N/A,"PURCHM",FALSE,"Business Analysis";#N/A,"SPADD",FALSE,"Business Analysis"}</definedName>
    <definedName function="false" hidden="true" name="ㅂㅂ" vbProcedure="false">{#N/A,#N/A,FALSE,"단축1";#N/A,#N/A,FALSE,"단축2";#N/A,#N/A,FALSE,"단축3";#N/A,#N/A,FALSE,"장축";#N/A,#N/A,FALSE,"4WD"}</definedName>
    <definedName function="false" hidden="true" name="ㅂㅂㅂ" vbProcedure="false">{#N/A,#N/A,FALSE,"단축1";#N/A,#N/A,FALSE,"단축2";#N/A,#N/A,FALSE,"단축3";#N/A,#N/A,FALSE,"장축";#N/A,#N/A,FALSE,"4WD"}</definedName>
    <definedName function="false" hidden="true" name="ㅅㅅ" vbProcedure="false">{#N/A,#N/A,FALSE,"단축1";#N/A,#N/A,FALSE,"단축2";#N/A,#N/A,FALSE,"단축3";#N/A,#N/A,FALSE,"장축";#N/A,#N/A,FALSE,"4WD"}</definedName>
    <definedName function="false" hidden="true" name="ㅇ" vbProcedure="false">{#N/A,#N/A,FALSE,"초도품";#N/A,#N/A,FALSE,"초도품 (2)";#N/A,#N/A,FALSE,"초도품 (3)";#N/A,#N/A,FALSE,"초도품 (4)";#N/A,#N/A,FALSE,"초도품 (5)";#N/A,#N/A,FALSE,"초도품 (6)"}</definedName>
    <definedName function="false" hidden="true" name="ㅇADKFJDA" vbProcedure="false">{#N/A,#N/A,FALSE,"을지 (4)";#N/A,#N/A,FALSE,"을지 (5)";#N/A,#N/A,FALSE,"을지 (6)"}</definedName>
    <definedName function="false" hidden="true" name="ㅇㄹ" vbProcedure="false">{#N/A,#N/A,FALSE,"단축1";#N/A,#N/A,FALSE,"단축2";#N/A,#N/A,FALSE,"단축3";#N/A,#N/A,FALSE,"장축";#N/A,#N/A,FALSE,"4WD"}</definedName>
    <definedName function="false" hidden="true" name="ㅇㄹㄴ" vbProcedure="false">{#N/A,#N/A,FALSE,"단축1";#N/A,#N/A,FALSE,"단축2";#N/A,#N/A,FALSE,"단축3";#N/A,#N/A,FALSE,"장축";#N/A,#N/A,FALSE,"4WD"}</definedName>
    <definedName function="false" hidden="true" name="ㅇㄹㅇㄹㅇ" vbProcedure="false">{#N/A,#N/A,FALSE,"정공"}</definedName>
    <definedName function="false" hidden="true" name="ㅇㅀ호" vbProcedure="false">{#N/A,#N/A,FALSE,"단축1";#N/A,#N/A,FALSE,"단축2";#N/A,#N/A,FALSE,"단축3";#N/A,#N/A,FALSE,"장축";#N/A,#N/A,FALSE,"4WD"}</definedName>
    <definedName function="false" hidden="true" name="ㅇㅁㄴㅇ" vbProcedure="false">{#N/A,#N/A,FALSE,"단축1";#N/A,#N/A,FALSE,"단축2";#N/A,#N/A,FALSE,"단축3";#N/A,#N/A,FALSE,"장축";#N/A,#N/A,FALSE,"4WD"}</definedName>
    <definedName function="false" hidden="true" name="ㅇㅇ" vbProcedure="false">{#N/A,#N/A,FALSE,"단축1";#N/A,#N/A,FALSE,"단축2";#N/A,#N/A,FALSE,"단축3";#N/A,#N/A,FALSE,"장축";#N/A,#N/A,FALSE,"4WD"}</definedName>
    <definedName function="false" hidden="true" name="ㅇㅇㅇ" vbProcedure="false">{#N/A,#N/A,FALSE,"신규dep";#N/A,#N/A,FALSE,"신규dep-금형상각후";#N/A,#N/A,FALSE,"신규dep-연구비상각후";#N/A,#N/A,FALSE,"신규dep-기계,공구상각후"}</definedName>
    <definedName function="false" hidden="true" name="ㅇㅇㅇㅇ" vbProcedure="false">{#N/A,#N/A,FALSE,"단축1";#N/A,#N/A,FALSE,"단축2";#N/A,#N/A,FALSE,"단축3";#N/A,#N/A,FALSE,"장축";#N/A,#N/A,FALSE,"4WD"}</definedName>
    <definedName function="false" hidden="true" name="ㅇㅎㄹ" vbProcedure="false">{#N/A,#N/A,FALSE,"단축1";#N/A,#N/A,FALSE,"단축2";#N/A,#N/A,FALSE,"단축3";#N/A,#N/A,FALSE,"장축";#N/A,#N/A,FALSE,"4WD"}</definedName>
    <definedName function="false" hidden="true" name="ㅇ롱" vbProcedure="false">{#N/A,#N/A,FALSE,"단축1";#N/A,#N/A,FALSE,"단축2";#N/A,#N/A,FALSE,"단축3";#N/A,#N/A,FALSE,"장축";#N/A,#N/A,FALSE,"4WD"}</definedName>
    <definedName function="false" hidden="true" name="ㅇ류" vbProcedure="false">{#N/A,#N/A,FALSE,"단축1";#N/A,#N/A,FALSE,"단축2";#N/A,#N/A,FALSE,"단축3";#N/A,#N/A,FALSE,"장축";#N/A,#N/A,FALSE,"4WD"}</definedName>
    <definedName function="false" hidden="true" name="ㅇ륭" vbProcedure="false">{#N/A,#N/A,FALSE,"단축1";#N/A,#N/A,FALSE,"단축2";#N/A,#N/A,FALSE,"단축3";#N/A,#N/A,FALSE,"장축";#N/A,#N/A,FALSE,"4WD"}</definedName>
    <definedName function="false" hidden="true" name="ㅈㄷㄴ" vbProcedure="false">{#N/A,#N/A,FALSE,"단축1";#N/A,#N/A,FALSE,"단축2";#N/A,#N/A,FALSE,"단축3";#N/A,#N/A,FALSE,"장축";#N/A,#N/A,FALSE,"4WD"}</definedName>
    <definedName function="false" hidden="true" name="ㅈㄹ" vbProcedure="false">{#N/A,#N/A,FALSE,"단축1";#N/A,#N/A,FALSE,"단축2";#N/A,#N/A,FALSE,"단축3";#N/A,#N/A,FALSE,"장축";#N/A,#N/A,FALSE,"4WD"}</definedName>
    <definedName function="false" hidden="true" name="ㅈㅈ" vbProcedure="false">{#N/A,#N/A,FALSE,"을지 (4)";#N/A,#N/A,FALSE,"을지 (5)";#N/A,#N/A,FALSE,"을지 (6)"}</definedName>
    <definedName function="false" hidden="true" name="ㅈㅈㅈ" vbProcedure="false">{#N/A,#N/A,FALSE,"단축1";#N/A,#N/A,FALSE,"단축2";#N/A,#N/A,FALSE,"단축3";#N/A,#N/A,FALSE,"장축";#N/A,#N/A,FALSE,"4WD"}</definedName>
    <definedName function="false" hidden="true" name="ㅋㅇㅍ" vbProcedure="false">{#N/A,#N/A,FALSE,"단축1";#N/A,#N/A,FALSE,"단축2";#N/A,#N/A,FALSE,"단축3";#N/A,#N/A,FALSE,"장축";#N/A,#N/A,FALSE,"4WD"}</definedName>
    <definedName function="false" hidden="true" name="ㅋㅋ" vbProcedure="false">{#N/A,#N/A,TRUE,"Y생산";#N/A,#N/A,TRUE,"Y판매";#N/A,#N/A,TRUE,"Y총물량";#N/A,#N/A,TRUE,"Y능력";#N/A,#N/A,TRUE,"YKD"}</definedName>
    <definedName function="false" hidden="true" name="ㅋㅋㅋ" vbProcedure="false">{#N/A,#N/A,TRUE,"매출진척-1";#N/A,#N/A,TRUE,"매출진척-2";#N/A,#N/A,TRUE,"제품실적";#N/A,#N/A,TRUE,"RAC";#N/A,#N/A,TRUE,"PAC ";#N/A,#N/A,TRUE,"재고현황";#N/A,#N/A,TRUE,"공지사항"}</definedName>
    <definedName function="false" hidden="true" name="ㅌㅊ" vbProcedure="false">{#N/A,#N/A,FALSE,"단축1";#N/A,#N/A,FALSE,"단축2";#N/A,#N/A,FALSE,"단축3";#N/A,#N/A,FALSE,"장축";#N/A,#N/A,FALSE,"4WD"}</definedName>
    <definedName function="false" hidden="true" name="ㅍ" vbProcedure="false">{#N/A,#N/A,FALSE,"단축1";#N/A,#N/A,FALSE,"단축2";#N/A,#N/A,FALSE,"단축3";#N/A,#N/A,FALSE,"장축";#N/A,#N/A,FALSE,"4WD"}</definedName>
    <definedName function="false" hidden="true" name="ㅎ" vbProcedure="false">{#N/A,#N/A,FALSE,"을지 (4)";#N/A,#N/A,FALSE,"을지 (5)";#N/A,#N/A,FALSE,"을지 (6)"}</definedName>
    <definedName function="false" hidden="true" name="ㅎㄹㅇ" vbProcedure="false">{#N/A,#N/A,FALSE,"단축1";#N/A,#N/A,FALSE,"단축2";#N/A,#N/A,FALSE,"단축3";#N/A,#N/A,FALSE,"장축";#N/A,#N/A,FALSE,"4WD"}</definedName>
    <definedName function="false" hidden="true" name="ㅎㅎ" vbProcedure="false">{#N/A,#N/A,FALSE,"을지 (4)";#N/A,#N/A,FALSE,"을지 (5)";#N/A,#N/A,FALSE,"을지 (6)"}</definedName>
    <definedName function="false" hidden="true" name="ㅎ호ㅓㅓㅗ" vbProcedure="false">{#N/A,#N/A,FALSE,"단축1";#N/A,#N/A,FALSE,"단축2";#N/A,#N/A,FALSE,"단축3";#N/A,#N/A,FALSE,"장축";#N/A,#N/A,FALSE,"4WD"}</definedName>
    <definedName function="false" hidden="true" name="ㅏ" vbProcedure="false">{#N/A,#N/A,FALSE,"을지 (4)";#N/A,#N/A,FALSE,"을지 (5)";#N/A,#N/A,FALSE,"을지 (6)"}</definedName>
    <definedName function="false" hidden="true" name="ㅏㅏㅏ" vbProcedure="false">{#N/A,#N/A,FALSE,"단축1";#N/A,#N/A,FALSE,"단축2";#N/A,#N/A,FALSE,"단축3";#N/A,#N/A,FALSE,"장축";#N/A,#N/A,FALSE,"4WD"}</definedName>
    <definedName function="false" hidden="true" name="ㅏㅣㅣㅣ" vbProcedure="false">{#N/A,#N/A,FALSE,"단축1";#N/A,#N/A,FALSE,"단축2";#N/A,#N/A,FALSE,"단축3";#N/A,#N/A,FALSE,"장축";#N/A,#N/A,FALSE,"4WD"}</definedName>
    <definedName function="false" hidden="true" name="ㅏ휴" vbProcedure="false">{#N/A,#N/A,FALSE,"초도품";#N/A,#N/A,FALSE,"초도품 (2)";#N/A,#N/A,FALSE,"초도품 (3)";#N/A,#N/A,FALSE,"초도품 (4)";#N/A,#N/A,FALSE,"초도품 (5)";#N/A,#N/A,FALSE,"초도품 (6)"}</definedName>
    <definedName function="false" hidden="true" name="ㅐㅐ" vbProcedure="false">{#N/A,#N/A,FALSE,"을지 (4)";#N/A,#N/A,FALSE,"을지 (5)";#N/A,#N/A,FALSE,"을지 (6)"}</definedName>
    <definedName function="false" hidden="true" name="ㅑ" vbProcedure="false">{#N/A,#N/A,FALSE,"단축1";#N/A,#N/A,FALSE,"단축2";#N/A,#N/A,FALSE,"단축3";#N/A,#N/A,FALSE,"장축";#N/A,#N/A,FALSE,"4WD"}</definedName>
    <definedName function="false" hidden="true" name="ㅑㅑㅑ" vbProcedure="false">{#N/A,#N/A,FALSE,"초도품";#N/A,#N/A,FALSE,"초도품 (2)";#N/A,#N/A,FALSE,"초도품 (3)";#N/A,#N/A,FALSE,"초도품 (4)";#N/A,#N/A,FALSE,"초도품 (5)";#N/A,#N/A,FALSE,"초도품 (6)"}</definedName>
    <definedName function="false" hidden="true" name="ㅓ" vbProcedure="false">{#N/A,#N/A,FALSE,"초도품";#N/A,#N/A,FALSE,"초도품 (2)";#N/A,#N/A,FALSE,"초도품 (3)";#N/A,#N/A,FALSE,"초도품 (4)";#N/A,#N/A,FALSE,"초도품 (5)";#N/A,#N/A,FALSE,"초도품 (6)"}</definedName>
    <definedName function="false" hidden="true" name="ㅓㅏㅗ" vbProcedure="false">{#N/A,#N/A,FALSE,"초도품";#N/A,#N/A,FALSE,"초도품 (2)";#N/A,#N/A,FALSE,"초도품 (3)";#N/A,#N/A,FALSE,"초도품 (4)";#N/A,#N/A,FALSE,"초도품 (5)";#N/A,#N/A,FALSE,"초도품 (6)"}</definedName>
    <definedName function="false" hidden="true" name="ㅓㅏㅣㅕㅑㅔ" vbProcedure="false">{#N/A,#N/A,FALSE,"단축1";#N/A,#N/A,FALSE,"단축2";#N/A,#N/A,FALSE,"단축3";#N/A,#N/A,FALSE,"장축";#N/A,#N/A,FALSE,"4WD"}</definedName>
    <definedName function="false" hidden="true" name="ㅔ" vbProcedure="false">{#N/A,#N/A,FALSE,"단축1";#N/A,#N/A,FALSE,"단축2";#N/A,#N/A,FALSE,"단축3";#N/A,#N/A,FALSE,"장축";#N/A,#N/A,FALSE,"4WD"}</definedName>
    <definedName function="false" hidden="true" name="ㅔㅔ" vbProcedure="false">{#N/A,#N/A,FALSE,"초도품";#N/A,#N/A,FALSE,"초도품 (2)";#N/A,#N/A,FALSE,"초도품 (3)";#N/A,#N/A,FALSE,"초도품 (4)";#N/A,#N/A,FALSE,"초도품 (5)";#N/A,#N/A,FALSE,"초도품 (6)"}</definedName>
    <definedName function="false" hidden="true" name="ㅔㅔㅔ" vbProcedure="false">#N/A</definedName>
    <definedName function="false" hidden="true" name="ㅔㅔㅔㅔ" vbProcedure="false">{#N/A,#N/A,FALSE,"을지 (4)";#N/A,#N/A,FALSE,"을지 (5)";#N/A,#N/A,FALSE,"을지 (6)"}</definedName>
    <definedName function="false" hidden="true" name="ㅕ" vbProcedure="false">{#N/A,#N/A,FALSE,"단축1";#N/A,#N/A,FALSE,"단축2";#N/A,#N/A,FALSE,"단축3";#N/A,#N/A,FALSE,"장축";#N/A,#N/A,FALSE,"4WD"}</definedName>
    <definedName function="false" hidden="true" name="ㅕㅕ" vbProcedure="false">{#N/A,#N/A,FALSE,"단축1";#N/A,#N/A,FALSE,"단축2";#N/A,#N/A,FALSE,"단축3";#N/A,#N/A,FALSE,"장축";#N/A,#N/A,FALSE,"4WD"}</definedName>
    <definedName function="false" hidden="true" name="ㅕㅕㅕ" vbProcedure="false">{#N/A,#N/A,FALSE,"을지 (4)";#N/A,#N/A,FALSE,"을지 (5)";#N/A,#N/A,FALSE,"을지 (6)"}</definedName>
    <definedName function="false" hidden="true" name="ㅗㅓㅏ" vbProcedure="false">#REF!</definedName>
    <definedName function="false" hidden="true" name="ㅗㅓㅏㅣ" vbProcedure="false">{#N/A,#N/A,FALSE,"단축1";#N/A,#N/A,FALSE,"단축2";#N/A,#N/A,FALSE,"단축3";#N/A,#N/A,FALSE,"장축";#N/A,#N/A,FALSE,"4WD"}</definedName>
    <definedName function="false" hidden="true" name="ㅗㅓㅐㅓㅐ" vbProcedure="false">#N/A</definedName>
    <definedName function="false" hidden="true" name="ㅗㅗ" vbProcedure="false">{#N/A,#N/A,FALSE,"초도품";#N/A,#N/A,FALSE,"초도품 (2)";#N/A,#N/A,FALSE,"초도품 (3)";#N/A,#N/A,FALSE,"초도품 (4)";#N/A,#N/A,FALSE,"초도품 (5)";#N/A,#N/A,FALSE,"초도품 (6)"}</definedName>
    <definedName function="false" hidden="true" name="ㅛㅛㅛ" vbProcedure="false">{#N/A,#N/A,FALSE,"초도품";#N/A,#N/A,FALSE,"초도품 (2)";#N/A,#N/A,FALSE,"초도품 (3)";#N/A,#N/A,FALSE,"초도품 (4)";#N/A,#N/A,FALSE,"초도품 (5)";#N/A,#N/A,FALSE,"초도품 (6)"}</definedName>
    <definedName function="false" hidden="true" name="ㅛㅛㅛㅛㅛㅛㅛㅛㅛㅛ" vbProcedure="false">{#N/A,#N/A,FALSE,"단축1";#N/A,#N/A,FALSE,"단축2";#N/A,#N/A,FALSE,"단축3";#N/A,#N/A,FALSE,"장축";#N/A,#N/A,FALSE,"4WD"}</definedName>
    <definedName function="false" hidden="true" name="ㅜ" vbProcedure="false">{#N/A,#N/A,FALSE,"단축1";#N/A,#N/A,FALSE,"단축2";#N/A,#N/A,FALSE,"단축3";#N/A,#N/A,FALSE,"장축";#N/A,#N/A,FALSE,"4WD"}</definedName>
    <definedName function="false" hidden="true" name="ㅠㅍㅇㅌㄹ" vbProcedure="false">{#N/A,#N/A,FALSE,"단축1";#N/A,#N/A,FALSE,"단축2";#N/A,#N/A,FALSE,"단축3";#N/A,#N/A,FALSE,"장축";#N/A,#N/A,FALSE,"4WD"}</definedName>
    <definedName function="false" hidden="true" name="ㅡ" vbProcedure="false">{#N/A,#N/A,FALSE,"단축1";#N/A,#N/A,FALSE,"단축2";#N/A,#N/A,FALSE,"단축3";#N/A,#N/A,FALSE,"장축";#N/A,#N/A,FALSE,"4WD"}</definedName>
    <definedName function="false" hidden="true" name="ㅡㅡㅡ" vbProcedure="false">#N/A</definedName>
    <definedName function="false" hidden="true" name="ㅣ" vbProcedure="false">#N/A</definedName>
    <definedName function="false" hidden="true" name="ㅣㅏㅡ" vbProcedure="false">{#N/A,#N/A,FALSE,"을지 (4)";#N/A,#N/A,FALSE,"을지 (5)";#N/A,#N/A,FALSE,"을지 (6)"}</definedName>
    <definedName function="false" hidden="true" name="ㅣㅣ" vbProcedure="false">{#N/A,#N/A,FALSE,"을지 (4)";#N/A,#N/A,FALSE,"을지 (5)";#N/A,#N/A,FALSE,"을지 (6)"}</definedName>
    <definedName function="false" hidden="true" name="ㅣㅣㅣ" vbProcedure="false">{#N/A,#N/A,FALSE,"단축1";#N/A,#N/A,FALSE,"단축2";#N/A,#N/A,FALSE,"단축3";#N/A,#N/A,FALSE,"장축";#N/A,#N/A,FALSE,"4WD"}</definedName>
    <definedName function="false" hidden="true" name="倉田" vbProcedure="false">{#N/A,"VA",FALSE,"output";#N/A,"VB",FALSE,"output";#N/A,"VS",FALSE,"output";#N/A,"VC",FALSE,"output";#N/A,"VG",FALSE,"output";#N/A,"J1",FALSE,"output";#N/A,"J2",FALSE,"output";#N/A,"PT",FALSE,"output"}</definedName>
    <definedName function="false" hidden="true" name="内製日程" vbProcedure="false">#REF!</definedName>
    <definedName function="false" hidden="true" name="変更" vbProcedure="false">{#VALUE!,#N/A,FALSE,0;#N/A,#N/A,FALSE,0;#N/A,#N/A,FALSE,0;#N/A,#N/A,FALSE,0}</definedName>
    <definedName function="false" hidden="true" name="損益・資金推移" vbProcedure="false">#REF!</definedName>
    <definedName function="false" hidden="true" name="改" vbProcedure="false">{#VALUE!,#N/A,FALSE,0;#N/A,#N/A,FALSE,0;#N/A,#N/A,FALSE,0;#N/A,#N/A,FALSE,0}</definedName>
    <definedName function="false" hidden="true" name="方針書" vbProcedure="false">{"PL2000",#N/A,FALSE,"BL2000"}</definedName>
    <definedName function="false" hidden="true" name="方針書A" vbProcedure="false">{"RES-2001",#N/A,FALSE,"BL2000";"A1-2001",#N/A,FALSE,"BL2000";"A2-2001",#N/A,FALSE,"BL2000"}</definedName>
    <definedName function="false" hidden="true" name="方針書Attachment" vbProcedure="false">{"RES-2000",#N/A,FALSE,"BL2000";"A1-2000",#N/A,FALSE,"BL2000";"A2-2000",#N/A,FALSE,"BL2000"}</definedName>
    <definedName function="false" hidden="true" name="日程２" vbProcedure="false">#REF!</definedName>
    <definedName function="false" hidden="true" name="比例費" vbProcedure="false">255</definedName>
    <definedName function="false" hidden="true" name="波形" vbProcedure="false">#REF!</definedName>
    <definedName function="false" hidden="true" name="田中" vbProcedure="false">{#N/A,"VA",FALSE,"output";#N/A,"VB",FALSE,"output";#N/A,"VS",FALSE,"output";#N/A,"VC",FALSE,"output";#N/A,"VG",FALSE,"output";#N/A,"J1",FALSE,"output";#N/A,"J2",FALSE,"output";#N/A,"PT",FALSE,"output"}</definedName>
    <definedName function="false" hidden="true" name="目標" vbProcedure="false">{#N/A,"VA",FALSE,"output";#N/A,"VB",FALSE,"output";#N/A,"VS",FALSE,"output";#N/A,"VC",FALSE,"output";#N/A,"VG",FALSE,"output";#N/A,"J1",FALSE,"output";#N/A,"J2",FALSE,"output";#N/A,"PT",FALSE,"output"}</definedName>
    <definedName function="false" hidden="true" name="直接固定費" vbProcedure="false">{"COMNUS2000",#N/A,FALSE,"BL2000"}</definedName>
    <definedName function="false" hidden="true" name="英語" vbProcedure="false">{#VALUE!,#N/A,FALSE,0;#N/A,#N/A,FALSE,0;#N/A,#N/A,FALSE,0;#N/A,#N/A,FALSE,0}</definedName>
    <definedName function="false" hidden="true" name="長野" vbProcedure="false">{#N/A,#N/A,TRUE,"RIDE";#N/A,#N/A,TRUE,"STEERING";#N/A,#N/A,TRUE,"HANDLING";#N/A,#N/A,TRUE,"BRAKING"}</definedName>
    <definedName function="false" hidden="true" name="開発日程" vbProcedure="false">#REF!</definedName>
    <definedName function="false" hidden="true" name="가1" vbProcedure="false">{#N/A,#N/A,TRUE,"Y생산";#N/A,#N/A,TRUE,"Y판매";#N/A,#N/A,TRUE,"Y총물량";#N/A,#N/A,TRUE,"Y능력";#N/A,#N/A,TRUE,"YKD"}</definedName>
    <definedName function="false" hidden="true" name="가동비" vbProcedure="false">#N/A</definedName>
    <definedName function="false" hidden="true" name="가아ㅓ라어" vbProcedure="false">{#N/A,#N/A,FALSE,"초도품";#N/A,#N/A,FALSE,"초도품 (2)";#N/A,#N/A,FALSE,"초도품 (3)";#N/A,#N/A,FALSE,"초도품 (4)";#N/A,#N/A,FALSE,"초도품 (5)";#N/A,#N/A,FALSE,"초도품 (6)"}</definedName>
    <definedName function="false" hidden="true" name="각방안" vbProcedure="false">{#N/A,#N/A,FALSE,"단축1";#N/A,#N/A,FALSE,"단축2";#N/A,#N/A,FALSE,"단축3";#N/A,#N/A,FALSE,"장축";#N/A,#N/A,FALSE,"4WD"}</definedName>
    <definedName function="false" hidden="true" name="개발문제범" vbProcedure="false">{#N/A,#N/A,FALSE,"단축1";#N/A,#N/A,FALSE,"단축2";#N/A,#N/A,FALSE,"단축3";#N/A,#N/A,FALSE,"장축";#N/A,#N/A,FALSE,"4WD"}</definedName>
    <definedName function="false" hidden="true" name="개발시험종합" vbProcedure="false">#N/A</definedName>
    <definedName function="false" hidden="true" name="개발일정수정" vbProcedure="false">{#N/A,#N/A,FALSE,"단축1";#N/A,#N/A,FALSE,"단축2";#N/A,#N/A,FALSE,"단축3";#N/A,#N/A,FALSE,"장축";#N/A,#N/A,FALSE,"4WD"}</definedName>
    <definedName function="false" hidden="true" name="개선" vbProcedure="false">{#N/A,#N/A,FALSE,"단축1";#N/A,#N/A,FALSE,"단축2";#N/A,#N/A,FALSE,"단축3";#N/A,#N/A,FALSE,"장축";#N/A,#N/A,FALSE,"4WD"}</definedName>
    <definedName function="false" hidden="true" name="개선과정" vbProcedure="false">{#N/A,#N/A,FALSE,"단축1";#N/A,#N/A,FALSE,"단축2";#N/A,#N/A,FALSE,"단축3";#N/A,#N/A,FALSE,"장축";#N/A,#N/A,FALSE,"4WD"}</definedName>
    <definedName function="false" hidden="true" name="갤로" vbProcedure="false">{#N/A,#N/A,FALSE,"정공"}</definedName>
    <definedName function="false" hidden="true" name="거" vbProcedure="false">{#N/A,#N/A,FALSE,"단축1";#N/A,#N/A,FALSE,"단축2";#N/A,#N/A,FALSE,"단축3";#N/A,#N/A,FALSE,"장축";#N/A,#N/A,FALSE,"4WD"}</definedName>
    <definedName function="false" hidden="true" name="거아러" vbProcedure="false">{#N/A,#N/A,FALSE,"단축1";#N/A,#N/A,FALSE,"단축2";#N/A,#N/A,FALSE,"단축3";#N/A,#N/A,FALSE,"장축";#N/A,#N/A,FALSE,"4WD"}</definedName>
    <definedName function="false" hidden="true" name="겉장" vbProcedure="false">{#N/A,#N/A,FALSE,"단축1";#N/A,#N/A,FALSE,"단축2";#N/A,#N/A,FALSE,"단축3";#N/A,#N/A,FALSE,"장축";#N/A,#N/A,FALSE,"4WD"}</definedName>
    <definedName function="false" hidden="true" name="겉장1" vbProcedure="false">{#N/A,#N/A,FALSE,"단축1";#N/A,#N/A,FALSE,"단축2";#N/A,#N/A,FALSE,"단축3";#N/A,#N/A,FALSE,"장축";#N/A,#N/A,FALSE,"4WD"}</definedName>
    <definedName function="false" hidden="true" name="겉지" vbProcedure="false">{#N/A,#N/A,FALSE,"단축1";#N/A,#N/A,FALSE,"단축2";#N/A,#N/A,FALSE,"단축3";#N/A,#N/A,FALSE,"장축";#N/A,#N/A,FALSE,"4WD"}</definedName>
    <definedName function="false" hidden="true" name="경리손익" vbProcedure="false">{#N/A,#N/A,FALSE,"정공"}</definedName>
    <definedName function="false" hidden="true" name="경비실적" vbProcedure="false">{#N/A,#N/A,FALSE,"정공"}</definedName>
    <definedName function="false" hidden="true" name="계획2" vbProcedure="false">{#N/A,#N/A,FALSE,"정공"}</definedName>
    <definedName function="false" hidden="true" name="고" vbProcedure="false">{#N/A,#N/A,FALSE,"REPORT"}</definedName>
    <definedName function="false" hidden="true" name="공33" vbProcedure="false">{#N/A,#N/A,FALSE,"단축1";#N/A,#N/A,FALSE,"단축2";#N/A,#N/A,FALSE,"단축3";#N/A,#N/A,FALSE,"장축";#N/A,#N/A,FALSE,"4WD"}</definedName>
    <definedName function="false" hidden="true" name="공수투입" vbProcedure="false">{#N/A,#N/A,FALSE,"정공"}</definedName>
    <definedName function="false" hidden="true" name="구매품목" vbProcedure="false">{#N/A,#N/A,FALSE,"단축1";#N/A,#N/A,FALSE,"단축2";#N/A,#N/A,FALSE,"단축3";#N/A,#N/A,FALSE,"장축";#N/A,#N/A,FALSE,"4WD"}</definedName>
    <definedName function="false" hidden="true" name="근거2" vbProcedure="false">{#N/A,#N/A,FALSE,"단축1";#N/A,#N/A,FALSE,"단축2";#N/A,#N/A,FALSE,"단축3";#N/A,#N/A,FALSE,"장축";#N/A,#N/A,FALSE,"4WD"}</definedName>
    <definedName function="false" hidden="true" name="금월" vbProcedure="false">{#N/A,#N/A,TRUE,"Y생산";#N/A,#N/A,TRUE,"Y판매";#N/A,#N/A,TRUE,"Y총물량";#N/A,#N/A,TRUE,"Y능력";#N/A,#N/A,TRUE,"YKD"}</definedName>
    <definedName function="false" hidden="true" name="기아" vbProcedure="false">{#N/A,#N/A,FALSE,"단축1";#N/A,#N/A,FALSE,"단축2";#N/A,#N/A,FALSE,"단축3";#N/A,#N/A,FALSE,"장축";#N/A,#N/A,FALSE,"4WD"}</definedName>
    <definedName function="false" hidden="true" name="기아모텍" vbProcedure="false">{#N/A,#N/A,FALSE,"정공"}</definedName>
    <definedName function="false" hidden="true" name="기아전자" vbProcedure="false">{#N/A,#N/A,FALSE,"정공"}</definedName>
    <definedName function="false" hidden="true" name="기준" vbProcedure="false">{#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function="false" hidden="true" name="나나아아" vbProcedure="false">{#N/A,#N/A,FALSE,"단축1";#N/A,#N/A,FALSE,"단축2";#N/A,#N/A,FALSE,"단축3";#N/A,#N/A,FALSE,"장축";#N/A,#N/A,FALSE,"4WD"}</definedName>
    <definedName function="false" hidden="true" name="납품현황" vbProcedure="false">{#N/A,#N/A,FALSE,"단축1";#N/A,#N/A,FALSE,"단축2";#N/A,#N/A,FALSE,"단축3";#N/A,#N/A,FALSE,"장축";#N/A,#N/A,FALSE,"4WD"}</definedName>
    <definedName function="false" hidden="true" name="다다익선" vbProcedure="false">{#N/A,#N/A,FALSE,"정공"}</definedName>
    <definedName function="false" hidden="true" name="다달이" vbProcedure="false">{#N/A,#N/A,FALSE,"정공"}</definedName>
    <definedName function="false" hidden="true" name="다라니경" vbProcedure="false">{#N/A,#N/A,FALSE,"정공"}</definedName>
    <definedName function="false" hidden="true" name="다라니경을피우자" vbProcedure="false">{#N/A,#N/A,FALSE,"정공"}</definedName>
    <definedName function="false" hidden="true" name="단가기준" vbProcedure="false">{#N/A,#N/A,TRUE,"Y생산";#N/A,#N/A,TRUE,"Y판매";#N/A,#N/A,TRUE,"Y총물량";#N/A,#N/A,TRUE,"Y능력";#N/A,#N/A,TRUE,"YKD"}</definedName>
    <definedName function="false" hidden="true" name="단기" vbProcedure="false">{#N/A,#N/A,TRUE,"Y생산";#N/A,#N/A,TRUE,"Y판매";#N/A,#N/A,TRUE,"Y총물량";#N/A,#N/A,TRUE,"Y능력";#N/A,#N/A,TRUE,"YKD"}</definedName>
    <definedName function="false" hidden="true" name="단말기" vbProcedure="false">{#N/A,#N/A,FALSE,"정공"}</definedName>
    <definedName function="false" hidden="true" name="단말기번호" vbProcedure="false">{#N/A,#N/A,FALSE,"정공"}</definedName>
    <definedName function="false" hidden="true" name="단알기" vbProcedure="false">{#N/A,#N/A,FALSE,"정공"}</definedName>
    <definedName function="false" hidden="true" name="당초기준손이" vbProcedure="false">{#N/A,#N/A,FALSE,"정공"}</definedName>
    <definedName function="false" hidden="true" name="당초손익표" vbProcedure="false">{#N/A,#N/A,FALSE,"정공"}</definedName>
    <definedName function="false" hidden="true" name="대리님" vbProcedure="false">{#N/A,#N/A,FALSE,"정공"}</definedName>
    <definedName function="false" hidden="true" name="대부" vbProcedure="false">{#N/A,#N/A,FALSE,"단축1";#N/A,#N/A,FALSE,"단축2";#N/A,#N/A,FALSE,"단축3";#N/A,#N/A,FALSE,"장축";#N/A,#N/A,FALSE,"4WD"}</definedName>
    <definedName function="false" hidden="true" name="대상시트" vbProcedure="false">{#N/A,#N/A,FALSE,"정공"}</definedName>
    <definedName function="false" hidden="true" name="대원" vbProcedure="false">#N/A</definedName>
    <definedName function="false" hidden="true" name="대원3" vbProcedure="false">#N/A</definedName>
    <definedName function="false" hidden="true" name="대원4" vbProcedure="false">#N/A</definedName>
    <definedName function="false" hidden="true" name="대책서" vbProcedure="false">{#N/A,#N/A,FALSE,"단축1";#N/A,#N/A,FALSE,"단축2";#N/A,#N/A,FALSE,"단축3";#N/A,#N/A,FALSE,"장축";#N/A,#N/A,FALSE,"4WD"}</definedName>
    <definedName function="false" hidden="true" name="두번째" vbProcedure="false">{#N/A,#N/A,FALSE,"정공"}</definedName>
    <definedName function="false" hidden="true" name="디젤1" vbProcedure="false">{#N/A,#N/A,FALSE,"단축1";#N/A,#N/A,FALSE,"단축2";#N/A,#N/A,FALSE,"단축3";#N/A,#N/A,FALSE,"장축";#N/A,#N/A,FALSE,"4WD"}</definedName>
    <definedName function="false" hidden="true" name="란다리아" vbProcedure="false">{#N/A,#N/A,FALSE,"정공"}</definedName>
    <definedName function="false" hidden="true" name="러시아" vbProcedure="false">{#N/A,#N/A,FALSE,"단축1";#N/A,#N/A,FALSE,"단축2";#N/A,#N/A,FALSE,"단축3";#N/A,#N/A,FALSE,"장축";#N/A,#N/A,FALSE,"4WD"}</definedName>
    <definedName function="false" hidden="true" name="로커카바문제점" vbProcedure="false">{#N/A,#N/A,FALSE,"단축1";#N/A,#N/A,FALSE,"단축2";#N/A,#N/A,FALSE,"단축3";#N/A,#N/A,FALSE,"장축";#N/A,#N/A,FALSE,"4WD"}</definedName>
    <definedName function="false" hidden="true" name="로커카바일정" vbProcedure="false">{#N/A,#N/A,FALSE,"단축1";#N/A,#N/A,FALSE,"단축2";#N/A,#N/A,FALSE,"단축3";#N/A,#N/A,FALSE,"장축";#N/A,#N/A,FALSE,"4WD"}</definedName>
    <definedName function="false" hidden="true" name="로커커버" vbProcedure="false">{#N/A,#N/A,FALSE,"단축1";#N/A,#N/A,FALSE,"단축2";#N/A,#N/A,FALSE,"단축3";#N/A,#N/A,FALSE,"장축";#N/A,#N/A,FALSE,"4WD"}</definedName>
    <definedName function="false" hidden="true" name="로코커버" vbProcedure="false">{#N/A,#N/A,FALSE,"단축1";#N/A,#N/A,FALSE,"단축2";#N/A,#N/A,FALSE,"단축3";#N/A,#N/A,FALSE,"장축";#N/A,#N/A,FALSE,"4WD"}</definedName>
    <definedName function="false" hidden="true" name="리" vbProcedure="false">{#N/A,#N/A,FALSE,"단축1";#N/A,#N/A,FALSE,"단축2";#N/A,#N/A,FALSE,"단축3";#N/A,#N/A,FALSE,"장축";#N/A,#N/A,FALSE,"4WD"}</definedName>
    <definedName function="false" hidden="true" name="마마니" vbProcedure="false">{#N/A,#N/A,FALSE,"단축1";#N/A,#N/A,FALSE,"단축2";#N/A,#N/A,FALSE,"단축3";#N/A,#N/A,FALSE,"장축";#N/A,#N/A,FALSE,"4WD"}</definedName>
    <definedName function="false" hidden="true" name="매출기준" vbProcedure="false">{#N/A,#N/A,FALSE,"정공"}</definedName>
    <definedName function="false" hidden="true" name="매출손익" vbProcedure="false">{#N/A,#N/A,FALSE,"정공"}</definedName>
    <definedName function="false" hidden="true" name="매출전환손익" vbProcedure="false">{#N/A,#N/A,FALSE,"정공"}</definedName>
    <definedName function="false" hidden="true" name="매출추1" vbProcedure="false">{#N/A,#N/A,FALSE,"정공"}</definedName>
    <definedName function="false" hidden="true" name="매출추정" vbProcedure="false">{#N/A,#N/A,FALSE,"정공"}</definedName>
    <definedName function="false" hidden="true" name="목차" vbProcedure="false">{#N/A,#N/A,FALSE,"단축1";#N/A,#N/A,FALSE,"단축2";#N/A,#N/A,FALSE,"단축3";#N/A,#N/A,FALSE,"장축";#N/A,#N/A,FALSE,"4WD"}</definedName>
    <definedName function="false" hidden="true" name="목차도" vbProcedure="false">{#N/A,#N/A,FALSE,"정공"}</definedName>
    <definedName function="false" hidden="true" name="몰라" vbProcedure="false">{#N/A,#N/A,FALSE,"정공"}</definedName>
    <definedName function="false" hidden="true" name="물랴자" vbProcedure="false">{#N/A,#N/A,TRUE,"Y생산";#N/A,#N/A,TRUE,"Y판매";#N/A,#N/A,TRUE,"Y총물량";#N/A,#N/A,TRUE,"Y능력";#N/A,#N/A,TRUE,"YKD"}</definedName>
    <definedName function="false" hidden="true" name="물량수" vbProcedure="false">{#N/A,#N/A,TRUE,"Y생산";#N/A,#N/A,TRUE,"Y판매";#N/A,#N/A,TRUE,"Y총물량";#N/A,#N/A,TRUE,"Y능력";#N/A,#N/A,TRUE,"YKD"}</definedName>
    <definedName function="false" hidden="true" name="물량수정" vbProcedure="false">{#N/A,#N/A,TRUE,"Y생산";#N/A,#N/A,TRUE,"Y판매";#N/A,#N/A,TRUE,"Y총물량";#N/A,#N/A,TRUE,"Y능력";#N/A,#N/A,TRUE,"YKD"}</definedName>
    <definedName function="false" hidden="true" name="물량수정1" vbProcedure="false">{#N/A,#N/A,TRUE,"Y생산";#N/A,#N/A,TRUE,"Y판매";#N/A,#N/A,TRUE,"Y총물량";#N/A,#N/A,TRUE,"Y능력";#N/A,#N/A,TRUE,"YKD"}</definedName>
    <definedName function="false" hidden="true" name="물량수정2" vbProcedure="false">{#N/A,#N/A,TRUE,"Y생산";#N/A,#N/A,TRUE,"Y판매";#N/A,#N/A,TRUE,"Y총물량";#N/A,#N/A,TRUE,"Y능력";#N/A,#N/A,TRUE,"YKD"}</definedName>
    <definedName function="false" hidden="true" name="물량정" vbProcedure="false">{#N/A,#N/A,TRUE,"Y생산";#N/A,#N/A,TRUE,"Y판매";#N/A,#N/A,TRUE,"Y총물량";#N/A,#N/A,TRUE,"Y능력";#N/A,#N/A,TRUE,"YKD"}</definedName>
    <definedName function="false" hidden="true" name="물량조정" vbProcedure="false">{#N/A,#N/A,TRUE,"Y생산";#N/A,#N/A,TRUE,"Y판매";#N/A,#N/A,TRUE,"Y총물량";#N/A,#N/A,TRUE,"Y능력";#N/A,#N/A,TRUE,"YKD"}</definedName>
    <definedName function="false" hidden="true" name="물수" vbProcedure="false">{#N/A,#N/A,TRUE,"Y생산";#N/A,#N/A,TRUE,"Y판매";#N/A,#N/A,TRUE,"Y총물량";#N/A,#N/A,TRUE,"Y능력";#N/A,#N/A,TRUE,"YKD"}</definedName>
    <definedName function="false" hidden="true" name="미미미아" vbProcedure="false">{#N/A,#N/A,FALSE,"정공"}</definedName>
    <definedName function="false" hidden="true" name="미석" vbProcedure="false">{#N/A,#N/A,FALSE,"정공"}</definedName>
    <definedName function="false" hidden="true" name="미애" vbProcedure="false">{#N/A,#N/A,FALSE,"REPORT"}</definedName>
    <definedName function="false" hidden="true" name="민총2" vbProcedure="false">{#N/A,#N/A,FALSE,"을지 (4)";#N/A,#N/A,FALSE,"을지 (5)";#N/A,#N/A,FALSE,"을지 (6)"}</definedName>
    <definedName function="false" hidden="true" name="바랑라" vbProcedure="false">{#N/A,#N/A,FALSE,"정공"}</definedName>
    <definedName function="false" hidden="true" name="바로가기" vbProcedure="false">{#N/A,#N/A,FALSE,"단축1";#N/A,#N/A,FALSE,"단축2";#N/A,#N/A,FALSE,"단축3";#N/A,#N/A,FALSE,"장축";#N/A,#N/A,FALSE,"4WD"}</definedName>
    <definedName function="false" hidden="true" name="바바라" vbProcedure="false">{#N/A,#N/A,TRUE,"Y생산";#N/A,#N/A,TRUE,"Y판매";#N/A,#N/A,TRUE,"Y총물량";#N/A,#N/A,TRUE,"Y능력";#N/A,#N/A,TRUE,"YKD"}</definedName>
    <definedName function="false" hidden="true" name="바바조" vbProcedure="false">{#N/A,#N/A,FALSE,"단축1";#N/A,#N/A,FALSE,"단축2";#N/A,#N/A,FALSE,"단축3";#N/A,#N/A,FALSE,"장축";#N/A,#N/A,FALSE,"4WD"}</definedName>
    <definedName function="false" hidden="true" name="바보상자" vbProcedure="false">{#N/A,#N/A,FALSE,"정공"}</definedName>
    <definedName function="false" hidden="true" name="발표양식2" vbProcedure="false">{#N/A,#N/A,FALSE,"단축1";#N/A,#N/A,FALSE,"단축2";#N/A,#N/A,FALSE,"단축3";#N/A,#N/A,FALSE,"장축";#N/A,#N/A,FALSE,"4WD"}</definedName>
    <definedName function="false" hidden="true" name="방진고무" vbProcedure="false">{#N/A,#N/A,FALSE,"단축1";#N/A,#N/A,FALSE,"단축2";#N/A,#N/A,FALSE,"단축3";#N/A,#N/A,FALSE,"장축";#N/A,#N/A,FALSE,"4WD"}</definedName>
    <definedName function="false" hidden="true" name="변경목차" vbProcedure="false">{#N/A,#N/A,FALSE,"단축1";#N/A,#N/A,FALSE,"단축2";#N/A,#N/A,FALSE,"단축3";#N/A,#N/A,FALSE,"장축";#N/A,#N/A,FALSE,"4WD"}</definedName>
    <definedName function="false" hidden="true" name="변경범위2" vbProcedure="false">{#N/A,#N/A,FALSE,"단축1";#N/A,#N/A,FALSE,"단축2";#N/A,#N/A,FALSE,"단축3";#N/A,#N/A,FALSE,"장축";#N/A,#N/A,FALSE,"4WD"}</definedName>
    <definedName function="false" hidden="true" name="보고" vbProcedure="false">{#N/A,#N/A,FALSE,"단축1";#N/A,#N/A,FALSE,"단축2";#N/A,#N/A,FALSE,"단축3";#N/A,#N/A,FALSE,"장축";#N/A,#N/A,FALSE,"4WD"}</definedName>
    <definedName function="false" hidden="true" name="보고서1" vbProcedure="false">{#N/A,#N/A,FALSE,"단축1";#N/A,#N/A,FALSE,"단축2";#N/A,#N/A,FALSE,"단축3";#N/A,#N/A,FALSE,"장축";#N/A,#N/A,FALSE,"4WD"}</definedName>
    <definedName function="false" hidden="true" name="볼트수정" vbProcedure="false">{#N/A,#N/A,FALSE,"단축1";#N/A,#N/A,FALSE,"단축2";#N/A,#N/A,FALSE,"단축3";#N/A,#N/A,FALSE,"장축";#N/A,#N/A,FALSE,"4WD"}</definedName>
    <definedName function="false" hidden="true" name="분" vbProcedure="false">{#N/A,#N/A,FALSE,"단축1";#N/A,#N/A,FALSE,"단축2";#N/A,#N/A,FALSE,"단축3";#N/A,#N/A,FALSE,"장축";#N/A,#N/A,FALSE,"4WD"}</definedName>
    <definedName function="false" hidden="true" name="분기별" vbProcedure="false">{#N/A,#N/A,TRUE,"Y생산";#N/A,#N/A,TRUE,"Y판매";#N/A,#N/A,TRUE,"Y총물량";#N/A,#N/A,TRUE,"Y능력";#N/A,#N/A,TRUE,"YKD"}</definedName>
    <definedName function="false" hidden="true" name="비교손익당초" vbProcedure="false">{#N/A,#N/A,FALSE,"정공"}</definedName>
    <definedName function="false" hidden="true" name="사다함이" vbProcedure="false">{#N/A,#N/A,FALSE,"정공"}</definedName>
    <definedName function="false" hidden="true" name="사무용품" vbProcedure="false">{#N/A,#N/A,FALSE,"초도품";#N/A,#N/A,FALSE,"초도품 (2)";#N/A,#N/A,FALSE,"초도품 (3)";#N/A,#N/A,FALSE,"초도품 (4)";#N/A,#N/A,FALSE,"초도품 (5)";#N/A,#N/A,FALSE,"초도품 (6)"}</definedName>
    <definedName function="false" hidden="true" name="사업비교표" vbProcedure="false">{#N/A,#N/A,FALSE,"정공"}</definedName>
    <definedName function="false" hidden="true" name="사업추진" vbProcedure="false">{#N/A,#N/A,FALSE,"정공"}</definedName>
    <definedName function="false" hidden="true" name="삼성" vbProcedure="false">{#N/A,#N/A,FALSE,"정공"}</definedName>
    <definedName function="false" hidden="true" name="삼성2" vbProcedure="false">{#N/A,#N/A,FALSE,"정공"}</definedName>
    <definedName function="false" hidden="true" name="상랑니" vbProcedure="false">{#N/A,#N/A,FALSE,"을지 (4)";#N/A,#N/A,FALSE,"을지 (5)";#N/A,#N/A,FALSE,"을지 (6)"}</definedName>
    <definedName function="false" hidden="true" name="상로허호" vbProcedure="false">{#N/A,#N/A,FALSE,"정공"}</definedName>
    <definedName function="false" hidden="true" name="상품성1" vbProcedure="false">{#N/A,#N/A,FALSE,"단축1";#N/A,#N/A,FALSE,"단축2";#N/A,#N/A,FALSE,"단축3";#N/A,#N/A,FALSE,"장축";#N/A,#N/A,FALSE,"4WD"}</definedName>
    <definedName function="false" hidden="true" name="상품성보고" vbProcedure="false">#N/A</definedName>
    <definedName function="false" hidden="true" name="새로운" vbProcedure="false">{#N/A,#N/A,FALSE,"단축1";#N/A,#N/A,FALSE,"단축2";#N/A,#N/A,FALSE,"단축3";#N/A,#N/A,FALSE,"장축";#N/A,#N/A,FALSE,"4WD"}</definedName>
    <definedName function="false" hidden="true" name="새벽0118" vbProcedure="false">{#N/A,#N/A,FALSE,"단축1";#N/A,#N/A,FALSE,"단축2";#N/A,#N/A,FALSE,"단축3";#N/A,#N/A,FALSE,"장축";#N/A,#N/A,FALSE,"4WD"}</definedName>
    <definedName function="false" hidden="true" name="새벽시장발표" vbProcedure="false">{#N/A,#N/A,FALSE,"단축1";#N/A,#N/A,FALSE,"단축2";#N/A,#N/A,FALSE,"단축3";#N/A,#N/A,FALSE,"장축";#N/A,#N/A,FALSE,"4WD"}</definedName>
    <definedName function="false" hidden="true" name="새벽시장발표11" vbProcedure="false">{#N/A,#N/A,FALSE,"단축1";#N/A,#N/A,FALSE,"단축2";#N/A,#N/A,FALSE,"단축3";#N/A,#N/A,FALSE,"장축";#N/A,#N/A,FALSE,"4WD"}</definedName>
    <definedName function="false" hidden="true" name="새벽시장발표111" vbProcedure="false">{#N/A,#N/A,FALSE,"단축1";#N/A,#N/A,FALSE,"단축2";#N/A,#N/A,FALSE,"단축3";#N/A,#N/A,FALSE,"장축";#N/A,#N/A,FALSE,"4WD"}</definedName>
    <definedName function="false" hidden="true" name="새벽시장발표양식" vbProcedure="false">{#N/A,#N/A,FALSE,"단축1";#N/A,#N/A,FALSE,"단축2";#N/A,#N/A,FALSE,"단축3";#N/A,#N/A,FALSE,"장축";#N/A,#N/A,FALSE,"4WD"}</definedName>
    <definedName function="false" hidden="true" name="새벽시장발표양식.1" vbProcedure="false">{#N/A,#N/A,FALSE,"단축1";#N/A,#N/A,FALSE,"단축2";#N/A,#N/A,FALSE,"단축3";#N/A,#N/A,FALSE,"장축";#N/A,#N/A,FALSE,"4WD"}</definedName>
    <definedName function="false" hidden="true" name="새파일편집" vbProcedure="false">{#N/A,#N/A,FALSE,"정공"}</definedName>
    <definedName function="false" hidden="true" name="생산능력" vbProcedure="false">{#N/A,#N/A,FALSE,"정공"}</definedName>
    <definedName function="false" hidden="true" name="생산손익" vbProcedure="false">{#N/A,#N/A,FALSE,"정공"}</definedName>
    <definedName function="false" hidden="true" name="생산품목" vbProcedure="false">{#N/A,#N/A,FALSE,"정공"}</definedName>
    <definedName function="false" hidden="true" name="설비투자" vbProcedure="false">{#N/A,#N/A,FALSE,"정공"}</definedName>
    <definedName function="false" hidden="true" name="성능시험2" vbProcedure="false">{#N/A,#N/A,FALSE,"단축1";#N/A,#N/A,FALSE,"단축2";#N/A,#N/A,FALSE,"단축3";#N/A,#N/A,FALSE,"장축";#N/A,#N/A,FALSE,"4WD"}</definedName>
    <definedName function="false" hidden="true" name="세왕123" vbProcedure="false">{#N/A,#N/A,FALSE,"단축1";#N/A,#N/A,FALSE,"단축2";#N/A,#N/A,FALSE,"단축3";#N/A,#N/A,FALSE,"장축";#N/A,#N/A,FALSE,"4WD"}</definedName>
    <definedName function="false" hidden="true" name="셀리카" vbProcedure="false">#N/A</definedName>
    <definedName function="false" hidden="true" name="소뮨" vbProcedure="false">{#N/A,#N/A,FALSE,"단축1";#N/A,#N/A,FALSE,"단축2";#N/A,#N/A,FALSE,"단축3";#N/A,#N/A,FALSE,"장축";#N/A,#N/A,FALSE,"4WD"}</definedName>
    <definedName function="false" hidden="true" name="소요기간" vbProcedure="false">{#N/A,#N/A,FALSE,"정공"}</definedName>
    <definedName function="false" hidden="true" name="소하프로젝트" vbProcedure="false">{#N/A,#N/A,FALSE,"단축1";#N/A,#N/A,FALSE,"단축2";#N/A,#N/A,FALSE,"단축3";#N/A,#N/A,FALSE,"장축";#N/A,#N/A,FALSE,"4WD"}</definedName>
    <definedName function="false" hidden="true" name="손익계산" vbProcedure="false">{#N/A,#N/A,FALSE,"정공"}</definedName>
    <definedName function="false" hidden="true" name="송" vbProcedure="false">{#N/A,#N/A,TRUE,"Y생산";#N/A,#N/A,TRUE,"Y판매";#N/A,#N/A,TRUE,"Y총물량";#N/A,#N/A,TRUE,"Y능력";#N/A,#N/A,TRUE,"YKD"}</definedName>
    <definedName function="false" hidden="true" name="송익" vbProcedure="false">{#N/A,#N/A,FALSE,"정공"}</definedName>
    <definedName function="false" hidden="true" name="송창기" vbProcedure="false">{#N/A,#N/A,TRUE,"Y생산";#N/A,#N/A,TRUE,"Y판매";#N/A,#N/A,TRUE,"Y총물량";#N/A,#N/A,TRUE,"Y능력";#N/A,#N/A,TRUE,"YKD"}</definedName>
    <definedName function="false" hidden="true" name="쇼바2" vbProcedure="false">{#N/A,#N/A,FALSE,"단축1";#N/A,#N/A,FALSE,"단축2";#N/A,#N/A,FALSE,"단축3";#N/A,#N/A,FALSE,"장축";#N/A,#N/A,FALSE,"4WD"}</definedName>
    <definedName function="false" hidden="true" name="쇼바3" vbProcedure="false">{#N/A,#N/A,FALSE,"단축1";#N/A,#N/A,FALSE,"단축2";#N/A,#N/A,FALSE,"단축3";#N/A,#N/A,FALSE,"장축";#N/A,#N/A,FALSE,"4WD"}</definedName>
    <definedName function="false" hidden="true" name="수량추정" vbProcedure="false">{#N/A,#N/A,FALSE,"정공"}</definedName>
    <definedName function="false" hidden="true" name="수정물량" vbProcedure="false">{#N/A,#N/A,TRUE,"Y생산";#N/A,#N/A,TRUE,"Y판매";#N/A,#N/A,TRUE,"Y총물량";#N/A,#N/A,TRUE,"Y능력";#N/A,#N/A,TRUE,"YKD"}</definedName>
    <definedName function="false" hidden="true" name="수정손익" vbProcedure="false">{#N/A,#N/A,FALSE,"정공"}</definedName>
    <definedName function="false" hidden="true" name="수통" vbProcedure="false">{#N/A,#N/A,FALSE,"단축1";#N/A,#N/A,FALSE,"단축2";#N/A,#N/A,FALSE,"단축3";#N/A,#N/A,FALSE,"장축";#N/A,#N/A,FALSE,"4WD"}</definedName>
    <definedName function="false" hidden="true" name="신기술_신공법" vbProcedure="false">{#N/A,#N/A,FALSE,"단축1";#N/A,#N/A,FALSE,"단축2";#N/A,#N/A,FALSE,"단축3";#N/A,#N/A,FALSE,"장축";#N/A,#N/A,FALSE,"4WD"}</definedName>
    <definedName function="false" hidden="true" name="신용" vbProcedure="false">{#N/A,#N/A,FALSE,"인원";#N/A,#N/A,FALSE,"비용2";#N/A,#N/A,FALSE,"비용1";#N/A,#N/A,FALSE,"비용";#N/A,#N/A,FALSE,"보증2";#N/A,#N/A,FALSE,"보증1";#N/A,#N/A,FALSE,"보증";#N/A,#N/A,FALSE,"손익1";#N/A,#N/A,FALSE,"손익";#N/A,#N/A,FALSE,"부서별매출";#N/A,#N/A,FALSE,"매출"}</definedName>
    <definedName function="false" hidden="true" name="신용1" vbProcedure="false">{#N/A,#N/A,FALSE,"인원";#N/A,#N/A,FALSE,"비용2";#N/A,#N/A,FALSE,"비용1";#N/A,#N/A,FALSE,"비용";#N/A,#N/A,FALSE,"보증2";#N/A,#N/A,FALSE,"보증1";#N/A,#N/A,FALSE,"보증";#N/A,#N/A,FALSE,"손익1";#N/A,#N/A,FALSE,"손익";#N/A,#N/A,FALSE,"부서별매출";#N/A,#N/A,FALSE,"매출"}</definedName>
    <definedName function="false" hidden="true" name="신차품질일정" vbProcedure="false">{#N/A,#N/A,FALSE,"단축1";#N/A,#N/A,FALSE,"단축2";#N/A,#N/A,FALSE,"단축3";#N/A,#N/A,FALSE,"장축";#N/A,#N/A,FALSE,"4WD"}</definedName>
    <definedName function="false" hidden="true" name="실적집계" vbProcedure="false">{#N/A,#N/A,FALSE,"단축1";#N/A,#N/A,FALSE,"단축2";#N/A,#N/A,FALSE,"단축3";#N/A,#N/A,FALSE,"장축";#N/A,#N/A,FALSE,"4WD"}</definedName>
    <definedName function="false" hidden="true" name="아니면말고" vbProcedure="false">{#N/A,#N/A,FALSE,"정공"}</definedName>
    <definedName function="false" hidden="true" name="아니오" vbProcedure="false">{#N/A,#N/A,FALSE,"정공"}</definedName>
    <definedName function="false" hidden="true" name="안현모" vbProcedure="false">{#N/A,#N/A,FALSE,"단축1";#N/A,#N/A,FALSE,"단축2";#N/A,#N/A,FALSE,"단축3";#N/A,#N/A,FALSE,"장축";#N/A,#N/A,FALSE,"4WD"}</definedName>
    <definedName function="false" hidden="true" name="앗서" vbProcedure="false">{#N/A,#N/A,FALSE,"정공"}</definedName>
    <definedName function="false" hidden="true" name="액슬" vbProcedure="false">{#N/A,#N/A,FALSE,"단축1";#N/A,#N/A,FALSE,"단축2";#N/A,#N/A,FALSE,"단축3";#N/A,#N/A,FALSE,"장축";#N/A,#N/A,FALSE,"4WD"}</definedName>
    <definedName function="false" hidden="true" name="약식손익" vbProcedure="false">{#N/A,#N/A,FALSE,"정공"}</definedName>
    <definedName function="false" hidden="true" name="약정잉자" vbProcedure="false">{#N/A,#N/A,FALSE,"정공"}</definedName>
    <definedName function="false" hidden="true" name="양" vbProcedure="false">{#N/A,#N/A,FALSE,"단축1";#N/A,#N/A,FALSE,"단축2";#N/A,#N/A,FALSE,"단축3";#N/A,#N/A,FALSE,"장축";#N/A,#N/A,FALSE,"4WD"}</definedName>
    <definedName function="false" hidden="true" name="양대호" vbProcedure="false">{#N/A,#N/A,FALSE,"단축1";#N/A,#N/A,FALSE,"단축2";#N/A,#N/A,FALSE,"단축3";#N/A,#N/A,FALSE,"장축";#N/A,#N/A,FALSE,"4WD"}</definedName>
    <definedName function="false" hidden="true" name="양식" vbProcedure="false">{#N/A,#N/A,FALSE,"단축1";#N/A,#N/A,FALSE,"단축2";#N/A,#N/A,FALSE,"단축3";#N/A,#N/A,FALSE,"장축";#N/A,#N/A,FALSE,"4WD"}</definedName>
    <definedName function="false" hidden="true" name="양식1" vbProcedure="false">{#N/A,#N/A,FALSE,"단축1";#N/A,#N/A,FALSE,"단축2";#N/A,#N/A,FALSE,"단축3";#N/A,#N/A,FALSE,"장축";#N/A,#N/A,FALSE,"4WD"}</definedName>
    <definedName function="false" hidden="true" name="양식4" vbProcedure="false">{#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function="false" hidden="true" name="업무보고용" vbProcedure="false">{#N/A,#N/A,FALSE,"정공"}</definedName>
    <definedName function="false" hidden="true" name="업체" vbProcedure="false">{#N/A,#N/A,FALSE,"단축1";#N/A,#N/A,FALSE,"단축2";#N/A,#N/A,FALSE,"단축3";#N/A,#N/A,FALSE,"장축";#N/A,#N/A,FALSE,"4WD"}</definedName>
    <definedName function="false" hidden="true" name="업체방문" vbProcedure="false">{#N/A,#N/A,FALSE,"단축1";#N/A,#N/A,FALSE,"단축2";#N/A,#N/A,FALSE,"단축3";#N/A,#N/A,FALSE,"장축";#N/A,#N/A,FALSE,"4WD"}</definedName>
    <definedName function="false" hidden="true" name="업체카파" vbProcedure="false">{#N/A,#N/A,FALSE,"단축1";#N/A,#N/A,FALSE,"단축2";#N/A,#N/A,FALSE,"단축3";#N/A,#N/A,FALSE,"장축";#N/A,#N/A,FALSE,"4WD"}</definedName>
    <definedName function="false" hidden="true" name="에어벤트" vbProcedure="false">{#N/A,#N/A,FALSE,"단축1";#N/A,#N/A,FALSE,"단축2";#N/A,#N/A,FALSE,"단축3";#N/A,#N/A,FALSE,"장축";#N/A,#N/A,FALSE,"4WD"}</definedName>
    <definedName function="false" hidden="true" name="엔진" vbProcedure="false">{#N/A,#N/A,FALSE,"단축1";#N/A,#N/A,FALSE,"단축2";#N/A,#N/A,FALSE,"단축3";#N/A,#N/A,FALSE,"장축";#N/A,#N/A,FALSE,"4WD"}</definedName>
    <definedName function="false" hidden="true" name="연료펌프" vbProcedure="false">#REF!</definedName>
    <definedName function="false" hidden="true" name="연주얀" vbProcedure="false">{#N/A,#N/A,FALSE,"정공"}</definedName>
    <definedName function="false" hidden="true" name="예산" vbProcedure="false">{#N/A,#N/A,FALSE,"단축1";#N/A,#N/A,FALSE,"단축2";#N/A,#N/A,FALSE,"단축3";#N/A,#N/A,FALSE,"장축";#N/A,#N/A,FALSE,"4WD"}</definedName>
    <definedName function="false" hidden="true" name="오" vbProcedure="false">{#N/A,#N/A,FALSE,"단축1";#N/A,#N/A,FALSE,"단축2";#N/A,#N/A,FALSE,"단축3";#N/A,#N/A,FALSE,"장축";#N/A,#N/A,FALSE,"4WD"}</definedName>
    <definedName function="false" hidden="true" name="오성협" vbProcedure="false">{#N/A,#N/A,TRUE,"Y생산";#N/A,#N/A,TRUE,"Y판매";#N/A,#N/A,TRUE,"Y총물량";#N/A,#N/A,TRUE,"Y능력";#N/A,#N/A,TRUE,"YKD"}</definedName>
    <definedName function="false" hidden="true" name="오어나" vbProcedure="false">{#N/A,#N/A,FALSE,"단축1";#N/A,#N/A,FALSE,"단축2";#N/A,#N/A,FALSE,"단축3";#N/A,#N/A,FALSE,"장축";#N/A,#N/A,FALSE,"4WD"}</definedName>
    <definedName function="false" hidden="true" name="요약" vbProcedure="false">#REF!</definedName>
    <definedName function="false" hidden="true" name="요약3" vbProcedure="false">{#N/A,#N/A,FALSE,"정공"}</definedName>
    <definedName function="false" hidden="true" name="요약5" vbProcedure="false">{#N/A,#N/A,FALSE,"정공"}</definedName>
    <definedName function="false" hidden="true" name="요약총괄" vbProcedure="false">{#N/A,#N/A,FALSE,"정공"}</definedName>
    <definedName function="false" hidden="true" name="용도차" vbProcedure="false">{#N/A,#N/A,FALSE,"단축1";#N/A,#N/A,FALSE,"단축2";#N/A,#N/A,FALSE,"단축3";#N/A,#N/A,FALSE,"장축";#N/A,#N/A,FALSE,"4WD"}</definedName>
    <definedName function="false" hidden="true" name="운영구도2" vbProcedure="false">{#N/A,#N/A,FALSE,"단축1";#N/A,#N/A,FALSE,"단축2";#N/A,#N/A,FALSE,"단축3";#N/A,#N/A,FALSE,"장축";#N/A,#N/A,FALSE,"4WD"}</definedName>
    <definedName function="false" hidden="true" name="운영구도3" vbProcedure="false">{#N/A,#N/A,FALSE,"단축1";#N/A,#N/A,FALSE,"단축2";#N/A,#N/A,FALSE,"단축3";#N/A,#N/A,FALSE,"장축";#N/A,#N/A,FALSE,"4WD"}</definedName>
    <definedName function="false" hidden="true" name="욷" vbProcedure="false">{#N/A,#N/A,FALSE,"단축1";#N/A,#N/A,FALSE,"단축2";#N/A,#N/A,FALSE,"단축3";#N/A,#N/A,FALSE,"장축";#N/A,#N/A,FALSE,"4WD"}</definedName>
    <definedName function="false" hidden="true" name="원가관리라" vbProcedure="false">{#N/A,#N/A,FALSE,"정공"}</definedName>
    <definedName function="false" hidden="true" name="원가적용" vbProcedure="false">{#N/A,#N/A,FALSE,"정공"}</definedName>
    <definedName function="false" hidden="true" name="원단운영안" vbProcedure="false">{#N/A,#N/A,FALSE,"단축1";#N/A,#N/A,FALSE,"단축2";#N/A,#N/A,FALSE,"단축3";#N/A,#N/A,FALSE,"장축";#N/A,#N/A,FALSE,"4WD"}</definedName>
    <definedName function="false" hidden="true" name="원자재종합" vbProcedure="false">{#N/A,#N/A,FALSE,"단축1";#N/A,#N/A,FALSE,"단축2";#N/A,#N/A,FALSE,"단축3";#N/A,#N/A,FALSE,"장축";#N/A,#N/A,FALSE,"4WD"}</definedName>
    <definedName function="false" hidden="true" name="월별원가절감상세" vbProcedure="false">{#N/A,#N/A,FALSE,"정공"}</definedName>
    <definedName function="false" hidden="true" name="유럽" vbProcedure="false">{#N/A,#N/A,FALSE,"단축1";#N/A,#N/A,FALSE,"단축2";#N/A,#N/A,FALSE,"단축3";#N/A,#N/A,FALSE,"장축";#N/A,#N/A,FALSE,"4WD"}</definedName>
    <definedName function="false" hidden="true" name="유형" vbProcedure="false">{#N/A,#N/A,TRUE,"Y생산";#N/A,#N/A,TRUE,"Y판매";#N/A,#N/A,TRUE,"Y총물량";#N/A,#N/A,TRUE,"Y능력";#N/A,#N/A,TRUE,"YKD"}</definedName>
    <definedName function="false" hidden="true" name="이" vbProcedure="false">{"vol data",#N/A,FALSE,"Datasheet";"vol graph",#N/A,FALSE,"Volume";"price data",#N/A,FALSE,"Datasheet";"price graph",#N/A,FALSE,"Price";"dp data",#N/A,FALSE,"Datasheet";"dp graph",#N/A,FALSE,"DirectProfit"}</definedName>
    <definedName function="false" hidden="true" name="이란" vbProcedure="false">{#N/A,#N/A,FALSE,"단축1";#N/A,#N/A,FALSE,"단축2";#N/A,#N/A,FALSE,"단축3";#N/A,#N/A,FALSE,"장축";#N/A,#N/A,FALSE,"4WD"}</definedName>
    <definedName function="false" hidden="true" name="이이" vbProcedure="false">{#N/A,#N/A,FALSE,"을지 (4)";#N/A,#N/A,FALSE,"을지 (5)";#N/A,#N/A,FALSE,"을지 (6)"}</definedName>
    <definedName function="false" hidden="true" name="이이잉" vbProcedure="false">{#N/A,#N/A,FALSE,"단축1";#N/A,#N/A,FALSE,"단축2";#N/A,#N/A,FALSE,"단축3";#N/A,#N/A,FALSE,"장축";#N/A,#N/A,FALSE,"4WD"}</definedName>
    <definedName function="false" hidden="true" name="이혁준" vbProcedure="false">{#N/A,#N/A,FALSE,"단축1";#N/A,#N/A,FALSE,"단축2";#N/A,#N/A,FALSE,"단축3";#N/A,#N/A,FALSE,"장축";#N/A,#N/A,FALSE,"4WD"}</definedName>
    <definedName function="false" hidden="true" name="인몰드2" vbProcedure="false">{#N/A,#N/A,FALSE,"단축1";#N/A,#N/A,FALSE,"단축2";#N/A,#N/A,FALSE,"단축3";#N/A,#N/A,FALSE,"장축";#N/A,#N/A,FALSE,"4WD"}</definedName>
    <definedName function="false" hidden="true" name="인몰드성형" vbProcedure="false">{#N/A,#N/A,FALSE,"단축1";#N/A,#N/A,FALSE,"단축2";#N/A,#N/A,FALSE,"단축3";#N/A,#N/A,FALSE,"장축";#N/A,#N/A,FALSE,"4WD"}</definedName>
    <definedName function="false" hidden="true" name="인원" vbProcedure="false">{#N/A,#N/A,FALSE,"단축1";#N/A,#N/A,FALSE,"단축2";#N/A,#N/A,FALSE,"단축3";#N/A,#N/A,FALSE,"장축";#N/A,#N/A,FALSE,"4WD"}</definedName>
    <definedName function="false" hidden="true" name="일이ㅏㄹ" vbProcedure="false">{#N/A,#N/A,FALSE,"단축1";#N/A,#N/A,FALSE,"단축2";#N/A,#N/A,FALSE,"단축3";#N/A,#N/A,FALSE,"장축";#N/A,#N/A,FALSE,"4WD"}</definedName>
    <definedName function="false" hidden="true" name="임동원" vbProcedure="false">{#N/A,#N/A,FALSE,"정공"}</definedName>
    <definedName function="false" hidden="true" name="자료정리" vbProcedure="false">{#N/A,#N/A,FALSE,"단축1";#N/A,#N/A,FALSE,"단축2";#N/A,#N/A,FALSE,"단축3";#N/A,#N/A,FALSE,"장축";#N/A,#N/A,FALSE,"4WD"}</definedName>
    <definedName function="false" hidden="true" name="자본금" vbProcedure="false">{#N/A,#N/A,FALSE,"정공"}</definedName>
    <definedName function="false" hidden="true" name="자잦" vbProcedure="false">{#N/A,#N/A,FALSE,"단축1";#N/A,#N/A,FALSE,"단축2";#N/A,#N/A,FALSE,"단축3";#N/A,#N/A,FALSE,"장축";#N/A,#N/A,FALSE,"4WD"}</definedName>
    <definedName function="false" hidden="true" name="잔다르크" vbProcedure="false">{#N/A,#N/A,FALSE,"정공"}</definedName>
    <definedName function="false" hidden="true" name="전2" vbProcedure="false">{#N/A,#N/A,FALSE,"정공"}</definedName>
    <definedName function="false" hidden="true" name="전략" vbProcedure="false">{#N/A,#N/A,FALSE,"정공"}</definedName>
    <definedName function="false" hidden="true" name="전략2" vbProcedure="false">{#N/A,#N/A,FALSE,"정공"}</definedName>
    <definedName function="false" hidden="true" name="전략투" vbProcedure="false">{#N/A,#N/A,FALSE,"정공"}</definedName>
    <definedName function="false" hidden="true" name="전자" vbProcedure="false">{#N/A,#N/A,FALSE,"단축1";#N/A,#N/A,FALSE,"단축2";#N/A,#N/A,FALSE,"단축3";#N/A,#N/A,FALSE,"장축";#N/A,#N/A,FALSE,"4WD"}</definedName>
    <definedName function="false" hidden="true" name="전체2" vbProcedure="false">{#N/A,#N/A,FALSE,"단축1";#N/A,#N/A,FALSE,"단축2";#N/A,#N/A,FALSE,"단축3";#N/A,#N/A,FALSE,"장축";#N/A,#N/A,FALSE,"4WD"}</definedName>
    <definedName function="false" hidden="true" name="전체종합2" vbProcedure="false">{#N/A,#N/A,FALSE,"단축1";#N/A,#N/A,FALSE,"단축2";#N/A,#N/A,FALSE,"단축3";#N/A,#N/A,FALSE,"장축";#N/A,#N/A,FALSE,"4WD"}</definedName>
    <definedName function="false" hidden="true" name="전체현황" vbProcedure="false">{#N/A,#N/A,FALSE,"단축1";#N/A,#N/A,FALSE,"단축2";#N/A,#N/A,FALSE,"단축3";#N/A,#N/A,FALSE,"장축";#N/A,#N/A,FALSE,"4WD"}</definedName>
    <definedName function="false" hidden="true" name="절감내역상세" vbProcedure="false">{#N/A,#N/A,FALSE,"정공"}</definedName>
    <definedName function="false" hidden="true" name="절감반기계획對실적" vbProcedure="false">{#N/A,#N/A,FALSE,"정공"}</definedName>
    <definedName function="false" hidden="true" name="정비대수" vbProcedure="false">{#N/A,#N/A,FALSE,"인원";#N/A,#N/A,FALSE,"비용2";#N/A,#N/A,FALSE,"비용1";#N/A,#N/A,FALSE,"비용";#N/A,#N/A,FALSE,"보증2";#N/A,#N/A,FALSE,"보증1";#N/A,#N/A,FALSE,"보증";#N/A,#N/A,FALSE,"손익1";#N/A,#N/A,FALSE,"손익";#N/A,#N/A,FALSE,"부서별매출";#N/A,#N/A,FALSE,"매출"}</definedName>
    <definedName function="false" hidden="true" name="젖" vbProcedure="false">{#N/A,#N/A,FALSE,"단축1";#N/A,#N/A,FALSE,"단축2";#N/A,#N/A,FALSE,"단축3";#N/A,#N/A,FALSE,"장축";#N/A,#N/A,FALSE,"4WD"}</definedName>
    <definedName function="false" hidden="true" name="제1안" vbProcedure="false">{#N/A,#N/A,TRUE,"매출진척-1";#N/A,#N/A,TRUE,"매출진척-2";#N/A,#N/A,TRUE,"제품실적";#N/A,#N/A,TRUE,"RAC";#N/A,#N/A,TRUE,"PAC ";#N/A,#N/A,TRUE,"재고현황";#N/A,#N/A,TRUE,"공지사항"}</definedName>
    <definedName function="false" hidden="true" name="제원종합" vbProcedure="false">#N/A</definedName>
    <definedName function="false" hidden="true" name="제작현황" vbProcedure="false">{#N/A,#N/A,FALSE,"단축1";#N/A,#N/A,FALSE,"단축2";#N/A,#N/A,FALSE,"단축3";#N/A,#N/A,FALSE,"장축";#N/A,#N/A,FALSE,"4WD"}</definedName>
    <definedName function="false" hidden="true" name="조립치구" vbProcedure="false">{#N/A,#N/A,FALSE,"단축1";#N/A,#N/A,FALSE,"단축2";#N/A,#N/A,FALSE,"단축3";#N/A,#N/A,FALSE,"장축";#N/A,#N/A,FALSE,"4WD"}</definedName>
    <definedName function="false" hidden="true" name="조정후손익" vbProcedure="false">{#N/A,#N/A,FALSE,"정공"}</definedName>
    <definedName function="false" hidden="true" name="조직3" vbProcedure="false">{#N/A,#N/A,FALSE,"정공"}</definedName>
    <definedName function="false" hidden="true" name="조직도" vbProcedure="false">{#N/A,#N/A,FALSE,"을지 (4)";#N/A,#N/A,FALSE,"을지 (5)";#N/A,#N/A,FALSE,"을지 (6)"}</definedName>
    <definedName function="false" hidden="true" name="종합미래2" vbProcedure="false">{#N/A,#N/A,FALSE,"정공"}</definedName>
    <definedName function="false" hidden="true" name="주요업무2" vbProcedure="false">{#N/A,#N/A,TRUE,"Y생산";#N/A,#N/A,TRUE,"Y판매";#N/A,#N/A,TRUE,"Y총물량";#N/A,#N/A,TRUE,"Y능력";#N/A,#N/A,TRUE,"YKD"}</definedName>
    <definedName function="false" hidden="true" name="주요업무3" vbProcedure="false">{#N/A,#N/A,TRUE,"Y생산";#N/A,#N/A,TRUE,"Y판매";#N/A,#N/A,TRUE,"Y총물량";#N/A,#N/A,TRUE,"Y능력";#N/A,#N/A,TRUE,"YKD"}</definedName>
    <definedName function="false" hidden="true" name="주요제원" vbProcedure="false">{#N/A,#N/A,FALSE,"단축1";#N/A,#N/A,FALSE,"단축2";#N/A,#N/A,FALSE,"단축3";#N/A,#N/A,FALSE,"장축";#N/A,#N/A,FALSE,"4WD"}</definedName>
    <definedName function="false" hidden="true" name="중앙" vbProcedure="false">{#N/A,#N/A,FALSE,"단축1";#N/A,#N/A,FALSE,"단축2";#N/A,#N/A,FALSE,"단축3";#N/A,#N/A,FALSE,"장축";#N/A,#N/A,FALSE,"4WD"}</definedName>
    <definedName function="false" hidden="true" name="진출의사보유" vbProcedure="false">{#N/A,#N/A,FALSE,"단축1";#N/A,#N/A,FALSE,"단축2";#N/A,#N/A,FALSE,"단축3";#N/A,#N/A,FALSE,"장축";#N/A,#N/A,FALSE,"4WD"}</definedName>
    <definedName function="false" hidden="true" name="진행현황" vbProcedure="false">{#N/A,#N/A,FALSE,"단축1";#N/A,#N/A,FALSE,"단축2";#N/A,#N/A,FALSE,"단축3";#N/A,#N/A,FALSE,"장축";#N/A,#N/A,FALSE,"4WD"}</definedName>
    <definedName function="false" hidden="true" name="차례" vbProcedure="false">{#N/A,#N/A,FALSE,"단축1";#N/A,#N/A,FALSE,"단축2";#N/A,#N/A,FALSE,"단축3";#N/A,#N/A,FALSE,"장축";#N/A,#N/A,FALSE,"4WD"}</definedName>
    <definedName function="false" hidden="true" name="차트" vbProcedure="false">{#N/A,#N/A,FALSE,"정공"}</definedName>
    <definedName function="false" hidden="true" name="첨" vbProcedure="false">{#N/A,#N/A,FALSE,"단축1";#N/A,#N/A,FALSE,"단축2";#N/A,#N/A,FALSE,"단축3";#N/A,#N/A,FALSE,"장축";#N/A,#N/A,FALSE,"4WD"}</definedName>
    <definedName function="false" hidden="true" name="첨부101" vbProcedure="false">{#N/A,#N/A,FALSE,"단축1";#N/A,#N/A,FALSE,"단축2";#N/A,#N/A,FALSE,"단축3";#N/A,#N/A,FALSE,"장축";#N/A,#N/A,FALSE,"4WD"}</definedName>
    <definedName function="false" hidden="true" name="총괄_신세대" vbProcedure="false">{#N/A,#N/A,FALSE,"정공"}</definedName>
    <definedName function="false" hidden="true" name="총무3" vbProcedure="false">{#N/A,#N/A,FALSE,"단축1";#N/A,#N/A,FALSE,"단축2";#N/A,#N/A,FALSE,"단축3";#N/A,#N/A,FALSE,"장축";#N/A,#N/A,FALSE,"4WD"}</definedName>
    <definedName function="false" hidden="true" name="최영" vbProcedure="false">{#N/A,#N/A,FALSE,"정공"}</definedName>
    <definedName function="false" hidden="true" name="추진전략" vbProcedure="false">{#N/A,#N/A,FALSE,"정공"}</definedName>
    <definedName function="false" hidden="true" name="카메라" vbProcedure="false">{#N/A,#N/A,FALSE,"단축1";#N/A,#N/A,FALSE,"단축2";#N/A,#N/A,FALSE,"단축3";#N/A,#N/A,FALSE,"장축";#N/A,#N/A,FALSE,"4WD"}</definedName>
    <definedName function="false" hidden="true" name="크랑" vbProcedure="false">{#N/A,#N/A,FALSE,"단축1";#N/A,#N/A,FALSE,"단축2";#N/A,#N/A,FALSE,"단축3";#N/A,#N/A,FALSE,"장축";#N/A,#N/A,FALSE,"4WD"}</definedName>
    <definedName function="false" hidden="true" name="키프코" vbProcedure="false">{#N/A,#N/A,FALSE,"을지 (4)";#N/A,#N/A,FALSE,"을지 (5)";#N/A,#N/A,FALSE,"을지 (6)"}</definedName>
    <definedName function="false" hidden="true" name="통합1장" vbProcedure="false">{#N/A,#N/A,FALSE,"단축1";#N/A,#N/A,FALSE,"단축2";#N/A,#N/A,FALSE,"단축3";#N/A,#N/A,FALSE,"장축";#N/A,#N/A,FALSE,"4WD"}</definedName>
    <definedName function="false" hidden="true" name="투자비000" vbProcedure="false">{#N/A,#N/A,FALSE,"단축1";#N/A,#N/A,FALSE,"단축2";#N/A,#N/A,FALSE,"단축3";#N/A,#N/A,FALSE,"장축";#N/A,#N/A,FALSE,"4WD"}</definedName>
    <definedName function="false" hidden="true" name="투자비복" vbProcedure="false">{#N/A,#N/A,FALSE,"단축1";#N/A,#N/A,FALSE,"단축2";#N/A,#N/A,FALSE,"단축3";#N/A,#N/A,FALSE,"장축";#N/A,#N/A,FALSE,"4WD"}</definedName>
    <definedName function="false" hidden="true" name="투자비실적" vbProcedure="false">{#N/A,#N/A,FALSE,"단축1";#N/A,#N/A,FALSE,"단축2";#N/A,#N/A,FALSE,"단축3";#N/A,#N/A,FALSE,"장축";#N/A,#N/A,FALSE,"4WD"}</definedName>
    <definedName function="false" hidden="true" name="판도라상자" vbProcedure="false">{#N/A,#N/A,FALSE,"정공"}</definedName>
    <definedName function="false" hidden="true" name="판매보증" vbProcedure="false">{#N/A,#N/A,FALSE,"인원";#N/A,#N/A,FALSE,"비용2";#N/A,#N/A,FALSE,"비용1";#N/A,#N/A,FALSE,"비용";#N/A,#N/A,FALSE,"보증2";#N/A,#N/A,FALSE,"보증1";#N/A,#N/A,FALSE,"보증";#N/A,#N/A,FALSE,"손익1";#N/A,#N/A,FALSE,"손익";#N/A,#N/A,FALSE,"부서별매출";#N/A,#N/A,FALSE,"매출"}</definedName>
    <definedName function="false" hidden="true" name="판촉지원적립금" vbProcedure="false">{#N/A,#N/A,TRUE,"매출진척-1";#N/A,#N/A,TRUE,"매출진척-2";#N/A,#N/A,TRUE,"제품실적";#N/A,#N/A,TRUE,"RAC";#N/A,#N/A,TRUE,"PAC ";#N/A,#N/A,TRUE,"재고현황";#N/A,#N/A,TRUE,"공지사항"}</definedName>
    <definedName function="false" hidden="true" name="팩키지2" vbProcedure="false">{#N/A,#N/A,FALSE,"단축1";#N/A,#N/A,FALSE,"단축2";#N/A,#N/A,FALSE,"단축3";#N/A,#N/A,FALSE,"장축";#N/A,#N/A,FALSE,"4WD"}</definedName>
    <definedName function="false" hidden="true" name="팩키지3" vbProcedure="false">{#N/A,#N/A,FALSE,"단축1";#N/A,#N/A,FALSE,"단축2";#N/A,#N/A,FALSE,"단축3";#N/A,#N/A,FALSE,"장축";#N/A,#N/A,FALSE,"4WD"}</definedName>
    <definedName function="false" hidden="true" name="팩키지5" vbProcedure="false">{#N/A,#N/A,FALSE,"단축1";#N/A,#N/A,FALSE,"단축2";#N/A,#N/A,FALSE,"단축3";#N/A,#N/A,FALSE,"장축";#N/A,#N/A,FALSE,"4WD"}</definedName>
    <definedName function="false" hidden="true" name="표준화실적99" vbProcedure="false">{#N/A,#N/A,FALSE,"단축1";#N/A,#N/A,FALSE,"단축2";#N/A,#N/A,FALSE,"단축3";#N/A,#N/A,FALSE,"장축";#N/A,#N/A,FALSE,"4WD"}</definedName>
    <definedName function="false" hidden="true" name="표지" vbProcedure="false">{#N/A,#N/A,FALSE,"단축1";#N/A,#N/A,FALSE,"단축2";#N/A,#N/A,FALSE,"단축3";#N/A,#N/A,FALSE,"장축";#N/A,#N/A,FALSE,"4WD"}</definedName>
    <definedName function="false" hidden="true" name="표지1" vbProcedure="false">#N/A</definedName>
    <definedName function="false" hidden="true" name="품" vbProcedure="false">{#N/A,#N/A,FALSE,"단축1";#N/A,#N/A,FALSE,"단축2";#N/A,#N/A,FALSE,"단축3";#N/A,#N/A,FALSE,"장축";#N/A,#N/A,FALSE,"4WD"}</definedName>
    <definedName function="false" hidden="true" name="품질시스템인증수수료" vbProcedure="false">{#N/A,#N/A,FALSE,"초도품";#N/A,#N/A,FALSE,"초도품 (2)";#N/A,#N/A,FALSE,"초도품 (3)";#N/A,#N/A,FALSE,"초도품 (4)";#N/A,#N/A,FALSE,"초도품 (5)";#N/A,#N/A,FALSE,"초도품 (6)"}</definedName>
    <definedName function="false" hidden="true" name="품확" vbProcedure="false">{#N/A,#N/A,FALSE,"단축1";#N/A,#N/A,FALSE,"단축2";#N/A,#N/A,FALSE,"단축3";#N/A,#N/A,FALSE,"장축";#N/A,#N/A,FALSE,"4WD"}</definedName>
    <definedName function="false" hidden="true" name="프레스" vbProcedure="false">{#N/A,#N/A,FALSE,"단축1";#N/A,#N/A,FALSE,"단축2";#N/A,#N/A,FALSE,"단축3";#N/A,#N/A,FALSE,"장축";#N/A,#N/A,FALSE,"4WD"}</definedName>
    <definedName function="false" hidden="true" name="프렌지" vbProcedure="false">{#N/A,#N/A,FALSE,"단축1";#N/A,#N/A,FALSE,"단축2";#N/A,#N/A,FALSE,"단축3";#N/A,#N/A,FALSE,"장축";#N/A,#N/A,FALSE,"4WD"}</definedName>
    <definedName function="false" hidden="true" name="프로젝트" vbProcedure="false">#REF!</definedName>
    <definedName function="false" hidden="true" name="하라라" vbProcedure="false">{#N/A,#N/A,FALSE,"단축1";#N/A,#N/A,FALSE,"단축2";#N/A,#N/A,FALSE,"단축3";#N/A,#N/A,FALSE,"장축";#N/A,#N/A,FALSE,"4WD"}</definedName>
    <definedName function="false" hidden="true" name="하하" vbProcedure="false">{#N/A,#N/A,FALSE,"초도품";#N/A,#N/A,FALSE,"초도품 (2)";#N/A,#N/A,FALSE,"초도품 (3)";#N/A,#N/A,FALSE,"초도품 (4)";#N/A,#N/A,FALSE,"초도품 (5)";#N/A,#N/A,FALSE,"초도품 (6)"}</definedName>
    <definedName function="false" hidden="true" name="하하핳하하하" vbProcedure="false">{#N/A,#N/A,FALSE,"단축1";#N/A,#N/A,FALSE,"단축2";#N/A,#N/A,FALSE,"단축3";#N/A,#N/A,FALSE,"장축";#N/A,#N/A,FALSE,"4WD"}</definedName>
    <definedName function="false" hidden="true" name="하하호호" vbProcedure="false">{#N/A,#N/A,FALSE,"단축1";#N/A,#N/A,FALSE,"단축2";#N/A,#N/A,FALSE,"단축3";#N/A,#N/A,FALSE,"장축";#N/A,#N/A,FALSE,"4WD"}</definedName>
    <definedName function="false" hidden="true" name="한영사전" vbProcedure="false">{#N/A,#N/A,TRUE,"Y생산";#N/A,#N/A,TRUE,"Y판매";#N/A,#N/A,TRUE,"Y총물량";#N/A,#N/A,TRUE,"Y능력";#N/A,#N/A,TRUE,"YKD"}</definedName>
    <definedName function="false" hidden="true" name="한총2" vbProcedure="false">{#N/A,#N/A,FALSE,"을지 (4)";#N/A,#N/A,FALSE,"을지 (5)";#N/A,#N/A,FALSE,"을지 (6)"}</definedName>
    <definedName function="false" hidden="true" name="향후계획1" vbProcedure="false">{#N/A,#N/A,FALSE,"단축1";#N/A,#N/A,FALSE,"단축2";#N/A,#N/A,FALSE,"단축3";#N/A,#N/A,FALSE,"장축";#N/A,#N/A,FALSE,"4WD"}</definedName>
    <definedName function="false" hidden="true" name="현대" vbProcedure="false">{#N/A,#N/A,FALSE,"정공"}</definedName>
    <definedName function="false" hidden="true" name="협의" vbProcedure="false">{#N/A,#N/A,FALSE,"단축1";#N/A,#N/A,FALSE,"단축2";#N/A,#N/A,FALSE,"단축3";#N/A,#N/A,FALSE,"장축";#N/A,#N/A,FALSE,"4WD"}</definedName>
    <definedName function="false" hidden="true" name="회장1" vbProcedure="false">{#N/A,#N/A,FALSE,"단축1";#N/A,#N/A,FALSE,"단축2";#N/A,#N/A,FALSE,"단축3";#N/A,#N/A,FALSE,"장축";#N/A,#N/A,FALSE,"4WD"}</definedName>
    <definedName function="false" hidden="true" name="회장님" vbProcedure="false">{#N/A,#N/A,FALSE,"단축1";#N/A,#N/A,FALSE,"단축2";#N/A,#N/A,FALSE,"단축3";#N/A,#N/A,FALSE,"장축";#N/A,#N/A,FALSE,"4WD"}</definedName>
    <definedName function="false" hidden="true" name="후훟" vbProcedure="false">{#N/A,#N/A,FALSE,"초도품";#N/A,#N/A,FALSE,"초도품 (2)";#N/A,#N/A,FALSE,"초도품 (3)";#N/A,#N/A,FALSE,"초도품 (4)";#N/A,#N/A,FALSE,"초도품 (5)";#N/A,#N/A,FALSE,"초도품 (6)"}</definedName>
    <definedName function="false" hidden="true" name="ＤＡＩＳＵＵ" vbProcedure="false">{#VALUE!,#N/A,FALSE,0;#N/A,#N/A,FALSE,0;#N/A,#N/A,FALSE,0;#N/A,#N/A,FALSE,0}</definedName>
    <definedName function="false" hidden="true" name="ｌｋｊ" vbProcedure="false">#REF!</definedName>
    <definedName function="false" hidden="true" name="ｒｊ" vbProcedure="false">{#N/A,#N/A,TRUE,"RIDE";#N/A,#N/A,TRUE,"STEERING";#N/A,#N/A,TRUE,"HANDLING";#N/A,#N/A,TRUE,"BRAKING"}</definedName>
    <definedName function="false" hidden="true" name="ＳＷＡＴ" vbProcedure="false">{#N/A,"VA",FALSE,"output";#N/A,"VB",FALSE,"output";#N/A,"VS",FALSE,"output";#N/A,"VC",FALSE,"output";#N/A,"VG",FALSE,"output";#N/A,"J1",FALSE,"output";#N/A,"J2",FALSE,"output";#N/A,"PT",FALSE,"output"}</definedName>
    <definedName function="false" hidden="true" name="ｔ" vbProcedure="false">{#N/A,"VA",FALSE,"output";#N/A,"VB",FALSE,"output";#N/A,"VS",FALSE,"output";#N/A,"VC",FALSE,"output";#N/A,"VG",FALSE,"output";#N/A,"J1",FALSE,"output";#N/A,"J2",FALSE,"output";#N/A,"PT",FALSE,"output"}</definedName>
    <definedName function="false" hidden="true" name="ﾘﾌﾀ" vbProcedure="false">#REF!</definedName>
    <definedName function="false" hidden="true" name="ﾘﾌﾀｰ" vbProcedure="false">#REF!</definedName>
    <definedName function="false" hidden="true" localSheetId="3" name="_EXPORT31_1_9705414286507.75435_414286507.75435" vbProcedure="false">Datengrundlage!$H$3:$L$38</definedName>
    <definedName function="false" hidden="true" localSheetId="8" name="_EXPORT31_1_2019486833588.272053_486833588.272053" vbProcedure="false">'Lead PL'!$D$6:$M$102</definedName>
    <definedName function="false" hidden="true" localSheetId="8" name="_EXPORT31_1_2300417609217.631713_417616567.967586" vbProcedure="false">'Lead PL'!$B$6:$R$102</definedName>
    <definedName function="false" hidden="true" localSheetId="8" name="_EXPORT31_1_3025414286849.184902_414286894.980998" vbProcedure="false">'Lead PL'!$D$6:$J$102</definedName>
    <definedName function="false" hidden="true" localSheetId="8" name="_EXPORT31_1_8215417616870.804848_417618962.83145" vbProcedure="false">'Lead PL'!$B$4:$R$102</definedName>
    <definedName function="false" hidden="true" localSheetId="8" name="_EXPORT31_1_900486834307.20537_486834307.20537" vbProcedure="false">'Lead PL'!$C$4:$M$102</definedName>
    <definedName function="false" hidden="true" localSheetId="9" name="_EXPORT31_1_3173417606107.847951_417606166.666099" vbProcedure="false">'Lead NA'!$B$6:$N$65</definedName>
    <definedName function="false" hidden="true" localSheetId="9" name="_EXPORT31_1_5073414287137.529906_414287137.529906" vbProcedure="false">'Lead NA'!$D$6:$I$65</definedName>
    <definedName function="false" hidden="true" localSheetId="9" name="_EXPORT31_1_7887417617248.529525_417617278.603294" vbProcedure="false">'Lead NA'!$B$4:$N$65</definedName>
    <definedName function="false" hidden="true" localSheetId="10" name="_EXPORT31_1_8511414287623.512961_414287689.39377" vbProcedure="false">'Lead CF'!$D$6:$J$70</definedName>
    <definedName function="false" hidden="true" localSheetId="10" name="_EXPORT31_1_8679417618057.538439_417618462.746952" vbProcedure="false">'Lead CF'!$B$4:$O$70</definedName>
    <definedName function="false" hidden="false" localSheetId="12" name="Consultant_A" vbProcedure="false">#REF!</definedName>
    <definedName function="false" hidden="false" localSheetId="12" name="Consultant_B" vbProcedure="false">#REF!</definedName>
    <definedName function="false" hidden="true" localSheetId="12" name="_EXPORT31_1_1701414286972.23087_414286983.39153" vbProcedure="false">'PL_Top customer'!$D$6:$R$40</definedName>
    <definedName function="false" hidden="true" localSheetId="12" name="_EXPORT31_1_7897417617007.375006_417617079.046594" vbProcedure="false">'PL_Top customer'!$B$4:$S$40</definedName>
    <definedName function="false" hidden="true" localSheetId="12" name="_EXPORT31_1_9816417616701.237104_417616710.957204" vbProcedure="false">'PL_Top customer'!$B$6:$S$40</definedName>
    <definedName function="false" hidden="true" localSheetId="13" name="_EXPORT31_1_371417616776.846478_417616776.846478" vbProcedure="false">PL_PEX!$B$6:$R$42</definedName>
    <definedName function="false" hidden="true" localSheetId="13" name="_EXPORT31_1_4321486752067.395956_486752067.395956" vbProcedure="false">PL_PEX!$C$4:$H$42</definedName>
    <definedName function="false" hidden="true" localSheetId="13" name="_EXPORT31_1_7495486751992.581873_486751992.581873" vbProcedure="false">PL_PEX!$D$6:$H$42</definedName>
    <definedName function="false" hidden="true" localSheetId="13" name="_EXPORT31_1_7550417617099.393317_417617118.477953" vbProcedure="false">PL_PEX!$B$4:$R$42</definedName>
    <definedName function="false" hidden="true" localSheetId="13" name="_EXPORT31_1_8392414287018.637866_414287018.637866" vbProcedure="false">PL_PEX!$D$6:$J$42</definedName>
    <definedName function="false" hidden="true" localSheetId="14" name="_EXPORT31_1_8104414287060.729677_414287060.729677" vbProcedure="false">PL_oOPEX!$D$6:$J$48</definedName>
    <definedName function="false" hidden="true" localSheetId="14" name="_EXPORT31_1_9607417617146.585093_417617165.433675" vbProcedure="false">PL_oOPEX!$B$4:$R$48</definedName>
    <definedName function="false" hidden="true" localSheetId="15" name="_EXPORT31_1_1752414287102.58058_414287102.58058" vbProcedure="false">PL_YTD!$D$8:$M$98</definedName>
    <definedName function="false" hidden="true" localSheetId="15" name="_EXPORT31_1_4204417617190.968265_417617220.037837" vbProcedure="false">PL_YTD!$B$5:$N$98</definedName>
    <definedName function="false" hidden="true" localSheetId="16" name="_EXPORT31_1_2088417615661.267415_417615695.827225" vbProcedure="false">PL_QoE!$B$6:$O$46</definedName>
    <definedName function="false" hidden="true" localSheetId="16" name="_EXPORT31_1_5102414286582.732182_414286582.732182" vbProcedure="false">PL_QoE!$D$6:$J$46</definedName>
    <definedName function="false" hidden="true" localSheetId="16" name="_EXPORT31_1_8404417616816.020868_417616835.379406" vbProcedure="false">PL_QoE!$B$4:$O$46</definedName>
    <definedName function="false" hidden="true" localSheetId="18" name="_EXPORT31_1_146417617490.966791_417620087.402877" vbProcedure="false">'NA_Ford LuL'!$B$4:$J$32</definedName>
    <definedName function="false" hidden="true" localSheetId="18" name="_EXPORT31_1_2593414287334.790706_414287334.790706" vbProcedure="false">'NA_Ford LuL'!$D$6:$I$32</definedName>
    <definedName function="false" hidden="true" localSheetId="19" name="_EXPORT31_1_3909417617797.939081_417617897.714434" vbProcedure="false">'NA_Verb LuL'!$B$4:$J$30</definedName>
    <definedName function="false" hidden="true" localSheetId="19" name="_EXPORT31_1_4880414287543.652736_414287543.652736" vbProcedure="false">'NA_Verb LuL'!$D$6:$I$30</definedName>
    <definedName function="false" hidden="true" localSheetId="20" name="_EXPORT31_1_1296417617368.65804_417617397.794313" vbProcedure="false">NA_TWC!$B$4:$N$81</definedName>
    <definedName function="false" hidden="true" localSheetId="20" name="_EXPORT31_1_4196414287258.165405_486829653.159871" vbProcedure="false">NA_TWC!$D$6:$I$81</definedName>
    <definedName function="false" hidden="true" localSheetId="20" name="_EXPORT31_1_7192486809367.873384_486809367.873384" vbProcedure="false">NA_TWC!$D$6:$H$81</definedName>
    <definedName function="false" hidden="true" localSheetId="20" name="_EXPORT31_1_888486810197.875492_486829749.825004" vbProcedure="false">NA_TWC!$C$4:$I$81</definedName>
    <definedName function="false" hidden="true" localSheetId="21" name="_EXPORT31_1_3435414287581.838639_486830878.844701" vbProcedure="false">'NA_Net Debt'!$D$6:$I$47</definedName>
    <definedName function="false" hidden="true" localSheetId="21" name="_EXPORT31_1_6527417617954.000645_417617991.274952" vbProcedure="false">'NA_Net Debt'!$B$4:$N$47</definedName>
    <definedName function="false" hidden="true" localSheetId="21" name="_EXPORT31_1_800486830934.447347_486830934.447347" vbProcedure="false">'NA_Net Debt'!$C$4:$I$47</definedName>
    <definedName function="false" hidden="true" localSheetId="22" name="_EXPORT31_1_1867486830468.586029_486830468.586029" vbProcedure="false">NA_monthly!$D$114:$L$129</definedName>
    <definedName function="false" hidden="true" localSheetId="22" name="_EXPORT31_1_4947486830351.061158_486830397.336695" vbProcedure="false">NA_monthly!$C$132:$L$149</definedName>
    <definedName function="false" hidden="true" localSheetId="22" name="_EXPORT31_1_6069486830493.093058_486830493.093058" vbProcedure="false">NA_monthly!$D$134:$L$149</definedName>
    <definedName function="false" hidden="true" localSheetId="22" name="_EXPORT31_1_9549486830199.166586_486830386.332405" vbProcedure="false">NA_monthly!$C$112:$L$129</definedName>
    <definedName function="false" hidden="true" localSheetId="23" name="_EXPORT31_1_4897417617312.222163_417617326.640375" vbProcedure="false">NA_CAPEX!$B$4:$M$24</definedName>
    <definedName function="false" hidden="true" localSheetId="23" name="_EXPORT31_1_9484414287177.006651_414287177.006651" vbProcedure="false">NA_CAPEX!$D$6:$H$24</definedName>
    <definedName function="false" hidden="true" localSheetId="24" name="_EXPORT31_1_396414287302.859545_414287302.859545" vbProcedure="false">NA_Vorräte!$D$6:$I$48</definedName>
    <definedName function="false" hidden="true" localSheetId="24" name="_EXPORT31_1_5949417617422.813187_417617451.444593" vbProcedure="false">NA_Vorräte!$B$4:$J$48</definedName>
    <definedName function="false" hidden="true" localSheetId="27" name="_EXPORT31_1_2149417616623.764661_417616634.682737" vbProcedure="false">PL_Dummy!$B$6:$R$21</definedName>
    <definedName function="false" hidden="true" localSheetId="27" name="_EXPORT31_1_3732417616937.697915_417616967.912064" vbProcedure="false">PL_Dummy!$B$4:$R$21</definedName>
    <definedName function="false" hidden="true" localSheetId="27" name="_EXPORT31_1_8250414286940.940221_414286940.940221" vbProcedure="false">PL_Dummy!$D$6:$J$21</definedName>
    <definedName function="false" hidden="true" localSheetId="30" name="_EXPORT31_1_8511414287623.512961_414287689.39377" vbProcedure="false">CF_monthly!$D$6:$CK$70</definedName>
    <definedName function="false" hidden="true" localSheetId="30" name="_EXPORT31_1_8679417618057.538439_417618462.746952" vbProcedure="false">CF_monthly!$B$4:$CL$70</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18" authorId="0">
      <text>
        <r>
          <rPr>
            <sz val="10"/>
            <rFont val="Arial"/>
            <family val="2"/>
          </rPr>
          <t xml:space="preserve">DOH
Bei abweichender Anzahl (&lt;3) historischer Perioden überflüssige Spalten in Timelines (unten) von vorne nach hinten (beginnend mit Spalte D) löschen und Counter in der jeweils ersten Periode auf 1 setzen. Bei Veränderungen müssen die CAGR Berechnungen manuell angepasst werden
--&gt; z. B. 2 historische Abschlüsse:
Spalte D löschen und in Spalte E counter (siehe eingeklappte Zeilen) auf 1 setzen. Anschließend in den Berichtstabellen die jeweils 1. Spalte löschen</t>
        </r>
      </text>
    </comment>
    <comment ref="C19" authorId="0">
      <text>
        <r>
          <rPr>
            <sz val="10"/>
            <rFont val="Arial"/>
            <family val="2"/>
          </rPr>
          <t xml:space="preserve">DOH:
Standardlabels:
Deutsch:
Akt.
Englisch:
Act.
</t>
        </r>
      </text>
    </comment>
    <comment ref="C23" authorId="0">
      <text>
        <r>
          <rPr>
            <sz val="10"/>
            <rFont val="Arial"/>
            <family val="2"/>
          </rPr>
          <t xml:space="preserve">DOH:
Standardlabel:
LTM
</t>
        </r>
      </text>
    </comment>
    <comment ref="C24" authorId="0">
      <text>
        <r>
          <rPr>
            <sz val="10"/>
            <rFont val="Arial"/>
            <family val="2"/>
          </rPr>
          <t xml:space="preserve">DOH:
Standardlabel:
YTD</t>
        </r>
      </text>
    </comment>
    <comment ref="C25" authorId="0">
      <text>
        <r>
          <rPr>
            <sz val="10"/>
            <rFont val="Arial"/>
            <family val="2"/>
          </rPr>
          <t xml:space="preserve">DOH:
Standardlabel:
YTG
</t>
        </r>
      </text>
    </comment>
  </commentList>
</comments>
</file>

<file path=xl/sharedStrings.xml><?xml version="1.0" encoding="utf-8"?>
<sst xmlns="http://schemas.openxmlformats.org/spreadsheetml/2006/main" count="2936" uniqueCount="949">
  <si>
    <t xml:space="preserve">Status: Working Draft</t>
  </si>
  <si>
    <t xml:space="preserve">Databook Financial Due Diligence</t>
  </si>
  <si>
    <t xml:space="preserve">BakerTilly, #city#date#</t>
  </si>
  <si>
    <t xml:space="preserve">Disclaimer: 
This Databook is confidential and has been prepared exclusively for the benefit of the Client in connection with the Transaction and may not be disclosed, quoted, used or relied on for any other purpose or by any other party than the Client without the prior written consent of BT. 
This Databook is made available to the Client  and we consent to the disclosure, provided that the client agress to non-reliance of this work-in-progress databook. 
Compensation claims of the Purchaser against BT for damages caused by negligence in connection with performance of the assignment are limited to EUR 4.000.000 (in words: Euro four million) for each damage event and for all damage events in total. </t>
  </si>
  <si>
    <t xml:space="preserve">Table labels</t>
  </si>
  <si>
    <t xml:space="preserve">Project name</t>
  </si>
  <si>
    <t xml:space="preserve">Template</t>
  </si>
  <si>
    <t xml:space="preserve">Currency base code</t>
  </si>
  <si>
    <t xml:space="preserve">EUR</t>
  </si>
  <si>
    <t xml:space="preserve">Quelle:</t>
  </si>
  <si>
    <t xml:space="preserve">Datenraum/ eigene Analysen</t>
  </si>
  <si>
    <t xml:space="preserve">Source:</t>
  </si>
  <si>
    <t xml:space="preserve">Virtual Data Room/ Company Information</t>
  </si>
  <si>
    <t xml:space="preserve">Working Group</t>
  </si>
  <si>
    <t xml:space="preserve">Partner</t>
  </si>
  <si>
    <t xml:space="preserve">Manager</t>
  </si>
  <si>
    <t xml:space="preserve">Senior/Assistant</t>
  </si>
  <si>
    <t xml:space="preserve">Timeline parameter</t>
  </si>
  <si>
    <t xml:space="preserve">End of first historical period</t>
  </si>
  <si>
    <t xml:space="preserve">Number of historical periods</t>
  </si>
  <si>
    <t xml:space="preserve">Label</t>
  </si>
  <si>
    <t xml:space="preserve">IST</t>
  </si>
  <si>
    <t xml:space="preserve">Adjust according to language(DEU/ ENG)</t>
  </si>
  <si>
    <t xml:space="preserve">CYT Begin Date</t>
  </si>
  <si>
    <t xml:space="preserve">CYT Date</t>
  </si>
  <si>
    <t xml:space="preserve">Label (Last twelve months)</t>
  </si>
  <si>
    <t xml:space="preserve">LTM</t>
  </si>
  <si>
    <t xml:space="preserve">Label (Current year trading)</t>
  </si>
  <si>
    <t xml:space="preserve">YTD</t>
  </si>
  <si>
    <t xml:space="preserve">Label (Year to go)</t>
  </si>
  <si>
    <t xml:space="preserve">YTG</t>
  </si>
  <si>
    <t xml:space="preserve">Plan</t>
  </si>
  <si>
    <t xml:space="preserve">Timeline (annual for PL and CF)</t>
  </si>
  <si>
    <t xml:space="preserve">Counter</t>
  </si>
  <si>
    <t xml:space="preserve">Date (Auto)</t>
  </si>
  <si>
    <t xml:space="preserve">Timeline (annual for BS)</t>
  </si>
  <si>
    <t xml:space="preserve">Date</t>
  </si>
  <si>
    <t xml:space="preserve">Timeline (monthly)</t>
  </si>
  <si>
    <t xml:space="preserve">Konto</t>
  </si>
  <si>
    <t xml:space="preserve">Bezeichnung</t>
  </si>
  <si>
    <t xml:space="preserve">Klasse</t>
  </si>
  <si>
    <t xml:space="preserve">NA-Zeile</t>
  </si>
  <si>
    <t xml:space="preserve">Review</t>
  </si>
  <si>
    <t xml:space="preserve">P1</t>
  </si>
  <si>
    <t xml:space="preserve">P2</t>
  </si>
  <si>
    <t xml:space="preserve">P3</t>
  </si>
  <si>
    <t xml:space="preserve">P4</t>
  </si>
  <si>
    <t xml:space="preserve">P5</t>
  </si>
  <si>
    <t xml:space="preserve">P6</t>
  </si>
  <si>
    <t xml:space="preserve">P7</t>
  </si>
  <si>
    <t xml:space="preserve">P8</t>
  </si>
  <si>
    <t xml:space="preserve">P9</t>
  </si>
  <si>
    <t xml:space="preserve">P10</t>
  </si>
  <si>
    <t xml:space="preserve">&lt;Mastersheet wird je Mandat aus der SuSa befuellt. Spalten F bis O sind die Perioden in EUR.&gt;</t>
  </si>
  <si>
    <t xml:space="preserve">Deutsch:</t>
  </si>
  <si>
    <t xml:space="preserve">Manuell Anpassen</t>
  </si>
  <si>
    <t xml:space="preserve">Englisch:</t>
  </si>
  <si>
    <t xml:space="preserve">YTD Jan23</t>
  </si>
  <si>
    <t xml:space="preserve">Entity 1</t>
  </si>
  <si>
    <t xml:space="preserve">Jahresabschlüsse (ungeprüft)</t>
  </si>
  <si>
    <t xml:space="preserve">ja</t>
  </si>
  <si>
    <t xml:space="preserve">-</t>
  </si>
  <si>
    <t xml:space="preserve">Annual reports (unaudited)</t>
  </si>
  <si>
    <t xml:space="preserve">yes</t>
  </si>
  <si>
    <t xml:space="preserve">Summen- und Saldenlisten (SuSas) - monatlich</t>
  </si>
  <si>
    <t xml:space="preserve">Monthly trial balances</t>
  </si>
  <si>
    <t xml:space="preserve">Betriebswirtschaftliche Auswertungen (BWAs) - monatlich</t>
  </si>
  <si>
    <t xml:space="preserve">Revenue data and selected KPIs</t>
  </si>
  <si>
    <t xml:space="preserve">Umsatzdaten und ausgewählte KPIs</t>
  </si>
  <si>
    <t xml:space="preserve">Detailed analyes and managerial accounting reports</t>
  </si>
  <si>
    <t xml:space="preserve">Detailaufrisse und Controlling-/ERP-Auswertungen</t>
  </si>
  <si>
    <t xml:space="preserve">Further details on selected topics</t>
  </si>
  <si>
    <t xml:space="preserve">Weitere Auskünfte zu ausgewählten Sachverhalten</t>
  </si>
  <si>
    <t xml:space="preserve">Entity 2</t>
  </si>
  <si>
    <t xml:space="preserve">Entity 3</t>
  </si>
  <si>
    <t xml:space="preserve">Entity 4</t>
  </si>
  <si>
    <t xml:space="preserve">Deutsch</t>
  </si>
  <si>
    <t xml:space="preserve">kurz</t>
  </si>
  <si>
    <t xml:space="preserve">Lang</t>
  </si>
  <si>
    <t xml:space="preserve">English</t>
  </si>
  <si>
    <t xml:space="preserve">short</t>
  </si>
  <si>
    <t xml:space="preserve">long</t>
  </si>
  <si>
    <t xml:space="preserve">Adj. </t>
  </si>
  <si>
    <t xml:space="preserve">Angepasst</t>
  </si>
  <si>
    <t xml:space="preserve">Act.</t>
  </si>
  <si>
    <t xml:space="preserve">Actual figures</t>
  </si>
  <si>
    <t xml:space="preserve">AO</t>
  </si>
  <si>
    <t xml:space="preserve">Abgabenordnung</t>
  </si>
  <si>
    <t xml:space="preserve">Adj.</t>
  </si>
  <si>
    <t xml:space="preserve">Adjusted</t>
  </si>
  <si>
    <t xml:space="preserve">BP</t>
  </si>
  <si>
    <t xml:space="preserve">Betriebsprüfung</t>
  </si>
  <si>
    <t xml:space="preserve">BoP</t>
  </si>
  <si>
    <t xml:space="preserve">Beginning of period</t>
  </si>
  <si>
    <t xml:space="preserve">BT</t>
  </si>
  <si>
    <t xml:space="preserve">Baker Tilly</t>
  </si>
  <si>
    <t xml:space="preserve">BWA</t>
  </si>
  <si>
    <t xml:space="preserve">Betriebswirtschaftliche Auswertung</t>
  </si>
  <si>
    <t xml:space="preserve">c.</t>
  </si>
  <si>
    <t xml:space="preserve">circa</t>
  </si>
  <si>
    <t xml:space="preserve">ca.</t>
  </si>
  <si>
    <t xml:space="preserve">CAGR</t>
  </si>
  <si>
    <t xml:space="preserve">Compounded Annual Growth Rate</t>
  </si>
  <si>
    <t xml:space="preserve">CAPEX</t>
  </si>
  <si>
    <t xml:space="preserve">Capital Expenditures</t>
  </si>
  <si>
    <t xml:space="preserve">CCC</t>
  </si>
  <si>
    <t xml:space="preserve">Cash Conversion Cycle</t>
  </si>
  <si>
    <t xml:space="preserve">CDD</t>
  </si>
  <si>
    <t xml:space="preserve">Commercial Due Diligence</t>
  </si>
  <si>
    <t xml:space="preserve">CLI</t>
  </si>
  <si>
    <t xml:space="preserve">Cash-like item</t>
  </si>
  <si>
    <t xml:space="preserve">DIO</t>
  </si>
  <si>
    <t xml:space="preserve">Lagerdauer</t>
  </si>
  <si>
    <t xml:space="preserve">COGS</t>
  </si>
  <si>
    <t xml:space="preserve">Cost of Goods sold</t>
  </si>
  <si>
    <t xml:space="preserve">DPO</t>
  </si>
  <si>
    <t xml:space="preserve">Kreditorenlaufzeit</t>
  </si>
  <si>
    <t xml:space="preserve">cont'd</t>
  </si>
  <si>
    <t xml:space="preserve">continued</t>
  </si>
  <si>
    <t xml:space="preserve">DSO</t>
  </si>
  <si>
    <t xml:space="preserve">Debitorenlaufzeit</t>
  </si>
  <si>
    <t xml:space="preserve">Days inventory outstanding</t>
  </si>
  <si>
    <t xml:space="preserve">EBIT</t>
  </si>
  <si>
    <t xml:space="preserve">Earnings before Interests and Taxes</t>
  </si>
  <si>
    <t xml:space="preserve">DLI</t>
  </si>
  <si>
    <t xml:space="preserve">Debt-like item</t>
  </si>
  <si>
    <t xml:space="preserve">EBITDA </t>
  </si>
  <si>
    <t xml:space="preserve">EBIT, Depreciation and Amortization</t>
  </si>
  <si>
    <t xml:space="preserve">Days payables outstanding</t>
  </si>
  <si>
    <t xml:space="preserve">EBT</t>
  </si>
  <si>
    <t xml:space="preserve">Earnings before Taxes</t>
  </si>
  <si>
    <t xml:space="preserve">Days sales outstanding</t>
  </si>
  <si>
    <t xml:space="preserve">Euro</t>
  </si>
  <si>
    <t xml:space="preserve">FC</t>
  </si>
  <si>
    <t xml:space="preserve">Forecast</t>
  </si>
  <si>
    <t xml:space="preserve">FDD</t>
  </si>
  <si>
    <t xml:space="preserve">Financial Due Diligence</t>
  </si>
  <si>
    <t xml:space="preserve">FTE</t>
  </si>
  <si>
    <t xml:space="preserve">Full-Time Equivalent</t>
  </si>
  <si>
    <t xml:space="preserve">EoP</t>
  </si>
  <si>
    <t xml:space="preserve">End of period</t>
  </si>
  <si>
    <t xml:space="preserve">Spalte 1</t>
  </si>
  <si>
    <t xml:space="preserve">GewSt</t>
  </si>
  <si>
    <t xml:space="preserve">Gewerbesteuer</t>
  </si>
  <si>
    <t xml:space="preserve">EOY</t>
  </si>
  <si>
    <t xml:space="preserve">End of year</t>
  </si>
  <si>
    <t xml:space="preserve">GJ</t>
  </si>
  <si>
    <t xml:space="preserve">Geschäftsjahr</t>
  </si>
  <si>
    <t xml:space="preserve">GmbH</t>
  </si>
  <si>
    <t xml:space="preserve">Gesellschaft mit beschränkter Haftung</t>
  </si>
  <si>
    <t xml:space="preserve">h</t>
  </si>
  <si>
    <t xml:space="preserve">Stunde</t>
  </si>
  <si>
    <t xml:space="preserve">HGB</t>
  </si>
  <si>
    <t xml:space="preserve">Handelsgesetzbuch</t>
  </si>
  <si>
    <t xml:space="preserve">i.d.R.</t>
  </si>
  <si>
    <t xml:space="preserve">in der Regel</t>
  </si>
  <si>
    <t xml:space="preserve">FX</t>
  </si>
  <si>
    <t xml:space="preserve">Foreign exchange </t>
  </si>
  <si>
    <t xml:space="preserve">i.H.v.</t>
  </si>
  <si>
    <t xml:space="preserve">in Höhe von</t>
  </si>
  <si>
    <t xml:space="preserve">FY</t>
  </si>
  <si>
    <t xml:space="preserve">Fiscal year</t>
  </si>
  <si>
    <t xml:space="preserve">KSt</t>
  </si>
  <si>
    <t xml:space="preserve">Körperschaftsteuer</t>
  </si>
  <si>
    <t xml:space="preserve">Limited Company</t>
  </si>
  <si>
    <t xml:space="preserve">KStG</t>
  </si>
  <si>
    <t xml:space="preserve">Körperschaftsteuergesetz</t>
  </si>
  <si>
    <t xml:space="preserve">hour</t>
  </si>
  <si>
    <t xml:space="preserve">L.u.L.</t>
  </si>
  <si>
    <t xml:space="preserve">Lieferungen und Leistungen</t>
  </si>
  <si>
    <t xml:space="preserve">German Commercial Code</t>
  </si>
  <si>
    <t xml:space="preserve">Last Twelve Months</t>
  </si>
  <si>
    <t xml:space="preserve">kEUR</t>
  </si>
  <si>
    <t xml:space="preserve">Thousand Euro</t>
  </si>
  <si>
    <t xml:space="preserve">p.a.</t>
  </si>
  <si>
    <t xml:space="preserve">per annum, jährlich</t>
  </si>
  <si>
    <t xml:space="preserve">PPA</t>
  </si>
  <si>
    <t xml:space="preserve">Purchase Price Allocation</t>
  </si>
  <si>
    <t xml:space="preserve">OOI</t>
  </si>
  <si>
    <t xml:space="preserve">Other operating income</t>
  </si>
  <si>
    <t xml:space="preserve">ppt.</t>
  </si>
  <si>
    <t xml:space="preserve">Prozentpunkt</t>
  </si>
  <si>
    <t xml:space="preserve">OPEX</t>
  </si>
  <si>
    <t xml:space="preserve">other operating expenses</t>
  </si>
  <si>
    <t xml:space="preserve">Q4</t>
  </si>
  <si>
    <t xml:space="preserve">4. Quartal</t>
  </si>
  <si>
    <t xml:space="preserve">per annum, annual</t>
  </si>
  <si>
    <t xml:space="preserve">rd.</t>
  </si>
  <si>
    <t xml:space="preserve">Rund</t>
  </si>
  <si>
    <t xml:space="preserve">sbA</t>
  </si>
  <si>
    <t xml:space="preserve">sonstige betriebliche Aufwendungen</t>
  </si>
  <si>
    <t xml:space="preserve">PPE</t>
  </si>
  <si>
    <t xml:space="preserve">Property, Plant and Equipment</t>
  </si>
  <si>
    <t xml:space="preserve">sbE</t>
  </si>
  <si>
    <t xml:space="preserve">sonstige betriebliche Erträge</t>
  </si>
  <si>
    <t xml:space="preserve">Percentage point</t>
  </si>
  <si>
    <t xml:space="preserve">SolZ</t>
  </si>
  <si>
    <t xml:space="preserve">Solidaritätszuschlag</t>
  </si>
  <si>
    <t xml:space="preserve">4th quarter</t>
  </si>
  <si>
    <t xml:space="preserve">SPA</t>
  </si>
  <si>
    <t xml:space="preserve">Share Purchase Agreement</t>
  </si>
  <si>
    <t xml:space="preserve">SuSa</t>
  </si>
  <si>
    <t xml:space="preserve">Summen- und Saldenliste</t>
  </si>
  <si>
    <t xml:space="preserve">Trial balance</t>
  </si>
  <si>
    <t xml:space="preserve">Spalte 2</t>
  </si>
  <si>
    <t xml:space="preserve">TDD</t>
  </si>
  <si>
    <t xml:space="preserve">Tax Due Diligence</t>
  </si>
  <si>
    <t xml:space="preserve">TEUR</t>
  </si>
  <si>
    <t xml:space="preserve">Tausend Euro</t>
  </si>
  <si>
    <t xml:space="preserve">TWC</t>
  </si>
  <si>
    <t xml:space="preserve">Trade Working Capital</t>
  </si>
  <si>
    <t xml:space="preserve">USD</t>
  </si>
  <si>
    <t xml:space="preserve">US Dollar</t>
  </si>
  <si>
    <t xml:space="preserve">VDR</t>
  </si>
  <si>
    <t xml:space="preserve">Virtual Dataroom</t>
  </si>
  <si>
    <t xml:space="preserve">USt</t>
  </si>
  <si>
    <t xml:space="preserve">Umsatzsteuer</t>
  </si>
  <si>
    <t xml:space="preserve">WIP</t>
  </si>
  <si>
    <t xml:space="preserve">Work-in-Progress</t>
  </si>
  <si>
    <t xml:space="preserve">VdN</t>
  </si>
  <si>
    <t xml:space="preserve">Vorbehalt der Nachprüfung</t>
  </si>
  <si>
    <t xml:space="preserve">YoY</t>
  </si>
  <si>
    <t xml:space="preserve">Year-on-Year</t>
  </si>
  <si>
    <t xml:space="preserve">Datenraum</t>
  </si>
  <si>
    <t xml:space="preserve">Year-to-Date</t>
  </si>
  <si>
    <t xml:space="preserve">Year-to-Go</t>
  </si>
  <si>
    <t xml:space="preserve">WJ</t>
  </si>
  <si>
    <t xml:space="preserve">Wirtschaftsjahr</t>
  </si>
  <si>
    <t xml:space="preserve">AHK</t>
  </si>
  <si>
    <t xml:space="preserve">Anschaffungs- und Herstellungskosten</t>
  </si>
  <si>
    <t xml:space="preserve">BGA</t>
  </si>
  <si>
    <t xml:space="preserve">Betriebs- und Geschäftsausstattung</t>
  </si>
  <si>
    <t xml:space="preserve">Spalte 3</t>
  </si>
  <si>
    <t xml:space="preserve">Revenue Split</t>
  </si>
  <si>
    <t xml:space="preserve">Dummy 1</t>
  </si>
  <si>
    <t xml:space="preserve">Dummy 2</t>
  </si>
  <si>
    <t xml:space="preserve">Dummy 3</t>
  </si>
  <si>
    <t xml:space="preserve">Dummy 4</t>
  </si>
  <si>
    <t xml:space="preserve">Total Output and EBITDA</t>
  </si>
  <si>
    <t xml:space="preserve">EBITDA-margin (normalized)</t>
  </si>
  <si>
    <t xml:space="preserve">EBITDA-margin</t>
  </si>
  <si>
    <t xml:space="preserve">Total Output</t>
  </si>
  <si>
    <t xml:space="preserve">EBITDA</t>
  </si>
  <si>
    <t xml:space="preserve">Adj. EBITDA</t>
  </si>
  <si>
    <t xml:space="preserve">EBITDA-Bridge</t>
  </si>
  <si>
    <t xml:space="preserve">Check</t>
  </si>
  <si>
    <t xml:space="preserve">Monthly Trade Working Capital</t>
  </si>
  <si>
    <t xml:space="preserve">TWC in % LTM Revenue</t>
  </si>
  <si>
    <t xml:space="preserve">Ø Days inventory outstanding (DIO)</t>
  </si>
  <si>
    <t xml:space="preserve">Ø Days sales outstanding (DSO)</t>
  </si>
  <si>
    <t xml:space="preserve">Ø Days payables outstanding (DPO)</t>
  </si>
  <si>
    <t xml:space="preserve">Cash conversion cycle</t>
  </si>
  <si>
    <t xml:space="preserve">TOP Customer Analyse</t>
  </si>
  <si>
    <t xml:space="preserve">Customer 1</t>
  </si>
  <si>
    <t xml:space="preserve">Customer 2</t>
  </si>
  <si>
    <t xml:space="preserve">Customer 3</t>
  </si>
  <si>
    <t xml:space="preserve">Customer 4</t>
  </si>
  <si>
    <t xml:space="preserve">Customer 5</t>
  </si>
  <si>
    <t xml:space="preserve">FYXX</t>
  </si>
  <si>
    <t xml:space="preserve">Contribution Margin</t>
  </si>
  <si>
    <t xml:space="preserve">Revenue</t>
  </si>
  <si>
    <t xml:space="preserve">Contribution margin 1 in %</t>
  </si>
  <si>
    <t xml:space="preserve">Total output</t>
  </si>
  <si>
    <t xml:space="preserve">Mapping_Dropdown_as_reported</t>
  </si>
  <si>
    <t xml:space="preserve">BT_adjustment_Dropdown</t>
  </si>
  <si>
    <t xml:space="preserve">/profit and loss</t>
  </si>
  <si>
    <t xml:space="preserve">/btadjustment/QOE/normalization_1</t>
  </si>
  <si>
    <t xml:space="preserve">/profit and loss/income</t>
  </si>
  <si>
    <t xml:space="preserve">/btadjustment/QOE/normalization_2</t>
  </si>
  <si>
    <t xml:space="preserve">/profit and loss/income/sales</t>
  </si>
  <si>
    <t xml:space="preserve">/btadjustment/QOE/normalization_3</t>
  </si>
  <si>
    <t xml:space="preserve">/profit and loss/income/increase in inventory</t>
  </si>
  <si>
    <t xml:space="preserve">/btadjustment/QOE/normalization_4</t>
  </si>
  <si>
    <t xml:space="preserve">/profit and loss/income/change in inventory</t>
  </si>
  <si>
    <t xml:space="preserve">/btadjustment/QOE/normalization_5</t>
  </si>
  <si>
    <t xml:space="preserve">/profit and loss/income/own work capitalised</t>
  </si>
  <si>
    <t xml:space="preserve">/btadjustment/QOE/normalization_6</t>
  </si>
  <si>
    <t xml:space="preserve">/profit and loss/income/income from investments</t>
  </si>
  <si>
    <t xml:space="preserve">/btadjustment/QOE/proforma_1</t>
  </si>
  <si>
    <t xml:space="preserve">/profit and loss/income/income from other securities and loans of financial assets</t>
  </si>
  <si>
    <t xml:space="preserve">/btadjustment/QOE/proforma_2</t>
  </si>
  <si>
    <t xml:space="preserve">/profit and loss/income/interest income</t>
  </si>
  <si>
    <t xml:space="preserve">/btadjustment/QOE/proforma_3</t>
  </si>
  <si>
    <t xml:space="preserve">/profit and loss/income/other income</t>
  </si>
  <si>
    <t xml:space="preserve">/btadjustment/QOE/proforma_4</t>
  </si>
  <si>
    <t xml:space="preserve">/profit and loss/expense</t>
  </si>
  <si>
    <t xml:space="preserve">/btadjustment/QOE/other items_1</t>
  </si>
  <si>
    <t xml:space="preserve">/profit and loss/expense/decrease in inventory</t>
  </si>
  <si>
    <t xml:space="preserve">/btadjustment/QOE/other items_2</t>
  </si>
  <si>
    <t xml:space="preserve">/profit and loss/expense/material expense</t>
  </si>
  <si>
    <t xml:space="preserve">/btadjustment/QOE/other items_3</t>
  </si>
  <si>
    <t xml:space="preserve">/profit and loss/expense/personnel expense</t>
  </si>
  <si>
    <t xml:space="preserve">/btadjustment/QOE/other items_4</t>
  </si>
  <si>
    <t xml:space="preserve">/profit and loss/expense/depreciation expense</t>
  </si>
  <si>
    <t xml:space="preserve">/btadjustment/QOE/other items_5</t>
  </si>
  <si>
    <t xml:space="preserve">/profit and loss/expense/interest expense</t>
  </si>
  <si>
    <t xml:space="preserve">/btadjustment/trade working capital/normalization_1</t>
  </si>
  <si>
    <t xml:space="preserve">/profit and loss/expense/taxes</t>
  </si>
  <si>
    <t xml:space="preserve">/btadjustment/trade working capital/normalization_2</t>
  </si>
  <si>
    <t xml:space="preserve">/profit and loss/expense/taxes/taxes on income and earnings</t>
  </si>
  <si>
    <t xml:space="preserve">/btadjustment/trade working capital/normalization_3</t>
  </si>
  <si>
    <t xml:space="preserve">/profit and loss/expense/taxes/other taxes</t>
  </si>
  <si>
    <t xml:space="preserve">/btadjustment/trade working capital/normalization_4</t>
  </si>
  <si>
    <t xml:space="preserve">/profit and loss/expense/other expense</t>
  </si>
  <si>
    <t xml:space="preserve">/btadjustment/trade working capital/normalization_5</t>
  </si>
  <si>
    <t xml:space="preserve">/profit and loss/profit</t>
  </si>
  <si>
    <t xml:space="preserve">/btadjustment/trade working capital/normalization_6</t>
  </si>
  <si>
    <t xml:space="preserve">/working capital</t>
  </si>
  <si>
    <t xml:space="preserve">/btadjustment/other working capital/normalization_1</t>
  </si>
  <si>
    <t xml:space="preserve">/working capital/inventory</t>
  </si>
  <si>
    <t xml:space="preserve">/btadjustment/other working capital/normalization_2</t>
  </si>
  <si>
    <t xml:space="preserve">/working capital/inventory/raw materials, auxiliary materials and operating materials</t>
  </si>
  <si>
    <t xml:space="preserve">/btadjustment/other working capital/normalization_3</t>
  </si>
  <si>
    <t xml:space="preserve">/working capital/inventory/unfinished products, work in progress</t>
  </si>
  <si>
    <t xml:space="preserve">/btadjustment/other working capital/normalization_4</t>
  </si>
  <si>
    <t xml:space="preserve">/working capital/inventory/finished products and goods</t>
  </si>
  <si>
    <t xml:space="preserve">/btadjustment/other working capital/normalization_5</t>
  </si>
  <si>
    <t xml:space="preserve">/working capital/inventory/advance payments made</t>
  </si>
  <si>
    <t xml:space="preserve">/btadjustment/other working capital/normalization_6</t>
  </si>
  <si>
    <t xml:space="preserve">/working capital/trade receivables</t>
  </si>
  <si>
    <t xml:space="preserve">/btadjustment/working capital/net debt/normalization_1</t>
  </si>
  <si>
    <t xml:space="preserve">/working capital/trade receivables/receivables from affiliated companies</t>
  </si>
  <si>
    <t xml:space="preserve">/btadjustment/working capital/net debt/normalization_2</t>
  </si>
  <si>
    <t xml:space="preserve">/working capital/trade payables</t>
  </si>
  <si>
    <t xml:space="preserve">/btadjustment/working capital/net debt/normalization_3</t>
  </si>
  <si>
    <t xml:space="preserve">/working capital/trade payables/advances received on orders</t>
  </si>
  <si>
    <t xml:space="preserve">/btadjustment/working capital/net debt/normalization_4</t>
  </si>
  <si>
    <t xml:space="preserve">/working capital/trade payables/payables to affiliated companies</t>
  </si>
  <si>
    <t xml:space="preserve">/btadjustment/working capital/net debt/normalization_5</t>
  </si>
  <si>
    <t xml:space="preserve">/working capital/trade payables/liabilities from bills</t>
  </si>
  <si>
    <t xml:space="preserve">/btadjustment/working capital/net debt/normalization_6</t>
  </si>
  <si>
    <t xml:space="preserve">/working capital/other working capital</t>
  </si>
  <si>
    <t xml:space="preserve">/btadjustment/working capital/other items_1</t>
  </si>
  <si>
    <t xml:space="preserve">/working capital/other working capital/prepaid expenses</t>
  </si>
  <si>
    <t xml:space="preserve">/btadjustment/working capital/other items_2</t>
  </si>
  <si>
    <t xml:space="preserve">/working capital/other working capital/deferred income</t>
  </si>
  <si>
    <t xml:space="preserve">/btadjustment/working capital/other items_3</t>
  </si>
  <si>
    <t xml:space="preserve">/working capital/other working capital/other current assets</t>
  </si>
  <si>
    <t xml:space="preserve">/btadjustment/net deb/normalization_1</t>
  </si>
  <si>
    <t xml:space="preserve">/working capital/other working capital/other current liabilities</t>
  </si>
  <si>
    <t xml:space="preserve">/btadjustment/net deb/normalization_2</t>
  </si>
  <si>
    <t xml:space="preserve">/working capital/other working capital/other receivables</t>
  </si>
  <si>
    <t xml:space="preserve">/btadjustment/net deb/normalization_3</t>
  </si>
  <si>
    <t xml:space="preserve">/working capital/other working capital/receivables from affiliated companies</t>
  </si>
  <si>
    <t xml:space="preserve">/btadjustment/net deb/normalization_4</t>
  </si>
  <si>
    <t xml:space="preserve">/working capital/other working capital/receivables from shareholders</t>
  </si>
  <si>
    <t xml:space="preserve">/btadjustment/net deb/normalization_5</t>
  </si>
  <si>
    <t xml:space="preserve">/working capital/other working capital/other provisions</t>
  </si>
  <si>
    <t xml:space="preserve">/btadjustment/net deb/normalization_6</t>
  </si>
  <si>
    <t xml:space="preserve">/working capital/other working capital/other liabilities</t>
  </si>
  <si>
    <t xml:space="preserve">/btadjustment/net deb/other items_1</t>
  </si>
  <si>
    <t xml:space="preserve">/working capital/other working capital/tax provisions</t>
  </si>
  <si>
    <t xml:space="preserve">/btadjustment/net deb/other items_2</t>
  </si>
  <si>
    <t xml:space="preserve">/working capital/other working capital/liabilities to affiliated companies</t>
  </si>
  <si>
    <t xml:space="preserve">/btadjustment/net deb/other items_3</t>
  </si>
  <si>
    <t xml:space="preserve">/working capital/other working capital/liabilities to shareholders</t>
  </si>
  <si>
    <t xml:space="preserve">/btadjustment/net deb/other items_4</t>
  </si>
  <si>
    <t xml:space="preserve">/net debt</t>
  </si>
  <si>
    <t xml:space="preserve">/btadjustment/net deb/other items_5</t>
  </si>
  <si>
    <t xml:space="preserve">/net debt/securities</t>
  </si>
  <si>
    <t xml:space="preserve">/btadjustment/net deb/other items_6</t>
  </si>
  <si>
    <t xml:space="preserve">/net debt/cash and cash equivalent</t>
  </si>
  <si>
    <t xml:space="preserve">/net debt/provisions for pensions and similar obligations</t>
  </si>
  <si>
    <t xml:space="preserve">/net debt/tax provisions</t>
  </si>
  <si>
    <t xml:space="preserve">/net debt/other provisions</t>
  </si>
  <si>
    <t xml:space="preserve">/net debt/bonds issued</t>
  </si>
  <si>
    <t xml:space="preserve">/net debt/liabilities to credit institutions</t>
  </si>
  <si>
    <t xml:space="preserve">/net debt/liabilities to shareholders</t>
  </si>
  <si>
    <t xml:space="preserve">/net debt/debt like item</t>
  </si>
  <si>
    <t xml:space="preserve">/fixed assets</t>
  </si>
  <si>
    <t xml:space="preserve">/fixed assets/intangible assets</t>
  </si>
  <si>
    <t xml:space="preserve">/fixed assets/intangible assets/self developed intangible assets</t>
  </si>
  <si>
    <t xml:space="preserve">/fixed assets/intangible assets/patents, licenses, trademarks and other</t>
  </si>
  <si>
    <t xml:space="preserve">/fixed assets/intangible assets/goodwill</t>
  </si>
  <si>
    <t xml:space="preserve">/fixed assets/intangible assets/advance payments on patents &amp; licenses</t>
  </si>
  <si>
    <t xml:space="preserve">/fixed assets/tangible assets</t>
  </si>
  <si>
    <t xml:space="preserve">/fixed assets/tangible assets/land, buildings, including buildings on third-party land</t>
  </si>
  <si>
    <t xml:space="preserve">/fixed assets/tangible assets/technical equipment and machinery</t>
  </si>
  <si>
    <t xml:space="preserve">/fixed assets/tangible assets/other assets and fixtures, operating and business equipment</t>
  </si>
  <si>
    <t xml:space="preserve">/fixed assets/tangible assets/advance payments on fixed assets / facilities under construction</t>
  </si>
  <si>
    <t xml:space="preserve">/fixed assets/financial assets</t>
  </si>
  <si>
    <t xml:space="preserve">/fixed assets/financial assets/long-term shares in affiliated companies</t>
  </si>
  <si>
    <t xml:space="preserve">/fixed assets/financial assets/loans to affiliated companies</t>
  </si>
  <si>
    <t xml:space="preserve">/fixed assets/financial assets/investments in other companies</t>
  </si>
  <si>
    <t xml:space="preserve">/fixed assets/financial assets/loans to companies in which a participating interest is held</t>
  </si>
  <si>
    <t xml:space="preserve">/fixed assets/financial assets/financial securities held as fixed assets</t>
  </si>
  <si>
    <t xml:space="preserve">/fixed assets/financial assets/other loans</t>
  </si>
  <si>
    <t xml:space="preserve">/equity</t>
  </si>
  <si>
    <t xml:space="preserve">/equity/issued capital</t>
  </si>
  <si>
    <t xml:space="preserve">/equity/capital reserves</t>
  </si>
  <si>
    <t xml:space="preserve">/equity/retained earnings</t>
  </si>
  <si>
    <t xml:space="preserve">/equity/retained earnings/obligatory retained earnings</t>
  </si>
  <si>
    <t xml:space="preserve">/equity/retained earnings/retained earnings from shares in a controlling or majority-owned company</t>
  </si>
  <si>
    <t xml:space="preserve">/equity/retained earnings/retained earnings due to articles of association</t>
  </si>
  <si>
    <t xml:space="preserve">/equity/profit/loss carried forward</t>
  </si>
  <si>
    <t xml:space="preserve">/equity/net profit/net loss</t>
  </si>
  <si>
    <t xml:space="preserve">/equity/net profit/net loss/testtest</t>
  </si>
  <si>
    <t xml:space="preserve">/profit and loss/expense/premise costs</t>
  </si>
  <si>
    <t xml:space="preserve">/profit and loss/expense/repair and maintenance</t>
  </si>
  <si>
    <t xml:space="preserve">/profit and loss/expense/sales costs</t>
  </si>
  <si>
    <t xml:space="preserve">/profit and loss/expense/delivery costs</t>
  </si>
  <si>
    <t xml:space="preserve">/profit and loss/expense/vehicle costs</t>
  </si>
  <si>
    <t xml:space="preserve">/profit and loss/expense/insurance contributions and levies</t>
  </si>
  <si>
    <t xml:space="preserve">/profit and loss/expense/advertising and travel</t>
  </si>
  <si>
    <t xml:space="preserve">/other/deferred tax liabilities</t>
  </si>
  <si>
    <t xml:space="preserve">Technische Zeile --&gt; nicht löschen</t>
  </si>
  <si>
    <t xml:space="preserve">Ticker 1 (NA-Zeile / Konto)</t>
  </si>
  <si>
    <t xml:space="preserve">Ticker 2 (Klasse)</t>
  </si>
  <si>
    <t xml:space="preserve">Zeilentyp</t>
  </si>
  <si>
    <t xml:space="preserve">Classification BT</t>
  </si>
  <si>
    <t xml:space="preserve">Umsatzerlöse</t>
  </si>
  <si>
    <t xml:space="preserve">Revenues</t>
  </si>
  <si>
    <t xml:space="preserve">Umsatzerloese</t>
  </si>
  <si>
    <t xml:space="preserve">PL</t>
  </si>
  <si>
    <t xml:space="preserve">POS</t>
  </si>
  <si>
    <t xml:space="preserve">Account</t>
  </si>
  <si>
    <t xml:space="preserve">KTO</t>
  </si>
  <si>
    <t xml:space="preserve">Bestandsveränderung</t>
  </si>
  <si>
    <t xml:space="preserve">Change in inventory</t>
  </si>
  <si>
    <t xml:space="preserve">Bestandsveraenderung</t>
  </si>
  <si>
    <t xml:space="preserve">Aktivierte Eigenleistungen</t>
  </si>
  <si>
    <t xml:space="preserve">Own work capitalized</t>
  </si>
  <si>
    <t xml:space="preserve">Gesamtleistung</t>
  </si>
  <si>
    <t xml:space="preserve">Materialaufwand</t>
  </si>
  <si>
    <t xml:space="preserve">Cost of materials</t>
  </si>
  <si>
    <t xml:space="preserve">Rohergebnis</t>
  </si>
  <si>
    <t xml:space="preserve">Gross profit</t>
  </si>
  <si>
    <t xml:space="preserve">Personalaufwand</t>
  </si>
  <si>
    <t xml:space="preserve">Personnel expenses</t>
  </si>
  <si>
    <t xml:space="preserve">Raumkosten</t>
  </si>
  <si>
    <t xml:space="preserve">Premise costs</t>
  </si>
  <si>
    <t xml:space="preserve">Reparaturen und Instandhaltungen</t>
  </si>
  <si>
    <t xml:space="preserve">Repair and maintenance</t>
  </si>
  <si>
    <t xml:space="preserve">Vertriebskosten</t>
  </si>
  <si>
    <t xml:space="preserve">Sales costs</t>
  </si>
  <si>
    <t xml:space="preserve">Kosten der Warenabgabe</t>
  </si>
  <si>
    <t xml:space="preserve">Delivery costs</t>
  </si>
  <si>
    <t xml:space="preserve">Fahrzeugkosten</t>
  </si>
  <si>
    <t xml:space="preserve">Vehicle costs</t>
  </si>
  <si>
    <t xml:space="preserve">Versicherung, Beiträge und Abgaben</t>
  </si>
  <si>
    <t xml:space="preserve">Insurance, contributions and levies expenses</t>
  </si>
  <si>
    <t xml:space="preserve">Versicherungen, Beitraege und Abgaben</t>
  </si>
  <si>
    <t xml:space="preserve">Werbe- und Reisekosten</t>
  </si>
  <si>
    <t xml:space="preserve">Advertising and travel expenses</t>
  </si>
  <si>
    <t xml:space="preserve">Sonstige betriebliche Erträge</t>
  </si>
  <si>
    <t xml:space="preserve">Sonstige betriebliche Ertraege</t>
  </si>
  <si>
    <t xml:space="preserve">Sonstige betriebliche Aufwendungen</t>
  </si>
  <si>
    <t xml:space="preserve">Other operating expenses</t>
  </si>
  <si>
    <t xml:space="preserve">Abschreibungen</t>
  </si>
  <si>
    <t xml:space="preserve">Depreciation</t>
  </si>
  <si>
    <t xml:space="preserve">Beteiligungsergebnis</t>
  </si>
  <si>
    <t xml:space="preserve">Investment income</t>
  </si>
  <si>
    <t xml:space="preserve">Zinserträge</t>
  </si>
  <si>
    <t xml:space="preserve">Interest income</t>
  </si>
  <si>
    <t xml:space="preserve">Zinsertraege</t>
  </si>
  <si>
    <t xml:space="preserve">Zinsaufwendungen</t>
  </si>
  <si>
    <t xml:space="preserve">Interest expenses</t>
  </si>
  <si>
    <t xml:space="preserve">Finanzergebnis</t>
  </si>
  <si>
    <t xml:space="preserve">Financial result</t>
  </si>
  <si>
    <t xml:space="preserve">Ertragssteuern</t>
  </si>
  <si>
    <t xml:space="preserve">Income taxes</t>
  </si>
  <si>
    <t xml:space="preserve">Sonstige Steuern</t>
  </si>
  <si>
    <t xml:space="preserve">Other taxes</t>
  </si>
  <si>
    <t xml:space="preserve">Jahresüberschuss</t>
  </si>
  <si>
    <t xml:space="preserve">Profit / Loss</t>
  </si>
  <si>
    <t xml:space="preserve">Jährliches Wachstum</t>
  </si>
  <si>
    <t xml:space="preserve">YoY Growth Analysis</t>
  </si>
  <si>
    <t xml:space="preserve">Steuerquote</t>
  </si>
  <si>
    <t xml:space="preserve">Tax rate</t>
  </si>
  <si>
    <t xml:space="preserve">Jahresergebnis lt. Quelldatei</t>
  </si>
  <si>
    <t xml:space="preserve">Profit acc. to source sheet</t>
  </si>
  <si>
    <t xml:space="preserve">Immaterielle Vermögensgegenstände</t>
  </si>
  <si>
    <t xml:space="preserve">Intangible assets</t>
  </si>
  <si>
    <t xml:space="preserve">Immaterielle Vermoegensgegenstaende</t>
  </si>
  <si>
    <t xml:space="preserve">FA</t>
  </si>
  <si>
    <t xml:space="preserve">Sachanlagen</t>
  </si>
  <si>
    <t xml:space="preserve">Tangible assets</t>
  </si>
  <si>
    <t xml:space="preserve">Finanzanlagen</t>
  </si>
  <si>
    <t xml:space="preserve">Financial assets</t>
  </si>
  <si>
    <t xml:space="preserve">Anlagevermögen</t>
  </si>
  <si>
    <t xml:space="preserve">Fixed assets</t>
  </si>
  <si>
    <t xml:space="preserve">Vorräte</t>
  </si>
  <si>
    <t xml:space="preserve">Inventories</t>
  </si>
  <si>
    <t xml:space="preserve">Vorraete</t>
  </si>
  <si>
    <t xml:space="preserve">Forderungen aus LuL</t>
  </si>
  <si>
    <t xml:space="preserve">Trade receivables</t>
  </si>
  <si>
    <t xml:space="preserve">Forderungen aus L+L</t>
  </si>
  <si>
    <t xml:space="preserve">Verbindlichkeiten aus LuL</t>
  </si>
  <si>
    <t xml:space="preserve">Trade payables</t>
  </si>
  <si>
    <t xml:space="preserve">Verbindlichkeiten aus L+L</t>
  </si>
  <si>
    <t xml:space="preserve">Erhaltene Anzahlungen</t>
  </si>
  <si>
    <t xml:space="preserve">Advance payments received</t>
  </si>
  <si>
    <t xml:space="preserve">Trade working capital</t>
  </si>
  <si>
    <t xml:space="preserve">Sonstige Vermögensgegenstände</t>
  </si>
  <si>
    <t xml:space="preserve">Other assets</t>
  </si>
  <si>
    <t xml:space="preserve">Sonstige Vermoegensgegenstaende</t>
  </si>
  <si>
    <t xml:space="preserve">OA</t>
  </si>
  <si>
    <t xml:space="preserve">Aktive Rechnungsabgrenzungsposten</t>
  </si>
  <si>
    <t xml:space="preserve">Prepaid expenses</t>
  </si>
  <si>
    <t xml:space="preserve">Aktive Rechnungsabgrenzung</t>
  </si>
  <si>
    <t xml:space="preserve">Forderungen gegenüber verbundenen/beteiligten Unternehmen</t>
  </si>
  <si>
    <t xml:space="preserve">Receivables from affiliated/ participating companies</t>
  </si>
  <si>
    <t xml:space="preserve">Forderungen ggue. verbundenen Unternehmen</t>
  </si>
  <si>
    <t xml:space="preserve">Forderungen gegenüber Gesellschaftern</t>
  </si>
  <si>
    <t xml:space="preserve">Receivables from shareholders</t>
  </si>
  <si>
    <t xml:space="preserve">Forderungen ggue. Gesellschaftern</t>
  </si>
  <si>
    <t xml:space="preserve">Sonstige Aktiva</t>
  </si>
  <si>
    <t xml:space="preserve">Other assets (subtotal)</t>
  </si>
  <si>
    <t xml:space="preserve">Sonstige Rückstellungen</t>
  </si>
  <si>
    <t xml:space="preserve">Other provisions</t>
  </si>
  <si>
    <t xml:space="preserve">Sonstige Rueckstellungen</t>
  </si>
  <si>
    <t xml:space="preserve">OL</t>
  </si>
  <si>
    <t xml:space="preserve">Sonstige Verbindlichkeiten</t>
  </si>
  <si>
    <t xml:space="preserve">Other liabilities</t>
  </si>
  <si>
    <t xml:space="preserve">Steuerrückstellungen</t>
  </si>
  <si>
    <t xml:space="preserve">Tax provisions</t>
  </si>
  <si>
    <t xml:space="preserve">Steuerrueckstellungen</t>
  </si>
  <si>
    <t xml:space="preserve">Verbindlichkeiten an verbundenen/beteiligten Unternehmen</t>
  </si>
  <si>
    <t xml:space="preserve">Liabilities to affiliated/ participating companies</t>
  </si>
  <si>
    <t xml:space="preserve">Verbindlichkeiten ggue. verbundenen Unternehmen</t>
  </si>
  <si>
    <t xml:space="preserve">Verbindlichkeiten an Gesellschafter</t>
  </si>
  <si>
    <t xml:space="preserve">Liabilities to shareholders</t>
  </si>
  <si>
    <t xml:space="preserve">Verbindlichkeiten ggue. Gesellschaftern</t>
  </si>
  <si>
    <t xml:space="preserve">Passive Rechnungsabgrenzungsposten</t>
  </si>
  <si>
    <t xml:space="preserve">Deferred income</t>
  </si>
  <si>
    <t xml:space="preserve">Passive Rechnungsabgrenzung</t>
  </si>
  <si>
    <t xml:space="preserve">Sonstige Passiva</t>
  </si>
  <si>
    <t xml:space="preserve">Other Working Capital</t>
  </si>
  <si>
    <t xml:space="preserve">Other working capital</t>
  </si>
  <si>
    <t xml:space="preserve">Net Working Capital</t>
  </si>
  <si>
    <t xml:space="preserve">Net working capital</t>
  </si>
  <si>
    <t xml:space="preserve">Liquide Mittel</t>
  </si>
  <si>
    <t xml:space="preserve">Cash</t>
  </si>
  <si>
    <t xml:space="preserve">ND</t>
  </si>
  <si>
    <t xml:space="preserve">Verbindlichkeiten ggü.Kreditinstituten</t>
  </si>
  <si>
    <t xml:space="preserve">Liabilities to banks</t>
  </si>
  <si>
    <t xml:space="preserve">Verbindlichkeiten ggue. Kreditinstituten</t>
  </si>
  <si>
    <t xml:space="preserve">Pensionsrückstellungen</t>
  </si>
  <si>
    <t xml:space="preserve">Pension provisions</t>
  </si>
  <si>
    <t xml:space="preserve">Pensionsrueckstellungen</t>
  </si>
  <si>
    <t xml:space="preserve">Netto-Finanzvermögen / -Verbindlichkeiten</t>
  </si>
  <si>
    <t xml:space="preserve">Net cash / Net debt</t>
  </si>
  <si>
    <t xml:space="preserve">Passive latente Steuern</t>
  </si>
  <si>
    <t xml:space="preserve">Deferred tax liabilities</t>
  </si>
  <si>
    <t xml:space="preserve">DT</t>
  </si>
  <si>
    <t xml:space="preserve">Nettovermögen (Eigenkapital)</t>
  </si>
  <si>
    <t xml:space="preserve">Net assets (Equity)</t>
  </si>
  <si>
    <t xml:space="preserve">Equity Roll Forward</t>
  </si>
  <si>
    <t xml:space="preserve">Equity roll forward</t>
  </si>
  <si>
    <t xml:space="preserve">Nettovermögen (Periodenbeginn)</t>
  </si>
  <si>
    <t xml:space="preserve">Net Assets BoP</t>
  </si>
  <si>
    <t xml:space="preserve">∆ Gezeichnetes Kapital</t>
  </si>
  <si>
    <t xml:space="preserve">∆ Subscriped capital</t>
  </si>
  <si>
    <t xml:space="preserve">manual adjustment</t>
  </si>
  <si>
    <t xml:space="preserve">∆ Kapitalrücklage</t>
  </si>
  <si>
    <t xml:space="preserve">∆ Capital reserves</t>
  </si>
  <si>
    <t xml:space="preserve">Gewinnausschüttung</t>
  </si>
  <si>
    <t xml:space="preserve">Profit distribution</t>
  </si>
  <si>
    <t xml:space="preserve">Jahresergebnis</t>
  </si>
  <si>
    <t xml:space="preserve">Periodical Profit/Loss</t>
  </si>
  <si>
    <t xml:space="preserve">Nettovermögen (Periodenende)</t>
  </si>
  <si>
    <t xml:space="preserve">Net Assets EoP</t>
  </si>
  <si>
    <t xml:space="preserve">Bilanzveränderungen manuell zu ergänzen</t>
  </si>
  <si>
    <t xml:space="preserve">Operativer Cashflow</t>
  </si>
  <si>
    <t xml:space="preserve">Operating cash flow</t>
  </si>
  <si>
    <t xml:space="preserve">Erhaltungsinvestitionen</t>
  </si>
  <si>
    <t xml:space="preserve">Maintenance CAPEX</t>
  </si>
  <si>
    <t xml:space="preserve">Manuell ergänzen</t>
  </si>
  <si>
    <t xml:space="preserve">Erweiterungsinvestitionen</t>
  </si>
  <si>
    <t xml:space="preserve">Expansion CAPEX</t>
  </si>
  <si>
    <t xml:space="preserve">Check for information regarding maintenance/ expansion or change to generally "CAPEX"</t>
  </si>
  <si>
    <t xml:space="preserve">Cashflow Investitionen</t>
  </si>
  <si>
    <t xml:space="preserve">Investing cash flow</t>
  </si>
  <si>
    <t xml:space="preserve">Free Cashflow</t>
  </si>
  <si>
    <t xml:space="preserve">Kapitalerhöhungen / -herabsetzungen</t>
  </si>
  <si>
    <t xml:space="preserve">∆ Equity contributions</t>
  </si>
  <si>
    <t xml:space="preserve">Cashflow Finanzierung</t>
  </si>
  <si>
    <t xml:space="preserve">Financing cash flow</t>
  </si>
  <si>
    <t xml:space="preserve">Veränderung Liquide Mittel</t>
  </si>
  <si>
    <t xml:space="preserve">Total change in cash</t>
  </si>
  <si>
    <t xml:space="preserve">Liquide Mittel (Periodenbeginn)</t>
  </si>
  <si>
    <t xml:space="preserve">Cash BoP</t>
  </si>
  <si>
    <t xml:space="preserve">Liquide Mittel (Periodenende)</t>
  </si>
  <si>
    <t xml:space="preserve">Cash EoP</t>
  </si>
  <si>
    <t xml:space="preserve">In % des EBITDA</t>
  </si>
  <si>
    <t xml:space="preserve">In % of EBITDA</t>
  </si>
  <si>
    <t xml:space="preserve">Operating cash conversion</t>
  </si>
  <si>
    <t xml:space="preserve">Free cash conversion</t>
  </si>
  <si>
    <t xml:space="preserve">1. Periode als Ausgangspunkt auf Lead NA verknüpft</t>
  </si>
  <si>
    <t xml:space="preserve">Liquide Mittel Periodenende Lead NA</t>
  </si>
  <si>
    <t xml:space="preserve">Cash EoP Lead NA</t>
  </si>
  <si>
    <t xml:space="preserve">Check TWC</t>
  </si>
  <si>
    <t xml:space="preserve">Check OWC</t>
  </si>
  <si>
    <t xml:space="preserve">#</t>
  </si>
  <si>
    <t xml:space="preserve">Top10 Kunden pro Geschäftsjahr*</t>
  </si>
  <si>
    <t xml:space="preserve">TOP10 customers per fiscal year*</t>
  </si>
  <si>
    <t xml:space="preserve">Kunde 1</t>
  </si>
  <si>
    <t xml:space="preserve">!ACHTUNG: TOP10 des jeweiligen Jahres* hellgrau/dunkelgrün (YTD) hinterlegen und #RANG ergänzen</t>
  </si>
  <si>
    <t xml:space="preserve">Kunde 2</t>
  </si>
  <si>
    <t xml:space="preserve">!ACHTUNG: Basis der TOP10 Ordnung in der Fußnote aktualisieren (Standard ist Gliederung nach LTM Umsätzen)</t>
  </si>
  <si>
    <t xml:space="preserve">Kunde 3</t>
  </si>
  <si>
    <t xml:space="preserve">Kunde 4</t>
  </si>
  <si>
    <t xml:space="preserve">Kunde 5</t>
  </si>
  <si>
    <t xml:space="preserve">Kunde 6</t>
  </si>
  <si>
    <t xml:space="preserve">Customer 6</t>
  </si>
  <si>
    <t xml:space="preserve">Kunde 7</t>
  </si>
  <si>
    <t xml:space="preserve">Customer 7</t>
  </si>
  <si>
    <t xml:space="preserve">Kunde 8</t>
  </si>
  <si>
    <t xml:space="preserve">Customer 8</t>
  </si>
  <si>
    <t xml:space="preserve">Kunde 9</t>
  </si>
  <si>
    <t xml:space="preserve">Customer 9</t>
  </si>
  <si>
    <t xml:space="preserve">Kunde 10</t>
  </si>
  <si>
    <t xml:space="preserve">Customer 10</t>
  </si>
  <si>
    <t xml:space="preserve">Kunde 11</t>
  </si>
  <si>
    <t xml:space="preserve">Customer 11</t>
  </si>
  <si>
    <t xml:space="preserve">Kunde 12</t>
  </si>
  <si>
    <t xml:space="preserve">Customer 12</t>
  </si>
  <si>
    <t xml:space="preserve">Kunde 13</t>
  </si>
  <si>
    <t xml:space="preserve">Customer 13</t>
  </si>
  <si>
    <t xml:space="preserve">Kunde 14</t>
  </si>
  <si>
    <t xml:space="preserve">Customer 14</t>
  </si>
  <si>
    <t xml:space="preserve">Kunde 15</t>
  </si>
  <si>
    <t xml:space="preserve">Customer 15</t>
  </si>
  <si>
    <t xml:space="preserve">Kunde 16</t>
  </si>
  <si>
    <t xml:space="preserve">Customer 16</t>
  </si>
  <si>
    <t xml:space="preserve">Kunde 17</t>
  </si>
  <si>
    <t xml:space="preserve">Customer 17</t>
  </si>
  <si>
    <t xml:space="preserve">Kunde 18</t>
  </si>
  <si>
    <t xml:space="preserve">Customer 18</t>
  </si>
  <si>
    <t xml:space="preserve">Kunde 19</t>
  </si>
  <si>
    <t xml:space="preserve">Customer 19</t>
  </si>
  <si>
    <t xml:space="preserve">Kunde 20</t>
  </si>
  <si>
    <t xml:space="preserve">Customer 20</t>
  </si>
  <si>
    <t xml:space="preserve">Umsatzerlöse Top Kunden</t>
  </si>
  <si>
    <t xml:space="preserve">Revenues Top customers</t>
  </si>
  <si>
    <t xml:space="preserve">Sonstige Umsatzerlöse</t>
  </si>
  <si>
    <t xml:space="preserve">Other Revenues</t>
  </si>
  <si>
    <t xml:space="preserve">Gesamtleistung gesamt</t>
  </si>
  <si>
    <t xml:space="preserve">Anteil Top1 Kunde</t>
  </si>
  <si>
    <t xml:space="preserve">Share Top1 customer </t>
  </si>
  <si>
    <t xml:space="preserve">!ACHTUNG: Anteil TOP Kunden jeweils nachziehen</t>
  </si>
  <si>
    <t xml:space="preserve">Anteil Top5 Kunden</t>
  </si>
  <si>
    <t xml:space="preserve">Share Top5 customers</t>
  </si>
  <si>
    <t xml:space="preserve">Anteil Top10 Kunden</t>
  </si>
  <si>
    <t xml:space="preserve">Share Top10 customers</t>
  </si>
  <si>
    <t xml:space="preserve">*Top10 Kunden des jeweiligen Jahres markiert, Gliederung basiert auf den LTM Jan23 Umsätzen</t>
  </si>
  <si>
    <t xml:space="preserve">*Top10 customers per each fiscal year, order is based on LTM Jan23 revenues</t>
  </si>
  <si>
    <t xml:space="preserve">Gesamleistung lt. Lead PL</t>
  </si>
  <si>
    <t xml:space="preserve">Total output acc. to Lead PL</t>
  </si>
  <si>
    <t xml:space="preserve">Löhne und Gehälter</t>
  </si>
  <si>
    <t xml:space="preserve">Wages and salaries</t>
  </si>
  <si>
    <t xml:space="preserve">Sozialabgaben</t>
  </si>
  <si>
    <t xml:space="preserve">Social security</t>
  </si>
  <si>
    <t xml:space="preserve">Durchschnittliche Anzahl der Mitarbeiter</t>
  </si>
  <si>
    <t xml:space="preserve">Average Headcount</t>
  </si>
  <si>
    <t xml:space="preserve">ACHTUNG: ggfs. FTEs (falls vorhanden)</t>
  </si>
  <si>
    <t xml:space="preserve">Anzahl der Mitarbeiter</t>
  </si>
  <si>
    <t xml:space="preserve">Total Headcount</t>
  </si>
  <si>
    <t xml:space="preserve">Durchschnittlicher Personalaufwand</t>
  </si>
  <si>
    <t xml:space="preserve">Average Personnel expenses</t>
  </si>
  <si>
    <t xml:space="preserve">ACHTUNG: ggfs. ohne Sozialabgaben, falls für Split nicht aufteilbar</t>
  </si>
  <si>
    <t xml:space="preserve">Durchschnittlicher Personalaufwand gesamt</t>
  </si>
  <si>
    <t xml:space="preserve">Overall average personnel expenses</t>
  </si>
  <si>
    <t xml:space="preserve">Sozialversicherungsquote</t>
  </si>
  <si>
    <t xml:space="preserve">Social security rate</t>
  </si>
  <si>
    <t xml:space="preserve">Personalaufwand Lead PL</t>
  </si>
  <si>
    <t xml:space="preserve">Personnel expenses Lead PL</t>
  </si>
  <si>
    <t xml:space="preserve">Dropdown, bei abweichender Bezeichnung unter Datenüberprüfung anpassen</t>
  </si>
  <si>
    <t xml:space="preserve">Kostenart</t>
  </si>
  <si>
    <t xml:space="preserve">Cost</t>
  </si>
  <si>
    <t xml:space="preserve">Category</t>
  </si>
  <si>
    <t xml:space="preserve">Versicherungen, Beiträge und Abgaben</t>
  </si>
  <si>
    <t xml:space="preserve">Dummy 5</t>
  </si>
  <si>
    <t xml:space="preserve">Dummy 6</t>
  </si>
  <si>
    <t xml:space="preserve">Dummy 7</t>
  </si>
  <si>
    <t xml:space="preserve">Dummy 8</t>
  </si>
  <si>
    <t xml:space="preserve">verschiedene betriebliche Kosten</t>
  </si>
  <si>
    <t xml:space="preserve">Dummy 9</t>
  </si>
  <si>
    <t xml:space="preserve">übrige sonstige betriebliche Aufwendungen</t>
  </si>
  <si>
    <t xml:space="preserve">Dummy 10</t>
  </si>
  <si>
    <t xml:space="preserve">Dummy 11</t>
  </si>
  <si>
    <t xml:space="preserve">Dummy 12</t>
  </si>
  <si>
    <t xml:space="preserve">Dummy 13</t>
  </si>
  <si>
    <t xml:space="preserve">Total other operating expenses</t>
  </si>
  <si>
    <t xml:space="preserve">davon fixe Kosten</t>
  </si>
  <si>
    <t xml:space="preserve">of which fixed expenses</t>
  </si>
  <si>
    <t xml:space="preserve">fixed</t>
  </si>
  <si>
    <t xml:space="preserve">Anpassen</t>
  </si>
  <si>
    <t xml:space="preserve">davon variable Kosten</t>
  </si>
  <si>
    <t xml:space="preserve">of which variable expenses</t>
  </si>
  <si>
    <t xml:space="preserve">variable</t>
  </si>
  <si>
    <t xml:space="preserve">fixe Kosten</t>
  </si>
  <si>
    <t xml:space="preserve">fixed expenses</t>
  </si>
  <si>
    <t xml:space="preserve">variable Kosten</t>
  </si>
  <si>
    <t xml:space="preserve">variable expenses</t>
  </si>
  <si>
    <t xml:space="preserve">Gesamtaufwand (bis EBITDA) Lead PL</t>
  </si>
  <si>
    <t xml:space="preserve">Total expenses (until EBITDA) Lead PL</t>
  </si>
  <si>
    <t xml:space="preserve">Verteilung fix/variabel</t>
  </si>
  <si>
    <t xml:space="preserve">Distribution fixed/variable</t>
  </si>
  <si>
    <t xml:space="preserve">YTD in %</t>
  </si>
  <si>
    <t xml:space="preserve">des GJ</t>
  </si>
  <si>
    <t xml:space="preserve">of FY</t>
  </si>
  <si>
    <t xml:space="preserve">Jahresergebnis Lead PL</t>
  </si>
  <si>
    <t xml:space="preserve">P/L Check</t>
  </si>
  <si>
    <t xml:space="preserve">Line item</t>
  </si>
  <si>
    <t xml:space="preserve">Ref.</t>
  </si>
  <si>
    <t xml:space="preserve">Reported EBITDA</t>
  </si>
  <si>
    <t xml:space="preserve">Normalisierungsanpassungen Management</t>
  </si>
  <si>
    <t xml:space="preserve">Mgmt normalization adjustments</t>
  </si>
  <si>
    <t xml:space="preserve">Management normalisiertes EBITDA</t>
  </si>
  <si>
    <t xml:space="preserve">Management normalized EBITDA</t>
  </si>
  <si>
    <t xml:space="preserve">Normalisierungsanpassungen BT</t>
  </si>
  <si>
    <t xml:space="preserve">BT normalization adjustments</t>
  </si>
  <si>
    <t xml:space="preserve">BT normalisiertes EBITDA I</t>
  </si>
  <si>
    <t xml:space="preserve">BT normalized EBITDA I</t>
  </si>
  <si>
    <t xml:space="preserve">Pro forma Anpassungen BT</t>
  </si>
  <si>
    <t xml:space="preserve">BT pro forma adjustments</t>
  </si>
  <si>
    <t xml:space="preserve">BT normalisiertes EBITDA II</t>
  </si>
  <si>
    <t xml:space="preserve">BT normalized EBITDA II</t>
  </si>
  <si>
    <t xml:space="preserve">Other items to be considered</t>
  </si>
  <si>
    <t xml:space="preserve">BT - other items to be considered</t>
  </si>
  <si>
    <t xml:space="preserve">EBITDA Lead PL</t>
  </si>
  <si>
    <t xml:space="preserve">Nicht fällig</t>
  </si>
  <si>
    <t xml:space="preserve">Current</t>
  </si>
  <si>
    <t xml:space="preserve">&lt; 30 Tage</t>
  </si>
  <si>
    <t xml:space="preserve">&lt; 30 days</t>
  </si>
  <si>
    <t xml:space="preserve">30 - 60 Tage</t>
  </si>
  <si>
    <t xml:space="preserve">30 - 60 days</t>
  </si>
  <si>
    <t xml:space="preserve">61 - 90 Tage</t>
  </si>
  <si>
    <t xml:space="preserve">61 - 90 days</t>
  </si>
  <si>
    <t xml:space="preserve">&gt; 90 Tage</t>
  </si>
  <si>
    <t xml:space="preserve">&gt; 90 days</t>
  </si>
  <si>
    <t xml:space="preserve">Nicht wertberichtigte Forderungen</t>
  </si>
  <si>
    <t xml:space="preserve">Non-impaired trade receivables</t>
  </si>
  <si>
    <t xml:space="preserve">Wertberichtigungen</t>
  </si>
  <si>
    <t xml:space="preserve">Impairments</t>
  </si>
  <si>
    <t xml:space="preserve">Pauschalwertberichtigung</t>
  </si>
  <si>
    <t xml:space="preserve">General valuation allowance</t>
  </si>
  <si>
    <t xml:space="preserve">Einzelwertberichtigung</t>
  </si>
  <si>
    <t xml:space="preserve">Specific valuation allowance</t>
  </si>
  <si>
    <t xml:space="preserve">Altersstruktur in %</t>
  </si>
  <si>
    <t xml:space="preserve">Ageing structure in %</t>
  </si>
  <si>
    <t xml:space="preserve">Forderungen LuL Lead NA</t>
  </si>
  <si>
    <t xml:space="preserve">Trade receivables Lead NA</t>
  </si>
  <si>
    <t xml:space="preserve">Normalisierte Verbindlichkeiten aus LuL</t>
  </si>
  <si>
    <t xml:space="preserve">Normalized trade payables</t>
  </si>
  <si>
    <t xml:space="preserve">Verbindlichkeiten LuL Lead NA</t>
  </si>
  <si>
    <t xml:space="preserve">Trade payables Lead NA</t>
  </si>
  <si>
    <t xml:space="preserve">Trade Working Capital - as reported</t>
  </si>
  <si>
    <t xml:space="preserve">BT Anpassungen</t>
  </si>
  <si>
    <t xml:space="preserve">BT adjustments</t>
  </si>
  <si>
    <t xml:space="preserve">Umgliederung Netto-Finanzvermögen / -Verbindlichkeiten</t>
  </si>
  <si>
    <t xml:space="preserve">Reclassification to net debt</t>
  </si>
  <si>
    <t xml:space="preserve">Umgliederung - gesamt</t>
  </si>
  <si>
    <t xml:space="preserve">Umgliederung aus NWC</t>
  </si>
  <si>
    <t xml:space="preserve">Reclassification out of NWC</t>
  </si>
  <si>
    <t xml:space="preserve">BT Anpassungen - gesamt</t>
  </si>
  <si>
    <t xml:space="preserve">BT adjustments - total</t>
  </si>
  <si>
    <t xml:space="preserve">Net working capital - normalisiert</t>
  </si>
  <si>
    <t xml:space="preserve">Net working capital - adjusted</t>
  </si>
  <si>
    <t xml:space="preserve">Revenues LTM</t>
  </si>
  <si>
    <t xml:space="preserve">Cost of materials LTM</t>
  </si>
  <si>
    <t xml:space="preserve">Tage</t>
  </si>
  <si>
    <t xml:space="preserve">Days</t>
  </si>
  <si>
    <t xml:space="preserve">Ø Lagerdauer (DIO)</t>
  </si>
  <si>
    <t xml:space="preserve">Ø Debitorenlaufzeit (DSO)</t>
  </si>
  <si>
    <t xml:space="preserve">Ø Kreditorenlaufzeit (DPO)</t>
  </si>
  <si>
    <t xml:space="preserve">ACHTUNG - CCC in Abhängigkeit des Geschäftsmodells ggfs. komplett auf Revenues rechnen um betriebswirtschaftliche Richtigkeit zu gewährleisten (dann Fußnote ergänzen)</t>
  </si>
  <si>
    <t xml:space="preserve">Bandbreite TWC/ NWC</t>
  </si>
  <si>
    <t xml:space="preserve">Annual Ranges TWC</t>
  </si>
  <si>
    <t xml:space="preserve">TWC as reported in % LTM Umsatzerlöse</t>
  </si>
  <si>
    <t xml:space="preserve">TWC as reported in % LTM Revenues</t>
  </si>
  <si>
    <t xml:space="preserve">NWC as reported in % LTM Umsatzerlöse</t>
  </si>
  <si>
    <t xml:space="preserve">NWC as reported in % LTM Revenues</t>
  </si>
  <si>
    <t xml:space="preserve">NWC adjusted in % LTM Umsatzerlöse</t>
  </si>
  <si>
    <t xml:space="preserve">NWC adjusted in % LTM Revenues</t>
  </si>
  <si>
    <t xml:space="preserve">Net Financial Debt</t>
  </si>
  <si>
    <t xml:space="preserve">Umgliederung - NWC</t>
  </si>
  <si>
    <t xml:space="preserve">Reclassification NWC</t>
  </si>
  <si>
    <t xml:space="preserve">Sonstige debt like / cash like items</t>
  </si>
  <si>
    <t xml:space="preserve">Other debt like / cash like items</t>
  </si>
  <si>
    <t xml:space="preserve">Netto-Finanzvermögen / -Verbindlichkeiten (inkl. DLI/CLI)</t>
  </si>
  <si>
    <t xml:space="preserve">Net cash / net debt (incl. DLI/CLI)</t>
  </si>
  <si>
    <t xml:space="preserve">Net Cash / Net Debt Lead NA</t>
  </si>
  <si>
    <t xml:space="preserve">BT Anpassungen TWC</t>
  </si>
  <si>
    <t xml:space="preserve">BT adjustments TWC</t>
  </si>
  <si>
    <t xml:space="preserve">BT Anpassungen TWC - gesamt</t>
  </si>
  <si>
    <t xml:space="preserve">BT adjustments TWC - total</t>
  </si>
  <si>
    <t xml:space="preserve">BT Anpassungen OWC</t>
  </si>
  <si>
    <t xml:space="preserve">BT adjustments OWC</t>
  </si>
  <si>
    <t xml:space="preserve">BT Anpassungen OWC - gesamt</t>
  </si>
  <si>
    <t xml:space="preserve">BT adjustments OWC - total</t>
  </si>
  <si>
    <t xml:space="preserve">n.a.</t>
  </si>
  <si>
    <t xml:space="preserve">Cash Conversion Cycle*</t>
  </si>
  <si>
    <t xml:space="preserve">Ø Lagerdauer (DIO - normalisiert)</t>
  </si>
  <si>
    <t xml:space="preserve">Ø Days inventory outstanding (DIO - normalized)</t>
  </si>
  <si>
    <t xml:space="preserve">Ø Debitorenlaufzeit (DSO - normalisiert)</t>
  </si>
  <si>
    <t xml:space="preserve">Ø Days sales outstanding (DSO - normalized)</t>
  </si>
  <si>
    <t xml:space="preserve">Ø Kreditorenlaufzeit (DPO - normalisiert)</t>
  </si>
  <si>
    <t xml:space="preserve">Ø Days payables outstanding (DPO - normalized)</t>
  </si>
  <si>
    <t xml:space="preserve">Cash Conversion Cycle (normalisiert)*</t>
  </si>
  <si>
    <t xml:space="preserve">Cash Conversion Cycle (normalized)</t>
  </si>
  <si>
    <t xml:space="preserve">Target Working Capital Analyse</t>
  </si>
  <si>
    <t xml:space="preserve">Target Working Capital analysis</t>
  </si>
  <si>
    <t xml:space="preserve">LTM revenue</t>
  </si>
  <si>
    <t xml:space="preserve">TWC adjusted in %-LTM revenue</t>
  </si>
  <si>
    <t xml:space="preserve">TWC in % LTM revenue</t>
  </si>
  <si>
    <t xml:space="preserve">NWC adjusted in %-LTM revenue</t>
  </si>
  <si>
    <t xml:space="preserve">NWC in % LTM revenue</t>
  </si>
  <si>
    <t xml:space="preserve">Letzte 12</t>
  </si>
  <si>
    <t xml:space="preserve">Letzte 9</t>
  </si>
  <si>
    <t xml:space="preserve">Letzte 6</t>
  </si>
  <si>
    <t xml:space="preserve">Letzte 3</t>
  </si>
  <si>
    <t xml:space="preserve">Letzter</t>
  </si>
  <si>
    <t xml:space="preserve">Monate</t>
  </si>
  <si>
    <t xml:space="preserve">Monat</t>
  </si>
  <si>
    <t xml:space="preserve">Last 12</t>
  </si>
  <si>
    <t xml:space="preserve">Last 9</t>
  </si>
  <si>
    <t xml:space="preserve">Last 6</t>
  </si>
  <si>
    <t xml:space="preserve">Last 3</t>
  </si>
  <si>
    <t xml:space="preserve">Last</t>
  </si>
  <si>
    <t xml:space="preserve">months</t>
  </si>
  <si>
    <t xml:space="preserve">month</t>
  </si>
  <si>
    <t xml:space="preserve">Trade Working Capital Bandbreite</t>
  </si>
  <si>
    <t xml:space="preserve">Trade Working Capital Ranges</t>
  </si>
  <si>
    <t xml:space="preserve">Target Trade Working Capital</t>
  </si>
  <si>
    <t xml:space="preserve">Max</t>
  </si>
  <si>
    <t xml:space="preserve">High</t>
  </si>
  <si>
    <t xml:space="preserve">"mmyy"</t>
  </si>
  <si>
    <t xml:space="preserve">Min</t>
  </si>
  <si>
    <t xml:space="preserve">Low</t>
  </si>
  <si>
    <t xml:space="preserve">Bandbreite</t>
  </si>
  <si>
    <t xml:space="preserve">Swing</t>
  </si>
  <si>
    <t xml:space="preserve">Mittelwert</t>
  </si>
  <si>
    <t xml:space="preserve">Average</t>
  </si>
  <si>
    <t xml:space="preserve">Net Working Capital Bandbreite</t>
  </si>
  <si>
    <t xml:space="preserve">Net Working Capital Ranges</t>
  </si>
  <si>
    <t xml:space="preserve"> </t>
  </si>
  <si>
    <t xml:space="preserve">Getätigte Investitionen (&gt;TEUR XXX)</t>
  </si>
  <si>
    <t xml:space="preserve">Capital expenditure (&gt;kEUR XXX)</t>
  </si>
  <si>
    <t xml:space="preserve">ACHTUNG: Grenze Manuell anpassen</t>
  </si>
  <si>
    <t xml:space="preserve">Weitere Investitionen</t>
  </si>
  <si>
    <t xml:space="preserve">Further investments</t>
  </si>
  <si>
    <t xml:space="preserve">Investitionsaufwand (CAPEX) gesamt</t>
  </si>
  <si>
    <t xml:space="preserve">Total Investments (CAPEX)</t>
  </si>
  <si>
    <t xml:space="preserve">davon Erhaltungsinvestitionen</t>
  </si>
  <si>
    <t xml:space="preserve">thereof maintenance CAPEX</t>
  </si>
  <si>
    <t xml:space="preserve">Manuell anpassen</t>
  </si>
  <si>
    <t xml:space="preserve">davon Erweiterungsinvestitionen</t>
  </si>
  <si>
    <t xml:space="preserve">thereof expansion CAPEX</t>
  </si>
  <si>
    <t xml:space="preserve">CAPEX I Lead CF</t>
  </si>
  <si>
    <t xml:space="preserve">Produkt 1</t>
  </si>
  <si>
    <t xml:space="preserve">Product 1</t>
  </si>
  <si>
    <t xml:space="preserve">Produkt 2</t>
  </si>
  <si>
    <t xml:space="preserve">Product 2</t>
  </si>
  <si>
    <t xml:space="preserve">Produkt 3</t>
  </si>
  <si>
    <t xml:space="preserve">Product 3</t>
  </si>
  <si>
    <t xml:space="preserve">Produkt 4</t>
  </si>
  <si>
    <t xml:space="preserve">Product 4</t>
  </si>
  <si>
    <t xml:space="preserve">Produkt 5</t>
  </si>
  <si>
    <t xml:space="preserve">Product 5</t>
  </si>
  <si>
    <t xml:space="preserve">Produkt 6</t>
  </si>
  <si>
    <t xml:space="preserve">Product 6</t>
  </si>
  <si>
    <t xml:space="preserve">Produkt 7</t>
  </si>
  <si>
    <t xml:space="preserve">Product 7</t>
  </si>
  <si>
    <t xml:space="preserve">Produkt 8</t>
  </si>
  <si>
    <t xml:space="preserve">Product 8</t>
  </si>
  <si>
    <t xml:space="preserve">Produkt 9</t>
  </si>
  <si>
    <t xml:space="preserve">Product 9</t>
  </si>
  <si>
    <t xml:space="preserve">Produkt 10</t>
  </si>
  <si>
    <t xml:space="preserve">Product 10</t>
  </si>
  <si>
    <t xml:space="preserve">Top 10 Produkte</t>
  </si>
  <si>
    <t xml:space="preserve">Top 10 Products</t>
  </si>
  <si>
    <t xml:space="preserve">Andere Produkte</t>
  </si>
  <si>
    <t xml:space="preserve">Other Products</t>
  </si>
  <si>
    <t xml:space="preserve">Wertberichtigung auf Vorräte</t>
  </si>
  <si>
    <t xml:space="preserve">Valuation allowance for inventories</t>
  </si>
  <si>
    <t xml:space="preserve">Normalisierte Vorräte</t>
  </si>
  <si>
    <t xml:space="preserve">Normalized inventories</t>
  </si>
  <si>
    <t xml:space="preserve">in % der Vorräte</t>
  </si>
  <si>
    <t xml:space="preserve">in % of Inventories</t>
  </si>
  <si>
    <t xml:space="preserve">Vorräte Lead NA</t>
  </si>
  <si>
    <t xml:space="preserve">Inventories Lead NA</t>
  </si>
  <si>
    <t xml:space="preserve">Jahresüberschuss Lead PL</t>
  </si>
  <si>
    <t xml:space="preserve">Profit/Loss Lead PL</t>
  </si>
  <si>
    <t xml:space="preserve">Jahresüberschuss LTM Lead PL</t>
  </si>
  <si>
    <t xml:space="preserve">Profit/Loss LTM Lead PL</t>
  </si>
  <si>
    <t xml:space="preserve">Produktmix</t>
  </si>
  <si>
    <t xml:space="preserve">Product Mix</t>
  </si>
  <si>
    <t xml:space="preserve">Dummy</t>
  </si>
  <si>
    <t xml:space="preserve">Neu Verlinken nach Bedarf</t>
  </si>
  <si>
    <t xml:space="preserve">Rohertragsmargen</t>
  </si>
  <si>
    <t xml:space="preserve">Gross margins</t>
  </si>
  <si>
    <t xml:space="preserve">Gesamt</t>
  </si>
  <si>
    <t xml:space="preserve">Total</t>
  </si>
  <si>
    <t xml:space="preserve">Gesamtleistung Lead PL</t>
  </si>
  <si>
    <t xml:space="preserve">Total output Lead PL</t>
  </si>
  <si>
    <t xml:space="preserve">Rohergebnis Lead PL</t>
  </si>
  <si>
    <t xml:space="preserve">Gross profit Lead PL</t>
  </si>
  <si>
    <t xml:space="preserve">Umsatz</t>
  </si>
  <si>
    <t xml:space="preserve">Menge (in '000 Stk.)</t>
  </si>
  <si>
    <t xml:space="preserve">Quantity (in '000 pc.)</t>
  </si>
  <si>
    <t xml:space="preserve">Durchschnittlicher Umsatz pro Stk.</t>
  </si>
  <si>
    <t xml:space="preserve">Average revenue per pc.</t>
  </si>
  <si>
    <t xml:space="preserve">YoY growth analysis</t>
  </si>
  <si>
    <t xml:space="preserve">Menge</t>
  </si>
  <si>
    <t xml:space="preserve">Quantity</t>
  </si>
  <si>
    <t xml:space="preserve">Umsatzerlöse Lead PL</t>
  </si>
  <si>
    <t xml:space="preserve">Revenues Lead PL</t>
  </si>
  <si>
    <t xml:space="preserve">Summe Dummy</t>
  </si>
  <si>
    <t xml:space="preserve">Total Dummy</t>
  </si>
  <si>
    <t xml:space="preserve">Technische Anlagen und Maschinen - AHK</t>
  </si>
  <si>
    <t xml:space="preserve">Plant &amp; machinery (historical costs)</t>
  </si>
  <si>
    <t xml:space="preserve">Kumulierte Abschreibung</t>
  </si>
  <si>
    <t xml:space="preserve">Accumulated depreciation</t>
  </si>
  <si>
    <t xml:space="preserve">Technische Anlagen und Maschinen</t>
  </si>
  <si>
    <t xml:space="preserve">Plant &amp; machinery (book value)</t>
  </si>
  <si>
    <t xml:space="preserve">Dummy 1 - AHK</t>
  </si>
  <si>
    <t xml:space="preserve">Dummy 1 (historical costs)</t>
  </si>
  <si>
    <t xml:space="preserve">Dummy 1 (book value)</t>
  </si>
  <si>
    <t xml:space="preserve">Dummy 2 - AHK</t>
  </si>
  <si>
    <t xml:space="preserve">Dummy 2 (historical costs)</t>
  </si>
  <si>
    <t xml:space="preserve">Dummy 2 (book value)</t>
  </si>
  <si>
    <t xml:space="preserve">Sachanlagen - AHK</t>
  </si>
  <si>
    <t xml:space="preserve">Tangible Assets (historical costs)</t>
  </si>
  <si>
    <t xml:space="preserve">Tangible Assets (book value)</t>
  </si>
  <si>
    <t xml:space="preserve">Abnutzungsgrad (in %)*</t>
  </si>
  <si>
    <t xml:space="preserve">Degree of wear (in %)*</t>
  </si>
  <si>
    <t xml:space="preserve">*der Abnutzungsgrad ist definiert als Abschreibung / AHK</t>
  </si>
  <si>
    <t xml:space="preserve">*Degree of wear is calculated as Depreciation / Historical costs</t>
  </si>
  <si>
    <t xml:space="preserve">Summe</t>
  </si>
  <si>
    <t xml:space="preserve">Konsolidierung</t>
  </si>
  <si>
    <t xml:space="preserve">Gruppe</t>
  </si>
  <si>
    <t xml:space="preserve">Sum</t>
  </si>
  <si>
    <t xml:space="preserve">Consolidation</t>
  </si>
  <si>
    <t xml:space="preserve">Group</t>
  </si>
  <si>
    <t xml:space="preserve">[OPEN] Verweis auf Lead NA war zerstoert (#REF), neu zu setzen</t>
  </si>
  <si>
    <t xml:space="preserve">Equity acc. to source sheet</t>
  </si>
  <si>
    <t xml:space="preserve">Management-</t>
  </si>
  <si>
    <t xml:space="preserve">Testierte</t>
  </si>
  <si>
    <t xml:space="preserve">reporting</t>
  </si>
  <si>
    <t xml:space="preserve">Abschlüsse</t>
  </si>
  <si>
    <t xml:space="preserve">∆</t>
  </si>
  <si>
    <t xml:space="preserve">Audited </t>
  </si>
  <si>
    <t xml:space="preserve">Financials</t>
  </si>
  <si>
    <t xml:space="preserve">∆ IST/Plan</t>
  </si>
  <si>
    <t xml:space="preserve">in %</t>
  </si>
  <si>
    <t xml:space="preserve">∆ Act./Plan</t>
  </si>
  <si>
    <t xml:space="preserve">ACT P/L Check (Lead PL)</t>
  </si>
</sst>
</file>

<file path=xl/styles.xml><?xml version="1.0" encoding="utf-8"?>
<styleSheet xmlns="http://schemas.openxmlformats.org/spreadsheetml/2006/main">
  <numFmts count="19">
    <numFmt numFmtId="164" formatCode="General"/>
    <numFmt numFmtId="165" formatCode="&quot;FY&quot;yy"/>
    <numFmt numFmtId="166" formatCode="&quot;GJ&quot;yy"/>
    <numFmt numFmtId="167" formatCode="mmmyy"/>
    <numFmt numFmtId="168" formatCode="[$-409]mmmyy"/>
    <numFmt numFmtId="169" formatCode="_(* #,##0.00_);_(* \(#,##0.00\);_(* \-??_);_(@_)"/>
    <numFmt numFmtId="170" formatCode="_(* #,##0_);_(* \(#,##0\);_(* \-?_);@_)"/>
    <numFmt numFmtId="171" formatCode="0.0%_);\(0.0%\)"/>
    <numFmt numFmtId="172" formatCode="0%"/>
    <numFmt numFmtId="173" formatCode="d\-mmm\-yy"/>
    <numFmt numFmtId="174" formatCode="m/d/yyyy"/>
    <numFmt numFmtId="175" formatCode="@"/>
    <numFmt numFmtId="176" formatCode="0.0%"/>
    <numFmt numFmtId="177" formatCode="General"/>
    <numFmt numFmtId="178" formatCode="mmm\-yy"/>
    <numFmt numFmtId="179" formatCode="_-* #,##0_-;\-* #,##0_-;_-* \-??_-;_-@_-"/>
    <numFmt numFmtId="180" formatCode="\[0\]"/>
    <numFmt numFmtId="181" formatCode="#,##0_);\(#,##0\);\-_);@_)"/>
    <numFmt numFmtId="182" formatCode="_(* #,##0.00_);_(* \(#,##0.00\);_(* \-?_);@_)"/>
  </numFmts>
  <fonts count="55">
    <font>
      <sz val="11"/>
      <color theme="1"/>
      <name val="Calibri"/>
      <family val="2"/>
      <charset val="1"/>
    </font>
    <font>
      <sz val="10"/>
      <name val="Arial"/>
      <family val="0"/>
    </font>
    <font>
      <sz val="10"/>
      <name val="Arial"/>
      <family val="0"/>
    </font>
    <font>
      <sz val="10"/>
      <name val="Arial"/>
      <family val="0"/>
    </font>
    <font>
      <b val="true"/>
      <sz val="9"/>
      <color rgb="FF1F497D"/>
      <name val="Arial"/>
      <family val="2"/>
      <charset val="1"/>
    </font>
    <font>
      <b val="true"/>
      <sz val="8"/>
      <color theme="0"/>
      <name val="Arial"/>
      <family val="2"/>
      <charset val="1"/>
    </font>
    <font>
      <sz val="9"/>
      <color theme="1"/>
      <name val="Arial"/>
      <family val="2"/>
      <charset val="1"/>
    </font>
    <font>
      <sz val="8"/>
      <color theme="1" tint="0.2499"/>
      <name val="Arial"/>
      <family val="2"/>
      <charset val="1"/>
    </font>
    <font>
      <b val="true"/>
      <sz val="8"/>
      <color theme="7"/>
      <name val="Arial"/>
      <family val="2"/>
      <charset val="1"/>
    </font>
    <font>
      <b val="true"/>
      <sz val="8"/>
      <color theme="1" tint="0.2499"/>
      <name val="Arial"/>
      <family val="2"/>
      <charset val="1"/>
    </font>
    <font>
      <b val="true"/>
      <sz val="9"/>
      <color theme="0"/>
      <name val="Arial"/>
      <family val="2"/>
      <charset val="1"/>
    </font>
    <font>
      <b val="true"/>
      <sz val="36"/>
      <color theme="1"/>
      <name val="Arial"/>
      <family val="2"/>
      <charset val="1"/>
    </font>
    <font>
      <b val="true"/>
      <sz val="72"/>
      <color theme="1"/>
      <name val="Arial"/>
      <family val="2"/>
      <charset val="1"/>
    </font>
    <font>
      <b val="true"/>
      <sz val="16"/>
      <color rgb="FFFF0000"/>
      <name val="Arial"/>
      <family val="2"/>
      <charset val="1"/>
    </font>
    <font>
      <b val="true"/>
      <sz val="11"/>
      <color theme="1"/>
      <name val="Arial"/>
      <family val="2"/>
      <charset val="1"/>
    </font>
    <font>
      <sz val="10"/>
      <color theme="1"/>
      <name val="Arial"/>
      <family val="2"/>
      <charset val="1"/>
    </font>
    <font>
      <b val="true"/>
      <sz val="8"/>
      <color rgb="FFFFFFFF"/>
      <name val="Arial"/>
      <family val="2"/>
      <charset val="1"/>
    </font>
    <font>
      <sz val="9"/>
      <color rgb="FFFF0000"/>
      <name val="Arial"/>
      <family val="2"/>
      <charset val="1"/>
    </font>
    <font>
      <sz val="11"/>
      <color theme="1"/>
      <name val="Arial"/>
      <family val="2"/>
      <charset val="1"/>
    </font>
    <font>
      <sz val="9"/>
      <color theme="0"/>
      <name val="Arial"/>
      <family val="2"/>
      <charset val="1"/>
    </font>
    <font>
      <sz val="9"/>
      <color rgb="FF1F497D"/>
      <name val="Arial"/>
      <family val="2"/>
      <charset val="1"/>
    </font>
    <font>
      <sz val="10"/>
      <name val="Arial"/>
      <family val="2"/>
    </font>
    <font>
      <b val="true"/>
      <sz val="10"/>
      <name val="Arial"/>
      <family val="0"/>
      <charset val="1"/>
    </font>
    <font>
      <i val="true"/>
      <sz val="9"/>
      <color rgb="FF808080"/>
      <name val="Arial"/>
      <family val="0"/>
      <charset val="1"/>
    </font>
    <font>
      <b val="true"/>
      <sz val="8"/>
      <color rgb="FFC9EC51"/>
      <name val="Arial"/>
      <family val="2"/>
      <charset val="1"/>
    </font>
    <font>
      <b val="true"/>
      <sz val="8"/>
      <color rgb="FFFF0000"/>
      <name val="Arial"/>
      <family val="2"/>
      <charset val="1"/>
    </font>
    <font>
      <sz val="8"/>
      <name val="Arial"/>
      <family val="2"/>
      <charset val="1"/>
    </font>
    <font>
      <b val="true"/>
      <sz val="9"/>
      <color theme="1"/>
      <name val="Arial"/>
      <family val="2"/>
      <charset val="1"/>
    </font>
    <font>
      <sz val="9"/>
      <color theme="0" tint="-0.35"/>
      <name val="Arial"/>
      <family val="2"/>
      <charset val="1"/>
    </font>
    <font>
      <b val="true"/>
      <sz val="10"/>
      <name val="Arial"/>
      <family val="2"/>
      <charset val="1"/>
    </font>
    <font>
      <sz val="10"/>
      <name val="Arial"/>
      <family val="2"/>
      <charset val="1"/>
    </font>
    <font>
      <sz val="8"/>
      <color theme="1"/>
      <name val="Arial"/>
      <family val="2"/>
      <charset val="1"/>
    </font>
    <font>
      <b val="true"/>
      <sz val="8"/>
      <color theme="1"/>
      <name val="Arial"/>
      <family val="2"/>
      <charset val="1"/>
    </font>
    <font>
      <sz val="8"/>
      <color rgb="FF0070C0"/>
      <name val="Arial"/>
      <family val="2"/>
      <charset val="1"/>
    </font>
    <font>
      <i val="true"/>
      <sz val="9"/>
      <color theme="1"/>
      <name val="Arial"/>
      <family val="2"/>
      <charset val="1"/>
    </font>
    <font>
      <b val="true"/>
      <sz val="11"/>
      <color theme="1"/>
      <name val="Calibri"/>
      <family val="2"/>
      <charset val="1"/>
    </font>
    <font>
      <b val="true"/>
      <sz val="8"/>
      <name val="Arial"/>
      <family val="0"/>
      <charset val="1"/>
    </font>
    <font>
      <sz val="8"/>
      <color rgb="FF0000FF"/>
      <name val="Arial"/>
      <family val="0"/>
      <charset val="1"/>
    </font>
    <font>
      <sz val="8"/>
      <color rgb="FF808080"/>
      <name val="Arial"/>
      <family val="0"/>
      <charset val="1"/>
    </font>
    <font>
      <b val="true"/>
      <sz val="8"/>
      <name val="Arial"/>
      <family val="2"/>
      <charset val="1"/>
    </font>
    <font>
      <sz val="8"/>
      <name val="Calibri"/>
      <family val="2"/>
      <charset val="1"/>
    </font>
    <font>
      <sz val="9"/>
      <name val="Arial"/>
      <family val="2"/>
      <charset val="1"/>
    </font>
    <font>
      <sz val="9"/>
      <color theme="1" tint="0.2499"/>
      <name val="Arial"/>
      <family val="2"/>
      <charset val="1"/>
    </font>
    <font>
      <b val="true"/>
      <sz val="9"/>
      <name val="Arial"/>
      <family val="2"/>
      <charset val="1"/>
    </font>
    <font>
      <sz val="11"/>
      <color rgb="FFFF0000"/>
      <name val="Calibri"/>
      <family val="2"/>
      <charset val="1"/>
    </font>
    <font>
      <b val="true"/>
      <u val="single"/>
      <sz val="8"/>
      <name val="Arial"/>
      <family val="2"/>
      <charset val="1"/>
    </font>
    <font>
      <i val="true"/>
      <sz val="8"/>
      <color theme="1"/>
      <name val="Arial"/>
      <family val="2"/>
      <charset val="1"/>
    </font>
    <font>
      <b val="true"/>
      <i val="true"/>
      <sz val="8"/>
      <color theme="1"/>
      <name val="Arial"/>
      <family val="2"/>
      <charset val="1"/>
    </font>
    <font>
      <sz val="9"/>
      <color theme="0" tint="-0.5"/>
      <name val="Arial"/>
      <family val="2"/>
      <charset val="1"/>
    </font>
    <font>
      <sz val="9"/>
      <color theme="1"/>
      <name val="Calibri"/>
      <family val="2"/>
      <charset val="1"/>
    </font>
    <font>
      <sz val="8"/>
      <color theme="0" tint="-0.25"/>
      <name val="Arial"/>
      <family val="2"/>
      <charset val="1"/>
    </font>
    <font>
      <sz val="9"/>
      <color rgb="FF00B0F0"/>
      <name val="Arial"/>
      <family val="2"/>
      <charset val="1"/>
    </font>
    <font>
      <i val="true"/>
      <sz val="8"/>
      <color theme="7"/>
      <name val="Arial"/>
      <family val="2"/>
      <charset val="1"/>
    </font>
    <font>
      <i val="true"/>
      <sz val="8"/>
      <name val="Arial"/>
      <family val="2"/>
      <charset val="1"/>
    </font>
    <font>
      <sz val="8"/>
      <color theme="0"/>
      <name val="Arial"/>
      <family val="2"/>
      <charset val="1"/>
    </font>
  </fonts>
  <fills count="26">
    <fill>
      <patternFill patternType="none"/>
    </fill>
    <fill>
      <patternFill patternType="gray125"/>
    </fill>
    <fill>
      <patternFill patternType="solid">
        <fgColor theme="8"/>
        <bgColor rgb="FF404040"/>
      </patternFill>
    </fill>
    <fill>
      <patternFill patternType="solid">
        <fgColor theme="7"/>
        <bgColor rgb="FFBFBFBF"/>
      </patternFill>
    </fill>
    <fill>
      <patternFill patternType="solid">
        <fgColor rgb="FF00B0F0"/>
        <bgColor rgb="FF00AEEC"/>
      </patternFill>
    </fill>
    <fill>
      <patternFill patternType="solid">
        <fgColor theme="0" tint="-0.5"/>
        <bgColor rgb="FF666699"/>
      </patternFill>
    </fill>
    <fill>
      <patternFill patternType="solid">
        <fgColor rgb="FFCEE7FE"/>
        <bgColor rgb="FFC1EAE6"/>
      </patternFill>
    </fill>
    <fill>
      <patternFill patternType="solid">
        <fgColor theme="0"/>
        <bgColor rgb="FFF4F4F3"/>
      </patternFill>
    </fill>
    <fill>
      <patternFill patternType="solid">
        <fgColor rgb="FFDCE0E6"/>
        <bgColor rgb="FFD9D9D6"/>
      </patternFill>
    </fill>
    <fill>
      <patternFill patternType="solid">
        <fgColor rgb="FFFFFF00"/>
        <bgColor rgb="FFC9EC51"/>
      </patternFill>
    </fill>
    <fill>
      <patternFill patternType="solid">
        <fgColor rgb="FFD9D9D6"/>
        <bgColor rgb="FFDCE0E6"/>
      </patternFill>
    </fill>
    <fill>
      <patternFill patternType="solid">
        <fgColor rgb="FF17191F"/>
        <bgColor rgb="FF2B303A"/>
      </patternFill>
    </fill>
    <fill>
      <patternFill patternType="solid">
        <fgColor rgb="FFC0C0C0"/>
        <bgColor rgb="FFBFBFBF"/>
      </patternFill>
    </fill>
    <fill>
      <patternFill patternType="solid">
        <fgColor rgb="FFFFC000"/>
        <bgColor rgb="FFFF8C3B"/>
      </patternFill>
    </fill>
    <fill>
      <patternFill patternType="solid">
        <fgColor rgb="FF81DCDA"/>
        <bgColor rgb="FF9EBEED"/>
      </patternFill>
    </fill>
    <fill>
      <patternFill patternType="solid">
        <fgColor theme="0" tint="-0.25"/>
        <bgColor rgb="FFC0C0C0"/>
      </patternFill>
    </fill>
    <fill>
      <patternFill patternType="solid">
        <fgColor rgb="FFFF0000"/>
        <bgColor rgb="FF9C0006"/>
      </patternFill>
    </fill>
    <fill>
      <patternFill patternType="solid">
        <fgColor rgb="FFF4F4F3"/>
        <bgColor rgb="FFF2F2F2"/>
      </patternFill>
    </fill>
    <fill>
      <patternFill patternType="solid">
        <fgColor theme="1" tint="0.2499"/>
        <bgColor rgb="FF2B303A"/>
      </patternFill>
    </fill>
    <fill>
      <patternFill patternType="solid">
        <fgColor theme="4"/>
        <bgColor rgb="FF00AEEC"/>
      </patternFill>
    </fill>
    <fill>
      <patternFill patternType="solid">
        <fgColor theme="1"/>
        <bgColor rgb="FF17191F"/>
      </patternFill>
    </fill>
    <fill>
      <patternFill patternType="solid">
        <fgColor rgb="FFB3B3B3"/>
        <bgColor rgb="FFBFBFBF"/>
      </patternFill>
    </fill>
    <fill>
      <patternFill patternType="solid">
        <fgColor rgb="FFC1EAE6"/>
        <bgColor rgb="FFC6EFCE"/>
      </patternFill>
    </fill>
    <fill>
      <patternFill patternType="solid">
        <fgColor theme="9" tint="0.7999"/>
        <bgColor rgb="FFF2F2F2"/>
      </patternFill>
    </fill>
    <fill>
      <patternFill patternType="solid">
        <fgColor theme="3" tint="0.7999"/>
        <bgColor rgb="FFF4F4F3"/>
      </patternFill>
    </fill>
    <fill>
      <patternFill patternType="solid">
        <fgColor theme="0" tint="-0.05"/>
        <bgColor rgb="FFF4F4F3"/>
      </patternFill>
    </fill>
  </fills>
  <borders count="25">
    <border diagonalUp="false" diagonalDown="false">
      <left/>
      <right/>
      <top/>
      <bottom/>
      <diagonal/>
    </border>
    <border diagonalUp="false" diagonalDown="false">
      <left/>
      <right/>
      <top style="thin">
        <color theme="7"/>
      </top>
      <bottom/>
      <diagonal/>
    </border>
    <border diagonalUp="false" diagonalDown="false">
      <left/>
      <right/>
      <top style="thin">
        <color theme="7"/>
      </top>
      <bottom style="thin">
        <color theme="7"/>
      </bottom>
      <diagonal/>
    </border>
    <border diagonalUp="false" diagonalDown="false">
      <left/>
      <right/>
      <top style="thin">
        <color rgb="FF00AEEC"/>
      </top>
      <bottom/>
      <diagonal/>
    </border>
    <border diagonalUp="false" diagonalDown="false">
      <left/>
      <right/>
      <top/>
      <bottom style="thin">
        <color rgb="FF00AEEC"/>
      </bottom>
      <diagonal/>
    </border>
    <border diagonalUp="false" diagonalDown="false">
      <left style="dashed">
        <color rgb="FF1F497D"/>
      </left>
      <right style="dashed">
        <color rgb="FF1F497D"/>
      </right>
      <top style="dashed">
        <color rgb="FF1F497D"/>
      </top>
      <bottom style="dashed">
        <color rgb="FF1F497D"/>
      </bottom>
      <diagonal/>
    </border>
    <border diagonalUp="false" diagonalDown="false">
      <left style="thin"/>
      <right style="thin"/>
      <top style="thin"/>
      <bottom style="thin"/>
      <diagonal/>
    </border>
    <border diagonalUp="false" diagonalDown="false">
      <left style="dotted"/>
      <right style="dotted"/>
      <top style="dotted"/>
      <bottom style="dotted"/>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dotted"/>
      <top style="dotted"/>
      <bottom style="dotted"/>
      <diagonal/>
    </border>
    <border diagonalUp="false" diagonalDown="false">
      <left style="thin">
        <color rgb="FF1F497D"/>
      </left>
      <right/>
      <top style="thin">
        <color rgb="FF1F497D"/>
      </top>
      <bottom style="thin">
        <color rgb="FF1F497D"/>
      </bottom>
      <diagonal/>
    </border>
    <border diagonalUp="false" diagonalDown="false">
      <left/>
      <right/>
      <top style="thin">
        <color rgb="FF1F497D"/>
      </top>
      <bottom style="thin">
        <color rgb="FF1F497D"/>
      </bottom>
      <diagonal/>
    </border>
    <border diagonalUp="false" diagonalDown="false">
      <left/>
      <right/>
      <top style="thin"/>
      <bottom style="thin"/>
      <diagonal/>
    </border>
    <border diagonalUp="false" diagonalDown="false">
      <left/>
      <right/>
      <top style="thin"/>
      <bottom/>
      <diagonal/>
    </border>
    <border diagonalUp="false" diagonalDown="false">
      <left/>
      <right/>
      <top/>
      <bottom style="thin"/>
      <diagonal/>
    </border>
    <border diagonalUp="false" diagonalDown="false">
      <left/>
      <right/>
      <top/>
      <bottom style="medium"/>
      <diagonal/>
    </border>
    <border diagonalUp="false" diagonalDown="false">
      <left/>
      <right/>
      <top/>
      <bottom style="thin">
        <color theme="0"/>
      </bottom>
      <diagonal/>
    </border>
    <border diagonalUp="false" diagonalDown="false">
      <left/>
      <right/>
      <top style="thin"/>
      <bottom style="mediu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s>
  <cellStyleXfs count="5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2" borderId="0" applyFont="true" applyBorder="true" applyAlignment="true" applyProtection="true">
      <alignment horizontal="right" vertical="bottom" textRotation="0" wrapText="false" indent="0" shrinkToFit="false"/>
      <protection locked="true" hidden="false"/>
    </xf>
    <xf numFmtId="166" fontId="4" fillId="2" borderId="0" applyFont="true" applyBorder="true" applyAlignment="true" applyProtection="true">
      <alignment horizontal="right" vertical="bottom" textRotation="0" wrapText="false" indent="0" shrinkToFit="false"/>
      <protection locked="true" hidden="false"/>
    </xf>
    <xf numFmtId="166" fontId="5" fillId="3" borderId="0" applyFont="true" applyBorder="true" applyAlignment="true" applyProtection="true">
      <alignment horizontal="right" vertical="bottom" textRotation="0" wrapText="false" indent="0" shrinkToFit="false"/>
      <protection locked="true" hidden="false"/>
    </xf>
    <xf numFmtId="167" fontId="5" fillId="3" borderId="0" applyFont="true" applyBorder="true" applyAlignment="true" applyProtection="true">
      <alignment horizontal="right" vertical="bottom" textRotation="0" wrapText="false" indent="0" shrinkToFit="false"/>
      <protection locked="true" hidden="false"/>
    </xf>
    <xf numFmtId="168" fontId="5" fillId="3" borderId="0" applyFont="true" applyBorder="true" applyAlignment="true" applyProtection="true">
      <alignment horizontal="right" vertical="bottom" textRotation="0" wrapText="false" indent="0" shrinkToFit="false"/>
      <protection locked="true" hidden="false"/>
    </xf>
    <xf numFmtId="165" fontId="5" fillId="4" borderId="0" applyFont="true" applyBorder="true" applyAlignment="true" applyProtection="true">
      <alignment horizontal="right"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70" fontId="6" fillId="5" borderId="0" applyFont="true" applyBorder="true" applyAlignment="true" applyProtection="true">
      <alignment horizontal="general" vertical="bottom" textRotation="0" wrapText="false" indent="0" shrinkToFit="false"/>
      <protection locked="true" hidden="false"/>
    </xf>
    <xf numFmtId="170" fontId="6" fillId="5" borderId="0" applyFont="true" applyBorder="true" applyAlignment="true" applyProtection="true">
      <alignment horizontal="general" vertical="bottom" textRotation="0" wrapText="false" indent="0" shrinkToFit="false"/>
      <protection locked="true" hidden="false"/>
    </xf>
    <xf numFmtId="170" fontId="7" fillId="6" borderId="0" applyFont="true" applyBorder="true" applyAlignment="true" applyProtection="true">
      <alignment horizontal="right" vertical="bottom" textRotation="0" wrapText="false" indent="0" shrinkToFit="false"/>
      <protection locked="true" hidden="false"/>
    </xf>
    <xf numFmtId="170" fontId="8" fillId="7" borderId="1" applyFont="true" applyBorder="true" applyAlignment="true" applyProtection="true">
      <alignment horizontal="general" vertical="bottom" textRotation="0" wrapText="false" indent="0" shrinkToFit="false"/>
      <protection locked="true" hidden="false"/>
    </xf>
    <xf numFmtId="170" fontId="7" fillId="8" borderId="0" applyFont="true" applyBorder="true" applyAlignment="true" applyProtection="true">
      <alignment horizontal="right" vertical="bottom" textRotation="0" wrapText="false" indent="0" shrinkToFit="false"/>
      <protection locked="true" hidden="false"/>
    </xf>
    <xf numFmtId="170" fontId="8" fillId="6" borderId="1" applyFont="true" applyBorder="true" applyAlignment="true" applyProtection="true">
      <alignment horizontal="general" vertical="bottom" textRotation="0" wrapText="false" indent="0" shrinkToFit="false"/>
      <protection locked="true" hidden="false"/>
    </xf>
    <xf numFmtId="170" fontId="8" fillId="8" borderId="1" applyFont="true" applyBorder="true" applyAlignment="true" applyProtection="true">
      <alignment horizontal="general" vertical="bottom" textRotation="0" wrapText="false" indent="0" shrinkToFit="false"/>
      <protection locked="true" hidden="false"/>
    </xf>
    <xf numFmtId="170" fontId="8" fillId="7" borderId="2" applyFont="true" applyBorder="true" applyAlignment="true" applyProtection="true">
      <alignment horizontal="general" vertical="bottom" textRotation="0" wrapText="false" indent="0" shrinkToFit="false"/>
      <protection locked="true" hidden="false"/>
    </xf>
    <xf numFmtId="170" fontId="8" fillId="8" borderId="2" applyFont="true" applyBorder="true" applyAlignment="true" applyProtection="true">
      <alignment horizontal="general" vertical="bottom" textRotation="0" wrapText="false" indent="0" shrinkToFit="false"/>
      <protection locked="true" hidden="false"/>
    </xf>
    <xf numFmtId="170" fontId="8" fillId="6" borderId="2" applyFont="true" applyBorder="true" applyAlignment="true" applyProtection="true">
      <alignment horizontal="general" vertical="bottom" textRotation="0" wrapText="false" indent="0" shrinkToFit="false"/>
      <protection locked="true" hidden="false"/>
    </xf>
    <xf numFmtId="171" fontId="7" fillId="8" borderId="0" applyFont="true" applyBorder="true" applyAlignment="true" applyProtection="true">
      <alignment horizontal="right" vertical="bottom" textRotation="0" wrapText="false" indent="0" shrinkToFit="false"/>
      <protection locked="true" hidden="false"/>
    </xf>
    <xf numFmtId="171" fontId="8" fillId="7" borderId="1" applyFont="true" applyBorder="true" applyAlignment="true" applyProtection="true">
      <alignment horizontal="right" vertical="bottom" textRotation="0" wrapText="false" indent="0" shrinkToFit="false"/>
      <protection locked="true" hidden="false"/>
    </xf>
    <xf numFmtId="171" fontId="8" fillId="7" borderId="2" applyFont="true" applyBorder="true" applyAlignment="true" applyProtection="true">
      <alignment horizontal="right" vertical="bottom" textRotation="0" wrapText="false" indent="0" shrinkToFit="false"/>
      <protection locked="true" hidden="false"/>
    </xf>
    <xf numFmtId="171" fontId="7" fillId="6" borderId="0" applyFont="true" applyBorder="true" applyAlignment="true" applyProtection="true">
      <alignment horizontal="right" vertical="bottom" textRotation="0" wrapText="false" indent="0" shrinkToFit="false"/>
      <protection locked="true" hidden="false"/>
    </xf>
    <xf numFmtId="171" fontId="8" fillId="6" borderId="1" applyFont="true" applyBorder="true" applyAlignment="true" applyProtection="true">
      <alignment horizontal="right" vertical="bottom" textRotation="0" wrapText="false" indent="0" shrinkToFit="false"/>
      <protection locked="true" hidden="false"/>
    </xf>
    <xf numFmtId="170" fontId="7" fillId="7" borderId="0" applyFont="true" applyBorder="true" applyAlignment="true" applyProtection="true">
      <alignment horizontal="right" vertical="bottom" textRotation="0" wrapText="false" indent="0" shrinkToFit="false"/>
      <protection locked="true" hidden="false"/>
    </xf>
    <xf numFmtId="171" fontId="7" fillId="7" borderId="0" applyFont="true" applyBorder="true" applyAlignment="true" applyProtection="true">
      <alignment horizontal="right" vertical="bottom" textRotation="0" wrapText="false" indent="0" shrinkToFit="false"/>
      <protection locked="true" hidden="false"/>
    </xf>
    <xf numFmtId="164" fontId="7" fillId="7" borderId="0" applyFont="true" applyBorder="true" applyAlignment="true" applyProtection="true">
      <alignment horizontal="general" vertical="bottom" textRotation="0" wrapText="false" indent="0" shrinkToFit="false"/>
      <protection locked="true" hidden="false"/>
    </xf>
    <xf numFmtId="164" fontId="9" fillId="7" borderId="0" applyFont="true" applyBorder="true" applyAlignment="true" applyProtection="true">
      <alignment horizontal="general" vertical="bottom" textRotation="0" wrapText="false" indent="0" shrinkToFit="false"/>
      <protection locked="true" hidden="false"/>
    </xf>
    <xf numFmtId="164" fontId="8" fillId="7" borderId="3" applyFont="true" applyBorder="true" applyAlignment="true" applyProtection="true">
      <alignment horizontal="general" vertical="bottom" textRotation="0" wrapText="false" indent="0" shrinkToFit="false"/>
      <protection locked="true" hidden="false"/>
    </xf>
    <xf numFmtId="164" fontId="8" fillId="7" borderId="2" applyFont="true" applyBorder="true" applyAlignment="true" applyProtection="true">
      <alignment horizontal="general" vertical="bottom" textRotation="0" wrapText="false" indent="0" shrinkToFit="false"/>
      <protection locked="true" hidden="false"/>
    </xf>
    <xf numFmtId="172" fontId="0" fillId="0" borderId="0" applyFont="true" applyBorder="true" applyAlignment="true" applyProtection="true">
      <alignment horizontal="general" vertical="bottom" textRotation="0" wrapText="false" indent="0" shrinkToFit="false"/>
      <protection locked="true" hidden="false"/>
    </xf>
    <xf numFmtId="172"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7" fillId="0" borderId="4" applyFont="true" applyBorder="true" applyAlignment="true" applyProtection="true">
      <alignment horizontal="general" vertical="bottom" textRotation="0" wrapText="false" indent="0" shrinkToFit="false"/>
      <protection locked="true" hidden="false"/>
    </xf>
    <xf numFmtId="164" fontId="5" fillId="2" borderId="0" applyFont="true" applyBorder="true" applyAlignment="true" applyProtection="true">
      <alignment horizontal="general" vertical="bottom" textRotation="0" wrapText="false" indent="0" shrinkToFit="false"/>
      <protection locked="true" hidden="false"/>
    </xf>
    <xf numFmtId="164" fontId="10" fillId="2" borderId="0" applyFont="true" applyBorder="true" applyAlignment="true" applyProtection="true">
      <alignment horizontal="right" vertical="bottom" textRotation="0" wrapText="false" indent="0" shrinkToFit="false"/>
      <protection locked="true" hidden="false"/>
    </xf>
    <xf numFmtId="170" fontId="6" fillId="7" borderId="5" applyFont="true" applyBorder="true" applyAlignment="true" applyProtection="true">
      <alignment horizontal="general" vertical="bottom" textRotation="0" wrapText="false" indent="0" shrinkToFit="false"/>
      <protection locked="true" hidden="false"/>
    </xf>
  </cellStyleXfs>
  <cellXfs count="470">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73" fontId="6" fillId="9" borderId="0" xfId="0" applyFont="true" applyBorder="false" applyAlignment="true" applyProtection="false">
      <alignment horizontal="general" vertical="bottom" textRotation="0" wrapText="false" indent="0" shrinkToFit="false"/>
      <protection locked="true" hidden="false"/>
    </xf>
    <xf numFmtId="164" fontId="6" fillId="9" borderId="0" xfId="0" applyFont="true" applyBorder="false" applyAlignment="true" applyProtection="false">
      <alignment horizontal="general" vertical="bottom" textRotation="0" wrapText="false" indent="0" shrinkToFit="false"/>
      <protection locked="true" hidden="false"/>
    </xf>
    <xf numFmtId="164" fontId="15" fillId="0" borderId="6" xfId="0" applyFont="true" applyBorder="true" applyAlignment="true" applyProtection="false">
      <alignment horizontal="left" vertical="center" textRotation="0" wrapText="true" indent="0" shrinkToFit="false"/>
      <protection locked="true" hidden="false"/>
    </xf>
    <xf numFmtId="164" fontId="6" fillId="10" borderId="0" xfId="0" applyFont="true" applyBorder="false" applyAlignment="true" applyProtection="false">
      <alignment horizontal="general" vertical="bottom" textRotation="0" wrapText="false" indent="0" shrinkToFit="false"/>
      <protection locked="true" hidden="false"/>
    </xf>
    <xf numFmtId="165" fontId="16" fillId="11" borderId="0" xfId="39" applyFont="true" applyBorder="true" applyAlignment="true" applyProtection="false">
      <alignment horizontal="left" vertical="bottom" textRotation="0" wrapText="false" indent="0" shrinkToFit="false"/>
      <protection locked="true" hidden="false"/>
    </xf>
    <xf numFmtId="170" fontId="6" fillId="7" borderId="7" xfId="0" applyFont="true" applyBorder="true" applyAlignment="true" applyProtection="false">
      <alignment horizontal="general" vertical="bottom" textRotation="0" wrapText="false" indent="0" shrinkToFit="false"/>
      <protection locked="true" hidden="false"/>
    </xf>
    <xf numFmtId="174" fontId="6" fillId="5" borderId="0" xfId="0" applyFont="true" applyBorder="false" applyAlignment="true" applyProtection="false">
      <alignment horizontal="general" vertical="bottom" textRotation="0" wrapText="false" indent="0" shrinkToFit="false"/>
      <protection locked="true" hidden="false"/>
    </xf>
    <xf numFmtId="165" fontId="4" fillId="10" borderId="0" xfId="39" applyFont="true" applyBorder="true" applyAlignment="true" applyProtection="false">
      <alignment horizontal="right" vertical="bottom" textRotation="0" wrapText="false" indent="0" shrinkToFit="false"/>
      <protection locked="true" hidden="false"/>
    </xf>
    <xf numFmtId="164" fontId="6" fillId="10" borderId="0" xfId="0" applyFont="true" applyBorder="false" applyAlignment="true" applyProtection="false">
      <alignment horizontal="left" vertical="bottom" textRotation="0" wrapText="false" indent="0" shrinkToFit="false"/>
      <protection locked="true" hidden="false"/>
    </xf>
    <xf numFmtId="174" fontId="6" fillId="7" borderId="7" xfId="0" applyFont="true" applyBorder="true" applyAlignment="true" applyProtection="false">
      <alignment horizontal="general" vertical="bottom" textRotation="0" wrapText="false" indent="0" shrinkToFit="false"/>
      <protection locked="true" hidden="false"/>
    </xf>
    <xf numFmtId="170" fontId="6" fillId="7" borderId="7" xfId="0" applyFont="true" applyBorder="true" applyAlignment="true" applyProtection="false">
      <alignment horizontal="right" vertical="bottom" textRotation="0" wrapText="false" indent="0" shrinkToFit="false"/>
      <protection locked="true" hidden="false"/>
    </xf>
    <xf numFmtId="164" fontId="17" fillId="10" borderId="0" xfId="0" applyFont="true" applyBorder="false" applyAlignment="true" applyProtection="false">
      <alignment horizontal="general" vertical="bottom" textRotation="0" wrapText="false" indent="0" shrinkToFit="false"/>
      <protection locked="true" hidden="false"/>
    </xf>
    <xf numFmtId="174" fontId="6" fillId="10" borderId="0" xfId="0" applyFont="true" applyBorder="false" applyAlignment="true" applyProtection="false">
      <alignment horizontal="left" vertical="bottom" textRotation="0" wrapText="false" indent="0" shrinkToFit="false"/>
      <protection locked="true" hidden="false"/>
    </xf>
    <xf numFmtId="174" fontId="6" fillId="10" borderId="0" xfId="0" applyFont="true" applyBorder="false" applyAlignment="true" applyProtection="false">
      <alignment horizontal="general" vertical="bottom" textRotation="0" wrapText="false" indent="0" shrinkToFit="false"/>
      <protection locked="true" hidden="false"/>
    </xf>
    <xf numFmtId="170" fontId="6" fillId="10" borderId="0" xfId="0" applyFont="true" applyBorder="false" applyAlignment="true" applyProtection="false">
      <alignment horizontal="general" vertical="bottom" textRotation="0" wrapText="false" indent="0" shrinkToFit="false"/>
      <protection locked="true" hidden="false"/>
    </xf>
    <xf numFmtId="164" fontId="18" fillId="10" borderId="0" xfId="0" applyFont="true" applyBorder="false" applyAlignment="true" applyProtection="false">
      <alignment horizontal="general" vertical="bottom" textRotation="0" wrapText="false" indent="0" shrinkToFit="false"/>
      <protection locked="true" hidden="false"/>
    </xf>
    <xf numFmtId="164" fontId="6" fillId="10" borderId="8" xfId="0" applyFont="true" applyBorder="true" applyAlignment="true" applyProtection="false">
      <alignment horizontal="left" vertical="bottom" textRotation="0" wrapText="false" indent="0" shrinkToFit="false"/>
      <protection locked="true" hidden="false"/>
    </xf>
    <xf numFmtId="164" fontId="19" fillId="10" borderId="9" xfId="0" applyFont="true" applyBorder="true" applyAlignment="true" applyProtection="false">
      <alignment horizontal="right" vertical="bottom" textRotation="0" wrapText="false" indent="0" shrinkToFit="false"/>
      <protection locked="true" hidden="false"/>
    </xf>
    <xf numFmtId="170" fontId="6" fillId="7" borderId="10" xfId="0" applyFont="true" applyBorder="true" applyAlignment="true" applyProtection="false">
      <alignment horizontal="general" vertical="bottom" textRotation="0" wrapText="false" indent="0" shrinkToFit="false"/>
      <protection locked="true" hidden="false"/>
    </xf>
    <xf numFmtId="170" fontId="6" fillId="10" borderId="0" xfId="0" applyFont="true" applyBorder="false" applyAlignment="true" applyProtection="false">
      <alignment horizontal="right" vertical="bottom" textRotation="0" wrapText="false" indent="0" shrinkToFit="false"/>
      <protection locked="true" hidden="false"/>
    </xf>
    <xf numFmtId="164" fontId="6" fillId="10" borderId="0" xfId="0" applyFont="true" applyBorder="false" applyAlignment="true" applyProtection="false">
      <alignment horizontal="right" vertical="bottom" textRotation="0" wrapText="false" indent="0" shrinkToFit="false"/>
      <protection locked="true" hidden="false"/>
    </xf>
    <xf numFmtId="164" fontId="20" fillId="12" borderId="11" xfId="0" applyFont="true" applyBorder="true" applyAlignment="true" applyProtection="false">
      <alignment horizontal="left" vertical="bottom" textRotation="0" wrapText="false" indent="0" shrinkToFit="false"/>
      <protection locked="true" hidden="false"/>
    </xf>
    <xf numFmtId="164" fontId="20" fillId="12" borderId="12" xfId="0" applyFont="true" applyBorder="true" applyAlignment="true" applyProtection="false">
      <alignment horizontal="right" vertical="bottom" textRotation="0" wrapText="false" indent="0" shrinkToFit="false"/>
      <protection locked="true" hidden="false"/>
    </xf>
    <xf numFmtId="170" fontId="6" fillId="7" borderId="5" xfId="0" applyFont="true" applyBorder="true" applyAlignment="true" applyProtection="false">
      <alignment horizontal="general" vertical="bottom" textRotation="0" wrapText="false" indent="0" shrinkToFit="false"/>
      <protection locked="true" hidden="false"/>
    </xf>
    <xf numFmtId="164" fontId="18" fillId="12" borderId="0" xfId="0" applyFont="true" applyBorder="false" applyAlignment="true" applyProtection="false">
      <alignment horizontal="general" vertical="bottom" textRotation="0" wrapText="false" indent="0" shrinkToFit="false"/>
      <protection locked="true" hidden="false"/>
    </xf>
    <xf numFmtId="164" fontId="6" fillId="12"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6" fillId="13" borderId="0" xfId="0" applyFont="true" applyBorder="false" applyAlignment="true" applyProtection="false">
      <alignment horizontal="general" vertical="bottom" textRotation="0" wrapText="false" indent="0" shrinkToFit="false"/>
      <protection locked="true" hidden="false"/>
    </xf>
    <xf numFmtId="166" fontId="16" fillId="11" borderId="0" xfId="36" applyFont="true" applyBorder="true" applyAlignment="true" applyProtection="false">
      <alignment horizontal="left" vertical="bottom" textRotation="0" wrapText="false" indent="0" shrinkToFit="false"/>
      <protection locked="true" hidden="false"/>
    </xf>
    <xf numFmtId="166" fontId="16" fillId="11" borderId="0" xfId="36" applyFont="true" applyBorder="true" applyAlignment="true" applyProtection="false">
      <alignment horizontal="right" vertical="center" textRotation="0" wrapText="false" indent="0" shrinkToFit="false"/>
      <protection locked="true" hidden="false"/>
    </xf>
    <xf numFmtId="166" fontId="24" fillId="7" borderId="0" xfId="36" applyFont="true" applyBorder="true" applyAlignment="true" applyProtection="false">
      <alignment horizontal="left" vertical="bottom" textRotation="0" wrapText="false" indent="0" shrinkToFit="false"/>
      <protection locked="true" hidden="false"/>
    </xf>
    <xf numFmtId="166" fontId="24" fillId="7" borderId="0" xfId="36" applyFont="true" applyBorder="true" applyAlignment="true" applyProtection="false">
      <alignment horizontal="right" vertical="bottom" textRotation="0" wrapText="false" indent="0" shrinkToFit="false"/>
      <protection locked="true" hidden="false"/>
    </xf>
    <xf numFmtId="164" fontId="6" fillId="7" borderId="0" xfId="0" applyFont="true" applyBorder="false" applyAlignment="true" applyProtection="false">
      <alignment horizontal="general" vertical="bottom" textRotation="0" wrapText="false" indent="0" shrinkToFit="false"/>
      <protection locked="true" hidden="false"/>
    </xf>
    <xf numFmtId="166" fontId="25" fillId="7" borderId="0" xfId="36" applyFont="true" applyBorder="true" applyAlignment="true" applyProtection="false">
      <alignment horizontal="left" vertical="bottom" textRotation="0" wrapText="false" indent="0" shrinkToFit="false"/>
      <protection locked="true" hidden="false"/>
    </xf>
    <xf numFmtId="164" fontId="26" fillId="7" borderId="6" xfId="0" applyFont="true" applyBorder="true" applyAlignment="true" applyProtection="false">
      <alignment horizontal="general" vertical="bottom" textRotation="0" wrapText="false" indent="0" shrinkToFit="false"/>
      <protection locked="true" hidden="false"/>
    </xf>
    <xf numFmtId="170" fontId="26" fillId="7" borderId="6" xfId="56" applyFont="true" applyBorder="true" applyAlignment="true" applyProtection="false">
      <alignment horizontal="center" vertical="center" textRotation="0" wrapText="false" indent="0" shrinkToFit="false"/>
      <protection locked="true" hidden="false"/>
    </xf>
    <xf numFmtId="170" fontId="26" fillId="14" borderId="6" xfId="43" applyFont="true" applyBorder="true" applyAlignment="true" applyProtection="false">
      <alignment horizontal="center" vertical="center" textRotation="0" wrapText="false" indent="0" shrinkToFit="false"/>
      <protection locked="true" hidden="false"/>
    </xf>
    <xf numFmtId="170" fontId="26" fillId="7" borderId="8" xfId="56" applyFont="true" applyBorder="true" applyAlignment="true" applyProtection="false">
      <alignment horizontal="center" vertical="center" textRotation="0" wrapText="false" indent="0" shrinkToFit="false"/>
      <protection locked="true" hidden="false"/>
    </xf>
    <xf numFmtId="170" fontId="26" fillId="7" borderId="13" xfId="56" applyFont="true" applyBorder="true" applyAlignment="true" applyProtection="false">
      <alignment horizontal="center" vertical="center" textRotation="0" wrapText="false" indent="0" shrinkToFit="false"/>
      <protection locked="true" hidden="false"/>
    </xf>
    <xf numFmtId="170" fontId="26" fillId="14" borderId="9" xfId="43" applyFont="true" applyBorder="true" applyAlignment="true" applyProtection="false">
      <alignment horizontal="center" vertical="center" textRotation="0" wrapText="false" indent="0" shrinkToFit="false"/>
      <protection locked="true" hidden="false"/>
    </xf>
    <xf numFmtId="164" fontId="26" fillId="7" borderId="14" xfId="0" applyFont="true" applyBorder="true" applyAlignment="true" applyProtection="false">
      <alignment horizontal="general" vertical="bottom" textRotation="0" wrapText="false" indent="0" shrinkToFit="false"/>
      <protection locked="true" hidden="false"/>
    </xf>
    <xf numFmtId="170" fontId="26" fillId="7" borderId="14" xfId="56" applyFont="true" applyBorder="true" applyAlignment="true" applyProtection="false">
      <alignment horizontal="center" vertical="center" textRotation="0" wrapText="false" indent="0" shrinkToFit="false"/>
      <protection locked="true" hidden="false"/>
    </xf>
    <xf numFmtId="170" fontId="26" fillId="7" borderId="14" xfId="43" applyFont="true" applyBorder="true" applyAlignment="true" applyProtection="false">
      <alignment horizontal="center" vertical="center" textRotation="0" wrapText="false" indent="0" shrinkToFit="false"/>
      <protection locked="true" hidden="false"/>
    </xf>
    <xf numFmtId="164" fontId="26" fillId="7" borderId="0" xfId="0" applyFont="true" applyBorder="false" applyAlignment="true" applyProtection="false">
      <alignment horizontal="general" vertical="bottom" textRotation="0" wrapText="false" indent="0" shrinkToFit="false"/>
      <protection locked="true" hidden="false"/>
    </xf>
    <xf numFmtId="170" fontId="26" fillId="7" borderId="0" xfId="56" applyFont="true" applyBorder="true" applyAlignment="true" applyProtection="false">
      <alignment horizontal="center" vertical="center" textRotation="0" wrapText="false" indent="0" shrinkToFit="false"/>
      <protection locked="true" hidden="false"/>
    </xf>
    <xf numFmtId="170" fontId="26" fillId="7" borderId="0" xfId="43" applyFont="true" applyBorder="false" applyAlignment="true" applyProtection="false">
      <alignment horizontal="center" vertical="center" textRotation="0" wrapText="false" indent="0" shrinkToFit="false"/>
      <protection locked="true" hidden="false"/>
    </xf>
    <xf numFmtId="164" fontId="26" fillId="7" borderId="15" xfId="0" applyFont="true" applyBorder="true" applyAlignment="true" applyProtection="false">
      <alignment horizontal="general" vertical="bottom" textRotation="0" wrapText="false" indent="0" shrinkToFit="false"/>
      <protection locked="true" hidden="false"/>
    </xf>
    <xf numFmtId="171" fontId="26" fillId="7" borderId="15" xfId="0" applyFont="true" applyBorder="true" applyAlignment="true" applyProtection="false">
      <alignment horizontal="right" vertical="bottom" textRotation="0" wrapText="false" indent="0" shrinkToFit="false"/>
      <protection locked="true" hidden="false"/>
    </xf>
    <xf numFmtId="171" fontId="26" fillId="7" borderId="15" xfId="54" applyFont="true" applyBorder="true" applyAlignment="true" applyProtection="false">
      <alignment horizontal="right" vertical="bottom" textRotation="0" wrapText="false" indent="0" shrinkToFit="false"/>
      <protection locked="true" hidden="false"/>
    </xf>
    <xf numFmtId="171" fontId="26" fillId="7" borderId="0" xfId="0" applyFont="true" applyBorder="false" applyAlignment="true" applyProtection="false">
      <alignment horizontal="right" vertical="bottom" textRotation="0" wrapText="false" indent="0" shrinkToFit="false"/>
      <protection locked="true" hidden="false"/>
    </xf>
    <xf numFmtId="171" fontId="26" fillId="0" borderId="0" xfId="54" applyFont="true" applyBorder="false" applyAlignment="true" applyProtection="false">
      <alignment horizontal="right" vertical="bottom" textRotation="0" wrapText="false" indent="0" shrinkToFit="false"/>
      <protection locked="true" hidden="false"/>
    </xf>
    <xf numFmtId="164" fontId="27" fillId="15" borderId="0" xfId="0" applyFont="tru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left" vertical="bottom" textRotation="0" wrapText="true" indent="0" shrinkToFit="false" readingOrder="1"/>
      <protection locked="true" hidden="false"/>
    </xf>
    <xf numFmtId="164" fontId="30" fillId="0" borderId="0" xfId="0" applyFont="true" applyBorder="false" applyAlignment="true" applyProtection="false">
      <alignment horizontal="left" vertical="bottom" textRotation="0" wrapText="true" indent="0" shrinkToFit="false" readingOrder="1"/>
      <protection locked="true" hidden="false"/>
    </xf>
    <xf numFmtId="164" fontId="28" fillId="0" borderId="16" xfId="0" applyFont="true" applyBorder="true" applyAlignment="true" applyProtection="false">
      <alignment horizontal="general" vertical="bottom" textRotation="0" wrapText="false" indent="0" shrinkToFit="false"/>
      <protection locked="true" hidden="false"/>
    </xf>
    <xf numFmtId="164" fontId="6" fillId="0" borderId="16" xfId="0" applyFont="true" applyBorder="true" applyAlignment="true" applyProtection="false">
      <alignment horizontal="general" vertical="bottom" textRotation="0" wrapText="false" indent="0" shrinkToFit="false"/>
      <protection locked="true" hidden="false"/>
    </xf>
    <xf numFmtId="164" fontId="29" fillId="9" borderId="0" xfId="0" applyFont="true" applyBorder="false" applyAlignment="true" applyProtection="false">
      <alignment horizontal="left" vertical="bottom" textRotation="0" wrapText="true" indent="0" shrinkToFit="false" readingOrder="1"/>
      <protection locked="true" hidden="false"/>
    </xf>
    <xf numFmtId="164" fontId="30" fillId="9" borderId="0" xfId="0" applyFont="true" applyBorder="false" applyAlignment="true" applyProtection="false">
      <alignment horizontal="left" vertical="bottom" textRotation="0" wrapText="true" indent="0" shrinkToFit="false" readingOrder="1"/>
      <protection locked="true" hidden="false"/>
    </xf>
    <xf numFmtId="164" fontId="6" fillId="16" borderId="0" xfId="0" applyFont="true" applyBorder="false" applyAlignment="true" applyProtection="false">
      <alignment horizontal="general" vertical="bottom" textRotation="0" wrapText="false" indent="0" shrinkToFit="false"/>
      <protection locked="true" hidden="false"/>
    </xf>
    <xf numFmtId="164" fontId="31" fillId="14" borderId="0" xfId="0" applyFont="true" applyBorder="false" applyAlignment="true" applyProtection="false">
      <alignment horizontal="general" vertical="bottom" textRotation="0" wrapText="false" indent="0" shrinkToFit="false"/>
      <protection locked="true" hidden="false"/>
    </xf>
    <xf numFmtId="164" fontId="6" fillId="17" borderId="0" xfId="0" applyFont="true" applyBorder="false" applyAlignment="true" applyProtection="false">
      <alignment horizontal="general" vertical="bottom" textRotation="0" wrapText="false" indent="0" shrinkToFit="false"/>
      <protection locked="true" hidden="false"/>
    </xf>
    <xf numFmtId="164" fontId="31" fillId="17" borderId="0" xfId="0" applyFont="true" applyBorder="false" applyAlignment="true" applyProtection="false">
      <alignment horizontal="general" vertical="bottom" textRotation="0" wrapText="false" indent="0" shrinkToFit="false"/>
      <protection locked="true" hidden="false"/>
    </xf>
    <xf numFmtId="171" fontId="26" fillId="17" borderId="0" xfId="0" applyFont="true" applyBorder="false" applyAlignment="true" applyProtection="false">
      <alignment horizontal="right" vertical="bottom" textRotation="0" wrapText="false" indent="0" shrinkToFit="false"/>
      <protection locked="true" hidden="false"/>
    </xf>
    <xf numFmtId="164" fontId="6" fillId="18" borderId="0" xfId="0" applyFont="true" applyBorder="false" applyAlignment="true" applyProtection="false">
      <alignment horizontal="general" vertical="bottom" textRotation="0" wrapText="false" indent="0" shrinkToFit="false"/>
      <protection locked="true" hidden="false"/>
    </xf>
    <xf numFmtId="164" fontId="32" fillId="14" borderId="0" xfId="0" applyFont="true" applyBorder="false" applyAlignment="true" applyProtection="false">
      <alignment horizontal="general" vertical="bottom" textRotation="0" wrapText="false" indent="0" shrinkToFit="false"/>
      <protection locked="true" hidden="false"/>
    </xf>
    <xf numFmtId="165" fontId="16" fillId="11" borderId="0" xfId="39" applyFont="true" applyBorder="true" applyAlignment="true" applyProtection="false">
      <alignment horizontal="right" vertical="bottom" textRotation="0" wrapText="false" indent="0" shrinkToFit="false"/>
      <protection locked="true" hidden="false"/>
    </xf>
    <xf numFmtId="170" fontId="33" fillId="17" borderId="0" xfId="56" applyFont="true" applyBorder="true" applyAlignment="true" applyProtection="false">
      <alignment horizontal="right" vertical="bottom" textRotation="0" wrapText="false" indent="0" shrinkToFit="false"/>
      <protection locked="true" hidden="false"/>
    </xf>
    <xf numFmtId="170" fontId="31" fillId="17" borderId="0" xfId="56" applyFont="true" applyBorder="true" applyAlignment="true" applyProtection="false">
      <alignment horizontal="right" vertical="bottom" textRotation="0" wrapText="false" indent="0" shrinkToFit="false"/>
      <protection locked="true" hidden="false"/>
    </xf>
    <xf numFmtId="170" fontId="31" fillId="17" borderId="0" xfId="56" applyFont="true" applyBorder="true" applyAlignment="true" applyProtection="false">
      <alignment horizontal="left"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68" fontId="16" fillId="11" borderId="0" xfId="38" applyFont="true" applyBorder="true" applyAlignment="true" applyProtection="false">
      <alignment horizontal="left" vertical="bottom" textRotation="0" wrapText="false" indent="0" shrinkToFit="false"/>
      <protection locked="true" hidden="false"/>
    </xf>
    <xf numFmtId="168" fontId="16" fillId="11" borderId="0" xfId="38" applyFont="true" applyBorder="true" applyAlignment="true" applyProtection="false">
      <alignment horizontal="right" vertical="bottom" textRotation="0" wrapText="false" indent="0" shrinkToFit="false"/>
      <protection locked="true" hidden="false"/>
    </xf>
    <xf numFmtId="172" fontId="31" fillId="17" borderId="0" xfId="33" applyFont="true" applyBorder="true" applyAlignment="true" applyProtection="false">
      <alignment horizontal="right"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35" fillId="19" borderId="0" xfId="0" applyFont="true" applyBorder="false" applyAlignment="true" applyProtection="false">
      <alignment horizontal="general" vertical="bottom" textRotation="0" wrapText="false" indent="0" shrinkToFit="false"/>
      <protection locked="true" hidden="false"/>
    </xf>
    <xf numFmtId="166" fontId="16" fillId="11" borderId="0" xfId="36" applyFont="true" applyBorder="true" applyAlignment="true" applyProtection="false">
      <alignment horizontal="right" vertical="bottom" textRotation="0" wrapText="false" indent="0" shrinkToFit="false"/>
      <protection locked="true" hidden="false"/>
    </xf>
    <xf numFmtId="165" fontId="24" fillId="7" borderId="0" xfId="39" applyFont="true" applyBorder="true" applyAlignment="true" applyProtection="false">
      <alignment horizontal="right" vertical="bottom" textRotation="0" wrapText="false" indent="0" shrinkToFit="false"/>
      <protection locked="true" hidden="false"/>
    </xf>
    <xf numFmtId="164" fontId="36" fillId="0" borderId="0" xfId="0" applyFont="true" applyBorder="false" applyAlignment="true" applyProtection="false">
      <alignment horizontal="center" vertical="bottom" textRotation="0" wrapText="true" indent="0" shrinkToFit="false"/>
      <protection locked="true" hidden="false"/>
    </xf>
    <xf numFmtId="165" fontId="24" fillId="20" borderId="0" xfId="39" applyFont="true" applyBorder="true" applyAlignment="true" applyProtection="false">
      <alignment horizontal="right" vertical="bottom" textRotation="0" wrapText="false" indent="0" shrinkToFit="false"/>
      <protection locked="true" hidden="false"/>
    </xf>
    <xf numFmtId="164" fontId="27" fillId="19" borderId="0" xfId="0" applyFont="true" applyBorder="false" applyAlignment="true" applyProtection="false">
      <alignment horizontal="general" vertical="bottom" textRotation="0" wrapText="false" indent="0" shrinkToFit="false"/>
      <protection locked="true" hidden="false"/>
    </xf>
    <xf numFmtId="165" fontId="24" fillId="7" borderId="0" xfId="39" applyFont="true" applyBorder="true" applyAlignment="true" applyProtection="false">
      <alignment horizontal="left" vertical="bottom" textRotation="0" wrapText="false" indent="0" shrinkToFit="false"/>
      <protection locked="true" hidden="false"/>
    </xf>
    <xf numFmtId="164" fontId="31" fillId="7" borderId="0" xfId="0" applyFont="true" applyBorder="false" applyAlignment="true" applyProtection="false">
      <alignment horizontal="general" vertical="bottom" textRotation="0" wrapText="false" indent="0" shrinkToFit="false"/>
      <protection locked="true" hidden="false"/>
    </xf>
    <xf numFmtId="170" fontId="31" fillId="7" borderId="0" xfId="56" applyFont="true" applyBorder="true" applyAlignment="true" applyProtection="false">
      <alignment horizontal="right" vertical="bottom" textRotation="0" wrapText="false" indent="0" shrinkToFit="false"/>
      <protection locked="true" hidden="false"/>
    </xf>
    <xf numFmtId="170" fontId="31" fillId="21" borderId="0" xfId="43" applyFont="true" applyBorder="false" applyAlignment="true" applyProtection="false">
      <alignment horizontal="right" vertical="bottom" textRotation="0" wrapText="false" indent="0" shrinkToFit="false"/>
      <protection locked="true" hidden="false"/>
    </xf>
    <xf numFmtId="170" fontId="31" fillId="14" borderId="0" xfId="43" applyFont="true" applyBorder="false" applyAlignment="true" applyProtection="false">
      <alignment horizontal="right" vertical="bottom" textRotation="0" wrapText="false" indent="0" shrinkToFit="false"/>
      <protection locked="true" hidden="false"/>
    </xf>
    <xf numFmtId="170" fontId="31" fillId="22" borderId="0" xfId="45" applyFont="true" applyBorder="false" applyAlignment="true" applyProtection="false">
      <alignment horizontal="right" vertical="bottom" textRotation="0" wrapText="false" indent="0" shrinkToFit="false"/>
      <protection locked="true" hidden="false"/>
    </xf>
    <xf numFmtId="171" fontId="31" fillId="7" borderId="0" xfId="0" applyFont="true" applyBorder="false" applyAlignment="true" applyProtection="false">
      <alignment horizontal="right" vertical="bottom" textRotation="0" wrapText="false" indent="0" shrinkToFit="false"/>
      <protection locked="true" hidden="false"/>
    </xf>
    <xf numFmtId="164" fontId="37" fillId="23" borderId="0" xfId="0" applyFont="true" applyBorder="false" applyAlignment="true" applyProtection="false">
      <alignment horizontal="general" vertical="bottom" textRotation="0" wrapText="false" indent="0" shrinkToFit="false"/>
      <protection locked="true" hidden="false"/>
    </xf>
    <xf numFmtId="164" fontId="37" fillId="0" borderId="0" xfId="0" applyFont="true" applyBorder="false" applyAlignment="true" applyProtection="false">
      <alignment horizontal="general"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2" shrinkToFit="false"/>
      <protection locked="true" hidden="false"/>
    </xf>
    <xf numFmtId="170" fontId="38" fillId="7" borderId="0" xfId="56" applyFont="true" applyBorder="true" applyAlignment="true" applyProtection="false">
      <alignment horizontal="right" vertical="bottom" textRotation="0" wrapText="false" indent="0" shrinkToFit="false"/>
      <protection locked="true" hidden="false"/>
    </xf>
    <xf numFmtId="170" fontId="38" fillId="21" borderId="0" xfId="43" applyFont="true" applyBorder="false" applyAlignment="true" applyProtection="false">
      <alignment horizontal="right" vertical="bottom" textRotation="0" wrapText="false" indent="0" shrinkToFit="false"/>
      <protection locked="true" hidden="false"/>
    </xf>
    <xf numFmtId="170" fontId="38" fillId="14" borderId="0" xfId="43" applyFont="true" applyBorder="false" applyAlignment="true" applyProtection="false">
      <alignment horizontal="right" vertical="bottom" textRotation="0" wrapText="false" indent="0" shrinkToFit="false"/>
      <protection locked="true" hidden="false"/>
    </xf>
    <xf numFmtId="170" fontId="38" fillId="22" borderId="0" xfId="45" applyFont="true" applyBorder="false" applyAlignment="true" applyProtection="false">
      <alignment horizontal="right"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6" fillId="23" borderId="0" xfId="0" applyFont="true" applyBorder="false" applyAlignment="true" applyProtection="false">
      <alignment horizontal="general" vertical="bottom" textRotation="0" wrapText="false" indent="0" shrinkToFit="false"/>
      <protection locked="true" hidden="false"/>
    </xf>
    <xf numFmtId="164" fontId="32" fillId="7" borderId="14" xfId="0" applyFont="true" applyBorder="true" applyAlignment="true" applyProtection="false">
      <alignment horizontal="general" vertical="bottom" textRotation="0" wrapText="false" indent="0" shrinkToFit="false"/>
      <protection locked="true" hidden="false"/>
    </xf>
    <xf numFmtId="170" fontId="32" fillId="7" borderId="14" xfId="44" applyFont="true" applyBorder="true" applyAlignment="true" applyProtection="false">
      <alignment horizontal="general" vertical="bottom" textRotation="0" wrapText="false" indent="0" shrinkToFit="false"/>
      <protection locked="true" hidden="false"/>
    </xf>
    <xf numFmtId="170" fontId="32" fillId="21" borderId="14" xfId="46" applyFont="true" applyBorder="true" applyAlignment="true" applyProtection="false">
      <alignment horizontal="general" vertical="bottom" textRotation="0" wrapText="false" indent="0" shrinkToFit="false"/>
      <protection locked="true" hidden="false"/>
    </xf>
    <xf numFmtId="170" fontId="32" fillId="14" borderId="14" xfId="46" applyFont="true" applyBorder="true" applyAlignment="true" applyProtection="false">
      <alignment horizontal="general" vertical="bottom" textRotation="0" wrapText="false" indent="0" shrinkToFit="false"/>
      <protection locked="true" hidden="false"/>
    </xf>
    <xf numFmtId="170" fontId="32" fillId="22" borderId="14" xfId="47" applyFont="true" applyBorder="true" applyAlignment="true" applyProtection="false">
      <alignment horizontal="general" vertical="bottom" textRotation="0" wrapText="false" indent="0" shrinkToFit="false"/>
      <protection locked="true" hidden="false"/>
    </xf>
    <xf numFmtId="171" fontId="32" fillId="7" borderId="14" xfId="52" applyFont="true" applyBorder="true" applyAlignment="true" applyProtection="false">
      <alignment horizontal="right" vertical="bottom" textRotation="0" wrapText="false" indent="0" shrinkToFit="false"/>
      <protection locked="true" hidden="false"/>
    </xf>
    <xf numFmtId="170" fontId="7" fillId="7" borderId="0" xfId="56" applyFont="true" applyBorder="true" applyAlignment="true" applyProtection="false">
      <alignment horizontal="right" vertical="bottom" textRotation="0" wrapText="false" indent="0" shrinkToFit="false"/>
      <protection locked="true" hidden="false"/>
    </xf>
    <xf numFmtId="164" fontId="31" fillId="7" borderId="15" xfId="0" applyFont="true" applyBorder="true" applyAlignment="true" applyProtection="false">
      <alignment horizontal="general" vertical="bottom" textRotation="0" wrapText="false" indent="0" shrinkToFit="false"/>
      <protection locked="true" hidden="false"/>
    </xf>
    <xf numFmtId="170" fontId="31" fillId="7" borderId="15" xfId="56" applyFont="true" applyBorder="true" applyAlignment="true" applyProtection="false">
      <alignment horizontal="right" vertical="bottom" textRotation="0" wrapText="false" indent="0" shrinkToFit="false"/>
      <protection locked="true" hidden="false"/>
    </xf>
    <xf numFmtId="170" fontId="31" fillId="21" borderId="15" xfId="43" applyFont="true" applyBorder="true" applyAlignment="true" applyProtection="false">
      <alignment horizontal="right" vertical="bottom" textRotation="0" wrapText="false" indent="0" shrinkToFit="false"/>
      <protection locked="true" hidden="false"/>
    </xf>
    <xf numFmtId="170" fontId="31" fillId="14" borderId="15" xfId="43" applyFont="true" applyBorder="true" applyAlignment="true" applyProtection="false">
      <alignment horizontal="right" vertical="bottom" textRotation="0" wrapText="false" indent="0" shrinkToFit="false"/>
      <protection locked="true" hidden="false"/>
    </xf>
    <xf numFmtId="170" fontId="31" fillId="22" borderId="15" xfId="45" applyFont="true" applyBorder="true" applyAlignment="true" applyProtection="false">
      <alignment horizontal="right" vertical="bottom" textRotation="0" wrapText="false" indent="0" shrinkToFit="false"/>
      <protection locked="true" hidden="false"/>
    </xf>
    <xf numFmtId="171" fontId="31" fillId="7" borderId="15" xfId="0" applyFont="true" applyBorder="true" applyAlignment="true" applyProtection="false">
      <alignment horizontal="right" vertical="bottom" textRotation="0" wrapText="false" indent="0" shrinkToFit="false"/>
      <protection locked="true" hidden="false"/>
    </xf>
    <xf numFmtId="164" fontId="31" fillId="7" borderId="0" xfId="0" applyFont="true" applyBorder="false" applyAlignment="true" applyProtection="false">
      <alignment horizontal="left" vertical="bottom" textRotation="0" wrapText="false" indent="1" shrinkToFit="false"/>
      <protection locked="true" hidden="false"/>
    </xf>
    <xf numFmtId="164" fontId="38" fillId="7" borderId="15" xfId="0" applyFont="true" applyBorder="true" applyAlignment="true" applyProtection="false">
      <alignment horizontal="general" vertical="bottom" textRotation="0" wrapText="false" indent="2" shrinkToFit="false"/>
      <protection locked="true" hidden="false"/>
    </xf>
    <xf numFmtId="164" fontId="32" fillId="7" borderId="13" xfId="0" applyFont="true" applyBorder="true" applyAlignment="true" applyProtection="false">
      <alignment horizontal="general" vertical="bottom" textRotation="0" wrapText="false" indent="0" shrinkToFit="false"/>
      <protection locked="true" hidden="false"/>
    </xf>
    <xf numFmtId="170" fontId="32" fillId="7" borderId="13" xfId="44" applyFont="true" applyBorder="true" applyAlignment="true" applyProtection="false">
      <alignment horizontal="general" vertical="bottom" textRotation="0" wrapText="false" indent="0" shrinkToFit="false"/>
      <protection locked="true" hidden="false"/>
    </xf>
    <xf numFmtId="170" fontId="32" fillId="21" borderId="13" xfId="46" applyFont="true" applyBorder="true" applyAlignment="true" applyProtection="false">
      <alignment horizontal="general" vertical="bottom" textRotation="0" wrapText="false" indent="0" shrinkToFit="false"/>
      <protection locked="true" hidden="false"/>
    </xf>
    <xf numFmtId="170" fontId="32" fillId="14" borderId="13" xfId="46" applyFont="true" applyBorder="true" applyAlignment="true" applyProtection="false">
      <alignment horizontal="general" vertical="bottom" textRotation="0" wrapText="false" indent="0" shrinkToFit="false"/>
      <protection locked="true" hidden="false"/>
    </xf>
    <xf numFmtId="170" fontId="32" fillId="22" borderId="13" xfId="47" applyFont="true" applyBorder="true" applyAlignment="true" applyProtection="false">
      <alignment horizontal="general" vertical="bottom" textRotation="0" wrapText="false" indent="0" shrinkToFit="false"/>
      <protection locked="true" hidden="false"/>
    </xf>
    <xf numFmtId="171" fontId="32" fillId="7" borderId="13" xfId="53" applyFont="true" applyBorder="true" applyAlignment="true" applyProtection="false">
      <alignment horizontal="right"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70" fontId="7" fillId="21" borderId="0" xfId="43" applyFont="true" applyBorder="false" applyAlignment="true" applyProtection="false">
      <alignment horizontal="right" vertical="bottom" textRotation="0" wrapText="false" indent="0" shrinkToFit="false"/>
      <protection locked="true" hidden="false"/>
    </xf>
    <xf numFmtId="170" fontId="7" fillId="14" borderId="0" xfId="43" applyFont="true" applyBorder="false" applyAlignment="true" applyProtection="false">
      <alignment horizontal="right" vertical="bottom" textRotation="0" wrapText="false" indent="0" shrinkToFit="false"/>
      <protection locked="true" hidden="false"/>
    </xf>
    <xf numFmtId="170" fontId="7" fillId="22" borderId="0" xfId="45" applyFont="true" applyBorder="false" applyAlignment="true" applyProtection="false">
      <alignment horizontal="right" vertical="bottom" textRotation="0" wrapText="false" indent="0" shrinkToFit="false"/>
      <protection locked="true" hidden="false"/>
    </xf>
    <xf numFmtId="171" fontId="7" fillId="7" borderId="0" xfId="0" applyFont="true" applyBorder="false" applyAlignment="true" applyProtection="false">
      <alignment horizontal="right" vertical="bottom" textRotation="0" wrapText="false" indent="0" shrinkToFit="false"/>
      <protection locked="true" hidden="false"/>
    </xf>
    <xf numFmtId="164" fontId="39" fillId="7" borderId="0" xfId="0" applyFont="true" applyBorder="false" applyAlignment="true" applyProtection="false">
      <alignment horizontal="general" vertical="bottom" textRotation="0" wrapText="false" indent="0" shrinkToFit="false"/>
      <protection locked="true" hidden="false"/>
    </xf>
    <xf numFmtId="170" fontId="40" fillId="7" borderId="0" xfId="56" applyFont="true" applyBorder="true" applyAlignment="true" applyProtection="false">
      <alignment horizontal="right" vertical="bottom" textRotation="0" wrapText="false" indent="0" shrinkToFit="false"/>
      <protection locked="true" hidden="false"/>
    </xf>
    <xf numFmtId="170" fontId="40" fillId="21" borderId="0" xfId="43" applyFont="true" applyBorder="false" applyAlignment="true" applyProtection="false">
      <alignment horizontal="right" vertical="bottom" textRotation="0" wrapText="false" indent="0" shrinkToFit="false"/>
      <protection locked="true" hidden="false"/>
    </xf>
    <xf numFmtId="170" fontId="40" fillId="14" borderId="0" xfId="43" applyFont="true" applyBorder="false" applyAlignment="true" applyProtection="false">
      <alignment horizontal="right" vertical="bottom" textRotation="0" wrapText="false" indent="0" shrinkToFit="false"/>
      <protection locked="true" hidden="false"/>
    </xf>
    <xf numFmtId="170" fontId="40" fillId="22" borderId="0" xfId="45" applyFont="true" applyBorder="false" applyAlignment="true" applyProtection="false">
      <alignment horizontal="right" vertical="bottom" textRotation="0" wrapText="false" indent="0" shrinkToFit="false"/>
      <protection locked="true" hidden="false"/>
    </xf>
    <xf numFmtId="170" fontId="41" fillId="5" borderId="0" xfId="41" applyFont="true" applyBorder="true" applyAlignment="true" applyProtection="false">
      <alignment horizontal="general" vertical="bottom" textRotation="0" wrapText="false" indent="0" shrinkToFit="false"/>
      <protection locked="true" hidden="false"/>
    </xf>
    <xf numFmtId="170" fontId="41" fillId="5" borderId="0" xfId="42" applyFont="true" applyBorder="false" applyAlignment="true" applyProtection="false">
      <alignment horizontal="general" vertical="bottom" textRotation="0" wrapText="false" indent="0" shrinkToFit="false"/>
      <protection locked="true" hidden="false"/>
    </xf>
    <xf numFmtId="171" fontId="26" fillId="22" borderId="0" xfId="51" applyFont="true" applyBorder="false" applyAlignment="true" applyProtection="false">
      <alignment horizontal="right" vertical="bottom" textRotation="0" wrapText="false" indent="0" shrinkToFit="false"/>
      <protection locked="true" hidden="false"/>
    </xf>
    <xf numFmtId="171" fontId="9" fillId="7" borderId="0" xfId="0" applyFont="true" applyBorder="false" applyAlignment="true" applyProtection="false">
      <alignment horizontal="right" vertical="bottom" textRotation="0" wrapText="false" indent="0" shrinkToFit="false"/>
      <protection locked="true" hidden="false"/>
    </xf>
    <xf numFmtId="171" fontId="26" fillId="21" borderId="0" xfId="54" applyFont="true" applyBorder="false" applyAlignment="true" applyProtection="false">
      <alignment horizontal="right" vertical="bottom" textRotation="0" wrapText="false" indent="0" shrinkToFit="false"/>
      <protection locked="true" hidden="false"/>
    </xf>
    <xf numFmtId="171" fontId="26" fillId="14" borderId="0" xfId="54" applyFont="true" applyBorder="false" applyAlignment="true" applyProtection="false">
      <alignment horizontal="right"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71" fontId="39" fillId="7" borderId="0" xfId="0" applyFont="true" applyBorder="false" applyAlignment="true" applyProtection="false">
      <alignment horizontal="right" vertical="bottom" textRotation="0" wrapText="false" indent="0" shrinkToFit="false"/>
      <protection locked="true" hidden="false"/>
    </xf>
    <xf numFmtId="171" fontId="39" fillId="21" borderId="0" xfId="54" applyFont="true" applyBorder="false" applyAlignment="true" applyProtection="false">
      <alignment horizontal="right" vertical="bottom" textRotation="0" wrapText="false" indent="0" shrinkToFit="false"/>
      <protection locked="true" hidden="false"/>
    </xf>
    <xf numFmtId="171" fontId="39" fillId="14" borderId="0" xfId="54" applyFont="true" applyBorder="false" applyAlignment="true" applyProtection="false">
      <alignment horizontal="right" vertical="bottom" textRotation="0" wrapText="false" indent="0" shrinkToFit="false"/>
      <protection locked="true" hidden="false"/>
    </xf>
    <xf numFmtId="171" fontId="39" fillId="22" borderId="0" xfId="51" applyFont="true" applyBorder="false" applyAlignment="true" applyProtection="false">
      <alignment horizontal="right" vertical="bottom" textRotation="0" wrapText="false" indent="0" shrinkToFit="false"/>
      <protection locked="true" hidden="false"/>
    </xf>
    <xf numFmtId="171" fontId="26" fillId="0" borderId="15" xfId="54" applyFont="true" applyBorder="true" applyAlignment="true" applyProtection="false">
      <alignment horizontal="right" vertical="bottom" textRotation="0" wrapText="false" indent="0" shrinkToFit="false"/>
      <protection locked="true" hidden="false"/>
    </xf>
    <xf numFmtId="171" fontId="26" fillId="0" borderId="15" xfId="51" applyFont="true" applyBorder="true" applyAlignment="true" applyProtection="false">
      <alignment horizontal="right" vertical="bottom" textRotation="0" wrapText="false" indent="0" shrinkToFit="false"/>
      <protection locked="true" hidden="false"/>
    </xf>
    <xf numFmtId="171" fontId="7" fillId="7" borderId="15" xfId="0" applyFont="true" applyBorder="true" applyAlignment="true" applyProtection="false">
      <alignment horizontal="right" vertical="bottom" textRotation="0" wrapText="false" indent="0" shrinkToFit="false"/>
      <protection locked="true" hidden="false"/>
    </xf>
    <xf numFmtId="175" fontId="26" fillId="0" borderId="0" xfId="0" applyFont="true" applyBorder="false" applyAlignment="true" applyProtection="false">
      <alignment horizontal="left" vertical="center" textRotation="0" wrapText="false" indent="0" shrinkToFit="false"/>
      <protection locked="true" hidden="false"/>
    </xf>
    <xf numFmtId="170" fontId="41" fillId="0" borderId="0" xfId="0" applyFont="true" applyBorder="false" applyAlignment="true" applyProtection="false">
      <alignment horizontal="right" vertical="center" textRotation="0" wrapText="false" indent="0" shrinkToFit="false"/>
      <protection locked="true" hidden="false"/>
    </xf>
    <xf numFmtId="175" fontId="43" fillId="0" borderId="13" xfId="0" applyFont="true" applyBorder="true" applyAlignment="true" applyProtection="false">
      <alignment horizontal="left" vertical="center" textRotation="0" wrapText="false" indent="0" shrinkToFit="false"/>
      <protection locked="true" hidden="false"/>
    </xf>
    <xf numFmtId="175" fontId="43" fillId="0" borderId="8" xfId="0" applyFont="true" applyBorder="true" applyAlignment="true" applyProtection="false">
      <alignment horizontal="left" vertical="center" textRotation="0" wrapText="false" indent="0" shrinkToFit="false"/>
      <protection locked="true" hidden="false"/>
    </xf>
    <xf numFmtId="170" fontId="41" fillId="0" borderId="13" xfId="0" applyFont="true" applyBorder="true" applyAlignment="true" applyProtection="false">
      <alignment horizontal="right" vertical="center" textRotation="0" wrapText="false" indent="0" shrinkToFit="false"/>
      <protection locked="true" hidden="false"/>
    </xf>
    <xf numFmtId="167" fontId="16" fillId="11" borderId="0" xfId="37" applyFont="true" applyBorder="false" applyAlignment="true" applyProtection="false">
      <alignment horizontal="right" vertical="bottom" textRotation="0" wrapText="false" indent="0" shrinkToFit="false"/>
      <protection locked="true" hidden="false"/>
    </xf>
    <xf numFmtId="168" fontId="24" fillId="7" borderId="0" xfId="38" applyFont="true" applyBorder="true" applyAlignment="true" applyProtection="false">
      <alignment horizontal="right" vertical="bottom" textRotation="0" wrapText="false" indent="0" shrinkToFit="false"/>
      <protection locked="true" hidden="false"/>
    </xf>
    <xf numFmtId="168" fontId="24" fillId="7" borderId="0" xfId="38" applyFont="true" applyBorder="true" applyAlignment="true" applyProtection="false">
      <alignment horizontal="left" vertical="bottom" textRotation="0" wrapText="false" indent="0" shrinkToFit="false"/>
      <protection locked="true" hidden="false"/>
    </xf>
    <xf numFmtId="170" fontId="26" fillId="7" borderId="0" xfId="56" applyFont="true" applyBorder="true" applyAlignment="true" applyProtection="false">
      <alignment horizontal="right" vertical="bottom" textRotation="0" wrapText="false" indent="0" shrinkToFit="false"/>
      <protection locked="true" hidden="false"/>
    </xf>
    <xf numFmtId="170" fontId="26" fillId="14" borderId="0" xfId="43" applyFont="true" applyBorder="false" applyAlignment="true" applyProtection="false">
      <alignment horizontal="right" vertical="bottom" textRotation="0" wrapText="false" indent="0" shrinkToFit="false"/>
      <protection locked="true" hidden="false"/>
    </xf>
    <xf numFmtId="170" fontId="26" fillId="22" borderId="0" xfId="45" applyFont="true" applyBorder="false" applyAlignment="true" applyProtection="false">
      <alignment horizontal="right" vertical="bottom" textRotation="0" wrapText="false" indent="0" shrinkToFit="false"/>
      <protection locked="true" hidden="false"/>
    </xf>
    <xf numFmtId="170" fontId="26" fillId="7" borderId="15" xfId="56" applyFont="true" applyBorder="true" applyAlignment="true" applyProtection="false">
      <alignment horizontal="right" vertical="bottom" textRotation="0" wrapText="false" indent="0" shrinkToFit="false"/>
      <protection locked="true" hidden="false"/>
    </xf>
    <xf numFmtId="170" fontId="26" fillId="14" borderId="15" xfId="43" applyFont="true" applyBorder="true" applyAlignment="true" applyProtection="false">
      <alignment horizontal="right" vertical="bottom" textRotation="0" wrapText="false" indent="0" shrinkToFit="false"/>
      <protection locked="true" hidden="false"/>
    </xf>
    <xf numFmtId="170" fontId="26" fillId="22" borderId="15" xfId="45" applyFont="true" applyBorder="true" applyAlignment="true" applyProtection="false">
      <alignment horizontal="right" vertical="bottom" textRotation="0" wrapText="false" indent="0" shrinkToFit="false"/>
      <protection locked="true" hidden="false"/>
    </xf>
    <xf numFmtId="170" fontId="39" fillId="7" borderId="14" xfId="44" applyFont="true" applyBorder="true" applyAlignment="true" applyProtection="false">
      <alignment horizontal="general" vertical="bottom" textRotation="0" wrapText="false" indent="0" shrinkToFit="false"/>
      <protection locked="true" hidden="false"/>
    </xf>
    <xf numFmtId="170" fontId="39" fillId="14" borderId="14" xfId="46" applyFont="true" applyBorder="true" applyAlignment="true" applyProtection="false">
      <alignment horizontal="general" vertical="bottom" textRotation="0" wrapText="false" indent="0" shrinkToFit="false"/>
      <protection locked="true" hidden="false"/>
    </xf>
    <xf numFmtId="170" fontId="39" fillId="22" borderId="14" xfId="47" applyFont="true" applyBorder="true" applyAlignment="true" applyProtection="false">
      <alignment horizontal="general" vertical="bottom" textRotation="0" wrapText="false" indent="0" shrinkToFit="false"/>
      <protection locked="true" hidden="false"/>
    </xf>
    <xf numFmtId="170" fontId="39" fillId="7" borderId="0" xfId="56" applyFont="true" applyBorder="true" applyAlignment="true" applyProtection="false">
      <alignment horizontal="right" vertical="bottom" textRotation="0" wrapText="false" indent="0" shrinkToFit="false"/>
      <protection locked="true" hidden="false"/>
    </xf>
    <xf numFmtId="170" fontId="39" fillId="14" borderId="0" xfId="43" applyFont="true" applyBorder="false" applyAlignment="true" applyProtection="false">
      <alignment horizontal="right" vertical="bottom" textRotation="0" wrapText="false" indent="0" shrinkToFit="false"/>
      <protection locked="true" hidden="false"/>
    </xf>
    <xf numFmtId="170" fontId="39" fillId="22" borderId="0" xfId="45" applyFont="true" applyBorder="false" applyAlignment="true" applyProtection="false">
      <alignment horizontal="right" vertical="bottom" textRotation="0" wrapText="false" indent="0" shrinkToFit="false"/>
      <protection locked="true" hidden="false"/>
    </xf>
    <xf numFmtId="164" fontId="39" fillId="7" borderId="15" xfId="0" applyFont="true" applyBorder="true" applyAlignment="true" applyProtection="false">
      <alignment horizontal="general" vertical="bottom" textRotation="0" wrapText="false" indent="0" shrinkToFit="false"/>
      <protection locked="true" hidden="false"/>
    </xf>
    <xf numFmtId="170" fontId="39" fillId="7" borderId="15" xfId="56" applyFont="true" applyBorder="true" applyAlignment="true" applyProtection="false">
      <alignment horizontal="right" vertical="bottom" textRotation="0" wrapText="false" indent="0" shrinkToFit="false"/>
      <protection locked="true" hidden="false"/>
    </xf>
    <xf numFmtId="170" fontId="39" fillId="14" borderId="15" xfId="43" applyFont="true" applyBorder="true" applyAlignment="true" applyProtection="false">
      <alignment horizontal="right" vertical="bottom" textRotation="0" wrapText="false" indent="0" shrinkToFit="false"/>
      <protection locked="true" hidden="false"/>
    </xf>
    <xf numFmtId="170" fontId="39" fillId="22" borderId="15" xfId="45" applyFont="true" applyBorder="true" applyAlignment="true" applyProtection="false">
      <alignment horizontal="right" vertical="bottom" textRotation="0" wrapText="false" indent="0" shrinkToFit="false"/>
      <protection locked="true" hidden="false"/>
    </xf>
    <xf numFmtId="170" fontId="39" fillId="7" borderId="13" xfId="44" applyFont="true" applyBorder="true" applyAlignment="true" applyProtection="false">
      <alignment horizontal="general" vertical="bottom" textRotation="0" wrapText="false" indent="0" shrinkToFit="false"/>
      <protection locked="true" hidden="false"/>
    </xf>
    <xf numFmtId="170" fontId="39" fillId="14" borderId="13" xfId="46" applyFont="true" applyBorder="true" applyAlignment="true" applyProtection="false">
      <alignment horizontal="general" vertical="bottom" textRotation="0" wrapText="false" indent="0" shrinkToFit="false"/>
      <protection locked="true" hidden="false"/>
    </xf>
    <xf numFmtId="170" fontId="39" fillId="22" borderId="13" xfId="47" applyFont="true" applyBorder="true" applyAlignment="true" applyProtection="false">
      <alignment horizontal="general" vertical="bottom" textRotation="0" wrapText="false" indent="0" shrinkToFit="false"/>
      <protection locked="true" hidden="false"/>
    </xf>
    <xf numFmtId="170" fontId="39" fillId="7" borderId="0" xfId="44" applyFont="true" applyBorder="false" applyAlignment="true" applyProtection="false">
      <alignment horizontal="general" vertical="bottom" textRotation="0" wrapText="false" indent="0" shrinkToFit="false"/>
      <protection locked="true" hidden="false"/>
    </xf>
    <xf numFmtId="170" fontId="39" fillId="14" borderId="0" xfId="46" applyFont="true" applyBorder="true" applyAlignment="true" applyProtection="false">
      <alignment horizontal="general" vertical="bottom" textRotation="0" wrapText="false" indent="0" shrinkToFit="false"/>
      <protection locked="true" hidden="false"/>
    </xf>
    <xf numFmtId="170" fontId="39" fillId="22" borderId="0" xfId="47" applyFont="true" applyBorder="true" applyAlignment="true" applyProtection="false">
      <alignment horizontal="general" vertical="bottom" textRotation="0" wrapText="false" indent="0" shrinkToFit="false"/>
      <protection locked="true" hidden="false"/>
    </xf>
    <xf numFmtId="164" fontId="39" fillId="7" borderId="13" xfId="0" applyFont="true" applyBorder="true" applyAlignment="true" applyProtection="false">
      <alignment horizontal="general" vertical="bottom" textRotation="0" wrapText="false" indent="0" shrinkToFit="false"/>
      <protection locked="true" hidden="false"/>
    </xf>
    <xf numFmtId="170" fontId="39" fillId="7" borderId="13" xfId="48" applyFont="true" applyBorder="true" applyAlignment="true" applyProtection="false">
      <alignment horizontal="general" vertical="bottom" textRotation="0" wrapText="false" indent="0" shrinkToFit="false"/>
      <protection locked="true" hidden="false"/>
    </xf>
    <xf numFmtId="170" fontId="39" fillId="14" borderId="13" xfId="50" applyFont="true" applyBorder="true" applyAlignment="true" applyProtection="false">
      <alignment horizontal="general" vertical="bottom" textRotation="0" wrapText="false" indent="0" shrinkToFit="false"/>
      <protection locked="true" hidden="false"/>
    </xf>
    <xf numFmtId="170" fontId="39" fillId="22" borderId="13" xfId="49" applyFont="true" applyBorder="true" applyAlignment="tru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26" fillId="7" borderId="0" xfId="0" applyFont="true" applyBorder="false" applyAlignment="true" applyProtection="false">
      <alignment horizontal="left" vertical="bottom" textRotation="0" wrapText="false" indent="1" shrinkToFit="false"/>
      <protection locked="true" hidden="false"/>
    </xf>
    <xf numFmtId="164" fontId="6" fillId="24" borderId="0" xfId="0" applyFont="true" applyBorder="false" applyAlignment="true" applyProtection="false">
      <alignment horizontal="general" vertical="bottom" textRotation="0" wrapText="false" indent="0" shrinkToFit="false"/>
      <protection locked="true" hidden="false"/>
    </xf>
    <xf numFmtId="164" fontId="26" fillId="7" borderId="15" xfId="0" applyFont="true" applyBorder="true" applyAlignment="true" applyProtection="false">
      <alignment horizontal="left" vertical="bottom" textRotation="0" wrapText="false" indent="1" shrinkToFit="false"/>
      <protection locked="true" hidden="false"/>
    </xf>
    <xf numFmtId="170" fontId="41" fillId="5" borderId="15" xfId="41" applyFont="true" applyBorder="true" applyAlignment="true" applyProtection="false">
      <alignment horizontal="general" vertical="bottom" textRotation="0" wrapText="false" indent="0" shrinkToFit="false"/>
      <protection locked="true" hidden="false"/>
    </xf>
    <xf numFmtId="170" fontId="26" fillId="7" borderId="15" xfId="43" applyFont="true" applyBorder="true" applyAlignment="true" applyProtection="false">
      <alignment horizontal="right" vertical="bottom" textRotation="0" wrapText="false" indent="0" shrinkToFit="false"/>
      <protection locked="true" hidden="false"/>
    </xf>
    <xf numFmtId="170" fontId="26" fillId="7" borderId="15" xfId="45" applyFont="true" applyBorder="true" applyAlignment="true" applyProtection="false">
      <alignment horizontal="right" vertical="bottom" textRotation="0" wrapText="false" indent="0" shrinkToFit="false"/>
      <protection locked="true" hidden="false"/>
    </xf>
    <xf numFmtId="164" fontId="44" fillId="9" borderId="0" xfId="0" applyFont="true" applyBorder="false" applyAlignment="true" applyProtection="false">
      <alignment horizontal="general" vertical="bottom" textRotation="0" wrapText="false" indent="0" shrinkToFit="false"/>
      <protection locked="true" hidden="false"/>
    </xf>
    <xf numFmtId="170" fontId="43" fillId="5" borderId="0" xfId="41" applyFont="true" applyBorder="true" applyAlignment="true" applyProtection="false">
      <alignment horizontal="general" vertical="bottom" textRotation="0" wrapText="false" indent="0" shrinkToFit="false"/>
      <protection locked="true" hidden="false"/>
    </xf>
    <xf numFmtId="170" fontId="39" fillId="21" borderId="0" xfId="43" applyFont="true" applyBorder="false" applyAlignment="true" applyProtection="false">
      <alignment horizontal="right" vertical="bottom" textRotation="0" wrapText="false" indent="0" shrinkToFit="false"/>
      <protection locked="true" hidden="false"/>
    </xf>
    <xf numFmtId="170" fontId="26" fillId="7" borderId="0" xfId="56" applyFont="true" applyBorder="true" applyAlignment="true" applyProtection="false">
      <alignment horizontal="left" vertical="bottom" textRotation="0" wrapText="false" indent="0" shrinkToFit="false"/>
      <protection locked="true" hidden="false"/>
    </xf>
    <xf numFmtId="170" fontId="26" fillId="21" borderId="0" xfId="43" applyFont="true" applyBorder="false" applyAlignment="true" applyProtection="false">
      <alignment horizontal="right" vertical="bottom" textRotation="0" wrapText="false" indent="0" shrinkToFit="false"/>
      <protection locked="true" hidden="false"/>
    </xf>
    <xf numFmtId="170" fontId="26" fillId="21" borderId="15" xfId="43" applyFont="true" applyBorder="true" applyAlignment="true" applyProtection="false">
      <alignment horizontal="right" vertical="bottom" textRotation="0" wrapText="false" indent="0" shrinkToFit="false"/>
      <protection locked="true" hidden="false"/>
    </xf>
    <xf numFmtId="170" fontId="41" fillId="5" borderId="14" xfId="41" applyFont="true" applyBorder="true" applyAlignment="true" applyProtection="false">
      <alignment horizontal="general" vertical="bottom" textRotation="0" wrapText="false" indent="0" shrinkToFit="false"/>
      <protection locked="true" hidden="false"/>
    </xf>
    <xf numFmtId="170" fontId="39" fillId="21" borderId="14" xfId="46" applyFont="true" applyBorder="true" applyAlignment="true" applyProtection="false">
      <alignment horizontal="general" vertical="bottom" textRotation="0" wrapText="false" indent="0" shrinkToFit="false"/>
      <protection locked="true" hidden="false"/>
    </xf>
    <xf numFmtId="170" fontId="41" fillId="5" borderId="13" xfId="41" applyFont="true" applyBorder="true" applyAlignment="true" applyProtection="false">
      <alignment horizontal="general" vertical="bottom" textRotation="0" wrapText="false" indent="0" shrinkToFit="false"/>
      <protection locked="true" hidden="false"/>
    </xf>
    <xf numFmtId="170" fontId="39" fillId="21" borderId="13" xfId="46" applyFont="true" applyBorder="true" applyAlignment="true" applyProtection="false">
      <alignment horizontal="general" vertical="bottom" textRotation="0" wrapText="false" indent="0" shrinkToFit="false"/>
      <protection locked="true" hidden="false"/>
    </xf>
    <xf numFmtId="170" fontId="39" fillId="21" borderId="0" xfId="46" applyFont="true" applyBorder="true" applyAlignment="true" applyProtection="false">
      <alignment horizontal="general" vertical="bottom"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70" fontId="26" fillId="9" borderId="15" xfId="43" applyFont="true" applyBorder="true" applyAlignment="true" applyProtection="false">
      <alignment horizontal="right" vertical="bottom" textRotation="0" wrapText="false" indent="0" shrinkToFit="false"/>
      <protection locked="true" hidden="false"/>
    </xf>
    <xf numFmtId="170" fontId="39" fillId="7" borderId="15" xfId="44" applyFont="true" applyBorder="true" applyAlignment="true" applyProtection="false">
      <alignment horizontal="general" vertical="bottom" textRotation="0" wrapText="false" indent="0" shrinkToFit="false"/>
      <protection locked="true" hidden="false"/>
    </xf>
    <xf numFmtId="170" fontId="39" fillId="21" borderId="15" xfId="46" applyFont="true" applyBorder="true" applyAlignment="true" applyProtection="false">
      <alignment horizontal="general" vertical="bottom" textRotation="0" wrapText="false" indent="0" shrinkToFit="false"/>
      <protection locked="true" hidden="false"/>
    </xf>
    <xf numFmtId="170" fontId="39" fillId="14" borderId="15" xfId="46" applyFont="true" applyBorder="true" applyAlignment="true" applyProtection="false">
      <alignment horizontal="general" vertical="bottom" textRotation="0" wrapText="false" indent="0" shrinkToFit="false"/>
      <protection locked="true" hidden="false"/>
    </xf>
    <xf numFmtId="170" fontId="39" fillId="22" borderId="15" xfId="49" applyFont="true" applyBorder="true" applyAlignment="true" applyProtection="false">
      <alignment horizontal="general" vertical="bottom" textRotation="0" wrapText="false" indent="0" shrinkToFit="false"/>
      <protection locked="true" hidden="false"/>
    </xf>
    <xf numFmtId="170" fontId="26" fillId="9" borderId="0" xfId="43" applyFont="true" applyBorder="false" applyAlignment="true" applyProtection="false">
      <alignment horizontal="right" vertical="bottom" textRotation="0" wrapText="false" indent="0" shrinkToFit="false"/>
      <protection locked="true" hidden="false"/>
    </xf>
    <xf numFmtId="170" fontId="39" fillId="7" borderId="15" xfId="48" applyFont="true" applyBorder="true" applyAlignment="true" applyProtection="false">
      <alignment horizontal="general" vertical="bottom" textRotation="0" wrapText="false" indent="0" shrinkToFit="false"/>
      <protection locked="true" hidden="false"/>
    </xf>
    <xf numFmtId="170" fontId="39" fillId="7" borderId="0" xfId="48" applyFont="true" applyBorder="false" applyAlignment="true" applyProtection="false">
      <alignment horizontal="general" vertical="bottom" textRotation="0" wrapText="false" indent="0" shrinkToFit="false"/>
      <protection locked="true" hidden="false"/>
    </xf>
    <xf numFmtId="170" fontId="39" fillId="22" borderId="0" xfId="49" applyFont="true" applyBorder="false" applyAlignment="true" applyProtection="false">
      <alignment horizontal="general" vertical="bottom" textRotation="0" wrapText="false" indent="0" shrinkToFit="false"/>
      <protection locked="true" hidden="false"/>
    </xf>
    <xf numFmtId="176" fontId="26" fillId="7" borderId="0" xfId="0" applyFont="true" applyBorder="false" applyAlignment="true" applyProtection="false">
      <alignment horizontal="right" vertical="bottom" textRotation="0" wrapText="false" indent="0" shrinkToFit="false"/>
      <protection locked="true" hidden="false"/>
    </xf>
    <xf numFmtId="176" fontId="26" fillId="21" borderId="0" xfId="0" applyFont="true" applyBorder="false" applyAlignment="true" applyProtection="false">
      <alignment horizontal="right" vertical="bottom" textRotation="0" wrapText="false" indent="0" shrinkToFit="false"/>
      <protection locked="true" hidden="false"/>
    </xf>
    <xf numFmtId="176" fontId="26" fillId="14" borderId="0" xfId="0" applyFont="true" applyBorder="false" applyAlignment="true" applyProtection="false">
      <alignment horizontal="right" vertical="bottom" textRotation="0" wrapText="false" indent="0" shrinkToFit="false"/>
      <protection locked="true" hidden="false"/>
    </xf>
    <xf numFmtId="176" fontId="26" fillId="22" borderId="0" xfId="0" applyFont="true" applyBorder="false" applyAlignment="true" applyProtection="false">
      <alignment horizontal="right" vertical="bottom" textRotation="0" wrapText="false" indent="0" shrinkToFit="false"/>
      <protection locked="true" hidden="false"/>
    </xf>
    <xf numFmtId="177" fontId="41" fillId="0" borderId="13" xfId="0" applyFont="true" applyBorder="true" applyAlignment="true" applyProtection="false">
      <alignment horizontal="right" vertical="center" textRotation="0" wrapText="false" indent="0" shrinkToFit="false"/>
      <protection locked="true" hidden="false"/>
    </xf>
    <xf numFmtId="164" fontId="41" fillId="0" borderId="13" xfId="0" applyFont="true" applyBorder="true" applyAlignment="true" applyProtection="false">
      <alignment horizontal="right" vertical="center" textRotation="0" wrapText="false" indent="0" shrinkToFit="false"/>
      <protection locked="true" hidden="false"/>
    </xf>
    <xf numFmtId="178" fontId="6" fillId="0" borderId="0" xfId="0" applyFont="true" applyBorder="false" applyAlignment="true" applyProtection="false">
      <alignment horizontal="general" vertical="bottom" textRotation="0" wrapText="false" indent="0" shrinkToFit="false"/>
      <protection locked="true" hidden="false"/>
    </xf>
    <xf numFmtId="166" fontId="5" fillId="20" borderId="0" xfId="36" applyFont="true" applyBorder="true" applyAlignment="true" applyProtection="false">
      <alignment horizontal="left" vertical="bottom" textRotation="0" wrapText="false" indent="0" shrinkToFit="false"/>
      <protection locked="true" hidden="false"/>
    </xf>
    <xf numFmtId="166" fontId="5" fillId="20" borderId="0" xfId="36" applyFont="true" applyBorder="true" applyAlignment="true" applyProtection="false">
      <alignment horizontal="right" vertical="bottom" textRotation="0" wrapText="false" indent="0" shrinkToFit="false"/>
      <protection locked="true" hidden="false"/>
    </xf>
    <xf numFmtId="166" fontId="16" fillId="11" borderId="17" xfId="36" applyFont="true" applyBorder="true" applyAlignment="true" applyProtection="false">
      <alignment horizontal="center" vertical="bottom" textRotation="0" wrapText="false" indent="0" shrinkToFit="false"/>
      <protection locked="true" hidden="false"/>
    </xf>
    <xf numFmtId="166" fontId="5" fillId="20" borderId="0" xfId="36" applyFont="true" applyBorder="true" applyAlignment="true" applyProtection="false">
      <alignment horizontal="center" vertical="bottom" textRotation="0" wrapText="false" indent="0" shrinkToFit="false"/>
      <protection locked="true" hidden="false"/>
    </xf>
    <xf numFmtId="167" fontId="5" fillId="20" borderId="17" xfId="37" applyFont="true" applyBorder="true" applyAlignment="true" applyProtection="false">
      <alignment horizontal="center" vertical="bottom" textRotation="0" wrapText="false" indent="0" shrinkToFit="false"/>
      <protection locked="true" hidden="false"/>
    </xf>
    <xf numFmtId="167" fontId="5" fillId="20" borderId="0" xfId="37" applyFont="true" applyBorder="false" applyAlignment="true" applyProtection="false">
      <alignment horizontal="right" vertical="bottom" textRotation="0" wrapText="false" indent="0" shrinkToFit="false"/>
      <protection locked="true" hidden="false"/>
    </xf>
    <xf numFmtId="165" fontId="24" fillId="0" borderId="0" xfId="39" applyFont="true" applyBorder="true" applyAlignment="true" applyProtection="false">
      <alignment horizontal="right" vertical="bottom" textRotation="0" wrapText="false" indent="0" shrinkToFit="false"/>
      <protection locked="true" hidden="false"/>
    </xf>
    <xf numFmtId="165" fontId="5" fillId="20" borderId="0" xfId="39" applyFont="true" applyBorder="true" applyAlignment="true" applyProtection="false">
      <alignment horizontal="right" vertical="bottom" textRotation="0" wrapText="false" indent="0" shrinkToFit="false"/>
      <protection locked="true" hidden="false"/>
    </xf>
    <xf numFmtId="165" fontId="5" fillId="20" borderId="0" xfId="39" applyFont="true" applyBorder="true" applyAlignment="true" applyProtection="false">
      <alignment horizontal="left" vertical="bottom" textRotation="0" wrapText="false" indent="0" shrinkToFit="false"/>
      <protection locked="true" hidden="false"/>
    </xf>
    <xf numFmtId="165" fontId="5" fillId="20" borderId="17" xfId="39" applyFont="true" applyBorder="true" applyAlignment="true" applyProtection="false">
      <alignment horizontal="center" vertical="bottom" textRotation="0" wrapText="false" indent="0" shrinkToFit="false"/>
      <protection locked="true" hidden="false"/>
    </xf>
    <xf numFmtId="168" fontId="5" fillId="20" borderId="17" xfId="38" applyFont="true" applyBorder="true" applyAlignment="true" applyProtection="false">
      <alignment horizontal="center" vertical="bottom" textRotation="0" wrapText="false" indent="0" shrinkToFit="false"/>
      <protection locked="true" hidden="false"/>
    </xf>
    <xf numFmtId="166" fontId="24" fillId="0" borderId="0" xfId="36" applyFont="true" applyBorder="true" applyAlignment="true" applyProtection="false">
      <alignment horizontal="right" vertical="bottom" textRotation="0" wrapText="false" indent="0" shrinkToFit="false"/>
      <protection locked="true" hidden="false"/>
    </xf>
    <xf numFmtId="170" fontId="32" fillId="7" borderId="0" xfId="56" applyFont="true" applyBorder="true" applyAlignment="true" applyProtection="false">
      <alignment horizontal="right" vertical="bottom" textRotation="0" wrapText="false" indent="0" shrinkToFit="false"/>
      <protection locked="true" hidden="false"/>
    </xf>
    <xf numFmtId="165" fontId="45" fillId="7" borderId="0" xfId="39" applyFont="true" applyBorder="true" applyAlignment="true" applyProtection="false">
      <alignment horizontal="left" vertical="bottom" textRotation="0" wrapText="false" indent="0" shrinkToFit="false"/>
      <protection locked="true" hidden="false"/>
    </xf>
    <xf numFmtId="170" fontId="31" fillId="0" borderId="0" xfId="56" applyFont="true" applyBorder="true" applyAlignment="true" applyProtection="false">
      <alignment horizontal="right" vertical="bottom" textRotation="0" wrapText="false" indent="0" shrinkToFit="false"/>
      <protection locked="true" hidden="false"/>
    </xf>
    <xf numFmtId="164" fontId="46" fillId="7" borderId="0" xfId="0" applyFont="true" applyBorder="false" applyAlignment="true" applyProtection="false">
      <alignment horizontal="general" vertical="bottom" textRotation="0" wrapText="false" indent="0" shrinkToFit="false"/>
      <protection locked="true" hidden="false"/>
    </xf>
    <xf numFmtId="170" fontId="46" fillId="7" borderId="0" xfId="56" applyFont="true" applyBorder="true" applyAlignment="true" applyProtection="false">
      <alignment horizontal="right" vertical="bottom" textRotation="0" wrapText="false" indent="0" shrinkToFit="false"/>
      <protection locked="true" hidden="false"/>
    </xf>
    <xf numFmtId="170" fontId="46" fillId="14" borderId="0" xfId="56" applyFont="true" applyBorder="true" applyAlignment="true" applyProtection="false">
      <alignment horizontal="right" vertical="bottom" textRotation="0" wrapText="false" indent="0" shrinkToFit="false"/>
      <protection locked="true" hidden="false"/>
    </xf>
    <xf numFmtId="170" fontId="32" fillId="14" borderId="0" xfId="56" applyFont="true" applyBorder="true" applyAlignment="true" applyProtection="false">
      <alignment horizontal="right" vertical="bottom" textRotation="0" wrapText="false" indent="0" shrinkToFit="false"/>
      <protection locked="true" hidden="false"/>
    </xf>
    <xf numFmtId="170" fontId="46" fillId="21" borderId="0" xfId="56" applyFont="true" applyBorder="true" applyAlignment="true" applyProtection="false">
      <alignment horizontal="right" vertical="bottom" textRotation="0" wrapText="false" indent="0" shrinkToFit="false"/>
      <protection locked="true" hidden="false"/>
    </xf>
    <xf numFmtId="170" fontId="31" fillId="21" borderId="0" xfId="56" applyFont="true" applyBorder="true" applyAlignment="true" applyProtection="false">
      <alignment horizontal="right" vertical="bottom" textRotation="0" wrapText="false" indent="0" shrinkToFit="false"/>
      <protection locked="true" hidden="false"/>
    </xf>
    <xf numFmtId="170" fontId="32" fillId="7" borderId="0" xfId="43" applyFont="true" applyBorder="false" applyAlignment="true" applyProtection="false">
      <alignment horizontal="right" vertical="bottom" textRotation="0" wrapText="false" indent="0" shrinkToFit="false"/>
      <protection locked="true" hidden="false"/>
    </xf>
    <xf numFmtId="170" fontId="47" fillId="22" borderId="0" xfId="43" applyFont="true" applyBorder="false" applyAlignment="true" applyProtection="false">
      <alignment horizontal="right" vertical="bottom" textRotation="0" wrapText="false" indent="0" shrinkToFit="false"/>
      <protection locked="true" hidden="false"/>
    </xf>
    <xf numFmtId="170" fontId="32" fillId="22" borderId="0" xfId="43" applyFont="true" applyBorder="false" applyAlignment="true" applyProtection="false">
      <alignment horizontal="right" vertical="bottom" textRotation="0" wrapText="false" indent="0" shrinkToFit="false"/>
      <protection locked="true" hidden="false"/>
    </xf>
    <xf numFmtId="164" fontId="48" fillId="0" borderId="0" xfId="0" applyFont="true" applyBorder="false" applyAlignment="true" applyProtection="false">
      <alignment horizontal="right" vertical="bottom" textRotation="0" wrapText="false" indent="0" shrinkToFit="false"/>
      <protection locked="true" hidden="false"/>
    </xf>
    <xf numFmtId="170" fontId="46" fillId="22" borderId="0" xfId="43" applyFont="true" applyBorder="false" applyAlignment="true" applyProtection="false">
      <alignment horizontal="right" vertical="bottom" textRotation="0" wrapText="false" indent="0" shrinkToFit="false"/>
      <protection locked="true" hidden="false"/>
    </xf>
    <xf numFmtId="179" fontId="6" fillId="13" borderId="0" xfId="40" applyFont="true" applyBorder="false" applyAlignment="true" applyProtection="false">
      <alignment horizontal="general" vertical="bottom" textRotation="0" wrapText="false" indent="0" shrinkToFit="false"/>
      <protection locked="true" hidden="false"/>
    </xf>
    <xf numFmtId="179" fontId="6" fillId="0" borderId="0" xfId="40" applyFont="true" applyBorder="false" applyAlignment="true" applyProtection="false">
      <alignment horizontal="general" vertical="bottom" textRotation="0" wrapText="false" indent="0" shrinkToFit="false"/>
      <protection locked="true" hidden="false"/>
    </xf>
    <xf numFmtId="170" fontId="46" fillId="14" borderId="0" xfId="43" applyFont="true" applyBorder="false" applyAlignment="true" applyProtection="false">
      <alignment horizontal="right" vertical="bottom" textRotation="0" wrapText="false" indent="0" shrinkToFit="false"/>
      <protection locked="true" hidden="false"/>
    </xf>
    <xf numFmtId="170" fontId="31" fillId="7" borderId="0" xfId="43" applyFont="true" applyBorder="false" applyAlignment="true" applyProtection="false">
      <alignment horizontal="right" vertical="bottom" textRotation="0" wrapText="false" indent="0" shrinkToFit="false"/>
      <protection locked="true" hidden="false"/>
    </xf>
    <xf numFmtId="170" fontId="47" fillId="7" borderId="0" xfId="56" applyFont="true" applyBorder="true" applyAlignment="true" applyProtection="false">
      <alignment horizontal="right" vertical="bottom" textRotation="0" wrapText="false" indent="0" shrinkToFit="false"/>
      <protection locked="true" hidden="false"/>
    </xf>
    <xf numFmtId="170" fontId="47" fillId="14" borderId="0" xfId="43" applyFont="true" applyBorder="false" applyAlignment="true" applyProtection="false">
      <alignment horizontal="right" vertical="bottom" textRotation="0" wrapText="false" indent="0" shrinkToFit="false"/>
      <protection locked="true" hidden="false"/>
    </xf>
    <xf numFmtId="164" fontId="31" fillId="7" borderId="13" xfId="0" applyFont="true" applyBorder="true" applyAlignment="true" applyProtection="false">
      <alignment horizontal="general" vertical="bottom" textRotation="0" wrapText="false" indent="0" shrinkToFit="false"/>
      <protection locked="true" hidden="false"/>
    </xf>
    <xf numFmtId="164" fontId="46" fillId="7" borderId="13" xfId="0" applyFont="true" applyBorder="true" applyAlignment="true" applyProtection="false">
      <alignment horizontal="general" vertical="bottom" textRotation="0" wrapText="false" indent="0" shrinkToFit="false"/>
      <protection locked="true" hidden="false"/>
    </xf>
    <xf numFmtId="170" fontId="46" fillId="7" borderId="13" xfId="56" applyFont="true" applyBorder="true" applyAlignment="true" applyProtection="false">
      <alignment horizontal="right" vertical="bottom" textRotation="0" wrapText="false" indent="0" shrinkToFit="false"/>
      <protection locked="true" hidden="false"/>
    </xf>
    <xf numFmtId="170" fontId="31" fillId="7" borderId="13" xfId="56" applyFont="true" applyBorder="true" applyAlignment="true" applyProtection="false">
      <alignment horizontal="right" vertical="bottom" textRotation="0" wrapText="false" indent="0" shrinkToFit="false"/>
      <protection locked="true" hidden="false"/>
    </xf>
    <xf numFmtId="170" fontId="31" fillId="0" borderId="13" xfId="56" applyFont="true" applyBorder="true" applyAlignment="true" applyProtection="false">
      <alignment horizontal="right" vertical="bottom" textRotation="0" wrapText="false" indent="0" shrinkToFit="false"/>
      <protection locked="true" hidden="false"/>
    </xf>
    <xf numFmtId="170" fontId="31" fillId="21" borderId="13" xfId="56" applyFont="true" applyBorder="true" applyAlignment="true" applyProtection="false">
      <alignment horizontal="right" vertical="bottom" textRotation="0" wrapText="false" indent="0" shrinkToFit="false"/>
      <protection locked="true" hidden="false"/>
    </xf>
    <xf numFmtId="170" fontId="46" fillId="21" borderId="13" xfId="56" applyFont="true" applyBorder="true" applyAlignment="true" applyProtection="false">
      <alignment horizontal="right" vertical="bottom" textRotation="0" wrapText="false" indent="0" shrinkToFit="false"/>
      <protection locked="true" hidden="false"/>
    </xf>
    <xf numFmtId="170" fontId="31" fillId="7" borderId="13" xfId="43" applyFont="true" applyBorder="true" applyAlignment="true" applyProtection="false">
      <alignment horizontal="right" vertical="bottom" textRotation="0" wrapText="false" indent="0" shrinkToFit="false"/>
      <protection locked="true" hidden="false"/>
    </xf>
    <xf numFmtId="170" fontId="31" fillId="14" borderId="13" xfId="43" applyFont="true" applyBorder="true" applyAlignment="true" applyProtection="false">
      <alignment horizontal="right" vertical="bottom" textRotation="0" wrapText="false" indent="0" shrinkToFit="false"/>
      <protection locked="true" hidden="false"/>
    </xf>
    <xf numFmtId="170" fontId="46" fillId="14" borderId="13" xfId="56" applyFont="true" applyBorder="true" applyAlignment="true" applyProtection="false">
      <alignment horizontal="right" vertical="bottom" textRotation="0" wrapText="false" indent="0" shrinkToFit="false"/>
      <protection locked="true" hidden="false"/>
    </xf>
    <xf numFmtId="164" fontId="6" fillId="21" borderId="0" xfId="0" applyFont="true" applyBorder="false" applyAlignment="true" applyProtection="false">
      <alignment horizontal="general" vertical="bottom" textRotation="0" wrapText="false" indent="0" shrinkToFit="false"/>
      <protection locked="true" hidden="false"/>
    </xf>
    <xf numFmtId="170" fontId="31" fillId="14" borderId="0" xfId="56" applyFont="true" applyBorder="true" applyAlignment="true" applyProtection="false">
      <alignment horizontal="right" vertical="bottom" textRotation="0" wrapText="false" indent="0" shrinkToFit="false"/>
      <protection locked="true" hidden="false"/>
    </xf>
    <xf numFmtId="164" fontId="32" fillId="7" borderId="18" xfId="0" applyFont="true" applyBorder="true" applyAlignment="true" applyProtection="false">
      <alignment horizontal="general" vertical="bottom" textRotation="0" wrapText="false" indent="0" shrinkToFit="false"/>
      <protection locked="true" hidden="false"/>
    </xf>
    <xf numFmtId="170" fontId="32" fillId="7" borderId="18" xfId="56" applyFont="true" applyBorder="true" applyAlignment="true" applyProtection="false">
      <alignment horizontal="right" vertical="bottom" textRotation="0" wrapText="false" indent="0" shrinkToFit="false"/>
      <protection locked="true" hidden="false"/>
    </xf>
    <xf numFmtId="170" fontId="32" fillId="21" borderId="18" xfId="56" applyFont="true" applyBorder="true" applyAlignment="true" applyProtection="false">
      <alignment horizontal="right" vertical="bottom" textRotation="0" wrapText="false" indent="0" shrinkToFit="false"/>
      <protection locked="true" hidden="false"/>
    </xf>
    <xf numFmtId="170" fontId="32" fillId="7" borderId="18" xfId="43" applyFont="true" applyBorder="true" applyAlignment="true" applyProtection="false">
      <alignment horizontal="right" vertical="bottom" textRotation="0" wrapText="false" indent="0" shrinkToFit="false"/>
      <protection locked="true" hidden="false"/>
    </xf>
    <xf numFmtId="170" fontId="32" fillId="14" borderId="18" xfId="43" applyFont="true" applyBorder="true" applyAlignment="true" applyProtection="false">
      <alignment horizontal="right" vertical="bottom" textRotation="0" wrapText="false" indent="0" shrinkToFit="false"/>
      <protection locked="true" hidden="false"/>
    </xf>
    <xf numFmtId="176" fontId="31" fillId="9" borderId="0" xfId="0" applyFont="true" applyBorder="false" applyAlignment="true" applyProtection="false">
      <alignment horizontal="right" vertical="bottom" textRotation="0" wrapText="false" indent="0" shrinkToFit="false"/>
      <protection locked="true" hidden="false"/>
    </xf>
    <xf numFmtId="176" fontId="31" fillId="7" borderId="0" xfId="0" applyFont="true" applyBorder="false" applyAlignment="true" applyProtection="false">
      <alignment horizontal="right" vertical="bottom" textRotation="0" wrapText="false" indent="0" shrinkToFit="false"/>
      <protection locked="true" hidden="false"/>
    </xf>
    <xf numFmtId="164" fontId="26" fillId="0" borderId="15" xfId="0" applyFont="true" applyBorder="true" applyAlignment="true" applyProtection="false">
      <alignment horizontal="general" vertical="bottom" textRotation="0" wrapText="false" indent="0" shrinkToFit="false"/>
      <protection locked="true" hidden="false"/>
    </xf>
    <xf numFmtId="179" fontId="49" fillId="0" borderId="0" xfId="40" applyFont="true" applyBorder="false" applyAlignment="true" applyProtection="false">
      <alignment horizontal="general" vertical="bottom" textRotation="0" wrapText="false" indent="0" shrinkToFit="false"/>
      <protection locked="true" hidden="false"/>
    </xf>
    <xf numFmtId="171" fontId="39" fillId="7" borderId="14" xfId="52" applyFont="true" applyBorder="true" applyAlignment="true" applyProtection="false">
      <alignment horizontal="right" vertical="bottom" textRotation="0" wrapText="false" indent="0" shrinkToFit="false"/>
      <protection locked="true" hidden="false"/>
    </xf>
    <xf numFmtId="170" fontId="39" fillId="22" borderId="15" xfId="47" applyFont="true" applyBorder="true" applyAlignment="true" applyProtection="false">
      <alignment horizontal="general" vertical="bottom" textRotation="0" wrapText="false" indent="0" shrinkToFit="false"/>
      <protection locked="true" hidden="false"/>
    </xf>
    <xf numFmtId="171" fontId="39" fillId="7" borderId="15" xfId="52" applyFont="true" applyBorder="true" applyAlignment="true" applyProtection="false">
      <alignment horizontal="right" vertical="bottom" textRotation="0" wrapText="false" indent="0" shrinkToFit="false"/>
      <protection locked="true" hidden="false"/>
    </xf>
    <xf numFmtId="171" fontId="39" fillId="7" borderId="15" xfId="53" applyFont="true" applyBorder="true" applyAlignment="true" applyProtection="false">
      <alignment horizontal="right"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6" fillId="7" borderId="0" xfId="0" applyFont="true" applyBorder="false" applyAlignment="true" applyProtection="false">
      <alignment horizontal="left" vertical="bottom" textRotation="0" wrapText="false" indent="0" shrinkToFit="false"/>
      <protection locked="true" hidden="false"/>
    </xf>
    <xf numFmtId="171" fontId="26" fillId="7" borderId="15" xfId="51" applyFont="true" applyBorder="true" applyAlignment="true" applyProtection="false">
      <alignment horizontal="right"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70" fontId="39" fillId="21" borderId="13" xfId="50" applyFont="true" applyBorder="true" applyAlignment="true" applyProtection="false">
      <alignment horizontal="general" vertical="bottom" textRotation="0" wrapText="false" indent="0" shrinkToFit="false"/>
      <protection locked="true" hidden="false"/>
    </xf>
    <xf numFmtId="171" fontId="39" fillId="7" borderId="13" xfId="53" applyFont="true" applyBorder="true" applyAlignment="true" applyProtection="false">
      <alignment horizontal="right" vertical="bottom" textRotation="0" wrapText="false" indent="0" shrinkToFit="false"/>
      <protection locked="true" hidden="false"/>
    </xf>
    <xf numFmtId="171" fontId="26" fillId="15" borderId="0" xfId="54" applyFont="true" applyBorder="false" applyAlignment="true" applyProtection="false">
      <alignment horizontal="right" vertical="bottom" textRotation="0" wrapText="false" indent="0" shrinkToFit="false"/>
      <protection locked="true" hidden="false"/>
    </xf>
    <xf numFmtId="170" fontId="6" fillId="0" borderId="13"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16" fillId="11" borderId="0" xfId="0" applyFont="true" applyBorder="false" applyAlignment="true" applyProtection="false">
      <alignment horizontal="left" vertical="bottom" textRotation="0" wrapText="false" indent="0" shrinkToFit="false"/>
      <protection locked="true" hidden="false"/>
    </xf>
    <xf numFmtId="164" fontId="16" fillId="11" borderId="0" xfId="0" applyFont="true" applyBorder="false" applyAlignment="true" applyProtection="false">
      <alignment horizontal="right" vertical="bottom" textRotation="0" wrapText="false" indent="0" shrinkToFit="false"/>
      <protection locked="true" hidden="false"/>
    </xf>
    <xf numFmtId="166" fontId="5" fillId="20" borderId="17" xfId="36" applyFont="true" applyBorder="true" applyAlignment="true" applyProtection="false">
      <alignment horizontal="center" vertical="bottom" textRotation="0" wrapText="false" indent="0" shrinkToFit="false"/>
      <protection locked="true" hidden="false"/>
    </xf>
    <xf numFmtId="165" fontId="10" fillId="20" borderId="0" xfId="0" applyFont="true" applyBorder="false" applyAlignment="true" applyProtection="false">
      <alignment horizontal="center" vertical="bottom" textRotation="0" wrapText="false" indent="0" shrinkToFit="false"/>
      <protection locked="true" hidden="false"/>
    </xf>
    <xf numFmtId="165" fontId="5" fillId="20" borderId="0" xfId="39" applyFont="true" applyBorder="true" applyAlignment="true" applyProtection="false">
      <alignment horizontal="center" vertical="bottom" textRotation="0" wrapText="false" indent="0" shrinkToFit="false"/>
      <protection locked="true" hidden="false"/>
    </xf>
    <xf numFmtId="165" fontId="10" fillId="20" borderId="17" xfId="0" applyFont="true" applyBorder="true" applyAlignment="true" applyProtection="false">
      <alignment horizontal="center" vertical="bottom" textRotation="0" wrapText="false" indent="0" shrinkToFit="false"/>
      <protection locked="true" hidden="false"/>
    </xf>
    <xf numFmtId="168" fontId="5" fillId="20" borderId="0" xfId="38" applyFont="true" applyBorder="true" applyAlignment="true" applyProtection="false">
      <alignment horizontal="right" vertical="bottom" textRotation="0" wrapText="false" indent="0" shrinkToFit="false"/>
      <protection locked="true" hidden="false"/>
    </xf>
    <xf numFmtId="164" fontId="24" fillId="7" borderId="0" xfId="0" applyFont="true" applyBorder="false" applyAlignment="true" applyProtection="false">
      <alignment horizontal="general" vertical="bottom" textRotation="0" wrapText="false" indent="0" shrinkToFit="false"/>
      <protection locked="true" hidden="false"/>
    </xf>
    <xf numFmtId="165" fontId="24" fillId="7" borderId="0" xfId="39" applyFont="true" applyBorder="true" applyAlignment="true" applyProtection="false">
      <alignment horizontal="center" vertical="bottom" textRotation="0" wrapText="false" indent="0" shrinkToFit="false"/>
      <protection locked="true" hidden="false"/>
    </xf>
    <xf numFmtId="164" fontId="39" fillId="7" borderId="14" xfId="0" applyFont="true" applyBorder="true" applyAlignment="true" applyProtection="false">
      <alignment horizontal="general" vertical="bottom" textRotation="0" wrapText="false" indent="0" shrinkToFit="false"/>
      <protection locked="true" hidden="false"/>
    </xf>
    <xf numFmtId="170" fontId="26" fillId="7" borderId="14" xfId="56" applyFont="true" applyBorder="true" applyAlignment="true" applyProtection="false">
      <alignment horizontal="right" vertical="bottom" textRotation="0" wrapText="false" indent="0" shrinkToFit="false"/>
      <protection locked="true" hidden="false"/>
    </xf>
    <xf numFmtId="170" fontId="26" fillId="7" borderId="13" xfId="56" applyFont="true" applyBorder="true" applyAlignment="true" applyProtection="false">
      <alignment horizontal="right" vertical="bottom" textRotation="0" wrapText="false" indent="0" shrinkToFit="false"/>
      <protection locked="true" hidden="false"/>
    </xf>
    <xf numFmtId="164" fontId="41" fillId="7" borderId="0" xfId="0" applyFont="true" applyBorder="false" applyAlignment="true" applyProtection="false">
      <alignment horizontal="general" vertical="bottom" textRotation="0" wrapText="false" indent="0" shrinkToFit="false"/>
      <protection locked="true" hidden="false"/>
    </xf>
    <xf numFmtId="164" fontId="41" fillId="7" borderId="15" xfId="0" applyFont="true" applyBorder="tru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right" vertical="bottom" textRotation="0" wrapText="false" indent="0" shrinkToFit="false"/>
      <protection locked="true" hidden="false"/>
    </xf>
    <xf numFmtId="164" fontId="6" fillId="0" borderId="13"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6" fillId="9" borderId="0" xfId="0" applyFont="true" applyBorder="false" applyAlignment="true" applyProtection="false">
      <alignment horizontal="center" vertical="bottom" textRotation="0" wrapText="false" indent="0" shrinkToFit="false"/>
      <protection locked="true" hidden="false"/>
    </xf>
    <xf numFmtId="170" fontId="26" fillId="7" borderId="0" xfId="43" applyFont="true" applyBorder="false" applyAlignment="true" applyProtection="false">
      <alignment horizontal="right" vertical="bottom" textRotation="0" wrapText="false" indent="0" shrinkToFit="false"/>
      <protection locked="true" hidden="false"/>
    </xf>
    <xf numFmtId="170" fontId="26" fillId="7" borderId="0" xfId="45" applyFont="true" applyBorder="false" applyAlignment="true" applyProtection="false">
      <alignment horizontal="right" vertical="bottom" textRotation="0" wrapText="false" indent="0" shrinkToFit="false"/>
      <protection locked="true" hidden="false"/>
    </xf>
    <xf numFmtId="180" fontId="43" fillId="7" borderId="0" xfId="0" applyFont="true" applyBorder="false" applyAlignment="true" applyProtection="false">
      <alignment horizontal="center" vertical="bottom" textRotation="0" wrapText="false" indent="0" shrinkToFit="false"/>
      <protection locked="true" hidden="false"/>
    </xf>
    <xf numFmtId="180" fontId="26" fillId="7" borderId="0" xfId="0" applyFont="true" applyBorder="false" applyAlignment="true" applyProtection="false">
      <alignment horizontal="center" vertical="bottom" textRotation="0" wrapText="false" indent="0" shrinkToFit="false"/>
      <protection locked="true" hidden="false"/>
    </xf>
    <xf numFmtId="180" fontId="26" fillId="7" borderId="15" xfId="0" applyFont="true" applyBorder="true" applyAlignment="true" applyProtection="false">
      <alignment horizontal="center" vertical="bottom" textRotation="0" wrapText="false" indent="0" shrinkToFit="false"/>
      <protection locked="true" hidden="false"/>
    </xf>
    <xf numFmtId="170" fontId="39" fillId="21" borderId="15" xfId="50" applyFont="true" applyBorder="true" applyAlignment="true" applyProtection="false">
      <alignment horizontal="general" vertical="bottom" textRotation="0" wrapText="false" indent="0" shrinkToFit="false"/>
      <protection locked="true" hidden="false"/>
    </xf>
    <xf numFmtId="170" fontId="39" fillId="14" borderId="15" xfId="50" applyFont="true" applyBorder="true" applyAlignment="true" applyProtection="false">
      <alignment horizontal="general" vertical="bottom" textRotation="0" wrapText="false" indent="0" shrinkToFit="false"/>
      <protection locked="true" hidden="false"/>
    </xf>
    <xf numFmtId="164" fontId="31" fillId="24" borderId="0" xfId="0" applyFont="true" applyBorder="false" applyAlignment="true" applyProtection="false">
      <alignment horizontal="general" vertical="bottom" textRotation="0" wrapText="false" indent="0" shrinkToFit="false"/>
      <protection locked="true" hidden="false"/>
    </xf>
    <xf numFmtId="180" fontId="39" fillId="7" borderId="0" xfId="0" applyFont="true" applyBorder="false" applyAlignment="true" applyProtection="false">
      <alignment horizontal="center" vertical="bottom" textRotation="0" wrapText="false" indent="0" shrinkToFit="false"/>
      <protection locked="true" hidden="false"/>
    </xf>
    <xf numFmtId="170" fontId="39" fillId="21" borderId="0" xfId="50" applyFont="true" applyBorder="false" applyAlignment="true" applyProtection="false">
      <alignment horizontal="general" vertical="bottom" textRotation="0" wrapText="false" indent="0" shrinkToFit="false"/>
      <protection locked="true" hidden="false"/>
    </xf>
    <xf numFmtId="170" fontId="39" fillId="14" borderId="0" xfId="50" applyFont="true" applyBorder="false" applyAlignment="true" applyProtection="false">
      <alignment horizontal="general" vertical="bottom" textRotation="0" wrapText="false" indent="0" shrinkToFit="false"/>
      <protection locked="true" hidden="false"/>
    </xf>
    <xf numFmtId="164" fontId="26" fillId="7" borderId="0" xfId="0" applyFont="true" applyBorder="false" applyAlignment="true" applyProtection="false">
      <alignment horizontal="center" vertical="bottom" textRotation="0" wrapText="false" indent="0" shrinkToFit="false"/>
      <protection locked="true" hidden="false"/>
    </xf>
    <xf numFmtId="170" fontId="26" fillId="7" borderId="13" xfId="56" applyFont="true" applyBorder="true" applyAlignment="true" applyProtection="false">
      <alignment horizontal="general" vertical="bottom" textRotation="0" wrapText="false" indent="0" shrinkToFit="false"/>
      <protection locked="true" hidden="false"/>
    </xf>
    <xf numFmtId="164" fontId="39" fillId="7" borderId="0" xfId="0" applyFont="true" applyBorder="false" applyAlignment="true" applyProtection="false">
      <alignment horizontal="center" vertical="bottom" textRotation="0" wrapText="false" indent="0" shrinkToFit="false"/>
      <protection locked="true" hidden="false"/>
    </xf>
    <xf numFmtId="175" fontId="26" fillId="0" borderId="0" xfId="0" applyFont="true" applyBorder="false" applyAlignment="true" applyProtection="false">
      <alignment horizontal="center" vertical="center" textRotation="0" wrapText="false" indent="0" shrinkToFit="false"/>
      <protection locked="true" hidden="false"/>
    </xf>
    <xf numFmtId="175" fontId="43" fillId="0" borderId="13" xfId="0" applyFont="true" applyBorder="true" applyAlignment="true" applyProtection="false">
      <alignment horizontal="center" vertical="center" textRotation="0" wrapText="false" indent="0" shrinkToFit="false"/>
      <protection locked="true" hidden="false"/>
    </xf>
    <xf numFmtId="171" fontId="26" fillId="14" borderId="15" xfId="54" applyFont="true" applyBorder="true" applyAlignment="true" applyProtection="false">
      <alignment horizontal="right" vertical="bottom" textRotation="0" wrapText="false" indent="0" shrinkToFit="false"/>
      <protection locked="true" hidden="false"/>
    </xf>
    <xf numFmtId="171" fontId="39" fillId="7" borderId="0" xfId="52" applyFont="true" applyBorder="false" applyAlignment="true" applyProtection="false">
      <alignment horizontal="right" vertical="bottom" textRotation="0" wrapText="false" indent="0" shrinkToFit="false"/>
      <protection locked="true" hidden="false"/>
    </xf>
    <xf numFmtId="171" fontId="39" fillId="14" borderId="0" xfId="55" applyFont="true" applyBorder="false" applyAlignment="true" applyProtection="false">
      <alignment horizontal="right" vertical="bottom" textRotation="0" wrapText="false" indent="0" shrinkToFit="false"/>
      <protection locked="true" hidden="false"/>
    </xf>
    <xf numFmtId="170" fontId="26" fillId="0" borderId="15" xfId="43" applyFont="true" applyBorder="true" applyAlignment="true" applyProtection="false">
      <alignment horizontal="right" vertical="bottom" textRotation="0" wrapText="false" indent="0" shrinkToFit="false"/>
      <protection locked="true" hidden="false"/>
    </xf>
    <xf numFmtId="170" fontId="26" fillId="7" borderId="0" xfId="56" applyFont="true" applyBorder="true" applyAlignment="true" applyProtection="false">
      <alignment horizontal="general" vertical="bottom" textRotation="0" wrapText="false" indent="0" shrinkToFit="false"/>
      <protection locked="true" hidden="false"/>
    </xf>
    <xf numFmtId="170" fontId="26" fillId="14" borderId="0" xfId="43" applyFont="true" applyBorder="false" applyAlignment="true" applyProtection="false">
      <alignment horizontal="general" vertical="bottom" textRotation="0" wrapText="false" indent="0" shrinkToFit="false"/>
      <protection locked="true" hidden="false"/>
    </xf>
    <xf numFmtId="170" fontId="26" fillId="22" borderId="0" xfId="45" applyFont="true" applyBorder="false" applyAlignment="true" applyProtection="false">
      <alignment horizontal="general" vertical="bottom" textRotation="0" wrapText="false" indent="0" shrinkToFit="false"/>
      <protection locked="true" hidden="false"/>
    </xf>
    <xf numFmtId="170" fontId="39" fillId="7" borderId="13" xfId="56" applyFont="true" applyBorder="true" applyAlignment="true" applyProtection="false">
      <alignment horizontal="general" vertical="bottom" textRotation="0" wrapText="false" indent="0" shrinkToFit="false"/>
      <protection locked="true" hidden="false"/>
    </xf>
    <xf numFmtId="170" fontId="39" fillId="14" borderId="13" xfId="43" applyFont="true" applyBorder="true" applyAlignment="true" applyProtection="false">
      <alignment horizontal="general" vertical="bottom" textRotation="0" wrapText="false" indent="0" shrinkToFit="false"/>
      <protection locked="true" hidden="false"/>
    </xf>
    <xf numFmtId="170" fontId="39" fillId="22" borderId="13" xfId="45" applyFont="true" applyBorder="true" applyAlignment="true" applyProtection="false">
      <alignment horizontal="general" vertical="bottom" textRotation="0" wrapText="false" indent="0" shrinkToFit="false"/>
      <protection locked="true" hidden="false"/>
    </xf>
    <xf numFmtId="181" fontId="39" fillId="7" borderId="0" xfId="0" applyFont="true" applyBorder="false" applyAlignment="true" applyProtection="false">
      <alignment horizontal="general" vertical="bottom" textRotation="0" wrapText="false" indent="0" shrinkToFit="false"/>
      <protection locked="true" hidden="false"/>
    </xf>
    <xf numFmtId="170" fontId="26" fillId="14" borderId="13" xfId="43" applyFont="true" applyBorder="true" applyAlignment="true" applyProtection="false">
      <alignment horizontal="general" vertical="bottom" textRotation="0" wrapText="false" indent="0" shrinkToFit="false"/>
      <protection locked="true" hidden="false"/>
    </xf>
    <xf numFmtId="170" fontId="26" fillId="22" borderId="13" xfId="45" applyFont="true" applyBorder="true" applyAlignment="true" applyProtection="false">
      <alignment horizontal="general" vertical="bottom" textRotation="0" wrapText="false" indent="0" shrinkToFit="false"/>
      <protection locked="true" hidden="false"/>
    </xf>
    <xf numFmtId="164" fontId="17" fillId="9" borderId="0" xfId="0" applyFont="true" applyBorder="false" applyAlignment="true" applyProtection="false">
      <alignment horizontal="general" vertical="bottom" textRotation="0" wrapText="false" indent="0" shrinkToFit="false"/>
      <protection locked="true" hidden="false"/>
    </xf>
    <xf numFmtId="164" fontId="45" fillId="7" borderId="0" xfId="0" applyFont="true" applyBorder="false" applyAlignment="true" applyProtection="false">
      <alignment horizontal="general" vertical="bottom" textRotation="0" wrapText="false" indent="0" shrinkToFit="false"/>
      <protection locked="true" hidden="false"/>
    </xf>
    <xf numFmtId="170" fontId="26" fillId="7" borderId="15" xfId="56" applyFont="true" applyBorder="true" applyAlignment="true" applyProtection="false">
      <alignment horizontal="general" vertical="bottom" textRotation="0" wrapText="false" indent="0" shrinkToFit="false"/>
      <protection locked="true" hidden="false"/>
    </xf>
    <xf numFmtId="170" fontId="26" fillId="7" borderId="15" xfId="43" applyFont="true" applyBorder="true" applyAlignment="true" applyProtection="false">
      <alignment horizontal="general" vertical="bottom" textRotation="0" wrapText="false" indent="0" shrinkToFit="false"/>
      <protection locked="true" hidden="false"/>
    </xf>
    <xf numFmtId="170" fontId="26" fillId="7" borderId="15" xfId="45" applyFont="true" applyBorder="true" applyAlignment="true" applyProtection="false">
      <alignment horizontal="general" vertical="bottom" textRotation="0" wrapText="false" indent="0" shrinkToFit="false"/>
      <protection locked="true" hidden="false"/>
    </xf>
    <xf numFmtId="168" fontId="24" fillId="0" borderId="0" xfId="38" applyFont="true" applyBorder="true" applyAlignment="true" applyProtection="false">
      <alignment horizontal="right" vertical="bottom" textRotation="0" wrapText="false" indent="0" shrinkToFit="false"/>
      <protection locked="true" hidden="false"/>
    </xf>
    <xf numFmtId="170" fontId="26" fillId="14" borderId="15" xfId="43" applyFont="true" applyBorder="true" applyAlignment="true" applyProtection="false">
      <alignment horizontal="general" vertical="bottom" textRotation="0" wrapText="false" indent="0" shrinkToFit="false"/>
      <protection locked="true" hidden="false"/>
    </xf>
    <xf numFmtId="170" fontId="26" fillId="22" borderId="15" xfId="45" applyFont="true" applyBorder="true" applyAlignment="true" applyProtection="false">
      <alignment horizontal="general" vertical="bottom" textRotation="0" wrapText="false" indent="0" shrinkToFit="false"/>
      <protection locked="true" hidden="false"/>
    </xf>
    <xf numFmtId="170" fontId="39" fillId="7" borderId="14" xfId="47" applyFont="true" applyBorder="true" applyAlignment="true" applyProtection="false">
      <alignment horizontal="general" vertical="bottom" textRotation="0" wrapText="false" indent="0" shrinkToFit="false"/>
      <protection locked="true" hidden="false"/>
    </xf>
    <xf numFmtId="164" fontId="27" fillId="7" borderId="0" xfId="0" applyFont="true" applyBorder="false" applyAlignment="true" applyProtection="false">
      <alignment horizontal="general" vertical="bottom" textRotation="0" wrapText="false" indent="0" shrinkToFit="false"/>
      <protection locked="true" hidden="false"/>
    </xf>
    <xf numFmtId="170" fontId="39" fillId="7" borderId="0" xfId="45" applyFont="true" applyBorder="false" applyAlignment="true" applyProtection="false">
      <alignment horizontal="right" vertical="bottom" textRotation="0" wrapText="false" indent="0" shrinkToFit="false"/>
      <protection locked="true" hidden="false"/>
    </xf>
    <xf numFmtId="164" fontId="43" fillId="7"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70" fontId="39" fillId="7" borderId="15" xfId="45" applyFont="true" applyBorder="true" applyAlignment="true" applyProtection="false">
      <alignment horizontal="right" vertical="bottom" textRotation="0" wrapText="false" indent="0" shrinkToFit="false"/>
      <protection locked="true" hidden="false"/>
    </xf>
    <xf numFmtId="170" fontId="39" fillId="7" borderId="13" xfId="47" applyFont="true" applyBorder="true" applyAlignment="true" applyProtection="false">
      <alignment horizontal="general" vertical="bottom" textRotation="0" wrapText="false" indent="0" shrinkToFit="false"/>
      <protection locked="true" hidden="false"/>
    </xf>
    <xf numFmtId="170" fontId="39" fillId="7" borderId="0" xfId="47" applyFont="true" applyBorder="true" applyAlignment="true" applyProtection="false">
      <alignment horizontal="general" vertical="bottom" textRotation="0" wrapText="false" indent="0" shrinkToFit="false"/>
      <protection locked="true" hidden="false"/>
    </xf>
    <xf numFmtId="170" fontId="39" fillId="7" borderId="13" xfId="49" applyFont="true" applyBorder="true" applyAlignment="true" applyProtection="false">
      <alignment horizontal="general" vertical="bottom" textRotation="0" wrapText="false" indent="0" shrinkToFit="false"/>
      <protection locked="true" hidden="false"/>
    </xf>
    <xf numFmtId="170" fontId="26" fillId="7" borderId="13" xfId="45" applyFont="true" applyBorder="true" applyAlignment="true" applyProtection="false">
      <alignment horizontal="right" vertical="bottom" textRotation="0" wrapText="false" indent="0" shrinkToFit="false"/>
      <protection locked="true" hidden="false"/>
    </xf>
    <xf numFmtId="170" fontId="41" fillId="0" borderId="14" xfId="0" applyFont="true" applyBorder="true" applyAlignment="true" applyProtection="false">
      <alignment horizontal="right" vertical="center" textRotation="0" wrapText="false" indent="0" shrinkToFit="false"/>
      <protection locked="true" hidden="false"/>
    </xf>
    <xf numFmtId="164" fontId="26" fillId="7" borderId="19" xfId="0" applyFont="true" applyBorder="true" applyAlignment="true" applyProtection="false">
      <alignment horizontal="general" vertical="bottom" textRotation="0" wrapText="false" indent="0" shrinkToFit="false"/>
      <protection locked="true" hidden="false"/>
    </xf>
    <xf numFmtId="170" fontId="6" fillId="7" borderId="14" xfId="0" applyFont="true" applyBorder="true" applyAlignment="true" applyProtection="false">
      <alignment horizontal="right" vertical="bottom" textRotation="0" wrapText="false" indent="0" shrinkToFit="false"/>
      <protection locked="true" hidden="false"/>
    </xf>
    <xf numFmtId="164" fontId="6" fillId="7" borderId="14" xfId="0" applyFont="true" applyBorder="true" applyAlignment="true" applyProtection="false">
      <alignment horizontal="right" vertical="bottom" textRotation="0" wrapText="false" indent="0" shrinkToFit="false"/>
      <protection locked="true" hidden="false"/>
    </xf>
    <xf numFmtId="177" fontId="26" fillId="7" borderId="20" xfId="0" applyFont="true" applyBorder="true" applyAlignment="true" applyProtection="false">
      <alignment horizontal="general" vertical="bottom" textRotation="0" wrapText="false" indent="0" shrinkToFit="false"/>
      <protection locked="true" hidden="false"/>
    </xf>
    <xf numFmtId="164" fontId="26" fillId="7" borderId="21" xfId="0" applyFont="true" applyBorder="true" applyAlignment="true" applyProtection="false">
      <alignment horizontal="general" vertical="bottom" textRotation="0" wrapText="false" indent="0" shrinkToFit="false"/>
      <protection locked="true" hidden="false"/>
    </xf>
    <xf numFmtId="170" fontId="6" fillId="7" borderId="0" xfId="0" applyFont="true" applyBorder="false" applyAlignment="true" applyProtection="false">
      <alignment horizontal="right" vertical="bottom" textRotation="0" wrapText="false" indent="0" shrinkToFit="false"/>
      <protection locked="true" hidden="false"/>
    </xf>
    <xf numFmtId="164" fontId="6" fillId="7" borderId="0" xfId="0" applyFont="true" applyBorder="false" applyAlignment="true" applyProtection="false">
      <alignment horizontal="right" vertical="bottom" textRotation="0" wrapText="false" indent="0" shrinkToFit="false"/>
      <protection locked="true" hidden="false"/>
    </xf>
    <xf numFmtId="177" fontId="26" fillId="7" borderId="22" xfId="0" applyFont="true" applyBorder="true" applyAlignment="true" applyProtection="false">
      <alignment horizontal="general" vertical="bottom" textRotation="0" wrapText="false" indent="0" shrinkToFit="false"/>
      <protection locked="true" hidden="false"/>
    </xf>
    <xf numFmtId="164" fontId="26" fillId="7" borderId="23" xfId="0" applyFont="true" applyBorder="true" applyAlignment="true" applyProtection="false">
      <alignment horizontal="general" vertical="bottom" textRotation="0" wrapText="false" indent="0" shrinkToFit="false"/>
      <protection locked="true" hidden="false"/>
    </xf>
    <xf numFmtId="177" fontId="26" fillId="7" borderId="24" xfId="0" applyFont="true" applyBorder="true" applyAlignment="true" applyProtection="false">
      <alignment horizontal="general" vertical="bottom" textRotation="0" wrapText="false" indent="0" shrinkToFit="false"/>
      <protection locked="true" hidden="false"/>
    </xf>
    <xf numFmtId="164" fontId="29" fillId="19" borderId="0" xfId="0" applyFont="true" applyBorder="false" applyAlignment="true" applyProtection="false">
      <alignment horizontal="general" vertical="center" textRotation="0" wrapText="false" indent="0" shrinkToFit="false"/>
      <protection locked="true" hidden="false"/>
    </xf>
    <xf numFmtId="164" fontId="39" fillId="19" borderId="0" xfId="0" applyFont="true" applyBorder="false" applyAlignment="true" applyProtection="false">
      <alignment horizontal="general" vertical="bottom" textRotation="0" wrapText="false" indent="0" shrinkToFit="false"/>
      <protection locked="true" hidden="false"/>
    </xf>
    <xf numFmtId="170" fontId="39" fillId="19" borderId="0" xfId="44" applyFont="true" applyBorder="false" applyAlignment="true" applyProtection="false">
      <alignment horizontal="general" vertical="bottom" textRotation="0" wrapText="false" indent="0" shrinkToFit="false"/>
      <protection locked="true" hidden="false"/>
    </xf>
    <xf numFmtId="181" fontId="6" fillId="7" borderId="19" xfId="0" applyFont="true" applyBorder="true" applyAlignment="true" applyProtection="false">
      <alignment horizontal="general" vertical="bottom" textRotation="0" wrapText="false" indent="0" shrinkToFit="false"/>
      <protection locked="true" hidden="false"/>
    </xf>
    <xf numFmtId="181" fontId="6" fillId="7" borderId="14" xfId="0" applyFont="true" applyBorder="true" applyAlignment="true" applyProtection="false">
      <alignment horizontal="general" vertical="bottom" textRotation="0" wrapText="false" indent="0" shrinkToFit="false"/>
      <protection locked="true" hidden="false"/>
    </xf>
    <xf numFmtId="181" fontId="6" fillId="7" borderId="14" xfId="0" applyFont="true" applyBorder="true" applyAlignment="true" applyProtection="false">
      <alignment horizontal="right" vertical="bottom" textRotation="0" wrapText="false" indent="0" shrinkToFit="false"/>
      <protection locked="true" hidden="false"/>
    </xf>
    <xf numFmtId="181" fontId="6" fillId="7" borderId="14" xfId="29" applyFont="true" applyBorder="true" applyAlignment="true" applyProtection="false">
      <alignment horizontal="right" vertical="bottom" textRotation="0" wrapText="false" indent="0" shrinkToFit="false"/>
      <protection locked="true" hidden="false"/>
    </xf>
    <xf numFmtId="181" fontId="6" fillId="7" borderId="20" xfId="29" applyFont="true" applyBorder="true" applyAlignment="true" applyProtection="false">
      <alignment horizontal="right" vertical="bottom" textRotation="0" wrapText="false" indent="0" shrinkToFit="false"/>
      <protection locked="true" hidden="false"/>
    </xf>
    <xf numFmtId="181" fontId="6" fillId="7" borderId="21" xfId="0" applyFont="true" applyBorder="true" applyAlignment="true" applyProtection="false">
      <alignment horizontal="general" vertical="bottom" textRotation="0" wrapText="false" indent="0" shrinkToFit="false"/>
      <protection locked="true" hidden="false"/>
    </xf>
    <xf numFmtId="181" fontId="6" fillId="7" borderId="0" xfId="0" applyFont="true" applyBorder="false" applyAlignment="true" applyProtection="false">
      <alignment horizontal="general" vertical="bottom" textRotation="0" wrapText="false" indent="0" shrinkToFit="false"/>
      <protection locked="true" hidden="false"/>
    </xf>
    <xf numFmtId="181" fontId="6" fillId="7" borderId="0" xfId="33" applyFont="true" applyBorder="true" applyAlignment="true" applyProtection="false">
      <alignment horizontal="right" vertical="bottom" textRotation="0" wrapText="false" indent="0" shrinkToFit="false"/>
      <protection locked="true" hidden="false"/>
    </xf>
    <xf numFmtId="181" fontId="6" fillId="7" borderId="22" xfId="33" applyFont="true" applyBorder="true" applyAlignment="true" applyProtection="false">
      <alignment horizontal="right" vertical="bottom" textRotation="0" wrapText="false" indent="0" shrinkToFit="false"/>
      <protection locked="true" hidden="false"/>
    </xf>
    <xf numFmtId="181" fontId="6" fillId="7" borderId="23" xfId="0" applyFont="true" applyBorder="true" applyAlignment="true" applyProtection="false">
      <alignment horizontal="general" vertical="bottom" textRotation="0" wrapText="false" indent="0" shrinkToFit="false"/>
      <protection locked="true" hidden="false"/>
    </xf>
    <xf numFmtId="181" fontId="6" fillId="7" borderId="15" xfId="0" applyFont="true" applyBorder="true" applyAlignment="true" applyProtection="false">
      <alignment horizontal="general" vertical="bottom" textRotation="0" wrapText="false" indent="0" shrinkToFit="false"/>
      <protection locked="true" hidden="false"/>
    </xf>
    <xf numFmtId="181" fontId="6" fillId="7" borderId="15" xfId="33" applyFont="true" applyBorder="true" applyAlignment="true" applyProtection="false">
      <alignment horizontal="right" vertical="bottom" textRotation="0" wrapText="false" indent="0" shrinkToFit="false"/>
      <protection locked="true" hidden="false"/>
    </xf>
    <xf numFmtId="181" fontId="6" fillId="7" borderId="24" xfId="33" applyFont="true" applyBorder="true" applyAlignment="true" applyProtection="false">
      <alignment horizontal="right" vertical="bottom" textRotation="0" wrapText="false" indent="0" shrinkToFit="false"/>
      <protection locked="true" hidden="false"/>
    </xf>
    <xf numFmtId="174" fontId="52" fillId="7" borderId="0" xfId="0" applyFont="true" applyBorder="false" applyAlignment="true" applyProtection="false">
      <alignment horizontal="general" vertical="bottom" textRotation="0" wrapText="false" indent="0" shrinkToFit="false"/>
      <protection locked="true" hidden="false"/>
    </xf>
    <xf numFmtId="165" fontId="5" fillId="20" borderId="0" xfId="39" applyFont="true" applyBorder="true" applyAlignment="true" applyProtection="false">
      <alignment horizontal="right" vertical="bottom" textRotation="0" wrapText="true" indent="0" shrinkToFit="false"/>
      <protection locked="true" hidden="false"/>
    </xf>
    <xf numFmtId="164" fontId="8" fillId="7" borderId="0" xfId="0" applyFont="true" applyBorder="false" applyAlignment="true" applyProtection="false">
      <alignment horizontal="general" vertical="bottom" textRotation="0" wrapText="false" indent="0" shrinkToFit="false"/>
      <protection locked="true" hidden="false"/>
    </xf>
    <xf numFmtId="164" fontId="26" fillId="25" borderId="0" xfId="0" applyFont="true" applyBorder="false" applyAlignment="true" applyProtection="false">
      <alignment horizontal="general" vertical="bottom" textRotation="0" wrapText="false" indent="0" shrinkToFit="false"/>
      <protection locked="true" hidden="false"/>
    </xf>
    <xf numFmtId="176" fontId="26" fillId="25" borderId="0" xfId="33" applyFont="true" applyBorder="true" applyAlignment="true" applyProtection="false">
      <alignment horizontal="center" vertical="bottom" textRotation="0" wrapText="false" indent="0" shrinkToFit="false"/>
      <protection locked="true" hidden="false"/>
    </xf>
    <xf numFmtId="179" fontId="26" fillId="25" borderId="0" xfId="29" applyFont="true" applyBorder="false" applyAlignment="true" applyProtection="false">
      <alignment horizontal="center" vertical="bottom" textRotation="0" wrapText="false" indent="0" shrinkToFit="false"/>
      <protection locked="true" hidden="false"/>
    </xf>
    <xf numFmtId="175" fontId="26" fillId="25" borderId="0" xfId="56" applyFont="true" applyBorder="true" applyAlignment="true" applyProtection="false">
      <alignment horizontal="center" vertical="bottom" textRotation="0" wrapText="false" indent="0" shrinkToFit="false"/>
      <protection locked="true" hidden="false"/>
    </xf>
    <xf numFmtId="170" fontId="26" fillId="7" borderId="0" xfId="56" applyFont="true" applyBorder="true" applyAlignment="true" applyProtection="false">
      <alignment horizontal="center" vertical="bottom" textRotation="0" wrapText="false" indent="0" shrinkToFit="false"/>
      <protection locked="true" hidden="false"/>
    </xf>
    <xf numFmtId="170" fontId="26" fillId="12" borderId="0" xfId="56" applyFont="true" applyBorder="true" applyAlignment="true" applyProtection="false">
      <alignment horizontal="general" vertical="bottom" textRotation="0" wrapText="false" indent="0" shrinkToFit="false"/>
      <protection locked="true" hidden="false"/>
    </xf>
    <xf numFmtId="170" fontId="39" fillId="7" borderId="0" xfId="56" applyFont="true" applyBorder="true" applyAlignment="true" applyProtection="false">
      <alignment horizontal="general" vertical="bottom" textRotation="0" wrapText="false" indent="0" shrinkToFit="false"/>
      <protection locked="true" hidden="false"/>
    </xf>
    <xf numFmtId="170" fontId="39" fillId="14" borderId="0" xfId="43" applyFont="true" applyBorder="false" applyAlignment="true" applyProtection="false">
      <alignment horizontal="general" vertical="bottom" textRotation="0" wrapText="false" indent="0" shrinkToFit="false"/>
      <protection locked="true" hidden="false"/>
    </xf>
    <xf numFmtId="170" fontId="39" fillId="22" borderId="0" xfId="45" applyFont="true" applyBorder="false" applyAlignment="true" applyProtection="false">
      <alignment horizontal="general" vertical="bottom" textRotation="0" wrapText="false" indent="0" shrinkToFit="false"/>
      <protection locked="true" hidden="false"/>
    </xf>
    <xf numFmtId="170" fontId="39" fillId="12" borderId="13" xfId="44" applyFont="true" applyBorder="true" applyAlignment="true" applyProtection="false">
      <alignment horizontal="general" vertical="bottom" textRotation="0" wrapText="false" indent="0" shrinkToFit="false"/>
      <protection locked="true" hidden="false"/>
    </xf>
    <xf numFmtId="164" fontId="53" fillId="7" borderId="0" xfId="0" applyFont="true" applyBorder="false" applyAlignment="true" applyProtection="false">
      <alignment horizontal="general" vertical="bottom" textRotation="0" wrapText="false" indent="0" shrinkToFit="false"/>
      <protection locked="true" hidden="false"/>
    </xf>
    <xf numFmtId="170" fontId="53" fillId="7" borderId="0" xfId="56" applyFont="true" applyBorder="true" applyAlignment="true" applyProtection="false">
      <alignment horizontal="general" vertical="bottom" textRotation="0" wrapText="false" indent="0" shrinkToFit="false"/>
      <protection locked="true" hidden="false"/>
    </xf>
    <xf numFmtId="170" fontId="53" fillId="14" borderId="0" xfId="43" applyFont="true" applyBorder="false" applyAlignment="true" applyProtection="false">
      <alignment horizontal="general" vertical="bottom" textRotation="0" wrapText="false" indent="0" shrinkToFit="false"/>
      <protection locked="true" hidden="false"/>
    </xf>
    <xf numFmtId="167" fontId="5" fillId="20" borderId="0" xfId="37" applyFont="true" applyBorder="false" applyAlignment="true" applyProtection="false">
      <alignment horizontal="general" vertical="bottom" textRotation="0" wrapText="false" indent="0" shrinkToFit="false"/>
      <protection locked="true" hidden="false"/>
    </xf>
    <xf numFmtId="168" fontId="5" fillId="20" borderId="0" xfId="38" applyFont="true" applyBorder="true" applyAlignment="true" applyProtection="false">
      <alignment horizontal="general" vertical="bottom" textRotation="0" wrapText="false" indent="0" shrinkToFit="false"/>
      <protection locked="true" hidden="false"/>
    </xf>
    <xf numFmtId="170" fontId="26" fillId="14" borderId="0" xfId="50" applyFont="true" applyBorder="false" applyAlignment="true" applyProtection="false">
      <alignment horizontal="right" vertical="bottom" textRotation="0" wrapText="false" indent="0" shrinkToFit="false"/>
      <protection locked="true" hidden="false"/>
    </xf>
    <xf numFmtId="170" fontId="53" fillId="7" borderId="0" xfId="56" applyFont="true" applyBorder="true" applyAlignment="true" applyProtection="false">
      <alignment horizontal="right" vertical="bottom" textRotation="0" wrapText="false" indent="0" shrinkToFit="false"/>
      <protection locked="true" hidden="false"/>
    </xf>
    <xf numFmtId="170" fontId="53" fillId="14" borderId="0" xfId="50" applyFont="true" applyBorder="false" applyAlignment="true" applyProtection="false">
      <alignment horizontal="right" vertical="bottom" textRotation="0" wrapText="false" indent="0" shrinkToFit="false"/>
      <protection locked="true" hidden="false"/>
    </xf>
    <xf numFmtId="170" fontId="39" fillId="7" borderId="15" xfId="49" applyFont="true" applyBorder="true" applyAlignment="true" applyProtection="false">
      <alignment horizontal="general" vertical="bottom" textRotation="0" wrapText="false" indent="0" shrinkToFit="false"/>
      <protection locked="true" hidden="false"/>
    </xf>
    <xf numFmtId="171" fontId="26" fillId="7" borderId="0" xfId="51" applyFont="true" applyBorder="false" applyAlignment="true" applyProtection="false">
      <alignment horizontal="right" vertical="bottom" textRotation="0" wrapText="false" indent="0" shrinkToFit="false"/>
      <protection locked="true" hidden="false"/>
    </xf>
    <xf numFmtId="171" fontId="39" fillId="7" borderId="0" xfId="51" applyFont="true" applyBorder="false" applyAlignment="true" applyProtection="false">
      <alignment horizontal="right" vertical="bottom" textRotation="0" wrapText="false" indent="0" shrinkToFit="false"/>
      <protection locked="true" hidden="false"/>
    </xf>
    <xf numFmtId="170" fontId="39" fillId="7" borderId="0" xfId="44" applyFont="true" applyBorder="false" applyAlignment="true" applyProtection="false">
      <alignment horizontal="right" vertical="bottom" textRotation="0" wrapText="false" indent="0" shrinkToFit="false"/>
      <protection locked="true" hidden="false"/>
    </xf>
    <xf numFmtId="170" fontId="41" fillId="7" borderId="0" xfId="0" applyFont="true" applyBorder="false" applyAlignment="true" applyProtection="false">
      <alignment horizontal="right" vertical="center" textRotation="0" wrapText="false" indent="0" shrinkToFit="false"/>
      <protection locked="true" hidden="false"/>
    </xf>
    <xf numFmtId="175" fontId="43" fillId="0" borderId="6" xfId="0" applyFont="true" applyBorder="true" applyAlignment="true" applyProtection="false">
      <alignment horizontal="left" vertical="center" textRotation="0" wrapText="false" indent="0" shrinkToFit="false"/>
      <protection locked="true" hidden="false"/>
    </xf>
    <xf numFmtId="164" fontId="6" fillId="7" borderId="13" xfId="0" applyFont="true" applyBorder="true" applyAlignment="true" applyProtection="false">
      <alignment horizontal="general" vertical="bottom" textRotation="0" wrapText="false" indent="0" shrinkToFit="false"/>
      <protection locked="true" hidden="false"/>
    </xf>
    <xf numFmtId="170" fontId="6" fillId="7" borderId="13" xfId="0" applyFont="true" applyBorder="true" applyAlignment="true" applyProtection="false">
      <alignment horizontal="general" vertical="bottom" textRotation="0" wrapText="false" indent="0" shrinkToFit="false"/>
      <protection locked="true" hidden="false"/>
    </xf>
    <xf numFmtId="170" fontId="6" fillId="0" borderId="9" xfId="0" applyFont="true" applyBorder="true" applyAlignment="true" applyProtection="false">
      <alignment horizontal="general" vertical="bottom" textRotation="0" wrapText="false" indent="0" shrinkToFit="false"/>
      <protection locked="true" hidden="false"/>
    </xf>
    <xf numFmtId="171" fontId="26" fillId="0" borderId="0" xfId="0" applyFont="true" applyBorder="false" applyAlignment="true" applyProtection="false">
      <alignment horizontal="right"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71" fontId="39" fillId="7" borderId="13" xfId="52" applyFont="true" applyBorder="true" applyAlignment="true" applyProtection="false">
      <alignment horizontal="right" vertical="bottom" textRotation="0" wrapText="false" indent="0" shrinkToFit="false"/>
      <protection locked="true" hidden="false"/>
    </xf>
    <xf numFmtId="173" fontId="6" fillId="0" borderId="0" xfId="0" applyFont="true" applyBorder="false" applyAlignment="true" applyProtection="false">
      <alignment horizontal="general" vertical="bottom" textRotation="0" wrapText="false" indent="0" shrinkToFit="false"/>
      <protection locked="true" hidden="false"/>
    </xf>
    <xf numFmtId="173" fontId="39" fillId="7" borderId="0" xfId="0" applyFont="true" applyBorder="false" applyAlignment="true" applyProtection="false">
      <alignment horizontal="general" vertical="bottom" textRotation="0" wrapText="false" indent="0" shrinkToFit="false"/>
      <protection locked="true" hidden="false"/>
    </xf>
    <xf numFmtId="173" fontId="26" fillId="7" borderId="0" xfId="56" applyFont="true" applyBorder="true" applyAlignment="true" applyProtection="false">
      <alignment horizontal="right" vertical="bottom" textRotation="0" wrapText="false" indent="0" shrinkToFit="false"/>
      <protection locked="true" hidden="false"/>
    </xf>
    <xf numFmtId="173" fontId="26" fillId="21" borderId="0" xfId="43" applyFont="true" applyBorder="false" applyAlignment="true" applyProtection="false">
      <alignment horizontal="right" vertical="bottom" textRotation="0" wrapText="false" indent="0" shrinkToFit="false"/>
      <protection locked="true" hidden="false"/>
    </xf>
    <xf numFmtId="173" fontId="26" fillId="14" borderId="0" xfId="43" applyFont="true" applyBorder="false" applyAlignment="true" applyProtection="false">
      <alignment horizontal="right" vertical="bottom" textRotation="0" wrapText="false" indent="0" shrinkToFit="false"/>
      <protection locked="true" hidden="false"/>
    </xf>
    <xf numFmtId="173" fontId="26" fillId="10" borderId="0" xfId="45" applyFont="true" applyBorder="false" applyAlignment="true" applyProtection="false">
      <alignment horizontal="right" vertical="bottom" textRotation="0" wrapText="false" indent="0" shrinkToFit="false"/>
      <protection locked="true" hidden="false"/>
    </xf>
    <xf numFmtId="173" fontId="26" fillId="7" borderId="0" xfId="0" applyFont="true" applyBorder="false" applyAlignment="true" applyProtection="false">
      <alignment horizontal="right" vertical="bottom" textRotation="0" wrapText="false" indent="0" shrinkToFit="false"/>
      <protection locked="true" hidden="false"/>
    </xf>
    <xf numFmtId="170" fontId="26" fillId="10" borderId="0" xfId="45" applyFont="true" applyBorder="false" applyAlignment="true" applyProtection="false">
      <alignment horizontal="right" vertical="bottom" textRotation="0" wrapText="false" indent="0" shrinkToFit="false"/>
      <protection locked="true" hidden="false"/>
    </xf>
    <xf numFmtId="182" fontId="26" fillId="7" borderId="0" xfId="56" applyFont="true" applyBorder="true" applyAlignment="true" applyProtection="false">
      <alignment horizontal="right" vertical="bottom" textRotation="0" wrapText="false" indent="0" shrinkToFit="false"/>
      <protection locked="true" hidden="false"/>
    </xf>
    <xf numFmtId="182" fontId="26" fillId="21" borderId="0" xfId="43" applyFont="true" applyBorder="false" applyAlignment="true" applyProtection="false">
      <alignment horizontal="right" vertical="bottom" textRotation="0" wrapText="false" indent="0" shrinkToFit="false"/>
      <protection locked="true" hidden="false"/>
    </xf>
    <xf numFmtId="182" fontId="26" fillId="14" borderId="0" xfId="43" applyFont="true" applyBorder="false" applyAlignment="true" applyProtection="false">
      <alignment horizontal="right" vertical="bottom" textRotation="0" wrapText="false" indent="0" shrinkToFit="false"/>
      <protection locked="true" hidden="false"/>
    </xf>
    <xf numFmtId="182" fontId="26" fillId="10" borderId="0" xfId="45" applyFont="true" applyBorder="false" applyAlignment="true" applyProtection="false">
      <alignment horizontal="right" vertical="bottom" textRotation="0" wrapText="false" indent="0" shrinkToFit="false"/>
      <protection locked="true" hidden="false"/>
    </xf>
    <xf numFmtId="171" fontId="26" fillId="10" borderId="0" xfId="51" applyFont="true" applyBorder="false" applyAlignment="true" applyProtection="false">
      <alignment horizontal="right" vertical="bottom" textRotation="0" wrapText="false" indent="0" shrinkToFit="false"/>
      <protection locked="true" hidden="false"/>
    </xf>
    <xf numFmtId="170" fontId="7" fillId="0" borderId="0" xfId="56" applyFont="true" applyBorder="true" applyAlignment="true" applyProtection="false">
      <alignment horizontal="right" vertical="bottom" textRotation="0" wrapText="false" indent="0" shrinkToFit="false"/>
      <protection locked="true" hidden="false"/>
    </xf>
    <xf numFmtId="171" fontId="7" fillId="0" borderId="0" xfId="0" applyFont="true" applyBorder="false" applyAlignment="true" applyProtection="false">
      <alignment horizontal="right" vertical="bottom" textRotation="0" wrapText="false" indent="0" shrinkToFit="false"/>
      <protection locked="true" hidden="false"/>
    </xf>
    <xf numFmtId="164" fontId="26" fillId="25" borderId="0" xfId="0" applyFont="true" applyBorder="false" applyAlignment="true" applyProtection="false">
      <alignment horizontal="left" vertical="bottom" textRotation="0" wrapText="false" indent="1" shrinkToFit="false"/>
      <protection locked="true" hidden="false"/>
    </xf>
    <xf numFmtId="170" fontId="26" fillId="25" borderId="0" xfId="56" applyFont="true" applyBorder="true" applyAlignment="true" applyProtection="false">
      <alignment horizontal="right" vertical="bottom" textRotation="0" wrapText="false" indent="0" shrinkToFit="false"/>
      <protection locked="true" hidden="false"/>
    </xf>
    <xf numFmtId="170" fontId="26" fillId="25" borderId="0" xfId="43" applyFont="true" applyBorder="false" applyAlignment="true" applyProtection="false">
      <alignment horizontal="right" vertical="bottom" textRotation="0" wrapText="false" indent="0" shrinkToFit="false"/>
      <protection locked="true" hidden="false"/>
    </xf>
    <xf numFmtId="170" fontId="26" fillId="25" borderId="0" xfId="45" applyFont="true" applyBorder="false" applyAlignment="true" applyProtection="false">
      <alignment horizontal="right" vertical="bottom" textRotation="0" wrapText="false" indent="0" shrinkToFit="false"/>
      <protection locked="true" hidden="false"/>
    </xf>
    <xf numFmtId="168" fontId="16" fillId="11" borderId="0" xfId="38" applyFont="true" applyBorder="true" applyAlignment="true" applyProtection="false">
      <alignment horizontal="general" vertical="bottom" textRotation="0" wrapText="false" indent="0" shrinkToFit="false"/>
      <protection locked="true" hidden="false"/>
    </xf>
    <xf numFmtId="170" fontId="26" fillId="10" borderId="15" xfId="45" applyFont="true" applyBorder="true" applyAlignment="true" applyProtection="false">
      <alignment horizontal="right" vertical="bottom" textRotation="0" wrapText="false" indent="0" shrinkToFit="false"/>
      <protection locked="true" hidden="false"/>
    </xf>
    <xf numFmtId="170" fontId="39" fillId="10" borderId="14" xfId="47" applyFont="true" applyBorder="true" applyAlignment="true" applyProtection="false">
      <alignment horizontal="general" vertical="bottom" textRotation="0" wrapText="false" indent="0" shrinkToFit="false"/>
      <protection locked="true" hidden="false"/>
    </xf>
    <xf numFmtId="164" fontId="6" fillId="0" borderId="14" xfId="0" applyFont="true" applyBorder="true" applyAlignment="true" applyProtection="false">
      <alignment horizontal="general" vertical="bottom" textRotation="0" wrapText="false" indent="0" shrinkToFit="false"/>
      <protection locked="true" hidden="false"/>
    </xf>
    <xf numFmtId="170" fontId="39" fillId="10" borderId="0" xfId="45" applyFont="true" applyBorder="false" applyAlignment="true" applyProtection="false">
      <alignment horizontal="right" vertical="bottom" textRotation="0" wrapText="false" indent="0" shrinkToFit="false"/>
      <protection locked="true" hidden="false"/>
    </xf>
    <xf numFmtId="170" fontId="39" fillId="10" borderId="15" xfId="45" applyFont="true" applyBorder="true" applyAlignment="true" applyProtection="false">
      <alignment horizontal="right" vertical="bottom" textRotation="0" wrapText="false" indent="0" shrinkToFit="false"/>
      <protection locked="true" hidden="false"/>
    </xf>
    <xf numFmtId="170" fontId="39" fillId="10" borderId="15" xfId="47" applyFont="true" applyBorder="true" applyAlignment="true" applyProtection="false">
      <alignment horizontal="general" vertical="bottom" textRotation="0" wrapText="false" indent="0" shrinkToFit="false"/>
      <protection locked="true" hidden="false"/>
    </xf>
    <xf numFmtId="170" fontId="39" fillId="10" borderId="0" xfId="47" applyFont="true" applyBorder="true" applyAlignment="true" applyProtection="false">
      <alignment horizontal="general" vertical="bottom" textRotation="0" wrapText="false" indent="0" shrinkToFit="false"/>
      <protection locked="true" hidden="false"/>
    </xf>
    <xf numFmtId="170" fontId="39" fillId="10" borderId="13" xfId="49" applyFont="true" applyBorder="true" applyAlignment="true" applyProtection="false">
      <alignment horizontal="general" vertical="bottom" textRotation="0" wrapText="false" indent="0" shrinkToFit="false"/>
      <protection locked="true" hidden="false"/>
    </xf>
    <xf numFmtId="164" fontId="5" fillId="20" borderId="0" xfId="0" applyFont="true" applyBorder="false" applyAlignment="true" applyProtection="false">
      <alignment horizontal="general" vertical="bottom" textRotation="0" wrapText="false" indent="0" shrinkToFit="false"/>
      <protection locked="true" hidden="false"/>
    </xf>
    <xf numFmtId="164" fontId="10" fillId="20" borderId="0" xfId="0" applyFont="true" applyBorder="false" applyAlignment="true" applyProtection="false">
      <alignment horizontal="left" vertical="bottom" textRotation="0" wrapText="false" indent="0" shrinkToFit="false"/>
      <protection locked="true" hidden="false"/>
    </xf>
    <xf numFmtId="165" fontId="19" fillId="20" borderId="0" xfId="0" applyFont="true" applyBorder="false" applyAlignment="true" applyProtection="false">
      <alignment horizontal="center" vertical="bottom" textRotation="0" wrapText="false" indent="0" shrinkToFit="false"/>
      <protection locked="true" hidden="false"/>
    </xf>
    <xf numFmtId="165" fontId="19" fillId="20" borderId="0" xfId="34" applyFont="true" applyBorder="true" applyAlignment="true" applyProtection="false">
      <alignment horizontal="right" vertical="bottom" textRotation="0" wrapText="false" indent="0" shrinkToFit="false"/>
      <protection locked="true" hidden="false"/>
    </xf>
    <xf numFmtId="164" fontId="54" fillId="20" borderId="0" xfId="0" applyFont="true" applyBorder="false" applyAlignment="true" applyProtection="false">
      <alignment horizontal="right" vertical="bottom" textRotation="0" wrapText="false" indent="0" shrinkToFit="false"/>
      <protection locked="true" hidden="false"/>
    </xf>
    <xf numFmtId="164" fontId="54" fillId="20" borderId="0" xfId="0" applyFont="true" applyBorder="true" applyAlignment="true" applyProtection="false">
      <alignment horizontal="center" vertical="bottom" textRotation="0" wrapText="false" indent="0" shrinkToFit="false"/>
      <protection locked="true" hidden="false"/>
    </xf>
    <xf numFmtId="170" fontId="54" fillId="20" borderId="0" xfId="56" applyFont="true" applyBorder="true" applyAlignment="true" applyProtection="false">
      <alignment horizontal="right" vertical="bottom" textRotation="0" wrapText="false" indent="0" shrinkToFit="false"/>
      <protection locked="true" hidden="false"/>
    </xf>
    <xf numFmtId="166" fontId="19" fillId="20" borderId="0" xfId="35" applyFont="true" applyBorder="true" applyAlignment="true" applyProtection="false">
      <alignment horizontal="right" vertical="bottom" textRotation="0" wrapText="false" indent="0" shrinkToFit="false"/>
      <protection locked="true" hidden="false"/>
    </xf>
    <xf numFmtId="166" fontId="54" fillId="20" borderId="0" xfId="36" applyFont="true" applyBorder="true" applyAlignment="true" applyProtection="false">
      <alignment horizontal="right" vertical="bottom" textRotation="0" wrapText="false" indent="0" shrinkToFit="false"/>
      <protection locked="true" hidden="false"/>
    </xf>
    <xf numFmtId="165" fontId="54" fillId="20" borderId="0" xfId="39" applyFont="true" applyBorder="true" applyAlignment="true" applyProtection="false">
      <alignment horizontal="right" vertical="bottom" textRotation="0" wrapText="false" indent="0" shrinkToFit="false"/>
      <protection locked="true" hidden="false"/>
    </xf>
    <xf numFmtId="165" fontId="5" fillId="20" borderId="17" xfId="36" applyFont="true" applyBorder="true" applyAlignment="true" applyProtection="false">
      <alignment horizontal="center" vertical="bottom" textRotation="0" wrapText="false" indent="0" shrinkToFit="false"/>
      <protection locked="true" hidden="false"/>
    </xf>
    <xf numFmtId="165" fontId="10" fillId="20" borderId="0" xfId="34" applyFont="true" applyBorder="true" applyAlignment="true" applyProtection="false">
      <alignment horizontal="right" vertical="bottom" textRotation="0" wrapText="false" indent="0" shrinkToFit="false"/>
      <protection locked="true" hidden="false"/>
    </xf>
    <xf numFmtId="164" fontId="5" fillId="20" borderId="0" xfId="0" applyFont="true" applyBorder="false" applyAlignment="true" applyProtection="false">
      <alignment horizontal="right" vertical="bottom" textRotation="0" wrapText="false" indent="0" shrinkToFit="false"/>
      <protection locked="true" hidden="false"/>
    </xf>
    <xf numFmtId="164" fontId="5" fillId="20" borderId="0" xfId="0" applyFont="true" applyBorder="true" applyAlignment="true" applyProtection="false">
      <alignment horizontal="center" vertical="bottom" textRotation="0" wrapText="false" indent="0" shrinkToFit="false"/>
      <protection locked="true" hidden="false"/>
    </xf>
    <xf numFmtId="164" fontId="5" fillId="20" borderId="0" xfId="0" applyFont="true" applyBorder="false" applyAlignment="true" applyProtection="false">
      <alignment horizontal="center" vertical="bottom" textRotation="0" wrapText="false" indent="0" shrinkToFit="false"/>
      <protection locked="true" hidden="false"/>
    </xf>
    <xf numFmtId="164" fontId="6" fillId="0" borderId="13" xfId="0" applyFont="true" applyBorder="true" applyAlignment="true" applyProtection="false">
      <alignment horizontal="right" vertical="bottom" textRotation="0" wrapText="false" indent="0" shrinkToFit="false"/>
      <protection locked="true" hidden="false"/>
    </xf>
    <xf numFmtId="164" fontId="27" fillId="7" borderId="19" xfId="0" applyFont="true" applyBorder="true" applyAlignment="true" applyProtection="false">
      <alignment horizontal="general" vertical="bottom" textRotation="0" wrapText="false" indent="0" shrinkToFit="false"/>
      <protection locked="true" hidden="false"/>
    </xf>
    <xf numFmtId="164" fontId="27" fillId="7" borderId="14" xfId="0" applyFont="true" applyBorder="true" applyAlignment="true" applyProtection="false">
      <alignment horizontal="general" vertical="bottom" textRotation="0" wrapText="false" indent="0" shrinkToFit="false"/>
      <protection locked="true" hidden="false"/>
    </xf>
    <xf numFmtId="164" fontId="27" fillId="7" borderId="14" xfId="0" applyFont="true" applyBorder="true" applyAlignment="true" applyProtection="false">
      <alignment horizontal="right" vertical="bottom" textRotation="0" wrapText="false" indent="0" shrinkToFit="false"/>
      <protection locked="true" hidden="false"/>
    </xf>
    <xf numFmtId="179" fontId="27" fillId="7" borderId="14" xfId="29" applyFont="true" applyBorder="true" applyAlignment="true" applyProtection="false">
      <alignment horizontal="right" vertical="bottom" textRotation="0" wrapText="false" indent="0" shrinkToFit="false"/>
      <protection locked="true" hidden="false"/>
    </xf>
    <xf numFmtId="179" fontId="27" fillId="7" borderId="20" xfId="29" applyFont="true" applyBorder="true" applyAlignment="true" applyProtection="false">
      <alignment horizontal="right" vertical="bottom" textRotation="0" wrapText="false" indent="0" shrinkToFit="false"/>
      <protection locked="true" hidden="false"/>
    </xf>
    <xf numFmtId="164" fontId="27" fillId="7" borderId="21" xfId="0" applyFont="true" applyBorder="true" applyAlignment="true" applyProtection="false">
      <alignment horizontal="general" vertical="bottom" textRotation="0" wrapText="false" indent="0" shrinkToFit="false"/>
      <protection locked="true" hidden="false"/>
    </xf>
    <xf numFmtId="176" fontId="27" fillId="7" borderId="0" xfId="33" applyFont="true" applyBorder="true" applyAlignment="true" applyProtection="false">
      <alignment horizontal="right" vertical="bottom" textRotation="0" wrapText="false" indent="0" shrinkToFit="false"/>
      <protection locked="true" hidden="false"/>
    </xf>
    <xf numFmtId="176" fontId="27" fillId="7" borderId="22" xfId="33" applyFont="true" applyBorder="true" applyAlignment="true" applyProtection="false">
      <alignment horizontal="right" vertical="bottom" textRotation="0" wrapText="false" indent="0" shrinkToFit="false"/>
      <protection locked="true" hidden="false"/>
    </xf>
    <xf numFmtId="164" fontId="27" fillId="7" borderId="23" xfId="0" applyFont="true" applyBorder="true" applyAlignment="true" applyProtection="false">
      <alignment horizontal="general" vertical="bottom" textRotation="0" wrapText="false" indent="0" shrinkToFit="false"/>
      <protection locked="true" hidden="false"/>
    </xf>
    <xf numFmtId="164" fontId="27" fillId="7" borderId="15" xfId="0" applyFont="true" applyBorder="true" applyAlignment="true" applyProtection="false">
      <alignment horizontal="general" vertical="bottom" textRotation="0" wrapText="false" indent="0" shrinkToFit="false"/>
      <protection locked="true" hidden="false"/>
    </xf>
    <xf numFmtId="176" fontId="27" fillId="7" borderId="15" xfId="33" applyFont="true" applyBorder="true" applyAlignment="true" applyProtection="false">
      <alignment horizontal="right" vertical="bottom" textRotation="0" wrapText="false" indent="0" shrinkToFit="false"/>
      <protection locked="true" hidden="false"/>
    </xf>
    <xf numFmtId="176" fontId="27" fillId="7" borderId="24" xfId="33" applyFont="true" applyBorder="true" applyAlignment="true" applyProtection="false">
      <alignment horizontal="right" vertical="bottom" textRotation="0" wrapText="false" indent="0" shrinkToFit="false"/>
      <protection locked="true" hidden="false"/>
    </xf>
  </cellXfs>
  <cellStyles count="43">
    <cellStyle name="Normal" xfId="0" builtinId="0"/>
    <cellStyle name="Comma" xfId="15" builtinId="3"/>
    <cellStyle name="Comma [0]" xfId="16" builtinId="6"/>
    <cellStyle name="Currency" xfId="17" builtinId="4"/>
    <cellStyle name="Currency [0]" xfId="18" builtinId="7"/>
    <cellStyle name="Percent" xfId="19" builtinId="5"/>
    <cellStyle name="Date_FY_PLAN" xfId="20"/>
    <cellStyle name="Date_GJ_PLAN" xfId="21"/>
    <cellStyle name="Header_DE" xfId="22"/>
    <cellStyle name="Header_DE_Month" xfId="23"/>
    <cellStyle name="Header_EN_Month" xfId="24"/>
    <cellStyle name="Header_EN_Year" xfId="25"/>
    <cellStyle name="Komma 4" xfId="26"/>
    <cellStyle name="n/a_ACT" xfId="27"/>
    <cellStyle name="n/a_YTD" xfId="28"/>
    <cellStyle name="NEW_#9_YTD" xfId="29"/>
    <cellStyle name="NEW_#_9 SubTotal" xfId="30"/>
    <cellStyle name="NEW_#_Plan" xfId="31"/>
    <cellStyle name="NEW_#_Subtotal" xfId="32"/>
    <cellStyle name="NEW_#_Subtotal_Plan" xfId="33"/>
    <cellStyle name="NEW_#_Total" xfId="34"/>
    <cellStyle name="NEW_#_Total_Plan" xfId="35"/>
    <cellStyle name="New_#_Total_YTD" xfId="36"/>
    <cellStyle name="NEW_%_Plan" xfId="37"/>
    <cellStyle name="NEW_%_Subtotal" xfId="38"/>
    <cellStyle name="NEW_%_Total" xfId="39"/>
    <cellStyle name="NEW_%_YTD" xfId="40"/>
    <cellStyle name="NEW_%_YTD_Subtotal" xfId="41"/>
    <cellStyle name="NEW_ACT_#" xfId="42"/>
    <cellStyle name="NEW_Act_%" xfId="43"/>
    <cellStyle name="NEW_Text" xfId="44"/>
    <cellStyle name="NEW_Text_Bold" xfId="45"/>
    <cellStyle name="NEW_Text_Subtotal" xfId="46"/>
    <cellStyle name="NEW_Text_Total" xfId="47"/>
    <cellStyle name="Percent 2" xfId="48"/>
    <cellStyle name="Prozent 2" xfId="49"/>
    <cellStyle name="Standard 2" xfId="50"/>
    <cellStyle name="Standard 2 2 2" xfId="51"/>
    <cellStyle name="Standard 3" xfId="52"/>
    <cellStyle name="Text_8" xfId="53"/>
    <cellStyle name="Text_Head1" xfId="54"/>
    <cellStyle name="Text_Head2_ACT" xfId="55"/>
    <cellStyle name="User_Input" xfId="56"/>
  </cellStyles>
  <dxfs count="3">
    <dxf>
      <font>
        <color rgb="FF9C0006"/>
      </font>
      <fill>
        <patternFill>
          <bgColor rgb="FFFFC7CE"/>
        </patternFill>
      </fill>
    </dxf>
    <dxf>
      <fill>
        <patternFill>
          <bgColor rgb="FFFFC7CE"/>
        </patternFill>
      </fill>
    </dxf>
    <dxf>
      <font>
        <color rgb="FF006100"/>
      </font>
      <fill>
        <patternFill>
          <bgColor rgb="FFC6EFCE"/>
        </patternFill>
      </fill>
    </dxf>
  </dxfs>
  <colors>
    <indexedColors>
      <rgbColor rgb="FF000000"/>
      <rgbColor rgb="FFFFFFFF"/>
      <rgbColor rgb="FFFF0000"/>
      <rgbColor rgb="FF00FF00"/>
      <rgbColor rgb="FF0000FF"/>
      <rgbColor rgb="FFFFFF00"/>
      <rgbColor rgb="FFFF00FF"/>
      <rgbColor rgb="FFF2F2F2"/>
      <rgbColor rgb="FF9C0006"/>
      <rgbColor rgb="FF006100"/>
      <rgbColor rgb="FF000080"/>
      <rgbColor rgb="FF808000"/>
      <rgbColor rgb="FF800080"/>
      <rgbColor rgb="FF008986"/>
      <rgbColor rgb="FFC0C0C0"/>
      <rgbColor rgb="FF808080"/>
      <rgbColor rgb="FFBFBFBF"/>
      <rgbColor rgb="FF7030A0"/>
      <rgbColor rgb="FFFFF8D4"/>
      <rgbColor rgb="FFCEE7FE"/>
      <rgbColor rgb="FF660066"/>
      <rgbColor rgb="FFDCE0E6"/>
      <rgbColor rgb="FF0070C0"/>
      <rgbColor rgb="FFD9D9D6"/>
      <rgbColor rgb="FF000080"/>
      <rgbColor rgb="FFFF00FF"/>
      <rgbColor rgb="FFC9EC51"/>
      <rgbColor rgb="FF00FFFF"/>
      <rgbColor rgb="FF800080"/>
      <rgbColor rgb="FF800000"/>
      <rgbColor rgb="FF00AEEC"/>
      <rgbColor rgb="FF0000FF"/>
      <rgbColor rgb="FF00B0F0"/>
      <rgbColor rgb="FFC1EAE6"/>
      <rgbColor rgb="FFC6EFCE"/>
      <rgbColor rgb="FFF4F4F3"/>
      <rgbColor rgb="FF9EBEED"/>
      <rgbColor rgb="FFFFC7CE"/>
      <rgbColor rgb="FFB3B3B3"/>
      <rgbColor rgb="FFFFBA89"/>
      <rgbColor rgb="FF3366FF"/>
      <rgbColor rgb="FF00B7B3"/>
      <rgbColor rgb="FF81DCDA"/>
      <rgbColor rgb="FFFFC000"/>
      <rgbColor rgb="FFFF8C3B"/>
      <rgbColor rgb="FFFF6600"/>
      <rgbColor rgb="FF666699"/>
      <rgbColor rgb="FFA6A6A6"/>
      <rgbColor rgb="FF003366"/>
      <rgbColor rgb="FFE9EAED"/>
      <rgbColor rgb="FF17191F"/>
      <rgbColor rgb="FF404040"/>
      <rgbColor rgb="FF993300"/>
      <rgbColor rgb="FF993366"/>
      <rgbColor rgb="FF1F497D"/>
      <rgbColor rgb="FF2B30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externalLink" Target="externalLinks/externalLink1.xml"/><Relationship Id="rId4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5.png"/><Relationship Id="rId5" Type="http://schemas.openxmlformats.org/officeDocument/2006/relationships/image" Target="../media/image6.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553320</xdr:colOff>
      <xdr:row>3</xdr:row>
      <xdr:rowOff>5760</xdr:rowOff>
    </xdr:from>
    <xdr:to>
      <xdr:col>17</xdr:col>
      <xdr:colOff>106560</xdr:colOff>
      <xdr:row>4</xdr:row>
      <xdr:rowOff>153360</xdr:rowOff>
    </xdr:to>
    <xdr:pic>
      <xdr:nvPicPr>
        <xdr:cNvPr id="0" name="Bild 1" descr="https://www.bakertilly.de/fileadmin/public/Images/Logos/EMail/bakertilly_email.png"/>
        <xdr:cNvPicPr/>
      </xdr:nvPicPr>
      <xdr:blipFill>
        <a:blip r:embed="rId1"/>
        <a:stretch/>
      </xdr:blipFill>
      <xdr:spPr>
        <a:xfrm>
          <a:off x="8287560" y="462960"/>
          <a:ext cx="2775960" cy="719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443880</xdr:colOff>
      <xdr:row>98</xdr:row>
      <xdr:rowOff>47520</xdr:rowOff>
    </xdr:from>
    <xdr:to>
      <xdr:col>11</xdr:col>
      <xdr:colOff>285120</xdr:colOff>
      <xdr:row>109</xdr:row>
      <xdr:rowOff>71640</xdr:rowOff>
    </xdr:to>
    <xdr:pic>
      <xdr:nvPicPr>
        <xdr:cNvPr id="1" name="Grafik 7" descr=""/>
        <xdr:cNvPicPr/>
      </xdr:nvPicPr>
      <xdr:blipFill>
        <a:blip r:embed="rId1"/>
        <a:stretch/>
      </xdr:blipFill>
      <xdr:spPr>
        <a:xfrm>
          <a:off x="7663320" y="14639760"/>
          <a:ext cx="2167200" cy="1700640"/>
        </a:xfrm>
        <a:prstGeom prst="rect">
          <a:avLst/>
        </a:prstGeom>
        <a:ln w="0">
          <a:solidFill>
            <a:srgbClr val="000000"/>
          </a:solidFill>
        </a:ln>
      </xdr:spPr>
    </xdr:pic>
    <xdr:clientData/>
  </xdr:twoCellAnchor>
  <xdr:twoCellAnchor editAs="oneCell">
    <xdr:from>
      <xdr:col>8</xdr:col>
      <xdr:colOff>443880</xdr:colOff>
      <xdr:row>132</xdr:row>
      <xdr:rowOff>95400</xdr:rowOff>
    </xdr:from>
    <xdr:to>
      <xdr:col>17</xdr:col>
      <xdr:colOff>141120</xdr:colOff>
      <xdr:row>146</xdr:row>
      <xdr:rowOff>46440</xdr:rowOff>
    </xdr:to>
    <xdr:pic>
      <xdr:nvPicPr>
        <xdr:cNvPr id="2" name="Grafik 4" descr=""/>
        <xdr:cNvPicPr/>
      </xdr:nvPicPr>
      <xdr:blipFill>
        <a:blip r:embed="rId2"/>
        <a:stretch/>
      </xdr:blipFill>
      <xdr:spPr>
        <a:xfrm>
          <a:off x="7663320" y="19697760"/>
          <a:ext cx="6675120" cy="2084760"/>
        </a:xfrm>
        <a:prstGeom prst="rect">
          <a:avLst/>
        </a:prstGeom>
        <a:ln w="0">
          <a:solidFill>
            <a:srgbClr val="000000"/>
          </a:solidFill>
        </a:ln>
      </xdr:spPr>
    </xdr:pic>
    <xdr:clientData/>
  </xdr:twoCellAnchor>
  <xdr:twoCellAnchor editAs="oneCell">
    <xdr:from>
      <xdr:col>8</xdr:col>
      <xdr:colOff>443880</xdr:colOff>
      <xdr:row>113</xdr:row>
      <xdr:rowOff>135000</xdr:rowOff>
    </xdr:from>
    <xdr:to>
      <xdr:col>13</xdr:col>
      <xdr:colOff>487080</xdr:colOff>
      <xdr:row>127</xdr:row>
      <xdr:rowOff>65520</xdr:rowOff>
    </xdr:to>
    <xdr:pic>
      <xdr:nvPicPr>
        <xdr:cNvPr id="3" name="Grafik 5" descr=""/>
        <xdr:cNvPicPr/>
      </xdr:nvPicPr>
      <xdr:blipFill>
        <a:blip r:embed="rId3"/>
        <a:stretch/>
      </xdr:blipFill>
      <xdr:spPr>
        <a:xfrm>
          <a:off x="7663320" y="16927560"/>
          <a:ext cx="3919680" cy="2064240"/>
        </a:xfrm>
        <a:prstGeom prst="rect">
          <a:avLst/>
        </a:prstGeom>
        <a:ln w="0">
          <a:solidFill>
            <a:srgbClr val="000000"/>
          </a:solidFill>
        </a:ln>
      </xdr:spPr>
    </xdr:pic>
    <xdr:clientData/>
  </xdr:twoCellAnchor>
  <xdr:twoCellAnchor editAs="oneCell">
    <xdr:from>
      <xdr:col>12</xdr:col>
      <xdr:colOff>91440</xdr:colOff>
      <xdr:row>1</xdr:row>
      <xdr:rowOff>38160</xdr:rowOff>
    </xdr:from>
    <xdr:to>
      <xdr:col>15</xdr:col>
      <xdr:colOff>261720</xdr:colOff>
      <xdr:row>8</xdr:row>
      <xdr:rowOff>120960</xdr:rowOff>
    </xdr:to>
    <xdr:pic>
      <xdr:nvPicPr>
        <xdr:cNvPr id="4" name="Picture 9" descr=""/>
        <xdr:cNvPicPr/>
      </xdr:nvPicPr>
      <xdr:blipFill>
        <a:blip r:embed="rId4"/>
        <a:stretch/>
      </xdr:blipFill>
      <xdr:spPr>
        <a:xfrm>
          <a:off x="10411920" y="190440"/>
          <a:ext cx="2496600" cy="1149840"/>
        </a:xfrm>
        <a:prstGeom prst="rect">
          <a:avLst/>
        </a:prstGeom>
        <a:ln w="0">
          <a:solidFill>
            <a:srgbClr val="000000"/>
          </a:solidFill>
        </a:ln>
      </xdr:spPr>
    </xdr:pic>
    <xdr:clientData/>
  </xdr:twoCellAnchor>
  <xdr:twoCellAnchor editAs="oneCell">
    <xdr:from>
      <xdr:col>12</xdr:col>
      <xdr:colOff>91440</xdr:colOff>
      <xdr:row>11</xdr:row>
      <xdr:rowOff>114480</xdr:rowOff>
    </xdr:from>
    <xdr:to>
      <xdr:col>16</xdr:col>
      <xdr:colOff>497160</xdr:colOff>
      <xdr:row>23</xdr:row>
      <xdr:rowOff>75600</xdr:rowOff>
    </xdr:to>
    <xdr:pic>
      <xdr:nvPicPr>
        <xdr:cNvPr id="5" name="Picture 11" descr=""/>
        <xdr:cNvPicPr/>
      </xdr:nvPicPr>
      <xdr:blipFill>
        <a:blip r:embed="rId5"/>
        <a:stretch/>
      </xdr:blipFill>
      <xdr:spPr>
        <a:xfrm>
          <a:off x="10411920" y="1705320"/>
          <a:ext cx="3507120" cy="1789920"/>
        </a:xfrm>
        <a:prstGeom prst="rect">
          <a:avLst/>
        </a:prstGeom>
        <a:ln w="0">
          <a:solidFill>
            <a:srgbClr val="000000"/>
          </a:solid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S:/_M&#252;nchen/TS/Projekte/GBC%20-%20Projekt%20M&#252;nchen/400%20Datenraum/Steuerberater/Controlling/Controlling%2020/Controlling/Controlling%2012-20.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Controllingreport"/>
      <sheetName val="Erfolg"/>
      <sheetName val="Liquidität"/>
      <sheetName val="Privatbereich Kapital"/>
      <sheetName val="Top Kunden"/>
      <sheetName val="Top Lieferanten"/>
      <sheetName val="Erfolgsplanung"/>
      <sheetName val="Planerreichung"/>
      <sheetName val="Ausgew. stl. Korrekturen"/>
      <sheetName val="Branchenauswertung"/>
      <sheetName val="PARAMETER"/>
      <sheetName val="BRANCHENDATEN"/>
      <sheetName val="DATENHALTUN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xmlns:r="http://schemas.openxmlformats.org/officeDocument/2006/relationships" name="Office Theme">
  <a:themeElements>
    <a:clrScheme name="Neu">
      <a:dk1>
        <a:srgbClr val="000000"/>
      </a:dk1>
      <a:lt1>
        <a:srgbClr val="ffffff"/>
      </a:lt1>
      <a:dk2>
        <a:srgbClr val="ffdc2a"/>
      </a:dk2>
      <a:lt2>
        <a:srgbClr val="ff8c3b"/>
      </a:lt2>
      <a:accent1>
        <a:srgbClr val="00b7b3"/>
      </a:accent1>
      <a:accent2>
        <a:srgbClr val="87e7db"/>
      </a:accent2>
      <a:accent3>
        <a:srgbClr val="3d7edb"/>
      </a:accent3>
      <a:accent4>
        <a:srgbClr val="9ebeed"/>
      </a:accent4>
      <a:accent5>
        <a:srgbClr val="2b303a"/>
      </a:accent5>
      <a:accent6>
        <a:srgbClr val="8f96a3"/>
      </a:accent6>
      <a:hlink>
        <a:srgbClr val="000000"/>
      </a:hlink>
      <a:folHlink>
        <a:srgbClr val="3c7edb"/>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B4:R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0" activeCellId="0" sqref="B10"/>
    </sheetView>
  </sheetViews>
  <sheetFormatPr defaultColWidth="9.1484375" defaultRowHeight="12" zeroHeight="false" outlineLevelRow="0" outlineLevelCol="0"/>
  <cols>
    <col collapsed="false" customWidth="false" hidden="false" outlineLevel="0" max="16384" min="1" style="1" width="9.14"/>
  </cols>
  <sheetData>
    <row r="4" customFormat="false" ht="45" hidden="false" customHeight="true" outlineLevel="0" collapsed="false">
      <c r="B4" s="2" t="str">
        <f aca="false">"Project: "&amp;Cockpit!C4</f>
        <v>Project: Template</v>
      </c>
    </row>
    <row r="5" customFormat="false" ht="27.75" hidden="false" customHeight="true" outlineLevel="0" collapsed="false">
      <c r="B5" s="3"/>
    </row>
    <row r="6" customFormat="false" ht="20.25" hidden="false" customHeight="true" outlineLevel="0" collapsed="false">
      <c r="B6" s="4" t="s">
        <v>0</v>
      </c>
    </row>
    <row r="9" customFormat="false" ht="15" hidden="false" customHeight="true" outlineLevel="0" collapsed="false">
      <c r="B9" s="5" t="s">
        <v>1</v>
      </c>
    </row>
    <row r="11" customFormat="false" ht="12" hidden="false" customHeight="true" outlineLevel="0" collapsed="false">
      <c r="B11" s="6" t="s">
        <v>2</v>
      </c>
      <c r="C11" s="7"/>
      <c r="D11" s="7"/>
    </row>
    <row r="14" customFormat="false" ht="12" hidden="false" customHeight="true" outlineLevel="0" collapsed="false">
      <c r="B14" s="8" t="s">
        <v>3</v>
      </c>
      <c r="C14" s="8"/>
      <c r="D14" s="8"/>
      <c r="E14" s="8"/>
      <c r="F14" s="8"/>
      <c r="G14" s="8"/>
      <c r="H14" s="8"/>
      <c r="I14" s="8"/>
      <c r="J14" s="8"/>
      <c r="K14" s="8"/>
      <c r="L14" s="8"/>
      <c r="M14" s="8"/>
      <c r="N14" s="8"/>
      <c r="O14" s="8"/>
      <c r="P14" s="8"/>
      <c r="Q14" s="8"/>
      <c r="R14" s="8"/>
    </row>
    <row r="15" customFormat="false" ht="12" hidden="false" customHeight="true" outlineLevel="0" collapsed="false">
      <c r="B15" s="8"/>
      <c r="C15" s="8"/>
      <c r="D15" s="8"/>
      <c r="E15" s="8"/>
      <c r="F15" s="8"/>
      <c r="G15" s="8"/>
      <c r="H15" s="8"/>
      <c r="I15" s="8"/>
      <c r="J15" s="8"/>
      <c r="K15" s="8"/>
      <c r="L15" s="8"/>
      <c r="M15" s="8"/>
      <c r="N15" s="8"/>
      <c r="O15" s="8"/>
      <c r="P15" s="8"/>
      <c r="Q15" s="8"/>
      <c r="R15" s="8"/>
    </row>
    <row r="16" customFormat="false" ht="12" hidden="false" customHeight="true" outlineLevel="0" collapsed="false">
      <c r="B16" s="8"/>
      <c r="C16" s="8"/>
      <c r="D16" s="8"/>
      <c r="E16" s="8"/>
      <c r="F16" s="8"/>
      <c r="G16" s="8"/>
      <c r="H16" s="8"/>
      <c r="I16" s="8"/>
      <c r="J16" s="8"/>
      <c r="K16" s="8"/>
      <c r="L16" s="8"/>
      <c r="M16" s="8"/>
      <c r="N16" s="8"/>
      <c r="O16" s="8"/>
      <c r="P16" s="8"/>
      <c r="Q16" s="8"/>
      <c r="R16" s="8"/>
    </row>
    <row r="17" customFormat="false" ht="12" hidden="false" customHeight="true" outlineLevel="0" collapsed="false">
      <c r="B17" s="8"/>
      <c r="C17" s="8"/>
      <c r="D17" s="8"/>
      <c r="E17" s="8"/>
      <c r="F17" s="8"/>
      <c r="G17" s="8"/>
      <c r="H17" s="8"/>
      <c r="I17" s="8"/>
      <c r="J17" s="8"/>
      <c r="K17" s="8"/>
      <c r="L17" s="8"/>
      <c r="M17" s="8"/>
      <c r="N17" s="8"/>
      <c r="O17" s="8"/>
      <c r="P17" s="8"/>
      <c r="Q17" s="8"/>
      <c r="R17" s="8"/>
    </row>
    <row r="18" customFormat="false" ht="12" hidden="false" customHeight="true" outlineLevel="0" collapsed="false">
      <c r="B18" s="8"/>
      <c r="C18" s="8"/>
      <c r="D18" s="8"/>
      <c r="E18" s="8"/>
      <c r="F18" s="8"/>
      <c r="G18" s="8"/>
      <c r="H18" s="8"/>
      <c r="I18" s="8"/>
      <c r="J18" s="8"/>
      <c r="K18" s="8"/>
      <c r="L18" s="8"/>
      <c r="M18" s="8"/>
      <c r="N18" s="8"/>
      <c r="O18" s="8"/>
      <c r="P18" s="8"/>
      <c r="Q18" s="8"/>
      <c r="R18" s="8"/>
    </row>
    <row r="19" customFormat="false" ht="12" hidden="false" customHeight="true" outlineLevel="0" collapsed="false">
      <c r="B19" s="8"/>
      <c r="C19" s="8"/>
      <c r="D19" s="8"/>
      <c r="E19" s="8"/>
      <c r="F19" s="8"/>
      <c r="G19" s="8"/>
      <c r="H19" s="8"/>
      <c r="I19" s="8"/>
      <c r="J19" s="8"/>
      <c r="K19" s="8"/>
      <c r="L19" s="8"/>
      <c r="M19" s="8"/>
      <c r="N19" s="8"/>
      <c r="O19" s="8"/>
      <c r="P19" s="8"/>
      <c r="Q19" s="8"/>
      <c r="R19" s="8"/>
    </row>
    <row r="20" customFormat="false" ht="12" hidden="false" customHeight="true" outlineLevel="0" collapsed="false">
      <c r="B20" s="8"/>
      <c r="C20" s="8"/>
      <c r="D20" s="8"/>
      <c r="E20" s="8"/>
      <c r="F20" s="8"/>
      <c r="G20" s="8"/>
      <c r="H20" s="8"/>
      <c r="I20" s="8"/>
      <c r="J20" s="8"/>
      <c r="K20" s="8"/>
      <c r="L20" s="8"/>
      <c r="M20" s="8"/>
      <c r="N20" s="8"/>
      <c r="O20" s="8"/>
      <c r="P20" s="8"/>
      <c r="Q20" s="8"/>
      <c r="R20" s="8"/>
    </row>
  </sheetData>
  <mergeCells count="1">
    <mergeCell ref="B14:R2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3:CJ46"/>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K22" activeCellId="0" sqref="K22"/>
    </sheetView>
  </sheetViews>
  <sheetFormatPr defaultColWidth="11.2890625" defaultRowHeight="12" zeroHeight="false" outlineLevelRow="1" outlineLevelCol="0"/>
  <cols>
    <col collapsed="false" customWidth="true" hidden="false" outlineLevel="0" max="1" min="1" style="9" width="2.71"/>
    <col collapsed="false" customWidth="true" hidden="false" outlineLevel="0" max="2" min="2" style="9" width="23.42"/>
    <col collapsed="false" customWidth="true" hidden="false" outlineLevel="0" max="3" min="3" style="9" width="24.71"/>
    <col collapsed="false" customWidth="false" hidden="false" outlineLevel="0" max="16384" min="4" style="9" width="11.29"/>
  </cols>
  <sheetData>
    <row r="3" customFormat="false" ht="12" hidden="false" customHeight="true" outlineLevel="0" collapsed="false">
      <c r="B3" s="10" t="s">
        <v>4</v>
      </c>
      <c r="C3" s="10"/>
      <c r="F3" s="11"/>
      <c r="G3" s="9" t="e">
        <f aca="false">user input</f>
        <v>#VALUE!</v>
      </c>
    </row>
    <row r="4" customFormat="false" ht="12" hidden="false" customHeight="true" outlineLevel="0" collapsed="false">
      <c r="B4" s="9" t="s">
        <v>5</v>
      </c>
      <c r="C4" s="11" t="s">
        <v>6</v>
      </c>
    </row>
    <row r="5" customFormat="false" ht="12" hidden="false" customHeight="true" outlineLevel="0" collapsed="false">
      <c r="B5" s="9" t="s">
        <v>7</v>
      </c>
      <c r="C5" s="11" t="s">
        <v>8</v>
      </c>
      <c r="F5" s="12"/>
      <c r="G5" s="9" t="e">
        <f aca="false">technische hilfszelle --&gt; nicht löschen</f>
        <v>#VALUE!</v>
      </c>
    </row>
    <row r="6" customFormat="false" ht="4.5" hidden="false" customHeight="true" outlineLevel="0" collapsed="false">
      <c r="B6" s="13"/>
      <c r="C6" s="13"/>
    </row>
    <row r="7" customFormat="false" ht="12" hidden="false" customHeight="true" outlineLevel="0" collapsed="false">
      <c r="B7" s="9" t="s">
        <v>9</v>
      </c>
      <c r="C7" s="11" t="s">
        <v>10</v>
      </c>
    </row>
    <row r="8" customFormat="false" ht="12" hidden="false" customHeight="true" outlineLevel="0" collapsed="false">
      <c r="B8" s="9" t="s">
        <v>11</v>
      </c>
      <c r="C8" s="11" t="s">
        <v>12</v>
      </c>
    </row>
    <row r="9" customFormat="false" ht="12" hidden="false" customHeight="true" outlineLevel="0" collapsed="false">
      <c r="B9" s="14"/>
    </row>
    <row r="10" customFormat="false" ht="12" hidden="false" customHeight="true" outlineLevel="0" collapsed="false">
      <c r="B10" s="10" t="s">
        <v>13</v>
      </c>
      <c r="C10" s="10"/>
    </row>
    <row r="11" customFormat="false" ht="12" hidden="false" customHeight="true" outlineLevel="0" collapsed="false">
      <c r="B11" s="9" t="s">
        <v>14</v>
      </c>
      <c r="C11" s="11"/>
    </row>
    <row r="12" customFormat="false" ht="12" hidden="false" customHeight="true" outlineLevel="0" collapsed="false">
      <c r="B12" s="9" t="s">
        <v>15</v>
      </c>
      <c r="C12" s="11"/>
    </row>
    <row r="13" customFormat="false" ht="12" hidden="false" customHeight="true" outlineLevel="0" collapsed="false">
      <c r="B13" s="9" t="s">
        <v>16</v>
      </c>
      <c r="C13" s="11"/>
    </row>
    <row r="16" customFormat="false" ht="12" hidden="false" customHeight="true" outlineLevel="0" collapsed="false">
      <c r="B16" s="10" t="s">
        <v>17</v>
      </c>
      <c r="C16" s="10"/>
    </row>
    <row r="17" customFormat="false" ht="12" hidden="false" customHeight="true" outlineLevel="0" collapsed="false">
      <c r="B17" s="9" t="s">
        <v>18</v>
      </c>
      <c r="C17" s="15" t="n">
        <v>44926</v>
      </c>
    </row>
    <row r="18" customFormat="false" ht="12" hidden="false" customHeight="true" outlineLevel="0" collapsed="false">
      <c r="B18" s="9" t="s">
        <v>19</v>
      </c>
      <c r="C18" s="11" t="n">
        <v>3</v>
      </c>
    </row>
    <row r="19" customFormat="false" ht="12" hidden="false" customHeight="true" outlineLevel="0" collapsed="false">
      <c r="B19" s="9" t="s">
        <v>20</v>
      </c>
      <c r="C19" s="16" t="s">
        <v>21</v>
      </c>
      <c r="D19" s="17" t="s">
        <v>22</v>
      </c>
    </row>
    <row r="20" customFormat="false" ht="4.5" hidden="false" customHeight="true" outlineLevel="0" collapsed="false">
      <c r="B20" s="13"/>
      <c r="C20" s="13"/>
    </row>
    <row r="21" customFormat="false" ht="12" hidden="false" customHeight="true" outlineLevel="0" collapsed="false">
      <c r="B21" s="9" t="s">
        <v>23</v>
      </c>
      <c r="C21" s="15" t="n">
        <v>45658</v>
      </c>
      <c r="D21" s="18" t="str">
        <f aca="false">IF(C21&lt;(EDATE(C17,24)),"CYT Begin Date must not be prior to historical date","ok")</f>
        <v>ok</v>
      </c>
    </row>
    <row r="22" customFormat="false" ht="12" hidden="false" customHeight="true" outlineLevel="0" collapsed="false">
      <c r="B22" s="9" t="s">
        <v>24</v>
      </c>
      <c r="C22" s="15" t="n">
        <v>45808</v>
      </c>
      <c r="D22" s="19" t="str">
        <f aca="false">IF(TEXT($C$22,"TT.MM.")="31.12.","CYT date must not be December 31, check","ok")</f>
        <v>ok</v>
      </c>
    </row>
    <row r="23" customFormat="false" ht="12" hidden="false" customHeight="true" outlineLevel="0" collapsed="false">
      <c r="B23" s="9" t="s">
        <v>25</v>
      </c>
      <c r="C23" s="16" t="s">
        <v>26</v>
      </c>
      <c r="D23" s="20"/>
    </row>
    <row r="24" customFormat="false" ht="14.25" hidden="false" customHeight="true" outlineLevel="0" collapsed="false">
      <c r="B24" s="9" t="s">
        <v>27</v>
      </c>
      <c r="C24" s="16" t="s">
        <v>28</v>
      </c>
      <c r="D24" s="20"/>
      <c r="E24" s="21"/>
    </row>
    <row r="25" customFormat="false" ht="14.25" hidden="false" customHeight="true" outlineLevel="0" collapsed="false">
      <c r="B25" s="9" t="s">
        <v>29</v>
      </c>
      <c r="C25" s="16" t="s">
        <v>30</v>
      </c>
      <c r="D25" s="20"/>
      <c r="E25" s="21"/>
    </row>
    <row r="26" customFormat="false" ht="4.5" hidden="false" customHeight="true" outlineLevel="0" collapsed="false">
      <c r="B26" s="13"/>
      <c r="C26" s="13"/>
    </row>
    <row r="27" customFormat="false" ht="12" hidden="false" customHeight="true" outlineLevel="0" collapsed="false">
      <c r="B27" s="9" t="s">
        <v>20</v>
      </c>
      <c r="C27" s="16" t="s">
        <v>31</v>
      </c>
      <c r="D27" s="20"/>
    </row>
    <row r="31" customFormat="false" ht="12" hidden="false" customHeight="true" outlineLevel="0" collapsed="false">
      <c r="B31" s="10" t="s">
        <v>32</v>
      </c>
      <c r="C31" s="10"/>
      <c r="D31" s="10"/>
      <c r="E31" s="10"/>
      <c r="F31" s="10"/>
      <c r="G31" s="10"/>
      <c r="H31" s="10"/>
      <c r="I31" s="10"/>
      <c r="J31" s="10"/>
      <c r="K31" s="10"/>
      <c r="L31" s="10"/>
    </row>
    <row r="32" customFormat="false" ht="12" hidden="false" customHeight="true" outlineLevel="1" collapsed="false">
      <c r="B32" s="22" t="s">
        <v>33</v>
      </c>
      <c r="C32" s="23"/>
      <c r="D32" s="24" t="n">
        <v>1</v>
      </c>
      <c r="E32" s="11" t="n">
        <f aca="false">D32+1</f>
        <v>2</v>
      </c>
      <c r="F32" s="11" t="n">
        <f aca="false">E32+1</f>
        <v>3</v>
      </c>
      <c r="G32" s="11" t="n">
        <f aca="false">F32+1</f>
        <v>4</v>
      </c>
      <c r="H32" s="11" t="n">
        <f aca="false">G32+1</f>
        <v>5</v>
      </c>
      <c r="I32" s="11" t="n">
        <f aca="false">H32+1</f>
        <v>6</v>
      </c>
      <c r="J32" s="11" t="n">
        <f aca="false">I32+1</f>
        <v>7</v>
      </c>
      <c r="K32" s="11" t="n">
        <f aca="false">J32+1</f>
        <v>8</v>
      </c>
      <c r="L32" s="11" t="n">
        <f aca="false">K32+1</f>
        <v>9</v>
      </c>
    </row>
    <row r="33" customFormat="false" ht="12" hidden="false" customHeight="true" outlineLevel="0" collapsed="false">
      <c r="B33" s="9" t="s">
        <v>34</v>
      </c>
      <c r="C33" s="12" t="n">
        <f aca="false">EDATE($C$17,-12)</f>
        <v>44561</v>
      </c>
      <c r="D33" s="19" t="n">
        <f aca="false">IF(D$32&lt;$C$18+1,EDATE($C$33,12*D$32),IF(OR(D$32=$C$18+1,D$32=$C$18+2),$C$22,IF(D$32&gt;$C$18+2,EDATE($C$33,(D$32-2)*12))))</f>
        <v>44926</v>
      </c>
      <c r="E33" s="19" t="n">
        <f aca="false">IF(E$32&lt;$C$18+1,EDATE($C$33,12*E$32),IF(OR(E$32=$C$18+1,E$32=$C$18+2),$C$22,IF(E$32&gt;$C$18+2,EDATE($C$33,(E$32-2)*12))))</f>
        <v>45291</v>
      </c>
      <c r="F33" s="19" t="n">
        <f aca="false">IF(F$32&lt;$C$18+1,EDATE($C$33,12*F$32),IF(OR(F$32=$C$18+1,F$32=$C$18+2),$C$22,IF(F$32&gt;$C$18+2,EDATE($C$33,(F$32-2)*12))))</f>
        <v>45657</v>
      </c>
      <c r="G33" s="19" t="n">
        <f aca="false">IF(G$32&lt;$C$18+1,EDATE($C$33,12*G$32),IF(OR(G$32=$C$18+1,G$32=$C$18+2),$C$22,IF(G$32&gt;$C$18+2,EDATE($C$33,(G$32-2)*12))))</f>
        <v>45808</v>
      </c>
      <c r="H33" s="19" t="n">
        <f aca="false">IF(H$32&lt;$C$18+1,EDATE($C$33,12*H$32),IF(OR(H$32=$C$18+1,H$32=$C$18+2),$C$22,IF(H$32&gt;$C$18+2,EDATE($C$33,(H$32-2)*12))))</f>
        <v>45808</v>
      </c>
      <c r="I33" s="19" t="n">
        <f aca="false">IF(I$32&lt;$C$18+1,EDATE($C$33,12*I$32),IF(OR(I$32=$C$18+1,I$32=$C$18+2),$C$22,IF(I$32&gt;$C$18+2,EDATE($C$33,(I$32-2)*12))))</f>
        <v>46022</v>
      </c>
      <c r="J33" s="19" t="n">
        <f aca="false">IF(J$32&lt;$C$18+1,EDATE($C$33,12*J$32),IF(OR(J$32=$C$18+1,J$32=$C$18+2),$C$22,IF(J$32&gt;$C$18+2,EDATE($C$33,(J$32-2)*12))))</f>
        <v>46387</v>
      </c>
      <c r="K33" s="19" t="n">
        <f aca="false">IF(K$32&lt;$C$18+1,EDATE($C$33,12*K$32),IF(OR(K$32=$C$18+1,K$32=$C$18+2),$C$22,IF(K$32&gt;$C$18+2,EDATE($C$33,(K$32-2)*12))))</f>
        <v>46752</v>
      </c>
      <c r="L33" s="19" t="n">
        <f aca="false">IF(L$32&lt;$C$18+1,EDATE($C$33,12*L$32),IF(OR(L$32=$C$18+1,L$32=$C$18+2),$C$22,IF(L$32&gt;$C$18+2,EDATE($C$33,(L$32-2)*12))))</f>
        <v>47118</v>
      </c>
    </row>
    <row r="34" customFormat="false" ht="12" hidden="false" customHeight="true" outlineLevel="0" collapsed="false">
      <c r="B34" s="9" t="s">
        <v>20</v>
      </c>
      <c r="C34" s="25" t="str">
        <f aca="false">$C$19</f>
        <v>IST</v>
      </c>
      <c r="D34" s="26" t="str">
        <f aca="false">IF(D$32&lt;=$C$18,$C$19,IF(D$32=$C$18+1,$C$23,IF(D$32=$C$18+2,$C$24,$C$27)))</f>
        <v>IST</v>
      </c>
      <c r="E34" s="26" t="str">
        <f aca="false">IF(E$32&lt;=$C$18,$C$19,IF(E$32=$C$18+1,$C$23,IF(E$32=$C$18+2,$C$24,$C$27)))</f>
        <v>IST</v>
      </c>
      <c r="F34" s="26" t="str">
        <f aca="false">IF(F$32&lt;=$C$18,$C$19,IF(F$32=$C$18+1,$C$23,IF(F$32=$C$18+2,$C$24,$C$27)))</f>
        <v>IST</v>
      </c>
      <c r="G34" s="26" t="str">
        <f aca="false">IF(G$32&lt;=$C$18,$C$19,IF(G$32=$C$18+1,$C$23,IF(G$32=$C$18+2,$C$24,$C$27)))</f>
        <v>LTM</v>
      </c>
      <c r="H34" s="26" t="str">
        <f aca="false">IF(H$32&lt;=$C$18,$C$19,IF(H$32=$C$18+1,$C$23,IF(H$32=$C$18+2,$C$24,$C$27)))</f>
        <v>YTD</v>
      </c>
      <c r="I34" s="26" t="str">
        <f aca="false">IF(I$32&lt;=$C$18,$C$19,IF(I$32=$C$18+1,$C$23,IF(I$32=$C$18+2,$C$24,$C$27)))</f>
        <v>Plan</v>
      </c>
      <c r="J34" s="26" t="str">
        <f aca="false">IF(J$32&lt;=$C$18,$C$19,IF(J$32=$C$18+1,$C$23,IF(J$32=$C$18+2,$C$24,$C$27)))</f>
        <v>Plan</v>
      </c>
      <c r="K34" s="26" t="str">
        <f aca="false">IF(K$32&lt;=$C$18,$C$19,IF(K$32=$C$18+1,$C$23,IF(K$32=$C$18+2,$C$24,$C$27)))</f>
        <v>Plan</v>
      </c>
      <c r="L34" s="26" t="str">
        <f aca="false">IF(L$32&lt;=$C$18,$C$19,IF(L$32=$C$18+1,$C$23,IF(L$32=$C$18+2,$C$24,$C$27)))</f>
        <v>Plan</v>
      </c>
    </row>
    <row r="35" customFormat="false" ht="12" hidden="false" customHeight="true" outlineLevel="0" collapsed="false">
      <c r="D35" s="26"/>
      <c r="E35" s="26"/>
      <c r="F35" s="26"/>
      <c r="G35" s="26"/>
      <c r="H35" s="26"/>
      <c r="I35" s="26"/>
      <c r="J35" s="26"/>
      <c r="K35" s="26"/>
      <c r="L35" s="26"/>
    </row>
    <row r="37" customFormat="false" ht="14.25" hidden="false" customHeight="true" outlineLevel="0" collapsed="false">
      <c r="B37" s="10" t="s">
        <v>35</v>
      </c>
      <c r="C37" s="10"/>
      <c r="D37" s="10"/>
      <c r="E37" s="10"/>
      <c r="F37" s="10"/>
      <c r="G37" s="10"/>
      <c r="H37" s="10"/>
      <c r="I37" s="10"/>
      <c r="J37" s="10"/>
      <c r="K37" s="10"/>
      <c r="L37" s="21"/>
      <c r="M37" s="21"/>
    </row>
    <row r="38" s="31" customFormat="true" ht="14.25" hidden="false" customHeight="true" outlineLevel="1" collapsed="false">
      <c r="A38" s="9"/>
      <c r="B38" s="27" t="s">
        <v>33</v>
      </c>
      <c r="C38" s="28"/>
      <c r="D38" s="29" t="n">
        <v>1</v>
      </c>
      <c r="E38" s="29" t="n">
        <f aca="false">D38+1</f>
        <v>2</v>
      </c>
      <c r="F38" s="29" t="n">
        <f aca="false">E38+1</f>
        <v>3</v>
      </c>
      <c r="G38" s="29" t="n">
        <f aca="false">F38+1</f>
        <v>4</v>
      </c>
      <c r="H38" s="29" t="n">
        <f aca="false">G38+1</f>
        <v>5</v>
      </c>
      <c r="I38" s="29" t="n">
        <f aca="false">H38+1</f>
        <v>6</v>
      </c>
      <c r="J38" s="29" t="n">
        <f aca="false">I38+1</f>
        <v>7</v>
      </c>
      <c r="K38" s="29" t="n">
        <f aca="false">J38+1</f>
        <v>8</v>
      </c>
      <c r="L38" s="30"/>
      <c r="M38" s="30"/>
    </row>
    <row r="39" customFormat="false" ht="14.25" hidden="false" customHeight="true" outlineLevel="0" collapsed="false">
      <c r="B39" s="9" t="s">
        <v>36</v>
      </c>
      <c r="C39" s="12" t="n">
        <f aca="false">EDATE($C$17,-12)</f>
        <v>44561</v>
      </c>
      <c r="D39" s="19" t="n">
        <f aca="false">IF(D$38&lt;$C$18+1,EDATE($C$39,12*D$38),IF(D$38=$C$18+1,$C$22,IF(D$38&gt;$C$18+1,EDATE($C$39,(D$38-1)*12))))</f>
        <v>44926</v>
      </c>
      <c r="E39" s="19" t="n">
        <f aca="false">IF(E$38&lt;$C$18+1,EDATE($C$39,12*E$38),IF(E$38=$C$18+1,$C$22,IF(E$38&gt;$C$18+1,EDATE($C$39,(E$38-1)*12))))</f>
        <v>45291</v>
      </c>
      <c r="F39" s="19" t="n">
        <f aca="false">IF(F$38&lt;$C$18+1,EDATE($C$39,12*F$38),IF(F$38=$C$18+1,$C$22,IF(F$38&gt;$C$18+1,EDATE($C$39,(F$38-1)*12))))</f>
        <v>45657</v>
      </c>
      <c r="G39" s="19" t="n">
        <f aca="false">IF(G$38&lt;$C$18+1,EDATE($C$39,12*G$38),IF(G$38=$C$18+1,$C$22,IF(G$38&gt;$C$18+1,EDATE($C$39,(G$38-1)*12))))</f>
        <v>45808</v>
      </c>
      <c r="H39" s="19" t="n">
        <f aca="false">IF(H$38&lt;$C$18+1,EDATE($C$39,12*H$38),IF(H$38=$C$18+1,$C$22,IF(H$38&gt;$C$18+1,EDATE($C$39,(H$38-1)*12))))</f>
        <v>46022</v>
      </c>
      <c r="I39" s="19" t="n">
        <f aca="false">IF(I$38&lt;$C$18+1,EDATE($C$39,12*I$38),IF(I$38=$C$18+1,$C$22,IF(I$38&gt;$C$18+1,EDATE($C$39,(I$38-1)*12))))</f>
        <v>46387</v>
      </c>
      <c r="J39" s="19" t="n">
        <f aca="false">IF(J$38&lt;$C$18+1,EDATE($C$39,12*J$38),IF(J$38=$C$18+1,$C$22,IF(J$38&gt;$C$18+1,EDATE($C$39,(J$38-1)*12))))</f>
        <v>46752</v>
      </c>
      <c r="K39" s="19" t="n">
        <f aca="false">IF(K$38&lt;$C$18+1,EDATE($C$39,12*K$38),IF(K$38=$C$18+1,$C$22,IF(K$38&gt;$C$18+1,EDATE($C$39,(K$38-1)*12))))</f>
        <v>47118</v>
      </c>
      <c r="L39" s="21"/>
      <c r="M39" s="21"/>
    </row>
    <row r="40" customFormat="false" ht="14.25" hidden="false" customHeight="true" outlineLevel="0" collapsed="false">
      <c r="B40" s="9" t="s">
        <v>20</v>
      </c>
      <c r="C40" s="25" t="str">
        <f aca="false">$C$19</f>
        <v>IST</v>
      </c>
      <c r="D40" s="26" t="str">
        <f aca="false">IF(D$38&lt;=$C$18,$C$19,IF(D$38=$C$18+1,$C$19,$C$27))</f>
        <v>IST</v>
      </c>
      <c r="E40" s="26" t="str">
        <f aca="false">IF(E$38&lt;=$C$18,$C$19,IF(E$38=$C$18+1,$C$19,$C$27))</f>
        <v>IST</v>
      </c>
      <c r="F40" s="26" t="str">
        <f aca="false">IF(F$38&lt;=$C$18,$C$19,IF(F$38=$C$18+1,$C$19,$C$27))</f>
        <v>IST</v>
      </c>
      <c r="G40" s="26" t="str">
        <f aca="false">IF(G$38&lt;=$C$18,$C$19,IF(G$38=$C$18+1,$C$19,$C$27))</f>
        <v>IST</v>
      </c>
      <c r="H40" s="26" t="str">
        <f aca="false">IF(H$38&lt;=$C$18,$C$19,IF(H$38=$C$18+1,$C$19,$C$27))</f>
        <v>Plan</v>
      </c>
      <c r="I40" s="26" t="str">
        <f aca="false">IF(I$38&lt;=$C$18,$C$19,IF(I$38=$C$18+1,$C$19,$C$27))</f>
        <v>Plan</v>
      </c>
      <c r="J40" s="26" t="str">
        <f aca="false">IF(J$38&lt;=$C$18,$C$19,IF(J$38=$C$18+1,$C$19,$C$27))</f>
        <v>Plan</v>
      </c>
      <c r="K40" s="26" t="str">
        <f aca="false">IF(K$38&lt;=$C$18,$C$19,IF(K$38=$C$18+1,$C$19,$C$27))</f>
        <v>Plan</v>
      </c>
      <c r="L40" s="21"/>
      <c r="M40" s="21"/>
    </row>
    <row r="43" customFormat="false" ht="14.25" hidden="false" customHeight="true" outlineLevel="0" collapsed="false">
      <c r="B43" s="10" t="s">
        <v>37</v>
      </c>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21"/>
    </row>
    <row r="44" s="31" customFormat="true" ht="12" hidden="true" customHeight="true" outlineLevel="1" collapsed="false">
      <c r="A44" s="9"/>
      <c r="B44" s="27" t="s">
        <v>33</v>
      </c>
      <c r="C44" s="28"/>
      <c r="D44" s="29" t="n">
        <v>1</v>
      </c>
      <c r="E44" s="29" t="n">
        <f aca="false">D44+1</f>
        <v>2</v>
      </c>
      <c r="F44" s="29" t="n">
        <f aca="false">E44+1</f>
        <v>3</v>
      </c>
      <c r="G44" s="29" t="n">
        <f aca="false">F44+1</f>
        <v>4</v>
      </c>
      <c r="H44" s="29" t="n">
        <f aca="false">G44+1</f>
        <v>5</v>
      </c>
      <c r="I44" s="29" t="n">
        <f aca="false">H44+1</f>
        <v>6</v>
      </c>
      <c r="J44" s="29" t="n">
        <f aca="false">I44+1</f>
        <v>7</v>
      </c>
      <c r="K44" s="29" t="n">
        <f aca="false">J44+1</f>
        <v>8</v>
      </c>
      <c r="L44" s="29" t="n">
        <f aca="false">K44+1</f>
        <v>9</v>
      </c>
      <c r="M44" s="29" t="n">
        <f aca="false">L44+1</f>
        <v>10</v>
      </c>
      <c r="N44" s="29" t="n">
        <f aca="false">M44+1</f>
        <v>11</v>
      </c>
      <c r="O44" s="29" t="n">
        <f aca="false">N44+1</f>
        <v>12</v>
      </c>
      <c r="P44" s="29" t="n">
        <f aca="false">O44+1</f>
        <v>13</v>
      </c>
      <c r="Q44" s="29" t="n">
        <f aca="false">P44+1</f>
        <v>14</v>
      </c>
      <c r="R44" s="29" t="n">
        <f aca="false">Q44+1</f>
        <v>15</v>
      </c>
      <c r="S44" s="29" t="n">
        <f aca="false">R44+1</f>
        <v>16</v>
      </c>
      <c r="T44" s="29" t="n">
        <f aca="false">S44+1</f>
        <v>17</v>
      </c>
      <c r="U44" s="29" t="n">
        <f aca="false">T44+1</f>
        <v>18</v>
      </c>
      <c r="V44" s="29" t="n">
        <f aca="false">U44+1</f>
        <v>19</v>
      </c>
      <c r="W44" s="29" t="n">
        <f aca="false">V44+1</f>
        <v>20</v>
      </c>
      <c r="X44" s="29" t="n">
        <f aca="false">W44+1</f>
        <v>21</v>
      </c>
      <c r="Y44" s="29" t="n">
        <f aca="false">X44+1</f>
        <v>22</v>
      </c>
      <c r="Z44" s="29" t="n">
        <f aca="false">Y44+1</f>
        <v>23</v>
      </c>
      <c r="AA44" s="29" t="n">
        <f aca="false">Z44+1</f>
        <v>24</v>
      </c>
      <c r="AB44" s="29" t="n">
        <f aca="false">AA44+1</f>
        <v>25</v>
      </c>
      <c r="AC44" s="29" t="n">
        <f aca="false">AB44+1</f>
        <v>26</v>
      </c>
      <c r="AD44" s="29" t="n">
        <f aca="false">AC44+1</f>
        <v>27</v>
      </c>
      <c r="AE44" s="29" t="n">
        <f aca="false">AD44+1</f>
        <v>28</v>
      </c>
      <c r="AF44" s="29" t="n">
        <f aca="false">AE44+1</f>
        <v>29</v>
      </c>
      <c r="AG44" s="29" t="n">
        <f aca="false">AF44+1</f>
        <v>30</v>
      </c>
      <c r="AH44" s="29" t="n">
        <f aca="false">AG44+1</f>
        <v>31</v>
      </c>
      <c r="AI44" s="29" t="n">
        <f aca="false">AH44+1</f>
        <v>32</v>
      </c>
      <c r="AJ44" s="29" t="n">
        <f aca="false">AI44+1</f>
        <v>33</v>
      </c>
      <c r="AK44" s="29" t="n">
        <f aca="false">AJ44+1</f>
        <v>34</v>
      </c>
      <c r="AL44" s="29" t="n">
        <f aca="false">AK44+1</f>
        <v>35</v>
      </c>
      <c r="AM44" s="29" t="n">
        <f aca="false">AL44+1</f>
        <v>36</v>
      </c>
      <c r="AN44" s="29" t="n">
        <f aca="false">AM44+1</f>
        <v>37</v>
      </c>
      <c r="AO44" s="29" t="n">
        <f aca="false">AN44+1</f>
        <v>38</v>
      </c>
      <c r="AP44" s="29" t="n">
        <f aca="false">AO44+1</f>
        <v>39</v>
      </c>
      <c r="AQ44" s="29" t="n">
        <f aca="false">AP44+1</f>
        <v>40</v>
      </c>
      <c r="AR44" s="29" t="n">
        <f aca="false">AQ44+1</f>
        <v>41</v>
      </c>
      <c r="AS44" s="29" t="n">
        <f aca="false">AR44+1</f>
        <v>42</v>
      </c>
      <c r="AT44" s="29" t="n">
        <f aca="false">AS44+1</f>
        <v>43</v>
      </c>
      <c r="AU44" s="29" t="n">
        <f aca="false">AT44+1</f>
        <v>44</v>
      </c>
      <c r="AV44" s="29" t="n">
        <f aca="false">AU44+1</f>
        <v>45</v>
      </c>
      <c r="AW44" s="29" t="n">
        <f aca="false">AV44+1</f>
        <v>46</v>
      </c>
      <c r="AX44" s="29" t="n">
        <f aca="false">AW44+1</f>
        <v>47</v>
      </c>
      <c r="AY44" s="29" t="n">
        <f aca="false">AX44+1</f>
        <v>48</v>
      </c>
      <c r="AZ44" s="29" t="n">
        <f aca="false">AY44+1</f>
        <v>49</v>
      </c>
      <c r="BA44" s="29" t="n">
        <f aca="false">AZ44+1</f>
        <v>50</v>
      </c>
      <c r="BB44" s="29" t="n">
        <f aca="false">BA44+1</f>
        <v>51</v>
      </c>
      <c r="BC44" s="29" t="n">
        <f aca="false">BB44+1</f>
        <v>52</v>
      </c>
      <c r="BD44" s="29" t="n">
        <f aca="false">BC44+1</f>
        <v>53</v>
      </c>
      <c r="BE44" s="29" t="n">
        <f aca="false">BD44+1</f>
        <v>54</v>
      </c>
      <c r="BF44" s="29" t="n">
        <f aca="false">BE44+1</f>
        <v>55</v>
      </c>
      <c r="BG44" s="29" t="n">
        <f aca="false">BF44+1</f>
        <v>56</v>
      </c>
      <c r="BH44" s="29" t="n">
        <f aca="false">BG44+1</f>
        <v>57</v>
      </c>
      <c r="BI44" s="29" t="n">
        <f aca="false">BH44+1</f>
        <v>58</v>
      </c>
      <c r="BJ44" s="29" t="n">
        <f aca="false">BI44+1</f>
        <v>59</v>
      </c>
      <c r="BK44" s="29" t="n">
        <f aca="false">BJ44+1</f>
        <v>60</v>
      </c>
      <c r="BL44" s="29" t="n">
        <f aca="false">BK44+1</f>
        <v>61</v>
      </c>
      <c r="BM44" s="29" t="n">
        <f aca="false">BL44+1</f>
        <v>62</v>
      </c>
      <c r="BN44" s="29" t="n">
        <f aca="false">BM44+1</f>
        <v>63</v>
      </c>
      <c r="BO44" s="29" t="n">
        <f aca="false">BN44+1</f>
        <v>64</v>
      </c>
      <c r="BP44" s="29" t="n">
        <f aca="false">BO44+1</f>
        <v>65</v>
      </c>
      <c r="BQ44" s="29" t="n">
        <f aca="false">BP44+1</f>
        <v>66</v>
      </c>
      <c r="BR44" s="29" t="n">
        <f aca="false">BQ44+1</f>
        <v>67</v>
      </c>
      <c r="BS44" s="29" t="n">
        <f aca="false">BR44+1</f>
        <v>68</v>
      </c>
      <c r="BT44" s="29" t="n">
        <f aca="false">BS44+1</f>
        <v>69</v>
      </c>
      <c r="BU44" s="29" t="n">
        <f aca="false">BT44+1</f>
        <v>70</v>
      </c>
      <c r="BV44" s="29" t="n">
        <f aca="false">BU44+1</f>
        <v>71</v>
      </c>
      <c r="BW44" s="29" t="n">
        <f aca="false">BV44+1</f>
        <v>72</v>
      </c>
      <c r="BX44" s="29" t="n">
        <f aca="false">BW44+1</f>
        <v>73</v>
      </c>
      <c r="BY44" s="29" t="n">
        <f aca="false">BX44+1</f>
        <v>74</v>
      </c>
      <c r="BZ44" s="29" t="n">
        <f aca="false">BY44+1</f>
        <v>75</v>
      </c>
      <c r="CA44" s="29" t="n">
        <f aca="false">BZ44+1</f>
        <v>76</v>
      </c>
      <c r="CB44" s="29" t="n">
        <f aca="false">CA44+1</f>
        <v>77</v>
      </c>
      <c r="CC44" s="29" t="n">
        <f aca="false">CB44+1</f>
        <v>78</v>
      </c>
      <c r="CD44" s="29" t="n">
        <f aca="false">CC44+1</f>
        <v>79</v>
      </c>
      <c r="CE44" s="29" t="n">
        <f aca="false">CD44+1</f>
        <v>80</v>
      </c>
      <c r="CF44" s="29" t="n">
        <f aca="false">CE44+1</f>
        <v>81</v>
      </c>
      <c r="CG44" s="29" t="n">
        <f aca="false">CF44+1</f>
        <v>82</v>
      </c>
      <c r="CH44" s="29" t="n">
        <f aca="false">CG44+1</f>
        <v>83</v>
      </c>
      <c r="CI44" s="29" t="n">
        <f aca="false">CH44+1</f>
        <v>84</v>
      </c>
    </row>
    <row r="45" customFormat="false" ht="12" hidden="false" customHeight="true" outlineLevel="0" collapsed="false">
      <c r="B45" s="9" t="s">
        <v>36</v>
      </c>
      <c r="C45" s="12" t="n">
        <f aca="false">EDATE($C$17,-12)</f>
        <v>44561</v>
      </c>
      <c r="D45" s="19" t="n">
        <f aca="false">EDATE($C$45,D$44)</f>
        <v>44592</v>
      </c>
      <c r="E45" s="19" t="n">
        <f aca="false">EDATE($C$45,E$44)</f>
        <v>44620</v>
      </c>
      <c r="F45" s="19" t="n">
        <f aca="false">EDATE($C$45,F$44)</f>
        <v>44651</v>
      </c>
      <c r="G45" s="19" t="n">
        <f aca="false">EDATE($C$45,G$44)</f>
        <v>44681</v>
      </c>
      <c r="H45" s="19" t="n">
        <f aca="false">EDATE($C$45,H$44)</f>
        <v>44712</v>
      </c>
      <c r="I45" s="19" t="n">
        <f aca="false">EDATE($C$45,I$44)</f>
        <v>44742</v>
      </c>
      <c r="J45" s="19" t="n">
        <f aca="false">EDATE($C$45,J$44)</f>
        <v>44773</v>
      </c>
      <c r="K45" s="19" t="n">
        <f aca="false">EDATE($C$45,K$44)</f>
        <v>44804</v>
      </c>
      <c r="L45" s="19" t="n">
        <f aca="false">EDATE($C$45,L$44)</f>
        <v>44834</v>
      </c>
      <c r="M45" s="19" t="n">
        <f aca="false">EDATE($C$45,M$44)</f>
        <v>44865</v>
      </c>
      <c r="N45" s="19" t="n">
        <f aca="false">EDATE($C$45,N$44)</f>
        <v>44895</v>
      </c>
      <c r="O45" s="19" t="n">
        <f aca="false">EDATE($C$45,O$44)</f>
        <v>44926</v>
      </c>
      <c r="P45" s="19" t="n">
        <f aca="false">EDATE($C$45,P$44)</f>
        <v>44957</v>
      </c>
      <c r="Q45" s="19" t="n">
        <f aca="false">EDATE($C$45,Q$44)</f>
        <v>44985</v>
      </c>
      <c r="R45" s="19" t="n">
        <f aca="false">EDATE($C$45,R$44)</f>
        <v>45016</v>
      </c>
      <c r="S45" s="19" t="n">
        <f aca="false">EDATE($C$45,S$44)</f>
        <v>45046</v>
      </c>
      <c r="T45" s="19" t="n">
        <f aca="false">EDATE($C$45,T$44)</f>
        <v>45077</v>
      </c>
      <c r="U45" s="19" t="n">
        <f aca="false">EDATE($C$45,U$44)</f>
        <v>45107</v>
      </c>
      <c r="V45" s="19" t="n">
        <f aca="false">EDATE($C$45,V$44)</f>
        <v>45138</v>
      </c>
      <c r="W45" s="19" t="n">
        <f aca="false">EDATE($C$45,W$44)</f>
        <v>45169</v>
      </c>
      <c r="X45" s="19" t="n">
        <f aca="false">EDATE($C$45,X$44)</f>
        <v>45199</v>
      </c>
      <c r="Y45" s="19" t="n">
        <f aca="false">EDATE($C$45,Y$44)</f>
        <v>45230</v>
      </c>
      <c r="Z45" s="19" t="n">
        <f aca="false">EDATE($C$45,Z$44)</f>
        <v>45260</v>
      </c>
      <c r="AA45" s="19" t="n">
        <f aca="false">EDATE($C$45,AA$44)</f>
        <v>45291</v>
      </c>
      <c r="AB45" s="19" t="n">
        <f aca="false">EDATE($C$45,AB$44)</f>
        <v>45322</v>
      </c>
      <c r="AC45" s="19" t="n">
        <f aca="false">EDATE($C$45,AC$44)</f>
        <v>45351</v>
      </c>
      <c r="AD45" s="19" t="n">
        <f aca="false">EDATE($C$45,AD$44)</f>
        <v>45382</v>
      </c>
      <c r="AE45" s="19" t="n">
        <f aca="false">EDATE($C$45,AE$44)</f>
        <v>45412</v>
      </c>
      <c r="AF45" s="19" t="n">
        <f aca="false">EDATE($C$45,AF$44)</f>
        <v>45443</v>
      </c>
      <c r="AG45" s="19" t="n">
        <f aca="false">EDATE($C$45,AG$44)</f>
        <v>45473</v>
      </c>
      <c r="AH45" s="19" t="n">
        <f aca="false">EDATE($C$45,AH$44)</f>
        <v>45504</v>
      </c>
      <c r="AI45" s="19" t="n">
        <f aca="false">EDATE($C$45,AI$44)</f>
        <v>45535</v>
      </c>
      <c r="AJ45" s="19" t="n">
        <f aca="false">EDATE($C$45,AJ$44)</f>
        <v>45565</v>
      </c>
      <c r="AK45" s="19" t="n">
        <f aca="false">EDATE($C$45,AK$44)</f>
        <v>45596</v>
      </c>
      <c r="AL45" s="19" t="n">
        <f aca="false">EDATE($C$45,AL$44)</f>
        <v>45626</v>
      </c>
      <c r="AM45" s="19" t="n">
        <f aca="false">EDATE($C$45,AM$44)</f>
        <v>45657</v>
      </c>
      <c r="AN45" s="19" t="n">
        <f aca="false">EDATE($C$45,AN$44)</f>
        <v>45688</v>
      </c>
      <c r="AO45" s="19" t="n">
        <f aca="false">EDATE($C$45,AO$44)</f>
        <v>45716</v>
      </c>
      <c r="AP45" s="19" t="n">
        <f aca="false">EDATE($C$45,AP$44)</f>
        <v>45747</v>
      </c>
      <c r="AQ45" s="19" t="n">
        <f aca="false">EDATE($C$45,AQ$44)</f>
        <v>45777</v>
      </c>
      <c r="AR45" s="19" t="n">
        <f aca="false">EDATE($C$45,AR$44)</f>
        <v>45808</v>
      </c>
      <c r="AS45" s="19" t="n">
        <f aca="false">EDATE($C$45,AS$44)</f>
        <v>45838</v>
      </c>
      <c r="AT45" s="19" t="n">
        <f aca="false">EDATE($C$45,AT$44)</f>
        <v>45869</v>
      </c>
      <c r="AU45" s="19" t="n">
        <f aca="false">EDATE($C$45,AU$44)</f>
        <v>45900</v>
      </c>
      <c r="AV45" s="19" t="n">
        <f aca="false">EDATE($C$45,AV$44)</f>
        <v>45930</v>
      </c>
      <c r="AW45" s="19" t="n">
        <f aca="false">EDATE($C$45,AW$44)</f>
        <v>45961</v>
      </c>
      <c r="AX45" s="19" t="n">
        <f aca="false">EDATE($C$45,AX$44)</f>
        <v>45991</v>
      </c>
      <c r="AY45" s="19" t="n">
        <f aca="false">EDATE($C$45,AY$44)</f>
        <v>46022</v>
      </c>
      <c r="AZ45" s="19" t="n">
        <f aca="false">EDATE($C$45,AZ$44)</f>
        <v>46053</v>
      </c>
      <c r="BA45" s="19" t="n">
        <f aca="false">EDATE($C$45,BA$44)</f>
        <v>46081</v>
      </c>
      <c r="BB45" s="19" t="n">
        <f aca="false">EDATE($C$45,BB$44)</f>
        <v>46112</v>
      </c>
      <c r="BC45" s="19" t="n">
        <f aca="false">EDATE($C$45,BC$44)</f>
        <v>46142</v>
      </c>
      <c r="BD45" s="19" t="n">
        <f aca="false">EDATE($C$45,BD$44)</f>
        <v>46173</v>
      </c>
      <c r="BE45" s="19" t="n">
        <f aca="false">EDATE($C$45,BE$44)</f>
        <v>46203</v>
      </c>
      <c r="BF45" s="19" t="n">
        <f aca="false">EDATE($C$45,BF$44)</f>
        <v>46234</v>
      </c>
      <c r="BG45" s="19" t="n">
        <f aca="false">EDATE($C$45,BG$44)</f>
        <v>46265</v>
      </c>
      <c r="BH45" s="19" t="n">
        <f aca="false">EDATE($C$45,BH$44)</f>
        <v>46295</v>
      </c>
      <c r="BI45" s="19" t="n">
        <f aca="false">EDATE($C$45,BI$44)</f>
        <v>46326</v>
      </c>
      <c r="BJ45" s="19" t="n">
        <f aca="false">EDATE($C$45,BJ$44)</f>
        <v>46356</v>
      </c>
      <c r="BK45" s="19" t="n">
        <f aca="false">EDATE($C$45,BK$44)</f>
        <v>46387</v>
      </c>
      <c r="BL45" s="19" t="n">
        <f aca="false">EDATE($C$45,BL$44)</f>
        <v>46418</v>
      </c>
      <c r="BM45" s="19" t="n">
        <f aca="false">EDATE($C$45,BM$44)</f>
        <v>46446</v>
      </c>
      <c r="BN45" s="19" t="n">
        <f aca="false">EDATE($C$45,BN$44)</f>
        <v>46477</v>
      </c>
      <c r="BO45" s="19" t="n">
        <f aca="false">EDATE($C$45,BO$44)</f>
        <v>46507</v>
      </c>
      <c r="BP45" s="19" t="n">
        <f aca="false">EDATE($C$45,BP$44)</f>
        <v>46538</v>
      </c>
      <c r="BQ45" s="19" t="n">
        <f aca="false">EDATE($C$45,BQ$44)</f>
        <v>46568</v>
      </c>
      <c r="BR45" s="19" t="n">
        <f aca="false">EDATE($C$45,BR$44)</f>
        <v>46599</v>
      </c>
      <c r="BS45" s="19" t="n">
        <f aca="false">EDATE($C$45,BS$44)</f>
        <v>46630</v>
      </c>
      <c r="BT45" s="19" t="n">
        <f aca="false">EDATE($C$45,BT$44)</f>
        <v>46660</v>
      </c>
      <c r="BU45" s="19" t="n">
        <f aca="false">EDATE($C$45,BU$44)</f>
        <v>46691</v>
      </c>
      <c r="BV45" s="19" t="n">
        <f aca="false">EDATE($C$45,BV$44)</f>
        <v>46721</v>
      </c>
      <c r="BW45" s="19" t="n">
        <f aca="false">EDATE($C$45,BW$44)</f>
        <v>46752</v>
      </c>
      <c r="BX45" s="19" t="n">
        <f aca="false">EDATE($C$45,BX$44)</f>
        <v>46783</v>
      </c>
      <c r="BY45" s="19" t="n">
        <f aca="false">EDATE($C$45,BY$44)</f>
        <v>46812</v>
      </c>
      <c r="BZ45" s="19" t="n">
        <f aca="false">EDATE($C$45,BZ$44)</f>
        <v>46843</v>
      </c>
      <c r="CA45" s="19" t="n">
        <f aca="false">EDATE($C$45,CA$44)</f>
        <v>46873</v>
      </c>
      <c r="CB45" s="19" t="n">
        <f aca="false">EDATE($C$45,CB$44)</f>
        <v>46904</v>
      </c>
      <c r="CC45" s="19" t="n">
        <f aca="false">EDATE($C$45,CC$44)</f>
        <v>46934</v>
      </c>
      <c r="CD45" s="19" t="n">
        <f aca="false">EDATE($C$45,CD$44)</f>
        <v>46965</v>
      </c>
      <c r="CE45" s="19" t="n">
        <f aca="false">EDATE($C$45,CE$44)</f>
        <v>46996</v>
      </c>
      <c r="CF45" s="19" t="n">
        <f aca="false">EDATE($C$45,CF$44)</f>
        <v>47026</v>
      </c>
      <c r="CG45" s="19" t="n">
        <f aca="false">EDATE($C$45,CG$44)</f>
        <v>47057</v>
      </c>
      <c r="CH45" s="19" t="n">
        <f aca="false">EDATE($C$45,CH$44)</f>
        <v>47087</v>
      </c>
      <c r="CI45" s="19" t="n">
        <f aca="false">EDATE($C$45,CI$44)</f>
        <v>47118</v>
      </c>
    </row>
    <row r="46" customFormat="false" ht="14.25" hidden="false" customHeight="true" outlineLevel="0" collapsed="false">
      <c r="B46" s="9" t="s">
        <v>20</v>
      </c>
      <c r="C46" s="25" t="str">
        <f aca="false">$C$19</f>
        <v>IST</v>
      </c>
      <c r="D46" s="26" t="str">
        <f aca="false">IF(D$45&lt;=$C$22,$C$19,$C$27)</f>
        <v>IST</v>
      </c>
      <c r="E46" s="26" t="str">
        <f aca="false">IF(E$45&lt;=$C$22,$C$19,$C$27)</f>
        <v>IST</v>
      </c>
      <c r="F46" s="26" t="str">
        <f aca="false">IF(F$45&lt;=$C$22,$C$19,$C$27)</f>
        <v>IST</v>
      </c>
      <c r="G46" s="26" t="str">
        <f aca="false">IF(G$45&lt;=$C$22,$C$19,$C$27)</f>
        <v>IST</v>
      </c>
      <c r="H46" s="26" t="str">
        <f aca="false">IF(H$45&lt;=$C$22,$C$19,$C$27)</f>
        <v>IST</v>
      </c>
      <c r="I46" s="26" t="str">
        <f aca="false">IF(I$45&lt;=$C$22,$C$19,$C$27)</f>
        <v>IST</v>
      </c>
      <c r="J46" s="26" t="str">
        <f aca="false">IF(J$45&lt;=$C$22,$C$19,$C$27)</f>
        <v>IST</v>
      </c>
      <c r="K46" s="26" t="str">
        <f aca="false">IF(K$45&lt;=$C$22,$C$19,$C$27)</f>
        <v>IST</v>
      </c>
      <c r="L46" s="26" t="str">
        <f aca="false">IF(L$45&lt;=$C$22,$C$19,$C$27)</f>
        <v>IST</v>
      </c>
      <c r="M46" s="26" t="str">
        <f aca="false">IF(M$45&lt;=$C$22,$C$19,$C$27)</f>
        <v>IST</v>
      </c>
      <c r="N46" s="26" t="str">
        <f aca="false">IF(N$45&lt;=$C$22,$C$19,$C$27)</f>
        <v>IST</v>
      </c>
      <c r="O46" s="26" t="str">
        <f aca="false">IF(O$45&lt;=$C$22,$C$19,$C$27)</f>
        <v>IST</v>
      </c>
      <c r="P46" s="26" t="str">
        <f aca="false">IF(P$45&lt;=$C$22,$C$19,$C$27)</f>
        <v>IST</v>
      </c>
      <c r="Q46" s="26" t="str">
        <f aca="false">IF(Q$45&lt;=$C$22,$C$19,$C$27)</f>
        <v>IST</v>
      </c>
      <c r="R46" s="26" t="str">
        <f aca="false">IF(R$45&lt;=$C$22,$C$19,$C$27)</f>
        <v>IST</v>
      </c>
      <c r="S46" s="26" t="str">
        <f aca="false">IF(S$45&lt;=$C$22,$C$19,$C$27)</f>
        <v>IST</v>
      </c>
      <c r="T46" s="26" t="str">
        <f aca="false">IF(T$45&lt;=$C$22,$C$19,$C$27)</f>
        <v>IST</v>
      </c>
      <c r="U46" s="26" t="str">
        <f aca="false">IF(U$45&lt;=$C$22,$C$19,$C$27)</f>
        <v>IST</v>
      </c>
      <c r="V46" s="26" t="str">
        <f aca="false">IF(V$45&lt;=$C$22,$C$19,$C$27)</f>
        <v>IST</v>
      </c>
      <c r="W46" s="26" t="str">
        <f aca="false">IF(W$45&lt;=$C$22,$C$19,$C$27)</f>
        <v>IST</v>
      </c>
      <c r="X46" s="26" t="str">
        <f aca="false">IF(X$45&lt;=$C$22,$C$19,$C$27)</f>
        <v>IST</v>
      </c>
      <c r="Y46" s="26" t="str">
        <f aca="false">IF(Y$45&lt;=$C$22,$C$19,$C$27)</f>
        <v>IST</v>
      </c>
      <c r="Z46" s="26" t="str">
        <f aca="false">IF(Z$45&lt;=$C$22,$C$19,$C$27)</f>
        <v>IST</v>
      </c>
      <c r="AA46" s="26" t="str">
        <f aca="false">IF(AA$45&lt;=$C$22,$C$19,$C$27)</f>
        <v>IST</v>
      </c>
      <c r="AB46" s="26" t="str">
        <f aca="false">IF(AB$45&lt;=$C$22,$C$19,$C$27)</f>
        <v>IST</v>
      </c>
      <c r="AC46" s="26" t="str">
        <f aca="false">IF(AC$45&lt;=$C$22,$C$19,$C$27)</f>
        <v>IST</v>
      </c>
      <c r="AD46" s="26" t="str">
        <f aca="false">IF(AD$45&lt;=$C$22,$C$19,$C$27)</f>
        <v>IST</v>
      </c>
      <c r="AE46" s="26" t="str">
        <f aca="false">IF(AE$45&lt;=$C$22,$C$19,$C$27)</f>
        <v>IST</v>
      </c>
      <c r="AF46" s="26" t="str">
        <f aca="false">IF(AF$45&lt;=$C$22,$C$19,$C$27)</f>
        <v>IST</v>
      </c>
      <c r="AG46" s="26" t="str">
        <f aca="false">IF(AG$45&lt;=$C$22,$C$19,$C$27)</f>
        <v>IST</v>
      </c>
      <c r="AH46" s="26" t="str">
        <f aca="false">IF(AH$45&lt;=$C$22,$C$19,$C$27)</f>
        <v>IST</v>
      </c>
      <c r="AI46" s="26" t="str">
        <f aca="false">IF(AI$45&lt;=$C$22,$C$19,$C$27)</f>
        <v>IST</v>
      </c>
      <c r="AJ46" s="26" t="str">
        <f aca="false">IF(AJ$45&lt;=$C$22,$C$19,$C$27)</f>
        <v>IST</v>
      </c>
      <c r="AK46" s="26" t="str">
        <f aca="false">IF(AK$45&lt;=$C$22,$C$19,$C$27)</f>
        <v>IST</v>
      </c>
      <c r="AL46" s="26" t="str">
        <f aca="false">IF(AL$45&lt;=$C$22,$C$19,$C$27)</f>
        <v>IST</v>
      </c>
      <c r="AM46" s="26" t="str">
        <f aca="false">IF(AM$45&lt;=$C$22,$C$19,$C$27)</f>
        <v>IST</v>
      </c>
      <c r="AN46" s="26" t="str">
        <f aca="false">IF(AN$45&lt;=$C$22,$C$19,$C$27)</f>
        <v>IST</v>
      </c>
      <c r="AO46" s="26" t="str">
        <f aca="false">IF(AO$45&lt;=$C$22,$C$19,$C$27)</f>
        <v>IST</v>
      </c>
      <c r="AP46" s="26" t="str">
        <f aca="false">IF(AP$45&lt;=$C$22,$C$19,$C$27)</f>
        <v>IST</v>
      </c>
      <c r="AQ46" s="26" t="str">
        <f aca="false">IF(AQ$45&lt;=$C$22,$C$19,$C$27)</f>
        <v>IST</v>
      </c>
      <c r="AR46" s="26" t="str">
        <f aca="false">IF(AR$45&lt;=$C$22,$C$19,$C$27)</f>
        <v>IST</v>
      </c>
      <c r="AS46" s="26" t="str">
        <f aca="false">IF(AS$45&lt;=$C$22,$C$19,$C$27)</f>
        <v>Plan</v>
      </c>
      <c r="AT46" s="26" t="str">
        <f aca="false">IF(AT$45&lt;=$C$22,$C$19,$C$27)</f>
        <v>Plan</v>
      </c>
      <c r="AU46" s="26" t="str">
        <f aca="false">IF(AU$45&lt;=$C$22,$C$19,$C$27)</f>
        <v>Plan</v>
      </c>
      <c r="AV46" s="26" t="str">
        <f aca="false">IF(AV$45&lt;=$C$22,$C$19,$C$27)</f>
        <v>Plan</v>
      </c>
      <c r="AW46" s="26" t="str">
        <f aca="false">IF(AW$45&lt;=$C$22,$C$19,$C$27)</f>
        <v>Plan</v>
      </c>
      <c r="AX46" s="26" t="str">
        <f aca="false">IF(AX$45&lt;=$C$22,$C$19,$C$27)</f>
        <v>Plan</v>
      </c>
      <c r="AY46" s="26" t="str">
        <f aca="false">IF(AY$45&lt;=$C$22,$C$19,$C$27)</f>
        <v>Plan</v>
      </c>
      <c r="AZ46" s="26" t="str">
        <f aca="false">IF(AZ$45&lt;=$C$22,$C$19,$C$27)</f>
        <v>Plan</v>
      </c>
      <c r="BA46" s="26" t="str">
        <f aca="false">IF(BA$45&lt;=$C$22,$C$19,$C$27)</f>
        <v>Plan</v>
      </c>
      <c r="BB46" s="26" t="str">
        <f aca="false">IF(BB$45&lt;=$C$22,$C$19,$C$27)</f>
        <v>Plan</v>
      </c>
      <c r="BC46" s="26" t="str">
        <f aca="false">IF(BC$45&lt;=$C$22,$C$19,$C$27)</f>
        <v>Plan</v>
      </c>
      <c r="BD46" s="26" t="str">
        <f aca="false">IF(BD$45&lt;=$C$22,$C$19,$C$27)</f>
        <v>Plan</v>
      </c>
      <c r="BE46" s="26" t="str">
        <f aca="false">IF(BE$45&lt;=$C$22,$C$19,$C$27)</f>
        <v>Plan</v>
      </c>
      <c r="BF46" s="26" t="str">
        <f aca="false">IF(BF$45&lt;=$C$22,$C$19,$C$27)</f>
        <v>Plan</v>
      </c>
      <c r="BG46" s="26" t="str">
        <f aca="false">IF(BG$45&lt;=$C$22,$C$19,$C$27)</f>
        <v>Plan</v>
      </c>
      <c r="BH46" s="26" t="str">
        <f aca="false">IF(BH$45&lt;=$C$22,$C$19,$C$27)</f>
        <v>Plan</v>
      </c>
      <c r="BI46" s="26" t="str">
        <f aca="false">IF(BI$45&lt;=$C$22,$C$19,$C$27)</f>
        <v>Plan</v>
      </c>
      <c r="BJ46" s="26" t="str">
        <f aca="false">IF(BJ$45&lt;=$C$22,$C$19,$C$27)</f>
        <v>Plan</v>
      </c>
      <c r="BK46" s="26" t="str">
        <f aca="false">IF(BK$45&lt;=$C$22,$C$19,$C$27)</f>
        <v>Plan</v>
      </c>
      <c r="BL46" s="26" t="str">
        <f aca="false">IF(BL$45&lt;=$C$22,$C$19,$C$27)</f>
        <v>Plan</v>
      </c>
      <c r="BM46" s="26" t="str">
        <f aca="false">IF(BM$45&lt;=$C$22,$C$19,$C$27)</f>
        <v>Plan</v>
      </c>
      <c r="BN46" s="26" t="str">
        <f aca="false">IF(BN$45&lt;=$C$22,$C$19,$C$27)</f>
        <v>Plan</v>
      </c>
      <c r="BO46" s="26" t="str">
        <f aca="false">IF(BO$45&lt;=$C$22,$C$19,$C$27)</f>
        <v>Plan</v>
      </c>
      <c r="BP46" s="26" t="str">
        <f aca="false">IF(BP$45&lt;=$C$22,$C$19,$C$27)</f>
        <v>Plan</v>
      </c>
      <c r="BQ46" s="26" t="str">
        <f aca="false">IF(BQ$45&lt;=$C$22,$C$19,$C$27)</f>
        <v>Plan</v>
      </c>
      <c r="BR46" s="26" t="str">
        <f aca="false">IF(BR$45&lt;=$C$22,$C$19,$C$27)</f>
        <v>Plan</v>
      </c>
      <c r="BS46" s="26" t="str">
        <f aca="false">IF(BS$45&lt;=$C$22,$C$19,$C$27)</f>
        <v>Plan</v>
      </c>
      <c r="BT46" s="26" t="str">
        <f aca="false">IF(BT$45&lt;=$C$22,$C$19,$C$27)</f>
        <v>Plan</v>
      </c>
      <c r="BU46" s="26" t="str">
        <f aca="false">IF(BU$45&lt;=$C$22,$C$19,$C$27)</f>
        <v>Plan</v>
      </c>
      <c r="BV46" s="26" t="str">
        <f aca="false">IF(BV$45&lt;=$C$22,$C$19,$C$27)</f>
        <v>Plan</v>
      </c>
      <c r="BW46" s="26" t="str">
        <f aca="false">IF(BW$45&lt;=$C$22,$C$19,$C$27)</f>
        <v>Plan</v>
      </c>
      <c r="BX46" s="26" t="str">
        <f aca="false">IF(BX$45&lt;=$C$22,$C$19,$C$27)</f>
        <v>Plan</v>
      </c>
      <c r="BY46" s="26" t="str">
        <f aca="false">IF(BY$45&lt;=$C$22,$C$19,$C$27)</f>
        <v>Plan</v>
      </c>
      <c r="BZ46" s="26" t="str">
        <f aca="false">IF(BZ$45&lt;=$C$22,$C$19,$C$27)</f>
        <v>Plan</v>
      </c>
      <c r="CA46" s="26" t="str">
        <f aca="false">IF(CA$45&lt;=$C$22,$C$19,$C$27)</f>
        <v>Plan</v>
      </c>
      <c r="CB46" s="26" t="str">
        <f aca="false">IF(CB$45&lt;=$C$22,$C$19,$C$27)</f>
        <v>Plan</v>
      </c>
      <c r="CC46" s="26" t="str">
        <f aca="false">IF(CC$45&lt;=$C$22,$C$19,$C$27)</f>
        <v>Plan</v>
      </c>
      <c r="CD46" s="26" t="str">
        <f aca="false">IF(CD$45&lt;=$C$22,$C$19,$C$27)</f>
        <v>Plan</v>
      </c>
      <c r="CE46" s="26" t="str">
        <f aca="false">IF(CE$45&lt;=$C$22,$C$19,$C$27)</f>
        <v>Plan</v>
      </c>
      <c r="CF46" s="26" t="str">
        <f aca="false">IF(CF$45&lt;=$C$22,$C$19,$C$27)</f>
        <v>Plan</v>
      </c>
      <c r="CG46" s="26" t="str">
        <f aca="false">IF(CG$45&lt;=$C$22,$C$19,$C$27)</f>
        <v>Plan</v>
      </c>
      <c r="CH46" s="26" t="str">
        <f aca="false">IF(CH$45&lt;=$C$22,$C$19,$C$27)</f>
        <v>Plan</v>
      </c>
      <c r="CI46" s="26" t="str">
        <f aca="false">IF(CI$45&lt;=$C$22,$C$19,$C$27)</f>
        <v>Plan</v>
      </c>
      <c r="CJ46" s="21"/>
    </row>
  </sheetData>
  <conditionalFormatting sqref="D22">
    <cfRule type="containsText" priority="2" operator="containsText" aboveAverage="0" equalAverage="0" bottom="0" percent="0" rank="0" text="CYT date must not be" dxfId="0">
      <formula>NOT(ISERROR(SEARCH("CYT date must not be",D22)))</formula>
    </cfRule>
    <cfRule type="containsText" priority="3" operator="containsText" aboveAverage="0" equalAverage="0" bottom="0" percent="0" rank="0" text="31.12.&quot;;&quot;CYT date must not be December 31, check" dxfId="1">
      <formula>NOT(ISERROR(SEARCH("31.12.";"CYT date must not be December 31, check",D22)))</formula>
    </cfRule>
  </conditionalFormatting>
  <conditionalFormatting sqref="D21:D22">
    <cfRule type="containsText" priority="4" operator="containsText" aboveAverage="0" equalAverage="0" bottom="0" percent="0" rank="0" text="ok" dxfId="2">
      <formula>NOT(ISERROR(SEARCH("ok",D21)))</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O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32" width="12"/>
    <col collapsed="false" customWidth="true" hidden="false" outlineLevel="0" max="2" min="2" style="32" width="46"/>
    <col collapsed="false" customWidth="true" hidden="false" outlineLevel="0" max="3" min="3" style="32" width="10"/>
    <col collapsed="false" customWidth="true" hidden="false" outlineLevel="0" max="4" min="4" style="32" width="40"/>
    <col collapsed="false" customWidth="true" hidden="false" outlineLevel="0" max="5" min="5" style="32" width="10"/>
  </cols>
  <sheetData>
    <row r="1" customFormat="false" ht="15" hidden="false" customHeight="true" outlineLevel="0" collapsed="false">
      <c r="A1" s="33" t="s">
        <v>38</v>
      </c>
      <c r="B1" s="33" t="s">
        <v>39</v>
      </c>
      <c r="C1" s="33" t="s">
        <v>40</v>
      </c>
      <c r="D1" s="33" t="s">
        <v>41</v>
      </c>
      <c r="E1" s="33" t="s">
        <v>42</v>
      </c>
      <c r="F1" s="33" t="s">
        <v>43</v>
      </c>
      <c r="G1" s="33" t="s">
        <v>44</v>
      </c>
      <c r="H1" s="33" t="s">
        <v>45</v>
      </c>
      <c r="I1" s="33" t="s">
        <v>46</v>
      </c>
      <c r="J1" s="33" t="s">
        <v>47</v>
      </c>
      <c r="K1" s="33" t="s">
        <v>48</v>
      </c>
      <c r="L1" s="33" t="s">
        <v>49</v>
      </c>
      <c r="M1" s="33" t="s">
        <v>50</v>
      </c>
      <c r="N1" s="33" t="s">
        <v>51</v>
      </c>
      <c r="O1" s="33" t="s">
        <v>52</v>
      </c>
    </row>
    <row r="2" customFormat="false" ht="15" hidden="false" customHeight="true" outlineLevel="0" collapsed="false">
      <c r="B2" s="34" t="s">
        <v>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B2:M39"/>
  <sheetViews>
    <sheetView showFormulas="false" showGridLines="true" showRowColHeaders="true" showZeros="true" rightToLeft="false" tabSelected="false" showOutlineSymbols="true" defaultGridColor="true" view="normal" topLeftCell="A4" colorId="64" zoomScale="100" zoomScaleNormal="100" zoomScalePageLayoutView="100" workbookViewId="0">
      <selection pane="topLeft" activeCell="B41" activeCellId="0" sqref="B41"/>
    </sheetView>
  </sheetViews>
  <sheetFormatPr defaultColWidth="11.2890625" defaultRowHeight="11.25" zeroHeight="false" outlineLevelRow="1" outlineLevelCol="0"/>
  <cols>
    <col collapsed="false" customWidth="false" hidden="false" outlineLevel="0" max="1" min="1" style="1" width="11.29"/>
    <col collapsed="false" customWidth="true" hidden="false" outlineLevel="0" max="2" min="2" style="1" width="42.57"/>
    <col collapsed="false" customWidth="true" hidden="false" outlineLevel="0" max="6" min="3" style="1" width="8.57"/>
    <col collapsed="false" customWidth="false" hidden="false" outlineLevel="0" max="7" min="7" style="1" width="11.29"/>
    <col collapsed="false" customWidth="true" hidden="false" outlineLevel="0" max="8" min="8" style="1" width="42.57"/>
    <col collapsed="false" customWidth="true" hidden="false" outlineLevel="0" max="12" min="9" style="1" width="8.57"/>
    <col collapsed="false" customWidth="true" hidden="false" outlineLevel="0" max="13" min="13" style="1" width="15.57"/>
    <col collapsed="false" customWidth="false" hidden="false" outlineLevel="0" max="14" min="14" style="1" width="11.29"/>
    <col collapsed="false" customWidth="true" hidden="false" outlineLevel="0" max="15" min="15" style="1" width="29.14"/>
    <col collapsed="false" customWidth="true" hidden="false" outlineLevel="0" max="19" min="16" style="1" width="21.57"/>
    <col collapsed="false" customWidth="false" hidden="false" outlineLevel="0" max="16384" min="20" style="1" width="11.29"/>
  </cols>
  <sheetData>
    <row r="2" customFormat="false" ht="11.25" hidden="false" customHeight="true" outlineLevel="0" collapsed="false">
      <c r="B2" s="1" t="s">
        <v>54</v>
      </c>
      <c r="F2" s="35" t="s">
        <v>55</v>
      </c>
      <c r="G2" s="35"/>
      <c r="H2" s="1" t="s">
        <v>56</v>
      </c>
      <c r="L2" s="35" t="s">
        <v>55</v>
      </c>
      <c r="M2" s="35"/>
    </row>
    <row r="3" customFormat="false" ht="11.25" hidden="false" customHeight="true" outlineLevel="0" collapsed="false">
      <c r="B3" s="36" t="str">
        <f aca="false">Cockpit!$C$4</f>
        <v>Template</v>
      </c>
      <c r="C3" s="37" t="n">
        <f aca="false">Cockpit!D33</f>
        <v>44926</v>
      </c>
      <c r="D3" s="37" t="n">
        <f aca="false">Cockpit!E33</f>
        <v>45291</v>
      </c>
      <c r="E3" s="37" t="n">
        <f aca="false">Cockpit!F33</f>
        <v>45657</v>
      </c>
      <c r="F3" s="37" t="s">
        <v>57</v>
      </c>
      <c r="H3" s="36" t="str">
        <f aca="false">Cockpit!$C$4</f>
        <v>Template</v>
      </c>
      <c r="I3" s="37" t="n">
        <f aca="false">Cockpit!D33</f>
        <v>44926</v>
      </c>
      <c r="J3" s="37" t="n">
        <f aca="false">Cockpit!E33</f>
        <v>45291</v>
      </c>
      <c r="K3" s="37" t="n">
        <f aca="false">Cockpit!F33</f>
        <v>45657</v>
      </c>
      <c r="L3" s="37" t="s">
        <v>57</v>
      </c>
    </row>
    <row r="4" customFormat="false" ht="11.25" hidden="false" customHeight="true" outlineLevel="0" collapsed="false">
      <c r="B4" s="36"/>
      <c r="C4" s="37"/>
      <c r="D4" s="37"/>
      <c r="E4" s="37"/>
      <c r="F4" s="37"/>
      <c r="H4" s="36"/>
      <c r="I4" s="37"/>
      <c r="J4" s="37"/>
      <c r="K4" s="37"/>
      <c r="L4" s="37"/>
    </row>
    <row r="5" customFormat="false" ht="4.5" hidden="false" customHeight="true" outlineLevel="0" collapsed="false">
      <c r="B5" s="38"/>
      <c r="C5" s="39"/>
      <c r="D5" s="39"/>
      <c r="E5" s="39"/>
      <c r="F5" s="39"/>
      <c r="G5" s="40"/>
      <c r="H5" s="38"/>
      <c r="I5" s="39"/>
      <c r="J5" s="39"/>
      <c r="K5" s="39"/>
      <c r="L5" s="39"/>
    </row>
    <row r="6" customFormat="false" ht="15" hidden="false" customHeight="true" outlineLevel="0" collapsed="false">
      <c r="B6" s="41" t="s">
        <v>58</v>
      </c>
      <c r="C6" s="39"/>
      <c r="D6" s="39"/>
      <c r="E6" s="39"/>
      <c r="F6" s="39"/>
      <c r="G6" s="40"/>
      <c r="H6" s="41" t="s">
        <v>58</v>
      </c>
      <c r="I6" s="39"/>
      <c r="J6" s="39"/>
      <c r="K6" s="39"/>
      <c r="L6" s="39"/>
      <c r="M6" s="35" t="s">
        <v>55</v>
      </c>
    </row>
    <row r="7" customFormat="false" ht="15" hidden="false" customHeight="true" outlineLevel="0" collapsed="false">
      <c r="B7" s="42" t="s">
        <v>59</v>
      </c>
      <c r="C7" s="43" t="s">
        <v>60</v>
      </c>
      <c r="D7" s="43" t="s">
        <v>60</v>
      </c>
      <c r="E7" s="43" t="s">
        <v>60</v>
      </c>
      <c r="F7" s="44" t="s">
        <v>61</v>
      </c>
      <c r="H7" s="42" t="s">
        <v>62</v>
      </c>
      <c r="I7" s="43" t="s">
        <v>63</v>
      </c>
      <c r="J7" s="43" t="s">
        <v>63</v>
      </c>
      <c r="K7" s="43" t="s">
        <v>63</v>
      </c>
      <c r="L7" s="44" t="s">
        <v>61</v>
      </c>
      <c r="M7" s="35" t="s">
        <v>55</v>
      </c>
    </row>
    <row r="8" customFormat="false" ht="15" hidden="false" customHeight="true" outlineLevel="0" collapsed="false">
      <c r="B8" s="42" t="s">
        <v>64</v>
      </c>
      <c r="C8" s="43" t="s">
        <v>60</v>
      </c>
      <c r="D8" s="43" t="s">
        <v>60</v>
      </c>
      <c r="E8" s="43" t="s">
        <v>60</v>
      </c>
      <c r="F8" s="44" t="s">
        <v>60</v>
      </c>
      <c r="H8" s="42" t="s">
        <v>65</v>
      </c>
      <c r="I8" s="43" t="s">
        <v>63</v>
      </c>
      <c r="J8" s="43" t="s">
        <v>63</v>
      </c>
      <c r="K8" s="43" t="s">
        <v>63</v>
      </c>
      <c r="L8" s="44" t="s">
        <v>63</v>
      </c>
    </row>
    <row r="9" customFormat="false" ht="15" hidden="false" customHeight="true" outlineLevel="0" collapsed="false">
      <c r="B9" s="42" t="s">
        <v>66</v>
      </c>
      <c r="C9" s="43" t="s">
        <v>60</v>
      </c>
      <c r="D9" s="43" t="s">
        <v>60</v>
      </c>
      <c r="E9" s="43" t="s">
        <v>60</v>
      </c>
      <c r="F9" s="44" t="s">
        <v>60</v>
      </c>
      <c r="H9" s="42" t="s">
        <v>67</v>
      </c>
      <c r="I9" s="43" t="s">
        <v>63</v>
      </c>
      <c r="J9" s="43" t="s">
        <v>63</v>
      </c>
      <c r="K9" s="43" t="s">
        <v>63</v>
      </c>
      <c r="L9" s="44" t="s">
        <v>63</v>
      </c>
    </row>
    <row r="10" customFormat="false" ht="15" hidden="false" customHeight="true" outlineLevel="0" collapsed="false">
      <c r="B10" s="42" t="s">
        <v>68</v>
      </c>
      <c r="C10" s="43" t="s">
        <v>60</v>
      </c>
      <c r="D10" s="43" t="s">
        <v>60</v>
      </c>
      <c r="E10" s="43" t="s">
        <v>60</v>
      </c>
      <c r="F10" s="44" t="s">
        <v>60</v>
      </c>
      <c r="H10" s="42" t="s">
        <v>69</v>
      </c>
      <c r="I10" s="43" t="s">
        <v>61</v>
      </c>
      <c r="J10" s="43" t="s">
        <v>61</v>
      </c>
      <c r="K10" s="43" t="s">
        <v>61</v>
      </c>
      <c r="L10" s="44" t="s">
        <v>61</v>
      </c>
    </row>
    <row r="11" customFormat="false" ht="15" hidden="false" customHeight="true" outlineLevel="0" collapsed="false">
      <c r="B11" s="42" t="s">
        <v>70</v>
      </c>
      <c r="C11" s="43" t="s">
        <v>61</v>
      </c>
      <c r="D11" s="43" t="s">
        <v>61</v>
      </c>
      <c r="E11" s="43" t="s">
        <v>61</v>
      </c>
      <c r="F11" s="44" t="s">
        <v>61</v>
      </c>
      <c r="H11" s="42" t="s">
        <v>71</v>
      </c>
      <c r="I11" s="45"/>
      <c r="J11" s="46" t="s">
        <v>63</v>
      </c>
      <c r="K11" s="46"/>
      <c r="L11" s="47"/>
    </row>
    <row r="12" customFormat="false" ht="15" hidden="false" customHeight="true" outlineLevel="0" collapsed="false">
      <c r="B12" s="42" t="s">
        <v>72</v>
      </c>
      <c r="C12" s="45"/>
      <c r="D12" s="46" t="s">
        <v>60</v>
      </c>
      <c r="E12" s="46"/>
      <c r="F12" s="47"/>
      <c r="H12" s="48"/>
      <c r="I12" s="49"/>
      <c r="J12" s="49"/>
      <c r="K12" s="49"/>
      <c r="L12" s="50"/>
    </row>
    <row r="13" customFormat="false" ht="5.25" hidden="false" customHeight="true" outlineLevel="1" collapsed="false">
      <c r="B13" s="48"/>
      <c r="C13" s="49"/>
      <c r="D13" s="49"/>
      <c r="E13" s="49"/>
      <c r="F13" s="50"/>
      <c r="G13" s="40"/>
      <c r="H13" s="51"/>
      <c r="I13" s="52"/>
      <c r="J13" s="52"/>
      <c r="K13" s="52"/>
      <c r="L13" s="53"/>
    </row>
    <row r="14" customFormat="false" ht="15" hidden="false" customHeight="true" outlineLevel="1" collapsed="false">
      <c r="B14" s="41" t="s">
        <v>73</v>
      </c>
      <c r="C14" s="39"/>
      <c r="D14" s="39"/>
      <c r="E14" s="39"/>
      <c r="F14" s="39"/>
      <c r="G14" s="40"/>
      <c r="H14" s="41" t="s">
        <v>73</v>
      </c>
      <c r="I14" s="39"/>
      <c r="J14" s="39"/>
      <c r="K14" s="39"/>
      <c r="L14" s="39"/>
      <c r="M14" s="35" t="s">
        <v>55</v>
      </c>
    </row>
    <row r="15" customFormat="false" ht="15" hidden="false" customHeight="true" outlineLevel="1" collapsed="false">
      <c r="B15" s="42" t="s">
        <v>59</v>
      </c>
      <c r="C15" s="43" t="s">
        <v>60</v>
      </c>
      <c r="D15" s="43" t="s">
        <v>60</v>
      </c>
      <c r="E15" s="43" t="s">
        <v>60</v>
      </c>
      <c r="F15" s="44" t="s">
        <v>61</v>
      </c>
      <c r="H15" s="42" t="s">
        <v>62</v>
      </c>
      <c r="I15" s="43" t="s">
        <v>63</v>
      </c>
      <c r="J15" s="43" t="s">
        <v>63</v>
      </c>
      <c r="K15" s="43" t="s">
        <v>63</v>
      </c>
      <c r="L15" s="44" t="s">
        <v>61</v>
      </c>
    </row>
    <row r="16" customFormat="false" ht="15" hidden="false" customHeight="true" outlineLevel="1" collapsed="false">
      <c r="B16" s="42" t="s">
        <v>64</v>
      </c>
      <c r="C16" s="43" t="s">
        <v>60</v>
      </c>
      <c r="D16" s="43" t="s">
        <v>60</v>
      </c>
      <c r="E16" s="43" t="s">
        <v>60</v>
      </c>
      <c r="F16" s="44" t="s">
        <v>60</v>
      </c>
      <c r="H16" s="42" t="s">
        <v>65</v>
      </c>
      <c r="I16" s="43" t="s">
        <v>63</v>
      </c>
      <c r="J16" s="43" t="s">
        <v>63</v>
      </c>
      <c r="K16" s="43" t="s">
        <v>63</v>
      </c>
      <c r="L16" s="44" t="s">
        <v>63</v>
      </c>
    </row>
    <row r="17" customFormat="false" ht="15" hidden="false" customHeight="true" outlineLevel="1" collapsed="false">
      <c r="B17" s="42" t="s">
        <v>66</v>
      </c>
      <c r="C17" s="43" t="s">
        <v>60</v>
      </c>
      <c r="D17" s="43" t="s">
        <v>60</v>
      </c>
      <c r="E17" s="43" t="s">
        <v>60</v>
      </c>
      <c r="F17" s="44" t="s">
        <v>60</v>
      </c>
      <c r="H17" s="42" t="s">
        <v>67</v>
      </c>
      <c r="I17" s="43" t="s">
        <v>63</v>
      </c>
      <c r="J17" s="43" t="s">
        <v>63</v>
      </c>
      <c r="K17" s="43" t="s">
        <v>63</v>
      </c>
      <c r="L17" s="44" t="s">
        <v>63</v>
      </c>
    </row>
    <row r="18" customFormat="false" ht="15" hidden="false" customHeight="true" outlineLevel="1" collapsed="false">
      <c r="B18" s="42" t="s">
        <v>68</v>
      </c>
      <c r="C18" s="43" t="s">
        <v>60</v>
      </c>
      <c r="D18" s="43" t="s">
        <v>60</v>
      </c>
      <c r="E18" s="43" t="s">
        <v>60</v>
      </c>
      <c r="F18" s="44" t="s">
        <v>60</v>
      </c>
      <c r="H18" s="42" t="s">
        <v>69</v>
      </c>
      <c r="I18" s="43" t="s">
        <v>61</v>
      </c>
      <c r="J18" s="43" t="s">
        <v>61</v>
      </c>
      <c r="K18" s="43" t="s">
        <v>61</v>
      </c>
      <c r="L18" s="44" t="s">
        <v>61</v>
      </c>
    </row>
    <row r="19" customFormat="false" ht="15" hidden="false" customHeight="true" outlineLevel="1" collapsed="false">
      <c r="B19" s="42" t="s">
        <v>70</v>
      </c>
      <c r="C19" s="43" t="s">
        <v>61</v>
      </c>
      <c r="D19" s="43" t="s">
        <v>61</v>
      </c>
      <c r="E19" s="43" t="s">
        <v>61</v>
      </c>
      <c r="F19" s="44" t="s">
        <v>61</v>
      </c>
      <c r="H19" s="42" t="s">
        <v>71</v>
      </c>
      <c r="I19" s="45"/>
      <c r="J19" s="46" t="s">
        <v>63</v>
      </c>
      <c r="K19" s="46"/>
      <c r="L19" s="47"/>
    </row>
    <row r="20" customFormat="false" ht="15" hidden="false" customHeight="true" outlineLevel="1" collapsed="false">
      <c r="B20" s="42" t="s">
        <v>72</v>
      </c>
      <c r="C20" s="45"/>
      <c r="D20" s="46" t="s">
        <v>60</v>
      </c>
      <c r="E20" s="46"/>
      <c r="F20" s="47"/>
      <c r="H20" s="48"/>
      <c r="I20" s="49"/>
      <c r="J20" s="49"/>
      <c r="K20" s="49"/>
      <c r="L20" s="50"/>
    </row>
    <row r="21" customFormat="false" ht="5.25" hidden="false" customHeight="true" outlineLevel="1" collapsed="false">
      <c r="B21" s="48"/>
      <c r="C21" s="49"/>
      <c r="D21" s="49"/>
      <c r="E21" s="49"/>
      <c r="F21" s="50"/>
      <c r="H21" s="51"/>
      <c r="I21" s="52"/>
      <c r="J21" s="52"/>
      <c r="K21" s="52"/>
      <c r="L21" s="53"/>
    </row>
    <row r="22" customFormat="false" ht="15" hidden="false" customHeight="true" outlineLevel="1" collapsed="false">
      <c r="B22" s="41" t="s">
        <v>74</v>
      </c>
      <c r="C22" s="39"/>
      <c r="D22" s="39"/>
      <c r="E22" s="39"/>
      <c r="F22" s="39"/>
      <c r="H22" s="41" t="s">
        <v>74</v>
      </c>
      <c r="I22" s="39"/>
      <c r="J22" s="39"/>
      <c r="K22" s="39"/>
      <c r="L22" s="39"/>
      <c r="M22" s="35" t="s">
        <v>55</v>
      </c>
    </row>
    <row r="23" customFormat="false" ht="15" hidden="false" customHeight="true" outlineLevel="1" collapsed="false">
      <c r="B23" s="42" t="s">
        <v>59</v>
      </c>
      <c r="C23" s="43" t="s">
        <v>60</v>
      </c>
      <c r="D23" s="43" t="s">
        <v>60</v>
      </c>
      <c r="E23" s="43" t="s">
        <v>60</v>
      </c>
      <c r="F23" s="44" t="s">
        <v>61</v>
      </c>
      <c r="H23" s="42" t="s">
        <v>62</v>
      </c>
      <c r="I23" s="43" t="s">
        <v>63</v>
      </c>
      <c r="J23" s="43" t="s">
        <v>63</v>
      </c>
      <c r="K23" s="43" t="s">
        <v>63</v>
      </c>
      <c r="L23" s="44" t="s">
        <v>61</v>
      </c>
    </row>
    <row r="24" customFormat="false" ht="15" hidden="false" customHeight="true" outlineLevel="1" collapsed="false">
      <c r="B24" s="42" t="s">
        <v>64</v>
      </c>
      <c r="C24" s="43" t="s">
        <v>60</v>
      </c>
      <c r="D24" s="43" t="s">
        <v>60</v>
      </c>
      <c r="E24" s="43" t="s">
        <v>60</v>
      </c>
      <c r="F24" s="44" t="s">
        <v>60</v>
      </c>
      <c r="H24" s="42" t="s">
        <v>65</v>
      </c>
      <c r="I24" s="43" t="s">
        <v>63</v>
      </c>
      <c r="J24" s="43" t="s">
        <v>63</v>
      </c>
      <c r="K24" s="43" t="s">
        <v>63</v>
      </c>
      <c r="L24" s="44" t="s">
        <v>63</v>
      </c>
    </row>
    <row r="25" customFormat="false" ht="15" hidden="false" customHeight="true" outlineLevel="1" collapsed="false">
      <c r="B25" s="42" t="s">
        <v>66</v>
      </c>
      <c r="C25" s="43" t="s">
        <v>60</v>
      </c>
      <c r="D25" s="43" t="s">
        <v>60</v>
      </c>
      <c r="E25" s="43" t="s">
        <v>60</v>
      </c>
      <c r="F25" s="44" t="s">
        <v>60</v>
      </c>
      <c r="H25" s="42" t="s">
        <v>67</v>
      </c>
      <c r="I25" s="43" t="s">
        <v>63</v>
      </c>
      <c r="J25" s="43" t="s">
        <v>63</v>
      </c>
      <c r="K25" s="43" t="s">
        <v>63</v>
      </c>
      <c r="L25" s="44" t="s">
        <v>63</v>
      </c>
    </row>
    <row r="26" customFormat="false" ht="15" hidden="false" customHeight="true" outlineLevel="1" collapsed="false">
      <c r="B26" s="42" t="s">
        <v>68</v>
      </c>
      <c r="C26" s="43" t="s">
        <v>60</v>
      </c>
      <c r="D26" s="43" t="s">
        <v>60</v>
      </c>
      <c r="E26" s="43" t="s">
        <v>60</v>
      </c>
      <c r="F26" s="44" t="s">
        <v>60</v>
      </c>
      <c r="H26" s="42" t="s">
        <v>69</v>
      </c>
      <c r="I26" s="43" t="s">
        <v>61</v>
      </c>
      <c r="J26" s="43" t="s">
        <v>61</v>
      </c>
      <c r="K26" s="43" t="s">
        <v>61</v>
      </c>
      <c r="L26" s="44" t="s">
        <v>61</v>
      </c>
    </row>
    <row r="27" customFormat="false" ht="15" hidden="false" customHeight="true" outlineLevel="1" collapsed="false">
      <c r="B27" s="42" t="s">
        <v>70</v>
      </c>
      <c r="C27" s="43" t="s">
        <v>61</v>
      </c>
      <c r="D27" s="43" t="s">
        <v>61</v>
      </c>
      <c r="E27" s="43" t="s">
        <v>61</v>
      </c>
      <c r="F27" s="44" t="s">
        <v>61</v>
      </c>
      <c r="H27" s="42" t="s">
        <v>71</v>
      </c>
      <c r="I27" s="45"/>
      <c r="J27" s="46" t="s">
        <v>63</v>
      </c>
      <c r="K27" s="46"/>
      <c r="L27" s="47"/>
    </row>
    <row r="28" customFormat="false" ht="15" hidden="false" customHeight="true" outlineLevel="1" collapsed="false">
      <c r="B28" s="42" t="s">
        <v>72</v>
      </c>
      <c r="C28" s="45"/>
      <c r="D28" s="46" t="s">
        <v>60</v>
      </c>
      <c r="E28" s="46"/>
      <c r="F28" s="47"/>
      <c r="H28" s="48"/>
      <c r="I28" s="49"/>
      <c r="J28" s="49"/>
      <c r="K28" s="49"/>
      <c r="L28" s="50"/>
    </row>
    <row r="29" customFormat="false" ht="5.25" hidden="false" customHeight="true" outlineLevel="1" collapsed="false">
      <c r="B29" s="48"/>
      <c r="C29" s="49"/>
      <c r="D29" s="49"/>
      <c r="E29" s="49"/>
      <c r="F29" s="50"/>
      <c r="G29" s="40"/>
      <c r="H29" s="51"/>
      <c r="I29" s="52"/>
      <c r="J29" s="52"/>
      <c r="K29" s="52"/>
      <c r="L29" s="53"/>
    </row>
    <row r="30" customFormat="false" ht="15" hidden="false" customHeight="true" outlineLevel="1" collapsed="false">
      <c r="B30" s="41" t="s">
        <v>75</v>
      </c>
      <c r="C30" s="39"/>
      <c r="D30" s="39"/>
      <c r="E30" s="39"/>
      <c r="F30" s="39"/>
      <c r="G30" s="40"/>
      <c r="H30" s="41" t="s">
        <v>75</v>
      </c>
      <c r="I30" s="39"/>
      <c r="J30" s="39"/>
      <c r="K30" s="39"/>
      <c r="L30" s="39"/>
      <c r="M30" s="35" t="s">
        <v>55</v>
      </c>
    </row>
    <row r="31" customFormat="false" ht="15" hidden="false" customHeight="true" outlineLevel="1" collapsed="false">
      <c r="B31" s="42" t="s">
        <v>59</v>
      </c>
      <c r="C31" s="43" t="s">
        <v>60</v>
      </c>
      <c r="D31" s="43" t="s">
        <v>60</v>
      </c>
      <c r="E31" s="43" t="s">
        <v>60</v>
      </c>
      <c r="F31" s="44" t="s">
        <v>61</v>
      </c>
      <c r="H31" s="42" t="s">
        <v>62</v>
      </c>
      <c r="I31" s="43" t="s">
        <v>63</v>
      </c>
      <c r="J31" s="43" t="s">
        <v>63</v>
      </c>
      <c r="K31" s="43" t="s">
        <v>63</v>
      </c>
      <c r="L31" s="44" t="s">
        <v>61</v>
      </c>
    </row>
    <row r="32" customFormat="false" ht="15" hidden="false" customHeight="true" outlineLevel="1" collapsed="false">
      <c r="B32" s="42" t="s">
        <v>64</v>
      </c>
      <c r="C32" s="43" t="s">
        <v>60</v>
      </c>
      <c r="D32" s="43" t="s">
        <v>60</v>
      </c>
      <c r="E32" s="43" t="s">
        <v>60</v>
      </c>
      <c r="F32" s="44" t="s">
        <v>60</v>
      </c>
      <c r="H32" s="42" t="s">
        <v>65</v>
      </c>
      <c r="I32" s="43" t="s">
        <v>63</v>
      </c>
      <c r="J32" s="43" t="s">
        <v>63</v>
      </c>
      <c r="K32" s="43" t="s">
        <v>63</v>
      </c>
      <c r="L32" s="44" t="s">
        <v>63</v>
      </c>
    </row>
    <row r="33" customFormat="false" ht="15" hidden="false" customHeight="true" outlineLevel="1" collapsed="false">
      <c r="B33" s="42" t="s">
        <v>66</v>
      </c>
      <c r="C33" s="43" t="s">
        <v>60</v>
      </c>
      <c r="D33" s="43" t="s">
        <v>60</v>
      </c>
      <c r="E33" s="43" t="s">
        <v>60</v>
      </c>
      <c r="F33" s="44" t="s">
        <v>60</v>
      </c>
      <c r="H33" s="42" t="s">
        <v>67</v>
      </c>
      <c r="I33" s="43" t="s">
        <v>63</v>
      </c>
      <c r="J33" s="43" t="s">
        <v>63</v>
      </c>
      <c r="K33" s="43" t="s">
        <v>63</v>
      </c>
      <c r="L33" s="44" t="s">
        <v>63</v>
      </c>
    </row>
    <row r="34" customFormat="false" ht="15" hidden="false" customHeight="true" outlineLevel="1" collapsed="false">
      <c r="B34" s="42" t="s">
        <v>68</v>
      </c>
      <c r="C34" s="43" t="s">
        <v>60</v>
      </c>
      <c r="D34" s="43" t="s">
        <v>60</v>
      </c>
      <c r="E34" s="43" t="s">
        <v>60</v>
      </c>
      <c r="F34" s="44" t="s">
        <v>60</v>
      </c>
      <c r="H34" s="42" t="s">
        <v>69</v>
      </c>
      <c r="I34" s="43" t="s">
        <v>61</v>
      </c>
      <c r="J34" s="43" t="s">
        <v>61</v>
      </c>
      <c r="K34" s="43" t="s">
        <v>61</v>
      </c>
      <c r="L34" s="44" t="s">
        <v>61</v>
      </c>
    </row>
    <row r="35" customFormat="false" ht="15" hidden="false" customHeight="true" outlineLevel="1" collapsed="false">
      <c r="B35" s="42" t="s">
        <v>70</v>
      </c>
      <c r="C35" s="43" t="s">
        <v>61</v>
      </c>
      <c r="D35" s="43" t="s">
        <v>61</v>
      </c>
      <c r="E35" s="43" t="s">
        <v>61</v>
      </c>
      <c r="F35" s="44" t="s">
        <v>61</v>
      </c>
      <c r="H35" s="42" t="s">
        <v>71</v>
      </c>
      <c r="I35" s="45"/>
      <c r="J35" s="46" t="s">
        <v>63</v>
      </c>
      <c r="K35" s="46"/>
      <c r="L35" s="47"/>
    </row>
    <row r="36" customFormat="false" ht="15" hidden="false" customHeight="true" outlineLevel="1" collapsed="false">
      <c r="B36" s="42" t="s">
        <v>72</v>
      </c>
      <c r="C36" s="45"/>
      <c r="D36" s="46" t="s">
        <v>60</v>
      </c>
      <c r="E36" s="46"/>
      <c r="F36" s="47"/>
      <c r="H36" s="48"/>
      <c r="I36" s="49"/>
      <c r="J36" s="49"/>
      <c r="K36" s="49"/>
      <c r="L36" s="50"/>
    </row>
    <row r="37" customFormat="false" ht="4.5" hidden="false" customHeight="true" outlineLevel="1" collapsed="false">
      <c r="B37" s="48"/>
      <c r="C37" s="49"/>
      <c r="D37" s="49"/>
      <c r="E37" s="49"/>
      <c r="F37" s="50"/>
      <c r="G37" s="40"/>
      <c r="H37" s="51"/>
      <c r="I37" s="52"/>
      <c r="J37" s="52"/>
      <c r="K37" s="52"/>
      <c r="L37" s="53"/>
    </row>
    <row r="38" customFormat="false" ht="12" hidden="false" customHeight="true" outlineLevel="0" collapsed="false">
      <c r="B38" s="54" t="str">
        <f aca="false">"Quelle: "&amp;Cockpit!$C$7</f>
        <v>Quelle: Datenraum/ eigene Analysen</v>
      </c>
      <c r="C38" s="55"/>
      <c r="D38" s="55"/>
      <c r="E38" s="55"/>
      <c r="F38" s="56"/>
      <c r="G38" s="40"/>
      <c r="H38" s="54" t="str">
        <f aca="false">"Source: "&amp;Cockpit!$C$8</f>
        <v>Source: Virtual Data Room/ Company Information</v>
      </c>
      <c r="I38" s="55"/>
      <c r="J38" s="55"/>
      <c r="K38" s="55"/>
      <c r="L38" s="56"/>
    </row>
    <row r="39" customFormat="false" ht="12" hidden="false" customHeight="true" outlineLevel="0" collapsed="false">
      <c r="B39" s="51"/>
      <c r="C39" s="57"/>
      <c r="D39" s="57"/>
      <c r="E39" s="57"/>
      <c r="F39" s="58"/>
      <c r="H39" s="51"/>
      <c r="I39" s="57"/>
      <c r="J39" s="57"/>
      <c r="K39" s="57"/>
      <c r="L39" s="58"/>
    </row>
  </sheetData>
  <mergeCells count="16">
    <mergeCell ref="C3:C4"/>
    <mergeCell ref="D3:D4"/>
    <mergeCell ref="E3:E4"/>
    <mergeCell ref="F3:F4"/>
    <mergeCell ref="I3:I4"/>
    <mergeCell ref="J3:J4"/>
    <mergeCell ref="K3:K4"/>
    <mergeCell ref="L3:L4"/>
    <mergeCell ref="J11:K11"/>
    <mergeCell ref="D12:E12"/>
    <mergeCell ref="J19:K19"/>
    <mergeCell ref="D20:E20"/>
    <mergeCell ref="J27:K27"/>
    <mergeCell ref="D28:E28"/>
    <mergeCell ref="J35:K35"/>
    <mergeCell ref="D36:E36"/>
  </mergeCells>
  <printOptions headings="false" gridLines="false" gridLinesSet="true" horizontalCentered="false" verticalCentered="false"/>
  <pageMargins left="0.7" right="0.7" top="0.7875" bottom="0.7875" header="0.511811023622047" footer="0.511811023622047"/>
  <pageSetup paperSize="9" scale="5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11.00390625" defaultRowHeight="12" zeroHeight="false" outlineLevelRow="0" outlineLevelCol="0"/>
  <cols>
    <col collapsed="false" customWidth="false" hidden="false" outlineLevel="0" max="3" min="1" style="1" width="11"/>
    <col collapsed="false" customWidth="true" hidden="false" outlineLevel="0" max="4" min="4" style="1" width="78.14"/>
    <col collapsed="false" customWidth="false" hidden="false" outlineLevel="0" max="8" min="5" style="1" width="11"/>
    <col collapsed="false" customWidth="true" hidden="false" outlineLevel="0" max="9" min="9" style="1" width="78.14"/>
    <col collapsed="false" customWidth="false" hidden="false" outlineLevel="0" max="16384" min="10" style="1" width="11"/>
  </cols>
  <sheetData>
    <row r="1" customFormat="false" ht="12" hidden="false" customHeight="true" outlineLevel="0" collapsed="false">
      <c r="A1" s="59" t="s">
        <v>76</v>
      </c>
      <c r="B1" s="59"/>
      <c r="C1" s="59" t="s">
        <v>77</v>
      </c>
      <c r="D1" s="59" t="s">
        <v>78</v>
      </c>
      <c r="F1" s="59" t="s">
        <v>79</v>
      </c>
      <c r="G1" s="59"/>
      <c r="H1" s="59" t="s">
        <v>80</v>
      </c>
      <c r="I1" s="59" t="s">
        <v>81</v>
      </c>
    </row>
    <row r="2" customFormat="false" ht="12.75" hidden="false" customHeight="true" outlineLevel="0" collapsed="false">
      <c r="A2" s="60" t="n">
        <v>1</v>
      </c>
      <c r="C2" s="61" t="s">
        <v>82</v>
      </c>
      <c r="D2" s="62" t="s">
        <v>83</v>
      </c>
      <c r="F2" s="60" t="n">
        <v>1</v>
      </c>
      <c r="H2" s="61" t="s">
        <v>84</v>
      </c>
      <c r="I2" s="62" t="s">
        <v>85</v>
      </c>
    </row>
    <row r="3" customFormat="false" ht="12.75" hidden="false" customHeight="true" outlineLevel="0" collapsed="false">
      <c r="A3" s="60" t="n">
        <v>2</v>
      </c>
      <c r="C3" s="61" t="s">
        <v>86</v>
      </c>
      <c r="D3" s="62" t="s">
        <v>87</v>
      </c>
      <c r="F3" s="60" t="n">
        <v>2</v>
      </c>
      <c r="H3" s="61" t="s">
        <v>88</v>
      </c>
      <c r="I3" s="62" t="s">
        <v>89</v>
      </c>
    </row>
    <row r="4" customFormat="false" ht="12.75" hidden="false" customHeight="true" outlineLevel="0" collapsed="false">
      <c r="A4" s="60" t="n">
        <v>3</v>
      </c>
      <c r="C4" s="61" t="s">
        <v>90</v>
      </c>
      <c r="D4" s="62" t="s">
        <v>91</v>
      </c>
      <c r="F4" s="60" t="n">
        <v>3</v>
      </c>
      <c r="H4" s="61" t="s">
        <v>92</v>
      </c>
      <c r="I4" s="62" t="s">
        <v>93</v>
      </c>
    </row>
    <row r="5" customFormat="false" ht="12.75" hidden="false" customHeight="true" outlineLevel="0" collapsed="false">
      <c r="A5" s="60" t="n">
        <v>4</v>
      </c>
      <c r="C5" s="61" t="s">
        <v>94</v>
      </c>
      <c r="D5" s="62" t="s">
        <v>95</v>
      </c>
      <c r="F5" s="60" t="n">
        <v>4</v>
      </c>
      <c r="H5" s="61" t="s">
        <v>94</v>
      </c>
      <c r="I5" s="62" t="s">
        <v>95</v>
      </c>
    </row>
    <row r="6" customFormat="false" ht="12.75" hidden="false" customHeight="true" outlineLevel="0" collapsed="false">
      <c r="A6" s="60" t="n">
        <v>5</v>
      </c>
      <c r="C6" s="61" t="s">
        <v>96</v>
      </c>
      <c r="D6" s="62" t="s">
        <v>97</v>
      </c>
      <c r="F6" s="60" t="n">
        <v>5</v>
      </c>
      <c r="H6" s="61" t="s">
        <v>98</v>
      </c>
      <c r="I6" s="62" t="s">
        <v>99</v>
      </c>
    </row>
    <row r="7" customFormat="false" ht="12.75" hidden="false" customHeight="true" outlineLevel="0" collapsed="false">
      <c r="A7" s="60" t="n">
        <v>6</v>
      </c>
      <c r="C7" s="61" t="s">
        <v>100</v>
      </c>
      <c r="D7" s="62" t="s">
        <v>99</v>
      </c>
      <c r="F7" s="60" t="n">
        <v>6</v>
      </c>
      <c r="H7" s="61" t="s">
        <v>101</v>
      </c>
      <c r="I7" s="62" t="s">
        <v>102</v>
      </c>
    </row>
    <row r="8" customFormat="false" ht="12.75" hidden="false" customHeight="true" outlineLevel="0" collapsed="false">
      <c r="A8" s="60" t="n">
        <v>7</v>
      </c>
      <c r="C8" s="61" t="s">
        <v>101</v>
      </c>
      <c r="D8" s="62" t="s">
        <v>102</v>
      </c>
      <c r="F8" s="60" t="n">
        <v>7</v>
      </c>
      <c r="H8" s="61" t="s">
        <v>103</v>
      </c>
      <c r="I8" s="62" t="s">
        <v>104</v>
      </c>
    </row>
    <row r="9" customFormat="false" ht="12.75" hidden="false" customHeight="true" outlineLevel="0" collapsed="false">
      <c r="A9" s="60" t="n">
        <v>8</v>
      </c>
      <c r="C9" s="61" t="s">
        <v>103</v>
      </c>
      <c r="D9" s="62" t="s">
        <v>104</v>
      </c>
      <c r="F9" s="60" t="n">
        <v>8</v>
      </c>
      <c r="H9" s="61" t="s">
        <v>105</v>
      </c>
      <c r="I9" s="62" t="s">
        <v>106</v>
      </c>
    </row>
    <row r="10" customFormat="false" ht="12.75" hidden="false" customHeight="true" outlineLevel="0" collapsed="false">
      <c r="A10" s="60" t="n">
        <v>9</v>
      </c>
      <c r="C10" s="61" t="s">
        <v>105</v>
      </c>
      <c r="D10" s="62" t="s">
        <v>106</v>
      </c>
      <c r="F10" s="60" t="n">
        <v>9</v>
      </c>
      <c r="H10" s="61" t="s">
        <v>107</v>
      </c>
      <c r="I10" s="62" t="s">
        <v>108</v>
      </c>
    </row>
    <row r="11" customFormat="false" ht="12.75" hidden="false" customHeight="true" outlineLevel="0" collapsed="false">
      <c r="A11" s="60" t="n">
        <v>10</v>
      </c>
      <c r="C11" s="61" t="s">
        <v>107</v>
      </c>
      <c r="D11" s="62" t="s">
        <v>108</v>
      </c>
      <c r="F11" s="60" t="n">
        <v>10</v>
      </c>
      <c r="H11" s="61" t="s">
        <v>109</v>
      </c>
      <c r="I11" s="62" t="s">
        <v>110</v>
      </c>
    </row>
    <row r="12" customFormat="false" ht="12.75" hidden="false" customHeight="true" outlineLevel="0" collapsed="false">
      <c r="A12" s="60" t="n">
        <v>11</v>
      </c>
      <c r="C12" s="61" t="s">
        <v>111</v>
      </c>
      <c r="D12" s="62" t="s">
        <v>112</v>
      </c>
      <c r="F12" s="60" t="n">
        <v>11</v>
      </c>
      <c r="H12" s="61" t="s">
        <v>113</v>
      </c>
      <c r="I12" s="62" t="s">
        <v>114</v>
      </c>
    </row>
    <row r="13" customFormat="false" ht="12.75" hidden="false" customHeight="true" outlineLevel="0" collapsed="false">
      <c r="A13" s="60" t="n">
        <v>12</v>
      </c>
      <c r="C13" s="61" t="s">
        <v>115</v>
      </c>
      <c r="D13" s="62" t="s">
        <v>116</v>
      </c>
      <c r="F13" s="60" t="n">
        <v>12</v>
      </c>
      <c r="H13" s="61" t="s">
        <v>117</v>
      </c>
      <c r="I13" s="62" t="s">
        <v>118</v>
      </c>
    </row>
    <row r="14" customFormat="false" ht="12.75" hidden="false" customHeight="true" outlineLevel="0" collapsed="false">
      <c r="A14" s="60" t="n">
        <v>13</v>
      </c>
      <c r="C14" s="61" t="s">
        <v>119</v>
      </c>
      <c r="D14" s="62" t="s">
        <v>120</v>
      </c>
      <c r="F14" s="60" t="n">
        <v>13</v>
      </c>
      <c r="H14" s="61" t="s">
        <v>111</v>
      </c>
      <c r="I14" s="62" t="s">
        <v>121</v>
      </c>
    </row>
    <row r="15" customFormat="false" ht="12.75" hidden="false" customHeight="true" outlineLevel="0" collapsed="false">
      <c r="A15" s="60" t="n">
        <v>14</v>
      </c>
      <c r="C15" s="61" t="s">
        <v>122</v>
      </c>
      <c r="D15" s="62" t="s">
        <v>123</v>
      </c>
      <c r="F15" s="60" t="n">
        <v>14</v>
      </c>
      <c r="H15" s="61" t="s">
        <v>124</v>
      </c>
      <c r="I15" s="62" t="s">
        <v>125</v>
      </c>
    </row>
    <row r="16" customFormat="false" ht="12.75" hidden="false" customHeight="true" outlineLevel="0" collapsed="false">
      <c r="A16" s="60" t="n">
        <v>15</v>
      </c>
      <c r="C16" s="61" t="s">
        <v>126</v>
      </c>
      <c r="D16" s="62" t="s">
        <v>127</v>
      </c>
      <c r="F16" s="60" t="n">
        <v>15</v>
      </c>
      <c r="H16" s="61" t="s">
        <v>115</v>
      </c>
      <c r="I16" s="62" t="s">
        <v>128</v>
      </c>
    </row>
    <row r="17" customFormat="false" ht="12.75" hidden="false" customHeight="true" outlineLevel="0" collapsed="false">
      <c r="A17" s="60" t="n">
        <v>16</v>
      </c>
      <c r="C17" s="61" t="s">
        <v>129</v>
      </c>
      <c r="D17" s="62" t="s">
        <v>130</v>
      </c>
      <c r="F17" s="60" t="n">
        <v>16</v>
      </c>
      <c r="H17" s="61" t="s">
        <v>119</v>
      </c>
      <c r="I17" s="62" t="s">
        <v>131</v>
      </c>
    </row>
    <row r="18" customFormat="false" ht="12.75" hidden="false" customHeight="true" outlineLevel="0" collapsed="false">
      <c r="A18" s="60" t="n">
        <v>17</v>
      </c>
      <c r="C18" s="61" t="s">
        <v>8</v>
      </c>
      <c r="D18" s="62" t="s">
        <v>132</v>
      </c>
      <c r="F18" s="60" t="n">
        <v>17</v>
      </c>
      <c r="H18" s="61" t="s">
        <v>122</v>
      </c>
      <c r="I18" s="62" t="s">
        <v>123</v>
      </c>
    </row>
    <row r="19" customFormat="false" ht="12.75" hidden="false" customHeight="true" outlineLevel="0" collapsed="false">
      <c r="A19" s="60" t="n">
        <v>18</v>
      </c>
      <c r="C19" s="61" t="s">
        <v>133</v>
      </c>
      <c r="D19" s="62" t="s">
        <v>134</v>
      </c>
      <c r="F19" s="60" t="n">
        <v>18</v>
      </c>
      <c r="H19" s="61" t="s">
        <v>126</v>
      </c>
      <c r="I19" s="62" t="s">
        <v>127</v>
      </c>
    </row>
    <row r="20" customFormat="false" ht="12.75" hidden="false" customHeight="true" outlineLevel="0" collapsed="false">
      <c r="A20" s="60" t="n">
        <v>19</v>
      </c>
      <c r="C20" s="61" t="s">
        <v>135</v>
      </c>
      <c r="D20" s="62" t="s">
        <v>136</v>
      </c>
      <c r="F20" s="60" t="n">
        <v>19</v>
      </c>
      <c r="H20" s="61" t="s">
        <v>129</v>
      </c>
      <c r="I20" s="62" t="s">
        <v>130</v>
      </c>
    </row>
    <row r="21" customFormat="false" ht="12.75" hidden="false" customHeight="true" outlineLevel="0" collapsed="false">
      <c r="A21" s="60" t="n">
        <v>20</v>
      </c>
      <c r="C21" s="61" t="s">
        <v>137</v>
      </c>
      <c r="D21" s="62" t="s">
        <v>138</v>
      </c>
      <c r="F21" s="60" t="n">
        <v>20</v>
      </c>
      <c r="H21" s="61" t="s">
        <v>139</v>
      </c>
      <c r="I21" s="62" t="s">
        <v>140</v>
      </c>
    </row>
    <row r="22" customFormat="false" ht="13.5" hidden="false" customHeight="true" outlineLevel="0" collapsed="false">
      <c r="A22" s="63" t="n">
        <v>21</v>
      </c>
      <c r="B22" s="64" t="s">
        <v>141</v>
      </c>
      <c r="C22" s="61" t="s">
        <v>142</v>
      </c>
      <c r="D22" s="62" t="s">
        <v>143</v>
      </c>
      <c r="F22" s="63" t="n">
        <v>21</v>
      </c>
      <c r="G22" s="64" t="s">
        <v>141</v>
      </c>
      <c r="H22" s="61" t="s">
        <v>144</v>
      </c>
      <c r="I22" s="62" t="s">
        <v>145</v>
      </c>
    </row>
    <row r="23" customFormat="false" ht="12.75" hidden="false" customHeight="true" outlineLevel="0" collapsed="false">
      <c r="A23" s="60" t="n">
        <v>1</v>
      </c>
      <c r="C23" s="61" t="s">
        <v>146</v>
      </c>
      <c r="D23" s="62" t="s">
        <v>147</v>
      </c>
      <c r="F23" s="60" t="n">
        <v>1</v>
      </c>
      <c r="H23" s="61" t="s">
        <v>8</v>
      </c>
      <c r="I23" s="62" t="s">
        <v>132</v>
      </c>
    </row>
    <row r="24" customFormat="false" ht="12.75" hidden="false" customHeight="true" outlineLevel="0" collapsed="false">
      <c r="A24" s="60" t="n">
        <v>2</v>
      </c>
      <c r="C24" s="61" t="s">
        <v>148</v>
      </c>
      <c r="D24" s="62" t="s">
        <v>149</v>
      </c>
      <c r="F24" s="60" t="n">
        <v>2</v>
      </c>
      <c r="H24" s="61" t="s">
        <v>133</v>
      </c>
      <c r="I24" s="62" t="s">
        <v>134</v>
      </c>
    </row>
    <row r="25" customFormat="false" ht="12.75" hidden="false" customHeight="true" outlineLevel="0" collapsed="false">
      <c r="A25" s="60" t="n">
        <v>3</v>
      </c>
      <c r="C25" s="61" t="s">
        <v>150</v>
      </c>
      <c r="D25" s="62" t="s">
        <v>151</v>
      </c>
      <c r="F25" s="60" t="n">
        <v>3</v>
      </c>
      <c r="H25" s="61" t="s">
        <v>135</v>
      </c>
      <c r="I25" s="62" t="s">
        <v>136</v>
      </c>
    </row>
    <row r="26" customFormat="false" ht="12.75" hidden="false" customHeight="true" outlineLevel="0" collapsed="false">
      <c r="A26" s="60" t="n">
        <v>4</v>
      </c>
      <c r="C26" s="61" t="s">
        <v>152</v>
      </c>
      <c r="D26" s="62" t="s">
        <v>153</v>
      </c>
      <c r="F26" s="60" t="n">
        <v>4</v>
      </c>
      <c r="H26" s="61" t="s">
        <v>137</v>
      </c>
      <c r="I26" s="62" t="s">
        <v>138</v>
      </c>
    </row>
    <row r="27" customFormat="false" ht="12.75" hidden="false" customHeight="true" outlineLevel="0" collapsed="false">
      <c r="A27" s="60" t="n">
        <v>5</v>
      </c>
      <c r="C27" s="61" t="s">
        <v>154</v>
      </c>
      <c r="D27" s="62" t="s">
        <v>155</v>
      </c>
      <c r="F27" s="60" t="n">
        <v>5</v>
      </c>
      <c r="H27" s="61" t="s">
        <v>156</v>
      </c>
      <c r="I27" s="62" t="s">
        <v>157</v>
      </c>
    </row>
    <row r="28" customFormat="false" ht="12.75" hidden="false" customHeight="true" outlineLevel="0" collapsed="false">
      <c r="A28" s="60" t="n">
        <v>6</v>
      </c>
      <c r="C28" s="61" t="s">
        <v>158</v>
      </c>
      <c r="D28" s="62" t="s">
        <v>159</v>
      </c>
      <c r="F28" s="60" t="n">
        <v>6</v>
      </c>
      <c r="H28" s="61" t="s">
        <v>160</v>
      </c>
      <c r="I28" s="62" t="s">
        <v>161</v>
      </c>
    </row>
    <row r="29" customFormat="false" ht="12.75" hidden="false" customHeight="true" outlineLevel="0" collapsed="false">
      <c r="A29" s="60" t="n">
        <v>7</v>
      </c>
      <c r="C29" s="61" t="s">
        <v>162</v>
      </c>
      <c r="D29" s="62" t="s">
        <v>163</v>
      </c>
      <c r="F29" s="60" t="n">
        <v>7</v>
      </c>
      <c r="H29" s="61" t="s">
        <v>148</v>
      </c>
      <c r="I29" s="62" t="s">
        <v>164</v>
      </c>
    </row>
    <row r="30" customFormat="false" ht="12.75" hidden="false" customHeight="true" outlineLevel="0" collapsed="false">
      <c r="A30" s="60" t="n">
        <v>8</v>
      </c>
      <c r="C30" s="61" t="s">
        <v>165</v>
      </c>
      <c r="D30" s="62" t="s">
        <v>166</v>
      </c>
      <c r="F30" s="60" t="n">
        <v>8</v>
      </c>
      <c r="H30" s="61" t="s">
        <v>150</v>
      </c>
      <c r="I30" s="62" t="s">
        <v>167</v>
      </c>
    </row>
    <row r="31" customFormat="false" ht="12.75" hidden="false" customHeight="true" outlineLevel="0" collapsed="false">
      <c r="A31" s="60" t="n">
        <v>9</v>
      </c>
      <c r="C31" s="61" t="s">
        <v>168</v>
      </c>
      <c r="D31" s="62" t="s">
        <v>169</v>
      </c>
      <c r="F31" s="60" t="n">
        <v>9</v>
      </c>
      <c r="H31" s="61" t="s">
        <v>152</v>
      </c>
      <c r="I31" s="62" t="s">
        <v>170</v>
      </c>
    </row>
    <row r="32" customFormat="false" ht="12.75" hidden="false" customHeight="true" outlineLevel="0" collapsed="false">
      <c r="A32" s="60" t="n">
        <v>10</v>
      </c>
      <c r="C32" s="61" t="s">
        <v>26</v>
      </c>
      <c r="D32" s="62" t="s">
        <v>171</v>
      </c>
      <c r="F32" s="60" t="n">
        <v>10</v>
      </c>
      <c r="H32" s="61" t="s">
        <v>172</v>
      </c>
      <c r="I32" s="62" t="s">
        <v>173</v>
      </c>
    </row>
    <row r="33" customFormat="false" ht="12.75" hidden="false" customHeight="true" outlineLevel="0" collapsed="false">
      <c r="A33" s="60" t="n">
        <v>11</v>
      </c>
      <c r="C33" s="61" t="s">
        <v>174</v>
      </c>
      <c r="D33" s="62" t="s">
        <v>175</v>
      </c>
      <c r="F33" s="60" t="n">
        <v>11</v>
      </c>
      <c r="H33" s="61" t="s">
        <v>26</v>
      </c>
      <c r="I33" s="62" t="s">
        <v>171</v>
      </c>
    </row>
    <row r="34" customFormat="false" ht="12.75" hidden="false" customHeight="true" outlineLevel="0" collapsed="false">
      <c r="A34" s="60" t="n">
        <v>12</v>
      </c>
      <c r="C34" s="61" t="s">
        <v>176</v>
      </c>
      <c r="D34" s="62" t="s">
        <v>177</v>
      </c>
      <c r="F34" s="60" t="n">
        <v>12</v>
      </c>
      <c r="H34" s="61" t="s">
        <v>178</v>
      </c>
      <c r="I34" s="62" t="s">
        <v>179</v>
      </c>
    </row>
    <row r="35" customFormat="false" ht="12.75" hidden="false" customHeight="true" outlineLevel="0" collapsed="false">
      <c r="A35" s="60" t="n">
        <v>13</v>
      </c>
      <c r="C35" s="61" t="s">
        <v>180</v>
      </c>
      <c r="D35" s="62" t="s">
        <v>181</v>
      </c>
      <c r="F35" s="60" t="n">
        <v>13</v>
      </c>
      <c r="H35" s="61" t="s">
        <v>182</v>
      </c>
      <c r="I35" s="62" t="s">
        <v>183</v>
      </c>
    </row>
    <row r="36" customFormat="false" ht="12.75" hidden="false" customHeight="true" outlineLevel="0" collapsed="false">
      <c r="A36" s="60" t="n">
        <v>14</v>
      </c>
      <c r="C36" s="61" t="s">
        <v>184</v>
      </c>
      <c r="D36" s="62" t="s">
        <v>185</v>
      </c>
      <c r="F36" s="60" t="n">
        <v>14</v>
      </c>
      <c r="H36" s="61" t="s">
        <v>174</v>
      </c>
      <c r="I36" s="62" t="s">
        <v>186</v>
      </c>
    </row>
    <row r="37" customFormat="false" ht="12.75" hidden="false" customHeight="true" outlineLevel="0" collapsed="false">
      <c r="A37" s="60" t="n">
        <v>15</v>
      </c>
      <c r="C37" s="61" t="s">
        <v>187</v>
      </c>
      <c r="D37" s="62" t="s">
        <v>188</v>
      </c>
      <c r="F37" s="60" t="n">
        <v>15</v>
      </c>
      <c r="H37" s="61" t="s">
        <v>176</v>
      </c>
      <c r="I37" s="62" t="s">
        <v>177</v>
      </c>
    </row>
    <row r="38" customFormat="false" ht="12.75" hidden="false" customHeight="true" outlineLevel="0" collapsed="false">
      <c r="A38" s="60" t="n">
        <v>16</v>
      </c>
      <c r="C38" s="61" t="s">
        <v>189</v>
      </c>
      <c r="D38" s="62" t="s">
        <v>190</v>
      </c>
      <c r="F38" s="60" t="n">
        <v>16</v>
      </c>
      <c r="H38" s="61" t="s">
        <v>191</v>
      </c>
      <c r="I38" s="62" t="s">
        <v>192</v>
      </c>
    </row>
    <row r="39" customFormat="false" ht="12.75" hidden="false" customHeight="true" outlineLevel="0" collapsed="false">
      <c r="A39" s="60" t="n">
        <v>17</v>
      </c>
      <c r="C39" s="61" t="s">
        <v>193</v>
      </c>
      <c r="D39" s="62" t="s">
        <v>194</v>
      </c>
      <c r="F39" s="60" t="n">
        <v>17</v>
      </c>
      <c r="H39" s="61" t="s">
        <v>180</v>
      </c>
      <c r="I39" s="62" t="s">
        <v>195</v>
      </c>
    </row>
    <row r="40" customFormat="false" ht="12.75" hidden="false" customHeight="true" outlineLevel="0" collapsed="false">
      <c r="A40" s="60" t="n">
        <v>18</v>
      </c>
      <c r="C40" s="61" t="s">
        <v>196</v>
      </c>
      <c r="D40" s="62" t="s">
        <v>197</v>
      </c>
      <c r="F40" s="60" t="n">
        <v>18</v>
      </c>
      <c r="H40" s="61" t="s">
        <v>184</v>
      </c>
      <c r="I40" s="62" t="s">
        <v>198</v>
      </c>
    </row>
    <row r="41" customFormat="false" ht="12.75" hidden="false" customHeight="true" outlineLevel="0" collapsed="false">
      <c r="A41" s="60" t="n">
        <v>19</v>
      </c>
      <c r="C41" s="61" t="s">
        <v>199</v>
      </c>
      <c r="D41" s="62" t="s">
        <v>200</v>
      </c>
      <c r="F41" s="60" t="n">
        <v>19</v>
      </c>
      <c r="H41" s="61" t="s">
        <v>199</v>
      </c>
      <c r="I41" s="62" t="s">
        <v>200</v>
      </c>
    </row>
    <row r="42" customFormat="false" ht="12.75" hidden="false" customHeight="true" outlineLevel="0" collapsed="false">
      <c r="A42" s="60" t="n">
        <v>20</v>
      </c>
      <c r="C42" s="61" t="s">
        <v>201</v>
      </c>
      <c r="D42" s="62" t="s">
        <v>202</v>
      </c>
      <c r="F42" s="60" t="n">
        <v>20</v>
      </c>
      <c r="H42" s="61" t="s">
        <v>201</v>
      </c>
      <c r="I42" s="62" t="s">
        <v>203</v>
      </c>
    </row>
    <row r="43" customFormat="false" ht="13.5" hidden="false" customHeight="true" outlineLevel="0" collapsed="false">
      <c r="A43" s="63" t="n">
        <v>21</v>
      </c>
      <c r="B43" s="64" t="s">
        <v>204</v>
      </c>
      <c r="C43" s="61" t="s">
        <v>205</v>
      </c>
      <c r="D43" s="62" t="s">
        <v>206</v>
      </c>
      <c r="F43" s="63" t="n">
        <v>21</v>
      </c>
      <c r="G43" s="64" t="s">
        <v>204</v>
      </c>
      <c r="H43" s="61" t="s">
        <v>205</v>
      </c>
      <c r="I43" s="62" t="s">
        <v>206</v>
      </c>
    </row>
    <row r="44" customFormat="false" ht="12.75" hidden="false" customHeight="true" outlineLevel="0" collapsed="false">
      <c r="A44" s="60" t="n">
        <v>1</v>
      </c>
      <c r="C44" s="61" t="s">
        <v>207</v>
      </c>
      <c r="D44" s="62" t="s">
        <v>208</v>
      </c>
      <c r="F44" s="60" t="n">
        <v>1</v>
      </c>
      <c r="H44" s="61" t="s">
        <v>209</v>
      </c>
      <c r="I44" s="62" t="s">
        <v>210</v>
      </c>
    </row>
    <row r="45" customFormat="false" ht="12.75" hidden="false" customHeight="true" outlineLevel="0" collapsed="false">
      <c r="A45" s="60" t="n">
        <v>2</v>
      </c>
      <c r="C45" s="61" t="s">
        <v>209</v>
      </c>
      <c r="D45" s="62" t="s">
        <v>210</v>
      </c>
      <c r="F45" s="60" t="n">
        <v>2</v>
      </c>
      <c r="H45" s="61" t="s">
        <v>211</v>
      </c>
      <c r="I45" s="62" t="s">
        <v>212</v>
      </c>
    </row>
    <row r="46" customFormat="false" ht="12.75" hidden="false" customHeight="true" outlineLevel="0" collapsed="false">
      <c r="A46" s="60" t="n">
        <v>3</v>
      </c>
      <c r="C46" s="61" t="s">
        <v>211</v>
      </c>
      <c r="D46" s="62" t="s">
        <v>212</v>
      </c>
      <c r="F46" s="60" t="n">
        <v>3</v>
      </c>
      <c r="H46" s="61" t="s">
        <v>213</v>
      </c>
      <c r="I46" s="62" t="s">
        <v>214</v>
      </c>
    </row>
    <row r="47" customFormat="false" ht="12.75" hidden="false" customHeight="true" outlineLevel="0" collapsed="false">
      <c r="A47" s="60" t="n">
        <v>4</v>
      </c>
      <c r="C47" s="61" t="s">
        <v>215</v>
      </c>
      <c r="D47" s="62" t="s">
        <v>216</v>
      </c>
      <c r="F47" s="60" t="n">
        <v>4</v>
      </c>
      <c r="H47" s="61" t="s">
        <v>217</v>
      </c>
      <c r="I47" s="62" t="s">
        <v>218</v>
      </c>
    </row>
    <row r="48" customFormat="false" ht="12.75" hidden="false" customHeight="true" outlineLevel="0" collapsed="false">
      <c r="A48" s="60" t="n">
        <v>5</v>
      </c>
      <c r="C48" s="61" t="s">
        <v>219</v>
      </c>
      <c r="D48" s="62" t="s">
        <v>220</v>
      </c>
      <c r="F48" s="60" t="n">
        <v>5</v>
      </c>
      <c r="H48" s="61" t="s">
        <v>221</v>
      </c>
      <c r="I48" s="62" t="s">
        <v>222</v>
      </c>
    </row>
    <row r="49" customFormat="false" ht="12.75" hidden="false" customHeight="true" outlineLevel="0" collapsed="false">
      <c r="A49" s="60" t="n">
        <v>6</v>
      </c>
      <c r="C49" s="61" t="s">
        <v>213</v>
      </c>
      <c r="D49" s="62" t="s">
        <v>223</v>
      </c>
      <c r="F49" s="60" t="n">
        <v>6</v>
      </c>
      <c r="H49" s="61" t="s">
        <v>28</v>
      </c>
      <c r="I49" s="62" t="s">
        <v>224</v>
      </c>
    </row>
    <row r="50" customFormat="false" ht="12.75" hidden="false" customHeight="true" outlineLevel="0" collapsed="false">
      <c r="A50" s="60" t="n">
        <v>7</v>
      </c>
      <c r="C50" s="61" t="s">
        <v>217</v>
      </c>
      <c r="D50" s="62" t="s">
        <v>218</v>
      </c>
      <c r="F50" s="60" t="n">
        <v>7</v>
      </c>
      <c r="H50" s="61" t="s">
        <v>30</v>
      </c>
      <c r="I50" s="62" t="s">
        <v>225</v>
      </c>
    </row>
    <row r="51" customFormat="false" ht="12.75" hidden="false" customHeight="true" outlineLevel="0" collapsed="false">
      <c r="A51" s="60" t="n">
        <v>8</v>
      </c>
      <c r="C51" s="61" t="s">
        <v>226</v>
      </c>
      <c r="D51" s="62" t="s">
        <v>227</v>
      </c>
      <c r="F51" s="60" t="n">
        <v>8</v>
      </c>
      <c r="H51" s="61"/>
      <c r="I51" s="62"/>
    </row>
    <row r="52" customFormat="false" ht="12.75" hidden="false" customHeight="true" outlineLevel="0" collapsed="false">
      <c r="A52" s="60" t="n">
        <v>9</v>
      </c>
      <c r="C52" s="61" t="s">
        <v>28</v>
      </c>
      <c r="D52" s="62" t="s">
        <v>224</v>
      </c>
      <c r="F52" s="60" t="n">
        <v>9</v>
      </c>
      <c r="H52" s="61"/>
      <c r="I52" s="62"/>
    </row>
    <row r="53" customFormat="false" ht="12.75" hidden="false" customHeight="true" outlineLevel="0" collapsed="false">
      <c r="A53" s="60" t="n">
        <v>10</v>
      </c>
      <c r="C53" s="61" t="s">
        <v>30</v>
      </c>
      <c r="D53" s="62" t="s">
        <v>225</v>
      </c>
      <c r="F53" s="60" t="n">
        <v>10</v>
      </c>
      <c r="H53" s="61"/>
      <c r="I53" s="62"/>
    </row>
    <row r="54" customFormat="false" ht="12.75" hidden="false" customHeight="true" outlineLevel="0" collapsed="false">
      <c r="A54" s="60" t="n">
        <v>11</v>
      </c>
      <c r="C54" s="65" t="s">
        <v>228</v>
      </c>
      <c r="D54" s="66" t="s">
        <v>229</v>
      </c>
      <c r="F54" s="60" t="n">
        <v>11</v>
      </c>
      <c r="H54" s="61"/>
      <c r="I54" s="62"/>
    </row>
    <row r="55" customFormat="false" ht="12.75" hidden="false" customHeight="true" outlineLevel="0" collapsed="false">
      <c r="A55" s="60" t="n">
        <v>12</v>
      </c>
      <c r="C55" s="65" t="s">
        <v>230</v>
      </c>
      <c r="D55" s="66" t="s">
        <v>231</v>
      </c>
      <c r="F55" s="60" t="n">
        <v>12</v>
      </c>
    </row>
    <row r="56" customFormat="false" ht="12" hidden="false" customHeight="true" outlineLevel="0" collapsed="false">
      <c r="A56" s="60" t="n">
        <v>13</v>
      </c>
      <c r="F56" s="60" t="n">
        <v>13</v>
      </c>
    </row>
    <row r="57" customFormat="false" ht="12" hidden="false" customHeight="true" outlineLevel="0" collapsed="false">
      <c r="A57" s="60" t="n">
        <v>14</v>
      </c>
      <c r="F57" s="60" t="n">
        <v>14</v>
      </c>
    </row>
    <row r="58" customFormat="false" ht="12" hidden="false" customHeight="true" outlineLevel="0" collapsed="false">
      <c r="A58" s="60" t="n">
        <v>15</v>
      </c>
      <c r="F58" s="60" t="n">
        <v>15</v>
      </c>
    </row>
    <row r="59" customFormat="false" ht="12" hidden="false" customHeight="true" outlineLevel="0" collapsed="false">
      <c r="A59" s="60" t="n">
        <v>16</v>
      </c>
      <c r="F59" s="60" t="n">
        <v>16</v>
      </c>
    </row>
    <row r="60" customFormat="false" ht="12" hidden="false" customHeight="true" outlineLevel="0" collapsed="false">
      <c r="A60" s="60" t="n">
        <v>17</v>
      </c>
      <c r="F60" s="60" t="n">
        <v>17</v>
      </c>
    </row>
    <row r="61" customFormat="false" ht="12" hidden="false" customHeight="true" outlineLevel="0" collapsed="false">
      <c r="A61" s="60" t="n">
        <v>18</v>
      </c>
      <c r="F61" s="60" t="n">
        <v>18</v>
      </c>
    </row>
    <row r="62" customFormat="false" ht="12" hidden="false" customHeight="true" outlineLevel="0" collapsed="false">
      <c r="A62" s="60" t="n">
        <v>19</v>
      </c>
      <c r="F62" s="60" t="n">
        <v>19</v>
      </c>
    </row>
    <row r="63" customFormat="false" ht="12" hidden="false" customHeight="true" outlineLevel="0" collapsed="false">
      <c r="A63" s="60" t="n">
        <v>20</v>
      </c>
      <c r="F63" s="60" t="n">
        <v>20</v>
      </c>
    </row>
    <row r="64" customFormat="false" ht="12.75" hidden="false" customHeight="true" outlineLevel="0" collapsed="false">
      <c r="A64" s="63" t="n">
        <v>21</v>
      </c>
      <c r="B64" s="64" t="s">
        <v>232</v>
      </c>
      <c r="F64" s="63" t="n">
        <v>21</v>
      </c>
      <c r="G64" s="64" t="s">
        <v>232</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8986"/>
    <pageSetUpPr fitToPage="false"/>
  </sheetPr>
  <dimension ref="A1:AV149"/>
  <sheetViews>
    <sheetView showFormulas="false" showGridLines="true" showRowColHeaders="true" showZeros="true" rightToLeft="false" tabSelected="false" showOutlineSymbols="true" defaultGridColor="true" view="normal" topLeftCell="A50" colorId="64" zoomScale="85" zoomScaleNormal="85" zoomScalePageLayoutView="100" workbookViewId="0">
      <selection pane="topLeft" activeCell="T92" activeCellId="0" sqref="T92"/>
    </sheetView>
  </sheetViews>
  <sheetFormatPr defaultColWidth="11.00390625" defaultRowHeight="12" zeroHeight="false" outlineLevelRow="0" outlineLevelCol="0"/>
  <cols>
    <col collapsed="false" customWidth="true" hidden="false" outlineLevel="0" max="1" min="1" style="1" width="25.42"/>
    <col collapsed="false" customWidth="false" hidden="false" outlineLevel="0" max="16384" min="2" style="1" width="11"/>
  </cols>
  <sheetData>
    <row r="1" s="67" customFormat="true" ht="12" hidden="false" customHeight="true" outlineLevel="0" collapsed="false"/>
    <row r="2" customFormat="false" ht="12" hidden="false" customHeight="true" outlineLevel="0" collapsed="false">
      <c r="A2" s="68" t="s">
        <v>233</v>
      </c>
    </row>
    <row r="4" customFormat="false" ht="12" hidden="false" customHeight="true" outlineLevel="0" collapsed="false">
      <c r="A4" s="69"/>
      <c r="B4" s="10" t="n">
        <f aca="false">'Lead PL'!F6</f>
        <v>44926</v>
      </c>
      <c r="D4" s="69"/>
      <c r="E4" s="10" t="n">
        <f aca="false">'Lead PL'!G6</f>
        <v>45291</v>
      </c>
      <c r="G4" s="69"/>
      <c r="H4" s="10" t="n">
        <f aca="false">'Lead PL'!H6</f>
        <v>45657</v>
      </c>
      <c r="J4" s="69"/>
      <c r="K4" s="10" t="n">
        <f aca="false">'Lead PL'!I6</f>
        <v>45808</v>
      </c>
    </row>
    <row r="5" customFormat="false" ht="12" hidden="false" customHeight="true" outlineLevel="0" collapsed="false">
      <c r="A5" s="70" t="s">
        <v>234</v>
      </c>
      <c r="B5" s="71"/>
      <c r="D5" s="70"/>
      <c r="E5" s="71"/>
      <c r="G5" s="70"/>
      <c r="H5" s="71"/>
      <c r="J5" s="70"/>
      <c r="K5" s="71"/>
    </row>
    <row r="6" customFormat="false" ht="12" hidden="false" customHeight="true" outlineLevel="0" collapsed="false">
      <c r="A6" s="70" t="s">
        <v>235</v>
      </c>
      <c r="B6" s="71"/>
      <c r="D6" s="70"/>
      <c r="E6" s="71"/>
      <c r="G6" s="70"/>
      <c r="H6" s="71"/>
      <c r="J6" s="70"/>
      <c r="K6" s="71"/>
    </row>
    <row r="7" customFormat="false" ht="12" hidden="false" customHeight="true" outlineLevel="0" collapsed="false">
      <c r="A7" s="70" t="s">
        <v>236</v>
      </c>
      <c r="B7" s="71"/>
      <c r="D7" s="70"/>
      <c r="E7" s="71"/>
      <c r="G7" s="70"/>
      <c r="H7" s="71"/>
      <c r="J7" s="70"/>
      <c r="K7" s="71"/>
    </row>
    <row r="8" customFormat="false" ht="12" hidden="false" customHeight="true" outlineLevel="0" collapsed="false">
      <c r="A8" s="70" t="s">
        <v>237</v>
      </c>
      <c r="B8" s="71"/>
      <c r="D8" s="70"/>
      <c r="E8" s="71"/>
      <c r="G8" s="70"/>
      <c r="H8" s="71"/>
      <c r="J8" s="70"/>
      <c r="K8" s="71"/>
    </row>
    <row r="11" s="72" customFormat="true" ht="5.25" hidden="false" customHeight="true" outlineLevel="0" collapsed="false"/>
    <row r="13" customFormat="false" ht="12" hidden="false" customHeight="true" outlineLevel="0" collapsed="false">
      <c r="A13" s="73" t="s">
        <v>238</v>
      </c>
    </row>
    <row r="17" customFormat="false" ht="12" hidden="false" customHeight="true" outlineLevel="0" collapsed="false">
      <c r="A17" s="70"/>
      <c r="B17" s="74" t="n">
        <f aca="false">'Lead PL'!F6</f>
        <v>44926</v>
      </c>
      <c r="C17" s="74" t="n">
        <f aca="false">'Lead PL'!G6</f>
        <v>45291</v>
      </c>
      <c r="D17" s="74" t="n">
        <f aca="false">'Lead PL'!H6</f>
        <v>45657</v>
      </c>
      <c r="E17" s="74" t="n">
        <f aca="false">'Lead PL'!I6</f>
        <v>45808</v>
      </c>
    </row>
    <row r="18" customFormat="false" ht="12" hidden="false" customHeight="true" outlineLevel="0" collapsed="false">
      <c r="A18" s="70"/>
      <c r="B18" s="75" t="s">
        <v>160</v>
      </c>
      <c r="C18" s="75" t="s">
        <v>160</v>
      </c>
      <c r="D18" s="75" t="s">
        <v>160</v>
      </c>
      <c r="E18" s="75" t="s">
        <v>26</v>
      </c>
    </row>
    <row r="19" customFormat="false" ht="12" hidden="false" customHeight="true" outlineLevel="0" collapsed="false">
      <c r="A19" s="70" t="s">
        <v>239</v>
      </c>
      <c r="B19" s="71" t="str">
        <f aca="false">PL_QoE!F44</f>
        <v>n/a</v>
      </c>
      <c r="C19" s="71" t="str">
        <f aca="false">PL_QoE!G44</f>
        <v>n/a</v>
      </c>
      <c r="D19" s="71" t="str">
        <f aca="false">PL_QoE!H44</f>
        <v>n/a</v>
      </c>
      <c r="E19" s="71" t="str">
        <f aca="false">PL_QoE!I44</f>
        <v>n/a</v>
      </c>
    </row>
    <row r="20" customFormat="false" ht="12" hidden="false" customHeight="true" outlineLevel="0" collapsed="false">
      <c r="A20" s="70" t="s">
        <v>240</v>
      </c>
      <c r="B20" s="71" t="str">
        <f aca="false">PL_QoE!F41</f>
        <v>n/a</v>
      </c>
      <c r="C20" s="71" t="str">
        <f aca="false">PL_QoE!G41</f>
        <v>n/a</v>
      </c>
      <c r="D20" s="71" t="str">
        <f aca="false">PL_QoE!H41</f>
        <v>n/a</v>
      </c>
      <c r="E20" s="71" t="str">
        <f aca="false">PL_QoE!I41</f>
        <v>n/a</v>
      </c>
    </row>
    <row r="21" customFormat="false" ht="12" hidden="false" customHeight="true" outlineLevel="0" collapsed="false">
      <c r="A21" s="70" t="s">
        <v>241</v>
      </c>
      <c r="B21" s="76" t="n">
        <f aca="false">'Lead PL'!F39</f>
        <v>0</v>
      </c>
      <c r="C21" s="76" t="n">
        <f aca="false">'Lead PL'!G39</f>
        <v>0</v>
      </c>
      <c r="D21" s="76" t="n">
        <f aca="false">'Lead PL'!H39</f>
        <v>0</v>
      </c>
      <c r="E21" s="76" t="n">
        <f aca="false">'Lead PL'!I39</f>
        <v>0</v>
      </c>
    </row>
    <row r="22" customFormat="false" ht="12" hidden="false" customHeight="true" outlineLevel="0" collapsed="false">
      <c r="A22" s="70" t="s">
        <v>242</v>
      </c>
      <c r="B22" s="76" t="n">
        <f aca="false">'Lead PL'!F146</f>
        <v>0</v>
      </c>
      <c r="C22" s="76" t="n">
        <f aca="false">'Lead PL'!G146</f>
        <v>0</v>
      </c>
      <c r="D22" s="76" t="n">
        <f aca="false">'Lead PL'!H146</f>
        <v>0</v>
      </c>
      <c r="E22" s="76" t="n">
        <f aca="false">'Lead PL'!I146</f>
        <v>0</v>
      </c>
    </row>
    <row r="23" customFormat="false" ht="12" hidden="false" customHeight="true" outlineLevel="0" collapsed="false">
      <c r="A23" s="70" t="s">
        <v>243</v>
      </c>
      <c r="B23" s="76" t="n">
        <f aca="false">PL_QoE!F30</f>
        <v>0</v>
      </c>
      <c r="C23" s="76" t="n">
        <f aca="false">PL_QoE!G30</f>
        <v>0</v>
      </c>
      <c r="D23" s="76" t="n">
        <f aca="false">PL_QoE!H30</f>
        <v>0</v>
      </c>
      <c r="E23" s="76" t="n">
        <f aca="false">PL_QoE!I30</f>
        <v>0</v>
      </c>
    </row>
    <row r="25" s="72" customFormat="true" ht="5.25" hidden="false" customHeight="true" outlineLevel="0" collapsed="false"/>
    <row r="28" customFormat="false" ht="12" hidden="false" customHeight="true" outlineLevel="0" collapsed="false">
      <c r="A28" s="73" t="s">
        <v>244</v>
      </c>
    </row>
    <row r="31" customFormat="false" ht="12" hidden="false" customHeight="true" outlineLevel="0" collapsed="false">
      <c r="A31" s="77"/>
      <c r="B31" s="10" t="str">
        <f aca="false">"EBITDA FY" &amp; RIGHT(YEAR(Cockpit!D33),2) &amp; " Act."</f>
        <v>EBITDA FY22 Act.</v>
      </c>
      <c r="C31" s="77" t="str">
        <f aca="false">"∆ "&amp;'Lead PL'!D9</f>
        <v>∆ Revenues</v>
      </c>
      <c r="D31" s="77" t="str">
        <f aca="false">"∆ "&amp;'Lead PL'!D18</f>
        <v>∆ Change in inventory</v>
      </c>
      <c r="E31" s="77" t="str">
        <f aca="false">"∆ "&amp;'Lead PL'!D27</f>
        <v>∆ Own work capitalized</v>
      </c>
      <c r="F31" s="77" t="str">
        <f aca="false">"∆ "&amp;'Lead PL'!D36</f>
        <v>∆ Dummy 1</v>
      </c>
      <c r="G31" s="77" t="str">
        <f aca="false">"∆ "&amp;'Lead PL'!D37</f>
        <v>∆ Dummy 2</v>
      </c>
      <c r="H31" s="77" t="str">
        <f aca="false">"∆ "&amp;'Lead PL'!D38</f>
        <v>∆ Dummy 3</v>
      </c>
      <c r="I31" s="77" t="str">
        <f aca="false">"∆ "&amp;'Lead PL'!D40</f>
        <v>∆ Cost of materials</v>
      </c>
      <c r="J31" s="77" t="str">
        <f aca="false">"∆ "&amp;'Lead PL'!D53</f>
        <v>∆ Personnel expenses</v>
      </c>
      <c r="K31" s="77" t="str">
        <f aca="false">"∆ "&amp;'Lead PL'!D62</f>
        <v>∆ Premise costs</v>
      </c>
      <c r="L31" s="77" t="str">
        <f aca="false">"∆ "&amp;'Lead PL'!D71</f>
        <v>∆ Repair and maintenance</v>
      </c>
      <c r="M31" s="77" t="str">
        <f aca="false">"∆ "&amp;'Lead PL'!D80</f>
        <v>∆ Sales costs</v>
      </c>
      <c r="N31" s="77" t="str">
        <f aca="false">"∆ "&amp;'Lead PL'!D89</f>
        <v>∆ Delivery costs</v>
      </c>
      <c r="O31" s="77" t="str">
        <f aca="false">"∆ "&amp;'Lead PL'!D98</f>
        <v>∆ Vehicle costs</v>
      </c>
      <c r="P31" s="77" t="str">
        <f aca="false">"∆ "&amp;'Lead PL'!D107</f>
        <v>∆ Insurance, contributions and levies expenses</v>
      </c>
      <c r="Q31" s="77" t="str">
        <f aca="false">"∆ "&amp;'Lead PL'!D116</f>
        <v>∆ Advertising and travel expenses</v>
      </c>
      <c r="R31" s="77" t="str">
        <f aca="false">"∆ "&amp;'Lead PL'!D125</f>
        <v>∆ Other operating income</v>
      </c>
      <c r="S31" s="77" t="str">
        <f aca="false">"∆ "&amp;'Lead PL'!D134</f>
        <v>∆ Other operating expenses</v>
      </c>
      <c r="T31" s="77" t="str">
        <f aca="false">"∆ "&amp;'Lead PL'!D143</f>
        <v>∆ Dummy 1</v>
      </c>
      <c r="U31" s="77" t="str">
        <f aca="false">"∆ "&amp;'Lead PL'!D144</f>
        <v>∆ Dummy 2</v>
      </c>
      <c r="V31" s="77" t="str">
        <f aca="false">"∆ "&amp;'Lead PL'!D145</f>
        <v>∆ Dummy 3</v>
      </c>
      <c r="W31" s="10" t="str">
        <f aca="false">"EBITDA FY" &amp; RIGHT(YEAR(Cockpit!E33),2) &amp; " Act."</f>
        <v>EBITDA FY23 Act.</v>
      </c>
      <c r="X31" s="77" t="str">
        <f aca="false">C31</f>
        <v>∆ Revenues</v>
      </c>
      <c r="Y31" s="77" t="str">
        <f aca="false">D31</f>
        <v>∆ Change in inventory</v>
      </c>
      <c r="Z31" s="77" t="str">
        <f aca="false">E31</f>
        <v>∆ Own work capitalized</v>
      </c>
      <c r="AA31" s="77" t="str">
        <f aca="false">F31</f>
        <v>∆ Dummy 1</v>
      </c>
      <c r="AB31" s="77" t="str">
        <f aca="false">G31</f>
        <v>∆ Dummy 2</v>
      </c>
      <c r="AC31" s="77" t="str">
        <f aca="false">H31</f>
        <v>∆ Dummy 3</v>
      </c>
      <c r="AD31" s="77" t="str">
        <f aca="false">I31</f>
        <v>∆ Cost of materials</v>
      </c>
      <c r="AE31" s="77" t="str">
        <f aca="false">J31</f>
        <v>∆ Personnel expenses</v>
      </c>
      <c r="AF31" s="77" t="str">
        <f aca="false">K31</f>
        <v>∆ Premise costs</v>
      </c>
      <c r="AG31" s="77" t="str">
        <f aca="false">L31</f>
        <v>∆ Repair and maintenance</v>
      </c>
      <c r="AH31" s="77" t="str">
        <f aca="false">M31</f>
        <v>∆ Sales costs</v>
      </c>
      <c r="AI31" s="77" t="str">
        <f aca="false">N31</f>
        <v>∆ Delivery costs</v>
      </c>
      <c r="AJ31" s="77" t="str">
        <f aca="false">O31</f>
        <v>∆ Vehicle costs</v>
      </c>
      <c r="AK31" s="77" t="str">
        <f aca="false">P31</f>
        <v>∆ Insurance, contributions and levies expenses</v>
      </c>
      <c r="AL31" s="77" t="str">
        <f aca="false">Q31</f>
        <v>∆ Advertising and travel expenses</v>
      </c>
      <c r="AM31" s="77" t="str">
        <f aca="false">R31</f>
        <v>∆ Other operating income</v>
      </c>
      <c r="AN31" s="77" t="str">
        <f aca="false">S31</f>
        <v>∆ Other operating expenses</v>
      </c>
      <c r="AO31" s="77" t="str">
        <f aca="false">T31</f>
        <v>∆ Dummy 1</v>
      </c>
      <c r="AP31" s="77" t="str">
        <f aca="false">U31</f>
        <v>∆ Dummy 2</v>
      </c>
      <c r="AQ31" s="77" t="str">
        <f aca="false">V31</f>
        <v>∆ Dummy 3</v>
      </c>
      <c r="AR31" s="10" t="str">
        <f aca="false">"EBITDA FY" &amp; RIGHT(YEAR(Cockpit!F33),2) &amp; " Act."</f>
        <v>EBITDA FY24 Act.</v>
      </c>
    </row>
    <row r="32" customFormat="false" ht="12" hidden="false" customHeight="true" outlineLevel="0" collapsed="false">
      <c r="A32" s="77"/>
      <c r="B32" s="77"/>
      <c r="C32" s="77"/>
      <c r="D32" s="77"/>
      <c r="E32" s="77"/>
      <c r="F32" s="77"/>
      <c r="G32" s="77"/>
      <c r="H32" s="77"/>
      <c r="I32" s="77"/>
      <c r="J32" s="77"/>
      <c r="K32" s="77"/>
      <c r="L32" s="77"/>
      <c r="M32" s="77"/>
      <c r="N32" s="77"/>
      <c r="O32" s="77"/>
      <c r="P32" s="77"/>
      <c r="Q32" s="77"/>
      <c r="R32" s="77"/>
      <c r="S32" s="77"/>
      <c r="T32" s="77"/>
      <c r="U32" s="77"/>
      <c r="V32" s="77"/>
      <c r="W32" s="77"/>
      <c r="X32" s="77"/>
      <c r="Y32" s="77"/>
      <c r="Z32" s="77"/>
      <c r="AA32" s="77"/>
      <c r="AB32" s="77"/>
      <c r="AC32" s="77"/>
      <c r="AD32" s="77"/>
      <c r="AE32" s="77"/>
      <c r="AF32" s="77"/>
      <c r="AG32" s="77"/>
      <c r="AH32" s="77"/>
      <c r="AI32" s="77"/>
      <c r="AJ32" s="77"/>
      <c r="AK32" s="77"/>
      <c r="AL32" s="77"/>
      <c r="AM32" s="77"/>
      <c r="AN32" s="77"/>
      <c r="AO32" s="77"/>
      <c r="AP32" s="77"/>
      <c r="AQ32" s="77"/>
      <c r="AR32" s="76"/>
    </row>
    <row r="33" customFormat="false" ht="12" hidden="false" customHeight="true" outlineLevel="0" collapsed="false">
      <c r="A33" s="77" t="s">
        <v>242</v>
      </c>
      <c r="B33" s="77" t="n">
        <f aca="false">'Lead PL'!F146</f>
        <v>0</v>
      </c>
      <c r="C33" s="77" t="n">
        <f aca="false">'Lead PL'!G9-'Lead PL'!F9</f>
        <v>0</v>
      </c>
      <c r="D33" s="77" t="n">
        <f aca="false">'Lead PL'!G18-'Lead PL'!F18</f>
        <v>0</v>
      </c>
      <c r="E33" s="77" t="n">
        <f aca="false">'Lead PL'!G27-'Lead PL'!F27</f>
        <v>0</v>
      </c>
      <c r="F33" s="77" t="n">
        <f aca="false">'Lead PL'!G36-'Lead PL'!F36</f>
        <v>0</v>
      </c>
      <c r="G33" s="77" t="n">
        <f aca="false">'Lead PL'!G37-'Lead PL'!F37</f>
        <v>0</v>
      </c>
      <c r="H33" s="77" t="n">
        <f aca="false">'Lead PL'!G38-'Lead PL'!F38</f>
        <v>0</v>
      </c>
      <c r="I33" s="77" t="n">
        <f aca="false">'Lead PL'!G40-'Lead PL'!F40</f>
        <v>0</v>
      </c>
      <c r="J33" s="77" t="n">
        <f aca="false">'Lead PL'!G53-'Lead PL'!F53</f>
        <v>0</v>
      </c>
      <c r="K33" s="77" t="n">
        <f aca="false">'Lead PL'!G62-'Lead PL'!F62</f>
        <v>0</v>
      </c>
      <c r="L33" s="77" t="n">
        <f aca="false">'Lead PL'!G71-'Lead PL'!F71</f>
        <v>0</v>
      </c>
      <c r="M33" s="77" t="n">
        <f aca="false">'Lead PL'!G80-'Lead PL'!F80</f>
        <v>0</v>
      </c>
      <c r="N33" s="77" t="n">
        <f aca="false">'Lead PL'!G89-'Lead PL'!F89</f>
        <v>0</v>
      </c>
      <c r="O33" s="77" t="n">
        <f aca="false">'Lead PL'!G98-'Lead PL'!F98</f>
        <v>0</v>
      </c>
      <c r="P33" s="77" t="n">
        <f aca="false">'Lead PL'!G107-'Lead PL'!F107</f>
        <v>0</v>
      </c>
      <c r="Q33" s="77" t="n">
        <f aca="false">'Lead PL'!G116-'Lead PL'!F116</f>
        <v>0</v>
      </c>
      <c r="R33" s="77" t="n">
        <f aca="false">'Lead PL'!G125-'Lead PL'!F125</f>
        <v>0</v>
      </c>
      <c r="S33" s="77" t="n">
        <f aca="false">'Lead PL'!G134-'Lead PL'!F134</f>
        <v>0</v>
      </c>
      <c r="T33" s="77" t="n">
        <f aca="false">'Lead PL'!G143-'Lead PL'!F143</f>
        <v>0</v>
      </c>
      <c r="U33" s="77" t="n">
        <f aca="false">'Lead PL'!G144-'Lead PL'!F144</f>
        <v>0</v>
      </c>
      <c r="V33" s="77" t="n">
        <f aca="false">'Lead PL'!G145-'Lead PL'!F145</f>
        <v>0</v>
      </c>
      <c r="W33" s="77" t="n">
        <f aca="false">SUM(B33:V33)</f>
        <v>0</v>
      </c>
      <c r="X33" s="77" t="n">
        <f aca="false">'Lead PL'!H9-'Lead PL'!G9</f>
        <v>0</v>
      </c>
      <c r="Y33" s="77" t="n">
        <f aca="false">'Lead PL'!H18-'Lead PL'!G18</f>
        <v>0</v>
      </c>
      <c r="Z33" s="77" t="n">
        <f aca="false">'Lead PL'!H27-'Lead PL'!G27</f>
        <v>0</v>
      </c>
      <c r="AA33" s="77" t="n">
        <f aca="false">'Lead PL'!H36-'Lead PL'!G36</f>
        <v>0</v>
      </c>
      <c r="AB33" s="77" t="n">
        <f aca="false">'Lead PL'!H37-'Lead PL'!G37</f>
        <v>0</v>
      </c>
      <c r="AC33" s="77" t="n">
        <f aca="false">'Lead PL'!H38-'Lead PL'!G38</f>
        <v>0</v>
      </c>
      <c r="AD33" s="77" t="n">
        <f aca="false">'Lead PL'!H40-'Lead PL'!G40</f>
        <v>0</v>
      </c>
      <c r="AE33" s="77" t="n">
        <f aca="false">'Lead PL'!H53-'Lead PL'!G53</f>
        <v>0</v>
      </c>
      <c r="AF33" s="77" t="n">
        <f aca="false">'Lead PL'!H62-'Lead PL'!G62</f>
        <v>0</v>
      </c>
      <c r="AG33" s="77" t="n">
        <f aca="false">'Lead PL'!H71-'Lead PL'!G71</f>
        <v>0</v>
      </c>
      <c r="AH33" s="77" t="n">
        <f aca="false">'Lead PL'!H80-'Lead PL'!G80</f>
        <v>0</v>
      </c>
      <c r="AI33" s="77" t="n">
        <f aca="false">'Lead PL'!H89-'Lead PL'!G89</f>
        <v>0</v>
      </c>
      <c r="AJ33" s="77" t="n">
        <f aca="false">'Lead PL'!H98-'Lead PL'!G98</f>
        <v>0</v>
      </c>
      <c r="AK33" s="77" t="n">
        <f aca="false">'Lead PL'!H107-'Lead PL'!G107</f>
        <v>0</v>
      </c>
      <c r="AL33" s="77" t="n">
        <f aca="false">'Lead PL'!H116-'Lead PL'!G116</f>
        <v>0</v>
      </c>
      <c r="AM33" s="77" t="n">
        <f aca="false">'Lead PL'!H125-'Lead PL'!G125</f>
        <v>0</v>
      </c>
      <c r="AN33" s="77" t="n">
        <f aca="false">'Lead PL'!H134-'Lead PL'!G134</f>
        <v>0</v>
      </c>
      <c r="AO33" s="77" t="n">
        <f aca="false">'Lead PL'!H143-'Lead PL'!G143</f>
        <v>0</v>
      </c>
      <c r="AP33" s="77" t="n">
        <f aca="false">'Lead PL'!H144-'Lead PL'!G144</f>
        <v>0</v>
      </c>
      <c r="AQ33" s="77" t="n">
        <f aca="false">'Lead PL'!H145-'Lead PL'!G145</f>
        <v>0</v>
      </c>
      <c r="AR33" s="76" t="n">
        <f aca="false">SUM(W33:AQ33)</f>
        <v>0</v>
      </c>
    </row>
    <row r="34" s="78" customFormat="true" ht="12" hidden="false" customHeight="true" outlineLevel="0" collapsed="false">
      <c r="A34" s="78" t="s">
        <v>245</v>
      </c>
      <c r="W34" s="79" t="n">
        <f aca="false">W33-'Lead PL'!G146</f>
        <v>0</v>
      </c>
      <c r="AR34" s="79" t="n">
        <f aca="false">AR33-'Lead PL'!H146</f>
        <v>0</v>
      </c>
    </row>
    <row r="61" s="72" customFormat="true" ht="5.25" hidden="false" customHeight="true" outlineLevel="0" collapsed="false"/>
    <row r="64" customFormat="false" ht="12" hidden="false" customHeight="true" outlineLevel="0" collapsed="false">
      <c r="A64" s="68" t="s">
        <v>246</v>
      </c>
    </row>
    <row r="67" customFormat="false" ht="12" hidden="false" customHeight="true" outlineLevel="0" collapsed="false">
      <c r="A67" s="70"/>
      <c r="B67" s="80" t="n">
        <f aca="false">NA_monthly!F6</f>
        <v>44592</v>
      </c>
      <c r="C67" s="81" t="n">
        <f aca="false">NA_monthly!G6</f>
        <v>44620</v>
      </c>
      <c r="D67" s="81" t="n">
        <f aca="false">NA_monthly!H6</f>
        <v>44651</v>
      </c>
      <c r="E67" s="81" t="n">
        <f aca="false">NA_monthly!I6</f>
        <v>44681</v>
      </c>
      <c r="F67" s="81" t="n">
        <f aca="false">NA_monthly!J6</f>
        <v>44712</v>
      </c>
      <c r="G67" s="81" t="n">
        <f aca="false">NA_monthly!K6</f>
        <v>44742</v>
      </c>
      <c r="H67" s="81" t="n">
        <f aca="false">NA_monthly!L6</f>
        <v>44773</v>
      </c>
      <c r="I67" s="81" t="n">
        <f aca="false">NA_monthly!M6</f>
        <v>44804</v>
      </c>
      <c r="J67" s="81" t="n">
        <f aca="false">NA_monthly!N6</f>
        <v>44834</v>
      </c>
      <c r="K67" s="81" t="n">
        <f aca="false">NA_monthly!O6</f>
        <v>44865</v>
      </c>
      <c r="L67" s="81" t="n">
        <f aca="false">NA_monthly!P6</f>
        <v>44895</v>
      </c>
      <c r="M67" s="81" t="n">
        <f aca="false">NA_monthly!Q6</f>
        <v>44926</v>
      </c>
      <c r="N67" s="81" t="n">
        <f aca="false">NA_monthly!R6</f>
        <v>44957</v>
      </c>
      <c r="O67" s="81" t="n">
        <f aca="false">NA_monthly!S6</f>
        <v>44985</v>
      </c>
      <c r="P67" s="81" t="n">
        <f aca="false">NA_monthly!T6</f>
        <v>45016</v>
      </c>
      <c r="Q67" s="81" t="n">
        <f aca="false">NA_monthly!U6</f>
        <v>45046</v>
      </c>
      <c r="R67" s="81" t="n">
        <f aca="false">NA_monthly!V6</f>
        <v>45077</v>
      </c>
      <c r="S67" s="81" t="n">
        <f aca="false">NA_monthly!W6</f>
        <v>45107</v>
      </c>
      <c r="T67" s="81" t="n">
        <f aca="false">NA_monthly!X6</f>
        <v>45138</v>
      </c>
      <c r="U67" s="81" t="n">
        <f aca="false">NA_monthly!Y6</f>
        <v>45169</v>
      </c>
      <c r="V67" s="81" t="n">
        <f aca="false">NA_monthly!Z6</f>
        <v>45199</v>
      </c>
      <c r="W67" s="81" t="n">
        <f aca="false">NA_monthly!AA6</f>
        <v>45230</v>
      </c>
      <c r="X67" s="81" t="n">
        <f aca="false">NA_monthly!AB6</f>
        <v>45260</v>
      </c>
      <c r="Y67" s="81" t="n">
        <f aca="false">NA_monthly!AC6</f>
        <v>45291</v>
      </c>
      <c r="Z67" s="81" t="n">
        <f aca="false">NA_monthly!AD6</f>
        <v>45322</v>
      </c>
      <c r="AA67" s="81" t="n">
        <f aca="false">NA_monthly!AE6</f>
        <v>45351</v>
      </c>
      <c r="AB67" s="81" t="n">
        <f aca="false">NA_monthly!AF6</f>
        <v>45382</v>
      </c>
      <c r="AC67" s="81" t="n">
        <f aca="false">NA_monthly!AG6</f>
        <v>45412</v>
      </c>
      <c r="AD67" s="81" t="n">
        <f aca="false">NA_monthly!AH6</f>
        <v>45443</v>
      </c>
      <c r="AE67" s="81" t="n">
        <f aca="false">NA_monthly!AI6</f>
        <v>45473</v>
      </c>
      <c r="AF67" s="81" t="n">
        <f aca="false">NA_monthly!AJ6</f>
        <v>45504</v>
      </c>
      <c r="AG67" s="81" t="n">
        <f aca="false">NA_monthly!AK6</f>
        <v>45535</v>
      </c>
      <c r="AH67" s="81" t="n">
        <f aca="false">NA_monthly!AL6</f>
        <v>45565</v>
      </c>
      <c r="AI67" s="81" t="n">
        <f aca="false">NA_monthly!AM6</f>
        <v>45596</v>
      </c>
      <c r="AJ67" s="81" t="n">
        <f aca="false">NA_monthly!AN6</f>
        <v>45626</v>
      </c>
      <c r="AK67" s="81" t="n">
        <f aca="false">NA_monthly!AO6</f>
        <v>45657</v>
      </c>
      <c r="AL67" s="81" t="n">
        <f aca="false">NA_monthly!AP6</f>
        <v>45688</v>
      </c>
      <c r="AM67" s="81" t="n">
        <f aca="false">NA_monthly!AQ6</f>
        <v>45716</v>
      </c>
      <c r="AN67" s="81" t="n">
        <f aca="false">NA_monthly!AR6</f>
        <v>45747</v>
      </c>
      <c r="AO67" s="81" t="n">
        <f aca="false">NA_monthly!AS6</f>
        <v>45777</v>
      </c>
      <c r="AP67" s="81" t="n">
        <f aca="false">NA_monthly!AT6</f>
        <v>45808</v>
      </c>
      <c r="AQ67" s="81" t="n">
        <f aca="false">NA_monthly!AU6</f>
        <v>45838</v>
      </c>
      <c r="AR67" s="81" t="n">
        <f aca="false">NA_monthly!AV6</f>
        <v>45869</v>
      </c>
      <c r="AS67" s="81" t="n">
        <f aca="false">NA_monthly!AW6</f>
        <v>45900</v>
      </c>
      <c r="AT67" s="81" t="n">
        <f aca="false">NA_monthly!AX6</f>
        <v>45930</v>
      </c>
      <c r="AU67" s="81" t="n">
        <f aca="false">NA_monthly!AY6</f>
        <v>45961</v>
      </c>
      <c r="AV67" s="81" t="n">
        <f aca="false">NA_monthly!AZ6</f>
        <v>45991</v>
      </c>
    </row>
    <row r="68" customFormat="false" ht="12" hidden="false" customHeight="true" outlineLevel="0" collapsed="false">
      <c r="A68" s="76" t="str">
        <f aca="false">NA_monthly!D16</f>
        <v>Inventories</v>
      </c>
      <c r="B68" s="76" t="n">
        <f aca="false">NA_monthly!F16</f>
        <v>0</v>
      </c>
      <c r="C68" s="76" t="n">
        <f aca="false">NA_monthly!G16</f>
        <v>0</v>
      </c>
      <c r="D68" s="76" t="n">
        <f aca="false">NA_monthly!H16</f>
        <v>0</v>
      </c>
      <c r="E68" s="76" t="n">
        <f aca="false">NA_monthly!I16</f>
        <v>0</v>
      </c>
      <c r="F68" s="76" t="n">
        <f aca="false">NA_monthly!J16</f>
        <v>0</v>
      </c>
      <c r="G68" s="76" t="n">
        <f aca="false">NA_monthly!K16</f>
        <v>0</v>
      </c>
      <c r="H68" s="76" t="n">
        <f aca="false">NA_monthly!L16</f>
        <v>0</v>
      </c>
      <c r="I68" s="76" t="n">
        <f aca="false">NA_monthly!M16</f>
        <v>0</v>
      </c>
      <c r="J68" s="76" t="n">
        <f aca="false">NA_monthly!N16</f>
        <v>0</v>
      </c>
      <c r="K68" s="76" t="n">
        <f aca="false">NA_monthly!O16</f>
        <v>0</v>
      </c>
      <c r="L68" s="76" t="n">
        <f aca="false">NA_monthly!P16</f>
        <v>0</v>
      </c>
      <c r="M68" s="76" t="n">
        <f aca="false">NA_monthly!Q16</f>
        <v>0</v>
      </c>
      <c r="N68" s="76" t="n">
        <f aca="false">NA_monthly!R16</f>
        <v>0</v>
      </c>
      <c r="O68" s="76" t="n">
        <f aca="false">NA_monthly!S16</f>
        <v>0</v>
      </c>
      <c r="P68" s="76" t="n">
        <f aca="false">NA_monthly!T16</f>
        <v>0</v>
      </c>
      <c r="Q68" s="76" t="n">
        <f aca="false">NA_monthly!U16</f>
        <v>0</v>
      </c>
      <c r="R68" s="76" t="n">
        <f aca="false">NA_monthly!V16</f>
        <v>0</v>
      </c>
      <c r="S68" s="76" t="n">
        <f aca="false">NA_monthly!W16</f>
        <v>0</v>
      </c>
      <c r="T68" s="76" t="n">
        <f aca="false">NA_monthly!X16</f>
        <v>0</v>
      </c>
      <c r="U68" s="76" t="n">
        <f aca="false">NA_monthly!Y16</f>
        <v>0</v>
      </c>
      <c r="V68" s="76" t="n">
        <f aca="false">NA_monthly!Z16</f>
        <v>0</v>
      </c>
      <c r="W68" s="76" t="n">
        <f aca="false">NA_monthly!AA16</f>
        <v>0</v>
      </c>
      <c r="X68" s="76" t="n">
        <f aca="false">NA_monthly!AB16</f>
        <v>0</v>
      </c>
      <c r="Y68" s="76" t="n">
        <f aca="false">NA_monthly!AC16</f>
        <v>0</v>
      </c>
      <c r="Z68" s="76" t="n">
        <f aca="false">NA_monthly!AD16</f>
        <v>0</v>
      </c>
      <c r="AA68" s="76" t="n">
        <f aca="false">NA_monthly!AE16</f>
        <v>0</v>
      </c>
      <c r="AB68" s="76" t="n">
        <f aca="false">NA_monthly!AF16</f>
        <v>0</v>
      </c>
      <c r="AC68" s="76" t="n">
        <f aca="false">NA_monthly!AG16</f>
        <v>0</v>
      </c>
      <c r="AD68" s="76" t="n">
        <f aca="false">NA_monthly!AH16</f>
        <v>0</v>
      </c>
      <c r="AE68" s="76" t="n">
        <f aca="false">NA_monthly!AI16</f>
        <v>0</v>
      </c>
      <c r="AF68" s="76" t="n">
        <f aca="false">NA_monthly!AJ16</f>
        <v>0</v>
      </c>
      <c r="AG68" s="76" t="n">
        <f aca="false">NA_monthly!AK16</f>
        <v>0</v>
      </c>
      <c r="AH68" s="76" t="n">
        <f aca="false">NA_monthly!AL16</f>
        <v>0</v>
      </c>
      <c r="AI68" s="76" t="n">
        <f aca="false">NA_monthly!AM16</f>
        <v>0</v>
      </c>
      <c r="AJ68" s="76" t="n">
        <f aca="false">NA_monthly!AN16</f>
        <v>0</v>
      </c>
      <c r="AK68" s="76" t="n">
        <f aca="false">NA_monthly!AO16</f>
        <v>0</v>
      </c>
      <c r="AL68" s="76" t="n">
        <f aca="false">NA_monthly!AP16</f>
        <v>0</v>
      </c>
      <c r="AM68" s="76" t="n">
        <f aca="false">NA_monthly!AQ16</f>
        <v>0</v>
      </c>
      <c r="AN68" s="76" t="n">
        <f aca="false">NA_monthly!AR16</f>
        <v>0</v>
      </c>
      <c r="AO68" s="76" t="n">
        <f aca="false">NA_monthly!AS16</f>
        <v>0</v>
      </c>
      <c r="AP68" s="76" t="n">
        <f aca="false">NA_monthly!AT16</f>
        <v>0</v>
      </c>
      <c r="AQ68" s="76" t="n">
        <f aca="false">NA_monthly!AU16</f>
        <v>0</v>
      </c>
      <c r="AR68" s="76" t="n">
        <f aca="false">NA_monthly!AV16</f>
        <v>0</v>
      </c>
      <c r="AS68" s="76" t="n">
        <f aca="false">NA_monthly!AW16</f>
        <v>0</v>
      </c>
      <c r="AT68" s="76" t="n">
        <f aca="false">NA_monthly!AX16</f>
        <v>0</v>
      </c>
      <c r="AU68" s="76" t="n">
        <f aca="false">NA_monthly!AY16</f>
        <v>0</v>
      </c>
      <c r="AV68" s="76" t="n">
        <f aca="false">NA_monthly!AZ16</f>
        <v>0</v>
      </c>
    </row>
    <row r="69" customFormat="false" ht="12" hidden="false" customHeight="true" outlineLevel="0" collapsed="false">
      <c r="A69" s="76" t="str">
        <f aca="false">NA_monthly!D17</f>
        <v>Trade receivables</v>
      </c>
      <c r="B69" s="76" t="n">
        <f aca="false">NA_monthly!F17</f>
        <v>0</v>
      </c>
      <c r="C69" s="76" t="n">
        <f aca="false">NA_monthly!G17</f>
        <v>0</v>
      </c>
      <c r="D69" s="76" t="n">
        <f aca="false">NA_monthly!H17</f>
        <v>0</v>
      </c>
      <c r="E69" s="76" t="n">
        <f aca="false">NA_monthly!I17</f>
        <v>0</v>
      </c>
      <c r="F69" s="76" t="n">
        <f aca="false">NA_monthly!J17</f>
        <v>0</v>
      </c>
      <c r="G69" s="76" t="n">
        <f aca="false">NA_monthly!K17</f>
        <v>0</v>
      </c>
      <c r="H69" s="76" t="n">
        <f aca="false">NA_monthly!L17</f>
        <v>0</v>
      </c>
      <c r="I69" s="76" t="n">
        <f aca="false">NA_monthly!M17</f>
        <v>0</v>
      </c>
      <c r="J69" s="76" t="n">
        <f aca="false">NA_monthly!N17</f>
        <v>0</v>
      </c>
      <c r="K69" s="76" t="n">
        <f aca="false">NA_monthly!O17</f>
        <v>0</v>
      </c>
      <c r="L69" s="76" t="n">
        <f aca="false">NA_monthly!P17</f>
        <v>0</v>
      </c>
      <c r="M69" s="76" t="n">
        <f aca="false">NA_monthly!Q17</f>
        <v>0</v>
      </c>
      <c r="N69" s="76" t="n">
        <f aca="false">NA_monthly!R17</f>
        <v>0</v>
      </c>
      <c r="O69" s="76" t="n">
        <f aca="false">NA_monthly!S17</f>
        <v>0</v>
      </c>
      <c r="P69" s="76" t="n">
        <f aca="false">NA_monthly!T17</f>
        <v>0</v>
      </c>
      <c r="Q69" s="76" t="n">
        <f aca="false">NA_monthly!U17</f>
        <v>0</v>
      </c>
      <c r="R69" s="76" t="n">
        <f aca="false">NA_monthly!V17</f>
        <v>0</v>
      </c>
      <c r="S69" s="76" t="n">
        <f aca="false">NA_monthly!W17</f>
        <v>0</v>
      </c>
      <c r="T69" s="76" t="n">
        <f aca="false">NA_monthly!X17</f>
        <v>0</v>
      </c>
      <c r="U69" s="76" t="n">
        <f aca="false">NA_monthly!Y17</f>
        <v>0</v>
      </c>
      <c r="V69" s="76" t="n">
        <f aca="false">NA_monthly!Z17</f>
        <v>0</v>
      </c>
      <c r="W69" s="76" t="n">
        <f aca="false">NA_monthly!AA17</f>
        <v>0</v>
      </c>
      <c r="X69" s="76" t="n">
        <f aca="false">NA_monthly!AB17</f>
        <v>0</v>
      </c>
      <c r="Y69" s="76" t="n">
        <f aca="false">NA_monthly!AC17</f>
        <v>0</v>
      </c>
      <c r="Z69" s="76" t="n">
        <f aca="false">NA_monthly!AD17</f>
        <v>0</v>
      </c>
      <c r="AA69" s="76" t="n">
        <f aca="false">NA_monthly!AE17</f>
        <v>0</v>
      </c>
      <c r="AB69" s="76" t="n">
        <f aca="false">NA_monthly!AF17</f>
        <v>0</v>
      </c>
      <c r="AC69" s="76" t="n">
        <f aca="false">NA_monthly!AG17</f>
        <v>0</v>
      </c>
      <c r="AD69" s="76" t="n">
        <f aca="false">NA_monthly!AH17</f>
        <v>0</v>
      </c>
      <c r="AE69" s="76" t="n">
        <f aca="false">NA_monthly!AI17</f>
        <v>0</v>
      </c>
      <c r="AF69" s="76" t="n">
        <f aca="false">NA_monthly!AJ17</f>
        <v>0</v>
      </c>
      <c r="AG69" s="76" t="n">
        <f aca="false">NA_monthly!AK17</f>
        <v>0</v>
      </c>
      <c r="AH69" s="76" t="n">
        <f aca="false">NA_monthly!AL17</f>
        <v>0</v>
      </c>
      <c r="AI69" s="76" t="n">
        <f aca="false">NA_monthly!AM17</f>
        <v>0</v>
      </c>
      <c r="AJ69" s="76" t="n">
        <f aca="false">NA_monthly!AN17</f>
        <v>0</v>
      </c>
      <c r="AK69" s="76" t="n">
        <f aca="false">NA_monthly!AO17</f>
        <v>0</v>
      </c>
      <c r="AL69" s="76" t="n">
        <f aca="false">NA_monthly!AP17</f>
        <v>0</v>
      </c>
      <c r="AM69" s="76" t="n">
        <f aca="false">NA_monthly!AQ17</f>
        <v>0</v>
      </c>
      <c r="AN69" s="76" t="n">
        <f aca="false">NA_monthly!AR17</f>
        <v>0</v>
      </c>
      <c r="AO69" s="76" t="n">
        <f aca="false">NA_monthly!AS17</f>
        <v>0</v>
      </c>
      <c r="AP69" s="76" t="n">
        <f aca="false">NA_monthly!AT17</f>
        <v>0</v>
      </c>
      <c r="AQ69" s="76" t="n">
        <f aca="false">NA_monthly!AU17</f>
        <v>0</v>
      </c>
      <c r="AR69" s="76" t="n">
        <f aca="false">NA_monthly!AV17</f>
        <v>0</v>
      </c>
      <c r="AS69" s="76" t="n">
        <f aca="false">NA_monthly!AW17</f>
        <v>0</v>
      </c>
      <c r="AT69" s="76" t="n">
        <f aca="false">NA_monthly!AX17</f>
        <v>0</v>
      </c>
      <c r="AU69" s="76" t="n">
        <f aca="false">NA_monthly!AY17</f>
        <v>0</v>
      </c>
      <c r="AV69" s="76" t="n">
        <f aca="false">NA_monthly!AZ17</f>
        <v>0</v>
      </c>
    </row>
    <row r="70" customFormat="false" ht="12" hidden="false" customHeight="true" outlineLevel="0" collapsed="false">
      <c r="A70" s="76" t="str">
        <f aca="false">NA_monthly!D18</f>
        <v>Trade payables</v>
      </c>
      <c r="B70" s="76" t="n">
        <f aca="false">NA_monthly!F18</f>
        <v>0</v>
      </c>
      <c r="C70" s="76" t="n">
        <f aca="false">NA_monthly!G18</f>
        <v>0</v>
      </c>
      <c r="D70" s="76" t="n">
        <f aca="false">NA_monthly!H18</f>
        <v>0</v>
      </c>
      <c r="E70" s="76" t="n">
        <f aca="false">NA_monthly!I18</f>
        <v>0</v>
      </c>
      <c r="F70" s="76" t="n">
        <f aca="false">NA_monthly!J18</f>
        <v>0</v>
      </c>
      <c r="G70" s="76" t="n">
        <f aca="false">NA_monthly!K18</f>
        <v>0</v>
      </c>
      <c r="H70" s="76" t="n">
        <f aca="false">NA_monthly!L18</f>
        <v>0</v>
      </c>
      <c r="I70" s="76" t="n">
        <f aca="false">NA_monthly!M18</f>
        <v>0</v>
      </c>
      <c r="J70" s="76" t="n">
        <f aca="false">NA_monthly!N18</f>
        <v>0</v>
      </c>
      <c r="K70" s="76" t="n">
        <f aca="false">NA_monthly!O18</f>
        <v>0</v>
      </c>
      <c r="L70" s="76" t="n">
        <f aca="false">NA_monthly!P18</f>
        <v>0</v>
      </c>
      <c r="M70" s="76" t="n">
        <f aca="false">NA_monthly!Q18</f>
        <v>0</v>
      </c>
      <c r="N70" s="76" t="n">
        <f aca="false">NA_monthly!R18</f>
        <v>0</v>
      </c>
      <c r="O70" s="76" t="n">
        <f aca="false">NA_monthly!S18</f>
        <v>0</v>
      </c>
      <c r="P70" s="76" t="n">
        <f aca="false">NA_monthly!T18</f>
        <v>0</v>
      </c>
      <c r="Q70" s="76" t="n">
        <f aca="false">NA_monthly!U18</f>
        <v>0</v>
      </c>
      <c r="R70" s="76" t="n">
        <f aca="false">NA_monthly!V18</f>
        <v>0</v>
      </c>
      <c r="S70" s="76" t="n">
        <f aca="false">NA_monthly!W18</f>
        <v>0</v>
      </c>
      <c r="T70" s="76" t="n">
        <f aca="false">NA_monthly!X18</f>
        <v>0</v>
      </c>
      <c r="U70" s="76" t="n">
        <f aca="false">NA_monthly!Y18</f>
        <v>0</v>
      </c>
      <c r="V70" s="76" t="n">
        <f aca="false">NA_monthly!Z18</f>
        <v>0</v>
      </c>
      <c r="W70" s="76" t="n">
        <f aca="false">NA_monthly!AA18</f>
        <v>0</v>
      </c>
      <c r="X70" s="76" t="n">
        <f aca="false">NA_monthly!AB18</f>
        <v>0</v>
      </c>
      <c r="Y70" s="76" t="n">
        <f aca="false">NA_monthly!AC18</f>
        <v>0</v>
      </c>
      <c r="Z70" s="76" t="n">
        <f aca="false">NA_monthly!AD18</f>
        <v>0</v>
      </c>
      <c r="AA70" s="76" t="n">
        <f aca="false">NA_monthly!AE18</f>
        <v>0</v>
      </c>
      <c r="AB70" s="76" t="n">
        <f aca="false">NA_monthly!AF18</f>
        <v>0</v>
      </c>
      <c r="AC70" s="76" t="n">
        <f aca="false">NA_monthly!AG18</f>
        <v>0</v>
      </c>
      <c r="AD70" s="76" t="n">
        <f aca="false">NA_monthly!AH18</f>
        <v>0</v>
      </c>
      <c r="AE70" s="76" t="n">
        <f aca="false">NA_monthly!AI18</f>
        <v>0</v>
      </c>
      <c r="AF70" s="76" t="n">
        <f aca="false">NA_monthly!AJ18</f>
        <v>0</v>
      </c>
      <c r="AG70" s="76" t="n">
        <f aca="false">NA_monthly!AK18</f>
        <v>0</v>
      </c>
      <c r="AH70" s="76" t="n">
        <f aca="false">NA_monthly!AL18</f>
        <v>0</v>
      </c>
      <c r="AI70" s="76" t="n">
        <f aca="false">NA_monthly!AM18</f>
        <v>0</v>
      </c>
      <c r="AJ70" s="76" t="n">
        <f aca="false">NA_monthly!AN18</f>
        <v>0</v>
      </c>
      <c r="AK70" s="76" t="n">
        <f aca="false">NA_monthly!AO18</f>
        <v>0</v>
      </c>
      <c r="AL70" s="76" t="n">
        <f aca="false">NA_monthly!AP18</f>
        <v>0</v>
      </c>
      <c r="AM70" s="76" t="n">
        <f aca="false">NA_monthly!AQ18</f>
        <v>0</v>
      </c>
      <c r="AN70" s="76" t="n">
        <f aca="false">NA_monthly!AR18</f>
        <v>0</v>
      </c>
      <c r="AO70" s="76" t="n">
        <f aca="false">NA_monthly!AS18</f>
        <v>0</v>
      </c>
      <c r="AP70" s="76" t="n">
        <f aca="false">NA_monthly!AT18</f>
        <v>0</v>
      </c>
      <c r="AQ70" s="76" t="n">
        <f aca="false">NA_monthly!AU18</f>
        <v>0</v>
      </c>
      <c r="AR70" s="76" t="n">
        <f aca="false">NA_monthly!AV18</f>
        <v>0</v>
      </c>
      <c r="AS70" s="76" t="n">
        <f aca="false">NA_monthly!AW18</f>
        <v>0</v>
      </c>
      <c r="AT70" s="76" t="n">
        <f aca="false">NA_monthly!AX18</f>
        <v>0</v>
      </c>
      <c r="AU70" s="76" t="n">
        <f aca="false">NA_monthly!AY18</f>
        <v>0</v>
      </c>
      <c r="AV70" s="76" t="n">
        <f aca="false">NA_monthly!AZ18</f>
        <v>0</v>
      </c>
    </row>
    <row r="71" customFormat="false" ht="12" hidden="false" customHeight="true" outlineLevel="0" collapsed="false">
      <c r="A71" s="76" t="str">
        <f aca="false">NA_monthly!D19</f>
        <v>Advance payments received</v>
      </c>
      <c r="B71" s="76" t="n">
        <f aca="false">NA_monthly!F19</f>
        <v>0</v>
      </c>
      <c r="C71" s="76" t="n">
        <f aca="false">NA_monthly!G19</f>
        <v>0</v>
      </c>
      <c r="D71" s="76" t="n">
        <f aca="false">NA_monthly!H19</f>
        <v>0</v>
      </c>
      <c r="E71" s="76" t="n">
        <f aca="false">NA_monthly!I19</f>
        <v>0</v>
      </c>
      <c r="F71" s="76" t="n">
        <f aca="false">NA_monthly!J19</f>
        <v>0</v>
      </c>
      <c r="G71" s="76" t="n">
        <f aca="false">NA_monthly!K19</f>
        <v>0</v>
      </c>
      <c r="H71" s="76" t="n">
        <f aca="false">NA_monthly!L19</f>
        <v>0</v>
      </c>
      <c r="I71" s="76" t="n">
        <f aca="false">NA_monthly!M19</f>
        <v>0</v>
      </c>
      <c r="J71" s="76" t="n">
        <f aca="false">NA_monthly!N19</f>
        <v>0</v>
      </c>
      <c r="K71" s="76" t="n">
        <f aca="false">NA_monthly!O19</f>
        <v>0</v>
      </c>
      <c r="L71" s="76" t="n">
        <f aca="false">NA_monthly!P19</f>
        <v>0</v>
      </c>
      <c r="M71" s="76" t="n">
        <f aca="false">NA_monthly!Q19</f>
        <v>0</v>
      </c>
      <c r="N71" s="76" t="n">
        <f aca="false">NA_monthly!R19</f>
        <v>0</v>
      </c>
      <c r="O71" s="76" t="n">
        <f aca="false">NA_monthly!S19</f>
        <v>0</v>
      </c>
      <c r="P71" s="76" t="n">
        <f aca="false">NA_monthly!T19</f>
        <v>0</v>
      </c>
      <c r="Q71" s="76" t="n">
        <f aca="false">NA_monthly!U19</f>
        <v>0</v>
      </c>
      <c r="R71" s="76" t="n">
        <f aca="false">NA_monthly!V19</f>
        <v>0</v>
      </c>
      <c r="S71" s="76" t="n">
        <f aca="false">NA_monthly!W19</f>
        <v>0</v>
      </c>
      <c r="T71" s="76" t="n">
        <f aca="false">NA_monthly!X19</f>
        <v>0</v>
      </c>
      <c r="U71" s="76" t="n">
        <f aca="false">NA_monthly!Y19</f>
        <v>0</v>
      </c>
      <c r="V71" s="76" t="n">
        <f aca="false">NA_monthly!Z19</f>
        <v>0</v>
      </c>
      <c r="W71" s="76" t="n">
        <f aca="false">NA_monthly!AA19</f>
        <v>0</v>
      </c>
      <c r="X71" s="76" t="n">
        <f aca="false">NA_monthly!AB19</f>
        <v>0</v>
      </c>
      <c r="Y71" s="76" t="n">
        <f aca="false">NA_monthly!AC19</f>
        <v>0</v>
      </c>
      <c r="Z71" s="76" t="n">
        <f aca="false">NA_monthly!AD19</f>
        <v>0</v>
      </c>
      <c r="AA71" s="76" t="n">
        <f aca="false">NA_monthly!AE19</f>
        <v>0</v>
      </c>
      <c r="AB71" s="76" t="n">
        <f aca="false">NA_monthly!AF19</f>
        <v>0</v>
      </c>
      <c r="AC71" s="76" t="n">
        <f aca="false">NA_monthly!AG19</f>
        <v>0</v>
      </c>
      <c r="AD71" s="76" t="n">
        <f aca="false">NA_monthly!AH19</f>
        <v>0</v>
      </c>
      <c r="AE71" s="76" t="n">
        <f aca="false">NA_monthly!AI19</f>
        <v>0</v>
      </c>
      <c r="AF71" s="76" t="n">
        <f aca="false">NA_monthly!AJ19</f>
        <v>0</v>
      </c>
      <c r="AG71" s="76" t="n">
        <f aca="false">NA_monthly!AK19</f>
        <v>0</v>
      </c>
      <c r="AH71" s="76" t="n">
        <f aca="false">NA_monthly!AL19</f>
        <v>0</v>
      </c>
      <c r="AI71" s="76" t="n">
        <f aca="false">NA_monthly!AM19</f>
        <v>0</v>
      </c>
      <c r="AJ71" s="76" t="n">
        <f aca="false">NA_monthly!AN19</f>
        <v>0</v>
      </c>
      <c r="AK71" s="76" t="n">
        <f aca="false">NA_monthly!AO19</f>
        <v>0</v>
      </c>
      <c r="AL71" s="76" t="n">
        <f aca="false">NA_monthly!AP19</f>
        <v>0</v>
      </c>
      <c r="AM71" s="76" t="n">
        <f aca="false">NA_monthly!AQ19</f>
        <v>0</v>
      </c>
      <c r="AN71" s="76" t="n">
        <f aca="false">NA_monthly!AR19</f>
        <v>0</v>
      </c>
      <c r="AO71" s="76" t="n">
        <f aca="false">NA_monthly!AS19</f>
        <v>0</v>
      </c>
      <c r="AP71" s="76" t="n">
        <f aca="false">NA_monthly!AT19</f>
        <v>0</v>
      </c>
      <c r="AQ71" s="76" t="n">
        <f aca="false">NA_monthly!AU19</f>
        <v>0</v>
      </c>
      <c r="AR71" s="76" t="n">
        <f aca="false">NA_monthly!AV19</f>
        <v>0</v>
      </c>
      <c r="AS71" s="76" t="n">
        <f aca="false">NA_monthly!AW19</f>
        <v>0</v>
      </c>
      <c r="AT71" s="76" t="n">
        <f aca="false">NA_monthly!AX19</f>
        <v>0</v>
      </c>
      <c r="AU71" s="76" t="n">
        <f aca="false">NA_monthly!AY19</f>
        <v>0</v>
      </c>
      <c r="AV71" s="76" t="n">
        <f aca="false">NA_monthly!AZ19</f>
        <v>0</v>
      </c>
    </row>
    <row r="72" customFormat="false" ht="12" hidden="false" customHeight="true" outlineLevel="0" collapsed="false">
      <c r="A72" s="76" t="str">
        <f aca="false">NA_monthly!D23</f>
        <v>Trade working capital</v>
      </c>
      <c r="B72" s="76" t="n">
        <f aca="false">NA_monthly!F23</f>
        <v>0</v>
      </c>
      <c r="C72" s="76" t="n">
        <f aca="false">NA_monthly!G23</f>
        <v>0</v>
      </c>
      <c r="D72" s="76" t="n">
        <f aca="false">NA_monthly!H23</f>
        <v>0</v>
      </c>
      <c r="E72" s="76" t="n">
        <f aca="false">NA_monthly!I23</f>
        <v>0</v>
      </c>
      <c r="F72" s="76" t="n">
        <f aca="false">NA_monthly!J23</f>
        <v>0</v>
      </c>
      <c r="G72" s="76" t="n">
        <f aca="false">NA_monthly!K23</f>
        <v>0</v>
      </c>
      <c r="H72" s="76" t="n">
        <f aca="false">NA_monthly!L23</f>
        <v>0</v>
      </c>
      <c r="I72" s="76" t="n">
        <f aca="false">NA_monthly!M23</f>
        <v>0</v>
      </c>
      <c r="J72" s="76" t="n">
        <f aca="false">NA_monthly!N23</f>
        <v>0</v>
      </c>
      <c r="K72" s="76" t="n">
        <f aca="false">NA_monthly!O23</f>
        <v>0</v>
      </c>
      <c r="L72" s="76" t="n">
        <f aca="false">NA_monthly!P23</f>
        <v>0</v>
      </c>
      <c r="M72" s="76" t="n">
        <f aca="false">NA_monthly!Q23</f>
        <v>0</v>
      </c>
      <c r="N72" s="76" t="n">
        <f aca="false">NA_monthly!R23</f>
        <v>0</v>
      </c>
      <c r="O72" s="76" t="n">
        <f aca="false">NA_monthly!S23</f>
        <v>0</v>
      </c>
      <c r="P72" s="76" t="n">
        <f aca="false">NA_monthly!T23</f>
        <v>0</v>
      </c>
      <c r="Q72" s="76" t="n">
        <f aca="false">NA_monthly!U23</f>
        <v>0</v>
      </c>
      <c r="R72" s="76" t="n">
        <f aca="false">NA_monthly!V23</f>
        <v>0</v>
      </c>
      <c r="S72" s="76" t="n">
        <f aca="false">NA_monthly!W23</f>
        <v>0</v>
      </c>
      <c r="T72" s="76" t="n">
        <f aca="false">NA_monthly!X23</f>
        <v>0</v>
      </c>
      <c r="U72" s="76" t="n">
        <f aca="false">NA_monthly!Y23</f>
        <v>0</v>
      </c>
      <c r="V72" s="76" t="n">
        <f aca="false">NA_monthly!Z23</f>
        <v>0</v>
      </c>
      <c r="W72" s="76" t="n">
        <f aca="false">NA_monthly!AA23</f>
        <v>0</v>
      </c>
      <c r="X72" s="76" t="n">
        <f aca="false">NA_monthly!AB23</f>
        <v>0</v>
      </c>
      <c r="Y72" s="76" t="n">
        <f aca="false">NA_monthly!AC23</f>
        <v>0</v>
      </c>
      <c r="Z72" s="76" t="n">
        <f aca="false">NA_monthly!AD23</f>
        <v>0</v>
      </c>
      <c r="AA72" s="76" t="n">
        <f aca="false">NA_monthly!AE23</f>
        <v>0</v>
      </c>
      <c r="AB72" s="76" t="n">
        <f aca="false">NA_monthly!AF23</f>
        <v>0</v>
      </c>
      <c r="AC72" s="76" t="n">
        <f aca="false">NA_monthly!AG23</f>
        <v>0</v>
      </c>
      <c r="AD72" s="76" t="n">
        <f aca="false">NA_monthly!AH23</f>
        <v>0</v>
      </c>
      <c r="AE72" s="76" t="n">
        <f aca="false">NA_monthly!AI23</f>
        <v>0</v>
      </c>
      <c r="AF72" s="76" t="n">
        <f aca="false">NA_monthly!AJ23</f>
        <v>0</v>
      </c>
      <c r="AG72" s="76" t="n">
        <f aca="false">NA_monthly!AK23</f>
        <v>0</v>
      </c>
      <c r="AH72" s="76" t="n">
        <f aca="false">NA_monthly!AL23</f>
        <v>0</v>
      </c>
      <c r="AI72" s="76" t="n">
        <f aca="false">NA_monthly!AM23</f>
        <v>0</v>
      </c>
      <c r="AJ72" s="76" t="n">
        <f aca="false">NA_monthly!AN23</f>
        <v>0</v>
      </c>
      <c r="AK72" s="76" t="n">
        <f aca="false">NA_monthly!AO23</f>
        <v>0</v>
      </c>
      <c r="AL72" s="76" t="n">
        <f aca="false">NA_monthly!AP23</f>
        <v>0</v>
      </c>
      <c r="AM72" s="76" t="n">
        <f aca="false">NA_monthly!AQ23</f>
        <v>0</v>
      </c>
      <c r="AN72" s="76" t="n">
        <f aca="false">NA_monthly!AR23</f>
        <v>0</v>
      </c>
      <c r="AO72" s="76" t="n">
        <f aca="false">NA_monthly!AS23</f>
        <v>0</v>
      </c>
      <c r="AP72" s="76" t="n">
        <f aca="false">NA_monthly!AT23</f>
        <v>0</v>
      </c>
      <c r="AQ72" s="76" t="n">
        <f aca="false">NA_monthly!AU23</f>
        <v>0</v>
      </c>
      <c r="AR72" s="76" t="n">
        <f aca="false">NA_monthly!AV23</f>
        <v>0</v>
      </c>
      <c r="AS72" s="76" t="n">
        <f aca="false">NA_monthly!AW23</f>
        <v>0</v>
      </c>
      <c r="AT72" s="76" t="n">
        <f aca="false">NA_monthly!AX23</f>
        <v>0</v>
      </c>
      <c r="AU72" s="76" t="n">
        <f aca="false">NA_monthly!AY23</f>
        <v>0</v>
      </c>
      <c r="AV72" s="76" t="n">
        <f aca="false">NA_monthly!AZ23</f>
        <v>0</v>
      </c>
    </row>
    <row r="73" customFormat="false" ht="12" hidden="false" customHeight="true" outlineLevel="0" collapsed="false">
      <c r="A73" s="76" t="str">
        <f aca="false">NA_monthly!D43</f>
        <v>Net working capital</v>
      </c>
      <c r="B73" s="76" t="n">
        <f aca="false">NA_monthly!F43</f>
        <v>0</v>
      </c>
      <c r="C73" s="76" t="n">
        <f aca="false">NA_monthly!G43</f>
        <v>0</v>
      </c>
      <c r="D73" s="76" t="n">
        <f aca="false">NA_monthly!H43</f>
        <v>0</v>
      </c>
      <c r="E73" s="76" t="n">
        <f aca="false">NA_monthly!I43</f>
        <v>0</v>
      </c>
      <c r="F73" s="76" t="n">
        <f aca="false">NA_monthly!J43</f>
        <v>0</v>
      </c>
      <c r="G73" s="76" t="n">
        <f aca="false">NA_monthly!K43</f>
        <v>0</v>
      </c>
      <c r="H73" s="76" t="n">
        <f aca="false">NA_monthly!L43</f>
        <v>0</v>
      </c>
      <c r="I73" s="76" t="n">
        <f aca="false">NA_monthly!M43</f>
        <v>0</v>
      </c>
      <c r="J73" s="76" t="n">
        <f aca="false">NA_monthly!N43</f>
        <v>0</v>
      </c>
      <c r="K73" s="76" t="n">
        <f aca="false">NA_monthly!O43</f>
        <v>0</v>
      </c>
      <c r="L73" s="76" t="n">
        <f aca="false">NA_monthly!P43</f>
        <v>0</v>
      </c>
      <c r="M73" s="76" t="n">
        <f aca="false">NA_monthly!Q43</f>
        <v>0</v>
      </c>
      <c r="N73" s="76" t="n">
        <f aca="false">NA_monthly!R43</f>
        <v>0</v>
      </c>
      <c r="O73" s="76" t="n">
        <f aca="false">NA_monthly!S43</f>
        <v>0</v>
      </c>
      <c r="P73" s="76" t="n">
        <f aca="false">NA_monthly!T43</f>
        <v>0</v>
      </c>
      <c r="Q73" s="76" t="n">
        <f aca="false">NA_monthly!U43</f>
        <v>0</v>
      </c>
      <c r="R73" s="76" t="n">
        <f aca="false">NA_monthly!V43</f>
        <v>0</v>
      </c>
      <c r="S73" s="76" t="n">
        <f aca="false">NA_monthly!W43</f>
        <v>0</v>
      </c>
      <c r="T73" s="76" t="n">
        <f aca="false">NA_monthly!X43</f>
        <v>0</v>
      </c>
      <c r="U73" s="76" t="n">
        <f aca="false">NA_monthly!Y43</f>
        <v>0</v>
      </c>
      <c r="V73" s="76" t="n">
        <f aca="false">NA_monthly!Z43</f>
        <v>0</v>
      </c>
      <c r="W73" s="76" t="n">
        <f aca="false">NA_monthly!AA43</f>
        <v>0</v>
      </c>
      <c r="X73" s="76" t="n">
        <f aca="false">NA_monthly!AB43</f>
        <v>0</v>
      </c>
      <c r="Y73" s="76" t="n">
        <f aca="false">NA_monthly!AC43</f>
        <v>0</v>
      </c>
      <c r="Z73" s="76" t="n">
        <f aca="false">NA_monthly!AD43</f>
        <v>0</v>
      </c>
      <c r="AA73" s="76" t="n">
        <f aca="false">NA_monthly!AE43</f>
        <v>0</v>
      </c>
      <c r="AB73" s="76" t="n">
        <f aca="false">NA_monthly!AF43</f>
        <v>0</v>
      </c>
      <c r="AC73" s="76" t="n">
        <f aca="false">NA_monthly!AG43</f>
        <v>0</v>
      </c>
      <c r="AD73" s="76" t="n">
        <f aca="false">NA_monthly!AH43</f>
        <v>0</v>
      </c>
      <c r="AE73" s="76" t="n">
        <f aca="false">NA_monthly!AI43</f>
        <v>0</v>
      </c>
      <c r="AF73" s="76" t="n">
        <f aca="false">NA_monthly!AJ43</f>
        <v>0</v>
      </c>
      <c r="AG73" s="76" t="n">
        <f aca="false">NA_monthly!AK43</f>
        <v>0</v>
      </c>
      <c r="AH73" s="76" t="n">
        <f aca="false">NA_monthly!AL43</f>
        <v>0</v>
      </c>
      <c r="AI73" s="76" t="n">
        <f aca="false">NA_monthly!AM43</f>
        <v>0</v>
      </c>
      <c r="AJ73" s="76" t="n">
        <f aca="false">NA_monthly!AN43</f>
        <v>0</v>
      </c>
      <c r="AK73" s="76" t="n">
        <f aca="false">NA_monthly!AO43</f>
        <v>0</v>
      </c>
      <c r="AL73" s="76" t="n">
        <f aca="false">NA_monthly!AP43</f>
        <v>0</v>
      </c>
      <c r="AM73" s="76" t="n">
        <f aca="false">NA_monthly!AQ43</f>
        <v>0</v>
      </c>
      <c r="AN73" s="76" t="n">
        <f aca="false">NA_monthly!AR43</f>
        <v>0</v>
      </c>
      <c r="AO73" s="76" t="n">
        <f aca="false">NA_monthly!AS43</f>
        <v>0</v>
      </c>
      <c r="AP73" s="76" t="n">
        <f aca="false">NA_monthly!AT43</f>
        <v>0</v>
      </c>
      <c r="AQ73" s="76" t="n">
        <f aca="false">NA_monthly!AU43</f>
        <v>0</v>
      </c>
      <c r="AR73" s="76" t="n">
        <f aca="false">NA_monthly!AV43</f>
        <v>0</v>
      </c>
      <c r="AS73" s="76" t="n">
        <f aca="false">NA_monthly!AW43</f>
        <v>0</v>
      </c>
      <c r="AT73" s="76" t="n">
        <f aca="false">NA_monthly!AX43</f>
        <v>0</v>
      </c>
      <c r="AU73" s="76" t="n">
        <f aca="false">NA_monthly!AY43</f>
        <v>0</v>
      </c>
      <c r="AV73" s="76" t="n">
        <f aca="false">NA_monthly!AZ43</f>
        <v>0</v>
      </c>
    </row>
    <row r="74" customFormat="false" ht="12" hidden="false" customHeight="true" outlineLevel="0" collapsed="false">
      <c r="A74" s="76" t="str">
        <f aca="false">NA_monthly!D44</f>
        <v>Cash</v>
      </c>
      <c r="B74" s="76" t="n">
        <f aca="false">NA_monthly!F44</f>
        <v>0</v>
      </c>
      <c r="C74" s="76" t="n">
        <f aca="false">NA_monthly!G44</f>
        <v>0</v>
      </c>
      <c r="D74" s="76" t="n">
        <f aca="false">NA_monthly!H44</f>
        <v>0</v>
      </c>
      <c r="E74" s="76" t="n">
        <f aca="false">NA_monthly!I44</f>
        <v>0</v>
      </c>
      <c r="F74" s="76" t="n">
        <f aca="false">NA_monthly!J44</f>
        <v>0</v>
      </c>
      <c r="G74" s="76" t="n">
        <f aca="false">NA_monthly!K44</f>
        <v>0</v>
      </c>
      <c r="H74" s="76" t="n">
        <f aca="false">NA_monthly!L44</f>
        <v>0</v>
      </c>
      <c r="I74" s="76" t="n">
        <f aca="false">NA_monthly!M44</f>
        <v>0</v>
      </c>
      <c r="J74" s="76" t="n">
        <f aca="false">NA_monthly!N44</f>
        <v>0</v>
      </c>
      <c r="K74" s="76" t="n">
        <f aca="false">NA_monthly!O44</f>
        <v>0</v>
      </c>
      <c r="L74" s="76" t="n">
        <f aca="false">NA_monthly!P44</f>
        <v>0</v>
      </c>
      <c r="M74" s="76" t="n">
        <f aca="false">NA_monthly!Q44</f>
        <v>0</v>
      </c>
      <c r="N74" s="76" t="n">
        <f aca="false">NA_monthly!R44</f>
        <v>0</v>
      </c>
      <c r="O74" s="76" t="n">
        <f aca="false">NA_monthly!S44</f>
        <v>0</v>
      </c>
      <c r="P74" s="76" t="n">
        <f aca="false">NA_monthly!T44</f>
        <v>0</v>
      </c>
      <c r="Q74" s="76" t="n">
        <f aca="false">NA_monthly!U44</f>
        <v>0</v>
      </c>
      <c r="R74" s="76" t="n">
        <f aca="false">NA_monthly!V44</f>
        <v>0</v>
      </c>
      <c r="S74" s="76" t="n">
        <f aca="false">NA_monthly!W44</f>
        <v>0</v>
      </c>
      <c r="T74" s="76" t="n">
        <f aca="false">NA_monthly!X44</f>
        <v>0</v>
      </c>
      <c r="U74" s="76" t="n">
        <f aca="false">NA_monthly!Y44</f>
        <v>0</v>
      </c>
      <c r="V74" s="76" t="n">
        <f aca="false">NA_monthly!Z44</f>
        <v>0</v>
      </c>
      <c r="W74" s="76" t="n">
        <f aca="false">NA_monthly!AA44</f>
        <v>0</v>
      </c>
      <c r="X74" s="76" t="n">
        <f aca="false">NA_monthly!AB44</f>
        <v>0</v>
      </c>
      <c r="Y74" s="76" t="n">
        <f aca="false">NA_monthly!AC44</f>
        <v>0</v>
      </c>
      <c r="Z74" s="76" t="n">
        <f aca="false">NA_monthly!AD44</f>
        <v>0</v>
      </c>
      <c r="AA74" s="76" t="n">
        <f aca="false">NA_monthly!AE44</f>
        <v>0</v>
      </c>
      <c r="AB74" s="76" t="n">
        <f aca="false">NA_monthly!AF44</f>
        <v>0</v>
      </c>
      <c r="AC74" s="76" t="n">
        <f aca="false">NA_monthly!AG44</f>
        <v>0</v>
      </c>
      <c r="AD74" s="76" t="n">
        <f aca="false">NA_monthly!AH44</f>
        <v>0</v>
      </c>
      <c r="AE74" s="76" t="n">
        <f aca="false">NA_monthly!AI44</f>
        <v>0</v>
      </c>
      <c r="AF74" s="76" t="n">
        <f aca="false">NA_monthly!AJ44</f>
        <v>0</v>
      </c>
      <c r="AG74" s="76" t="n">
        <f aca="false">NA_monthly!AK44</f>
        <v>0</v>
      </c>
      <c r="AH74" s="76" t="n">
        <f aca="false">NA_monthly!AL44</f>
        <v>0</v>
      </c>
      <c r="AI74" s="76" t="n">
        <f aca="false">NA_monthly!AM44</f>
        <v>0</v>
      </c>
      <c r="AJ74" s="76" t="n">
        <f aca="false">NA_monthly!AN44</f>
        <v>0</v>
      </c>
      <c r="AK74" s="76" t="n">
        <f aca="false">NA_monthly!AO44</f>
        <v>0</v>
      </c>
      <c r="AL74" s="76" t="n">
        <f aca="false">NA_monthly!AP44</f>
        <v>0</v>
      </c>
      <c r="AM74" s="76" t="n">
        <f aca="false">NA_monthly!AQ44</f>
        <v>0</v>
      </c>
      <c r="AN74" s="76" t="n">
        <f aca="false">NA_monthly!AR44</f>
        <v>0</v>
      </c>
      <c r="AO74" s="76" t="n">
        <f aca="false">NA_monthly!AS44</f>
        <v>0</v>
      </c>
      <c r="AP74" s="76" t="n">
        <f aca="false">NA_monthly!AT44</f>
        <v>0</v>
      </c>
      <c r="AQ74" s="76" t="n">
        <f aca="false">NA_monthly!AU44</f>
        <v>0</v>
      </c>
      <c r="AR74" s="76" t="n">
        <f aca="false">NA_monthly!AV44</f>
        <v>0</v>
      </c>
      <c r="AS74" s="76" t="n">
        <f aca="false">NA_monthly!AW44</f>
        <v>0</v>
      </c>
      <c r="AT74" s="76" t="n">
        <f aca="false">NA_monthly!AX44</f>
        <v>0</v>
      </c>
      <c r="AU74" s="76" t="n">
        <f aca="false">NA_monthly!AY44</f>
        <v>0</v>
      </c>
      <c r="AV74" s="76" t="n">
        <f aca="false">NA_monthly!AZ44</f>
        <v>0</v>
      </c>
    </row>
    <row r="75" customFormat="false" ht="12" hidden="false" customHeight="true" outlineLevel="0" collapsed="false">
      <c r="A75" s="76" t="str">
        <f aca="false">PL_monthly!D9</f>
        <v>Revenues</v>
      </c>
      <c r="B75" s="76" t="n">
        <f aca="false">PL_monthly!F9</f>
        <v>0</v>
      </c>
      <c r="C75" s="76" t="n">
        <f aca="false">PL_monthly!G9</f>
        <v>0</v>
      </c>
      <c r="D75" s="76" t="n">
        <f aca="false">PL_monthly!H9</f>
        <v>0</v>
      </c>
      <c r="E75" s="76" t="n">
        <f aca="false">PL_monthly!I9</f>
        <v>0</v>
      </c>
      <c r="F75" s="76" t="n">
        <f aca="false">PL_monthly!J9</f>
        <v>0</v>
      </c>
      <c r="G75" s="76" t="n">
        <f aca="false">PL_monthly!K9</f>
        <v>0</v>
      </c>
      <c r="H75" s="76" t="n">
        <f aca="false">PL_monthly!L9</f>
        <v>0</v>
      </c>
      <c r="I75" s="76" t="n">
        <f aca="false">PL_monthly!M9</f>
        <v>0</v>
      </c>
      <c r="J75" s="76" t="n">
        <f aca="false">PL_monthly!N9</f>
        <v>0</v>
      </c>
      <c r="K75" s="76" t="n">
        <f aca="false">PL_monthly!O9</f>
        <v>0</v>
      </c>
      <c r="L75" s="76" t="n">
        <f aca="false">PL_monthly!P9</f>
        <v>0</v>
      </c>
      <c r="M75" s="76" t="n">
        <f aca="false">PL_monthly!Q9</f>
        <v>0</v>
      </c>
      <c r="N75" s="76" t="n">
        <f aca="false">PL_monthly!R9</f>
        <v>0</v>
      </c>
      <c r="O75" s="76" t="n">
        <f aca="false">PL_monthly!S9</f>
        <v>0</v>
      </c>
      <c r="P75" s="76" t="n">
        <f aca="false">PL_monthly!T9</f>
        <v>0</v>
      </c>
      <c r="Q75" s="76" t="n">
        <f aca="false">PL_monthly!U9</f>
        <v>0</v>
      </c>
      <c r="R75" s="76" t="n">
        <f aca="false">PL_monthly!V9</f>
        <v>0</v>
      </c>
      <c r="S75" s="76" t="n">
        <f aca="false">PL_monthly!W9</f>
        <v>0</v>
      </c>
      <c r="T75" s="76" t="n">
        <f aca="false">PL_monthly!X9</f>
        <v>0</v>
      </c>
      <c r="U75" s="76" t="n">
        <f aca="false">PL_monthly!Y9</f>
        <v>0</v>
      </c>
      <c r="V75" s="76" t="n">
        <f aca="false">PL_monthly!Z9</f>
        <v>0</v>
      </c>
      <c r="W75" s="76" t="n">
        <f aca="false">PL_monthly!AA9</f>
        <v>0</v>
      </c>
      <c r="X75" s="76" t="n">
        <f aca="false">PL_monthly!AB9</f>
        <v>0</v>
      </c>
      <c r="Y75" s="76" t="n">
        <f aca="false">PL_monthly!AC9</f>
        <v>0</v>
      </c>
      <c r="Z75" s="76" t="n">
        <f aca="false">PL_monthly!AD9</f>
        <v>0</v>
      </c>
      <c r="AA75" s="76" t="n">
        <f aca="false">PL_monthly!AE9</f>
        <v>0</v>
      </c>
      <c r="AB75" s="76" t="n">
        <f aca="false">PL_monthly!AF9</f>
        <v>0</v>
      </c>
      <c r="AC75" s="76" t="n">
        <f aca="false">PL_monthly!AG9</f>
        <v>0</v>
      </c>
      <c r="AD75" s="76" t="n">
        <f aca="false">PL_monthly!AH9</f>
        <v>0</v>
      </c>
      <c r="AE75" s="76" t="n">
        <f aca="false">PL_monthly!AI9</f>
        <v>0</v>
      </c>
      <c r="AF75" s="76" t="n">
        <f aca="false">PL_monthly!AJ9</f>
        <v>0</v>
      </c>
      <c r="AG75" s="76" t="n">
        <f aca="false">PL_monthly!AK9</f>
        <v>0</v>
      </c>
      <c r="AH75" s="76" t="n">
        <f aca="false">PL_monthly!AL9</f>
        <v>0</v>
      </c>
      <c r="AI75" s="76" t="n">
        <f aca="false">PL_monthly!AM9</f>
        <v>0</v>
      </c>
      <c r="AJ75" s="76" t="n">
        <f aca="false">PL_monthly!AN9</f>
        <v>0</v>
      </c>
      <c r="AK75" s="76" t="n">
        <f aca="false">PL_monthly!AO9</f>
        <v>0</v>
      </c>
      <c r="AL75" s="76" t="n">
        <f aca="false">PL_monthly!AP9</f>
        <v>0</v>
      </c>
      <c r="AM75" s="76" t="n">
        <f aca="false">PL_monthly!AQ9</f>
        <v>0</v>
      </c>
      <c r="AN75" s="76" t="n">
        <f aca="false">PL_monthly!AR9</f>
        <v>0</v>
      </c>
      <c r="AO75" s="76" t="n">
        <f aca="false">PL_monthly!AS9</f>
        <v>0</v>
      </c>
      <c r="AP75" s="76" t="n">
        <f aca="false">PL_monthly!AT9</f>
        <v>0</v>
      </c>
      <c r="AQ75" s="76" t="n">
        <f aca="false">PL_monthly!AU9</f>
        <v>0</v>
      </c>
      <c r="AR75" s="76" t="n">
        <f aca="false">PL_monthly!AV9</f>
        <v>0</v>
      </c>
      <c r="AS75" s="76" t="n">
        <f aca="false">PL_monthly!AW9</f>
        <v>0</v>
      </c>
      <c r="AT75" s="76" t="n">
        <f aca="false">PL_monthly!AX9</f>
        <v>0</v>
      </c>
      <c r="AU75" s="76" t="n">
        <f aca="false">PL_monthly!AY9</f>
        <v>0</v>
      </c>
      <c r="AV75" s="76" t="n">
        <f aca="false">PL_monthly!AZ9</f>
        <v>0</v>
      </c>
    </row>
    <row r="76" customFormat="false" ht="12" hidden="false" customHeight="true" outlineLevel="0" collapsed="false">
      <c r="A76" s="76" t="s">
        <v>247</v>
      </c>
      <c r="B76" s="82" t="n">
        <f aca="false">IF(NA_monthly!F108="n.a.",0,NA_monthly!F108)</f>
        <v>0</v>
      </c>
      <c r="C76" s="82" t="n">
        <f aca="false">IF(NA_monthly!G108="n.a.",0,NA_monthly!G108)</f>
        <v>0</v>
      </c>
      <c r="D76" s="82" t="n">
        <f aca="false">IF(NA_monthly!H108="n.a.",0,NA_monthly!H108)</f>
        <v>0</v>
      </c>
      <c r="E76" s="82" t="n">
        <f aca="false">IF(NA_monthly!I108="n.a.",0,NA_monthly!I108)</f>
        <v>0</v>
      </c>
      <c r="F76" s="82" t="n">
        <f aca="false">IF(NA_monthly!J108="n.a.",0,NA_monthly!J108)</f>
        <v>0</v>
      </c>
      <c r="G76" s="82" t="n">
        <f aca="false">IF(NA_monthly!K108="n.a.",0,NA_monthly!K108)</f>
        <v>0</v>
      </c>
      <c r="H76" s="82" t="n">
        <f aca="false">IF(NA_monthly!L108="n.a.",0,NA_monthly!L108)</f>
        <v>0</v>
      </c>
      <c r="I76" s="82" t="n">
        <f aca="false">IF(NA_monthly!M108="n.a.",0,NA_monthly!M108)</f>
        <v>0</v>
      </c>
      <c r="J76" s="82" t="n">
        <f aca="false">IF(NA_monthly!N108="n.a.",0,NA_monthly!N108)</f>
        <v>0</v>
      </c>
      <c r="K76" s="82" t="n">
        <f aca="false">IF(NA_monthly!O108="n.a.",0,NA_monthly!O108)</f>
        <v>0</v>
      </c>
      <c r="L76" s="82" t="n">
        <f aca="false">IF(NA_monthly!P108="n.a.",0,NA_monthly!P108)</f>
        <v>0</v>
      </c>
      <c r="M76" s="82" t="n">
        <f aca="false">IF(NA_monthly!Q108="n.a.",0,NA_monthly!Q108)</f>
        <v>0</v>
      </c>
      <c r="N76" s="82" t="n">
        <f aca="false">IF(NA_monthly!R108="n.a.",0,NA_monthly!R108)</f>
        <v>0</v>
      </c>
      <c r="O76" s="82" t="n">
        <f aca="false">IF(NA_monthly!S108="n.a.",0,NA_monthly!S108)</f>
        <v>0</v>
      </c>
      <c r="P76" s="82" t="n">
        <f aca="false">IF(NA_monthly!T108="n.a.",0,NA_monthly!T108)</f>
        <v>0</v>
      </c>
      <c r="Q76" s="82" t="n">
        <f aca="false">IF(NA_monthly!U108="n.a.",0,NA_monthly!U108)</f>
        <v>0</v>
      </c>
      <c r="R76" s="82" t="n">
        <f aca="false">IF(NA_monthly!V108="n.a.",0,NA_monthly!V108)</f>
        <v>0</v>
      </c>
      <c r="S76" s="82" t="n">
        <f aca="false">IF(NA_monthly!W108="n.a.",0,NA_monthly!W108)</f>
        <v>0</v>
      </c>
      <c r="T76" s="82" t="n">
        <f aca="false">IF(NA_monthly!X108="n.a.",0,NA_monthly!X108)</f>
        <v>0</v>
      </c>
      <c r="U76" s="82" t="n">
        <f aca="false">IF(NA_monthly!Y108="n.a.",0,NA_monthly!Y108)</f>
        <v>0</v>
      </c>
      <c r="V76" s="82" t="n">
        <f aca="false">IF(NA_monthly!Z108="n.a.",0,NA_monthly!Z108)</f>
        <v>0</v>
      </c>
      <c r="W76" s="82" t="n">
        <f aca="false">IF(NA_monthly!AA108="n.a.",0,NA_monthly!AA108)</f>
        <v>0</v>
      </c>
      <c r="X76" s="82" t="n">
        <f aca="false">IF(NA_monthly!AB108="n.a.",0,NA_monthly!AB108)</f>
        <v>0</v>
      </c>
      <c r="Y76" s="82" t="n">
        <f aca="false">IF(NA_monthly!AC108="n.a.",0,NA_monthly!AC108)</f>
        <v>0</v>
      </c>
      <c r="Z76" s="82" t="n">
        <f aca="false">IF(NA_monthly!AD108="n.a.",0,NA_monthly!AD108)</f>
        <v>0</v>
      </c>
      <c r="AA76" s="82" t="n">
        <f aca="false">IF(NA_monthly!AE108="n.a.",0,NA_monthly!AE108)</f>
        <v>0</v>
      </c>
      <c r="AB76" s="82" t="n">
        <f aca="false">IF(NA_monthly!AF108="n.a.",0,NA_monthly!AF108)</f>
        <v>0</v>
      </c>
      <c r="AC76" s="82" t="n">
        <f aca="false">IF(NA_monthly!AG108="n.a.",0,NA_monthly!AG108)</f>
        <v>0</v>
      </c>
      <c r="AD76" s="82" t="n">
        <f aca="false">IF(NA_monthly!AH108="n.a.",0,NA_monthly!AH108)</f>
        <v>0</v>
      </c>
      <c r="AE76" s="82" t="n">
        <f aca="false">IF(NA_monthly!AI108="n.a.",0,NA_monthly!AI108)</f>
        <v>0</v>
      </c>
      <c r="AF76" s="82" t="n">
        <f aca="false">IF(NA_monthly!AJ108="n.a.",0,NA_monthly!AJ108)</f>
        <v>0</v>
      </c>
      <c r="AG76" s="82" t="n">
        <f aca="false">IF(NA_monthly!AK108="n.a.",0,NA_monthly!AK108)</f>
        <v>0</v>
      </c>
      <c r="AH76" s="82" t="n">
        <f aca="false">IF(NA_monthly!AL108="n.a.",0,NA_monthly!AL108)</f>
        <v>0</v>
      </c>
      <c r="AI76" s="82" t="n">
        <f aca="false">IF(NA_monthly!AM108="n.a.",0,NA_monthly!AM108)</f>
        <v>0</v>
      </c>
      <c r="AJ76" s="82" t="n">
        <f aca="false">IF(NA_monthly!AN108="n.a.",0,NA_monthly!AN108)</f>
        <v>0</v>
      </c>
      <c r="AK76" s="82" t="n">
        <f aca="false">IF(NA_monthly!AO108="n.a.",0,NA_monthly!AO108)</f>
        <v>0</v>
      </c>
      <c r="AL76" s="82" t="n">
        <f aca="false">IF(NA_monthly!AP108="n.a.",0,NA_monthly!AP108)</f>
        <v>0</v>
      </c>
      <c r="AM76" s="82" t="n">
        <f aca="false">IF(NA_monthly!AQ108="n.a.",0,NA_monthly!AQ108)</f>
        <v>0</v>
      </c>
      <c r="AN76" s="82" t="n">
        <f aca="false">IF(NA_monthly!AR108="n.a.",0,NA_monthly!AR108)</f>
        <v>0</v>
      </c>
      <c r="AO76" s="82" t="n">
        <f aca="false">IF(NA_monthly!AS108="n.a.",0,NA_monthly!AS108)</f>
        <v>0</v>
      </c>
      <c r="AP76" s="82" t="n">
        <f aca="false">IF(NA_monthly!AT108="n.a.",0,NA_monthly!AT108)</f>
        <v>0</v>
      </c>
      <c r="AQ76" s="82" t="n">
        <f aca="false">IF(NA_monthly!AU108="n.a.",0,NA_monthly!AU108)</f>
        <v>0</v>
      </c>
      <c r="AR76" s="82" t="n">
        <f aca="false">IF(NA_monthly!AV108="n.a.",0,NA_monthly!AV108)</f>
        <v>0</v>
      </c>
      <c r="AS76" s="82" t="n">
        <f aca="false">IF(NA_monthly!AW108="n.a.",0,NA_monthly!AW108)</f>
        <v>0</v>
      </c>
      <c r="AT76" s="82" t="n">
        <f aca="false">IF(NA_monthly!AX108="n.a.",0,NA_monthly!AX108)</f>
        <v>0</v>
      </c>
      <c r="AU76" s="82" t="n">
        <f aca="false">IF(NA_monthly!AY108="n.a.",0,NA_monthly!AY108)</f>
        <v>0</v>
      </c>
      <c r="AV76" s="82" t="n">
        <f aca="false">IF(NA_monthly!AZ108="n.a.",0,NA_monthly!AZ108)</f>
        <v>0</v>
      </c>
    </row>
    <row r="97" s="72" customFormat="true" ht="5.25" hidden="false" customHeight="true" outlineLevel="0" collapsed="false"/>
    <row r="100" customFormat="false" ht="12" hidden="false" customHeight="true" outlineLevel="0" collapsed="false">
      <c r="A100" s="68" t="s">
        <v>106</v>
      </c>
    </row>
    <row r="103" customFormat="false" ht="12" hidden="false" customHeight="true" outlineLevel="0" collapsed="false">
      <c r="A103" s="69"/>
      <c r="B103" s="80" t="n">
        <f aca="false">NA_TWC!F6</f>
        <v>44926</v>
      </c>
      <c r="C103" s="81" t="n">
        <f aca="false">NA_TWC!G6</f>
        <v>45291</v>
      </c>
      <c r="D103" s="81" t="n">
        <f aca="false">NA_TWC!H6</f>
        <v>45657</v>
      </c>
      <c r="E103" s="81" t="n">
        <f aca="false">NA_TWC!I6</f>
        <v>45808</v>
      </c>
    </row>
    <row r="104" customFormat="false" ht="12" hidden="false" customHeight="true" outlineLevel="0" collapsed="false">
      <c r="A104" s="69"/>
      <c r="B104" s="69"/>
      <c r="C104" s="69"/>
      <c r="D104" s="69"/>
      <c r="E104" s="69"/>
    </row>
    <row r="105" customFormat="false" ht="12" hidden="false" customHeight="true" outlineLevel="0" collapsed="false">
      <c r="A105" s="77" t="s">
        <v>248</v>
      </c>
      <c r="B105" s="76" t="str">
        <f aca="false">NA_TWC!F70</f>
        <v>n/a</v>
      </c>
      <c r="C105" s="76" t="str">
        <f aca="false">NA_TWC!G70</f>
        <v>n/a</v>
      </c>
      <c r="D105" s="76" t="str">
        <f aca="false">NA_TWC!H70</f>
        <v>n/a</v>
      </c>
      <c r="E105" s="76" t="str">
        <f aca="false">NA_TWC!I70</f>
        <v>n/a</v>
      </c>
    </row>
    <row r="106" customFormat="false" ht="12" hidden="false" customHeight="true" outlineLevel="0" collapsed="false">
      <c r="A106" s="77" t="s">
        <v>249</v>
      </c>
      <c r="B106" s="76" t="str">
        <f aca="false">NA_TWC!F71</f>
        <v>n/a</v>
      </c>
      <c r="C106" s="76" t="str">
        <f aca="false">NA_TWC!G71</f>
        <v>n/a</v>
      </c>
      <c r="D106" s="76" t="str">
        <f aca="false">NA_TWC!H71</f>
        <v>n/a</v>
      </c>
      <c r="E106" s="76" t="str">
        <f aca="false">NA_TWC!I71</f>
        <v>n/a</v>
      </c>
    </row>
    <row r="107" customFormat="false" ht="12" hidden="false" customHeight="true" outlineLevel="0" collapsed="false">
      <c r="A107" s="77" t="s">
        <v>250</v>
      </c>
      <c r="B107" s="76" t="str">
        <f aca="false">NA_TWC!F72</f>
        <v>n/a</v>
      </c>
      <c r="C107" s="76" t="str">
        <f aca="false">NA_TWC!G72</f>
        <v>n/a</v>
      </c>
      <c r="D107" s="76" t="str">
        <f aca="false">NA_TWC!H72</f>
        <v>n/a</v>
      </c>
      <c r="E107" s="76" t="str">
        <f aca="false">NA_TWC!I72</f>
        <v>n/a</v>
      </c>
    </row>
    <row r="108" customFormat="false" ht="12" hidden="false" customHeight="true" outlineLevel="0" collapsed="false">
      <c r="A108" s="77" t="s">
        <v>251</v>
      </c>
      <c r="B108" s="76" t="n">
        <f aca="false">NA_TWC!F73</f>
        <v>0</v>
      </c>
      <c r="C108" s="76" t="n">
        <f aca="false">NA_TWC!G73</f>
        <v>0</v>
      </c>
      <c r="D108" s="76" t="n">
        <f aca="false">NA_TWC!H73</f>
        <v>0</v>
      </c>
      <c r="E108" s="76" t="n">
        <f aca="false">NA_TWC!I73</f>
        <v>0</v>
      </c>
    </row>
    <row r="112" s="72" customFormat="true" ht="5.25" hidden="false" customHeight="true" outlineLevel="0" collapsed="false"/>
    <row r="114" s="67" customFormat="true" ht="12" hidden="false" customHeight="true" outlineLevel="0" collapsed="false"/>
    <row r="115" customFormat="false" ht="12" hidden="false" customHeight="true" outlineLevel="0" collapsed="false">
      <c r="A115" s="68" t="s">
        <v>252</v>
      </c>
    </row>
    <row r="117" customFormat="false" ht="12" hidden="false" customHeight="true" outlineLevel="0" collapsed="false">
      <c r="A117" s="77"/>
      <c r="B117" s="76" t="s">
        <v>253</v>
      </c>
      <c r="C117" s="76" t="s">
        <v>254</v>
      </c>
      <c r="D117" s="76" t="s">
        <v>255</v>
      </c>
      <c r="E117" s="76" t="s">
        <v>256</v>
      </c>
      <c r="F117" s="76" t="s">
        <v>257</v>
      </c>
    </row>
    <row r="118" customFormat="false" ht="12" hidden="false" customHeight="true" outlineLevel="0" collapsed="false">
      <c r="A118" s="77"/>
      <c r="B118" s="76"/>
      <c r="C118" s="76"/>
      <c r="D118" s="76"/>
      <c r="E118" s="77"/>
      <c r="F118" s="76"/>
    </row>
    <row r="119" customFormat="false" ht="12" hidden="false" customHeight="true" outlineLevel="0" collapsed="false">
      <c r="A119" s="77" t="s">
        <v>258</v>
      </c>
      <c r="B119" s="76"/>
      <c r="C119" s="76"/>
      <c r="D119" s="76"/>
      <c r="E119" s="77"/>
      <c r="F119" s="76"/>
    </row>
    <row r="120" customFormat="false" ht="12" hidden="false" customHeight="true" outlineLevel="0" collapsed="false">
      <c r="A120" s="77" t="s">
        <v>258</v>
      </c>
      <c r="B120" s="76"/>
      <c r="C120" s="76"/>
      <c r="D120" s="76"/>
      <c r="E120" s="77"/>
      <c r="F120" s="76"/>
    </row>
    <row r="121" customFormat="false" ht="12" hidden="false" customHeight="true" outlineLevel="0" collapsed="false">
      <c r="A121" s="77" t="s">
        <v>258</v>
      </c>
      <c r="B121" s="76"/>
      <c r="C121" s="76"/>
      <c r="D121" s="76"/>
      <c r="E121" s="77"/>
      <c r="F121" s="76"/>
    </row>
    <row r="122" customFormat="false" ht="12" hidden="false" customHeight="true" outlineLevel="0" collapsed="false">
      <c r="A122" s="77" t="s">
        <v>258</v>
      </c>
      <c r="B122" s="76"/>
      <c r="C122" s="77"/>
      <c r="D122" s="76"/>
      <c r="E122" s="77"/>
      <c r="F122" s="76"/>
    </row>
    <row r="130" s="72" customFormat="true" ht="5.25" hidden="false" customHeight="true" outlineLevel="0" collapsed="false"/>
    <row r="132" s="67" customFormat="true" ht="12" hidden="false" customHeight="true" outlineLevel="0" collapsed="false"/>
    <row r="133" customFormat="false" ht="12" hidden="false" customHeight="true" outlineLevel="0" collapsed="false">
      <c r="A133" s="68" t="s">
        <v>259</v>
      </c>
    </row>
    <row r="135" customFormat="false" ht="12" hidden="false" customHeight="true" outlineLevel="0" collapsed="false">
      <c r="A135" s="10" t="n">
        <v>44196</v>
      </c>
    </row>
    <row r="136" customFormat="false" ht="12" hidden="false" customHeight="true" outlineLevel="0" collapsed="false">
      <c r="A136" s="77"/>
      <c r="B136" s="76" t="s">
        <v>260</v>
      </c>
      <c r="C136" s="77" t="s">
        <v>261</v>
      </c>
      <c r="D136" s="76" t="s">
        <v>260</v>
      </c>
    </row>
    <row r="137" customFormat="false" ht="12" hidden="false" customHeight="true" outlineLevel="0" collapsed="false">
      <c r="A137" s="77" t="s">
        <v>234</v>
      </c>
      <c r="B137" s="76"/>
      <c r="C137" s="76"/>
      <c r="D137" s="76"/>
    </row>
    <row r="138" customFormat="false" ht="12" hidden="false" customHeight="true" outlineLevel="0" collapsed="false">
      <c r="A138" s="77" t="s">
        <v>235</v>
      </c>
      <c r="B138" s="76"/>
      <c r="C138" s="76"/>
      <c r="D138" s="76"/>
    </row>
    <row r="139" customFormat="false" ht="12" hidden="false" customHeight="true" outlineLevel="0" collapsed="false">
      <c r="A139" s="77" t="s">
        <v>236</v>
      </c>
      <c r="B139" s="76"/>
      <c r="C139" s="76"/>
      <c r="D139" s="76"/>
    </row>
    <row r="140" customFormat="false" ht="12" hidden="false" customHeight="true" outlineLevel="0" collapsed="false">
      <c r="A140" s="77" t="s">
        <v>237</v>
      </c>
      <c r="B140" s="76"/>
      <c r="C140" s="76"/>
      <c r="D140" s="76"/>
    </row>
    <row r="141" customFormat="false" ht="12" hidden="false" customHeight="true" outlineLevel="0" collapsed="false">
      <c r="A141" s="77" t="s">
        <v>262</v>
      </c>
      <c r="B141" s="76"/>
      <c r="C141" s="76"/>
      <c r="D141" s="76"/>
    </row>
    <row r="144" customFormat="false" ht="12" hidden="false" customHeight="true" outlineLevel="0" collapsed="false">
      <c r="A144" s="83"/>
    </row>
    <row r="149" s="72" customFormat="true" ht="5.25" hidden="false" customHeight="true" outlineLevel="0" collapsed="false"/>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2890625" defaultRowHeight="12" zeroHeight="false" outlineLevelRow="0" outlineLevelCol="0"/>
  <cols>
    <col collapsed="false" customWidth="false" hidden="false" outlineLevel="0" max="3" min="1" style="1" width="11.29"/>
    <col collapsed="false" customWidth="true" hidden="false" outlineLevel="0" max="4" min="4" style="1" width="41.71"/>
    <col collapsed="false" customWidth="false" hidden="false" outlineLevel="0" max="16384" min="5" style="1" width="11.29"/>
  </cols>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C93"/>
  <sheetViews>
    <sheetView showFormulas="false" showGridLines="true" showRowColHeaders="true" showZeros="true" rightToLeft="false" tabSelected="true" showOutlineSymbols="true" defaultGridColor="true" view="normal" topLeftCell="A16" colorId="64" zoomScale="100" zoomScaleNormal="100" zoomScalePageLayoutView="100" workbookViewId="0">
      <selection pane="topLeft" activeCell="C44" activeCellId="0" sqref="C44"/>
    </sheetView>
  </sheetViews>
  <sheetFormatPr defaultColWidth="8.859375" defaultRowHeight="15" zeroHeight="false" outlineLevelRow="0" outlineLevelCol="0"/>
  <cols>
    <col collapsed="false" customWidth="true" hidden="false" outlineLevel="0" max="1" min="1" style="32" width="92.42"/>
    <col collapsed="false" customWidth="true" hidden="false" outlineLevel="0" max="3" min="3" style="32" width="63.71"/>
  </cols>
  <sheetData>
    <row r="1" customFormat="false" ht="15" hidden="false" customHeight="true" outlineLevel="0" collapsed="false">
      <c r="A1" s="84" t="s">
        <v>263</v>
      </c>
      <c r="C1" s="84" t="s">
        <v>264</v>
      </c>
    </row>
    <row r="2" customFormat="false" ht="15" hidden="false" customHeight="true" outlineLevel="0" collapsed="false">
      <c r="A2" s="32" t="s">
        <v>265</v>
      </c>
      <c r="C2" s="32" t="s">
        <v>266</v>
      </c>
    </row>
    <row r="3" customFormat="false" ht="15" hidden="false" customHeight="true" outlineLevel="0" collapsed="false">
      <c r="A3" s="32" t="s">
        <v>267</v>
      </c>
      <c r="C3" s="32" t="s">
        <v>268</v>
      </c>
    </row>
    <row r="4" customFormat="false" ht="15" hidden="false" customHeight="true" outlineLevel="0" collapsed="false">
      <c r="A4" s="32" t="s">
        <v>269</v>
      </c>
      <c r="C4" s="32" t="s">
        <v>270</v>
      </c>
    </row>
    <row r="5" customFormat="false" ht="15" hidden="false" customHeight="true" outlineLevel="0" collapsed="false">
      <c r="A5" s="32" t="s">
        <v>271</v>
      </c>
      <c r="C5" s="32" t="s">
        <v>272</v>
      </c>
    </row>
    <row r="6" customFormat="false" ht="15" hidden="false" customHeight="true" outlineLevel="0" collapsed="false">
      <c r="A6" s="32" t="s">
        <v>273</v>
      </c>
      <c r="C6" s="32" t="s">
        <v>274</v>
      </c>
    </row>
    <row r="7" customFormat="false" ht="15" hidden="false" customHeight="true" outlineLevel="0" collapsed="false">
      <c r="A7" s="32" t="s">
        <v>275</v>
      </c>
      <c r="C7" s="32" t="s">
        <v>276</v>
      </c>
    </row>
    <row r="8" customFormat="false" ht="15" hidden="false" customHeight="true" outlineLevel="0" collapsed="false">
      <c r="A8" s="32" t="s">
        <v>277</v>
      </c>
      <c r="C8" s="32" t="s">
        <v>278</v>
      </c>
    </row>
    <row r="9" customFormat="false" ht="15" hidden="false" customHeight="true" outlineLevel="0" collapsed="false">
      <c r="A9" s="32" t="s">
        <v>279</v>
      </c>
      <c r="C9" s="32" t="s">
        <v>280</v>
      </c>
    </row>
    <row r="10" customFormat="false" ht="15" hidden="false" customHeight="true" outlineLevel="0" collapsed="false">
      <c r="A10" s="32" t="s">
        <v>281</v>
      </c>
      <c r="C10" s="32" t="s">
        <v>282</v>
      </c>
    </row>
    <row r="11" customFormat="false" ht="15" hidden="false" customHeight="true" outlineLevel="0" collapsed="false">
      <c r="A11" s="32" t="s">
        <v>283</v>
      </c>
      <c r="C11" s="32" t="s">
        <v>284</v>
      </c>
    </row>
    <row r="12" customFormat="false" ht="15" hidden="false" customHeight="true" outlineLevel="0" collapsed="false">
      <c r="A12" s="32" t="s">
        <v>285</v>
      </c>
      <c r="C12" s="32" t="s">
        <v>286</v>
      </c>
    </row>
    <row r="13" customFormat="false" ht="15" hidden="false" customHeight="true" outlineLevel="0" collapsed="false">
      <c r="A13" s="32" t="s">
        <v>287</v>
      </c>
      <c r="C13" s="32" t="s">
        <v>288</v>
      </c>
    </row>
    <row r="14" customFormat="false" ht="15" hidden="false" customHeight="true" outlineLevel="0" collapsed="false">
      <c r="A14" s="32" t="s">
        <v>289</v>
      </c>
      <c r="C14" s="32" t="s">
        <v>290</v>
      </c>
    </row>
    <row r="15" customFormat="false" ht="15" hidden="false" customHeight="true" outlineLevel="0" collapsed="false">
      <c r="A15" s="32" t="s">
        <v>291</v>
      </c>
      <c r="C15" s="32" t="s">
        <v>292</v>
      </c>
    </row>
    <row r="16" customFormat="false" ht="15" hidden="false" customHeight="true" outlineLevel="0" collapsed="false">
      <c r="A16" s="32" t="s">
        <v>293</v>
      </c>
      <c r="C16" s="32" t="s">
        <v>294</v>
      </c>
    </row>
    <row r="17" customFormat="false" ht="15" hidden="false" customHeight="true" outlineLevel="0" collapsed="false">
      <c r="A17" s="32" t="s">
        <v>295</v>
      </c>
      <c r="C17" s="32" t="s">
        <v>296</v>
      </c>
    </row>
    <row r="18" customFormat="false" ht="15" hidden="false" customHeight="true" outlineLevel="0" collapsed="false">
      <c r="A18" s="32" t="s">
        <v>297</v>
      </c>
      <c r="C18" s="32" t="s">
        <v>298</v>
      </c>
    </row>
    <row r="19" customFormat="false" ht="15" hidden="false" customHeight="true" outlineLevel="0" collapsed="false">
      <c r="A19" s="32" t="s">
        <v>299</v>
      </c>
      <c r="C19" s="32" t="s">
        <v>300</v>
      </c>
    </row>
    <row r="20" customFormat="false" ht="15" hidden="false" customHeight="true" outlineLevel="0" collapsed="false">
      <c r="A20" s="32" t="s">
        <v>301</v>
      </c>
      <c r="C20" s="32" t="s">
        <v>302</v>
      </c>
    </row>
    <row r="21" customFormat="false" ht="15" hidden="false" customHeight="true" outlineLevel="0" collapsed="false">
      <c r="A21" s="32" t="s">
        <v>303</v>
      </c>
      <c r="C21" s="32" t="s">
        <v>304</v>
      </c>
    </row>
    <row r="22" customFormat="false" ht="15" hidden="false" customHeight="true" outlineLevel="0" collapsed="false">
      <c r="A22" s="32" t="s">
        <v>305</v>
      </c>
      <c r="C22" s="32" t="s">
        <v>306</v>
      </c>
    </row>
    <row r="23" customFormat="false" ht="15" hidden="false" customHeight="true" outlineLevel="0" collapsed="false">
      <c r="A23" s="32" t="s">
        <v>307</v>
      </c>
      <c r="C23" s="32" t="s">
        <v>308</v>
      </c>
    </row>
    <row r="24" customFormat="false" ht="15" hidden="false" customHeight="true" outlineLevel="0" collapsed="false">
      <c r="A24" s="32" t="s">
        <v>309</v>
      </c>
      <c r="C24" s="32" t="s">
        <v>310</v>
      </c>
    </row>
    <row r="25" customFormat="false" ht="15" hidden="false" customHeight="true" outlineLevel="0" collapsed="false">
      <c r="A25" s="32" t="s">
        <v>311</v>
      </c>
      <c r="C25" s="32" t="s">
        <v>312</v>
      </c>
    </row>
    <row r="26" customFormat="false" ht="15" hidden="false" customHeight="true" outlineLevel="0" collapsed="false">
      <c r="A26" s="32" t="s">
        <v>313</v>
      </c>
      <c r="C26" s="32" t="s">
        <v>314</v>
      </c>
    </row>
    <row r="27" customFormat="false" ht="15" hidden="false" customHeight="true" outlineLevel="0" collapsed="false">
      <c r="A27" s="32" t="s">
        <v>315</v>
      </c>
      <c r="C27" s="32" t="s">
        <v>316</v>
      </c>
    </row>
    <row r="28" customFormat="false" ht="15" hidden="false" customHeight="true" outlineLevel="0" collapsed="false">
      <c r="A28" s="32" t="s">
        <v>317</v>
      </c>
      <c r="C28" s="32" t="s">
        <v>318</v>
      </c>
    </row>
    <row r="29" customFormat="false" ht="15" hidden="false" customHeight="true" outlineLevel="0" collapsed="false">
      <c r="A29" s="32" t="s">
        <v>319</v>
      </c>
      <c r="C29" s="32" t="s">
        <v>320</v>
      </c>
    </row>
    <row r="30" customFormat="false" ht="15" hidden="false" customHeight="true" outlineLevel="0" collapsed="false">
      <c r="A30" s="32" t="s">
        <v>321</v>
      </c>
      <c r="C30" s="32" t="s">
        <v>322</v>
      </c>
    </row>
    <row r="31" customFormat="false" ht="15" hidden="false" customHeight="true" outlineLevel="0" collapsed="false">
      <c r="A31" s="32" t="s">
        <v>323</v>
      </c>
      <c r="C31" s="32" t="s">
        <v>324</v>
      </c>
    </row>
    <row r="32" customFormat="false" ht="15" hidden="false" customHeight="true" outlineLevel="0" collapsed="false">
      <c r="A32" s="32" t="s">
        <v>325</v>
      </c>
      <c r="C32" s="32" t="s">
        <v>326</v>
      </c>
    </row>
    <row r="33" customFormat="false" ht="15" hidden="false" customHeight="true" outlineLevel="0" collapsed="false">
      <c r="A33" s="32" t="s">
        <v>327</v>
      </c>
      <c r="C33" s="32" t="s">
        <v>328</v>
      </c>
    </row>
    <row r="34" customFormat="false" ht="15" hidden="false" customHeight="true" outlineLevel="0" collapsed="false">
      <c r="A34" s="32" t="s">
        <v>329</v>
      </c>
      <c r="C34" s="32" t="s">
        <v>330</v>
      </c>
    </row>
    <row r="35" customFormat="false" ht="15" hidden="false" customHeight="true" outlineLevel="0" collapsed="false">
      <c r="A35" s="32" t="s">
        <v>331</v>
      </c>
      <c r="C35" s="32" t="s">
        <v>332</v>
      </c>
    </row>
    <row r="36" customFormat="false" ht="15" hidden="false" customHeight="true" outlineLevel="0" collapsed="false">
      <c r="A36" s="32" t="s">
        <v>333</v>
      </c>
      <c r="C36" s="32" t="s">
        <v>334</v>
      </c>
    </row>
    <row r="37" customFormat="false" ht="15" hidden="false" customHeight="true" outlineLevel="0" collapsed="false">
      <c r="A37" s="32" t="s">
        <v>335</v>
      </c>
      <c r="C37" s="32" t="s">
        <v>336</v>
      </c>
    </row>
    <row r="38" customFormat="false" ht="15" hidden="false" customHeight="true" outlineLevel="0" collapsed="false">
      <c r="A38" s="32" t="s">
        <v>337</v>
      </c>
      <c r="C38" s="32" t="s">
        <v>338</v>
      </c>
    </row>
    <row r="39" customFormat="false" ht="15" hidden="false" customHeight="true" outlineLevel="0" collapsed="false">
      <c r="A39" s="32" t="s">
        <v>339</v>
      </c>
      <c r="C39" s="32" t="s">
        <v>340</v>
      </c>
    </row>
    <row r="40" customFormat="false" ht="15" hidden="false" customHeight="true" outlineLevel="0" collapsed="false">
      <c r="A40" s="32" t="s">
        <v>341</v>
      </c>
      <c r="C40" s="32" t="s">
        <v>342</v>
      </c>
    </row>
    <row r="41" customFormat="false" ht="15" hidden="false" customHeight="true" outlineLevel="0" collapsed="false">
      <c r="A41" s="32" t="s">
        <v>343</v>
      </c>
      <c r="C41" s="32" t="s">
        <v>344</v>
      </c>
    </row>
    <row r="42" customFormat="false" ht="15" hidden="false" customHeight="true" outlineLevel="0" collapsed="false">
      <c r="A42" s="32" t="s">
        <v>345</v>
      </c>
      <c r="C42" s="32" t="s">
        <v>346</v>
      </c>
    </row>
    <row r="43" customFormat="false" ht="15" hidden="false" customHeight="true" outlineLevel="0" collapsed="false">
      <c r="A43" s="32" t="s">
        <v>347</v>
      </c>
      <c r="C43" s="32" t="s">
        <v>348</v>
      </c>
    </row>
    <row r="44" customFormat="false" ht="15" hidden="false" customHeight="true" outlineLevel="0" collapsed="false">
      <c r="A44" s="32" t="s">
        <v>349</v>
      </c>
      <c r="C44" s="32" t="s">
        <v>350</v>
      </c>
    </row>
    <row r="45" customFormat="false" ht="15" hidden="false" customHeight="true" outlineLevel="0" collapsed="false">
      <c r="A45" s="32" t="s">
        <v>351</v>
      </c>
      <c r="C45" s="32" t="s">
        <v>352</v>
      </c>
    </row>
    <row r="46" customFormat="false" ht="15" hidden="false" customHeight="true" outlineLevel="0" collapsed="false">
      <c r="A46" s="32" t="s">
        <v>353</v>
      </c>
      <c r="C46" s="32" t="s">
        <v>354</v>
      </c>
    </row>
    <row r="47" customFormat="false" ht="15" hidden="false" customHeight="true" outlineLevel="0" collapsed="false">
      <c r="A47" s="32" t="s">
        <v>355</v>
      </c>
      <c r="C47" s="32" t="s">
        <v>356</v>
      </c>
    </row>
    <row r="48" customFormat="false" ht="15" hidden="false" customHeight="true" outlineLevel="0" collapsed="false">
      <c r="A48" s="32" t="s">
        <v>357</v>
      </c>
      <c r="C48" s="32" t="s">
        <v>358</v>
      </c>
    </row>
    <row r="49" customFormat="false" ht="15" hidden="false" customHeight="true" outlineLevel="0" collapsed="false">
      <c r="A49" s="32" t="s">
        <v>359</v>
      </c>
      <c r="C49" s="32" t="s">
        <v>360</v>
      </c>
    </row>
    <row r="50" customFormat="false" ht="15" hidden="false" customHeight="true" outlineLevel="0" collapsed="false">
      <c r="A50" s="32" t="s">
        <v>361</v>
      </c>
    </row>
    <row r="51" customFormat="false" ht="15" hidden="false" customHeight="true" outlineLevel="0" collapsed="false">
      <c r="A51" s="32" t="s">
        <v>362</v>
      </c>
    </row>
    <row r="52" customFormat="false" ht="15" hidden="false" customHeight="true" outlineLevel="0" collapsed="false">
      <c r="A52" s="32" t="s">
        <v>363</v>
      </c>
    </row>
    <row r="53" customFormat="false" ht="15" hidden="false" customHeight="true" outlineLevel="0" collapsed="false">
      <c r="A53" s="32" t="s">
        <v>364</v>
      </c>
    </row>
    <row r="54" customFormat="false" ht="15" hidden="false" customHeight="true" outlineLevel="0" collapsed="false">
      <c r="A54" s="32" t="s">
        <v>365</v>
      </c>
    </row>
    <row r="55" customFormat="false" ht="15" hidden="false" customHeight="true" outlineLevel="0" collapsed="false">
      <c r="A55" s="32" t="s">
        <v>366</v>
      </c>
    </row>
    <row r="56" customFormat="false" ht="15" hidden="false" customHeight="true" outlineLevel="0" collapsed="false">
      <c r="A56" s="32" t="s">
        <v>367</v>
      </c>
    </row>
    <row r="57" customFormat="false" ht="15" hidden="false" customHeight="true" outlineLevel="0" collapsed="false">
      <c r="A57" s="32" t="s">
        <v>368</v>
      </c>
    </row>
    <row r="58" customFormat="false" ht="15" hidden="false" customHeight="true" outlineLevel="0" collapsed="false">
      <c r="A58" s="32" t="s">
        <v>369</v>
      </c>
    </row>
    <row r="59" customFormat="false" ht="15" hidden="false" customHeight="true" outlineLevel="0" collapsed="false">
      <c r="A59" s="32" t="s">
        <v>370</v>
      </c>
    </row>
    <row r="60" customFormat="false" ht="15" hidden="false" customHeight="true" outlineLevel="0" collapsed="false">
      <c r="A60" s="32" t="s">
        <v>371</v>
      </c>
    </row>
    <row r="61" customFormat="false" ht="15" hidden="false" customHeight="true" outlineLevel="0" collapsed="false">
      <c r="A61" s="32" t="s">
        <v>372</v>
      </c>
    </row>
    <row r="62" customFormat="false" ht="15" hidden="false" customHeight="true" outlineLevel="0" collapsed="false">
      <c r="A62" s="32" t="s">
        <v>373</v>
      </c>
    </row>
    <row r="63" customFormat="false" ht="15" hidden="false" customHeight="true" outlineLevel="0" collapsed="false">
      <c r="A63" s="32" t="s">
        <v>374</v>
      </c>
    </row>
    <row r="64" customFormat="false" ht="15" hidden="false" customHeight="true" outlineLevel="0" collapsed="false">
      <c r="A64" s="32" t="s">
        <v>375</v>
      </c>
    </row>
    <row r="65" customFormat="false" ht="15" hidden="false" customHeight="true" outlineLevel="0" collapsed="false">
      <c r="A65" s="32" t="s">
        <v>376</v>
      </c>
    </row>
    <row r="66" customFormat="false" ht="15" hidden="false" customHeight="true" outlineLevel="0" collapsed="false">
      <c r="A66" s="32" t="s">
        <v>377</v>
      </c>
    </row>
    <row r="67" customFormat="false" ht="15" hidden="false" customHeight="true" outlineLevel="0" collapsed="false">
      <c r="A67" s="32" t="s">
        <v>378</v>
      </c>
    </row>
    <row r="68" customFormat="false" ht="15" hidden="false" customHeight="true" outlineLevel="0" collapsed="false">
      <c r="A68" s="32" t="s">
        <v>379</v>
      </c>
    </row>
    <row r="69" customFormat="false" ht="15" hidden="false" customHeight="true" outlineLevel="0" collapsed="false">
      <c r="A69" s="32" t="s">
        <v>380</v>
      </c>
    </row>
    <row r="70" customFormat="false" ht="15" hidden="false" customHeight="true" outlineLevel="0" collapsed="false">
      <c r="A70" s="32" t="s">
        <v>381</v>
      </c>
    </row>
    <row r="71" customFormat="false" ht="15" hidden="false" customHeight="true" outlineLevel="0" collapsed="false">
      <c r="A71" s="32" t="s">
        <v>382</v>
      </c>
    </row>
    <row r="72" customFormat="false" ht="15" hidden="false" customHeight="true" outlineLevel="0" collapsed="false">
      <c r="A72" s="32" t="s">
        <v>383</v>
      </c>
    </row>
    <row r="73" customFormat="false" ht="15" hidden="false" customHeight="true" outlineLevel="0" collapsed="false">
      <c r="A73" s="32" t="s">
        <v>384</v>
      </c>
    </row>
    <row r="74" customFormat="false" ht="15" hidden="false" customHeight="true" outlineLevel="0" collapsed="false">
      <c r="A74" s="32" t="s">
        <v>385</v>
      </c>
    </row>
    <row r="75" customFormat="false" ht="15" hidden="false" customHeight="true" outlineLevel="0" collapsed="false">
      <c r="A75" s="32" t="s">
        <v>386</v>
      </c>
    </row>
    <row r="76" customFormat="false" ht="15" hidden="false" customHeight="true" outlineLevel="0" collapsed="false">
      <c r="A76" s="32" t="s">
        <v>387</v>
      </c>
    </row>
    <row r="77" customFormat="false" ht="15" hidden="false" customHeight="true" outlineLevel="0" collapsed="false">
      <c r="A77" s="32" t="s">
        <v>388</v>
      </c>
    </row>
    <row r="78" customFormat="false" ht="15" hidden="false" customHeight="true" outlineLevel="0" collapsed="false">
      <c r="A78" s="32" t="s">
        <v>389</v>
      </c>
    </row>
    <row r="79" customFormat="false" ht="15" hidden="false" customHeight="true" outlineLevel="0" collapsed="false">
      <c r="A79" s="32" t="s">
        <v>390</v>
      </c>
    </row>
    <row r="80" customFormat="false" ht="15" hidden="false" customHeight="true" outlineLevel="0" collapsed="false">
      <c r="A80" s="32" t="s">
        <v>391</v>
      </c>
    </row>
    <row r="81" customFormat="false" ht="15" hidden="false" customHeight="true" outlineLevel="0" collapsed="false">
      <c r="A81" s="32" t="s">
        <v>392</v>
      </c>
    </row>
    <row r="82" customFormat="false" ht="15" hidden="false" customHeight="true" outlineLevel="0" collapsed="false">
      <c r="A82" s="32" t="s">
        <v>393</v>
      </c>
    </row>
    <row r="83" customFormat="false" ht="15" hidden="false" customHeight="true" outlineLevel="0" collapsed="false">
      <c r="A83" s="32" t="s">
        <v>394</v>
      </c>
    </row>
    <row r="84" customFormat="false" ht="15" hidden="false" customHeight="true" outlineLevel="0" collapsed="false">
      <c r="A84" s="32" t="s">
        <v>395</v>
      </c>
    </row>
    <row r="85" customFormat="false" ht="15" hidden="false" customHeight="true" outlineLevel="0" collapsed="false">
      <c r="A85" s="32" t="s">
        <v>396</v>
      </c>
    </row>
    <row r="86" customFormat="false" ht="15" hidden="false" customHeight="true" outlineLevel="0" collapsed="false">
      <c r="A86" s="32" t="s">
        <v>397</v>
      </c>
    </row>
    <row r="87" customFormat="false" ht="15" hidden="false" customHeight="true" outlineLevel="0" collapsed="false">
      <c r="A87" s="32" t="s">
        <v>398</v>
      </c>
    </row>
    <row r="88" customFormat="false" ht="15" hidden="false" customHeight="true" outlineLevel="0" collapsed="false">
      <c r="A88" s="32" t="s">
        <v>399</v>
      </c>
    </row>
    <row r="89" customFormat="false" ht="15" hidden="false" customHeight="true" outlineLevel="0" collapsed="false">
      <c r="A89" s="32" t="s">
        <v>400</v>
      </c>
    </row>
    <row r="90" customFormat="false" ht="15" hidden="false" customHeight="true" outlineLevel="0" collapsed="false">
      <c r="A90" s="32" t="s">
        <v>401</v>
      </c>
    </row>
    <row r="91" customFormat="false" ht="15" hidden="false" customHeight="true" outlineLevel="0" collapsed="false">
      <c r="A91" s="32" t="s">
        <v>402</v>
      </c>
    </row>
    <row r="92" customFormat="false" ht="15" hidden="false" customHeight="true" outlineLevel="0" collapsed="false">
      <c r="A92" s="32" t="s">
        <v>403</v>
      </c>
    </row>
    <row r="93" customFormat="false" ht="15" hidden="false" customHeight="true" outlineLevel="0" collapsed="false">
      <c r="A93" s="32" t="s">
        <v>404</v>
      </c>
    </row>
  </sheetData>
  <conditionalFormatting sqref="A1:A1048576">
    <cfRule type="duplicateValues" priority="2" aboveAverage="0" equalAverage="0" bottom="0" percent="0" rank="0" text="" dxfId="0"/>
  </conditionalFormatting>
  <conditionalFormatting sqref="C1:C1048576">
    <cfRule type="duplicateValues" priority="3" aboveAverage="0" equalAverage="0" bottom="0" percent="0" rank="0" text="" dxfId="0"/>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EAED"/>
    <pageSetUpPr fitToPage="false"/>
  </sheetPr>
  <dimension ref="B1:V265"/>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4" ySplit="7" topLeftCell="F8" activePane="bottomRight" state="frozen"/>
      <selection pane="topLeft" activeCell="A1" activeCellId="0" sqref="A1"/>
      <selection pane="topRight" activeCell="F1" activeCellId="0" sqref="F1"/>
      <selection pane="bottomLeft" activeCell="A8" activeCellId="0" sqref="A8"/>
      <selection pane="bottomRight" activeCell="T59" activeCellId="0" sqref="T59"/>
    </sheetView>
  </sheetViews>
  <sheetFormatPr defaultColWidth="12.00390625" defaultRowHeight="11.25" zeroHeight="false" outlineLevelRow="3" outlineLevelCol="2"/>
  <cols>
    <col collapsed="false" customWidth="true" hidden="false" outlineLevel="0" max="1" min="1" style="1" width="11.43"/>
    <col collapsed="false" customWidth="true" hidden="false" outlineLevel="2" max="2" min="2" style="1" width="0.86"/>
    <col collapsed="false" customWidth="true" hidden="false" outlineLevel="0" max="3" min="3" style="1" width="35.57"/>
    <col collapsed="false" customWidth="true" hidden="true" outlineLevel="1" max="4" min="4" style="1" width="35.57"/>
    <col collapsed="false" customWidth="true" hidden="true" outlineLevel="1" max="5" min="5" style="1" width="9.42"/>
    <col collapsed="false" customWidth="true" hidden="false" outlineLevel="0" max="8" min="6" style="1" width="9.42"/>
    <col collapsed="false" customWidth="true" hidden="true" outlineLevel="1" max="10" min="9" style="1" width="9.42"/>
    <col collapsed="false" customWidth="true" hidden="false" outlineLevel="0" max="14" min="11" style="1" width="9.42"/>
    <col collapsed="false" customWidth="true" hidden="false" outlineLevel="1" max="15" min="15" style="1" width="0.86"/>
    <col collapsed="false" customWidth="true" hidden="false" outlineLevel="1" max="17" min="16" style="1" width="8.42"/>
    <col collapsed="false" customWidth="true" hidden="false" outlineLevel="2" max="18" min="18" style="1" width="0.86"/>
    <col collapsed="false" customWidth="true" hidden="false" outlineLevel="0" max="19" min="19" style="1" width="11.43"/>
    <col collapsed="false" customWidth="true" hidden="false" outlineLevel="0" max="20" min="20" style="1" width="40"/>
    <col collapsed="false" customWidth="false" hidden="false" outlineLevel="0" max="16384" min="21" style="1" width="12"/>
  </cols>
  <sheetData>
    <row r="1" customFormat="false" ht="11.25" hidden="false" customHeight="true" outlineLevel="3" collapsed="false">
      <c r="C1" s="31" t="s">
        <v>405</v>
      </c>
      <c r="D1" s="31" t="s">
        <v>405</v>
      </c>
      <c r="E1" s="12" t="n">
        <f aca="false">IFERROR(E4,E6)</f>
        <v>44561</v>
      </c>
      <c r="F1" s="12" t="n">
        <f aca="false">IFERROR(F4,F6)</f>
        <v>44926</v>
      </c>
      <c r="G1" s="12" t="n">
        <f aca="false">IFERROR(G4,G6)</f>
        <v>45291</v>
      </c>
      <c r="H1" s="12" t="n">
        <f aca="false">IFERROR(H4,H6)</f>
        <v>45657</v>
      </c>
      <c r="I1" s="12" t="n">
        <f aca="false">IFERROR(I4,I6)</f>
        <v>45808</v>
      </c>
      <c r="J1" s="12" t="n">
        <f aca="false">IFERROR(J4,J6)</f>
        <v>45808</v>
      </c>
      <c r="K1" s="12" t="n">
        <f aca="false">IFERROR(K4,K6)</f>
        <v>46022</v>
      </c>
      <c r="L1" s="12" t="n">
        <f aca="false">IFERROR(L4,L6)</f>
        <v>46387</v>
      </c>
      <c r="M1" s="12" t="n">
        <f aca="false">IFERROR(M4,M6)</f>
        <v>46752</v>
      </c>
      <c r="N1" s="12" t="n">
        <f aca="false">IFERROR(N4,N6)</f>
        <v>47118</v>
      </c>
    </row>
    <row r="4" customFormat="false" ht="11.25" hidden="false" customHeight="true" outlineLevel="0" collapsed="false">
      <c r="C4" s="10" t="str">
        <f aca="false">Cockpit!$C$4</f>
        <v>Template</v>
      </c>
      <c r="D4" s="10"/>
      <c r="E4" s="85" t="n">
        <f aca="false">Cockpit!C33</f>
        <v>44561</v>
      </c>
      <c r="F4" s="85" t="n">
        <f aca="false">Cockpit!D33</f>
        <v>44926</v>
      </c>
      <c r="G4" s="85" t="n">
        <f aca="false">Cockpit!E33</f>
        <v>45291</v>
      </c>
      <c r="H4" s="85" t="n">
        <f aca="false">Cockpit!F33</f>
        <v>45657</v>
      </c>
      <c r="I4" s="85" t="n">
        <f aca="false">Cockpit!G33</f>
        <v>45808</v>
      </c>
      <c r="J4" s="85" t="n">
        <f aca="false">Cockpit!H33</f>
        <v>45808</v>
      </c>
      <c r="K4" s="85" t="n">
        <f aca="false">Cockpit!I33</f>
        <v>46022</v>
      </c>
      <c r="L4" s="85" t="n">
        <f aca="false">Cockpit!J33</f>
        <v>46387</v>
      </c>
      <c r="M4" s="85" t="n">
        <f aca="false">Cockpit!K33</f>
        <v>46752</v>
      </c>
      <c r="N4" s="85" t="n">
        <f aca="false">Cockpit!L33</f>
        <v>47118</v>
      </c>
      <c r="O4" s="86"/>
      <c r="P4" s="74" t="s">
        <v>101</v>
      </c>
      <c r="Q4" s="74" t="s">
        <v>101</v>
      </c>
    </row>
    <row r="5" customFormat="false" ht="11.25" hidden="false" customHeight="true" outlineLevel="0" collapsed="false">
      <c r="C5" s="10" t="str">
        <f aca="false">"in T"&amp;Cockpit!$C$5</f>
        <v>in TEUR</v>
      </c>
      <c r="D5" s="10"/>
      <c r="E5" s="85" t="str">
        <f aca="false">Cockpit!C34</f>
        <v>IST</v>
      </c>
      <c r="F5" s="85" t="str">
        <f aca="false">Cockpit!D34</f>
        <v>IST</v>
      </c>
      <c r="G5" s="85" t="str">
        <f aca="false">Cockpit!E34</f>
        <v>IST</v>
      </c>
      <c r="H5" s="85" t="str">
        <f aca="false">Cockpit!F34</f>
        <v>IST</v>
      </c>
      <c r="I5" s="85" t="str">
        <f aca="false">Cockpit!G34</f>
        <v>LTM</v>
      </c>
      <c r="J5" s="85" t="str">
        <f aca="false">Cockpit!H34</f>
        <v>YTD</v>
      </c>
      <c r="K5" s="85" t="str">
        <f aca="false">Cockpit!I34</f>
        <v>Plan</v>
      </c>
      <c r="L5" s="85" t="str">
        <f aca="false">Cockpit!J34</f>
        <v>Plan</v>
      </c>
      <c r="M5" s="85" t="str">
        <f aca="false">Cockpit!K34</f>
        <v>Plan</v>
      </c>
      <c r="N5" s="85" t="str">
        <f aca="false">Cockpit!L34</f>
        <v>Plan</v>
      </c>
      <c r="O5" s="86"/>
      <c r="P5" s="74" t="s">
        <v>21</v>
      </c>
      <c r="Q5" s="74" t="str">
        <f aca="false">Cockpit!$C$27</f>
        <v>Plan</v>
      </c>
      <c r="T5" s="87" t="s">
        <v>406</v>
      </c>
      <c r="U5" s="87" t="s">
        <v>407</v>
      </c>
      <c r="V5" s="87" t="s">
        <v>408</v>
      </c>
    </row>
    <row r="6" customFormat="false" ht="11.25" hidden="true" customHeight="true" outlineLevel="1" collapsed="false">
      <c r="C6" s="88"/>
      <c r="D6" s="10" t="str">
        <f aca="false">Cockpit!$C$4</f>
        <v>Template</v>
      </c>
      <c r="E6" s="74" t="n">
        <f aca="false">Cockpit!C33</f>
        <v>44561</v>
      </c>
      <c r="F6" s="74" t="n">
        <f aca="false">Cockpit!D33</f>
        <v>44926</v>
      </c>
      <c r="G6" s="74" t="n">
        <f aca="false">Cockpit!E33</f>
        <v>45291</v>
      </c>
      <c r="H6" s="74" t="n">
        <f aca="false">Cockpit!F33</f>
        <v>45657</v>
      </c>
      <c r="I6" s="81" t="n">
        <f aca="false">Cockpit!G33</f>
        <v>45808</v>
      </c>
      <c r="J6" s="81" t="n">
        <f aca="false">Cockpit!H33</f>
        <v>45808</v>
      </c>
      <c r="K6" s="74" t="n">
        <f aca="false">Cockpit!I33</f>
        <v>46022</v>
      </c>
      <c r="L6" s="74" t="n">
        <f aca="false">Cockpit!J33</f>
        <v>46387</v>
      </c>
      <c r="M6" s="74" t="n">
        <f aca="false">Cockpit!K33</f>
        <v>46752</v>
      </c>
      <c r="N6" s="74" t="n">
        <f aca="false">Cockpit!L33</f>
        <v>47118</v>
      </c>
      <c r="O6" s="86"/>
      <c r="P6" s="74" t="s">
        <v>101</v>
      </c>
      <c r="Q6" s="74" t="s">
        <v>101</v>
      </c>
    </row>
    <row r="7" customFormat="false" ht="11.25" hidden="true" customHeight="true" outlineLevel="1" collapsed="false">
      <c r="C7" s="88"/>
      <c r="D7" s="10" t="str">
        <f aca="false">"in k"&amp;Cockpit!$C$5</f>
        <v>in kEUR</v>
      </c>
      <c r="E7" s="74" t="str">
        <f aca="false">Cockpit!C34</f>
        <v>IST</v>
      </c>
      <c r="F7" s="74" t="str">
        <f aca="false">Cockpit!D34</f>
        <v>IST</v>
      </c>
      <c r="G7" s="74" t="str">
        <f aca="false">Cockpit!E34</f>
        <v>IST</v>
      </c>
      <c r="H7" s="74" t="str">
        <f aca="false">Cockpit!F34</f>
        <v>IST</v>
      </c>
      <c r="I7" s="74" t="str">
        <f aca="false">Cockpit!G34</f>
        <v>LTM</v>
      </c>
      <c r="J7" s="74" t="str">
        <f aca="false">Cockpit!H34</f>
        <v>YTD</v>
      </c>
      <c r="K7" s="74" t="str">
        <f aca="false">Cockpit!I34</f>
        <v>Plan</v>
      </c>
      <c r="L7" s="74" t="str">
        <f aca="false">Cockpit!J34</f>
        <v>Plan</v>
      </c>
      <c r="M7" s="74" t="str">
        <f aca="false">Cockpit!K34</f>
        <v>Plan</v>
      </c>
      <c r="N7" s="74" t="str">
        <f aca="false">Cockpit!L34</f>
        <v>Plan</v>
      </c>
      <c r="O7" s="86"/>
      <c r="P7" s="74" t="str">
        <f aca="false">Cockpit!$C$19</f>
        <v>IST</v>
      </c>
      <c r="Q7" s="74" t="str">
        <f aca="false">Cockpit!$C$27</f>
        <v>Plan</v>
      </c>
      <c r="T7" s="89" t="s">
        <v>409</v>
      </c>
    </row>
    <row r="8" customFormat="false" ht="4.5" hidden="false" customHeight="true" outlineLevel="0" collapsed="false">
      <c r="C8" s="86"/>
      <c r="D8" s="90"/>
      <c r="E8" s="86"/>
      <c r="F8" s="86"/>
      <c r="G8" s="86"/>
      <c r="H8" s="86"/>
      <c r="I8" s="86"/>
      <c r="J8" s="86"/>
      <c r="K8" s="86"/>
      <c r="L8" s="86"/>
      <c r="M8" s="86"/>
      <c r="N8" s="86"/>
      <c r="O8" s="86"/>
      <c r="P8" s="86"/>
      <c r="Q8" s="86"/>
    </row>
    <row r="9" customFormat="false" ht="11.25" hidden="false" customHeight="true" outlineLevel="0" collapsed="false">
      <c r="C9" s="91" t="s">
        <v>410</v>
      </c>
      <c r="D9" s="91" t="s">
        <v>411</v>
      </c>
      <c r="E9" s="92" t="n">
        <f aca="false">SUMIFS(Mastersheet!$F$2:$F$400,Mastersheet!$D$2:$D$400,$T9,Mastersheet!$C$2:$C$400,$U9)/1000</f>
        <v>0</v>
      </c>
      <c r="F9" s="92" t="n">
        <f aca="false">SUMIFS(Mastersheet!$G$2:$G$400,Mastersheet!$D$2:$D$400,$T9,Mastersheet!$C$2:$C$400,$U9)/1000</f>
        <v>0</v>
      </c>
      <c r="G9" s="92" t="n">
        <f aca="false">SUMIFS(Mastersheet!$H$2:$H$400,Mastersheet!$D$2:$D$400,$T9,Mastersheet!$C$2:$C$400,$U9)/1000</f>
        <v>0</v>
      </c>
      <c r="H9" s="92" t="n">
        <f aca="false">SUMIFS(Mastersheet!$I$2:$I$400,Mastersheet!$D$2:$D$400,$T9,Mastersheet!$C$2:$C$400,$U9)/1000</f>
        <v>0</v>
      </c>
      <c r="I9" s="93" t="n">
        <f aca="false">SUMIFS(Mastersheet!$J$2:$J$400,Mastersheet!$D$2:$D$400,$T9,Mastersheet!$C$2:$C$400,$U9)/1000</f>
        <v>0</v>
      </c>
      <c r="J9" s="94" t="n">
        <f aca="false">SUMIFS(Mastersheet!$K$2:$K$400,Mastersheet!$D$2:$D$400,$T9,Mastersheet!$C$2:$C$400,$U9)/1000</f>
        <v>0</v>
      </c>
      <c r="K9" s="95" t="n">
        <f aca="false">SUMIFS(Mastersheet!$L$2:$L$400,Mastersheet!$D$2:$D$400,$T9,Mastersheet!$C$2:$C$400,$U9)/1000</f>
        <v>0</v>
      </c>
      <c r="L9" s="95" t="n">
        <f aca="false">SUMIFS(Mastersheet!$M$2:$M$400,Mastersheet!$D$2:$D$400,$T9,Mastersheet!$C$2:$C$400,$U9)/1000</f>
        <v>0</v>
      </c>
      <c r="M9" s="95" t="n">
        <f aca="false">SUMIFS(Mastersheet!$N$2:$N$400,Mastersheet!$D$2:$D$400,$T9,Mastersheet!$C$2:$C$400,$U9)/1000</f>
        <v>0</v>
      </c>
      <c r="N9" s="95" t="n">
        <f aca="false">SUMIFS(Mastersheet!$O$2:$O$400,Mastersheet!$D$2:$D$400,$T9,Mastersheet!$C$2:$C$400,$U9)/1000</f>
        <v>0</v>
      </c>
      <c r="O9" s="92"/>
      <c r="P9" s="96" t="str">
        <f aca="false">IFERROR(((H9/F9)^(1/(($H$1-$F$1)/365)))-1,"n/a")</f>
        <v>n/a</v>
      </c>
      <c r="Q9" s="96" t="str">
        <f aca="false">IFERROR(((N9/H9)^(1/(($N$1-$H$1)/365)))-1,"n/a")</f>
        <v>n/a</v>
      </c>
      <c r="T9" s="97" t="s">
        <v>412</v>
      </c>
      <c r="U9" s="98" t="s">
        <v>413</v>
      </c>
      <c r="V9" s="98" t="s">
        <v>414</v>
      </c>
    </row>
    <row r="10" customFormat="false" ht="11.25" hidden="true" customHeight="true" outlineLevel="3" collapsed="false">
      <c r="C10" s="99"/>
      <c r="D10" s="99"/>
      <c r="E10" s="100" t="str">
        <f aca="false">IF($T$10="","",SUMIFS(Mastersheet!$F$2:$F$400,Mastersheet!$A$2:$A$400,$T$10)/1000)</f>
        <v/>
      </c>
      <c r="F10" s="100" t="str">
        <f aca="false">IF($T$10="","",SUMIFS(Mastersheet!$G$2:$G$400,Mastersheet!$A$2:$A$400,$T$10)/1000)</f>
        <v/>
      </c>
      <c r="G10" s="100" t="str">
        <f aca="false">IF($T$10="","",SUMIFS(Mastersheet!$H$2:$H$400,Mastersheet!$A$2:$A$400,$T$10)/1000)</f>
        <v/>
      </c>
      <c r="H10" s="100" t="str">
        <f aca="false">IF($T$10="","",SUMIFS(Mastersheet!$I$2:$I$400,Mastersheet!$A$2:$A$400,$T$10)/1000)</f>
        <v/>
      </c>
      <c r="I10" s="101" t="str">
        <f aca="false">IF($T$10="","",SUMIFS(Mastersheet!$J$2:$J$400,Mastersheet!$A$2:$A$400,$T$10)/1000)</f>
        <v/>
      </c>
      <c r="J10" s="102" t="str">
        <f aca="false">IF($T$10="","",SUMIFS(Mastersheet!$K$2:$K$400,Mastersheet!$A$2:$A$400,$T$10)/1000)</f>
        <v/>
      </c>
      <c r="K10" s="103" t="str">
        <f aca="false">IF($T$10="","",SUMIFS(Mastersheet!$L$2:$L$400,Mastersheet!$A$2:$A$400,$T$10)/1000)</f>
        <v/>
      </c>
      <c r="L10" s="103" t="str">
        <f aca="false">IF($T$10="","",SUMIFS(Mastersheet!$M$2:$M$400,Mastersheet!$A$2:$A$400,$T$10)/1000)</f>
        <v/>
      </c>
      <c r="M10" s="103" t="str">
        <f aca="false">IF($T$10="","",SUMIFS(Mastersheet!$N$2:$N$400,Mastersheet!$A$2:$A$400,$T$10)/1000)</f>
        <v/>
      </c>
      <c r="N10" s="103" t="str">
        <f aca="false">IF($T$10="","",SUMIFS(Mastersheet!$O$2:$O$400,Mastersheet!$A$2:$A$400,$T$10)/1000)</f>
        <v/>
      </c>
      <c r="O10" s="92"/>
      <c r="P10" s="96"/>
      <c r="Q10" s="96"/>
      <c r="T10" s="97"/>
      <c r="U10" s="104" t="s">
        <v>415</v>
      </c>
      <c r="V10" s="104" t="s">
        <v>416</v>
      </c>
    </row>
    <row r="11" customFormat="false" ht="11.25" hidden="true" customHeight="true" outlineLevel="3" collapsed="false">
      <c r="C11" s="99"/>
      <c r="D11" s="99"/>
      <c r="E11" s="100" t="str">
        <f aca="false">IF($T$11="","",SUMIFS(Mastersheet!$F$2:$F$400,Mastersheet!$A$2:$A$400,$T$11)/1000)</f>
        <v/>
      </c>
      <c r="F11" s="100" t="str">
        <f aca="false">IF($T$11="","",SUMIFS(Mastersheet!$G$2:$G$400,Mastersheet!$A$2:$A$400,$T$11)/1000)</f>
        <v/>
      </c>
      <c r="G11" s="100" t="str">
        <f aca="false">IF($T$11="","",SUMIFS(Mastersheet!$H$2:$H$400,Mastersheet!$A$2:$A$400,$T$11)/1000)</f>
        <v/>
      </c>
      <c r="H11" s="100" t="str">
        <f aca="false">IF($T$11="","",SUMIFS(Mastersheet!$I$2:$I$400,Mastersheet!$A$2:$A$400,$T$11)/1000)</f>
        <v/>
      </c>
      <c r="I11" s="101" t="str">
        <f aca="false">IF($T$11="","",SUMIFS(Mastersheet!$J$2:$J$400,Mastersheet!$A$2:$A$400,$T$11)/1000)</f>
        <v/>
      </c>
      <c r="J11" s="102" t="str">
        <f aca="false">IF($T$11="","",SUMIFS(Mastersheet!$K$2:$K$400,Mastersheet!$A$2:$A$400,$T$11)/1000)</f>
        <v/>
      </c>
      <c r="K11" s="103" t="str">
        <f aca="false">IF($T$11="","",SUMIFS(Mastersheet!$L$2:$L$400,Mastersheet!$A$2:$A$400,$T$11)/1000)</f>
        <v/>
      </c>
      <c r="L11" s="103" t="str">
        <f aca="false">IF($T$11="","",SUMIFS(Mastersheet!$M$2:$M$400,Mastersheet!$A$2:$A$400,$T$11)/1000)</f>
        <v/>
      </c>
      <c r="M11" s="103" t="str">
        <f aca="false">IF($T$11="","",SUMIFS(Mastersheet!$N$2:$N$400,Mastersheet!$A$2:$A$400,$T$11)/1000)</f>
        <v/>
      </c>
      <c r="N11" s="103" t="str">
        <f aca="false">IF($T$11="","",SUMIFS(Mastersheet!$O$2:$O$400,Mastersheet!$A$2:$A$400,$T$11)/1000)</f>
        <v/>
      </c>
      <c r="O11" s="92"/>
      <c r="P11" s="96"/>
      <c r="Q11" s="96"/>
      <c r="T11" s="97"/>
      <c r="U11" s="104" t="s">
        <v>415</v>
      </c>
      <c r="V11" s="104" t="s">
        <v>416</v>
      </c>
    </row>
    <row r="12" customFormat="false" ht="11.25" hidden="true" customHeight="true" outlineLevel="3" collapsed="false">
      <c r="C12" s="99"/>
      <c r="D12" s="99"/>
      <c r="E12" s="100" t="str">
        <f aca="false">IF($T$12="","",SUMIFS(Mastersheet!$F$2:$F$400,Mastersheet!$A$2:$A$400,$T$12)/1000)</f>
        <v/>
      </c>
      <c r="F12" s="100" t="str">
        <f aca="false">IF($T$12="","",SUMIFS(Mastersheet!$G$2:$G$400,Mastersheet!$A$2:$A$400,$T$12)/1000)</f>
        <v/>
      </c>
      <c r="G12" s="100" t="str">
        <f aca="false">IF($T$12="","",SUMIFS(Mastersheet!$H$2:$H$400,Mastersheet!$A$2:$A$400,$T$12)/1000)</f>
        <v/>
      </c>
      <c r="H12" s="100" t="str">
        <f aca="false">IF($T$12="","",SUMIFS(Mastersheet!$I$2:$I$400,Mastersheet!$A$2:$A$400,$T$12)/1000)</f>
        <v/>
      </c>
      <c r="I12" s="101" t="str">
        <f aca="false">IF($T$12="","",SUMIFS(Mastersheet!$J$2:$J$400,Mastersheet!$A$2:$A$400,$T$12)/1000)</f>
        <v/>
      </c>
      <c r="J12" s="102" t="str">
        <f aca="false">IF($T$12="","",SUMIFS(Mastersheet!$K$2:$K$400,Mastersheet!$A$2:$A$400,$T$12)/1000)</f>
        <v/>
      </c>
      <c r="K12" s="103" t="str">
        <f aca="false">IF($T$12="","",SUMIFS(Mastersheet!$L$2:$L$400,Mastersheet!$A$2:$A$400,$T$12)/1000)</f>
        <v/>
      </c>
      <c r="L12" s="103" t="str">
        <f aca="false">IF($T$12="","",SUMIFS(Mastersheet!$M$2:$M$400,Mastersheet!$A$2:$A$400,$T$12)/1000)</f>
        <v/>
      </c>
      <c r="M12" s="103" t="str">
        <f aca="false">IF($T$12="","",SUMIFS(Mastersheet!$N$2:$N$400,Mastersheet!$A$2:$A$400,$T$12)/1000)</f>
        <v/>
      </c>
      <c r="N12" s="103" t="str">
        <f aca="false">IF($T$12="","",SUMIFS(Mastersheet!$O$2:$O$400,Mastersheet!$A$2:$A$400,$T$12)/1000)</f>
        <v/>
      </c>
      <c r="O12" s="92"/>
      <c r="P12" s="96"/>
      <c r="Q12" s="96"/>
      <c r="T12" s="97"/>
      <c r="U12" s="104" t="s">
        <v>415</v>
      </c>
      <c r="V12" s="104" t="s">
        <v>416</v>
      </c>
    </row>
    <row r="13" customFormat="false" ht="11.25" hidden="true" customHeight="true" outlineLevel="3" collapsed="false">
      <c r="C13" s="99"/>
      <c r="D13" s="99"/>
      <c r="E13" s="100" t="str">
        <f aca="false">IF($T$13="","",SUMIFS(Mastersheet!$F$2:$F$400,Mastersheet!$A$2:$A$400,$T$13)/1000)</f>
        <v/>
      </c>
      <c r="F13" s="100" t="str">
        <f aca="false">IF($T$13="","",SUMIFS(Mastersheet!$G$2:$G$400,Mastersheet!$A$2:$A$400,$T$13)/1000)</f>
        <v/>
      </c>
      <c r="G13" s="100" t="str">
        <f aca="false">IF($T$13="","",SUMIFS(Mastersheet!$H$2:$H$400,Mastersheet!$A$2:$A$400,$T$13)/1000)</f>
        <v/>
      </c>
      <c r="H13" s="100" t="str">
        <f aca="false">IF($T$13="","",SUMIFS(Mastersheet!$I$2:$I$400,Mastersheet!$A$2:$A$400,$T$13)/1000)</f>
        <v/>
      </c>
      <c r="I13" s="101" t="str">
        <f aca="false">IF($T$13="","",SUMIFS(Mastersheet!$J$2:$J$400,Mastersheet!$A$2:$A$400,$T$13)/1000)</f>
        <v/>
      </c>
      <c r="J13" s="102" t="str">
        <f aca="false">IF($T$13="","",SUMIFS(Mastersheet!$K$2:$K$400,Mastersheet!$A$2:$A$400,$T$13)/1000)</f>
        <v/>
      </c>
      <c r="K13" s="103" t="str">
        <f aca="false">IF($T$13="","",SUMIFS(Mastersheet!$L$2:$L$400,Mastersheet!$A$2:$A$400,$T$13)/1000)</f>
        <v/>
      </c>
      <c r="L13" s="103" t="str">
        <f aca="false">IF($T$13="","",SUMIFS(Mastersheet!$M$2:$M$400,Mastersheet!$A$2:$A$400,$T$13)/1000)</f>
        <v/>
      </c>
      <c r="M13" s="103" t="str">
        <f aca="false">IF($T$13="","",SUMIFS(Mastersheet!$N$2:$N$400,Mastersheet!$A$2:$A$400,$T$13)/1000)</f>
        <v/>
      </c>
      <c r="N13" s="103" t="str">
        <f aca="false">IF($T$13="","",SUMIFS(Mastersheet!$O$2:$O$400,Mastersheet!$A$2:$A$400,$T$13)/1000)</f>
        <v/>
      </c>
      <c r="O13" s="92"/>
      <c r="P13" s="96"/>
      <c r="Q13" s="96"/>
      <c r="T13" s="97"/>
      <c r="U13" s="104" t="s">
        <v>415</v>
      </c>
      <c r="V13" s="104" t="s">
        <v>416</v>
      </c>
    </row>
    <row r="14" customFormat="false" ht="11.25" hidden="true" customHeight="true" outlineLevel="3" collapsed="false">
      <c r="C14" s="99"/>
      <c r="D14" s="99"/>
      <c r="E14" s="100" t="str">
        <f aca="false">IF($T$14="","",SUMIFS(Mastersheet!$F$2:$F$400,Mastersheet!$A$2:$A$400,$T$14)/1000)</f>
        <v/>
      </c>
      <c r="F14" s="100" t="str">
        <f aca="false">IF($T$14="","",SUMIFS(Mastersheet!$G$2:$G$400,Mastersheet!$A$2:$A$400,$T$14)/1000)</f>
        <v/>
      </c>
      <c r="G14" s="100" t="str">
        <f aca="false">IF($T$14="","",SUMIFS(Mastersheet!$H$2:$H$400,Mastersheet!$A$2:$A$400,$T$14)/1000)</f>
        <v/>
      </c>
      <c r="H14" s="100" t="str">
        <f aca="false">IF($T$14="","",SUMIFS(Mastersheet!$I$2:$I$400,Mastersheet!$A$2:$A$400,$T$14)/1000)</f>
        <v/>
      </c>
      <c r="I14" s="101" t="str">
        <f aca="false">IF($T$14="","",SUMIFS(Mastersheet!$J$2:$J$400,Mastersheet!$A$2:$A$400,$T$14)/1000)</f>
        <v/>
      </c>
      <c r="J14" s="102" t="str">
        <f aca="false">IF($T$14="","",SUMIFS(Mastersheet!$K$2:$K$400,Mastersheet!$A$2:$A$400,$T$14)/1000)</f>
        <v/>
      </c>
      <c r="K14" s="103" t="str">
        <f aca="false">IF($T$14="","",SUMIFS(Mastersheet!$L$2:$L$400,Mastersheet!$A$2:$A$400,$T$14)/1000)</f>
        <v/>
      </c>
      <c r="L14" s="103" t="str">
        <f aca="false">IF($T$14="","",SUMIFS(Mastersheet!$M$2:$M$400,Mastersheet!$A$2:$A$400,$T$14)/1000)</f>
        <v/>
      </c>
      <c r="M14" s="103" t="str">
        <f aca="false">IF($T$14="","",SUMIFS(Mastersheet!$N$2:$N$400,Mastersheet!$A$2:$A$400,$T$14)/1000)</f>
        <v/>
      </c>
      <c r="N14" s="103" t="str">
        <f aca="false">IF($T$14="","",SUMIFS(Mastersheet!$O$2:$O$400,Mastersheet!$A$2:$A$400,$T$14)/1000)</f>
        <v/>
      </c>
      <c r="O14" s="92"/>
      <c r="P14" s="96"/>
      <c r="Q14" s="96"/>
      <c r="T14" s="97"/>
      <c r="U14" s="104" t="s">
        <v>415</v>
      </c>
      <c r="V14" s="104" t="s">
        <v>416</v>
      </c>
    </row>
    <row r="15" customFormat="false" ht="11.25" hidden="true" customHeight="true" outlineLevel="3" collapsed="false">
      <c r="C15" s="99"/>
      <c r="D15" s="99"/>
      <c r="E15" s="100" t="str">
        <f aca="false">IF($T$15="","",SUMIFS(Mastersheet!$F$2:$F$400,Mastersheet!$A$2:$A$400,$T$15)/1000)</f>
        <v/>
      </c>
      <c r="F15" s="100" t="str">
        <f aca="false">IF($T$15="","",SUMIFS(Mastersheet!$G$2:$G$400,Mastersheet!$A$2:$A$400,$T$15)/1000)</f>
        <v/>
      </c>
      <c r="G15" s="100" t="str">
        <f aca="false">IF($T$15="","",SUMIFS(Mastersheet!$H$2:$H$400,Mastersheet!$A$2:$A$400,$T$15)/1000)</f>
        <v/>
      </c>
      <c r="H15" s="100" t="str">
        <f aca="false">IF($T$15="","",SUMIFS(Mastersheet!$I$2:$I$400,Mastersheet!$A$2:$A$400,$T$15)/1000)</f>
        <v/>
      </c>
      <c r="I15" s="101" t="str">
        <f aca="false">IF($T$15="","",SUMIFS(Mastersheet!$J$2:$J$400,Mastersheet!$A$2:$A$400,$T$15)/1000)</f>
        <v/>
      </c>
      <c r="J15" s="102" t="str">
        <f aca="false">IF($T$15="","",SUMIFS(Mastersheet!$K$2:$K$400,Mastersheet!$A$2:$A$400,$T$15)/1000)</f>
        <v/>
      </c>
      <c r="K15" s="103" t="str">
        <f aca="false">IF($T$15="","",SUMIFS(Mastersheet!$L$2:$L$400,Mastersheet!$A$2:$A$400,$T$15)/1000)</f>
        <v/>
      </c>
      <c r="L15" s="103" t="str">
        <f aca="false">IF($T$15="","",SUMIFS(Mastersheet!$M$2:$M$400,Mastersheet!$A$2:$A$400,$T$15)/1000)</f>
        <v/>
      </c>
      <c r="M15" s="103" t="str">
        <f aca="false">IF($T$15="","",SUMIFS(Mastersheet!$N$2:$N$400,Mastersheet!$A$2:$A$400,$T$15)/1000)</f>
        <v/>
      </c>
      <c r="N15" s="103" t="str">
        <f aca="false">IF($T$15="","",SUMIFS(Mastersheet!$O$2:$O$400,Mastersheet!$A$2:$A$400,$T$15)/1000)</f>
        <v/>
      </c>
      <c r="O15" s="92"/>
      <c r="P15" s="96"/>
      <c r="Q15" s="96"/>
      <c r="T15" s="97"/>
      <c r="U15" s="104" t="s">
        <v>415</v>
      </c>
      <c r="V15" s="104" t="s">
        <v>416</v>
      </c>
    </row>
    <row r="16" customFormat="false" ht="11.25" hidden="true" customHeight="true" outlineLevel="3" collapsed="false">
      <c r="C16" s="99"/>
      <c r="D16" s="99"/>
      <c r="E16" s="100" t="str">
        <f aca="false">IF($T$16="","",SUMIFS(Mastersheet!$F$2:$F$400,Mastersheet!$A$2:$A$400,$T$16)/1000)</f>
        <v/>
      </c>
      <c r="F16" s="100" t="str">
        <f aca="false">IF($T$16="","",SUMIFS(Mastersheet!$G$2:$G$400,Mastersheet!$A$2:$A$400,$T$16)/1000)</f>
        <v/>
      </c>
      <c r="G16" s="100" t="str">
        <f aca="false">IF($T$16="","",SUMIFS(Mastersheet!$H$2:$H$400,Mastersheet!$A$2:$A$400,$T$16)/1000)</f>
        <v/>
      </c>
      <c r="H16" s="100" t="str">
        <f aca="false">IF($T$16="","",SUMIFS(Mastersheet!$I$2:$I$400,Mastersheet!$A$2:$A$400,$T$16)/1000)</f>
        <v/>
      </c>
      <c r="I16" s="101" t="str">
        <f aca="false">IF($T$16="","",SUMIFS(Mastersheet!$J$2:$J$400,Mastersheet!$A$2:$A$400,$T$16)/1000)</f>
        <v/>
      </c>
      <c r="J16" s="102" t="str">
        <f aca="false">IF($T$16="","",SUMIFS(Mastersheet!$K$2:$K$400,Mastersheet!$A$2:$A$400,$T$16)/1000)</f>
        <v/>
      </c>
      <c r="K16" s="103" t="str">
        <f aca="false">IF($T$16="","",SUMIFS(Mastersheet!$L$2:$L$400,Mastersheet!$A$2:$A$400,$T$16)/1000)</f>
        <v/>
      </c>
      <c r="L16" s="103" t="str">
        <f aca="false">IF($T$16="","",SUMIFS(Mastersheet!$M$2:$M$400,Mastersheet!$A$2:$A$400,$T$16)/1000)</f>
        <v/>
      </c>
      <c r="M16" s="103" t="str">
        <f aca="false">IF($T$16="","",SUMIFS(Mastersheet!$N$2:$N$400,Mastersheet!$A$2:$A$400,$T$16)/1000)</f>
        <v/>
      </c>
      <c r="N16" s="103" t="str">
        <f aca="false">IF($T$16="","",SUMIFS(Mastersheet!$O$2:$O$400,Mastersheet!$A$2:$A$400,$T$16)/1000)</f>
        <v/>
      </c>
      <c r="O16" s="92"/>
      <c r="P16" s="96"/>
      <c r="Q16" s="96"/>
      <c r="T16" s="97"/>
      <c r="U16" s="104" t="s">
        <v>415</v>
      </c>
      <c r="V16" s="104" t="s">
        <v>416</v>
      </c>
    </row>
    <row r="17" customFormat="false" ht="11.25" hidden="true" customHeight="true" outlineLevel="3" collapsed="false">
      <c r="C17" s="99"/>
      <c r="D17" s="99"/>
      <c r="E17" s="100" t="str">
        <f aca="false">IF($T$17="","",SUMIFS(Mastersheet!$F$2:$F$400,Mastersheet!$A$2:$A$400,$T$17)/1000)</f>
        <v/>
      </c>
      <c r="F17" s="100" t="str">
        <f aca="false">IF($T$17="","",SUMIFS(Mastersheet!$G$2:$G$400,Mastersheet!$A$2:$A$400,$T$17)/1000)</f>
        <v/>
      </c>
      <c r="G17" s="100" t="str">
        <f aca="false">IF($T$17="","",SUMIFS(Mastersheet!$H$2:$H$400,Mastersheet!$A$2:$A$400,$T$17)/1000)</f>
        <v/>
      </c>
      <c r="H17" s="100" t="str">
        <f aca="false">IF($T$17="","",SUMIFS(Mastersheet!$I$2:$I$400,Mastersheet!$A$2:$A$400,$T$17)/1000)</f>
        <v/>
      </c>
      <c r="I17" s="101" t="str">
        <f aca="false">IF($T$17="","",SUMIFS(Mastersheet!$J$2:$J$400,Mastersheet!$A$2:$A$400,$T$17)/1000)</f>
        <v/>
      </c>
      <c r="J17" s="102" t="str">
        <f aca="false">IF($T$17="","",SUMIFS(Mastersheet!$K$2:$K$400,Mastersheet!$A$2:$A$400,$T$17)/1000)</f>
        <v/>
      </c>
      <c r="K17" s="103" t="str">
        <f aca="false">IF($T$17="","",SUMIFS(Mastersheet!$L$2:$L$400,Mastersheet!$A$2:$A$400,$T$17)/1000)</f>
        <v/>
      </c>
      <c r="L17" s="103" t="str">
        <f aca="false">IF($T$17="","",SUMIFS(Mastersheet!$M$2:$M$400,Mastersheet!$A$2:$A$400,$T$17)/1000)</f>
        <v/>
      </c>
      <c r="M17" s="103" t="str">
        <f aca="false">IF($T$17="","",SUMIFS(Mastersheet!$N$2:$N$400,Mastersheet!$A$2:$A$400,$T$17)/1000)</f>
        <v/>
      </c>
      <c r="N17" s="103" t="str">
        <f aca="false">IF($T$17="","",SUMIFS(Mastersheet!$O$2:$O$400,Mastersheet!$A$2:$A$400,$T$17)/1000)</f>
        <v/>
      </c>
      <c r="O17" s="92"/>
      <c r="P17" s="96"/>
      <c r="Q17" s="96"/>
      <c r="T17" s="97"/>
      <c r="U17" s="104" t="s">
        <v>415</v>
      </c>
      <c r="V17" s="104" t="s">
        <v>416</v>
      </c>
    </row>
    <row r="18" customFormat="false" ht="11.25" hidden="true" customHeight="true" outlineLevel="2" collapsed="false">
      <c r="C18" s="91" t="s">
        <v>417</v>
      </c>
      <c r="D18" s="91" t="s">
        <v>418</v>
      </c>
      <c r="E18" s="92" t="n">
        <f aca="false">SUMIFS(Mastersheet!$F$2:$F$400,Mastersheet!$D$2:$D$400,$T18,Mastersheet!$C$2:$C$400,$U18)/1000</f>
        <v>0</v>
      </c>
      <c r="F18" s="92" t="n">
        <f aca="false">SUMIFS(Mastersheet!$G$2:$G$400,Mastersheet!$D$2:$D$400,$T18,Mastersheet!$C$2:$C$400,$U18)/1000</f>
        <v>0</v>
      </c>
      <c r="G18" s="92" t="n">
        <f aca="false">SUMIFS(Mastersheet!$H$2:$H$400,Mastersheet!$D$2:$D$400,$T18,Mastersheet!$C$2:$C$400,$U18)/1000</f>
        <v>0</v>
      </c>
      <c r="H18" s="92" t="n">
        <f aca="false">SUMIFS(Mastersheet!$I$2:$I$400,Mastersheet!$D$2:$D$400,$T18,Mastersheet!$C$2:$C$400,$U18)/1000</f>
        <v>0</v>
      </c>
      <c r="I18" s="93" t="n">
        <f aca="false">SUMIFS(Mastersheet!$J$2:$J$400,Mastersheet!$D$2:$D$400,$T18,Mastersheet!$C$2:$C$400,$U18)/1000</f>
        <v>0</v>
      </c>
      <c r="J18" s="94" t="n">
        <f aca="false">SUMIFS(Mastersheet!$K$2:$K$400,Mastersheet!$D$2:$D$400,$T18,Mastersheet!$C$2:$C$400,$U18)/1000</f>
        <v>0</v>
      </c>
      <c r="K18" s="95" t="n">
        <f aca="false">SUMIFS(Mastersheet!$L$2:$L$400,Mastersheet!$D$2:$D$400,$T18,Mastersheet!$C$2:$C$400,$U18)/1000</f>
        <v>0</v>
      </c>
      <c r="L18" s="95" t="n">
        <f aca="false">SUMIFS(Mastersheet!$M$2:$M$400,Mastersheet!$D$2:$D$400,$T18,Mastersheet!$C$2:$C$400,$U18)/1000</f>
        <v>0</v>
      </c>
      <c r="M18" s="95" t="n">
        <f aca="false">SUMIFS(Mastersheet!$N$2:$N$400,Mastersheet!$D$2:$D$400,$T18,Mastersheet!$C$2:$C$400,$U18)/1000</f>
        <v>0</v>
      </c>
      <c r="N18" s="95" t="n">
        <f aca="false">SUMIFS(Mastersheet!$O$2:$O$400,Mastersheet!$D$2:$D$400,$T18,Mastersheet!$C$2:$C$400,$U18)/1000</f>
        <v>0</v>
      </c>
      <c r="O18" s="92"/>
      <c r="P18" s="96" t="str">
        <f aca="false">IFERROR(((H18/F18)^(1/(($H$1-$F$1)/365)))-1,"n/a")</f>
        <v>n/a</v>
      </c>
      <c r="Q18" s="96" t="str">
        <f aca="false">IFERROR(((N18/H18)^(1/(($N$1-$H$1)/365)))-1,"n/a")</f>
        <v>n/a</v>
      </c>
      <c r="T18" s="97" t="s">
        <v>419</v>
      </c>
      <c r="U18" s="98" t="s">
        <v>413</v>
      </c>
      <c r="V18" s="98" t="s">
        <v>414</v>
      </c>
    </row>
    <row r="19" customFormat="false" ht="11.25" hidden="true" customHeight="true" outlineLevel="3" collapsed="false">
      <c r="C19" s="99"/>
      <c r="D19" s="99"/>
      <c r="E19" s="100" t="str">
        <f aca="false">IF($T$19="","",SUMIFS(Mastersheet!$F$2:$F$400,Mastersheet!$A$2:$A$400,$T$19)/1000)</f>
        <v/>
      </c>
      <c r="F19" s="100" t="str">
        <f aca="false">IF($T$19="","",SUMIFS(Mastersheet!$G$2:$G$400,Mastersheet!$A$2:$A$400,$T$19)/1000)</f>
        <v/>
      </c>
      <c r="G19" s="100" t="str">
        <f aca="false">IF($T$19="","",SUMIFS(Mastersheet!$H$2:$H$400,Mastersheet!$A$2:$A$400,$T$19)/1000)</f>
        <v/>
      </c>
      <c r="H19" s="100" t="str">
        <f aca="false">IF($T$19="","",SUMIFS(Mastersheet!$I$2:$I$400,Mastersheet!$A$2:$A$400,$T$19)/1000)</f>
        <v/>
      </c>
      <c r="I19" s="101" t="str">
        <f aca="false">IF($T$19="","",SUMIFS(Mastersheet!$J$2:$J$400,Mastersheet!$A$2:$A$400,$T$19)/1000)</f>
        <v/>
      </c>
      <c r="J19" s="102" t="str">
        <f aca="false">IF($T$19="","",SUMIFS(Mastersheet!$K$2:$K$400,Mastersheet!$A$2:$A$400,$T$19)/1000)</f>
        <v/>
      </c>
      <c r="K19" s="103" t="str">
        <f aca="false">IF($T$19="","",SUMIFS(Mastersheet!$L$2:$L$400,Mastersheet!$A$2:$A$400,$T$19)/1000)</f>
        <v/>
      </c>
      <c r="L19" s="103" t="str">
        <f aca="false">IF($T$19="","",SUMIFS(Mastersheet!$M$2:$M$400,Mastersheet!$A$2:$A$400,$T$19)/1000)</f>
        <v/>
      </c>
      <c r="M19" s="103" t="str">
        <f aca="false">IF($T$19="","",SUMIFS(Mastersheet!$N$2:$N$400,Mastersheet!$A$2:$A$400,$T$19)/1000)</f>
        <v/>
      </c>
      <c r="N19" s="103" t="str">
        <f aca="false">IF($T$19="","",SUMIFS(Mastersheet!$O$2:$O$400,Mastersheet!$A$2:$A$400,$T$19)/1000)</f>
        <v/>
      </c>
      <c r="O19" s="92"/>
      <c r="P19" s="96"/>
      <c r="Q19" s="96"/>
      <c r="T19" s="97"/>
      <c r="U19" s="104" t="s">
        <v>415</v>
      </c>
      <c r="V19" s="104" t="s">
        <v>416</v>
      </c>
    </row>
    <row r="20" customFormat="false" ht="11.25" hidden="true" customHeight="true" outlineLevel="3" collapsed="false">
      <c r="C20" s="99"/>
      <c r="D20" s="99"/>
      <c r="E20" s="100" t="str">
        <f aca="false">IF($T$20="","",SUMIFS(Mastersheet!$F$2:$F$400,Mastersheet!$A$2:$A$400,$T$20)/1000)</f>
        <v/>
      </c>
      <c r="F20" s="100" t="str">
        <f aca="false">IF($T$20="","",SUMIFS(Mastersheet!$G$2:$G$400,Mastersheet!$A$2:$A$400,$T$20)/1000)</f>
        <v/>
      </c>
      <c r="G20" s="100" t="str">
        <f aca="false">IF($T$20="","",SUMIFS(Mastersheet!$H$2:$H$400,Mastersheet!$A$2:$A$400,$T$20)/1000)</f>
        <v/>
      </c>
      <c r="H20" s="100" t="str">
        <f aca="false">IF($T$20="","",SUMIFS(Mastersheet!$I$2:$I$400,Mastersheet!$A$2:$A$400,$T$20)/1000)</f>
        <v/>
      </c>
      <c r="I20" s="101" t="str">
        <f aca="false">IF($T$20="","",SUMIFS(Mastersheet!$J$2:$J$400,Mastersheet!$A$2:$A$400,$T$20)/1000)</f>
        <v/>
      </c>
      <c r="J20" s="102" t="str">
        <f aca="false">IF($T$20="","",SUMIFS(Mastersheet!$K$2:$K$400,Mastersheet!$A$2:$A$400,$T$20)/1000)</f>
        <v/>
      </c>
      <c r="K20" s="103" t="str">
        <f aca="false">IF($T$20="","",SUMIFS(Mastersheet!$L$2:$L$400,Mastersheet!$A$2:$A$400,$T$20)/1000)</f>
        <v/>
      </c>
      <c r="L20" s="103" t="str">
        <f aca="false">IF($T$20="","",SUMIFS(Mastersheet!$M$2:$M$400,Mastersheet!$A$2:$A$400,$T$20)/1000)</f>
        <v/>
      </c>
      <c r="M20" s="103" t="str">
        <f aca="false">IF($T$20="","",SUMIFS(Mastersheet!$N$2:$N$400,Mastersheet!$A$2:$A$400,$T$20)/1000)</f>
        <v/>
      </c>
      <c r="N20" s="103" t="str">
        <f aca="false">IF($T$20="","",SUMIFS(Mastersheet!$O$2:$O$400,Mastersheet!$A$2:$A$400,$T$20)/1000)</f>
        <v/>
      </c>
      <c r="O20" s="92"/>
      <c r="P20" s="96"/>
      <c r="Q20" s="96"/>
      <c r="T20" s="97"/>
      <c r="U20" s="104" t="s">
        <v>415</v>
      </c>
      <c r="V20" s="104" t="s">
        <v>416</v>
      </c>
    </row>
    <row r="21" customFormat="false" ht="11.25" hidden="true" customHeight="true" outlineLevel="3" collapsed="false">
      <c r="C21" s="99"/>
      <c r="D21" s="99"/>
      <c r="E21" s="100" t="str">
        <f aca="false">IF($T$21="","",SUMIFS(Mastersheet!$F$2:$F$400,Mastersheet!$A$2:$A$400,$T$21)/1000)</f>
        <v/>
      </c>
      <c r="F21" s="100" t="str">
        <f aca="false">IF($T$21="","",SUMIFS(Mastersheet!$G$2:$G$400,Mastersheet!$A$2:$A$400,$T$21)/1000)</f>
        <v/>
      </c>
      <c r="G21" s="100" t="str">
        <f aca="false">IF($T$21="","",SUMIFS(Mastersheet!$H$2:$H$400,Mastersheet!$A$2:$A$400,$T$21)/1000)</f>
        <v/>
      </c>
      <c r="H21" s="100" t="str">
        <f aca="false">IF($T$21="","",SUMIFS(Mastersheet!$I$2:$I$400,Mastersheet!$A$2:$A$400,$T$21)/1000)</f>
        <v/>
      </c>
      <c r="I21" s="101" t="str">
        <f aca="false">IF($T$21="","",SUMIFS(Mastersheet!$J$2:$J$400,Mastersheet!$A$2:$A$400,$T$21)/1000)</f>
        <v/>
      </c>
      <c r="J21" s="102" t="str">
        <f aca="false">IF($T$21="","",SUMIFS(Mastersheet!$K$2:$K$400,Mastersheet!$A$2:$A$400,$T$21)/1000)</f>
        <v/>
      </c>
      <c r="K21" s="103" t="str">
        <f aca="false">IF($T$21="","",SUMIFS(Mastersheet!$L$2:$L$400,Mastersheet!$A$2:$A$400,$T$21)/1000)</f>
        <v/>
      </c>
      <c r="L21" s="103" t="str">
        <f aca="false">IF($T$21="","",SUMIFS(Mastersheet!$M$2:$M$400,Mastersheet!$A$2:$A$400,$T$21)/1000)</f>
        <v/>
      </c>
      <c r="M21" s="103" t="str">
        <f aca="false">IF($T$21="","",SUMIFS(Mastersheet!$N$2:$N$400,Mastersheet!$A$2:$A$400,$T$21)/1000)</f>
        <v/>
      </c>
      <c r="N21" s="103" t="str">
        <f aca="false">IF($T$21="","",SUMIFS(Mastersheet!$O$2:$O$400,Mastersheet!$A$2:$A$400,$T$21)/1000)</f>
        <v/>
      </c>
      <c r="O21" s="92"/>
      <c r="P21" s="96"/>
      <c r="Q21" s="96"/>
      <c r="T21" s="97"/>
      <c r="U21" s="104" t="s">
        <v>415</v>
      </c>
      <c r="V21" s="104" t="s">
        <v>416</v>
      </c>
    </row>
    <row r="22" customFormat="false" ht="11.25" hidden="true" customHeight="true" outlineLevel="3" collapsed="false">
      <c r="C22" s="99"/>
      <c r="D22" s="99"/>
      <c r="E22" s="100" t="str">
        <f aca="false">IF($T$22="","",SUMIFS(Mastersheet!$F$2:$F$400,Mastersheet!$A$2:$A$400,$T$22)/1000)</f>
        <v/>
      </c>
      <c r="F22" s="100" t="str">
        <f aca="false">IF($T$22="","",SUMIFS(Mastersheet!$G$2:$G$400,Mastersheet!$A$2:$A$400,$T$22)/1000)</f>
        <v/>
      </c>
      <c r="G22" s="100" t="str">
        <f aca="false">IF($T$22="","",SUMIFS(Mastersheet!$H$2:$H$400,Mastersheet!$A$2:$A$400,$T$22)/1000)</f>
        <v/>
      </c>
      <c r="H22" s="100" t="str">
        <f aca="false">IF($T$22="","",SUMIFS(Mastersheet!$I$2:$I$400,Mastersheet!$A$2:$A$400,$T$22)/1000)</f>
        <v/>
      </c>
      <c r="I22" s="101" t="str">
        <f aca="false">IF($T$22="","",SUMIFS(Mastersheet!$J$2:$J$400,Mastersheet!$A$2:$A$400,$T$22)/1000)</f>
        <v/>
      </c>
      <c r="J22" s="102" t="str">
        <f aca="false">IF($T$22="","",SUMIFS(Mastersheet!$K$2:$K$400,Mastersheet!$A$2:$A$400,$T$22)/1000)</f>
        <v/>
      </c>
      <c r="K22" s="103" t="str">
        <f aca="false">IF($T$22="","",SUMIFS(Mastersheet!$L$2:$L$400,Mastersheet!$A$2:$A$400,$T$22)/1000)</f>
        <v/>
      </c>
      <c r="L22" s="103" t="str">
        <f aca="false">IF($T$22="","",SUMIFS(Mastersheet!$M$2:$M$400,Mastersheet!$A$2:$A$400,$T$22)/1000)</f>
        <v/>
      </c>
      <c r="M22" s="103" t="str">
        <f aca="false">IF($T$22="","",SUMIFS(Mastersheet!$N$2:$N$400,Mastersheet!$A$2:$A$400,$T$22)/1000)</f>
        <v/>
      </c>
      <c r="N22" s="103" t="str">
        <f aca="false">IF($T$22="","",SUMIFS(Mastersheet!$O$2:$O$400,Mastersheet!$A$2:$A$400,$T$22)/1000)</f>
        <v/>
      </c>
      <c r="O22" s="92"/>
      <c r="P22" s="96"/>
      <c r="Q22" s="96"/>
      <c r="T22" s="97"/>
      <c r="U22" s="104" t="s">
        <v>415</v>
      </c>
      <c r="V22" s="104" t="s">
        <v>416</v>
      </c>
    </row>
    <row r="23" customFormat="false" ht="11.25" hidden="true" customHeight="true" outlineLevel="3" collapsed="false">
      <c r="C23" s="99"/>
      <c r="D23" s="99"/>
      <c r="E23" s="100" t="str">
        <f aca="false">IF($T$23="","",SUMIFS(Mastersheet!$F$2:$F$400,Mastersheet!$A$2:$A$400,$T$23)/1000)</f>
        <v/>
      </c>
      <c r="F23" s="100" t="str">
        <f aca="false">IF($T$23="","",SUMIFS(Mastersheet!$G$2:$G$400,Mastersheet!$A$2:$A$400,$T$23)/1000)</f>
        <v/>
      </c>
      <c r="G23" s="100" t="str">
        <f aca="false">IF($T$23="","",SUMIFS(Mastersheet!$H$2:$H$400,Mastersheet!$A$2:$A$400,$T$23)/1000)</f>
        <v/>
      </c>
      <c r="H23" s="100" t="str">
        <f aca="false">IF($T$23="","",SUMIFS(Mastersheet!$I$2:$I$400,Mastersheet!$A$2:$A$400,$T$23)/1000)</f>
        <v/>
      </c>
      <c r="I23" s="101" t="str">
        <f aca="false">IF($T$23="","",SUMIFS(Mastersheet!$J$2:$J$400,Mastersheet!$A$2:$A$400,$T$23)/1000)</f>
        <v/>
      </c>
      <c r="J23" s="102" t="str">
        <f aca="false">IF($T$23="","",SUMIFS(Mastersheet!$K$2:$K$400,Mastersheet!$A$2:$A$400,$T$23)/1000)</f>
        <v/>
      </c>
      <c r="K23" s="103" t="str">
        <f aca="false">IF($T$23="","",SUMIFS(Mastersheet!$L$2:$L$400,Mastersheet!$A$2:$A$400,$T$23)/1000)</f>
        <v/>
      </c>
      <c r="L23" s="103" t="str">
        <f aca="false">IF($T$23="","",SUMIFS(Mastersheet!$M$2:$M$400,Mastersheet!$A$2:$A$400,$T$23)/1000)</f>
        <v/>
      </c>
      <c r="M23" s="103" t="str">
        <f aca="false">IF($T$23="","",SUMIFS(Mastersheet!$N$2:$N$400,Mastersheet!$A$2:$A$400,$T$23)/1000)</f>
        <v/>
      </c>
      <c r="N23" s="103" t="str">
        <f aca="false">IF($T$23="","",SUMIFS(Mastersheet!$O$2:$O$400,Mastersheet!$A$2:$A$400,$T$23)/1000)</f>
        <v/>
      </c>
      <c r="O23" s="92"/>
      <c r="P23" s="96"/>
      <c r="Q23" s="96"/>
      <c r="T23" s="97"/>
      <c r="U23" s="104" t="s">
        <v>415</v>
      </c>
      <c r="V23" s="104" t="s">
        <v>416</v>
      </c>
    </row>
    <row r="24" customFormat="false" ht="11.25" hidden="true" customHeight="true" outlineLevel="3" collapsed="false">
      <c r="C24" s="99"/>
      <c r="D24" s="99"/>
      <c r="E24" s="100" t="str">
        <f aca="false">IF($T$24="","",SUMIFS(Mastersheet!$F$2:$F$400,Mastersheet!$A$2:$A$400,$T$24)/1000)</f>
        <v/>
      </c>
      <c r="F24" s="100" t="str">
        <f aca="false">IF($T$24="","",SUMIFS(Mastersheet!$G$2:$G$400,Mastersheet!$A$2:$A$400,$T$24)/1000)</f>
        <v/>
      </c>
      <c r="G24" s="100" t="str">
        <f aca="false">IF($T$24="","",SUMIFS(Mastersheet!$H$2:$H$400,Mastersheet!$A$2:$A$400,$T$24)/1000)</f>
        <v/>
      </c>
      <c r="H24" s="100" t="str">
        <f aca="false">IF($T$24="","",SUMIFS(Mastersheet!$I$2:$I$400,Mastersheet!$A$2:$A$400,$T$24)/1000)</f>
        <v/>
      </c>
      <c r="I24" s="101" t="str">
        <f aca="false">IF($T$24="","",SUMIFS(Mastersheet!$J$2:$J$400,Mastersheet!$A$2:$A$400,$T$24)/1000)</f>
        <v/>
      </c>
      <c r="J24" s="102" t="str">
        <f aca="false">IF($T$24="","",SUMIFS(Mastersheet!$K$2:$K$400,Mastersheet!$A$2:$A$400,$T$24)/1000)</f>
        <v/>
      </c>
      <c r="K24" s="103" t="str">
        <f aca="false">IF($T$24="","",SUMIFS(Mastersheet!$L$2:$L$400,Mastersheet!$A$2:$A$400,$T$24)/1000)</f>
        <v/>
      </c>
      <c r="L24" s="103" t="str">
        <f aca="false">IF($T$24="","",SUMIFS(Mastersheet!$M$2:$M$400,Mastersheet!$A$2:$A$400,$T$24)/1000)</f>
        <v/>
      </c>
      <c r="M24" s="103" t="str">
        <f aca="false">IF($T$24="","",SUMIFS(Mastersheet!$N$2:$N$400,Mastersheet!$A$2:$A$400,$T$24)/1000)</f>
        <v/>
      </c>
      <c r="N24" s="103" t="str">
        <f aca="false">IF($T$24="","",SUMIFS(Mastersheet!$O$2:$O$400,Mastersheet!$A$2:$A$400,$T$24)/1000)</f>
        <v/>
      </c>
      <c r="O24" s="92"/>
      <c r="P24" s="96"/>
      <c r="Q24" s="96"/>
      <c r="T24" s="97"/>
      <c r="U24" s="104" t="s">
        <v>415</v>
      </c>
      <c r="V24" s="104" t="s">
        <v>416</v>
      </c>
    </row>
    <row r="25" customFormat="false" ht="11.25" hidden="true" customHeight="true" outlineLevel="3" collapsed="false">
      <c r="C25" s="99"/>
      <c r="D25" s="99"/>
      <c r="E25" s="100" t="str">
        <f aca="false">IF($T$25="","",SUMIFS(Mastersheet!$F$2:$F$400,Mastersheet!$A$2:$A$400,$T$25)/1000)</f>
        <v/>
      </c>
      <c r="F25" s="100" t="str">
        <f aca="false">IF($T$25="","",SUMIFS(Mastersheet!$G$2:$G$400,Mastersheet!$A$2:$A$400,$T$25)/1000)</f>
        <v/>
      </c>
      <c r="G25" s="100" t="str">
        <f aca="false">IF($T$25="","",SUMIFS(Mastersheet!$H$2:$H$400,Mastersheet!$A$2:$A$400,$T$25)/1000)</f>
        <v/>
      </c>
      <c r="H25" s="100" t="str">
        <f aca="false">IF($T$25="","",SUMIFS(Mastersheet!$I$2:$I$400,Mastersheet!$A$2:$A$400,$T$25)/1000)</f>
        <v/>
      </c>
      <c r="I25" s="101" t="str">
        <f aca="false">IF($T$25="","",SUMIFS(Mastersheet!$J$2:$J$400,Mastersheet!$A$2:$A$400,$T$25)/1000)</f>
        <v/>
      </c>
      <c r="J25" s="102" t="str">
        <f aca="false">IF($T$25="","",SUMIFS(Mastersheet!$K$2:$K$400,Mastersheet!$A$2:$A$400,$T$25)/1000)</f>
        <v/>
      </c>
      <c r="K25" s="103" t="str">
        <f aca="false">IF($T$25="","",SUMIFS(Mastersheet!$L$2:$L$400,Mastersheet!$A$2:$A$400,$T$25)/1000)</f>
        <v/>
      </c>
      <c r="L25" s="103" t="str">
        <f aca="false">IF($T$25="","",SUMIFS(Mastersheet!$M$2:$M$400,Mastersheet!$A$2:$A$400,$T$25)/1000)</f>
        <v/>
      </c>
      <c r="M25" s="103" t="str">
        <f aca="false">IF($T$25="","",SUMIFS(Mastersheet!$N$2:$N$400,Mastersheet!$A$2:$A$400,$T$25)/1000)</f>
        <v/>
      </c>
      <c r="N25" s="103" t="str">
        <f aca="false">IF($T$25="","",SUMIFS(Mastersheet!$O$2:$O$400,Mastersheet!$A$2:$A$400,$T$25)/1000)</f>
        <v/>
      </c>
      <c r="O25" s="92"/>
      <c r="P25" s="96"/>
      <c r="Q25" s="96"/>
      <c r="T25" s="97"/>
      <c r="U25" s="104" t="s">
        <v>415</v>
      </c>
      <c r="V25" s="104" t="s">
        <v>416</v>
      </c>
    </row>
    <row r="26" customFormat="false" ht="11.25" hidden="true" customHeight="true" outlineLevel="3" collapsed="false">
      <c r="C26" s="99"/>
      <c r="D26" s="99"/>
      <c r="E26" s="100" t="str">
        <f aca="false">IF($T$26="","",SUMIFS(Mastersheet!$F$2:$F$400,Mastersheet!$A$2:$A$400,$T$26)/1000)</f>
        <v/>
      </c>
      <c r="F26" s="100" t="str">
        <f aca="false">IF($T$26="","",SUMIFS(Mastersheet!$G$2:$G$400,Mastersheet!$A$2:$A$400,$T$26)/1000)</f>
        <v/>
      </c>
      <c r="G26" s="100" t="str">
        <f aca="false">IF($T$26="","",SUMIFS(Mastersheet!$H$2:$H$400,Mastersheet!$A$2:$A$400,$T$26)/1000)</f>
        <v/>
      </c>
      <c r="H26" s="100" t="str">
        <f aca="false">IF($T$26="","",SUMIFS(Mastersheet!$I$2:$I$400,Mastersheet!$A$2:$A$400,$T$26)/1000)</f>
        <v/>
      </c>
      <c r="I26" s="101" t="str">
        <f aca="false">IF($T$26="","",SUMIFS(Mastersheet!$J$2:$J$400,Mastersheet!$A$2:$A$400,$T$26)/1000)</f>
        <v/>
      </c>
      <c r="J26" s="102" t="str">
        <f aca="false">IF($T$26="","",SUMIFS(Mastersheet!$K$2:$K$400,Mastersheet!$A$2:$A$400,$T$26)/1000)</f>
        <v/>
      </c>
      <c r="K26" s="103" t="str">
        <f aca="false">IF($T$26="","",SUMIFS(Mastersheet!$L$2:$L$400,Mastersheet!$A$2:$A$400,$T$26)/1000)</f>
        <v/>
      </c>
      <c r="L26" s="103" t="str">
        <f aca="false">IF($T$26="","",SUMIFS(Mastersheet!$M$2:$M$400,Mastersheet!$A$2:$A$400,$T$26)/1000)</f>
        <v/>
      </c>
      <c r="M26" s="103" t="str">
        <f aca="false">IF($T$26="","",SUMIFS(Mastersheet!$N$2:$N$400,Mastersheet!$A$2:$A$400,$T$26)/1000)</f>
        <v/>
      </c>
      <c r="N26" s="103" t="str">
        <f aca="false">IF($T$26="","",SUMIFS(Mastersheet!$O$2:$O$400,Mastersheet!$A$2:$A$400,$T$26)/1000)</f>
        <v/>
      </c>
      <c r="O26" s="92"/>
      <c r="P26" s="96"/>
      <c r="Q26" s="96"/>
      <c r="T26" s="97"/>
      <c r="U26" s="104" t="s">
        <v>415</v>
      </c>
      <c r="V26" s="104" t="s">
        <v>416</v>
      </c>
    </row>
    <row r="27" customFormat="false" ht="11.25" hidden="true" customHeight="true" outlineLevel="2" collapsed="false">
      <c r="C27" s="91" t="s">
        <v>420</v>
      </c>
      <c r="D27" s="91" t="s">
        <v>421</v>
      </c>
      <c r="E27" s="92" t="n">
        <f aca="false">SUMIFS(Mastersheet!$F$2:$F$400,Mastersheet!$D$2:$D$400,$T27,Mastersheet!$C$2:$C$400,$U27)/1000</f>
        <v>0</v>
      </c>
      <c r="F27" s="92" t="n">
        <f aca="false">SUMIFS(Mastersheet!$G$2:$G$400,Mastersheet!$D$2:$D$400,$T27,Mastersheet!$C$2:$C$400,$U27)/1000</f>
        <v>0</v>
      </c>
      <c r="G27" s="92" t="n">
        <f aca="false">SUMIFS(Mastersheet!$H$2:$H$400,Mastersheet!$D$2:$D$400,$T27,Mastersheet!$C$2:$C$400,$U27)/1000</f>
        <v>0</v>
      </c>
      <c r="H27" s="92" t="n">
        <f aca="false">SUMIFS(Mastersheet!$I$2:$I$400,Mastersheet!$D$2:$D$400,$T27,Mastersheet!$C$2:$C$400,$U27)/1000</f>
        <v>0</v>
      </c>
      <c r="I27" s="93" t="n">
        <f aca="false">SUMIFS(Mastersheet!$J$2:$J$400,Mastersheet!$D$2:$D$400,$T27,Mastersheet!$C$2:$C$400,$U27)/1000</f>
        <v>0</v>
      </c>
      <c r="J27" s="94" t="n">
        <f aca="false">SUMIFS(Mastersheet!$K$2:$K$400,Mastersheet!$D$2:$D$400,$T27,Mastersheet!$C$2:$C$400,$U27)/1000</f>
        <v>0</v>
      </c>
      <c r="K27" s="95" t="n">
        <f aca="false">SUMIFS(Mastersheet!$L$2:$L$400,Mastersheet!$D$2:$D$400,$T27,Mastersheet!$C$2:$C$400,$U27)/1000</f>
        <v>0</v>
      </c>
      <c r="L27" s="95" t="n">
        <f aca="false">SUMIFS(Mastersheet!$M$2:$M$400,Mastersheet!$D$2:$D$400,$T27,Mastersheet!$C$2:$C$400,$U27)/1000</f>
        <v>0</v>
      </c>
      <c r="M27" s="95" t="n">
        <f aca="false">SUMIFS(Mastersheet!$N$2:$N$400,Mastersheet!$D$2:$D$400,$T27,Mastersheet!$C$2:$C$400,$U27)/1000</f>
        <v>0</v>
      </c>
      <c r="N27" s="95" t="n">
        <f aca="false">SUMIFS(Mastersheet!$O$2:$O$400,Mastersheet!$D$2:$D$400,$T27,Mastersheet!$C$2:$C$400,$U27)/1000</f>
        <v>0</v>
      </c>
      <c r="O27" s="92"/>
      <c r="P27" s="96" t="str">
        <f aca="false">IFERROR(((H27/F27)^(1/(($H$1-$F$1)/365)))-1,"n/a")</f>
        <v>n/a</v>
      </c>
      <c r="Q27" s="96" t="str">
        <f aca="false">IFERROR(((N27/H27)^(1/(($N$1-$H$1)/365)))-1,"n/a")</f>
        <v>n/a</v>
      </c>
      <c r="T27" s="97" t="s">
        <v>420</v>
      </c>
      <c r="U27" s="98" t="s">
        <v>413</v>
      </c>
      <c r="V27" s="98" t="s">
        <v>414</v>
      </c>
    </row>
    <row r="28" customFormat="false" ht="11.25" hidden="true" customHeight="true" outlineLevel="3" collapsed="false">
      <c r="C28" s="99"/>
      <c r="D28" s="99"/>
      <c r="E28" s="100" t="str">
        <f aca="false">IF($T$28="","",SUMIFS(Mastersheet!$F$2:$F$400,Mastersheet!$A$2:$A$400,$T$28)/1000)</f>
        <v/>
      </c>
      <c r="F28" s="100" t="str">
        <f aca="false">IF($T$28="","",SUMIFS(Mastersheet!$G$2:$G$400,Mastersheet!$A$2:$A$400,$T$28)/1000)</f>
        <v/>
      </c>
      <c r="G28" s="100" t="str">
        <f aca="false">IF($T$28="","",SUMIFS(Mastersheet!$H$2:$H$400,Mastersheet!$A$2:$A$400,$T$28)/1000)</f>
        <v/>
      </c>
      <c r="H28" s="100" t="str">
        <f aca="false">IF($T$28="","",SUMIFS(Mastersheet!$I$2:$I$400,Mastersheet!$A$2:$A$400,$T$28)/1000)</f>
        <v/>
      </c>
      <c r="I28" s="101" t="str">
        <f aca="false">IF($T$28="","",SUMIFS(Mastersheet!$J$2:$J$400,Mastersheet!$A$2:$A$400,$T$28)/1000)</f>
        <v/>
      </c>
      <c r="J28" s="102" t="str">
        <f aca="false">IF($T$28="","",SUMIFS(Mastersheet!$K$2:$K$400,Mastersheet!$A$2:$A$400,$T$28)/1000)</f>
        <v/>
      </c>
      <c r="K28" s="103" t="str">
        <f aca="false">IF($T$28="","",SUMIFS(Mastersheet!$L$2:$L$400,Mastersheet!$A$2:$A$400,$T$28)/1000)</f>
        <v/>
      </c>
      <c r="L28" s="103" t="str">
        <f aca="false">IF($T$28="","",SUMIFS(Mastersheet!$M$2:$M$400,Mastersheet!$A$2:$A$400,$T$28)/1000)</f>
        <v/>
      </c>
      <c r="M28" s="103" t="str">
        <f aca="false">IF($T$28="","",SUMIFS(Mastersheet!$N$2:$N$400,Mastersheet!$A$2:$A$400,$T$28)/1000)</f>
        <v/>
      </c>
      <c r="N28" s="103" t="str">
        <f aca="false">IF($T$28="","",SUMIFS(Mastersheet!$O$2:$O$400,Mastersheet!$A$2:$A$400,$T$28)/1000)</f>
        <v/>
      </c>
      <c r="O28" s="92"/>
      <c r="P28" s="96"/>
      <c r="Q28" s="96"/>
      <c r="T28" s="97"/>
      <c r="U28" s="104" t="s">
        <v>415</v>
      </c>
      <c r="V28" s="104" t="s">
        <v>416</v>
      </c>
    </row>
    <row r="29" customFormat="false" ht="11.25" hidden="true" customHeight="true" outlineLevel="3" collapsed="false">
      <c r="C29" s="99"/>
      <c r="D29" s="99"/>
      <c r="E29" s="100" t="str">
        <f aca="false">IF($T$29="","",SUMIFS(Mastersheet!$F$2:$F$400,Mastersheet!$A$2:$A$400,$T$29)/1000)</f>
        <v/>
      </c>
      <c r="F29" s="100" t="str">
        <f aca="false">IF($T$29="","",SUMIFS(Mastersheet!$G$2:$G$400,Mastersheet!$A$2:$A$400,$T$29)/1000)</f>
        <v/>
      </c>
      <c r="G29" s="100" t="str">
        <f aca="false">IF($T$29="","",SUMIFS(Mastersheet!$H$2:$H$400,Mastersheet!$A$2:$A$400,$T$29)/1000)</f>
        <v/>
      </c>
      <c r="H29" s="100" t="str">
        <f aca="false">IF($T$29="","",SUMIFS(Mastersheet!$I$2:$I$400,Mastersheet!$A$2:$A$400,$T$29)/1000)</f>
        <v/>
      </c>
      <c r="I29" s="101" t="str">
        <f aca="false">IF($T$29="","",SUMIFS(Mastersheet!$J$2:$J$400,Mastersheet!$A$2:$A$400,$T$29)/1000)</f>
        <v/>
      </c>
      <c r="J29" s="102" t="str">
        <f aca="false">IF($T$29="","",SUMIFS(Mastersheet!$K$2:$K$400,Mastersheet!$A$2:$A$400,$T$29)/1000)</f>
        <v/>
      </c>
      <c r="K29" s="103" t="str">
        <f aca="false">IF($T$29="","",SUMIFS(Mastersheet!$L$2:$L$400,Mastersheet!$A$2:$A$400,$T$29)/1000)</f>
        <v/>
      </c>
      <c r="L29" s="103" t="str">
        <f aca="false">IF($T$29="","",SUMIFS(Mastersheet!$M$2:$M$400,Mastersheet!$A$2:$A$400,$T$29)/1000)</f>
        <v/>
      </c>
      <c r="M29" s="103" t="str">
        <f aca="false">IF($T$29="","",SUMIFS(Mastersheet!$N$2:$N$400,Mastersheet!$A$2:$A$400,$T$29)/1000)</f>
        <v/>
      </c>
      <c r="N29" s="103" t="str">
        <f aca="false">IF($T$29="","",SUMIFS(Mastersheet!$O$2:$O$400,Mastersheet!$A$2:$A$400,$T$29)/1000)</f>
        <v/>
      </c>
      <c r="O29" s="92"/>
      <c r="P29" s="96"/>
      <c r="Q29" s="96"/>
      <c r="T29" s="97"/>
      <c r="U29" s="104" t="s">
        <v>415</v>
      </c>
      <c r="V29" s="104" t="s">
        <v>416</v>
      </c>
    </row>
    <row r="30" customFormat="false" ht="11.25" hidden="true" customHeight="true" outlineLevel="3" collapsed="false">
      <c r="C30" s="99"/>
      <c r="D30" s="99"/>
      <c r="E30" s="100" t="str">
        <f aca="false">IF($T$30="","",SUMIFS(Mastersheet!$F$2:$F$400,Mastersheet!$A$2:$A$400,$T$30)/1000)</f>
        <v/>
      </c>
      <c r="F30" s="100" t="str">
        <f aca="false">IF($T$30="","",SUMIFS(Mastersheet!$G$2:$G$400,Mastersheet!$A$2:$A$400,$T$30)/1000)</f>
        <v/>
      </c>
      <c r="G30" s="100" t="str">
        <f aca="false">IF($T$30="","",SUMIFS(Mastersheet!$H$2:$H$400,Mastersheet!$A$2:$A$400,$T$30)/1000)</f>
        <v/>
      </c>
      <c r="H30" s="100" t="str">
        <f aca="false">IF($T$30="","",SUMIFS(Mastersheet!$I$2:$I$400,Mastersheet!$A$2:$A$400,$T$30)/1000)</f>
        <v/>
      </c>
      <c r="I30" s="101" t="str">
        <f aca="false">IF($T$30="","",SUMIFS(Mastersheet!$J$2:$J$400,Mastersheet!$A$2:$A$400,$T$30)/1000)</f>
        <v/>
      </c>
      <c r="J30" s="102" t="str">
        <f aca="false">IF($T$30="","",SUMIFS(Mastersheet!$K$2:$K$400,Mastersheet!$A$2:$A$400,$T$30)/1000)</f>
        <v/>
      </c>
      <c r="K30" s="103" t="str">
        <f aca="false">IF($T$30="","",SUMIFS(Mastersheet!$L$2:$L$400,Mastersheet!$A$2:$A$400,$T$30)/1000)</f>
        <v/>
      </c>
      <c r="L30" s="103" t="str">
        <f aca="false">IF($T$30="","",SUMIFS(Mastersheet!$M$2:$M$400,Mastersheet!$A$2:$A$400,$T$30)/1000)</f>
        <v/>
      </c>
      <c r="M30" s="103" t="str">
        <f aca="false">IF($T$30="","",SUMIFS(Mastersheet!$N$2:$N$400,Mastersheet!$A$2:$A$400,$T$30)/1000)</f>
        <v/>
      </c>
      <c r="N30" s="103" t="str">
        <f aca="false">IF($T$30="","",SUMIFS(Mastersheet!$O$2:$O$400,Mastersheet!$A$2:$A$400,$T$30)/1000)</f>
        <v/>
      </c>
      <c r="O30" s="92"/>
      <c r="P30" s="96"/>
      <c r="Q30" s="96"/>
      <c r="T30" s="97"/>
      <c r="U30" s="104" t="s">
        <v>415</v>
      </c>
      <c r="V30" s="104" t="s">
        <v>416</v>
      </c>
    </row>
    <row r="31" customFormat="false" ht="11.25" hidden="true" customHeight="true" outlineLevel="3" collapsed="false">
      <c r="C31" s="99"/>
      <c r="D31" s="99"/>
      <c r="E31" s="100" t="str">
        <f aca="false">IF($T$31="","",SUMIFS(Mastersheet!$F$2:$F$400,Mastersheet!$A$2:$A$400,$T$31)/1000)</f>
        <v/>
      </c>
      <c r="F31" s="100" t="str">
        <f aca="false">IF($T$31="","",SUMIFS(Mastersheet!$G$2:$G$400,Mastersheet!$A$2:$A$400,$T$31)/1000)</f>
        <v/>
      </c>
      <c r="G31" s="100" t="str">
        <f aca="false">IF($T$31="","",SUMIFS(Mastersheet!$H$2:$H$400,Mastersheet!$A$2:$A$400,$T$31)/1000)</f>
        <v/>
      </c>
      <c r="H31" s="100" t="str">
        <f aca="false">IF($T$31="","",SUMIFS(Mastersheet!$I$2:$I$400,Mastersheet!$A$2:$A$400,$T$31)/1000)</f>
        <v/>
      </c>
      <c r="I31" s="101" t="str">
        <f aca="false">IF($T$31="","",SUMIFS(Mastersheet!$J$2:$J$400,Mastersheet!$A$2:$A$400,$T$31)/1000)</f>
        <v/>
      </c>
      <c r="J31" s="102" t="str">
        <f aca="false">IF($T$31="","",SUMIFS(Mastersheet!$K$2:$K$400,Mastersheet!$A$2:$A$400,$T$31)/1000)</f>
        <v/>
      </c>
      <c r="K31" s="103" t="str">
        <f aca="false">IF($T$31="","",SUMIFS(Mastersheet!$L$2:$L$400,Mastersheet!$A$2:$A$400,$T$31)/1000)</f>
        <v/>
      </c>
      <c r="L31" s="103" t="str">
        <f aca="false">IF($T$31="","",SUMIFS(Mastersheet!$M$2:$M$400,Mastersheet!$A$2:$A$400,$T$31)/1000)</f>
        <v/>
      </c>
      <c r="M31" s="103" t="str">
        <f aca="false">IF($T$31="","",SUMIFS(Mastersheet!$N$2:$N$400,Mastersheet!$A$2:$A$400,$T$31)/1000)</f>
        <v/>
      </c>
      <c r="N31" s="103" t="str">
        <f aca="false">IF($T$31="","",SUMIFS(Mastersheet!$O$2:$O$400,Mastersheet!$A$2:$A$400,$T$31)/1000)</f>
        <v/>
      </c>
      <c r="O31" s="92"/>
      <c r="P31" s="96"/>
      <c r="Q31" s="96"/>
      <c r="T31" s="97"/>
      <c r="U31" s="104" t="s">
        <v>415</v>
      </c>
      <c r="V31" s="104" t="s">
        <v>416</v>
      </c>
    </row>
    <row r="32" customFormat="false" ht="11.25" hidden="true" customHeight="true" outlineLevel="3" collapsed="false">
      <c r="C32" s="99"/>
      <c r="D32" s="99"/>
      <c r="E32" s="100" t="str">
        <f aca="false">IF($T$32="","",SUMIFS(Mastersheet!$F$2:$F$400,Mastersheet!$A$2:$A$400,$T$32)/1000)</f>
        <v/>
      </c>
      <c r="F32" s="100" t="str">
        <f aca="false">IF($T$32="","",SUMIFS(Mastersheet!$G$2:$G$400,Mastersheet!$A$2:$A$400,$T$32)/1000)</f>
        <v/>
      </c>
      <c r="G32" s="100" t="str">
        <f aca="false">IF($T$32="","",SUMIFS(Mastersheet!$H$2:$H$400,Mastersheet!$A$2:$A$400,$T$32)/1000)</f>
        <v/>
      </c>
      <c r="H32" s="100" t="str">
        <f aca="false">IF($T$32="","",SUMIFS(Mastersheet!$I$2:$I$400,Mastersheet!$A$2:$A$400,$T$32)/1000)</f>
        <v/>
      </c>
      <c r="I32" s="101" t="str">
        <f aca="false">IF($T$32="","",SUMIFS(Mastersheet!$J$2:$J$400,Mastersheet!$A$2:$A$400,$T$32)/1000)</f>
        <v/>
      </c>
      <c r="J32" s="102" t="str">
        <f aca="false">IF($T$32="","",SUMIFS(Mastersheet!$K$2:$K$400,Mastersheet!$A$2:$A$400,$T$32)/1000)</f>
        <v/>
      </c>
      <c r="K32" s="103" t="str">
        <f aca="false">IF($T$32="","",SUMIFS(Mastersheet!$L$2:$L$400,Mastersheet!$A$2:$A$400,$T$32)/1000)</f>
        <v/>
      </c>
      <c r="L32" s="103" t="str">
        <f aca="false">IF($T$32="","",SUMIFS(Mastersheet!$M$2:$M$400,Mastersheet!$A$2:$A$400,$T$32)/1000)</f>
        <v/>
      </c>
      <c r="M32" s="103" t="str">
        <f aca="false">IF($T$32="","",SUMIFS(Mastersheet!$N$2:$N$400,Mastersheet!$A$2:$A$400,$T$32)/1000)</f>
        <v/>
      </c>
      <c r="N32" s="103" t="str">
        <f aca="false">IF($T$32="","",SUMIFS(Mastersheet!$O$2:$O$400,Mastersheet!$A$2:$A$400,$T$32)/1000)</f>
        <v/>
      </c>
      <c r="O32" s="92"/>
      <c r="P32" s="96"/>
      <c r="Q32" s="96"/>
      <c r="T32" s="97"/>
      <c r="U32" s="104" t="s">
        <v>415</v>
      </c>
      <c r="V32" s="104" t="s">
        <v>416</v>
      </c>
    </row>
    <row r="33" customFormat="false" ht="11.25" hidden="true" customHeight="true" outlineLevel="3" collapsed="false">
      <c r="C33" s="99"/>
      <c r="D33" s="99"/>
      <c r="E33" s="100" t="str">
        <f aca="false">IF($T$33="","",SUMIFS(Mastersheet!$F$2:$F$400,Mastersheet!$A$2:$A$400,$T$33)/1000)</f>
        <v/>
      </c>
      <c r="F33" s="100" t="str">
        <f aca="false">IF($T$33="","",SUMIFS(Mastersheet!$G$2:$G$400,Mastersheet!$A$2:$A$400,$T$33)/1000)</f>
        <v/>
      </c>
      <c r="G33" s="100" t="str">
        <f aca="false">IF($T$33="","",SUMIFS(Mastersheet!$H$2:$H$400,Mastersheet!$A$2:$A$400,$T$33)/1000)</f>
        <v/>
      </c>
      <c r="H33" s="100" t="str">
        <f aca="false">IF($T$33="","",SUMIFS(Mastersheet!$I$2:$I$400,Mastersheet!$A$2:$A$400,$T$33)/1000)</f>
        <v/>
      </c>
      <c r="I33" s="101" t="str">
        <f aca="false">IF($T$33="","",SUMIFS(Mastersheet!$J$2:$J$400,Mastersheet!$A$2:$A$400,$T$33)/1000)</f>
        <v/>
      </c>
      <c r="J33" s="102" t="str">
        <f aca="false">IF($T$33="","",SUMIFS(Mastersheet!$K$2:$K$400,Mastersheet!$A$2:$A$400,$T$33)/1000)</f>
        <v/>
      </c>
      <c r="K33" s="103" t="str">
        <f aca="false">IF($T$33="","",SUMIFS(Mastersheet!$L$2:$L$400,Mastersheet!$A$2:$A$400,$T$33)/1000)</f>
        <v/>
      </c>
      <c r="L33" s="103" t="str">
        <f aca="false">IF($T$33="","",SUMIFS(Mastersheet!$M$2:$M$400,Mastersheet!$A$2:$A$400,$T$33)/1000)</f>
        <v/>
      </c>
      <c r="M33" s="103" t="str">
        <f aca="false">IF($T$33="","",SUMIFS(Mastersheet!$N$2:$N$400,Mastersheet!$A$2:$A$400,$T$33)/1000)</f>
        <v/>
      </c>
      <c r="N33" s="103" t="str">
        <f aca="false">IF($T$33="","",SUMIFS(Mastersheet!$O$2:$O$400,Mastersheet!$A$2:$A$400,$T$33)/1000)</f>
        <v/>
      </c>
      <c r="O33" s="92"/>
      <c r="P33" s="96"/>
      <c r="Q33" s="96"/>
      <c r="T33" s="97"/>
      <c r="U33" s="104" t="s">
        <v>415</v>
      </c>
      <c r="V33" s="104" t="s">
        <v>416</v>
      </c>
    </row>
    <row r="34" customFormat="false" ht="11.25" hidden="true" customHeight="true" outlineLevel="3" collapsed="false">
      <c r="C34" s="99"/>
      <c r="D34" s="99"/>
      <c r="E34" s="100" t="str">
        <f aca="false">IF($T$34="","",SUMIFS(Mastersheet!$F$2:$F$400,Mastersheet!$A$2:$A$400,$T$34)/1000)</f>
        <v/>
      </c>
      <c r="F34" s="100" t="str">
        <f aca="false">IF($T$34="","",SUMIFS(Mastersheet!$G$2:$G$400,Mastersheet!$A$2:$A$400,$T$34)/1000)</f>
        <v/>
      </c>
      <c r="G34" s="100" t="str">
        <f aca="false">IF($T$34="","",SUMIFS(Mastersheet!$H$2:$H$400,Mastersheet!$A$2:$A$400,$T$34)/1000)</f>
        <v/>
      </c>
      <c r="H34" s="100" t="str">
        <f aca="false">IF($T$34="","",SUMIFS(Mastersheet!$I$2:$I$400,Mastersheet!$A$2:$A$400,$T$34)/1000)</f>
        <v/>
      </c>
      <c r="I34" s="101" t="str">
        <f aca="false">IF($T$34="","",SUMIFS(Mastersheet!$J$2:$J$400,Mastersheet!$A$2:$A$400,$T$34)/1000)</f>
        <v/>
      </c>
      <c r="J34" s="102" t="str">
        <f aca="false">IF($T$34="","",SUMIFS(Mastersheet!$K$2:$K$400,Mastersheet!$A$2:$A$400,$T$34)/1000)</f>
        <v/>
      </c>
      <c r="K34" s="103" t="str">
        <f aca="false">IF($T$34="","",SUMIFS(Mastersheet!$L$2:$L$400,Mastersheet!$A$2:$A$400,$T$34)/1000)</f>
        <v/>
      </c>
      <c r="L34" s="103" t="str">
        <f aca="false">IF($T$34="","",SUMIFS(Mastersheet!$M$2:$M$400,Mastersheet!$A$2:$A$400,$T$34)/1000)</f>
        <v/>
      </c>
      <c r="M34" s="103" t="str">
        <f aca="false">IF($T$34="","",SUMIFS(Mastersheet!$N$2:$N$400,Mastersheet!$A$2:$A$400,$T$34)/1000)</f>
        <v/>
      </c>
      <c r="N34" s="103" t="str">
        <f aca="false">IF($T$34="","",SUMIFS(Mastersheet!$O$2:$O$400,Mastersheet!$A$2:$A$400,$T$34)/1000)</f>
        <v/>
      </c>
      <c r="O34" s="92"/>
      <c r="P34" s="96"/>
      <c r="Q34" s="96"/>
      <c r="T34" s="97"/>
      <c r="U34" s="104" t="s">
        <v>415</v>
      </c>
      <c r="V34" s="104" t="s">
        <v>416</v>
      </c>
    </row>
    <row r="35" customFormat="false" ht="11.25" hidden="true" customHeight="true" outlineLevel="3" collapsed="false">
      <c r="C35" s="99"/>
      <c r="D35" s="99"/>
      <c r="E35" s="100" t="str">
        <f aca="false">IF($T$35="","",SUMIFS(Mastersheet!$F$2:$F$400,Mastersheet!$A$2:$A$400,$T$35)/1000)</f>
        <v/>
      </c>
      <c r="F35" s="100" t="str">
        <f aca="false">IF($T$35="","",SUMIFS(Mastersheet!$G$2:$G$400,Mastersheet!$A$2:$A$400,$T$35)/1000)</f>
        <v/>
      </c>
      <c r="G35" s="100" t="str">
        <f aca="false">IF($T$35="","",SUMIFS(Mastersheet!$H$2:$H$400,Mastersheet!$A$2:$A$400,$T$35)/1000)</f>
        <v/>
      </c>
      <c r="H35" s="100" t="str">
        <f aca="false">IF($T$35="","",SUMIFS(Mastersheet!$I$2:$I$400,Mastersheet!$A$2:$A$400,$T$35)/1000)</f>
        <v/>
      </c>
      <c r="I35" s="101" t="str">
        <f aca="false">IF($T$35="","",SUMIFS(Mastersheet!$J$2:$J$400,Mastersheet!$A$2:$A$400,$T$35)/1000)</f>
        <v/>
      </c>
      <c r="J35" s="102" t="str">
        <f aca="false">IF($T$35="","",SUMIFS(Mastersheet!$K$2:$K$400,Mastersheet!$A$2:$A$400,$T$35)/1000)</f>
        <v/>
      </c>
      <c r="K35" s="103" t="str">
        <f aca="false">IF($T$35="","",SUMIFS(Mastersheet!$L$2:$L$400,Mastersheet!$A$2:$A$400,$T$35)/1000)</f>
        <v/>
      </c>
      <c r="L35" s="103" t="str">
        <f aca="false">IF($T$35="","",SUMIFS(Mastersheet!$M$2:$M$400,Mastersheet!$A$2:$A$400,$T$35)/1000)</f>
        <v/>
      </c>
      <c r="M35" s="103" t="str">
        <f aca="false">IF($T$35="","",SUMIFS(Mastersheet!$N$2:$N$400,Mastersheet!$A$2:$A$400,$T$35)/1000)</f>
        <v/>
      </c>
      <c r="N35" s="103" t="str">
        <f aca="false">IF($T$35="","",SUMIFS(Mastersheet!$O$2:$O$400,Mastersheet!$A$2:$A$400,$T$35)/1000)</f>
        <v/>
      </c>
      <c r="O35" s="92"/>
      <c r="P35" s="96"/>
      <c r="Q35" s="96"/>
      <c r="T35" s="97"/>
      <c r="U35" s="104" t="s">
        <v>415</v>
      </c>
      <c r="V35" s="104" t="s">
        <v>416</v>
      </c>
    </row>
    <row r="36" customFormat="false" ht="11.25" hidden="true" customHeight="true" outlineLevel="2" collapsed="false">
      <c r="C36" s="91" t="s">
        <v>234</v>
      </c>
      <c r="D36" s="91" t="s">
        <v>234</v>
      </c>
      <c r="E36" s="92"/>
      <c r="F36" s="92"/>
      <c r="G36" s="92"/>
      <c r="H36" s="92"/>
      <c r="I36" s="93"/>
      <c r="J36" s="94"/>
      <c r="K36" s="95"/>
      <c r="L36" s="95"/>
      <c r="M36" s="95"/>
      <c r="N36" s="95"/>
      <c r="O36" s="92"/>
      <c r="P36" s="96" t="str">
        <f aca="false">IFERROR(((H36/F36)^(1/(($H$1-$F$1)/365)))-1,"n/a")</f>
        <v>n/a</v>
      </c>
      <c r="Q36" s="96" t="str">
        <f aca="false">IFERROR(((N36/H36)^(1/(($N$1-$H$1)/365)))-1,"n/a")</f>
        <v>n/a</v>
      </c>
      <c r="T36" s="105"/>
    </row>
    <row r="37" customFormat="false" ht="11.25" hidden="true" customHeight="true" outlineLevel="2" collapsed="false">
      <c r="C37" s="91" t="s">
        <v>235</v>
      </c>
      <c r="D37" s="91" t="s">
        <v>235</v>
      </c>
      <c r="E37" s="92"/>
      <c r="F37" s="92"/>
      <c r="G37" s="92"/>
      <c r="H37" s="92"/>
      <c r="I37" s="93"/>
      <c r="J37" s="94"/>
      <c r="K37" s="95"/>
      <c r="L37" s="95"/>
      <c r="M37" s="95"/>
      <c r="N37" s="95"/>
      <c r="O37" s="92"/>
      <c r="P37" s="96" t="str">
        <f aca="false">IFERROR(((H37/F37)^(1/(($H$1-$F$1)/365)))-1,"n/a")</f>
        <v>n/a</v>
      </c>
      <c r="Q37" s="96" t="str">
        <f aca="false">IFERROR(((N37/H37)^(1/(($N$1-$H$1)/365)))-1,"n/a")</f>
        <v>n/a</v>
      </c>
      <c r="T37" s="105"/>
    </row>
    <row r="38" customFormat="false" ht="11.25" hidden="true" customHeight="true" outlineLevel="2" collapsed="false">
      <c r="C38" s="91" t="s">
        <v>236</v>
      </c>
      <c r="D38" s="91" t="s">
        <v>236</v>
      </c>
      <c r="E38" s="92"/>
      <c r="F38" s="92"/>
      <c r="G38" s="92"/>
      <c r="H38" s="92"/>
      <c r="I38" s="93"/>
      <c r="J38" s="94"/>
      <c r="K38" s="95"/>
      <c r="L38" s="95"/>
      <c r="M38" s="95"/>
      <c r="N38" s="95"/>
      <c r="O38" s="92"/>
      <c r="P38" s="96" t="str">
        <f aca="false">IFERROR(((H38/F38)^(1/(($H$1-$F$1)/365)))-1,"n/a")</f>
        <v>n/a</v>
      </c>
      <c r="Q38" s="96" t="str">
        <f aca="false">IFERROR(((N38/H38)^(1/(($N$1-$H$1)/365)))-1,"n/a")</f>
        <v>n/a</v>
      </c>
      <c r="T38" s="105"/>
    </row>
    <row r="39" customFormat="false" ht="11.25" hidden="false" customHeight="true" outlineLevel="0" collapsed="false">
      <c r="C39" s="106" t="s">
        <v>422</v>
      </c>
      <c r="D39" s="106" t="s">
        <v>262</v>
      </c>
      <c r="E39" s="107" t="n">
        <f aca="false">SUMIF($V$9:$V$38,"&lt;&gt;KTO",E9:E38)</f>
        <v>0</v>
      </c>
      <c r="F39" s="107" t="n">
        <f aca="false">SUMIF($V$9:$V$38,"&lt;&gt;KTO",F9:F38)</f>
        <v>0</v>
      </c>
      <c r="G39" s="107" t="n">
        <f aca="false">SUMIF($V$9:$V$38,"&lt;&gt;KTO",G9:G38)</f>
        <v>0</v>
      </c>
      <c r="H39" s="107" t="n">
        <f aca="false">SUMIF($V$9:$V$38,"&lt;&gt;KTO",H9:H38)</f>
        <v>0</v>
      </c>
      <c r="I39" s="108" t="n">
        <f aca="false">SUMIF($V$9:$V$38,"&lt;&gt;KTO",I9:I38)</f>
        <v>0</v>
      </c>
      <c r="J39" s="109" t="n">
        <f aca="false">SUMIF($V$9:$V$38,"&lt;&gt;KTO",J9:J38)</f>
        <v>0</v>
      </c>
      <c r="K39" s="110" t="n">
        <f aca="false">SUMIF($V$9:$V$38,"&lt;&gt;KTO",K9:K38)</f>
        <v>0</v>
      </c>
      <c r="L39" s="110" t="n">
        <f aca="false">SUMIF($V$9:$V$38,"&lt;&gt;KTO",L9:L38)</f>
        <v>0</v>
      </c>
      <c r="M39" s="110" t="n">
        <f aca="false">SUMIF($V$9:$V$38,"&lt;&gt;KTO",M9:M38)</f>
        <v>0</v>
      </c>
      <c r="N39" s="110" t="n">
        <f aca="false">SUMIF($V$9:$V$38,"&lt;&gt;KTO",N9:N38)</f>
        <v>0</v>
      </c>
      <c r="O39" s="92"/>
      <c r="P39" s="111" t="str">
        <f aca="false">IFERROR(((H39/F39)^(1/(($H$1-$F$1)/365)))-1,"n/a")</f>
        <v>n/a</v>
      </c>
      <c r="Q39" s="111" t="str">
        <f aca="false">IFERROR(((N39/H39)^(1/(($N$1-$H$1)/365)))-1,"n/a")</f>
        <v>n/a</v>
      </c>
    </row>
    <row r="40" customFormat="false" ht="11.25" hidden="false" customHeight="true" outlineLevel="0" collapsed="false">
      <c r="C40" s="91" t="s">
        <v>423</v>
      </c>
      <c r="D40" s="91" t="s">
        <v>424</v>
      </c>
      <c r="E40" s="92" t="n">
        <f aca="false">SUMIFS(Mastersheet!$F$2:$F$400,Mastersheet!$D$2:$D$400,$T40,Mastersheet!$C$2:$C$400,$U40)/1000</f>
        <v>0</v>
      </c>
      <c r="F40" s="92" t="n">
        <f aca="false">SUMIFS(Mastersheet!$G$2:$G$400,Mastersheet!$D$2:$D$400,$T40,Mastersheet!$C$2:$C$400,$U40)/1000</f>
        <v>0</v>
      </c>
      <c r="G40" s="92" t="n">
        <f aca="false">SUMIFS(Mastersheet!$H$2:$H$400,Mastersheet!$D$2:$D$400,$T40,Mastersheet!$C$2:$C$400,$U40)/1000</f>
        <v>0</v>
      </c>
      <c r="H40" s="92" t="n">
        <f aca="false">SUMIFS(Mastersheet!$I$2:$I$400,Mastersheet!$D$2:$D$400,$T40,Mastersheet!$C$2:$C$400,$U40)/1000</f>
        <v>0</v>
      </c>
      <c r="I40" s="93" t="n">
        <f aca="false">SUMIFS(Mastersheet!$J$2:$J$400,Mastersheet!$D$2:$D$400,$T40,Mastersheet!$C$2:$C$400,$U40)/1000</f>
        <v>0</v>
      </c>
      <c r="J40" s="94" t="n">
        <f aca="false">SUMIFS(Mastersheet!$K$2:$K$400,Mastersheet!$D$2:$D$400,$T40,Mastersheet!$C$2:$C$400,$U40)/1000</f>
        <v>0</v>
      </c>
      <c r="K40" s="95" t="n">
        <f aca="false">SUMIFS(Mastersheet!$L$2:$L$400,Mastersheet!$D$2:$D$400,$T40,Mastersheet!$C$2:$C$400,$U40)/1000</f>
        <v>0</v>
      </c>
      <c r="L40" s="95" t="n">
        <f aca="false">SUMIFS(Mastersheet!$M$2:$M$400,Mastersheet!$D$2:$D$400,$T40,Mastersheet!$C$2:$C$400,$U40)/1000</f>
        <v>0</v>
      </c>
      <c r="M40" s="95" t="n">
        <f aca="false">SUMIFS(Mastersheet!$N$2:$N$400,Mastersheet!$D$2:$D$400,$T40,Mastersheet!$C$2:$C$400,$U40)/1000</f>
        <v>0</v>
      </c>
      <c r="N40" s="95" t="n">
        <f aca="false">SUMIFS(Mastersheet!$O$2:$O$400,Mastersheet!$D$2:$D$400,$T40,Mastersheet!$C$2:$C$400,$U40)/1000</f>
        <v>0</v>
      </c>
      <c r="O40" s="92"/>
      <c r="P40" s="96" t="str">
        <f aca="false">IFERROR(((H40/F40)^(1/(($H$1-$F$1)/365)))-1,"n/a")</f>
        <v>n/a</v>
      </c>
      <c r="Q40" s="96" t="str">
        <f aca="false">IFERROR(((N40/H40)^(1/(($N$1-$H$1)/365)))-1,"n/a")</f>
        <v>n/a</v>
      </c>
      <c r="T40" s="97" t="s">
        <v>423</v>
      </c>
      <c r="U40" s="98" t="s">
        <v>413</v>
      </c>
      <c r="V40" s="98" t="s">
        <v>414</v>
      </c>
    </row>
    <row r="41" customFormat="false" ht="11.25" hidden="true" customHeight="true" outlineLevel="3" collapsed="false">
      <c r="C41" s="99"/>
      <c r="D41" s="99"/>
      <c r="E41" s="100" t="str">
        <f aca="false">IF($T$41="","",SUMIFS(Mastersheet!$F$2:$F$400,Mastersheet!$A$2:$A$400,$T$41)/1000)</f>
        <v/>
      </c>
      <c r="F41" s="100" t="str">
        <f aca="false">IF($T$41="","",SUMIFS(Mastersheet!$G$2:$G$400,Mastersheet!$A$2:$A$400,$T$41)/1000)</f>
        <v/>
      </c>
      <c r="G41" s="100" t="str">
        <f aca="false">IF($T$41="","",SUMIFS(Mastersheet!$H$2:$H$400,Mastersheet!$A$2:$A$400,$T$41)/1000)</f>
        <v/>
      </c>
      <c r="H41" s="100" t="str">
        <f aca="false">IF($T$41="","",SUMIFS(Mastersheet!$I$2:$I$400,Mastersheet!$A$2:$A$400,$T$41)/1000)</f>
        <v/>
      </c>
      <c r="I41" s="101" t="str">
        <f aca="false">IF($T$41="","",SUMIFS(Mastersheet!$J$2:$J$400,Mastersheet!$A$2:$A$400,$T$41)/1000)</f>
        <v/>
      </c>
      <c r="J41" s="102" t="str">
        <f aca="false">IF($T$41="","",SUMIFS(Mastersheet!$K$2:$K$400,Mastersheet!$A$2:$A$400,$T$41)/1000)</f>
        <v/>
      </c>
      <c r="K41" s="103" t="str">
        <f aca="false">IF($T$41="","",SUMIFS(Mastersheet!$L$2:$L$400,Mastersheet!$A$2:$A$400,$T$41)/1000)</f>
        <v/>
      </c>
      <c r="L41" s="103" t="str">
        <f aca="false">IF($T$41="","",SUMIFS(Mastersheet!$M$2:$M$400,Mastersheet!$A$2:$A$400,$T$41)/1000)</f>
        <v/>
      </c>
      <c r="M41" s="103" t="str">
        <f aca="false">IF($T$41="","",SUMIFS(Mastersheet!$N$2:$N$400,Mastersheet!$A$2:$A$400,$T$41)/1000)</f>
        <v/>
      </c>
      <c r="N41" s="103" t="str">
        <f aca="false">IF($T$41="","",SUMIFS(Mastersheet!$O$2:$O$400,Mastersheet!$A$2:$A$400,$T$41)/1000)</f>
        <v/>
      </c>
      <c r="O41" s="92"/>
      <c r="P41" s="96"/>
      <c r="Q41" s="96"/>
      <c r="T41" s="97"/>
      <c r="U41" s="104" t="s">
        <v>415</v>
      </c>
      <c r="V41" s="104" t="s">
        <v>416</v>
      </c>
    </row>
    <row r="42" customFormat="false" ht="11.25" hidden="true" customHeight="true" outlineLevel="3" collapsed="false">
      <c r="C42" s="99"/>
      <c r="D42" s="99"/>
      <c r="E42" s="100" t="str">
        <f aca="false">IF($T$42="","",SUMIFS(Mastersheet!$F$2:$F$400,Mastersheet!$A$2:$A$400,$T$42)/1000)</f>
        <v/>
      </c>
      <c r="F42" s="100" t="str">
        <f aca="false">IF($T$42="","",SUMIFS(Mastersheet!$G$2:$G$400,Mastersheet!$A$2:$A$400,$T$42)/1000)</f>
        <v/>
      </c>
      <c r="G42" s="100" t="str">
        <f aca="false">IF($T$42="","",SUMIFS(Mastersheet!$H$2:$H$400,Mastersheet!$A$2:$A$400,$T$42)/1000)</f>
        <v/>
      </c>
      <c r="H42" s="100" t="str">
        <f aca="false">IF($T$42="","",SUMIFS(Mastersheet!$I$2:$I$400,Mastersheet!$A$2:$A$400,$T$42)/1000)</f>
        <v/>
      </c>
      <c r="I42" s="101" t="str">
        <f aca="false">IF($T$42="","",SUMIFS(Mastersheet!$J$2:$J$400,Mastersheet!$A$2:$A$400,$T$42)/1000)</f>
        <v/>
      </c>
      <c r="J42" s="102" t="str">
        <f aca="false">IF($T$42="","",SUMIFS(Mastersheet!$K$2:$K$400,Mastersheet!$A$2:$A$400,$T$42)/1000)</f>
        <v/>
      </c>
      <c r="K42" s="103" t="str">
        <f aca="false">IF($T$42="","",SUMIFS(Mastersheet!$L$2:$L$400,Mastersheet!$A$2:$A$400,$T$42)/1000)</f>
        <v/>
      </c>
      <c r="L42" s="103" t="str">
        <f aca="false">IF($T$42="","",SUMIFS(Mastersheet!$M$2:$M$400,Mastersheet!$A$2:$A$400,$T$42)/1000)</f>
        <v/>
      </c>
      <c r="M42" s="103" t="str">
        <f aca="false">IF($T$42="","",SUMIFS(Mastersheet!$N$2:$N$400,Mastersheet!$A$2:$A$400,$T$42)/1000)</f>
        <v/>
      </c>
      <c r="N42" s="103" t="str">
        <f aca="false">IF($T$42="","",SUMIFS(Mastersheet!$O$2:$O$400,Mastersheet!$A$2:$A$400,$T$42)/1000)</f>
        <v/>
      </c>
      <c r="O42" s="92"/>
      <c r="P42" s="96"/>
      <c r="Q42" s="96"/>
      <c r="T42" s="97"/>
      <c r="U42" s="104" t="s">
        <v>415</v>
      </c>
      <c r="V42" s="104" t="s">
        <v>416</v>
      </c>
    </row>
    <row r="43" customFormat="false" ht="11.25" hidden="true" customHeight="true" outlineLevel="3" collapsed="false">
      <c r="C43" s="99"/>
      <c r="D43" s="99"/>
      <c r="E43" s="100" t="str">
        <f aca="false">IF($T$43="","",SUMIFS(Mastersheet!$F$2:$F$400,Mastersheet!$A$2:$A$400,$T$43)/1000)</f>
        <v/>
      </c>
      <c r="F43" s="100" t="str">
        <f aca="false">IF($T$43="","",SUMIFS(Mastersheet!$G$2:$G$400,Mastersheet!$A$2:$A$400,$T$43)/1000)</f>
        <v/>
      </c>
      <c r="G43" s="100" t="str">
        <f aca="false">IF($T$43="","",SUMIFS(Mastersheet!$H$2:$H$400,Mastersheet!$A$2:$A$400,$T$43)/1000)</f>
        <v/>
      </c>
      <c r="H43" s="100" t="str">
        <f aca="false">IF($T$43="","",SUMIFS(Mastersheet!$I$2:$I$400,Mastersheet!$A$2:$A$400,$T$43)/1000)</f>
        <v/>
      </c>
      <c r="I43" s="101" t="str">
        <f aca="false">IF($T$43="","",SUMIFS(Mastersheet!$J$2:$J$400,Mastersheet!$A$2:$A$400,$T$43)/1000)</f>
        <v/>
      </c>
      <c r="J43" s="102" t="str">
        <f aca="false">IF($T$43="","",SUMIFS(Mastersheet!$K$2:$K$400,Mastersheet!$A$2:$A$400,$T$43)/1000)</f>
        <v/>
      </c>
      <c r="K43" s="103" t="str">
        <f aca="false">IF($T$43="","",SUMIFS(Mastersheet!$L$2:$L$400,Mastersheet!$A$2:$A$400,$T$43)/1000)</f>
        <v/>
      </c>
      <c r="L43" s="103" t="str">
        <f aca="false">IF($T$43="","",SUMIFS(Mastersheet!$M$2:$M$400,Mastersheet!$A$2:$A$400,$T$43)/1000)</f>
        <v/>
      </c>
      <c r="M43" s="103" t="str">
        <f aca="false">IF($T$43="","",SUMIFS(Mastersheet!$N$2:$N$400,Mastersheet!$A$2:$A$400,$T$43)/1000)</f>
        <v/>
      </c>
      <c r="N43" s="103" t="str">
        <f aca="false">IF($T$43="","",SUMIFS(Mastersheet!$O$2:$O$400,Mastersheet!$A$2:$A$400,$T$43)/1000)</f>
        <v/>
      </c>
      <c r="O43" s="92"/>
      <c r="P43" s="96"/>
      <c r="Q43" s="96"/>
      <c r="T43" s="97"/>
      <c r="U43" s="104" t="s">
        <v>415</v>
      </c>
      <c r="V43" s="104" t="s">
        <v>416</v>
      </c>
    </row>
    <row r="44" customFormat="false" ht="11.25" hidden="true" customHeight="true" outlineLevel="3" collapsed="false">
      <c r="C44" s="99"/>
      <c r="D44" s="99"/>
      <c r="E44" s="100" t="str">
        <f aca="false">IF($T$44="","",SUMIFS(Mastersheet!$F$2:$F$400,Mastersheet!$A$2:$A$400,$T$44)/1000)</f>
        <v/>
      </c>
      <c r="F44" s="100" t="str">
        <f aca="false">IF($T$44="","",SUMIFS(Mastersheet!$G$2:$G$400,Mastersheet!$A$2:$A$400,$T$44)/1000)</f>
        <v/>
      </c>
      <c r="G44" s="100" t="str">
        <f aca="false">IF($T$44="","",SUMIFS(Mastersheet!$H$2:$H$400,Mastersheet!$A$2:$A$400,$T$44)/1000)</f>
        <v/>
      </c>
      <c r="H44" s="100" t="str">
        <f aca="false">IF($T$44="","",SUMIFS(Mastersheet!$I$2:$I$400,Mastersheet!$A$2:$A$400,$T$44)/1000)</f>
        <v/>
      </c>
      <c r="I44" s="101" t="str">
        <f aca="false">IF($T$44="","",SUMIFS(Mastersheet!$J$2:$J$400,Mastersheet!$A$2:$A$400,$T$44)/1000)</f>
        <v/>
      </c>
      <c r="J44" s="102" t="str">
        <f aca="false">IF($T$44="","",SUMIFS(Mastersheet!$K$2:$K$400,Mastersheet!$A$2:$A$400,$T$44)/1000)</f>
        <v/>
      </c>
      <c r="K44" s="103" t="str">
        <f aca="false">IF($T$44="","",SUMIFS(Mastersheet!$L$2:$L$400,Mastersheet!$A$2:$A$400,$T$44)/1000)</f>
        <v/>
      </c>
      <c r="L44" s="103" t="str">
        <f aca="false">IF($T$44="","",SUMIFS(Mastersheet!$M$2:$M$400,Mastersheet!$A$2:$A$400,$T$44)/1000)</f>
        <v/>
      </c>
      <c r="M44" s="103" t="str">
        <f aca="false">IF($T$44="","",SUMIFS(Mastersheet!$N$2:$N$400,Mastersheet!$A$2:$A$400,$T$44)/1000)</f>
        <v/>
      </c>
      <c r="N44" s="103" t="str">
        <f aca="false">IF($T$44="","",SUMIFS(Mastersheet!$O$2:$O$400,Mastersheet!$A$2:$A$400,$T$44)/1000)</f>
        <v/>
      </c>
      <c r="O44" s="92"/>
      <c r="P44" s="96"/>
      <c r="Q44" s="96"/>
      <c r="T44" s="97"/>
      <c r="U44" s="104" t="s">
        <v>415</v>
      </c>
      <c r="V44" s="104" t="s">
        <v>416</v>
      </c>
    </row>
    <row r="45" customFormat="false" ht="11.25" hidden="true" customHeight="true" outlineLevel="3" collapsed="false">
      <c r="C45" s="99"/>
      <c r="D45" s="99"/>
      <c r="E45" s="100" t="str">
        <f aca="false">IF($T$45="","",SUMIFS(Mastersheet!$F$2:$F$400,Mastersheet!$A$2:$A$400,$T$45)/1000)</f>
        <v/>
      </c>
      <c r="F45" s="100" t="str">
        <f aca="false">IF($T$45="","",SUMIFS(Mastersheet!$G$2:$G$400,Mastersheet!$A$2:$A$400,$T$45)/1000)</f>
        <v/>
      </c>
      <c r="G45" s="100" t="str">
        <f aca="false">IF($T$45="","",SUMIFS(Mastersheet!$H$2:$H$400,Mastersheet!$A$2:$A$400,$T$45)/1000)</f>
        <v/>
      </c>
      <c r="H45" s="100" t="str">
        <f aca="false">IF($T$45="","",SUMIFS(Mastersheet!$I$2:$I$400,Mastersheet!$A$2:$A$400,$T$45)/1000)</f>
        <v/>
      </c>
      <c r="I45" s="101" t="str">
        <f aca="false">IF($T$45="","",SUMIFS(Mastersheet!$J$2:$J$400,Mastersheet!$A$2:$A$400,$T$45)/1000)</f>
        <v/>
      </c>
      <c r="J45" s="102" t="str">
        <f aca="false">IF($T$45="","",SUMIFS(Mastersheet!$K$2:$K$400,Mastersheet!$A$2:$A$400,$T$45)/1000)</f>
        <v/>
      </c>
      <c r="K45" s="103" t="str">
        <f aca="false">IF($T$45="","",SUMIFS(Mastersheet!$L$2:$L$400,Mastersheet!$A$2:$A$400,$T$45)/1000)</f>
        <v/>
      </c>
      <c r="L45" s="103" t="str">
        <f aca="false">IF($T$45="","",SUMIFS(Mastersheet!$M$2:$M$400,Mastersheet!$A$2:$A$400,$T$45)/1000)</f>
        <v/>
      </c>
      <c r="M45" s="103" t="str">
        <f aca="false">IF($T$45="","",SUMIFS(Mastersheet!$N$2:$N$400,Mastersheet!$A$2:$A$400,$T$45)/1000)</f>
        <v/>
      </c>
      <c r="N45" s="103" t="str">
        <f aca="false">IF($T$45="","",SUMIFS(Mastersheet!$O$2:$O$400,Mastersheet!$A$2:$A$400,$T$45)/1000)</f>
        <v/>
      </c>
      <c r="O45" s="92"/>
      <c r="P45" s="96"/>
      <c r="Q45" s="96"/>
      <c r="T45" s="97"/>
      <c r="U45" s="104" t="s">
        <v>415</v>
      </c>
      <c r="V45" s="104" t="s">
        <v>416</v>
      </c>
    </row>
    <row r="46" customFormat="false" ht="11.25" hidden="true" customHeight="true" outlineLevel="3" collapsed="false">
      <c r="C46" s="99"/>
      <c r="D46" s="99"/>
      <c r="E46" s="100" t="str">
        <f aca="false">IF($T$46="","",SUMIFS(Mastersheet!$F$2:$F$400,Mastersheet!$A$2:$A$400,$T$46)/1000)</f>
        <v/>
      </c>
      <c r="F46" s="100" t="str">
        <f aca="false">IF($T$46="","",SUMIFS(Mastersheet!$G$2:$G$400,Mastersheet!$A$2:$A$400,$T$46)/1000)</f>
        <v/>
      </c>
      <c r="G46" s="100" t="str">
        <f aca="false">IF($T$46="","",SUMIFS(Mastersheet!$H$2:$H$400,Mastersheet!$A$2:$A$400,$T$46)/1000)</f>
        <v/>
      </c>
      <c r="H46" s="100" t="str">
        <f aca="false">IF($T$46="","",SUMIFS(Mastersheet!$I$2:$I$400,Mastersheet!$A$2:$A$400,$T$46)/1000)</f>
        <v/>
      </c>
      <c r="I46" s="101" t="str">
        <f aca="false">IF($T$46="","",SUMIFS(Mastersheet!$J$2:$J$400,Mastersheet!$A$2:$A$400,$T$46)/1000)</f>
        <v/>
      </c>
      <c r="J46" s="102" t="str">
        <f aca="false">IF($T$46="","",SUMIFS(Mastersheet!$K$2:$K$400,Mastersheet!$A$2:$A$400,$T$46)/1000)</f>
        <v/>
      </c>
      <c r="K46" s="103" t="str">
        <f aca="false">IF($T$46="","",SUMIFS(Mastersheet!$L$2:$L$400,Mastersheet!$A$2:$A$400,$T$46)/1000)</f>
        <v/>
      </c>
      <c r="L46" s="103" t="str">
        <f aca="false">IF($T$46="","",SUMIFS(Mastersheet!$M$2:$M$400,Mastersheet!$A$2:$A$400,$T$46)/1000)</f>
        <v/>
      </c>
      <c r="M46" s="103" t="str">
        <f aca="false">IF($T$46="","",SUMIFS(Mastersheet!$N$2:$N$400,Mastersheet!$A$2:$A$400,$T$46)/1000)</f>
        <v/>
      </c>
      <c r="N46" s="103" t="str">
        <f aca="false">IF($T$46="","",SUMIFS(Mastersheet!$O$2:$O$400,Mastersheet!$A$2:$A$400,$T$46)/1000)</f>
        <v/>
      </c>
      <c r="O46" s="92"/>
      <c r="P46" s="96"/>
      <c r="Q46" s="96"/>
      <c r="T46" s="97"/>
      <c r="U46" s="104" t="s">
        <v>415</v>
      </c>
      <c r="V46" s="104" t="s">
        <v>416</v>
      </c>
    </row>
    <row r="47" customFormat="false" ht="11.25" hidden="true" customHeight="true" outlineLevel="3" collapsed="false">
      <c r="C47" s="99"/>
      <c r="D47" s="99"/>
      <c r="E47" s="100" t="str">
        <f aca="false">IF($T$47="","",SUMIFS(Mastersheet!$F$2:$F$400,Mastersheet!$A$2:$A$400,$T$47)/1000)</f>
        <v/>
      </c>
      <c r="F47" s="100" t="str">
        <f aca="false">IF($T$47="","",SUMIFS(Mastersheet!$G$2:$G$400,Mastersheet!$A$2:$A$400,$T$47)/1000)</f>
        <v/>
      </c>
      <c r="G47" s="100" t="str">
        <f aca="false">IF($T$47="","",SUMIFS(Mastersheet!$H$2:$H$400,Mastersheet!$A$2:$A$400,$T$47)/1000)</f>
        <v/>
      </c>
      <c r="H47" s="100" t="str">
        <f aca="false">IF($T$47="","",SUMIFS(Mastersheet!$I$2:$I$400,Mastersheet!$A$2:$A$400,$T$47)/1000)</f>
        <v/>
      </c>
      <c r="I47" s="101" t="str">
        <f aca="false">IF($T$47="","",SUMIFS(Mastersheet!$J$2:$J$400,Mastersheet!$A$2:$A$400,$T$47)/1000)</f>
        <v/>
      </c>
      <c r="J47" s="102" t="str">
        <f aca="false">IF($T$47="","",SUMIFS(Mastersheet!$K$2:$K$400,Mastersheet!$A$2:$A$400,$T$47)/1000)</f>
        <v/>
      </c>
      <c r="K47" s="103" t="str">
        <f aca="false">IF($T$47="","",SUMIFS(Mastersheet!$L$2:$L$400,Mastersheet!$A$2:$A$400,$T$47)/1000)</f>
        <v/>
      </c>
      <c r="L47" s="103" t="str">
        <f aca="false">IF($T$47="","",SUMIFS(Mastersheet!$M$2:$M$400,Mastersheet!$A$2:$A$400,$T$47)/1000)</f>
        <v/>
      </c>
      <c r="M47" s="103" t="str">
        <f aca="false">IF($T$47="","",SUMIFS(Mastersheet!$N$2:$N$400,Mastersheet!$A$2:$A$400,$T$47)/1000)</f>
        <v/>
      </c>
      <c r="N47" s="103" t="str">
        <f aca="false">IF($T$47="","",SUMIFS(Mastersheet!$O$2:$O$400,Mastersheet!$A$2:$A$400,$T$47)/1000)</f>
        <v/>
      </c>
      <c r="O47" s="92"/>
      <c r="P47" s="96"/>
      <c r="Q47" s="96"/>
      <c r="T47" s="97"/>
      <c r="U47" s="104" t="s">
        <v>415</v>
      </c>
      <c r="V47" s="104" t="s">
        <v>416</v>
      </c>
    </row>
    <row r="48" customFormat="false" ht="11.25" hidden="true" customHeight="true" outlineLevel="3" collapsed="false">
      <c r="C48" s="99"/>
      <c r="D48" s="99"/>
      <c r="E48" s="100" t="str">
        <f aca="false">IF($T$48="","",SUMIFS(Mastersheet!$F$2:$F$400,Mastersheet!$A$2:$A$400,$T$48)/1000)</f>
        <v/>
      </c>
      <c r="F48" s="100" t="str">
        <f aca="false">IF($T$48="","",SUMIFS(Mastersheet!$G$2:$G$400,Mastersheet!$A$2:$A$400,$T$48)/1000)</f>
        <v/>
      </c>
      <c r="G48" s="100" t="str">
        <f aca="false">IF($T$48="","",SUMIFS(Mastersheet!$H$2:$H$400,Mastersheet!$A$2:$A$400,$T$48)/1000)</f>
        <v/>
      </c>
      <c r="H48" s="100" t="str">
        <f aca="false">IF($T$48="","",SUMIFS(Mastersheet!$I$2:$I$400,Mastersheet!$A$2:$A$400,$T$48)/1000)</f>
        <v/>
      </c>
      <c r="I48" s="101" t="str">
        <f aca="false">IF($T$48="","",SUMIFS(Mastersheet!$J$2:$J$400,Mastersheet!$A$2:$A$400,$T$48)/1000)</f>
        <v/>
      </c>
      <c r="J48" s="102" t="str">
        <f aca="false">IF($T$48="","",SUMIFS(Mastersheet!$K$2:$K$400,Mastersheet!$A$2:$A$400,$T$48)/1000)</f>
        <v/>
      </c>
      <c r="K48" s="103" t="str">
        <f aca="false">IF($T$48="","",SUMIFS(Mastersheet!$L$2:$L$400,Mastersheet!$A$2:$A$400,$T$48)/1000)</f>
        <v/>
      </c>
      <c r="L48" s="103" t="str">
        <f aca="false">IF($T$48="","",SUMIFS(Mastersheet!$M$2:$M$400,Mastersheet!$A$2:$A$400,$T$48)/1000)</f>
        <v/>
      </c>
      <c r="M48" s="103" t="str">
        <f aca="false">IF($T$48="","",SUMIFS(Mastersheet!$N$2:$N$400,Mastersheet!$A$2:$A$400,$T$48)/1000)</f>
        <v/>
      </c>
      <c r="N48" s="103" t="str">
        <f aca="false">IF($T$48="","",SUMIFS(Mastersheet!$O$2:$O$400,Mastersheet!$A$2:$A$400,$T$48)/1000)</f>
        <v/>
      </c>
      <c r="O48" s="92"/>
      <c r="P48" s="96"/>
      <c r="Q48" s="96"/>
      <c r="T48" s="97"/>
      <c r="U48" s="104" t="s">
        <v>415</v>
      </c>
      <c r="V48" s="104" t="s">
        <v>416</v>
      </c>
    </row>
    <row r="49" customFormat="false" ht="11.25" hidden="true" customHeight="true" outlineLevel="2" collapsed="false">
      <c r="C49" s="91" t="s">
        <v>234</v>
      </c>
      <c r="D49" s="91" t="s">
        <v>234</v>
      </c>
      <c r="E49" s="92"/>
      <c r="F49" s="92"/>
      <c r="G49" s="92"/>
      <c r="H49" s="92"/>
      <c r="I49" s="93"/>
      <c r="J49" s="94"/>
      <c r="K49" s="95"/>
      <c r="L49" s="95"/>
      <c r="M49" s="95"/>
      <c r="N49" s="95"/>
      <c r="O49" s="92"/>
      <c r="P49" s="96" t="str">
        <f aca="false">IFERROR(((H49/F49)^(1/(($H$1-$F$1)/365)))-1,"n/a")</f>
        <v>n/a</v>
      </c>
      <c r="Q49" s="96" t="str">
        <f aca="false">IFERROR(((N49/H49)^(1/(($N$1-$H$1)/365)))-1,"n/a")</f>
        <v>n/a</v>
      </c>
      <c r="T49" s="105"/>
      <c r="U49" s="98"/>
      <c r="V49" s="98"/>
    </row>
    <row r="50" customFormat="false" ht="11.25" hidden="true" customHeight="true" outlineLevel="2" collapsed="false">
      <c r="C50" s="91" t="s">
        <v>235</v>
      </c>
      <c r="D50" s="91" t="s">
        <v>235</v>
      </c>
      <c r="E50" s="92"/>
      <c r="F50" s="92"/>
      <c r="G50" s="92"/>
      <c r="H50" s="92"/>
      <c r="I50" s="93"/>
      <c r="J50" s="94"/>
      <c r="K50" s="95"/>
      <c r="L50" s="95"/>
      <c r="M50" s="95"/>
      <c r="N50" s="95"/>
      <c r="O50" s="92"/>
      <c r="P50" s="96" t="str">
        <f aca="false">IFERROR(((H50/F50)^(1/(($H$1-$F$1)/365)))-1,"n/a")</f>
        <v>n/a</v>
      </c>
      <c r="Q50" s="96" t="str">
        <f aca="false">IFERROR(((N50/H50)^(1/(($N$1-$H$1)/365)))-1,"n/a")</f>
        <v>n/a</v>
      </c>
      <c r="T50" s="105"/>
    </row>
    <row r="51" customFormat="false" ht="11.25" hidden="true" customHeight="true" outlineLevel="2" collapsed="false">
      <c r="B51" s="112"/>
      <c r="C51" s="113" t="s">
        <v>236</v>
      </c>
      <c r="D51" s="113" t="s">
        <v>236</v>
      </c>
      <c r="E51" s="114"/>
      <c r="F51" s="114"/>
      <c r="G51" s="114"/>
      <c r="H51" s="114"/>
      <c r="I51" s="115"/>
      <c r="J51" s="116"/>
      <c r="K51" s="117"/>
      <c r="L51" s="117"/>
      <c r="M51" s="117"/>
      <c r="N51" s="117"/>
      <c r="O51" s="92"/>
      <c r="P51" s="118" t="str">
        <f aca="false">IFERROR(((H51/F51)^(1/(($H$1-$F$1)/365)))-1,"n/a")</f>
        <v>n/a</v>
      </c>
      <c r="Q51" s="118" t="str">
        <f aca="false">IFERROR(((N51/H51)^(1/(($N$1-$H$1)/365)))-1,"n/a")</f>
        <v>n/a</v>
      </c>
      <c r="R51" s="112"/>
      <c r="T51" s="105"/>
    </row>
    <row r="52" customFormat="false" ht="11.25" hidden="false" customHeight="true" outlineLevel="0" collapsed="false">
      <c r="C52" s="106" t="s">
        <v>425</v>
      </c>
      <c r="D52" s="106" t="s">
        <v>426</v>
      </c>
      <c r="E52" s="107" t="n">
        <f aca="false">SUMIF($V$39:$V$51,"&lt;&gt;KTO",E39:E51)</f>
        <v>0</v>
      </c>
      <c r="F52" s="107" t="n">
        <f aca="false">SUMIF($V$39:$V$51,"&lt;&gt;KTO",F39:F51)</f>
        <v>0</v>
      </c>
      <c r="G52" s="107" t="n">
        <f aca="false">SUMIF($V$39:$V$51,"&lt;&gt;KTO",G39:G51)</f>
        <v>0</v>
      </c>
      <c r="H52" s="107" t="n">
        <f aca="false">SUMIF($V$39:$V$51,"&lt;&gt;KTO",H39:H51)</f>
        <v>0</v>
      </c>
      <c r="I52" s="108" t="n">
        <f aca="false">SUMIF($V$39:$V$51,"&lt;&gt;KTO",I39:I51)</f>
        <v>0</v>
      </c>
      <c r="J52" s="109" t="n">
        <f aca="false">SUMIF($V$39:$V$51,"&lt;&gt;KTO",J39:J51)</f>
        <v>0</v>
      </c>
      <c r="K52" s="110" t="n">
        <f aca="false">SUMIF($V$39:$V$51,"&lt;&gt;KTO",K39:K51)</f>
        <v>0</v>
      </c>
      <c r="L52" s="110" t="n">
        <f aca="false">SUMIF($V$39:$V$51,"&lt;&gt;KTO",L39:L51)</f>
        <v>0</v>
      </c>
      <c r="M52" s="110" t="n">
        <f aca="false">SUMIF($V$39:$V$51,"&lt;&gt;KTO",M39:M51)</f>
        <v>0</v>
      </c>
      <c r="N52" s="110" t="n">
        <f aca="false">SUMIF($V$39:$V$51,"&lt;&gt;KTO",N39:N51)</f>
        <v>0</v>
      </c>
      <c r="O52" s="92"/>
      <c r="P52" s="111" t="str">
        <f aca="false">IFERROR(((H52/F52)^(1/(($H$1-$F$1)/365)))-1,"n/a")</f>
        <v>n/a</v>
      </c>
      <c r="Q52" s="111" t="str">
        <f aca="false">IFERROR(((N52/H52)^(1/(($N$1-$H$1)/365)))-1,"n/a")</f>
        <v>n/a</v>
      </c>
    </row>
    <row r="53" customFormat="false" ht="11.25" hidden="false" customHeight="true" outlineLevel="0" collapsed="false">
      <c r="C53" s="91" t="s">
        <v>427</v>
      </c>
      <c r="D53" s="91" t="s">
        <v>428</v>
      </c>
      <c r="E53" s="92" t="n">
        <f aca="false">SUMIFS(Mastersheet!$F$2:$F$400,Mastersheet!$D$2:$D$400,$T53,Mastersheet!$C$2:$C$400,$U53)/1000</f>
        <v>0</v>
      </c>
      <c r="F53" s="92" t="n">
        <f aca="false">SUMIFS(Mastersheet!$G$2:$G$400,Mastersheet!$D$2:$D$400,$T53,Mastersheet!$C$2:$C$400,$U53)/1000</f>
        <v>0</v>
      </c>
      <c r="G53" s="92" t="n">
        <f aca="false">SUMIFS(Mastersheet!$H$2:$H$400,Mastersheet!$D$2:$D$400,$T53,Mastersheet!$C$2:$C$400,$U53)/1000</f>
        <v>0</v>
      </c>
      <c r="H53" s="92" t="n">
        <f aca="false">SUMIFS(Mastersheet!$I$2:$I$400,Mastersheet!$D$2:$D$400,$T53,Mastersheet!$C$2:$C$400,$U53)/1000</f>
        <v>0</v>
      </c>
      <c r="I53" s="93" t="n">
        <f aca="false">SUMIFS(Mastersheet!$J$2:$J$400,Mastersheet!$D$2:$D$400,$T53,Mastersheet!$C$2:$C$400,$U53)/1000</f>
        <v>0</v>
      </c>
      <c r="J53" s="94" t="n">
        <f aca="false">SUMIFS(Mastersheet!$K$2:$K$400,Mastersheet!$D$2:$D$400,$T53,Mastersheet!$C$2:$C$400,$U53)/1000</f>
        <v>0</v>
      </c>
      <c r="K53" s="95" t="n">
        <f aca="false">SUMIFS(Mastersheet!$L$2:$L$400,Mastersheet!$D$2:$D$400,$T53,Mastersheet!$C$2:$C$400,$U53)/1000</f>
        <v>0</v>
      </c>
      <c r="L53" s="95" t="n">
        <f aca="false">SUMIFS(Mastersheet!$M$2:$M$400,Mastersheet!$D$2:$D$400,$T53,Mastersheet!$C$2:$C$400,$U53)/1000</f>
        <v>0</v>
      </c>
      <c r="M53" s="95" t="n">
        <f aca="false">SUMIFS(Mastersheet!$N$2:$N$400,Mastersheet!$D$2:$D$400,$T53,Mastersheet!$C$2:$C$400,$U53)/1000</f>
        <v>0</v>
      </c>
      <c r="N53" s="95" t="n">
        <f aca="false">SUMIFS(Mastersheet!$O$2:$O$400,Mastersheet!$D$2:$D$400,$T53,Mastersheet!$C$2:$C$400,$U53)/1000</f>
        <v>0</v>
      </c>
      <c r="O53" s="92"/>
      <c r="P53" s="96" t="str">
        <f aca="false">IFERROR(((H53/F53)^(1/(($H$1-$F$1)/365)))-1,"n/a")</f>
        <v>n/a</v>
      </c>
      <c r="Q53" s="96" t="str">
        <f aca="false">IFERROR(((N53/H53)^(1/(($N$1-$H$1)/365)))-1,"n/a")</f>
        <v>n/a</v>
      </c>
      <c r="T53" s="97" t="s">
        <v>427</v>
      </c>
      <c r="U53" s="98" t="s">
        <v>413</v>
      </c>
      <c r="V53" s="98" t="s">
        <v>414</v>
      </c>
    </row>
    <row r="54" customFormat="false" ht="11.25" hidden="true" customHeight="true" outlineLevel="3" collapsed="false">
      <c r="C54" s="99"/>
      <c r="D54" s="99"/>
      <c r="E54" s="100" t="str">
        <f aca="false">IF($T$54="","",SUMIFS(Mastersheet!$F$2:$F$400,Mastersheet!$A$2:$A$400,$T$54)/1000)</f>
        <v/>
      </c>
      <c r="F54" s="100" t="str">
        <f aca="false">IF($T$54="","",SUMIFS(Mastersheet!$G$2:$G$400,Mastersheet!$A$2:$A$400,$T$54)/1000)</f>
        <v/>
      </c>
      <c r="G54" s="100" t="str">
        <f aca="false">IF($T$54="","",SUMIFS(Mastersheet!$H$2:$H$400,Mastersheet!$A$2:$A$400,$T$54)/1000)</f>
        <v/>
      </c>
      <c r="H54" s="100" t="str">
        <f aca="false">IF($T$54="","",SUMIFS(Mastersheet!$I$2:$I$400,Mastersheet!$A$2:$A$400,$T$54)/1000)</f>
        <v/>
      </c>
      <c r="I54" s="101" t="str">
        <f aca="false">IF($T$54="","",SUMIFS(Mastersheet!$J$2:$J$400,Mastersheet!$A$2:$A$400,$T$54)/1000)</f>
        <v/>
      </c>
      <c r="J54" s="102" t="str">
        <f aca="false">IF($T$54="","",SUMIFS(Mastersheet!$K$2:$K$400,Mastersheet!$A$2:$A$400,$T$54)/1000)</f>
        <v/>
      </c>
      <c r="K54" s="103" t="str">
        <f aca="false">IF($T$54="","",SUMIFS(Mastersheet!$L$2:$L$400,Mastersheet!$A$2:$A$400,$T$54)/1000)</f>
        <v/>
      </c>
      <c r="L54" s="103" t="str">
        <f aca="false">IF($T$54="","",SUMIFS(Mastersheet!$M$2:$M$400,Mastersheet!$A$2:$A$400,$T$54)/1000)</f>
        <v/>
      </c>
      <c r="M54" s="103" t="str">
        <f aca="false">IF($T$54="","",SUMIFS(Mastersheet!$N$2:$N$400,Mastersheet!$A$2:$A$400,$T$54)/1000)</f>
        <v/>
      </c>
      <c r="N54" s="103" t="str">
        <f aca="false">IF($T$54="","",SUMIFS(Mastersheet!$O$2:$O$400,Mastersheet!$A$2:$A$400,$T$54)/1000)</f>
        <v/>
      </c>
      <c r="O54" s="92"/>
      <c r="P54" s="96"/>
      <c r="Q54" s="96"/>
      <c r="T54" s="97"/>
      <c r="U54" s="104" t="s">
        <v>415</v>
      </c>
      <c r="V54" s="104" t="s">
        <v>416</v>
      </c>
    </row>
    <row r="55" customFormat="false" ht="11.25" hidden="true" customHeight="true" outlineLevel="3" collapsed="false">
      <c r="C55" s="99"/>
      <c r="D55" s="99"/>
      <c r="E55" s="100" t="str">
        <f aca="false">IF($T$55="","",SUMIFS(Mastersheet!$F$2:$F$400,Mastersheet!$A$2:$A$400,$T$55)/1000)</f>
        <v/>
      </c>
      <c r="F55" s="100" t="str">
        <f aca="false">IF($T$55="","",SUMIFS(Mastersheet!$G$2:$G$400,Mastersheet!$A$2:$A$400,$T$55)/1000)</f>
        <v/>
      </c>
      <c r="G55" s="100" t="str">
        <f aca="false">IF($T$55="","",SUMIFS(Mastersheet!$H$2:$H$400,Mastersheet!$A$2:$A$400,$T$55)/1000)</f>
        <v/>
      </c>
      <c r="H55" s="100" t="str">
        <f aca="false">IF($T$55="","",SUMIFS(Mastersheet!$I$2:$I$400,Mastersheet!$A$2:$A$400,$T$55)/1000)</f>
        <v/>
      </c>
      <c r="I55" s="101" t="str">
        <f aca="false">IF($T$55="","",SUMIFS(Mastersheet!$J$2:$J$400,Mastersheet!$A$2:$A$400,$T$55)/1000)</f>
        <v/>
      </c>
      <c r="J55" s="102" t="str">
        <f aca="false">IF($T$55="","",SUMIFS(Mastersheet!$K$2:$K$400,Mastersheet!$A$2:$A$400,$T$55)/1000)</f>
        <v/>
      </c>
      <c r="K55" s="103" t="str">
        <f aca="false">IF($T$55="","",SUMIFS(Mastersheet!$L$2:$L$400,Mastersheet!$A$2:$A$400,$T$55)/1000)</f>
        <v/>
      </c>
      <c r="L55" s="103" t="str">
        <f aca="false">IF($T$55="","",SUMIFS(Mastersheet!$M$2:$M$400,Mastersheet!$A$2:$A$400,$T$55)/1000)</f>
        <v/>
      </c>
      <c r="M55" s="103" t="str">
        <f aca="false">IF($T$55="","",SUMIFS(Mastersheet!$N$2:$N$400,Mastersheet!$A$2:$A$400,$T$55)/1000)</f>
        <v/>
      </c>
      <c r="N55" s="103" t="str">
        <f aca="false">IF($T$55="","",SUMIFS(Mastersheet!$O$2:$O$400,Mastersheet!$A$2:$A$400,$T$55)/1000)</f>
        <v/>
      </c>
      <c r="O55" s="92"/>
      <c r="P55" s="96"/>
      <c r="Q55" s="96"/>
      <c r="T55" s="97"/>
      <c r="U55" s="104" t="s">
        <v>415</v>
      </c>
      <c r="V55" s="104" t="s">
        <v>416</v>
      </c>
    </row>
    <row r="56" customFormat="false" ht="11.25" hidden="true" customHeight="true" outlineLevel="3" collapsed="false">
      <c r="C56" s="99"/>
      <c r="D56" s="99"/>
      <c r="E56" s="100" t="str">
        <f aca="false">IF($T$56="","",SUMIFS(Mastersheet!$F$2:$F$400,Mastersheet!$A$2:$A$400,$T$56)/1000)</f>
        <v/>
      </c>
      <c r="F56" s="100" t="str">
        <f aca="false">IF($T$56="","",SUMIFS(Mastersheet!$G$2:$G$400,Mastersheet!$A$2:$A$400,$T$56)/1000)</f>
        <v/>
      </c>
      <c r="G56" s="100" t="str">
        <f aca="false">IF($T$56="","",SUMIFS(Mastersheet!$H$2:$H$400,Mastersheet!$A$2:$A$400,$T$56)/1000)</f>
        <v/>
      </c>
      <c r="H56" s="100" t="str">
        <f aca="false">IF($T$56="","",SUMIFS(Mastersheet!$I$2:$I$400,Mastersheet!$A$2:$A$400,$T$56)/1000)</f>
        <v/>
      </c>
      <c r="I56" s="101" t="str">
        <f aca="false">IF($T$56="","",SUMIFS(Mastersheet!$J$2:$J$400,Mastersheet!$A$2:$A$400,$T$56)/1000)</f>
        <v/>
      </c>
      <c r="J56" s="102" t="str">
        <f aca="false">IF($T$56="","",SUMIFS(Mastersheet!$K$2:$K$400,Mastersheet!$A$2:$A$400,$T$56)/1000)</f>
        <v/>
      </c>
      <c r="K56" s="103" t="str">
        <f aca="false">IF($T$56="","",SUMIFS(Mastersheet!$L$2:$L$400,Mastersheet!$A$2:$A$400,$T$56)/1000)</f>
        <v/>
      </c>
      <c r="L56" s="103" t="str">
        <f aca="false">IF($T$56="","",SUMIFS(Mastersheet!$M$2:$M$400,Mastersheet!$A$2:$A$400,$T$56)/1000)</f>
        <v/>
      </c>
      <c r="M56" s="103" t="str">
        <f aca="false">IF($T$56="","",SUMIFS(Mastersheet!$N$2:$N$400,Mastersheet!$A$2:$A$400,$T$56)/1000)</f>
        <v/>
      </c>
      <c r="N56" s="103" t="str">
        <f aca="false">IF($T$56="","",SUMIFS(Mastersheet!$O$2:$O$400,Mastersheet!$A$2:$A$400,$T$56)/1000)</f>
        <v/>
      </c>
      <c r="O56" s="92"/>
      <c r="P56" s="96"/>
      <c r="Q56" s="96"/>
      <c r="T56" s="97"/>
      <c r="U56" s="104" t="s">
        <v>415</v>
      </c>
      <c r="V56" s="104" t="s">
        <v>416</v>
      </c>
    </row>
    <row r="57" customFormat="false" ht="11.25" hidden="true" customHeight="true" outlineLevel="3" collapsed="false">
      <c r="C57" s="99"/>
      <c r="D57" s="99"/>
      <c r="E57" s="100" t="str">
        <f aca="false">IF($T$57="","",SUMIFS(Mastersheet!$F$2:$F$400,Mastersheet!$A$2:$A$400,$T$57)/1000)</f>
        <v/>
      </c>
      <c r="F57" s="100" t="str">
        <f aca="false">IF($T$57="","",SUMIFS(Mastersheet!$G$2:$G$400,Mastersheet!$A$2:$A$400,$T$57)/1000)</f>
        <v/>
      </c>
      <c r="G57" s="100" t="str">
        <f aca="false">IF($T$57="","",SUMIFS(Mastersheet!$H$2:$H$400,Mastersheet!$A$2:$A$400,$T$57)/1000)</f>
        <v/>
      </c>
      <c r="H57" s="100" t="str">
        <f aca="false">IF($T$57="","",SUMIFS(Mastersheet!$I$2:$I$400,Mastersheet!$A$2:$A$400,$T$57)/1000)</f>
        <v/>
      </c>
      <c r="I57" s="101" t="str">
        <f aca="false">IF($T$57="","",SUMIFS(Mastersheet!$J$2:$J$400,Mastersheet!$A$2:$A$400,$T$57)/1000)</f>
        <v/>
      </c>
      <c r="J57" s="102" t="str">
        <f aca="false">IF($T$57="","",SUMIFS(Mastersheet!$K$2:$K$400,Mastersheet!$A$2:$A$400,$T$57)/1000)</f>
        <v/>
      </c>
      <c r="K57" s="103" t="str">
        <f aca="false">IF($T$57="","",SUMIFS(Mastersheet!$L$2:$L$400,Mastersheet!$A$2:$A$400,$T$57)/1000)</f>
        <v/>
      </c>
      <c r="L57" s="103" t="str">
        <f aca="false">IF($T$57="","",SUMIFS(Mastersheet!$M$2:$M$400,Mastersheet!$A$2:$A$400,$T$57)/1000)</f>
        <v/>
      </c>
      <c r="M57" s="103" t="str">
        <f aca="false">IF($T$57="","",SUMIFS(Mastersheet!$N$2:$N$400,Mastersheet!$A$2:$A$400,$T$57)/1000)</f>
        <v/>
      </c>
      <c r="N57" s="103" t="str">
        <f aca="false">IF($T$57="","",SUMIFS(Mastersheet!$O$2:$O$400,Mastersheet!$A$2:$A$400,$T$57)/1000)</f>
        <v/>
      </c>
      <c r="O57" s="92"/>
      <c r="P57" s="96"/>
      <c r="Q57" s="96"/>
      <c r="T57" s="97"/>
      <c r="U57" s="104" t="s">
        <v>415</v>
      </c>
      <c r="V57" s="104" t="s">
        <v>416</v>
      </c>
    </row>
    <row r="58" customFormat="false" ht="11.25" hidden="true" customHeight="true" outlineLevel="3" collapsed="false">
      <c r="C58" s="99"/>
      <c r="D58" s="99"/>
      <c r="E58" s="100" t="str">
        <f aca="false">IF($T$58="","",SUMIFS(Mastersheet!$F$2:$F$400,Mastersheet!$A$2:$A$400,$T$58)/1000)</f>
        <v/>
      </c>
      <c r="F58" s="100" t="str">
        <f aca="false">IF($T$58="","",SUMIFS(Mastersheet!$G$2:$G$400,Mastersheet!$A$2:$A$400,$T$58)/1000)</f>
        <v/>
      </c>
      <c r="G58" s="100" t="str">
        <f aca="false">IF($T$58="","",SUMIFS(Mastersheet!$H$2:$H$400,Mastersheet!$A$2:$A$400,$T$58)/1000)</f>
        <v/>
      </c>
      <c r="H58" s="100" t="str">
        <f aca="false">IF($T$58="","",SUMIFS(Mastersheet!$I$2:$I$400,Mastersheet!$A$2:$A$400,$T$58)/1000)</f>
        <v/>
      </c>
      <c r="I58" s="101" t="str">
        <f aca="false">IF($T$58="","",SUMIFS(Mastersheet!$J$2:$J$400,Mastersheet!$A$2:$A$400,$T$58)/1000)</f>
        <v/>
      </c>
      <c r="J58" s="102" t="str">
        <f aca="false">IF($T$58="","",SUMIFS(Mastersheet!$K$2:$K$400,Mastersheet!$A$2:$A$400,$T$58)/1000)</f>
        <v/>
      </c>
      <c r="K58" s="103" t="str">
        <f aca="false">IF($T$58="","",SUMIFS(Mastersheet!$L$2:$L$400,Mastersheet!$A$2:$A$400,$T$58)/1000)</f>
        <v/>
      </c>
      <c r="L58" s="103" t="str">
        <f aca="false">IF($T$58="","",SUMIFS(Mastersheet!$M$2:$M$400,Mastersheet!$A$2:$A$400,$T$58)/1000)</f>
        <v/>
      </c>
      <c r="M58" s="103" t="str">
        <f aca="false">IF($T$58="","",SUMIFS(Mastersheet!$N$2:$N$400,Mastersheet!$A$2:$A$400,$T$58)/1000)</f>
        <v/>
      </c>
      <c r="N58" s="103" t="str">
        <f aca="false">IF($T$58="","",SUMIFS(Mastersheet!$O$2:$O$400,Mastersheet!$A$2:$A$400,$T$58)/1000)</f>
        <v/>
      </c>
      <c r="O58" s="92"/>
      <c r="P58" s="96"/>
      <c r="Q58" s="96"/>
      <c r="T58" s="97"/>
      <c r="U58" s="104" t="s">
        <v>415</v>
      </c>
      <c r="V58" s="104" t="s">
        <v>416</v>
      </c>
    </row>
    <row r="59" customFormat="false" ht="11.25" hidden="true" customHeight="true" outlineLevel="3" collapsed="false">
      <c r="C59" s="99"/>
      <c r="D59" s="99"/>
      <c r="E59" s="100" t="str">
        <f aca="false">IF($T$59="","",SUMIFS(Mastersheet!$F$2:$F$400,Mastersheet!$A$2:$A$400,$T$59)/1000)</f>
        <v/>
      </c>
      <c r="F59" s="100" t="str">
        <f aca="false">IF($T$59="","",SUMIFS(Mastersheet!$G$2:$G$400,Mastersheet!$A$2:$A$400,$T$59)/1000)</f>
        <v/>
      </c>
      <c r="G59" s="100" t="str">
        <f aca="false">IF($T$59="","",SUMIFS(Mastersheet!$H$2:$H$400,Mastersheet!$A$2:$A$400,$T$59)/1000)</f>
        <v/>
      </c>
      <c r="H59" s="100" t="str">
        <f aca="false">IF($T$59="","",SUMIFS(Mastersheet!$I$2:$I$400,Mastersheet!$A$2:$A$400,$T$59)/1000)</f>
        <v/>
      </c>
      <c r="I59" s="101" t="str">
        <f aca="false">IF($T$59="","",SUMIFS(Mastersheet!$J$2:$J$400,Mastersheet!$A$2:$A$400,$T$59)/1000)</f>
        <v/>
      </c>
      <c r="J59" s="102" t="str">
        <f aca="false">IF($T$59="","",SUMIFS(Mastersheet!$K$2:$K$400,Mastersheet!$A$2:$A$400,$T$59)/1000)</f>
        <v/>
      </c>
      <c r="K59" s="103" t="str">
        <f aca="false">IF($T$59="","",SUMIFS(Mastersheet!$L$2:$L$400,Mastersheet!$A$2:$A$400,$T$59)/1000)</f>
        <v/>
      </c>
      <c r="L59" s="103" t="str">
        <f aca="false">IF($T$59="","",SUMIFS(Mastersheet!$M$2:$M$400,Mastersheet!$A$2:$A$400,$T$59)/1000)</f>
        <v/>
      </c>
      <c r="M59" s="103" t="str">
        <f aca="false">IF($T$59="","",SUMIFS(Mastersheet!$N$2:$N$400,Mastersheet!$A$2:$A$400,$T$59)/1000)</f>
        <v/>
      </c>
      <c r="N59" s="103" t="str">
        <f aca="false">IF($T$59="","",SUMIFS(Mastersheet!$O$2:$O$400,Mastersheet!$A$2:$A$400,$T$59)/1000)</f>
        <v/>
      </c>
      <c r="O59" s="92"/>
      <c r="P59" s="96"/>
      <c r="Q59" s="96"/>
      <c r="T59" s="97"/>
      <c r="U59" s="104" t="s">
        <v>415</v>
      </c>
      <c r="V59" s="104" t="s">
        <v>416</v>
      </c>
    </row>
    <row r="60" customFormat="false" ht="11.25" hidden="true" customHeight="true" outlineLevel="3" collapsed="false">
      <c r="C60" s="99"/>
      <c r="D60" s="99"/>
      <c r="E60" s="100" t="str">
        <f aca="false">IF($T$60="","",SUMIFS(Mastersheet!$F$2:$F$400,Mastersheet!$A$2:$A$400,$T$60)/1000)</f>
        <v/>
      </c>
      <c r="F60" s="100" t="str">
        <f aca="false">IF($T$60="","",SUMIFS(Mastersheet!$G$2:$G$400,Mastersheet!$A$2:$A$400,$T$60)/1000)</f>
        <v/>
      </c>
      <c r="G60" s="100" t="str">
        <f aca="false">IF($T$60="","",SUMIFS(Mastersheet!$H$2:$H$400,Mastersheet!$A$2:$A$400,$T$60)/1000)</f>
        <v/>
      </c>
      <c r="H60" s="100" t="str">
        <f aca="false">IF($T$60="","",SUMIFS(Mastersheet!$I$2:$I$400,Mastersheet!$A$2:$A$400,$T$60)/1000)</f>
        <v/>
      </c>
      <c r="I60" s="101" t="str">
        <f aca="false">IF($T$60="","",SUMIFS(Mastersheet!$J$2:$J$400,Mastersheet!$A$2:$A$400,$T$60)/1000)</f>
        <v/>
      </c>
      <c r="J60" s="102" t="str">
        <f aca="false">IF($T$60="","",SUMIFS(Mastersheet!$K$2:$K$400,Mastersheet!$A$2:$A$400,$T$60)/1000)</f>
        <v/>
      </c>
      <c r="K60" s="103" t="str">
        <f aca="false">IF($T$60="","",SUMIFS(Mastersheet!$L$2:$L$400,Mastersheet!$A$2:$A$400,$T$60)/1000)</f>
        <v/>
      </c>
      <c r="L60" s="103" t="str">
        <f aca="false">IF($T$60="","",SUMIFS(Mastersheet!$M$2:$M$400,Mastersheet!$A$2:$A$400,$T$60)/1000)</f>
        <v/>
      </c>
      <c r="M60" s="103" t="str">
        <f aca="false">IF($T$60="","",SUMIFS(Mastersheet!$N$2:$N$400,Mastersheet!$A$2:$A$400,$T$60)/1000)</f>
        <v/>
      </c>
      <c r="N60" s="103" t="str">
        <f aca="false">IF($T$60="","",SUMIFS(Mastersheet!$O$2:$O$400,Mastersheet!$A$2:$A$400,$T$60)/1000)</f>
        <v/>
      </c>
      <c r="O60" s="92"/>
      <c r="P60" s="96"/>
      <c r="Q60" s="96"/>
      <c r="T60" s="97"/>
      <c r="U60" s="104" t="s">
        <v>415</v>
      </c>
      <c r="V60" s="104" t="s">
        <v>416</v>
      </c>
    </row>
    <row r="61" customFormat="false" ht="11.25" hidden="true" customHeight="true" outlineLevel="3" collapsed="false">
      <c r="C61" s="99"/>
      <c r="D61" s="99"/>
      <c r="E61" s="100" t="str">
        <f aca="false">IF($T$61="","",SUMIFS(Mastersheet!$F$2:$F$400,Mastersheet!$A$2:$A$400,$T$61)/1000)</f>
        <v/>
      </c>
      <c r="F61" s="100" t="str">
        <f aca="false">IF($T$61="","",SUMIFS(Mastersheet!$G$2:$G$400,Mastersheet!$A$2:$A$400,$T$61)/1000)</f>
        <v/>
      </c>
      <c r="G61" s="100" t="str">
        <f aca="false">IF($T$61="","",SUMIFS(Mastersheet!$H$2:$H$400,Mastersheet!$A$2:$A$400,$T$61)/1000)</f>
        <v/>
      </c>
      <c r="H61" s="100" t="str">
        <f aca="false">IF($T$61="","",SUMIFS(Mastersheet!$I$2:$I$400,Mastersheet!$A$2:$A$400,$T$61)/1000)</f>
        <v/>
      </c>
      <c r="I61" s="101" t="str">
        <f aca="false">IF($T$61="","",SUMIFS(Mastersheet!$J$2:$J$400,Mastersheet!$A$2:$A$400,$T$61)/1000)</f>
        <v/>
      </c>
      <c r="J61" s="102" t="str">
        <f aca="false">IF($T$61="","",SUMIFS(Mastersheet!$K$2:$K$400,Mastersheet!$A$2:$A$400,$T$61)/1000)</f>
        <v/>
      </c>
      <c r="K61" s="103" t="str">
        <f aca="false">IF($T$61="","",SUMIFS(Mastersheet!$L$2:$L$400,Mastersheet!$A$2:$A$400,$T$61)/1000)</f>
        <v/>
      </c>
      <c r="L61" s="103" t="str">
        <f aca="false">IF($T$61="","",SUMIFS(Mastersheet!$M$2:$M$400,Mastersheet!$A$2:$A$400,$T$61)/1000)</f>
        <v/>
      </c>
      <c r="M61" s="103" t="str">
        <f aca="false">IF($T$61="","",SUMIFS(Mastersheet!$N$2:$N$400,Mastersheet!$A$2:$A$400,$T$61)/1000)</f>
        <v/>
      </c>
      <c r="N61" s="103" t="str">
        <f aca="false">IF($T$61="","",SUMIFS(Mastersheet!$O$2:$O$400,Mastersheet!$A$2:$A$400,$T$61)/1000)</f>
        <v/>
      </c>
      <c r="O61" s="92"/>
      <c r="P61" s="96"/>
      <c r="Q61" s="96"/>
      <c r="T61" s="97"/>
      <c r="U61" s="104" t="s">
        <v>415</v>
      </c>
      <c r="V61" s="104" t="s">
        <v>416</v>
      </c>
    </row>
    <row r="62" customFormat="false" ht="11.25" hidden="false" customHeight="true" outlineLevel="0" collapsed="false">
      <c r="C62" s="91" t="s">
        <v>429</v>
      </c>
      <c r="D62" s="91" t="s">
        <v>430</v>
      </c>
      <c r="E62" s="92" t="n">
        <f aca="false">SUMIFS(Mastersheet!$F$2:$F$400,Mastersheet!$D$2:$D$400,$T62,Mastersheet!$C$2:$C$400,$U62)/1000</f>
        <v>0</v>
      </c>
      <c r="F62" s="92" t="n">
        <f aca="false">SUMIFS(Mastersheet!$G$2:$G$400,Mastersheet!$D$2:$D$400,$T62,Mastersheet!$C$2:$C$400,$U62)/1000</f>
        <v>0</v>
      </c>
      <c r="G62" s="92" t="n">
        <f aca="false">SUMIFS(Mastersheet!$H$2:$H$400,Mastersheet!$D$2:$D$400,$T62,Mastersheet!$C$2:$C$400,$U62)/1000</f>
        <v>0</v>
      </c>
      <c r="H62" s="92" t="n">
        <f aca="false">SUMIFS(Mastersheet!$I$2:$I$400,Mastersheet!$D$2:$D$400,$T62,Mastersheet!$C$2:$C$400,$U62)/1000</f>
        <v>0</v>
      </c>
      <c r="I62" s="93" t="n">
        <f aca="false">SUMIFS(Mastersheet!$J$2:$J$400,Mastersheet!$D$2:$D$400,$T62,Mastersheet!$C$2:$C$400,$U62)/1000</f>
        <v>0</v>
      </c>
      <c r="J62" s="94" t="n">
        <f aca="false">SUMIFS(Mastersheet!$K$2:$K$400,Mastersheet!$D$2:$D$400,$T62,Mastersheet!$C$2:$C$400,$U62)/1000</f>
        <v>0</v>
      </c>
      <c r="K62" s="95" t="n">
        <f aca="false">SUMIFS(Mastersheet!$L$2:$L$400,Mastersheet!$D$2:$D$400,$T62,Mastersheet!$C$2:$C$400,$U62)/1000</f>
        <v>0</v>
      </c>
      <c r="L62" s="95" t="n">
        <f aca="false">SUMIFS(Mastersheet!$M$2:$M$400,Mastersheet!$D$2:$D$400,$T62,Mastersheet!$C$2:$C$400,$U62)/1000</f>
        <v>0</v>
      </c>
      <c r="M62" s="95" t="n">
        <f aca="false">SUMIFS(Mastersheet!$N$2:$N$400,Mastersheet!$D$2:$D$400,$T62,Mastersheet!$C$2:$C$400,$U62)/1000</f>
        <v>0</v>
      </c>
      <c r="N62" s="95" t="n">
        <f aca="false">SUMIFS(Mastersheet!$O$2:$O$400,Mastersheet!$D$2:$D$400,$T62,Mastersheet!$C$2:$C$400,$U62)/1000</f>
        <v>0</v>
      </c>
      <c r="O62" s="92"/>
      <c r="P62" s="96" t="str">
        <f aca="false">IFERROR(((H62/F62)^(1/(($H$1-$F$1)/365)))-1,"n/a")</f>
        <v>n/a</v>
      </c>
      <c r="Q62" s="96" t="str">
        <f aca="false">IFERROR(((N62/H62)^(1/(($N$1-$H$1)/365)))-1,"n/a")</f>
        <v>n/a</v>
      </c>
      <c r="T62" s="97" t="s">
        <v>429</v>
      </c>
      <c r="U62" s="98" t="s">
        <v>413</v>
      </c>
      <c r="V62" s="98" t="s">
        <v>414</v>
      </c>
    </row>
    <row r="63" customFormat="false" ht="11.25" hidden="true" customHeight="true" outlineLevel="3" collapsed="false">
      <c r="C63" s="99"/>
      <c r="D63" s="99"/>
      <c r="E63" s="100" t="str">
        <f aca="false">IF($T$63="","",SUMIFS(Mastersheet!$F$2:$F$400,Mastersheet!$A$2:$A$400,$T$63)/1000)</f>
        <v/>
      </c>
      <c r="F63" s="100" t="str">
        <f aca="false">IF($T$63="","",SUMIFS(Mastersheet!$G$2:$G$400,Mastersheet!$A$2:$A$400,$T$63)/1000)</f>
        <v/>
      </c>
      <c r="G63" s="100" t="str">
        <f aca="false">IF($T$63="","",SUMIFS(Mastersheet!$H$2:$H$400,Mastersheet!$A$2:$A$400,$T$63)/1000)</f>
        <v/>
      </c>
      <c r="H63" s="100" t="str">
        <f aca="false">IF($T$63="","",SUMIFS(Mastersheet!$I$2:$I$400,Mastersheet!$A$2:$A$400,$T$63)/1000)</f>
        <v/>
      </c>
      <c r="I63" s="101" t="str">
        <f aca="false">IF($T$63="","",SUMIFS(Mastersheet!$J$2:$J$400,Mastersheet!$A$2:$A$400,$T$63)/1000)</f>
        <v/>
      </c>
      <c r="J63" s="102" t="str">
        <f aca="false">IF($T$63="","",SUMIFS(Mastersheet!$K$2:$K$400,Mastersheet!$A$2:$A$400,$T$63)/1000)</f>
        <v/>
      </c>
      <c r="K63" s="103" t="str">
        <f aca="false">IF($T$63="","",SUMIFS(Mastersheet!$L$2:$L$400,Mastersheet!$A$2:$A$400,$T$63)/1000)</f>
        <v/>
      </c>
      <c r="L63" s="103" t="str">
        <f aca="false">IF($T$63="","",SUMIFS(Mastersheet!$M$2:$M$400,Mastersheet!$A$2:$A$400,$T$63)/1000)</f>
        <v/>
      </c>
      <c r="M63" s="103" t="str">
        <f aca="false">IF($T$63="","",SUMIFS(Mastersheet!$N$2:$N$400,Mastersheet!$A$2:$A$400,$T$63)/1000)</f>
        <v/>
      </c>
      <c r="N63" s="103" t="str">
        <f aca="false">IF($T$63="","",SUMIFS(Mastersheet!$O$2:$O$400,Mastersheet!$A$2:$A$400,$T$63)/1000)</f>
        <v/>
      </c>
      <c r="O63" s="92"/>
      <c r="P63" s="96"/>
      <c r="Q63" s="96"/>
      <c r="T63" s="97"/>
      <c r="U63" s="104" t="s">
        <v>415</v>
      </c>
      <c r="V63" s="104" t="s">
        <v>416</v>
      </c>
    </row>
    <row r="64" customFormat="false" ht="11.25" hidden="true" customHeight="true" outlineLevel="3" collapsed="false">
      <c r="C64" s="99"/>
      <c r="D64" s="99"/>
      <c r="E64" s="100" t="str">
        <f aca="false">IF($T$64="","",SUMIFS(Mastersheet!$F$2:$F$400,Mastersheet!$A$2:$A$400,$T$64)/1000)</f>
        <v/>
      </c>
      <c r="F64" s="100" t="str">
        <f aca="false">IF($T$64="","",SUMIFS(Mastersheet!$G$2:$G$400,Mastersheet!$A$2:$A$400,$T$64)/1000)</f>
        <v/>
      </c>
      <c r="G64" s="100" t="str">
        <f aca="false">IF($T$64="","",SUMIFS(Mastersheet!$H$2:$H$400,Mastersheet!$A$2:$A$400,$T$64)/1000)</f>
        <v/>
      </c>
      <c r="H64" s="100" t="str">
        <f aca="false">IF($T$64="","",SUMIFS(Mastersheet!$I$2:$I$400,Mastersheet!$A$2:$A$400,$T$64)/1000)</f>
        <v/>
      </c>
      <c r="I64" s="101" t="str">
        <f aca="false">IF($T$64="","",SUMIFS(Mastersheet!$J$2:$J$400,Mastersheet!$A$2:$A$400,$T$64)/1000)</f>
        <v/>
      </c>
      <c r="J64" s="102" t="str">
        <f aca="false">IF($T$64="","",SUMIFS(Mastersheet!$K$2:$K$400,Mastersheet!$A$2:$A$400,$T$64)/1000)</f>
        <v/>
      </c>
      <c r="K64" s="103" t="str">
        <f aca="false">IF($T$64="","",SUMIFS(Mastersheet!$L$2:$L$400,Mastersheet!$A$2:$A$400,$T$64)/1000)</f>
        <v/>
      </c>
      <c r="L64" s="103" t="str">
        <f aca="false">IF($T$64="","",SUMIFS(Mastersheet!$M$2:$M$400,Mastersheet!$A$2:$A$400,$T$64)/1000)</f>
        <v/>
      </c>
      <c r="M64" s="103" t="str">
        <f aca="false">IF($T$64="","",SUMIFS(Mastersheet!$N$2:$N$400,Mastersheet!$A$2:$A$400,$T$64)/1000)</f>
        <v/>
      </c>
      <c r="N64" s="103" t="str">
        <f aca="false">IF($T$64="","",SUMIFS(Mastersheet!$O$2:$O$400,Mastersheet!$A$2:$A$400,$T$64)/1000)</f>
        <v/>
      </c>
      <c r="O64" s="92"/>
      <c r="P64" s="96"/>
      <c r="Q64" s="96"/>
      <c r="T64" s="97"/>
      <c r="U64" s="104" t="s">
        <v>415</v>
      </c>
      <c r="V64" s="104" t="s">
        <v>416</v>
      </c>
    </row>
    <row r="65" customFormat="false" ht="11.25" hidden="true" customHeight="true" outlineLevel="3" collapsed="false">
      <c r="C65" s="99"/>
      <c r="D65" s="99"/>
      <c r="E65" s="100" t="str">
        <f aca="false">IF($T$65="","",SUMIFS(Mastersheet!$F$2:$F$400,Mastersheet!$A$2:$A$400,$T$65)/1000)</f>
        <v/>
      </c>
      <c r="F65" s="100" t="str">
        <f aca="false">IF($T$65="","",SUMIFS(Mastersheet!$G$2:$G$400,Mastersheet!$A$2:$A$400,$T$65)/1000)</f>
        <v/>
      </c>
      <c r="G65" s="100" t="str">
        <f aca="false">IF($T$65="","",SUMIFS(Mastersheet!$H$2:$H$400,Mastersheet!$A$2:$A$400,$T$65)/1000)</f>
        <v/>
      </c>
      <c r="H65" s="100" t="str">
        <f aca="false">IF($T$65="","",SUMIFS(Mastersheet!$I$2:$I$400,Mastersheet!$A$2:$A$400,$T$65)/1000)</f>
        <v/>
      </c>
      <c r="I65" s="101" t="str">
        <f aca="false">IF($T$65="","",SUMIFS(Mastersheet!$J$2:$J$400,Mastersheet!$A$2:$A$400,$T$65)/1000)</f>
        <v/>
      </c>
      <c r="J65" s="102" t="str">
        <f aca="false">IF($T$65="","",SUMIFS(Mastersheet!$K$2:$K$400,Mastersheet!$A$2:$A$400,$T$65)/1000)</f>
        <v/>
      </c>
      <c r="K65" s="103" t="str">
        <f aca="false">IF($T$65="","",SUMIFS(Mastersheet!$L$2:$L$400,Mastersheet!$A$2:$A$400,$T$65)/1000)</f>
        <v/>
      </c>
      <c r="L65" s="103" t="str">
        <f aca="false">IF($T$65="","",SUMIFS(Mastersheet!$M$2:$M$400,Mastersheet!$A$2:$A$400,$T$65)/1000)</f>
        <v/>
      </c>
      <c r="M65" s="103" t="str">
        <f aca="false">IF($T$65="","",SUMIFS(Mastersheet!$N$2:$N$400,Mastersheet!$A$2:$A$400,$T$65)/1000)</f>
        <v/>
      </c>
      <c r="N65" s="103" t="str">
        <f aca="false">IF($T$65="","",SUMIFS(Mastersheet!$O$2:$O$400,Mastersheet!$A$2:$A$400,$T$65)/1000)</f>
        <v/>
      </c>
      <c r="O65" s="92"/>
      <c r="P65" s="96"/>
      <c r="Q65" s="96"/>
      <c r="T65" s="97"/>
      <c r="U65" s="104" t="s">
        <v>415</v>
      </c>
      <c r="V65" s="104" t="s">
        <v>416</v>
      </c>
    </row>
    <row r="66" customFormat="false" ht="11.25" hidden="true" customHeight="true" outlineLevel="3" collapsed="false">
      <c r="C66" s="99"/>
      <c r="D66" s="99"/>
      <c r="E66" s="100" t="str">
        <f aca="false">IF($T$66="","",SUMIFS(Mastersheet!$F$2:$F$400,Mastersheet!$A$2:$A$400,$T$66)/1000)</f>
        <v/>
      </c>
      <c r="F66" s="100" t="str">
        <f aca="false">IF($T$66="","",SUMIFS(Mastersheet!$G$2:$G$400,Mastersheet!$A$2:$A$400,$T$66)/1000)</f>
        <v/>
      </c>
      <c r="G66" s="100" t="str">
        <f aca="false">IF($T$66="","",SUMIFS(Mastersheet!$H$2:$H$400,Mastersheet!$A$2:$A$400,$T$66)/1000)</f>
        <v/>
      </c>
      <c r="H66" s="100" t="str">
        <f aca="false">IF($T$66="","",SUMIFS(Mastersheet!$I$2:$I$400,Mastersheet!$A$2:$A$400,$T$66)/1000)</f>
        <v/>
      </c>
      <c r="I66" s="101" t="str">
        <f aca="false">IF($T$66="","",SUMIFS(Mastersheet!$J$2:$J$400,Mastersheet!$A$2:$A$400,$T$66)/1000)</f>
        <v/>
      </c>
      <c r="J66" s="102" t="str">
        <f aca="false">IF($T$66="","",SUMIFS(Mastersheet!$K$2:$K$400,Mastersheet!$A$2:$A$400,$T$66)/1000)</f>
        <v/>
      </c>
      <c r="K66" s="103" t="str">
        <f aca="false">IF($T$66="","",SUMIFS(Mastersheet!$L$2:$L$400,Mastersheet!$A$2:$A$400,$T$66)/1000)</f>
        <v/>
      </c>
      <c r="L66" s="103" t="str">
        <f aca="false">IF($T$66="","",SUMIFS(Mastersheet!$M$2:$M$400,Mastersheet!$A$2:$A$400,$T$66)/1000)</f>
        <v/>
      </c>
      <c r="M66" s="103" t="str">
        <f aca="false">IF($T$66="","",SUMIFS(Mastersheet!$N$2:$N$400,Mastersheet!$A$2:$A$400,$T$66)/1000)</f>
        <v/>
      </c>
      <c r="N66" s="103" t="str">
        <f aca="false">IF($T$66="","",SUMIFS(Mastersheet!$O$2:$O$400,Mastersheet!$A$2:$A$400,$T$66)/1000)</f>
        <v/>
      </c>
      <c r="O66" s="92"/>
      <c r="P66" s="96"/>
      <c r="Q66" s="96"/>
      <c r="T66" s="97"/>
      <c r="U66" s="104" t="s">
        <v>415</v>
      </c>
      <c r="V66" s="104" t="s">
        <v>416</v>
      </c>
    </row>
    <row r="67" customFormat="false" ht="11.25" hidden="true" customHeight="true" outlineLevel="3" collapsed="false">
      <c r="C67" s="99"/>
      <c r="D67" s="99"/>
      <c r="E67" s="100" t="str">
        <f aca="false">IF($T$67="","",SUMIFS(Mastersheet!$F$2:$F$400,Mastersheet!$A$2:$A$400,$T$67)/1000)</f>
        <v/>
      </c>
      <c r="F67" s="100" t="str">
        <f aca="false">IF($T$67="","",SUMIFS(Mastersheet!$G$2:$G$400,Mastersheet!$A$2:$A$400,$T$67)/1000)</f>
        <v/>
      </c>
      <c r="G67" s="100" t="str">
        <f aca="false">IF($T$67="","",SUMIFS(Mastersheet!$H$2:$H$400,Mastersheet!$A$2:$A$400,$T$67)/1000)</f>
        <v/>
      </c>
      <c r="H67" s="100" t="str">
        <f aca="false">IF($T$67="","",SUMIFS(Mastersheet!$I$2:$I$400,Mastersheet!$A$2:$A$400,$T$67)/1000)</f>
        <v/>
      </c>
      <c r="I67" s="101" t="str">
        <f aca="false">IF($T$67="","",SUMIFS(Mastersheet!$J$2:$J$400,Mastersheet!$A$2:$A$400,$T$67)/1000)</f>
        <v/>
      </c>
      <c r="J67" s="102" t="str">
        <f aca="false">IF($T$67="","",SUMIFS(Mastersheet!$K$2:$K$400,Mastersheet!$A$2:$A$400,$T$67)/1000)</f>
        <v/>
      </c>
      <c r="K67" s="103" t="str">
        <f aca="false">IF($T$67="","",SUMIFS(Mastersheet!$L$2:$L$400,Mastersheet!$A$2:$A$400,$T$67)/1000)</f>
        <v/>
      </c>
      <c r="L67" s="103" t="str">
        <f aca="false">IF($T$67="","",SUMIFS(Mastersheet!$M$2:$M$400,Mastersheet!$A$2:$A$400,$T$67)/1000)</f>
        <v/>
      </c>
      <c r="M67" s="103" t="str">
        <f aca="false">IF($T$67="","",SUMIFS(Mastersheet!$N$2:$N$400,Mastersheet!$A$2:$A$400,$T$67)/1000)</f>
        <v/>
      </c>
      <c r="N67" s="103" t="str">
        <f aca="false">IF($T$67="","",SUMIFS(Mastersheet!$O$2:$O$400,Mastersheet!$A$2:$A$400,$T$67)/1000)</f>
        <v/>
      </c>
      <c r="O67" s="92"/>
      <c r="P67" s="96"/>
      <c r="Q67" s="96"/>
      <c r="T67" s="97"/>
      <c r="U67" s="104" t="s">
        <v>415</v>
      </c>
      <c r="V67" s="104" t="s">
        <v>416</v>
      </c>
    </row>
    <row r="68" customFormat="false" ht="11.25" hidden="true" customHeight="true" outlineLevel="3" collapsed="false">
      <c r="C68" s="99"/>
      <c r="D68" s="99"/>
      <c r="E68" s="100" t="str">
        <f aca="false">IF($T$68="","",SUMIFS(Mastersheet!$F$2:$F$400,Mastersheet!$A$2:$A$400,$T$68)/1000)</f>
        <v/>
      </c>
      <c r="F68" s="100" t="str">
        <f aca="false">IF($T$68="","",SUMIFS(Mastersheet!$G$2:$G$400,Mastersheet!$A$2:$A$400,$T$68)/1000)</f>
        <v/>
      </c>
      <c r="G68" s="100" t="str">
        <f aca="false">IF($T$68="","",SUMIFS(Mastersheet!$H$2:$H$400,Mastersheet!$A$2:$A$400,$T$68)/1000)</f>
        <v/>
      </c>
      <c r="H68" s="100" t="str">
        <f aca="false">IF($T$68="","",SUMIFS(Mastersheet!$I$2:$I$400,Mastersheet!$A$2:$A$400,$T$68)/1000)</f>
        <v/>
      </c>
      <c r="I68" s="101" t="str">
        <f aca="false">IF($T$68="","",SUMIFS(Mastersheet!$J$2:$J$400,Mastersheet!$A$2:$A$400,$T$68)/1000)</f>
        <v/>
      </c>
      <c r="J68" s="102" t="str">
        <f aca="false">IF($T$68="","",SUMIFS(Mastersheet!$K$2:$K$400,Mastersheet!$A$2:$A$400,$T$68)/1000)</f>
        <v/>
      </c>
      <c r="K68" s="103" t="str">
        <f aca="false">IF($T$68="","",SUMIFS(Mastersheet!$L$2:$L$400,Mastersheet!$A$2:$A$400,$T$68)/1000)</f>
        <v/>
      </c>
      <c r="L68" s="103" t="str">
        <f aca="false">IF($T$68="","",SUMIFS(Mastersheet!$M$2:$M$400,Mastersheet!$A$2:$A$400,$T$68)/1000)</f>
        <v/>
      </c>
      <c r="M68" s="103" t="str">
        <f aca="false">IF($T$68="","",SUMIFS(Mastersheet!$N$2:$N$400,Mastersheet!$A$2:$A$400,$T$68)/1000)</f>
        <v/>
      </c>
      <c r="N68" s="103" t="str">
        <f aca="false">IF($T$68="","",SUMIFS(Mastersheet!$O$2:$O$400,Mastersheet!$A$2:$A$400,$T$68)/1000)</f>
        <v/>
      </c>
      <c r="O68" s="92"/>
      <c r="P68" s="96"/>
      <c r="Q68" s="96"/>
      <c r="T68" s="97"/>
      <c r="U68" s="104" t="s">
        <v>415</v>
      </c>
      <c r="V68" s="104" t="s">
        <v>416</v>
      </c>
    </row>
    <row r="69" customFormat="false" ht="11.25" hidden="true" customHeight="true" outlineLevel="3" collapsed="false">
      <c r="C69" s="99"/>
      <c r="D69" s="99"/>
      <c r="E69" s="100" t="str">
        <f aca="false">IF($T$69="","",SUMIFS(Mastersheet!$F$2:$F$400,Mastersheet!$A$2:$A$400,$T$69)/1000)</f>
        <v/>
      </c>
      <c r="F69" s="100" t="str">
        <f aca="false">IF($T$69="","",SUMIFS(Mastersheet!$G$2:$G$400,Mastersheet!$A$2:$A$400,$T$69)/1000)</f>
        <v/>
      </c>
      <c r="G69" s="100" t="str">
        <f aca="false">IF($T$69="","",SUMIFS(Mastersheet!$H$2:$H$400,Mastersheet!$A$2:$A$400,$T$69)/1000)</f>
        <v/>
      </c>
      <c r="H69" s="100" t="str">
        <f aca="false">IF($T$69="","",SUMIFS(Mastersheet!$I$2:$I$400,Mastersheet!$A$2:$A$400,$T$69)/1000)</f>
        <v/>
      </c>
      <c r="I69" s="101" t="str">
        <f aca="false">IF($T$69="","",SUMIFS(Mastersheet!$J$2:$J$400,Mastersheet!$A$2:$A$400,$T$69)/1000)</f>
        <v/>
      </c>
      <c r="J69" s="102" t="str">
        <f aca="false">IF($T$69="","",SUMIFS(Mastersheet!$K$2:$K$400,Mastersheet!$A$2:$A$400,$T$69)/1000)</f>
        <v/>
      </c>
      <c r="K69" s="103" t="str">
        <f aca="false">IF($T$69="","",SUMIFS(Mastersheet!$L$2:$L$400,Mastersheet!$A$2:$A$400,$T$69)/1000)</f>
        <v/>
      </c>
      <c r="L69" s="103" t="str">
        <f aca="false">IF($T$69="","",SUMIFS(Mastersheet!$M$2:$M$400,Mastersheet!$A$2:$A$400,$T$69)/1000)</f>
        <v/>
      </c>
      <c r="M69" s="103" t="str">
        <f aca="false">IF($T$69="","",SUMIFS(Mastersheet!$N$2:$N$400,Mastersheet!$A$2:$A$400,$T$69)/1000)</f>
        <v/>
      </c>
      <c r="N69" s="103" t="str">
        <f aca="false">IF($T$69="","",SUMIFS(Mastersheet!$O$2:$O$400,Mastersheet!$A$2:$A$400,$T$69)/1000)</f>
        <v/>
      </c>
      <c r="O69" s="92"/>
      <c r="P69" s="96"/>
      <c r="Q69" s="96"/>
      <c r="T69" s="97"/>
      <c r="U69" s="104" t="s">
        <v>415</v>
      </c>
      <c r="V69" s="104" t="s">
        <v>416</v>
      </c>
    </row>
    <row r="70" customFormat="false" ht="11.25" hidden="true" customHeight="true" outlineLevel="3" collapsed="false">
      <c r="C70" s="99"/>
      <c r="D70" s="99"/>
      <c r="E70" s="100" t="str">
        <f aca="false">IF($T$70="","",SUMIFS(Mastersheet!$F$2:$F$400,Mastersheet!$A$2:$A$400,$T$70)/1000)</f>
        <v/>
      </c>
      <c r="F70" s="100" t="str">
        <f aca="false">IF($T$70="","",SUMIFS(Mastersheet!$G$2:$G$400,Mastersheet!$A$2:$A$400,$T$70)/1000)</f>
        <v/>
      </c>
      <c r="G70" s="100" t="str">
        <f aca="false">IF($T$70="","",SUMIFS(Mastersheet!$H$2:$H$400,Mastersheet!$A$2:$A$400,$T$70)/1000)</f>
        <v/>
      </c>
      <c r="H70" s="100" t="str">
        <f aca="false">IF($T$70="","",SUMIFS(Mastersheet!$I$2:$I$400,Mastersheet!$A$2:$A$400,$T$70)/1000)</f>
        <v/>
      </c>
      <c r="I70" s="101" t="str">
        <f aca="false">IF($T$70="","",SUMIFS(Mastersheet!$J$2:$J$400,Mastersheet!$A$2:$A$400,$T$70)/1000)</f>
        <v/>
      </c>
      <c r="J70" s="102" t="str">
        <f aca="false">IF($T$70="","",SUMIFS(Mastersheet!$K$2:$K$400,Mastersheet!$A$2:$A$400,$T$70)/1000)</f>
        <v/>
      </c>
      <c r="K70" s="103" t="str">
        <f aca="false">IF($T$70="","",SUMIFS(Mastersheet!$L$2:$L$400,Mastersheet!$A$2:$A$400,$T$70)/1000)</f>
        <v/>
      </c>
      <c r="L70" s="103" t="str">
        <f aca="false">IF($T$70="","",SUMIFS(Mastersheet!$M$2:$M$400,Mastersheet!$A$2:$A$400,$T$70)/1000)</f>
        <v/>
      </c>
      <c r="M70" s="103" t="str">
        <f aca="false">IF($T$70="","",SUMIFS(Mastersheet!$N$2:$N$400,Mastersheet!$A$2:$A$400,$T$70)/1000)</f>
        <v/>
      </c>
      <c r="N70" s="103" t="str">
        <f aca="false">IF($T$70="","",SUMIFS(Mastersheet!$O$2:$O$400,Mastersheet!$A$2:$A$400,$T$70)/1000)</f>
        <v/>
      </c>
      <c r="O70" s="92"/>
      <c r="P70" s="96"/>
      <c r="Q70" s="96"/>
      <c r="T70" s="97"/>
      <c r="U70" s="104" t="s">
        <v>415</v>
      </c>
      <c r="V70" s="104" t="s">
        <v>416</v>
      </c>
    </row>
    <row r="71" customFormat="false" ht="11.25" hidden="false" customHeight="true" outlineLevel="0" collapsed="false">
      <c r="C71" s="91" t="s">
        <v>431</v>
      </c>
      <c r="D71" s="91" t="s">
        <v>432</v>
      </c>
      <c r="E71" s="92" t="n">
        <f aca="false">SUMIFS(Mastersheet!$F$2:$F$400,Mastersheet!$D$2:$D$400,$T71,Mastersheet!$C$2:$C$400,$U71)/1000</f>
        <v>0</v>
      </c>
      <c r="F71" s="92" t="n">
        <f aca="false">SUMIFS(Mastersheet!$G$2:$G$400,Mastersheet!$D$2:$D$400,$T71,Mastersheet!$C$2:$C$400,$U71)/1000</f>
        <v>0</v>
      </c>
      <c r="G71" s="92" t="n">
        <f aca="false">SUMIFS(Mastersheet!$H$2:$H$400,Mastersheet!$D$2:$D$400,$T71,Mastersheet!$C$2:$C$400,$U71)/1000</f>
        <v>0</v>
      </c>
      <c r="H71" s="92" t="n">
        <f aca="false">SUMIFS(Mastersheet!$I$2:$I$400,Mastersheet!$D$2:$D$400,$T71,Mastersheet!$C$2:$C$400,$U71)/1000</f>
        <v>0</v>
      </c>
      <c r="I71" s="93" t="n">
        <f aca="false">SUMIFS(Mastersheet!$J$2:$J$400,Mastersheet!$D$2:$D$400,$T71,Mastersheet!$C$2:$C$400,$U71)/1000</f>
        <v>0</v>
      </c>
      <c r="J71" s="94" t="n">
        <f aca="false">SUMIFS(Mastersheet!$K$2:$K$400,Mastersheet!$D$2:$D$400,$T71,Mastersheet!$C$2:$C$400,$U71)/1000</f>
        <v>0</v>
      </c>
      <c r="K71" s="95" t="n">
        <f aca="false">SUMIFS(Mastersheet!$L$2:$L$400,Mastersheet!$D$2:$D$400,$T71,Mastersheet!$C$2:$C$400,$U71)/1000</f>
        <v>0</v>
      </c>
      <c r="L71" s="95" t="n">
        <f aca="false">SUMIFS(Mastersheet!$M$2:$M$400,Mastersheet!$D$2:$D$400,$T71,Mastersheet!$C$2:$C$400,$U71)/1000</f>
        <v>0</v>
      </c>
      <c r="M71" s="95" t="n">
        <f aca="false">SUMIFS(Mastersheet!$N$2:$N$400,Mastersheet!$D$2:$D$400,$T71,Mastersheet!$C$2:$C$400,$U71)/1000</f>
        <v>0</v>
      </c>
      <c r="N71" s="95" t="n">
        <f aca="false">SUMIFS(Mastersheet!$O$2:$O$400,Mastersheet!$D$2:$D$400,$T71,Mastersheet!$C$2:$C$400,$U71)/1000</f>
        <v>0</v>
      </c>
      <c r="O71" s="92"/>
      <c r="P71" s="96" t="str">
        <f aca="false">IFERROR(((H71/F71)^(1/(($H$1-$F$1)/365)))-1,"n/a")</f>
        <v>n/a</v>
      </c>
      <c r="Q71" s="96" t="str">
        <f aca="false">IFERROR(((N71/H71)^(1/(($N$1-$H$1)/365)))-1,"n/a")</f>
        <v>n/a</v>
      </c>
      <c r="T71" s="97" t="s">
        <v>431</v>
      </c>
      <c r="U71" s="98" t="s">
        <v>413</v>
      </c>
      <c r="V71" s="98" t="s">
        <v>414</v>
      </c>
    </row>
    <row r="72" customFormat="false" ht="11.25" hidden="true" customHeight="true" outlineLevel="3" collapsed="false">
      <c r="C72" s="99"/>
      <c r="D72" s="99"/>
      <c r="E72" s="100" t="str">
        <f aca="false">IF($T$72="","",SUMIFS(Mastersheet!$F$2:$F$400,Mastersheet!$A$2:$A$400,$T$72)/1000)</f>
        <v/>
      </c>
      <c r="F72" s="100" t="str">
        <f aca="false">IF($T$72="","",SUMIFS(Mastersheet!$G$2:$G$400,Mastersheet!$A$2:$A$400,$T$72)/1000)</f>
        <v/>
      </c>
      <c r="G72" s="100" t="str">
        <f aca="false">IF($T$72="","",SUMIFS(Mastersheet!$H$2:$H$400,Mastersheet!$A$2:$A$400,$T$72)/1000)</f>
        <v/>
      </c>
      <c r="H72" s="100" t="str">
        <f aca="false">IF($T$72="","",SUMIFS(Mastersheet!$I$2:$I$400,Mastersheet!$A$2:$A$400,$T$72)/1000)</f>
        <v/>
      </c>
      <c r="I72" s="101" t="str">
        <f aca="false">IF($T$72="","",SUMIFS(Mastersheet!$J$2:$J$400,Mastersheet!$A$2:$A$400,$T$72)/1000)</f>
        <v/>
      </c>
      <c r="J72" s="102" t="str">
        <f aca="false">IF($T$72="","",SUMIFS(Mastersheet!$K$2:$K$400,Mastersheet!$A$2:$A$400,$T$72)/1000)</f>
        <v/>
      </c>
      <c r="K72" s="103" t="str">
        <f aca="false">IF($T$72="","",SUMIFS(Mastersheet!$L$2:$L$400,Mastersheet!$A$2:$A$400,$T$72)/1000)</f>
        <v/>
      </c>
      <c r="L72" s="103" t="str">
        <f aca="false">IF($T$72="","",SUMIFS(Mastersheet!$M$2:$M$400,Mastersheet!$A$2:$A$400,$T$72)/1000)</f>
        <v/>
      </c>
      <c r="M72" s="103" t="str">
        <f aca="false">IF($T$72="","",SUMIFS(Mastersheet!$N$2:$N$400,Mastersheet!$A$2:$A$400,$T$72)/1000)</f>
        <v/>
      </c>
      <c r="N72" s="103" t="str">
        <f aca="false">IF($T$72="","",SUMIFS(Mastersheet!$O$2:$O$400,Mastersheet!$A$2:$A$400,$T$72)/1000)</f>
        <v/>
      </c>
      <c r="O72" s="92"/>
      <c r="P72" s="96"/>
      <c r="Q72" s="96"/>
      <c r="T72" s="97"/>
      <c r="U72" s="104" t="s">
        <v>415</v>
      </c>
      <c r="V72" s="104" t="s">
        <v>416</v>
      </c>
    </row>
    <row r="73" customFormat="false" ht="11.25" hidden="true" customHeight="true" outlineLevel="3" collapsed="false">
      <c r="C73" s="99"/>
      <c r="D73" s="99"/>
      <c r="E73" s="100" t="str">
        <f aca="false">IF($T$73="","",SUMIFS(Mastersheet!$F$2:$F$400,Mastersheet!$A$2:$A$400,$T$73)/1000)</f>
        <v/>
      </c>
      <c r="F73" s="100" t="str">
        <f aca="false">IF($T$73="","",SUMIFS(Mastersheet!$G$2:$G$400,Mastersheet!$A$2:$A$400,$T$73)/1000)</f>
        <v/>
      </c>
      <c r="G73" s="100" t="str">
        <f aca="false">IF($T$73="","",SUMIFS(Mastersheet!$H$2:$H$400,Mastersheet!$A$2:$A$400,$T$73)/1000)</f>
        <v/>
      </c>
      <c r="H73" s="100" t="str">
        <f aca="false">IF($T$73="","",SUMIFS(Mastersheet!$I$2:$I$400,Mastersheet!$A$2:$A$400,$T$73)/1000)</f>
        <v/>
      </c>
      <c r="I73" s="101" t="str">
        <f aca="false">IF($T$73="","",SUMIFS(Mastersheet!$J$2:$J$400,Mastersheet!$A$2:$A$400,$T$73)/1000)</f>
        <v/>
      </c>
      <c r="J73" s="102" t="str">
        <f aca="false">IF($T$73="","",SUMIFS(Mastersheet!$K$2:$K$400,Mastersheet!$A$2:$A$400,$T$73)/1000)</f>
        <v/>
      </c>
      <c r="K73" s="103" t="str">
        <f aca="false">IF($T$73="","",SUMIFS(Mastersheet!$L$2:$L$400,Mastersheet!$A$2:$A$400,$T$73)/1000)</f>
        <v/>
      </c>
      <c r="L73" s="103" t="str">
        <f aca="false">IF($T$73="","",SUMIFS(Mastersheet!$M$2:$M$400,Mastersheet!$A$2:$A$400,$T$73)/1000)</f>
        <v/>
      </c>
      <c r="M73" s="103" t="str">
        <f aca="false">IF($T$73="","",SUMIFS(Mastersheet!$N$2:$N$400,Mastersheet!$A$2:$A$400,$T$73)/1000)</f>
        <v/>
      </c>
      <c r="N73" s="103" t="str">
        <f aca="false">IF($T$73="","",SUMIFS(Mastersheet!$O$2:$O$400,Mastersheet!$A$2:$A$400,$T$73)/1000)</f>
        <v/>
      </c>
      <c r="O73" s="92"/>
      <c r="P73" s="96"/>
      <c r="Q73" s="96"/>
      <c r="T73" s="97"/>
      <c r="U73" s="104" t="s">
        <v>415</v>
      </c>
      <c r="V73" s="104" t="s">
        <v>416</v>
      </c>
    </row>
    <row r="74" customFormat="false" ht="11.25" hidden="true" customHeight="true" outlineLevel="3" collapsed="false">
      <c r="C74" s="99"/>
      <c r="D74" s="99"/>
      <c r="E74" s="100" t="str">
        <f aca="false">IF($T$74="","",SUMIFS(Mastersheet!$F$2:$F$400,Mastersheet!$A$2:$A$400,$T$74)/1000)</f>
        <v/>
      </c>
      <c r="F74" s="100" t="str">
        <f aca="false">IF($T$74="","",SUMIFS(Mastersheet!$G$2:$G$400,Mastersheet!$A$2:$A$400,$T$74)/1000)</f>
        <v/>
      </c>
      <c r="G74" s="100" t="str">
        <f aca="false">IF($T$74="","",SUMIFS(Mastersheet!$H$2:$H$400,Mastersheet!$A$2:$A$400,$T$74)/1000)</f>
        <v/>
      </c>
      <c r="H74" s="100" t="str">
        <f aca="false">IF($T$74="","",SUMIFS(Mastersheet!$I$2:$I$400,Mastersheet!$A$2:$A$400,$T$74)/1000)</f>
        <v/>
      </c>
      <c r="I74" s="101" t="str">
        <f aca="false">IF($T$74="","",SUMIFS(Mastersheet!$J$2:$J$400,Mastersheet!$A$2:$A$400,$T$74)/1000)</f>
        <v/>
      </c>
      <c r="J74" s="102" t="str">
        <f aca="false">IF($T$74="","",SUMIFS(Mastersheet!$K$2:$K$400,Mastersheet!$A$2:$A$400,$T$74)/1000)</f>
        <v/>
      </c>
      <c r="K74" s="103" t="str">
        <f aca="false">IF($T$74="","",SUMIFS(Mastersheet!$L$2:$L$400,Mastersheet!$A$2:$A$400,$T$74)/1000)</f>
        <v/>
      </c>
      <c r="L74" s="103" t="str">
        <f aca="false">IF($T$74="","",SUMIFS(Mastersheet!$M$2:$M$400,Mastersheet!$A$2:$A$400,$T$74)/1000)</f>
        <v/>
      </c>
      <c r="M74" s="103" t="str">
        <f aca="false">IF($T$74="","",SUMIFS(Mastersheet!$N$2:$N$400,Mastersheet!$A$2:$A$400,$T$74)/1000)</f>
        <v/>
      </c>
      <c r="N74" s="103" t="str">
        <f aca="false">IF($T$74="","",SUMIFS(Mastersheet!$O$2:$O$400,Mastersheet!$A$2:$A$400,$T$74)/1000)</f>
        <v/>
      </c>
      <c r="O74" s="92"/>
      <c r="P74" s="96"/>
      <c r="Q74" s="96"/>
      <c r="T74" s="97"/>
      <c r="U74" s="104" t="s">
        <v>415</v>
      </c>
      <c r="V74" s="104" t="s">
        <v>416</v>
      </c>
    </row>
    <row r="75" customFormat="false" ht="11.25" hidden="true" customHeight="true" outlineLevel="3" collapsed="false">
      <c r="C75" s="99"/>
      <c r="D75" s="99"/>
      <c r="E75" s="100" t="str">
        <f aca="false">IF($T$75="","",SUMIFS(Mastersheet!$F$2:$F$400,Mastersheet!$A$2:$A$400,$T$75)/1000)</f>
        <v/>
      </c>
      <c r="F75" s="100" t="str">
        <f aca="false">IF($T$75="","",SUMIFS(Mastersheet!$G$2:$G$400,Mastersheet!$A$2:$A$400,$T$75)/1000)</f>
        <v/>
      </c>
      <c r="G75" s="100" t="str">
        <f aca="false">IF($T$75="","",SUMIFS(Mastersheet!$H$2:$H$400,Mastersheet!$A$2:$A$400,$T$75)/1000)</f>
        <v/>
      </c>
      <c r="H75" s="100" t="str">
        <f aca="false">IF($T$75="","",SUMIFS(Mastersheet!$I$2:$I$400,Mastersheet!$A$2:$A$400,$T$75)/1000)</f>
        <v/>
      </c>
      <c r="I75" s="101" t="str">
        <f aca="false">IF($T$75="","",SUMIFS(Mastersheet!$J$2:$J$400,Mastersheet!$A$2:$A$400,$T$75)/1000)</f>
        <v/>
      </c>
      <c r="J75" s="102" t="str">
        <f aca="false">IF($T$75="","",SUMIFS(Mastersheet!$K$2:$K$400,Mastersheet!$A$2:$A$400,$T$75)/1000)</f>
        <v/>
      </c>
      <c r="K75" s="103" t="str">
        <f aca="false">IF($T$75="","",SUMIFS(Mastersheet!$L$2:$L$400,Mastersheet!$A$2:$A$400,$T$75)/1000)</f>
        <v/>
      </c>
      <c r="L75" s="103" t="str">
        <f aca="false">IF($T$75="","",SUMIFS(Mastersheet!$M$2:$M$400,Mastersheet!$A$2:$A$400,$T$75)/1000)</f>
        <v/>
      </c>
      <c r="M75" s="103" t="str">
        <f aca="false">IF($T$75="","",SUMIFS(Mastersheet!$N$2:$N$400,Mastersheet!$A$2:$A$400,$T$75)/1000)</f>
        <v/>
      </c>
      <c r="N75" s="103" t="str">
        <f aca="false">IF($T$75="","",SUMIFS(Mastersheet!$O$2:$O$400,Mastersheet!$A$2:$A$400,$T$75)/1000)</f>
        <v/>
      </c>
      <c r="O75" s="92"/>
      <c r="P75" s="96"/>
      <c r="Q75" s="96"/>
      <c r="T75" s="97"/>
      <c r="U75" s="104" t="s">
        <v>415</v>
      </c>
      <c r="V75" s="104" t="s">
        <v>416</v>
      </c>
    </row>
    <row r="76" customFormat="false" ht="11.25" hidden="true" customHeight="true" outlineLevel="3" collapsed="false">
      <c r="C76" s="99"/>
      <c r="D76" s="99"/>
      <c r="E76" s="100" t="str">
        <f aca="false">IF($T$76="","",SUMIFS(Mastersheet!$F$2:$F$400,Mastersheet!$A$2:$A$400,$T$76)/1000)</f>
        <v/>
      </c>
      <c r="F76" s="100" t="str">
        <f aca="false">IF($T$76="","",SUMIFS(Mastersheet!$G$2:$G$400,Mastersheet!$A$2:$A$400,$T$76)/1000)</f>
        <v/>
      </c>
      <c r="G76" s="100" t="str">
        <f aca="false">IF($T$76="","",SUMIFS(Mastersheet!$H$2:$H$400,Mastersheet!$A$2:$A$400,$T$76)/1000)</f>
        <v/>
      </c>
      <c r="H76" s="100" t="str">
        <f aca="false">IF($T$76="","",SUMIFS(Mastersheet!$I$2:$I$400,Mastersheet!$A$2:$A$400,$T$76)/1000)</f>
        <v/>
      </c>
      <c r="I76" s="101" t="str">
        <f aca="false">IF($T$76="","",SUMIFS(Mastersheet!$J$2:$J$400,Mastersheet!$A$2:$A$400,$T$76)/1000)</f>
        <v/>
      </c>
      <c r="J76" s="102" t="str">
        <f aca="false">IF($T$76="","",SUMIFS(Mastersheet!$K$2:$K$400,Mastersheet!$A$2:$A$400,$T$76)/1000)</f>
        <v/>
      </c>
      <c r="K76" s="103" t="str">
        <f aca="false">IF($T$76="","",SUMIFS(Mastersheet!$L$2:$L$400,Mastersheet!$A$2:$A$400,$T$76)/1000)</f>
        <v/>
      </c>
      <c r="L76" s="103" t="str">
        <f aca="false">IF($T$76="","",SUMIFS(Mastersheet!$M$2:$M$400,Mastersheet!$A$2:$A$400,$T$76)/1000)</f>
        <v/>
      </c>
      <c r="M76" s="103" t="str">
        <f aca="false">IF($T$76="","",SUMIFS(Mastersheet!$N$2:$N$400,Mastersheet!$A$2:$A$400,$T$76)/1000)</f>
        <v/>
      </c>
      <c r="N76" s="103" t="str">
        <f aca="false">IF($T$76="","",SUMIFS(Mastersheet!$O$2:$O$400,Mastersheet!$A$2:$A$400,$T$76)/1000)</f>
        <v/>
      </c>
      <c r="O76" s="92"/>
      <c r="P76" s="96"/>
      <c r="Q76" s="96"/>
      <c r="T76" s="97"/>
      <c r="U76" s="104" t="s">
        <v>415</v>
      </c>
      <c r="V76" s="104" t="s">
        <v>416</v>
      </c>
    </row>
    <row r="77" customFormat="false" ht="11.25" hidden="true" customHeight="true" outlineLevel="3" collapsed="false">
      <c r="C77" s="99"/>
      <c r="D77" s="99"/>
      <c r="E77" s="100" t="str">
        <f aca="false">IF($T$77="","",SUMIFS(Mastersheet!$F$2:$F$400,Mastersheet!$A$2:$A$400,$T$77)/1000)</f>
        <v/>
      </c>
      <c r="F77" s="100" t="str">
        <f aca="false">IF($T$77="","",SUMIFS(Mastersheet!$G$2:$G$400,Mastersheet!$A$2:$A$400,$T$77)/1000)</f>
        <v/>
      </c>
      <c r="G77" s="100" t="str">
        <f aca="false">IF($T$77="","",SUMIFS(Mastersheet!$H$2:$H$400,Mastersheet!$A$2:$A$400,$T$77)/1000)</f>
        <v/>
      </c>
      <c r="H77" s="100" t="str">
        <f aca="false">IF($T$77="","",SUMIFS(Mastersheet!$I$2:$I$400,Mastersheet!$A$2:$A$400,$T$77)/1000)</f>
        <v/>
      </c>
      <c r="I77" s="101" t="str">
        <f aca="false">IF($T$77="","",SUMIFS(Mastersheet!$J$2:$J$400,Mastersheet!$A$2:$A$400,$T$77)/1000)</f>
        <v/>
      </c>
      <c r="J77" s="102" t="str">
        <f aca="false">IF($T$77="","",SUMIFS(Mastersheet!$K$2:$K$400,Mastersheet!$A$2:$A$400,$T$77)/1000)</f>
        <v/>
      </c>
      <c r="K77" s="103" t="str">
        <f aca="false">IF($T$77="","",SUMIFS(Mastersheet!$L$2:$L$400,Mastersheet!$A$2:$A$400,$T$77)/1000)</f>
        <v/>
      </c>
      <c r="L77" s="103" t="str">
        <f aca="false">IF($T$77="","",SUMIFS(Mastersheet!$M$2:$M$400,Mastersheet!$A$2:$A$400,$T$77)/1000)</f>
        <v/>
      </c>
      <c r="M77" s="103" t="str">
        <f aca="false">IF($T$77="","",SUMIFS(Mastersheet!$N$2:$N$400,Mastersheet!$A$2:$A$400,$T$77)/1000)</f>
        <v/>
      </c>
      <c r="N77" s="103" t="str">
        <f aca="false">IF($T$77="","",SUMIFS(Mastersheet!$O$2:$O$400,Mastersheet!$A$2:$A$400,$T$77)/1000)</f>
        <v/>
      </c>
      <c r="O77" s="92"/>
      <c r="P77" s="96"/>
      <c r="Q77" s="96"/>
      <c r="T77" s="97"/>
      <c r="U77" s="104" t="s">
        <v>415</v>
      </c>
      <c r="V77" s="104" t="s">
        <v>416</v>
      </c>
    </row>
    <row r="78" customFormat="false" ht="11.25" hidden="true" customHeight="true" outlineLevel="3" collapsed="false">
      <c r="C78" s="99"/>
      <c r="D78" s="99"/>
      <c r="E78" s="100" t="str">
        <f aca="false">IF($T$78="","",SUMIFS(Mastersheet!$F$2:$F$400,Mastersheet!$A$2:$A$400,$T$78)/1000)</f>
        <v/>
      </c>
      <c r="F78" s="100" t="str">
        <f aca="false">IF($T$78="","",SUMIFS(Mastersheet!$G$2:$G$400,Mastersheet!$A$2:$A$400,$T$78)/1000)</f>
        <v/>
      </c>
      <c r="G78" s="100" t="str">
        <f aca="false">IF($T$78="","",SUMIFS(Mastersheet!$H$2:$H$400,Mastersheet!$A$2:$A$400,$T$78)/1000)</f>
        <v/>
      </c>
      <c r="H78" s="100" t="str">
        <f aca="false">IF($T$78="","",SUMIFS(Mastersheet!$I$2:$I$400,Mastersheet!$A$2:$A$400,$T$78)/1000)</f>
        <v/>
      </c>
      <c r="I78" s="101" t="str">
        <f aca="false">IF($T$78="","",SUMIFS(Mastersheet!$J$2:$J$400,Mastersheet!$A$2:$A$400,$T$78)/1000)</f>
        <v/>
      </c>
      <c r="J78" s="102" t="str">
        <f aca="false">IF($T$78="","",SUMIFS(Mastersheet!$K$2:$K$400,Mastersheet!$A$2:$A$400,$T$78)/1000)</f>
        <v/>
      </c>
      <c r="K78" s="103" t="str">
        <f aca="false">IF($T$78="","",SUMIFS(Mastersheet!$L$2:$L$400,Mastersheet!$A$2:$A$400,$T$78)/1000)</f>
        <v/>
      </c>
      <c r="L78" s="103" t="str">
        <f aca="false">IF($T$78="","",SUMIFS(Mastersheet!$M$2:$M$400,Mastersheet!$A$2:$A$400,$T$78)/1000)</f>
        <v/>
      </c>
      <c r="M78" s="103" t="str">
        <f aca="false">IF($T$78="","",SUMIFS(Mastersheet!$N$2:$N$400,Mastersheet!$A$2:$A$400,$T$78)/1000)</f>
        <v/>
      </c>
      <c r="N78" s="103" t="str">
        <f aca="false">IF($T$78="","",SUMIFS(Mastersheet!$O$2:$O$400,Mastersheet!$A$2:$A$400,$T$78)/1000)</f>
        <v/>
      </c>
      <c r="O78" s="92"/>
      <c r="P78" s="96"/>
      <c r="Q78" s="96"/>
      <c r="T78" s="97"/>
      <c r="U78" s="104" t="s">
        <v>415</v>
      </c>
      <c r="V78" s="104" t="s">
        <v>416</v>
      </c>
    </row>
    <row r="79" customFormat="false" ht="11.25" hidden="true" customHeight="true" outlineLevel="3" collapsed="false">
      <c r="C79" s="99"/>
      <c r="D79" s="99"/>
      <c r="E79" s="100" t="str">
        <f aca="false">IF($T$79="","",SUMIFS(Mastersheet!$F$2:$F$400,Mastersheet!$A$2:$A$400,$T$79)/1000)</f>
        <v/>
      </c>
      <c r="F79" s="100" t="str">
        <f aca="false">IF($T$79="","",SUMIFS(Mastersheet!$G$2:$G$400,Mastersheet!$A$2:$A$400,$T$79)/1000)</f>
        <v/>
      </c>
      <c r="G79" s="100" t="str">
        <f aca="false">IF($T$79="","",SUMIFS(Mastersheet!$H$2:$H$400,Mastersheet!$A$2:$A$400,$T$79)/1000)</f>
        <v/>
      </c>
      <c r="H79" s="100" t="str">
        <f aca="false">IF($T$79="","",SUMIFS(Mastersheet!$I$2:$I$400,Mastersheet!$A$2:$A$400,$T$79)/1000)</f>
        <v/>
      </c>
      <c r="I79" s="101" t="str">
        <f aca="false">IF($T$79="","",SUMIFS(Mastersheet!$J$2:$J$400,Mastersheet!$A$2:$A$400,$T$79)/1000)</f>
        <v/>
      </c>
      <c r="J79" s="102" t="str">
        <f aca="false">IF($T$79="","",SUMIFS(Mastersheet!$K$2:$K$400,Mastersheet!$A$2:$A$400,$T$79)/1000)</f>
        <v/>
      </c>
      <c r="K79" s="103" t="str">
        <f aca="false">IF($T$79="","",SUMIFS(Mastersheet!$L$2:$L$400,Mastersheet!$A$2:$A$400,$T$79)/1000)</f>
        <v/>
      </c>
      <c r="L79" s="103" t="str">
        <f aca="false">IF($T$79="","",SUMIFS(Mastersheet!$M$2:$M$400,Mastersheet!$A$2:$A$400,$T$79)/1000)</f>
        <v/>
      </c>
      <c r="M79" s="103" t="str">
        <f aca="false">IF($T$79="","",SUMIFS(Mastersheet!$N$2:$N$400,Mastersheet!$A$2:$A$400,$T$79)/1000)</f>
        <v/>
      </c>
      <c r="N79" s="103" t="str">
        <f aca="false">IF($T$79="","",SUMIFS(Mastersheet!$O$2:$O$400,Mastersheet!$A$2:$A$400,$T$79)/1000)</f>
        <v/>
      </c>
      <c r="O79" s="92"/>
      <c r="P79" s="96"/>
      <c r="Q79" s="96"/>
      <c r="T79" s="97"/>
      <c r="U79" s="104" t="s">
        <v>415</v>
      </c>
      <c r="V79" s="104" t="s">
        <v>416</v>
      </c>
    </row>
    <row r="80" customFormat="false" ht="11.25" hidden="false" customHeight="true" outlineLevel="0" collapsed="false">
      <c r="C80" s="91" t="s">
        <v>433</v>
      </c>
      <c r="D80" s="91" t="s">
        <v>434</v>
      </c>
      <c r="E80" s="92" t="n">
        <f aca="false">SUMIFS(Mastersheet!$F$2:$F$400,Mastersheet!$D$2:$D$400,$T80,Mastersheet!$C$2:$C$400,$U80)/1000</f>
        <v>0</v>
      </c>
      <c r="F80" s="92" t="n">
        <f aca="false">SUMIFS(Mastersheet!$G$2:$G$400,Mastersheet!$D$2:$D$400,$T80,Mastersheet!$C$2:$C$400,$U80)/1000</f>
        <v>0</v>
      </c>
      <c r="G80" s="92" t="n">
        <f aca="false">SUMIFS(Mastersheet!$H$2:$H$400,Mastersheet!$D$2:$D$400,$T80,Mastersheet!$C$2:$C$400,$U80)/1000</f>
        <v>0</v>
      </c>
      <c r="H80" s="92" t="n">
        <f aca="false">SUMIFS(Mastersheet!$I$2:$I$400,Mastersheet!$D$2:$D$400,$T80,Mastersheet!$C$2:$C$400,$U80)/1000</f>
        <v>0</v>
      </c>
      <c r="I80" s="93" t="n">
        <f aca="false">SUMIFS(Mastersheet!$J$2:$J$400,Mastersheet!$D$2:$D$400,$T80,Mastersheet!$C$2:$C$400,$U80)/1000</f>
        <v>0</v>
      </c>
      <c r="J80" s="94" t="n">
        <f aca="false">SUMIFS(Mastersheet!$K$2:$K$400,Mastersheet!$D$2:$D$400,$T80,Mastersheet!$C$2:$C$400,$U80)/1000</f>
        <v>0</v>
      </c>
      <c r="K80" s="95" t="n">
        <f aca="false">SUMIFS(Mastersheet!$L$2:$L$400,Mastersheet!$D$2:$D$400,$T80,Mastersheet!$C$2:$C$400,$U80)/1000</f>
        <v>0</v>
      </c>
      <c r="L80" s="95" t="n">
        <f aca="false">SUMIFS(Mastersheet!$M$2:$M$400,Mastersheet!$D$2:$D$400,$T80,Mastersheet!$C$2:$C$400,$U80)/1000</f>
        <v>0</v>
      </c>
      <c r="M80" s="95" t="n">
        <f aca="false">SUMIFS(Mastersheet!$N$2:$N$400,Mastersheet!$D$2:$D$400,$T80,Mastersheet!$C$2:$C$400,$U80)/1000</f>
        <v>0</v>
      </c>
      <c r="N80" s="95" t="n">
        <f aca="false">SUMIFS(Mastersheet!$O$2:$O$400,Mastersheet!$D$2:$D$400,$T80,Mastersheet!$C$2:$C$400,$U80)/1000</f>
        <v>0</v>
      </c>
      <c r="O80" s="92"/>
      <c r="P80" s="96" t="str">
        <f aca="false">IFERROR(((H80/F80)^(1/(($H$1-$F$1)/365)))-1,"n/a")</f>
        <v>n/a</v>
      </c>
      <c r="Q80" s="96" t="str">
        <f aca="false">IFERROR(((N80/H80)^(1/(($N$1-$H$1)/365)))-1,"n/a")</f>
        <v>n/a</v>
      </c>
      <c r="T80" s="97" t="s">
        <v>433</v>
      </c>
      <c r="U80" s="98" t="s">
        <v>413</v>
      </c>
      <c r="V80" s="98" t="s">
        <v>414</v>
      </c>
    </row>
    <row r="81" customFormat="false" ht="11.25" hidden="true" customHeight="true" outlineLevel="3" collapsed="false">
      <c r="C81" s="99"/>
      <c r="D81" s="99"/>
      <c r="E81" s="100" t="str">
        <f aca="false">IF($T$81="","",SUMIFS(Mastersheet!$F$2:$F$400,Mastersheet!$A$2:$A$400,$T$81)/1000)</f>
        <v/>
      </c>
      <c r="F81" s="100" t="str">
        <f aca="false">IF($T$81="","",SUMIFS(Mastersheet!$G$2:$G$400,Mastersheet!$A$2:$A$400,$T$81)/1000)</f>
        <v/>
      </c>
      <c r="G81" s="100" t="str">
        <f aca="false">IF($T$81="","",SUMIFS(Mastersheet!$H$2:$H$400,Mastersheet!$A$2:$A$400,$T$81)/1000)</f>
        <v/>
      </c>
      <c r="H81" s="100" t="str">
        <f aca="false">IF($T$81="","",SUMIFS(Mastersheet!$I$2:$I$400,Mastersheet!$A$2:$A$400,$T$81)/1000)</f>
        <v/>
      </c>
      <c r="I81" s="101" t="str">
        <f aca="false">IF($T$81="","",SUMIFS(Mastersheet!$J$2:$J$400,Mastersheet!$A$2:$A$400,$T$81)/1000)</f>
        <v/>
      </c>
      <c r="J81" s="102" t="str">
        <f aca="false">IF($T$81="","",SUMIFS(Mastersheet!$K$2:$K$400,Mastersheet!$A$2:$A$400,$T$81)/1000)</f>
        <v/>
      </c>
      <c r="K81" s="103" t="str">
        <f aca="false">IF($T$81="","",SUMIFS(Mastersheet!$L$2:$L$400,Mastersheet!$A$2:$A$400,$T$81)/1000)</f>
        <v/>
      </c>
      <c r="L81" s="103" t="str">
        <f aca="false">IF($T$81="","",SUMIFS(Mastersheet!$M$2:$M$400,Mastersheet!$A$2:$A$400,$T$81)/1000)</f>
        <v/>
      </c>
      <c r="M81" s="103" t="str">
        <f aca="false">IF($T$81="","",SUMIFS(Mastersheet!$N$2:$N$400,Mastersheet!$A$2:$A$400,$T$81)/1000)</f>
        <v/>
      </c>
      <c r="N81" s="103" t="str">
        <f aca="false">IF($T$81="","",SUMIFS(Mastersheet!$O$2:$O$400,Mastersheet!$A$2:$A$400,$T$81)/1000)</f>
        <v/>
      </c>
      <c r="O81" s="92"/>
      <c r="P81" s="96"/>
      <c r="Q81" s="96"/>
      <c r="T81" s="97"/>
      <c r="U81" s="104" t="s">
        <v>415</v>
      </c>
      <c r="V81" s="104" t="s">
        <v>416</v>
      </c>
    </row>
    <row r="82" customFormat="false" ht="11.25" hidden="true" customHeight="true" outlineLevel="3" collapsed="false">
      <c r="C82" s="99"/>
      <c r="D82" s="99"/>
      <c r="E82" s="100" t="str">
        <f aca="false">IF($T$82="","",SUMIFS(Mastersheet!$F$2:$F$400,Mastersheet!$A$2:$A$400,$T$82)/1000)</f>
        <v/>
      </c>
      <c r="F82" s="100" t="str">
        <f aca="false">IF($T$82="","",SUMIFS(Mastersheet!$G$2:$G$400,Mastersheet!$A$2:$A$400,$T$82)/1000)</f>
        <v/>
      </c>
      <c r="G82" s="100" t="str">
        <f aca="false">IF($T$82="","",SUMIFS(Mastersheet!$H$2:$H$400,Mastersheet!$A$2:$A$400,$T$82)/1000)</f>
        <v/>
      </c>
      <c r="H82" s="100" t="str">
        <f aca="false">IF($T$82="","",SUMIFS(Mastersheet!$I$2:$I$400,Mastersheet!$A$2:$A$400,$T$82)/1000)</f>
        <v/>
      </c>
      <c r="I82" s="101" t="str">
        <f aca="false">IF($T$82="","",SUMIFS(Mastersheet!$J$2:$J$400,Mastersheet!$A$2:$A$400,$T$82)/1000)</f>
        <v/>
      </c>
      <c r="J82" s="102" t="str">
        <f aca="false">IF($T$82="","",SUMIFS(Mastersheet!$K$2:$K$400,Mastersheet!$A$2:$A$400,$T$82)/1000)</f>
        <v/>
      </c>
      <c r="K82" s="103" t="str">
        <f aca="false">IF($T$82="","",SUMIFS(Mastersheet!$L$2:$L$400,Mastersheet!$A$2:$A$400,$T$82)/1000)</f>
        <v/>
      </c>
      <c r="L82" s="103" t="str">
        <f aca="false">IF($T$82="","",SUMIFS(Mastersheet!$M$2:$M$400,Mastersheet!$A$2:$A$400,$T$82)/1000)</f>
        <v/>
      </c>
      <c r="M82" s="103" t="str">
        <f aca="false">IF($T$82="","",SUMIFS(Mastersheet!$N$2:$N$400,Mastersheet!$A$2:$A$400,$T$82)/1000)</f>
        <v/>
      </c>
      <c r="N82" s="103" t="str">
        <f aca="false">IF($T$82="","",SUMIFS(Mastersheet!$O$2:$O$400,Mastersheet!$A$2:$A$400,$T$82)/1000)</f>
        <v/>
      </c>
      <c r="O82" s="92"/>
      <c r="P82" s="96"/>
      <c r="Q82" s="96"/>
      <c r="T82" s="97"/>
      <c r="U82" s="104" t="s">
        <v>415</v>
      </c>
      <c r="V82" s="104" t="s">
        <v>416</v>
      </c>
    </row>
    <row r="83" customFormat="false" ht="11.25" hidden="true" customHeight="true" outlineLevel="3" collapsed="false">
      <c r="C83" s="99"/>
      <c r="D83" s="99"/>
      <c r="E83" s="100" t="str">
        <f aca="false">IF($T$83="","",SUMIFS(Mastersheet!$F$2:$F$400,Mastersheet!$A$2:$A$400,$T$83)/1000)</f>
        <v/>
      </c>
      <c r="F83" s="100" t="str">
        <f aca="false">IF($T$83="","",SUMIFS(Mastersheet!$G$2:$G$400,Mastersheet!$A$2:$A$400,$T$83)/1000)</f>
        <v/>
      </c>
      <c r="G83" s="100" t="str">
        <f aca="false">IF($T$83="","",SUMIFS(Mastersheet!$H$2:$H$400,Mastersheet!$A$2:$A$400,$T$83)/1000)</f>
        <v/>
      </c>
      <c r="H83" s="100" t="str">
        <f aca="false">IF($T$83="","",SUMIFS(Mastersheet!$I$2:$I$400,Mastersheet!$A$2:$A$400,$T$83)/1000)</f>
        <v/>
      </c>
      <c r="I83" s="101" t="str">
        <f aca="false">IF($T$83="","",SUMIFS(Mastersheet!$J$2:$J$400,Mastersheet!$A$2:$A$400,$T$83)/1000)</f>
        <v/>
      </c>
      <c r="J83" s="102" t="str">
        <f aca="false">IF($T$83="","",SUMIFS(Mastersheet!$K$2:$K$400,Mastersheet!$A$2:$A$400,$T$83)/1000)</f>
        <v/>
      </c>
      <c r="K83" s="103" t="str">
        <f aca="false">IF($T$83="","",SUMIFS(Mastersheet!$L$2:$L$400,Mastersheet!$A$2:$A$400,$T$83)/1000)</f>
        <v/>
      </c>
      <c r="L83" s="103" t="str">
        <f aca="false">IF($T$83="","",SUMIFS(Mastersheet!$M$2:$M$400,Mastersheet!$A$2:$A$400,$T$83)/1000)</f>
        <v/>
      </c>
      <c r="M83" s="103" t="str">
        <f aca="false">IF($T$83="","",SUMIFS(Mastersheet!$N$2:$N$400,Mastersheet!$A$2:$A$400,$T$83)/1000)</f>
        <v/>
      </c>
      <c r="N83" s="103" t="str">
        <f aca="false">IF($T$83="","",SUMIFS(Mastersheet!$O$2:$O$400,Mastersheet!$A$2:$A$400,$T$83)/1000)</f>
        <v/>
      </c>
      <c r="O83" s="92"/>
      <c r="P83" s="96"/>
      <c r="Q83" s="96"/>
      <c r="T83" s="97"/>
      <c r="U83" s="104" t="s">
        <v>415</v>
      </c>
      <c r="V83" s="104" t="s">
        <v>416</v>
      </c>
    </row>
    <row r="84" customFormat="false" ht="11.25" hidden="true" customHeight="true" outlineLevel="3" collapsed="false">
      <c r="C84" s="99"/>
      <c r="D84" s="99"/>
      <c r="E84" s="100" t="str">
        <f aca="false">IF($T$84="","",SUMIFS(Mastersheet!$F$2:$F$400,Mastersheet!$A$2:$A$400,$T$84)/1000)</f>
        <v/>
      </c>
      <c r="F84" s="100" t="str">
        <f aca="false">IF($T$84="","",SUMIFS(Mastersheet!$G$2:$G$400,Mastersheet!$A$2:$A$400,$T$84)/1000)</f>
        <v/>
      </c>
      <c r="G84" s="100" t="str">
        <f aca="false">IF($T$84="","",SUMIFS(Mastersheet!$H$2:$H$400,Mastersheet!$A$2:$A$400,$T$84)/1000)</f>
        <v/>
      </c>
      <c r="H84" s="100" t="str">
        <f aca="false">IF($T$84="","",SUMIFS(Mastersheet!$I$2:$I$400,Mastersheet!$A$2:$A$400,$T$84)/1000)</f>
        <v/>
      </c>
      <c r="I84" s="101" t="str">
        <f aca="false">IF($T$84="","",SUMIFS(Mastersheet!$J$2:$J$400,Mastersheet!$A$2:$A$400,$T$84)/1000)</f>
        <v/>
      </c>
      <c r="J84" s="102" t="str">
        <f aca="false">IF($T$84="","",SUMIFS(Mastersheet!$K$2:$K$400,Mastersheet!$A$2:$A$400,$T$84)/1000)</f>
        <v/>
      </c>
      <c r="K84" s="103" t="str">
        <f aca="false">IF($T$84="","",SUMIFS(Mastersheet!$L$2:$L$400,Mastersheet!$A$2:$A$400,$T$84)/1000)</f>
        <v/>
      </c>
      <c r="L84" s="103" t="str">
        <f aca="false">IF($T$84="","",SUMIFS(Mastersheet!$M$2:$M$400,Mastersheet!$A$2:$A$400,$T$84)/1000)</f>
        <v/>
      </c>
      <c r="M84" s="103" t="str">
        <f aca="false">IF($T$84="","",SUMIFS(Mastersheet!$N$2:$N$400,Mastersheet!$A$2:$A$400,$T$84)/1000)</f>
        <v/>
      </c>
      <c r="N84" s="103" t="str">
        <f aca="false">IF($T$84="","",SUMIFS(Mastersheet!$O$2:$O$400,Mastersheet!$A$2:$A$400,$T$84)/1000)</f>
        <v/>
      </c>
      <c r="O84" s="92"/>
      <c r="P84" s="96"/>
      <c r="Q84" s="96"/>
      <c r="T84" s="97"/>
      <c r="U84" s="104" t="s">
        <v>415</v>
      </c>
      <c r="V84" s="104" t="s">
        <v>416</v>
      </c>
    </row>
    <row r="85" customFormat="false" ht="11.25" hidden="true" customHeight="true" outlineLevel="3" collapsed="false">
      <c r="C85" s="99"/>
      <c r="D85" s="99"/>
      <c r="E85" s="100" t="str">
        <f aca="false">IF($T$85="","",SUMIFS(Mastersheet!$F$2:$F$400,Mastersheet!$A$2:$A$400,$T$85)/1000)</f>
        <v/>
      </c>
      <c r="F85" s="100" t="str">
        <f aca="false">IF($T$85="","",SUMIFS(Mastersheet!$G$2:$G$400,Mastersheet!$A$2:$A$400,$T$85)/1000)</f>
        <v/>
      </c>
      <c r="G85" s="100" t="str">
        <f aca="false">IF($T$85="","",SUMIFS(Mastersheet!$H$2:$H$400,Mastersheet!$A$2:$A$400,$T$85)/1000)</f>
        <v/>
      </c>
      <c r="H85" s="100" t="str">
        <f aca="false">IF($T$85="","",SUMIFS(Mastersheet!$I$2:$I$400,Mastersheet!$A$2:$A$400,$T$85)/1000)</f>
        <v/>
      </c>
      <c r="I85" s="101" t="str">
        <f aca="false">IF($T$85="","",SUMIFS(Mastersheet!$J$2:$J$400,Mastersheet!$A$2:$A$400,$T$85)/1000)</f>
        <v/>
      </c>
      <c r="J85" s="102" t="str">
        <f aca="false">IF($T$85="","",SUMIFS(Mastersheet!$K$2:$K$400,Mastersheet!$A$2:$A$400,$T$85)/1000)</f>
        <v/>
      </c>
      <c r="K85" s="103" t="str">
        <f aca="false">IF($T$85="","",SUMIFS(Mastersheet!$L$2:$L$400,Mastersheet!$A$2:$A$400,$T$85)/1000)</f>
        <v/>
      </c>
      <c r="L85" s="103" t="str">
        <f aca="false">IF($T$85="","",SUMIFS(Mastersheet!$M$2:$M$400,Mastersheet!$A$2:$A$400,$T$85)/1000)</f>
        <v/>
      </c>
      <c r="M85" s="103" t="str">
        <f aca="false">IF($T$85="","",SUMIFS(Mastersheet!$N$2:$N$400,Mastersheet!$A$2:$A$400,$T$85)/1000)</f>
        <v/>
      </c>
      <c r="N85" s="103" t="str">
        <f aca="false">IF($T$85="","",SUMIFS(Mastersheet!$O$2:$O$400,Mastersheet!$A$2:$A$400,$T$85)/1000)</f>
        <v/>
      </c>
      <c r="O85" s="92"/>
      <c r="P85" s="96"/>
      <c r="Q85" s="96"/>
      <c r="T85" s="97"/>
      <c r="U85" s="104" t="s">
        <v>415</v>
      </c>
      <c r="V85" s="104" t="s">
        <v>416</v>
      </c>
    </row>
    <row r="86" customFormat="false" ht="11.25" hidden="true" customHeight="true" outlineLevel="3" collapsed="false">
      <c r="C86" s="99"/>
      <c r="D86" s="99"/>
      <c r="E86" s="100" t="str">
        <f aca="false">IF($T$86="","",SUMIFS(Mastersheet!$F$2:$F$400,Mastersheet!$A$2:$A$400,$T$86)/1000)</f>
        <v/>
      </c>
      <c r="F86" s="100" t="str">
        <f aca="false">IF($T$86="","",SUMIFS(Mastersheet!$G$2:$G$400,Mastersheet!$A$2:$A$400,$T$86)/1000)</f>
        <v/>
      </c>
      <c r="G86" s="100" t="str">
        <f aca="false">IF($T$86="","",SUMIFS(Mastersheet!$H$2:$H$400,Mastersheet!$A$2:$A$400,$T$86)/1000)</f>
        <v/>
      </c>
      <c r="H86" s="100" t="str">
        <f aca="false">IF($T$86="","",SUMIFS(Mastersheet!$I$2:$I$400,Mastersheet!$A$2:$A$400,$T$86)/1000)</f>
        <v/>
      </c>
      <c r="I86" s="101" t="str">
        <f aca="false">IF($T$86="","",SUMIFS(Mastersheet!$J$2:$J$400,Mastersheet!$A$2:$A$400,$T$86)/1000)</f>
        <v/>
      </c>
      <c r="J86" s="102" t="str">
        <f aca="false">IF($T$86="","",SUMIFS(Mastersheet!$K$2:$K$400,Mastersheet!$A$2:$A$400,$T$86)/1000)</f>
        <v/>
      </c>
      <c r="K86" s="103" t="str">
        <f aca="false">IF($T$86="","",SUMIFS(Mastersheet!$L$2:$L$400,Mastersheet!$A$2:$A$400,$T$86)/1000)</f>
        <v/>
      </c>
      <c r="L86" s="103" t="str">
        <f aca="false">IF($T$86="","",SUMIFS(Mastersheet!$M$2:$M$400,Mastersheet!$A$2:$A$400,$T$86)/1000)</f>
        <v/>
      </c>
      <c r="M86" s="103" t="str">
        <f aca="false">IF($T$86="","",SUMIFS(Mastersheet!$N$2:$N$400,Mastersheet!$A$2:$A$400,$T$86)/1000)</f>
        <v/>
      </c>
      <c r="N86" s="103" t="str">
        <f aca="false">IF($T$86="","",SUMIFS(Mastersheet!$O$2:$O$400,Mastersheet!$A$2:$A$400,$T$86)/1000)</f>
        <v/>
      </c>
      <c r="O86" s="92"/>
      <c r="P86" s="96"/>
      <c r="Q86" s="96"/>
      <c r="T86" s="97"/>
      <c r="U86" s="104" t="s">
        <v>415</v>
      </c>
      <c r="V86" s="104" t="s">
        <v>416</v>
      </c>
    </row>
    <row r="87" customFormat="false" ht="11.25" hidden="true" customHeight="true" outlineLevel="3" collapsed="false">
      <c r="C87" s="99"/>
      <c r="D87" s="99"/>
      <c r="E87" s="100" t="str">
        <f aca="false">IF($T$87="","",SUMIFS(Mastersheet!$F$2:$F$400,Mastersheet!$A$2:$A$400,$T$87)/1000)</f>
        <v/>
      </c>
      <c r="F87" s="100" t="str">
        <f aca="false">IF($T$87="","",SUMIFS(Mastersheet!$G$2:$G$400,Mastersheet!$A$2:$A$400,$T$87)/1000)</f>
        <v/>
      </c>
      <c r="G87" s="100" t="str">
        <f aca="false">IF($T$87="","",SUMIFS(Mastersheet!$H$2:$H$400,Mastersheet!$A$2:$A$400,$T$87)/1000)</f>
        <v/>
      </c>
      <c r="H87" s="100" t="str">
        <f aca="false">IF($T$87="","",SUMIFS(Mastersheet!$I$2:$I$400,Mastersheet!$A$2:$A$400,$T$87)/1000)</f>
        <v/>
      </c>
      <c r="I87" s="101" t="str">
        <f aca="false">IF($T$87="","",SUMIFS(Mastersheet!$J$2:$J$400,Mastersheet!$A$2:$A$400,$T$87)/1000)</f>
        <v/>
      </c>
      <c r="J87" s="102" t="str">
        <f aca="false">IF($T$87="","",SUMIFS(Mastersheet!$K$2:$K$400,Mastersheet!$A$2:$A$400,$T$87)/1000)</f>
        <v/>
      </c>
      <c r="K87" s="103" t="str">
        <f aca="false">IF($T$87="","",SUMIFS(Mastersheet!$L$2:$L$400,Mastersheet!$A$2:$A$400,$T$87)/1000)</f>
        <v/>
      </c>
      <c r="L87" s="103" t="str">
        <f aca="false">IF($T$87="","",SUMIFS(Mastersheet!$M$2:$M$400,Mastersheet!$A$2:$A$400,$T$87)/1000)</f>
        <v/>
      </c>
      <c r="M87" s="103" t="str">
        <f aca="false">IF($T$87="","",SUMIFS(Mastersheet!$N$2:$N$400,Mastersheet!$A$2:$A$400,$T$87)/1000)</f>
        <v/>
      </c>
      <c r="N87" s="103" t="str">
        <f aca="false">IF($T$87="","",SUMIFS(Mastersheet!$O$2:$O$400,Mastersheet!$A$2:$A$400,$T$87)/1000)</f>
        <v/>
      </c>
      <c r="O87" s="92"/>
      <c r="P87" s="96"/>
      <c r="Q87" s="96"/>
      <c r="T87" s="97"/>
      <c r="U87" s="104" t="s">
        <v>415</v>
      </c>
      <c r="V87" s="104" t="s">
        <v>416</v>
      </c>
    </row>
    <row r="88" customFormat="false" ht="11.25" hidden="true" customHeight="true" outlineLevel="3" collapsed="false">
      <c r="C88" s="99"/>
      <c r="D88" s="99"/>
      <c r="E88" s="100" t="str">
        <f aca="false">IF($T$88="","",SUMIFS(Mastersheet!$F$2:$F$400,Mastersheet!$A$2:$A$400,$T$88)/1000)</f>
        <v/>
      </c>
      <c r="F88" s="100" t="str">
        <f aca="false">IF($T$88="","",SUMIFS(Mastersheet!$G$2:$G$400,Mastersheet!$A$2:$A$400,$T$88)/1000)</f>
        <v/>
      </c>
      <c r="G88" s="100" t="str">
        <f aca="false">IF($T$88="","",SUMIFS(Mastersheet!$H$2:$H$400,Mastersheet!$A$2:$A$400,$T$88)/1000)</f>
        <v/>
      </c>
      <c r="H88" s="100" t="str">
        <f aca="false">IF($T$88="","",SUMIFS(Mastersheet!$I$2:$I$400,Mastersheet!$A$2:$A$400,$T$88)/1000)</f>
        <v/>
      </c>
      <c r="I88" s="101" t="str">
        <f aca="false">IF($T$88="","",SUMIFS(Mastersheet!$J$2:$J$400,Mastersheet!$A$2:$A$400,$T$88)/1000)</f>
        <v/>
      </c>
      <c r="J88" s="102" t="str">
        <f aca="false">IF($T$88="","",SUMIFS(Mastersheet!$K$2:$K$400,Mastersheet!$A$2:$A$400,$T$88)/1000)</f>
        <v/>
      </c>
      <c r="K88" s="103" t="str">
        <f aca="false">IF($T$88="","",SUMIFS(Mastersheet!$L$2:$L$400,Mastersheet!$A$2:$A$400,$T$88)/1000)</f>
        <v/>
      </c>
      <c r="L88" s="103" t="str">
        <f aca="false">IF($T$88="","",SUMIFS(Mastersheet!$M$2:$M$400,Mastersheet!$A$2:$A$400,$T$88)/1000)</f>
        <v/>
      </c>
      <c r="M88" s="103" t="str">
        <f aca="false">IF($T$88="","",SUMIFS(Mastersheet!$N$2:$N$400,Mastersheet!$A$2:$A$400,$T$88)/1000)</f>
        <v/>
      </c>
      <c r="N88" s="103" t="str">
        <f aca="false">IF($T$88="","",SUMIFS(Mastersheet!$O$2:$O$400,Mastersheet!$A$2:$A$400,$T$88)/1000)</f>
        <v/>
      </c>
      <c r="O88" s="92"/>
      <c r="P88" s="96"/>
      <c r="Q88" s="96"/>
      <c r="T88" s="97"/>
      <c r="U88" s="104" t="s">
        <v>415</v>
      </c>
      <c r="V88" s="104" t="s">
        <v>416</v>
      </c>
    </row>
    <row r="89" customFormat="false" ht="11.25" hidden="false" customHeight="true" outlineLevel="0" collapsed="false">
      <c r="C89" s="91" t="s">
        <v>435</v>
      </c>
      <c r="D89" s="91" t="s">
        <v>436</v>
      </c>
      <c r="E89" s="92" t="n">
        <f aca="false">SUMIFS(Mastersheet!$F$2:$F$400,Mastersheet!$D$2:$D$400,$T89,Mastersheet!$C$2:$C$400,$U89)/1000</f>
        <v>0</v>
      </c>
      <c r="F89" s="92" t="n">
        <f aca="false">SUMIFS(Mastersheet!$G$2:$G$400,Mastersheet!$D$2:$D$400,$T89,Mastersheet!$C$2:$C$400,$U89)/1000</f>
        <v>0</v>
      </c>
      <c r="G89" s="92" t="n">
        <f aca="false">SUMIFS(Mastersheet!$H$2:$H$400,Mastersheet!$D$2:$D$400,$T89,Mastersheet!$C$2:$C$400,$U89)/1000</f>
        <v>0</v>
      </c>
      <c r="H89" s="92" t="n">
        <f aca="false">SUMIFS(Mastersheet!$I$2:$I$400,Mastersheet!$D$2:$D$400,$T89,Mastersheet!$C$2:$C$400,$U89)/1000</f>
        <v>0</v>
      </c>
      <c r="I89" s="93" t="n">
        <f aca="false">SUMIFS(Mastersheet!$J$2:$J$400,Mastersheet!$D$2:$D$400,$T89,Mastersheet!$C$2:$C$400,$U89)/1000</f>
        <v>0</v>
      </c>
      <c r="J89" s="94" t="n">
        <f aca="false">SUMIFS(Mastersheet!$K$2:$K$400,Mastersheet!$D$2:$D$400,$T89,Mastersheet!$C$2:$C$400,$U89)/1000</f>
        <v>0</v>
      </c>
      <c r="K89" s="95" t="n">
        <f aca="false">SUMIFS(Mastersheet!$L$2:$L$400,Mastersheet!$D$2:$D$400,$T89,Mastersheet!$C$2:$C$400,$U89)/1000</f>
        <v>0</v>
      </c>
      <c r="L89" s="95" t="n">
        <f aca="false">SUMIFS(Mastersheet!$M$2:$M$400,Mastersheet!$D$2:$D$400,$T89,Mastersheet!$C$2:$C$400,$U89)/1000</f>
        <v>0</v>
      </c>
      <c r="M89" s="95" t="n">
        <f aca="false">SUMIFS(Mastersheet!$N$2:$N$400,Mastersheet!$D$2:$D$400,$T89,Mastersheet!$C$2:$C$400,$U89)/1000</f>
        <v>0</v>
      </c>
      <c r="N89" s="95" t="n">
        <f aca="false">SUMIFS(Mastersheet!$O$2:$O$400,Mastersheet!$D$2:$D$400,$T89,Mastersheet!$C$2:$C$400,$U89)/1000</f>
        <v>0</v>
      </c>
      <c r="O89" s="92"/>
      <c r="P89" s="96" t="str">
        <f aca="false">IFERROR(((H89/F89)^(1/(($H$1-$F$1)/365)))-1,"n/a")</f>
        <v>n/a</v>
      </c>
      <c r="Q89" s="96" t="str">
        <f aca="false">IFERROR(((N89/H89)^(1/(($N$1-$H$1)/365)))-1,"n/a")</f>
        <v>n/a</v>
      </c>
      <c r="T89" s="97" t="s">
        <v>435</v>
      </c>
      <c r="U89" s="98" t="s">
        <v>413</v>
      </c>
      <c r="V89" s="98" t="s">
        <v>414</v>
      </c>
    </row>
    <row r="90" customFormat="false" ht="11.25" hidden="true" customHeight="true" outlineLevel="3" collapsed="false">
      <c r="C90" s="99"/>
      <c r="D90" s="99"/>
      <c r="E90" s="100" t="str">
        <f aca="false">IF($T$90="","",SUMIFS(Mastersheet!$F$2:$F$400,Mastersheet!$A$2:$A$400,$T$90)/1000)</f>
        <v/>
      </c>
      <c r="F90" s="100" t="str">
        <f aca="false">IF($T$90="","",SUMIFS(Mastersheet!$G$2:$G$400,Mastersheet!$A$2:$A$400,$T$90)/1000)</f>
        <v/>
      </c>
      <c r="G90" s="100" t="str">
        <f aca="false">IF($T$90="","",SUMIFS(Mastersheet!$H$2:$H$400,Mastersheet!$A$2:$A$400,$T$90)/1000)</f>
        <v/>
      </c>
      <c r="H90" s="100" t="str">
        <f aca="false">IF($T$90="","",SUMIFS(Mastersheet!$I$2:$I$400,Mastersheet!$A$2:$A$400,$T$90)/1000)</f>
        <v/>
      </c>
      <c r="I90" s="101" t="str">
        <f aca="false">IF($T$90="","",SUMIFS(Mastersheet!$J$2:$J$400,Mastersheet!$A$2:$A$400,$T$90)/1000)</f>
        <v/>
      </c>
      <c r="J90" s="102" t="str">
        <f aca="false">IF($T$90="","",SUMIFS(Mastersheet!$K$2:$K$400,Mastersheet!$A$2:$A$400,$T$90)/1000)</f>
        <v/>
      </c>
      <c r="K90" s="103" t="str">
        <f aca="false">IF($T$90="","",SUMIFS(Mastersheet!$L$2:$L$400,Mastersheet!$A$2:$A$400,$T$90)/1000)</f>
        <v/>
      </c>
      <c r="L90" s="103" t="str">
        <f aca="false">IF($T$90="","",SUMIFS(Mastersheet!$M$2:$M$400,Mastersheet!$A$2:$A$400,$T$90)/1000)</f>
        <v/>
      </c>
      <c r="M90" s="103" t="str">
        <f aca="false">IF($T$90="","",SUMIFS(Mastersheet!$N$2:$N$400,Mastersheet!$A$2:$A$400,$T$90)/1000)</f>
        <v/>
      </c>
      <c r="N90" s="103" t="str">
        <f aca="false">IF($T$90="","",SUMIFS(Mastersheet!$O$2:$O$400,Mastersheet!$A$2:$A$400,$T$90)/1000)</f>
        <v/>
      </c>
      <c r="O90" s="92"/>
      <c r="P90" s="96"/>
      <c r="Q90" s="96"/>
      <c r="T90" s="97"/>
      <c r="U90" s="104" t="s">
        <v>415</v>
      </c>
      <c r="V90" s="104" t="s">
        <v>416</v>
      </c>
    </row>
    <row r="91" customFormat="false" ht="11.25" hidden="true" customHeight="true" outlineLevel="3" collapsed="false">
      <c r="C91" s="99"/>
      <c r="D91" s="99"/>
      <c r="E91" s="100" t="str">
        <f aca="false">IF($T$91="","",SUMIFS(Mastersheet!$F$2:$F$400,Mastersheet!$A$2:$A$400,$T$91)/1000)</f>
        <v/>
      </c>
      <c r="F91" s="100" t="str">
        <f aca="false">IF($T$91="","",SUMIFS(Mastersheet!$G$2:$G$400,Mastersheet!$A$2:$A$400,$T$91)/1000)</f>
        <v/>
      </c>
      <c r="G91" s="100" t="str">
        <f aca="false">IF($T$91="","",SUMIFS(Mastersheet!$H$2:$H$400,Mastersheet!$A$2:$A$400,$T$91)/1000)</f>
        <v/>
      </c>
      <c r="H91" s="100" t="str">
        <f aca="false">IF($T$91="","",SUMIFS(Mastersheet!$I$2:$I$400,Mastersheet!$A$2:$A$400,$T$91)/1000)</f>
        <v/>
      </c>
      <c r="I91" s="101" t="str">
        <f aca="false">IF($T$91="","",SUMIFS(Mastersheet!$J$2:$J$400,Mastersheet!$A$2:$A$400,$T$91)/1000)</f>
        <v/>
      </c>
      <c r="J91" s="102" t="str">
        <f aca="false">IF($T$91="","",SUMIFS(Mastersheet!$K$2:$K$400,Mastersheet!$A$2:$A$400,$T$91)/1000)</f>
        <v/>
      </c>
      <c r="K91" s="103" t="str">
        <f aca="false">IF($T$91="","",SUMIFS(Mastersheet!$L$2:$L$400,Mastersheet!$A$2:$A$400,$T$91)/1000)</f>
        <v/>
      </c>
      <c r="L91" s="103" t="str">
        <f aca="false">IF($T$91="","",SUMIFS(Mastersheet!$M$2:$M$400,Mastersheet!$A$2:$A$400,$T$91)/1000)</f>
        <v/>
      </c>
      <c r="M91" s="103" t="str">
        <f aca="false">IF($T$91="","",SUMIFS(Mastersheet!$N$2:$N$400,Mastersheet!$A$2:$A$400,$T$91)/1000)</f>
        <v/>
      </c>
      <c r="N91" s="103" t="str">
        <f aca="false">IF($T$91="","",SUMIFS(Mastersheet!$O$2:$O$400,Mastersheet!$A$2:$A$400,$T$91)/1000)</f>
        <v/>
      </c>
      <c r="O91" s="92"/>
      <c r="P91" s="96"/>
      <c r="Q91" s="96"/>
      <c r="T91" s="97"/>
      <c r="U91" s="104" t="s">
        <v>415</v>
      </c>
      <c r="V91" s="104" t="s">
        <v>416</v>
      </c>
    </row>
    <row r="92" customFormat="false" ht="11.25" hidden="true" customHeight="true" outlineLevel="3" collapsed="false">
      <c r="C92" s="99"/>
      <c r="D92" s="99"/>
      <c r="E92" s="100" t="str">
        <f aca="false">IF($T$92="","",SUMIFS(Mastersheet!$F$2:$F$400,Mastersheet!$A$2:$A$400,$T$92)/1000)</f>
        <v/>
      </c>
      <c r="F92" s="100" t="str">
        <f aca="false">IF($T$92="","",SUMIFS(Mastersheet!$G$2:$G$400,Mastersheet!$A$2:$A$400,$T$92)/1000)</f>
        <v/>
      </c>
      <c r="G92" s="100" t="str">
        <f aca="false">IF($T$92="","",SUMIFS(Mastersheet!$H$2:$H$400,Mastersheet!$A$2:$A$400,$T$92)/1000)</f>
        <v/>
      </c>
      <c r="H92" s="100" t="str">
        <f aca="false">IF($T$92="","",SUMIFS(Mastersheet!$I$2:$I$400,Mastersheet!$A$2:$A$400,$T$92)/1000)</f>
        <v/>
      </c>
      <c r="I92" s="101" t="str">
        <f aca="false">IF($T$92="","",SUMIFS(Mastersheet!$J$2:$J$400,Mastersheet!$A$2:$A$400,$T$92)/1000)</f>
        <v/>
      </c>
      <c r="J92" s="102" t="str">
        <f aca="false">IF($T$92="","",SUMIFS(Mastersheet!$K$2:$K$400,Mastersheet!$A$2:$A$400,$T$92)/1000)</f>
        <v/>
      </c>
      <c r="K92" s="103" t="str">
        <f aca="false">IF($T$92="","",SUMIFS(Mastersheet!$L$2:$L$400,Mastersheet!$A$2:$A$400,$T$92)/1000)</f>
        <v/>
      </c>
      <c r="L92" s="103" t="str">
        <f aca="false">IF($T$92="","",SUMIFS(Mastersheet!$M$2:$M$400,Mastersheet!$A$2:$A$400,$T$92)/1000)</f>
        <v/>
      </c>
      <c r="M92" s="103" t="str">
        <f aca="false">IF($T$92="","",SUMIFS(Mastersheet!$N$2:$N$400,Mastersheet!$A$2:$A$400,$T$92)/1000)</f>
        <v/>
      </c>
      <c r="N92" s="103" t="str">
        <f aca="false">IF($T$92="","",SUMIFS(Mastersheet!$O$2:$O$400,Mastersheet!$A$2:$A$400,$T$92)/1000)</f>
        <v/>
      </c>
      <c r="O92" s="92"/>
      <c r="P92" s="96"/>
      <c r="Q92" s="96"/>
      <c r="T92" s="97"/>
      <c r="U92" s="104" t="s">
        <v>415</v>
      </c>
      <c r="V92" s="104" t="s">
        <v>416</v>
      </c>
    </row>
    <row r="93" customFormat="false" ht="11.25" hidden="true" customHeight="true" outlineLevel="3" collapsed="false">
      <c r="C93" s="99"/>
      <c r="D93" s="99"/>
      <c r="E93" s="100" t="str">
        <f aca="false">IF($T$93="","",SUMIFS(Mastersheet!$F$2:$F$400,Mastersheet!$A$2:$A$400,$T$93)/1000)</f>
        <v/>
      </c>
      <c r="F93" s="100" t="str">
        <f aca="false">IF($T$93="","",SUMIFS(Mastersheet!$G$2:$G$400,Mastersheet!$A$2:$A$400,$T$93)/1000)</f>
        <v/>
      </c>
      <c r="G93" s="100" t="str">
        <f aca="false">IF($T$93="","",SUMIFS(Mastersheet!$H$2:$H$400,Mastersheet!$A$2:$A$400,$T$93)/1000)</f>
        <v/>
      </c>
      <c r="H93" s="100" t="str">
        <f aca="false">IF($T$93="","",SUMIFS(Mastersheet!$I$2:$I$400,Mastersheet!$A$2:$A$400,$T$93)/1000)</f>
        <v/>
      </c>
      <c r="I93" s="101" t="str">
        <f aca="false">IF($T$93="","",SUMIFS(Mastersheet!$J$2:$J$400,Mastersheet!$A$2:$A$400,$T$93)/1000)</f>
        <v/>
      </c>
      <c r="J93" s="102" t="str">
        <f aca="false">IF($T$93="","",SUMIFS(Mastersheet!$K$2:$K$400,Mastersheet!$A$2:$A$400,$T$93)/1000)</f>
        <v/>
      </c>
      <c r="K93" s="103" t="str">
        <f aca="false">IF($T$93="","",SUMIFS(Mastersheet!$L$2:$L$400,Mastersheet!$A$2:$A$400,$T$93)/1000)</f>
        <v/>
      </c>
      <c r="L93" s="103" t="str">
        <f aca="false">IF($T$93="","",SUMIFS(Mastersheet!$M$2:$M$400,Mastersheet!$A$2:$A$400,$T$93)/1000)</f>
        <v/>
      </c>
      <c r="M93" s="103" t="str">
        <f aca="false">IF($T$93="","",SUMIFS(Mastersheet!$N$2:$N$400,Mastersheet!$A$2:$A$400,$T$93)/1000)</f>
        <v/>
      </c>
      <c r="N93" s="103" t="str">
        <f aca="false">IF($T$93="","",SUMIFS(Mastersheet!$O$2:$O$400,Mastersheet!$A$2:$A$400,$T$93)/1000)</f>
        <v/>
      </c>
      <c r="O93" s="92"/>
      <c r="P93" s="96"/>
      <c r="Q93" s="96"/>
      <c r="T93" s="97"/>
      <c r="U93" s="104" t="s">
        <v>415</v>
      </c>
      <c r="V93" s="104" t="s">
        <v>416</v>
      </c>
    </row>
    <row r="94" customFormat="false" ht="11.25" hidden="true" customHeight="true" outlineLevel="3" collapsed="false">
      <c r="C94" s="99"/>
      <c r="D94" s="99"/>
      <c r="E94" s="100" t="str">
        <f aca="false">IF($T$94="","",SUMIFS(Mastersheet!$F$2:$F$400,Mastersheet!$A$2:$A$400,$T$94)/1000)</f>
        <v/>
      </c>
      <c r="F94" s="100" t="str">
        <f aca="false">IF($T$94="","",SUMIFS(Mastersheet!$G$2:$G$400,Mastersheet!$A$2:$A$400,$T$94)/1000)</f>
        <v/>
      </c>
      <c r="G94" s="100" t="str">
        <f aca="false">IF($T$94="","",SUMIFS(Mastersheet!$H$2:$H$400,Mastersheet!$A$2:$A$400,$T$94)/1000)</f>
        <v/>
      </c>
      <c r="H94" s="100" t="str">
        <f aca="false">IF($T$94="","",SUMIFS(Mastersheet!$I$2:$I$400,Mastersheet!$A$2:$A$400,$T$94)/1000)</f>
        <v/>
      </c>
      <c r="I94" s="101" t="str">
        <f aca="false">IF($T$94="","",SUMIFS(Mastersheet!$J$2:$J$400,Mastersheet!$A$2:$A$400,$T$94)/1000)</f>
        <v/>
      </c>
      <c r="J94" s="102" t="str">
        <f aca="false">IF($T$94="","",SUMIFS(Mastersheet!$K$2:$K$400,Mastersheet!$A$2:$A$400,$T$94)/1000)</f>
        <v/>
      </c>
      <c r="K94" s="103" t="str">
        <f aca="false">IF($T$94="","",SUMIFS(Mastersheet!$L$2:$L$400,Mastersheet!$A$2:$A$400,$T$94)/1000)</f>
        <v/>
      </c>
      <c r="L94" s="103" t="str">
        <f aca="false">IF($T$94="","",SUMIFS(Mastersheet!$M$2:$M$400,Mastersheet!$A$2:$A$400,$T$94)/1000)</f>
        <v/>
      </c>
      <c r="M94" s="103" t="str">
        <f aca="false">IF($T$94="","",SUMIFS(Mastersheet!$N$2:$N$400,Mastersheet!$A$2:$A$400,$T$94)/1000)</f>
        <v/>
      </c>
      <c r="N94" s="103" t="str">
        <f aca="false">IF($T$94="","",SUMIFS(Mastersheet!$O$2:$O$400,Mastersheet!$A$2:$A$400,$T$94)/1000)</f>
        <v/>
      </c>
      <c r="O94" s="92"/>
      <c r="P94" s="96"/>
      <c r="Q94" s="96"/>
      <c r="T94" s="97"/>
      <c r="U94" s="104" t="s">
        <v>415</v>
      </c>
      <c r="V94" s="104" t="s">
        <v>416</v>
      </c>
    </row>
    <row r="95" customFormat="false" ht="11.25" hidden="true" customHeight="true" outlineLevel="3" collapsed="false">
      <c r="C95" s="99"/>
      <c r="D95" s="99"/>
      <c r="E95" s="100" t="str">
        <f aca="false">IF($T$95="","",SUMIFS(Mastersheet!$F$2:$F$400,Mastersheet!$A$2:$A$400,$T$95)/1000)</f>
        <v/>
      </c>
      <c r="F95" s="100" t="str">
        <f aca="false">IF($T$95="","",SUMIFS(Mastersheet!$G$2:$G$400,Mastersheet!$A$2:$A$400,$T$95)/1000)</f>
        <v/>
      </c>
      <c r="G95" s="100" t="str">
        <f aca="false">IF($T$95="","",SUMIFS(Mastersheet!$H$2:$H$400,Mastersheet!$A$2:$A$400,$T$95)/1000)</f>
        <v/>
      </c>
      <c r="H95" s="100" t="str">
        <f aca="false">IF($T$95="","",SUMIFS(Mastersheet!$I$2:$I$400,Mastersheet!$A$2:$A$400,$T$95)/1000)</f>
        <v/>
      </c>
      <c r="I95" s="101" t="str">
        <f aca="false">IF($T$95="","",SUMIFS(Mastersheet!$J$2:$J$400,Mastersheet!$A$2:$A$400,$T$95)/1000)</f>
        <v/>
      </c>
      <c r="J95" s="102" t="str">
        <f aca="false">IF($T$95="","",SUMIFS(Mastersheet!$K$2:$K$400,Mastersheet!$A$2:$A$400,$T$95)/1000)</f>
        <v/>
      </c>
      <c r="K95" s="103" t="str">
        <f aca="false">IF($T$95="","",SUMIFS(Mastersheet!$L$2:$L$400,Mastersheet!$A$2:$A$400,$T$95)/1000)</f>
        <v/>
      </c>
      <c r="L95" s="103" t="str">
        <f aca="false">IF($T$95="","",SUMIFS(Mastersheet!$M$2:$M$400,Mastersheet!$A$2:$A$400,$T$95)/1000)</f>
        <v/>
      </c>
      <c r="M95" s="103" t="str">
        <f aca="false">IF($T$95="","",SUMIFS(Mastersheet!$N$2:$N$400,Mastersheet!$A$2:$A$400,$T$95)/1000)</f>
        <v/>
      </c>
      <c r="N95" s="103" t="str">
        <f aca="false">IF($T$95="","",SUMIFS(Mastersheet!$O$2:$O$400,Mastersheet!$A$2:$A$400,$T$95)/1000)</f>
        <v/>
      </c>
      <c r="O95" s="92"/>
      <c r="P95" s="96"/>
      <c r="Q95" s="96"/>
      <c r="T95" s="97"/>
      <c r="U95" s="104" t="s">
        <v>415</v>
      </c>
      <c r="V95" s="104" t="s">
        <v>416</v>
      </c>
    </row>
    <row r="96" customFormat="false" ht="11.25" hidden="true" customHeight="true" outlineLevel="3" collapsed="false">
      <c r="C96" s="99"/>
      <c r="D96" s="99"/>
      <c r="E96" s="100" t="str">
        <f aca="false">IF($T$96="","",SUMIFS(Mastersheet!$F$2:$F$400,Mastersheet!$A$2:$A$400,$T$96)/1000)</f>
        <v/>
      </c>
      <c r="F96" s="100" t="str">
        <f aca="false">IF($T$96="","",SUMIFS(Mastersheet!$G$2:$G$400,Mastersheet!$A$2:$A$400,$T$96)/1000)</f>
        <v/>
      </c>
      <c r="G96" s="100" t="str">
        <f aca="false">IF($T$96="","",SUMIFS(Mastersheet!$H$2:$H$400,Mastersheet!$A$2:$A$400,$T$96)/1000)</f>
        <v/>
      </c>
      <c r="H96" s="100" t="str">
        <f aca="false">IF($T$96="","",SUMIFS(Mastersheet!$I$2:$I$400,Mastersheet!$A$2:$A$400,$T$96)/1000)</f>
        <v/>
      </c>
      <c r="I96" s="101" t="str">
        <f aca="false">IF($T$96="","",SUMIFS(Mastersheet!$J$2:$J$400,Mastersheet!$A$2:$A$400,$T$96)/1000)</f>
        <v/>
      </c>
      <c r="J96" s="102" t="str">
        <f aca="false">IF($T$96="","",SUMIFS(Mastersheet!$K$2:$K$400,Mastersheet!$A$2:$A$400,$T$96)/1000)</f>
        <v/>
      </c>
      <c r="K96" s="103" t="str">
        <f aca="false">IF($T$96="","",SUMIFS(Mastersheet!$L$2:$L$400,Mastersheet!$A$2:$A$400,$T$96)/1000)</f>
        <v/>
      </c>
      <c r="L96" s="103" t="str">
        <f aca="false">IF($T$96="","",SUMIFS(Mastersheet!$M$2:$M$400,Mastersheet!$A$2:$A$400,$T$96)/1000)</f>
        <v/>
      </c>
      <c r="M96" s="103" t="str">
        <f aca="false">IF($T$96="","",SUMIFS(Mastersheet!$N$2:$N$400,Mastersheet!$A$2:$A$400,$T$96)/1000)</f>
        <v/>
      </c>
      <c r="N96" s="103" t="str">
        <f aca="false">IF($T$96="","",SUMIFS(Mastersheet!$O$2:$O$400,Mastersheet!$A$2:$A$400,$T$96)/1000)</f>
        <v/>
      </c>
      <c r="O96" s="92"/>
      <c r="P96" s="96"/>
      <c r="Q96" s="96"/>
      <c r="T96" s="97"/>
      <c r="U96" s="104" t="s">
        <v>415</v>
      </c>
      <c r="V96" s="104" t="s">
        <v>416</v>
      </c>
    </row>
    <row r="97" customFormat="false" ht="11.25" hidden="true" customHeight="true" outlineLevel="3" collapsed="false">
      <c r="C97" s="99"/>
      <c r="D97" s="99"/>
      <c r="E97" s="100" t="str">
        <f aca="false">IF($T$97="","",SUMIFS(Mastersheet!$F$2:$F$400,Mastersheet!$A$2:$A$400,$T$97)/1000)</f>
        <v/>
      </c>
      <c r="F97" s="100" t="str">
        <f aca="false">IF($T$97="","",SUMIFS(Mastersheet!$G$2:$G$400,Mastersheet!$A$2:$A$400,$T$97)/1000)</f>
        <v/>
      </c>
      <c r="G97" s="100" t="str">
        <f aca="false">IF($T$97="","",SUMIFS(Mastersheet!$H$2:$H$400,Mastersheet!$A$2:$A$400,$T$97)/1000)</f>
        <v/>
      </c>
      <c r="H97" s="100" t="str">
        <f aca="false">IF($T$97="","",SUMIFS(Mastersheet!$I$2:$I$400,Mastersheet!$A$2:$A$400,$T$97)/1000)</f>
        <v/>
      </c>
      <c r="I97" s="101" t="str">
        <f aca="false">IF($T$97="","",SUMIFS(Mastersheet!$J$2:$J$400,Mastersheet!$A$2:$A$400,$T$97)/1000)</f>
        <v/>
      </c>
      <c r="J97" s="102" t="str">
        <f aca="false">IF($T$97="","",SUMIFS(Mastersheet!$K$2:$K$400,Mastersheet!$A$2:$A$400,$T$97)/1000)</f>
        <v/>
      </c>
      <c r="K97" s="103" t="str">
        <f aca="false">IF($T$97="","",SUMIFS(Mastersheet!$L$2:$L$400,Mastersheet!$A$2:$A$400,$T$97)/1000)</f>
        <v/>
      </c>
      <c r="L97" s="103" t="str">
        <f aca="false">IF($T$97="","",SUMIFS(Mastersheet!$M$2:$M$400,Mastersheet!$A$2:$A$400,$T$97)/1000)</f>
        <v/>
      </c>
      <c r="M97" s="103" t="str">
        <f aca="false">IF($T$97="","",SUMIFS(Mastersheet!$N$2:$N$400,Mastersheet!$A$2:$A$400,$T$97)/1000)</f>
        <v/>
      </c>
      <c r="N97" s="103" t="str">
        <f aca="false">IF($T$97="","",SUMIFS(Mastersheet!$O$2:$O$400,Mastersheet!$A$2:$A$400,$T$97)/1000)</f>
        <v/>
      </c>
      <c r="O97" s="92"/>
      <c r="P97" s="96"/>
      <c r="Q97" s="96"/>
      <c r="T97" s="97"/>
      <c r="U97" s="104" t="s">
        <v>415</v>
      </c>
      <c r="V97" s="104" t="s">
        <v>416</v>
      </c>
    </row>
    <row r="98" customFormat="false" ht="11.25" hidden="false" customHeight="true" outlineLevel="0" collapsed="false">
      <c r="C98" s="91" t="s">
        <v>437</v>
      </c>
      <c r="D98" s="91" t="s">
        <v>438</v>
      </c>
      <c r="E98" s="92" t="n">
        <f aca="false">SUMIFS(Mastersheet!$F$2:$F$400,Mastersheet!$D$2:$D$400,$T98,Mastersheet!$C$2:$C$400,$U98)/1000</f>
        <v>0</v>
      </c>
      <c r="F98" s="92" t="n">
        <f aca="false">SUMIFS(Mastersheet!$G$2:$G$400,Mastersheet!$D$2:$D$400,$T98,Mastersheet!$C$2:$C$400,$U98)/1000</f>
        <v>0</v>
      </c>
      <c r="G98" s="92" t="n">
        <f aca="false">SUMIFS(Mastersheet!$H$2:$H$400,Mastersheet!$D$2:$D$400,$T98,Mastersheet!$C$2:$C$400,$U98)/1000</f>
        <v>0</v>
      </c>
      <c r="H98" s="92" t="n">
        <f aca="false">SUMIFS(Mastersheet!$I$2:$I$400,Mastersheet!$D$2:$D$400,$T98,Mastersheet!$C$2:$C$400,$U98)/1000</f>
        <v>0</v>
      </c>
      <c r="I98" s="93" t="n">
        <f aca="false">SUMIFS(Mastersheet!$J$2:$J$400,Mastersheet!$D$2:$D$400,$T98,Mastersheet!$C$2:$C$400,$U98)/1000</f>
        <v>0</v>
      </c>
      <c r="J98" s="94" t="n">
        <f aca="false">SUMIFS(Mastersheet!$K$2:$K$400,Mastersheet!$D$2:$D$400,$T98,Mastersheet!$C$2:$C$400,$U98)/1000</f>
        <v>0</v>
      </c>
      <c r="K98" s="95" t="n">
        <f aca="false">SUMIFS(Mastersheet!$L$2:$L$400,Mastersheet!$D$2:$D$400,$T98,Mastersheet!$C$2:$C$400,$U98)/1000</f>
        <v>0</v>
      </c>
      <c r="L98" s="95" t="n">
        <f aca="false">SUMIFS(Mastersheet!$M$2:$M$400,Mastersheet!$D$2:$D$400,$T98,Mastersheet!$C$2:$C$400,$U98)/1000</f>
        <v>0</v>
      </c>
      <c r="M98" s="95" t="n">
        <f aca="false">SUMIFS(Mastersheet!$N$2:$N$400,Mastersheet!$D$2:$D$400,$T98,Mastersheet!$C$2:$C$400,$U98)/1000</f>
        <v>0</v>
      </c>
      <c r="N98" s="95" t="n">
        <f aca="false">SUMIFS(Mastersheet!$O$2:$O$400,Mastersheet!$D$2:$D$400,$T98,Mastersheet!$C$2:$C$400,$U98)/1000</f>
        <v>0</v>
      </c>
      <c r="O98" s="92"/>
      <c r="P98" s="96" t="str">
        <f aca="false">IFERROR(((H98/F98)^(1/(($H$1-$F$1)/365)))-1,"n/a")</f>
        <v>n/a</v>
      </c>
      <c r="Q98" s="96" t="str">
        <f aca="false">IFERROR(((N98/H98)^(1/(($N$1-$H$1)/365)))-1,"n/a")</f>
        <v>n/a</v>
      </c>
      <c r="T98" s="97" t="s">
        <v>437</v>
      </c>
      <c r="U98" s="98" t="s">
        <v>413</v>
      </c>
      <c r="V98" s="98" t="s">
        <v>414</v>
      </c>
    </row>
    <row r="99" customFormat="false" ht="11.25" hidden="true" customHeight="true" outlineLevel="3" collapsed="false">
      <c r="C99" s="99"/>
      <c r="D99" s="99"/>
      <c r="E99" s="100" t="str">
        <f aca="false">IF($T$99="","",SUMIFS(Mastersheet!$F$2:$F$400,Mastersheet!$A$2:$A$400,$T$99)/1000)</f>
        <v/>
      </c>
      <c r="F99" s="100" t="str">
        <f aca="false">IF($T$99="","",SUMIFS(Mastersheet!$G$2:$G$400,Mastersheet!$A$2:$A$400,$T$99)/1000)</f>
        <v/>
      </c>
      <c r="G99" s="100" t="str">
        <f aca="false">IF($T$99="","",SUMIFS(Mastersheet!$H$2:$H$400,Mastersheet!$A$2:$A$400,$T$99)/1000)</f>
        <v/>
      </c>
      <c r="H99" s="100" t="str">
        <f aca="false">IF($T$99="","",SUMIFS(Mastersheet!$I$2:$I$400,Mastersheet!$A$2:$A$400,$T$99)/1000)</f>
        <v/>
      </c>
      <c r="I99" s="101" t="str">
        <f aca="false">IF($T$99="","",SUMIFS(Mastersheet!$J$2:$J$400,Mastersheet!$A$2:$A$400,$T$99)/1000)</f>
        <v/>
      </c>
      <c r="J99" s="102" t="str">
        <f aca="false">IF($T$99="","",SUMIFS(Mastersheet!$K$2:$K$400,Mastersheet!$A$2:$A$400,$T$99)/1000)</f>
        <v/>
      </c>
      <c r="K99" s="103" t="str">
        <f aca="false">IF($T$99="","",SUMIFS(Mastersheet!$L$2:$L$400,Mastersheet!$A$2:$A$400,$T$99)/1000)</f>
        <v/>
      </c>
      <c r="L99" s="103" t="str">
        <f aca="false">IF($T$99="","",SUMIFS(Mastersheet!$M$2:$M$400,Mastersheet!$A$2:$A$400,$T$99)/1000)</f>
        <v/>
      </c>
      <c r="M99" s="103" t="str">
        <f aca="false">IF($T$99="","",SUMIFS(Mastersheet!$N$2:$N$400,Mastersheet!$A$2:$A$400,$T$99)/1000)</f>
        <v/>
      </c>
      <c r="N99" s="103" t="str">
        <f aca="false">IF($T$99="","",SUMIFS(Mastersheet!$O$2:$O$400,Mastersheet!$A$2:$A$400,$T$99)/1000)</f>
        <v/>
      </c>
      <c r="O99" s="92"/>
      <c r="P99" s="96"/>
      <c r="Q99" s="96"/>
      <c r="T99" s="97"/>
      <c r="U99" s="104" t="s">
        <v>415</v>
      </c>
      <c r="V99" s="104" t="s">
        <v>416</v>
      </c>
    </row>
    <row r="100" customFormat="false" ht="11.25" hidden="true" customHeight="true" outlineLevel="3" collapsed="false">
      <c r="C100" s="99"/>
      <c r="D100" s="99"/>
      <c r="E100" s="100" t="str">
        <f aca="false">IF($T$100="","",SUMIFS(Mastersheet!$F$2:$F$400,Mastersheet!$A$2:$A$400,$T$100)/1000)</f>
        <v/>
      </c>
      <c r="F100" s="100" t="str">
        <f aca="false">IF($T$100="","",SUMIFS(Mastersheet!$G$2:$G$400,Mastersheet!$A$2:$A$400,$T$100)/1000)</f>
        <v/>
      </c>
      <c r="G100" s="100" t="str">
        <f aca="false">IF($T$100="","",SUMIFS(Mastersheet!$H$2:$H$400,Mastersheet!$A$2:$A$400,$T$100)/1000)</f>
        <v/>
      </c>
      <c r="H100" s="100" t="str">
        <f aca="false">IF($T$100="","",SUMIFS(Mastersheet!$I$2:$I$400,Mastersheet!$A$2:$A$400,$T$100)/1000)</f>
        <v/>
      </c>
      <c r="I100" s="101" t="str">
        <f aca="false">IF($T$100="","",SUMIFS(Mastersheet!$J$2:$J$400,Mastersheet!$A$2:$A$400,$T$100)/1000)</f>
        <v/>
      </c>
      <c r="J100" s="102" t="str">
        <f aca="false">IF($T$100="","",SUMIFS(Mastersheet!$K$2:$K$400,Mastersheet!$A$2:$A$400,$T$100)/1000)</f>
        <v/>
      </c>
      <c r="K100" s="103" t="str">
        <f aca="false">IF($T$100="","",SUMIFS(Mastersheet!$L$2:$L$400,Mastersheet!$A$2:$A$400,$T$100)/1000)</f>
        <v/>
      </c>
      <c r="L100" s="103" t="str">
        <f aca="false">IF($T$100="","",SUMIFS(Mastersheet!$M$2:$M$400,Mastersheet!$A$2:$A$400,$T$100)/1000)</f>
        <v/>
      </c>
      <c r="M100" s="103" t="str">
        <f aca="false">IF($T$100="","",SUMIFS(Mastersheet!$N$2:$N$400,Mastersheet!$A$2:$A$400,$T$100)/1000)</f>
        <v/>
      </c>
      <c r="N100" s="103" t="str">
        <f aca="false">IF($T$100="","",SUMIFS(Mastersheet!$O$2:$O$400,Mastersheet!$A$2:$A$400,$T$100)/1000)</f>
        <v/>
      </c>
      <c r="O100" s="92"/>
      <c r="P100" s="96"/>
      <c r="Q100" s="96"/>
      <c r="T100" s="97"/>
      <c r="U100" s="104" t="s">
        <v>415</v>
      </c>
      <c r="V100" s="104" t="s">
        <v>416</v>
      </c>
    </row>
    <row r="101" customFormat="false" ht="11.25" hidden="true" customHeight="true" outlineLevel="3" collapsed="false">
      <c r="C101" s="99"/>
      <c r="D101" s="99"/>
      <c r="E101" s="100" t="str">
        <f aca="false">IF($T$101="","",SUMIFS(Mastersheet!$F$2:$F$400,Mastersheet!$A$2:$A$400,$T$101)/1000)</f>
        <v/>
      </c>
      <c r="F101" s="100" t="str">
        <f aca="false">IF($T$101="","",SUMIFS(Mastersheet!$G$2:$G$400,Mastersheet!$A$2:$A$400,$T$101)/1000)</f>
        <v/>
      </c>
      <c r="G101" s="100" t="str">
        <f aca="false">IF($T$101="","",SUMIFS(Mastersheet!$H$2:$H$400,Mastersheet!$A$2:$A$400,$T$101)/1000)</f>
        <v/>
      </c>
      <c r="H101" s="100" t="str">
        <f aca="false">IF($T$101="","",SUMIFS(Mastersheet!$I$2:$I$400,Mastersheet!$A$2:$A$400,$T$101)/1000)</f>
        <v/>
      </c>
      <c r="I101" s="101" t="str">
        <f aca="false">IF($T$101="","",SUMIFS(Mastersheet!$J$2:$J$400,Mastersheet!$A$2:$A$400,$T$101)/1000)</f>
        <v/>
      </c>
      <c r="J101" s="102" t="str">
        <f aca="false">IF($T$101="","",SUMIFS(Mastersheet!$K$2:$K$400,Mastersheet!$A$2:$A$400,$T$101)/1000)</f>
        <v/>
      </c>
      <c r="K101" s="103" t="str">
        <f aca="false">IF($T$101="","",SUMIFS(Mastersheet!$L$2:$L$400,Mastersheet!$A$2:$A$400,$T$101)/1000)</f>
        <v/>
      </c>
      <c r="L101" s="103" t="str">
        <f aca="false">IF($T$101="","",SUMIFS(Mastersheet!$M$2:$M$400,Mastersheet!$A$2:$A$400,$T$101)/1000)</f>
        <v/>
      </c>
      <c r="M101" s="103" t="str">
        <f aca="false">IF($T$101="","",SUMIFS(Mastersheet!$N$2:$N$400,Mastersheet!$A$2:$A$400,$T$101)/1000)</f>
        <v/>
      </c>
      <c r="N101" s="103" t="str">
        <f aca="false">IF($T$101="","",SUMIFS(Mastersheet!$O$2:$O$400,Mastersheet!$A$2:$A$400,$T$101)/1000)</f>
        <v/>
      </c>
      <c r="O101" s="92"/>
      <c r="P101" s="96"/>
      <c r="Q101" s="96"/>
      <c r="T101" s="97"/>
      <c r="U101" s="104" t="s">
        <v>415</v>
      </c>
      <c r="V101" s="104" t="s">
        <v>416</v>
      </c>
    </row>
    <row r="102" customFormat="false" ht="11.25" hidden="true" customHeight="true" outlineLevel="3" collapsed="false">
      <c r="C102" s="99"/>
      <c r="D102" s="99"/>
      <c r="E102" s="100" t="str">
        <f aca="false">IF($T$102="","",SUMIFS(Mastersheet!$F$2:$F$400,Mastersheet!$A$2:$A$400,$T$102)/1000)</f>
        <v/>
      </c>
      <c r="F102" s="100" t="str">
        <f aca="false">IF($T$102="","",SUMIFS(Mastersheet!$G$2:$G$400,Mastersheet!$A$2:$A$400,$T$102)/1000)</f>
        <v/>
      </c>
      <c r="G102" s="100" t="str">
        <f aca="false">IF($T$102="","",SUMIFS(Mastersheet!$H$2:$H$400,Mastersheet!$A$2:$A$400,$T$102)/1000)</f>
        <v/>
      </c>
      <c r="H102" s="100" t="str">
        <f aca="false">IF($T$102="","",SUMIFS(Mastersheet!$I$2:$I$400,Mastersheet!$A$2:$A$400,$T$102)/1000)</f>
        <v/>
      </c>
      <c r="I102" s="101" t="str">
        <f aca="false">IF($T$102="","",SUMIFS(Mastersheet!$J$2:$J$400,Mastersheet!$A$2:$A$400,$T$102)/1000)</f>
        <v/>
      </c>
      <c r="J102" s="102" t="str">
        <f aca="false">IF($T$102="","",SUMIFS(Mastersheet!$K$2:$K$400,Mastersheet!$A$2:$A$400,$T$102)/1000)</f>
        <v/>
      </c>
      <c r="K102" s="103" t="str">
        <f aca="false">IF($T$102="","",SUMIFS(Mastersheet!$L$2:$L$400,Mastersheet!$A$2:$A$400,$T$102)/1000)</f>
        <v/>
      </c>
      <c r="L102" s="103" t="str">
        <f aca="false">IF($T$102="","",SUMIFS(Mastersheet!$M$2:$M$400,Mastersheet!$A$2:$A$400,$T$102)/1000)</f>
        <v/>
      </c>
      <c r="M102" s="103" t="str">
        <f aca="false">IF($T$102="","",SUMIFS(Mastersheet!$N$2:$N$400,Mastersheet!$A$2:$A$400,$T$102)/1000)</f>
        <v/>
      </c>
      <c r="N102" s="103" t="str">
        <f aca="false">IF($T$102="","",SUMIFS(Mastersheet!$O$2:$O$400,Mastersheet!$A$2:$A$400,$T$102)/1000)</f>
        <v/>
      </c>
      <c r="O102" s="92"/>
      <c r="P102" s="96"/>
      <c r="Q102" s="96"/>
      <c r="T102" s="97"/>
      <c r="U102" s="104" t="s">
        <v>415</v>
      </c>
      <c r="V102" s="104" t="s">
        <v>416</v>
      </c>
    </row>
    <row r="103" customFormat="false" ht="11.25" hidden="true" customHeight="true" outlineLevel="3" collapsed="false">
      <c r="C103" s="99"/>
      <c r="D103" s="99"/>
      <c r="E103" s="100" t="str">
        <f aca="false">IF($T$103="","",SUMIFS(Mastersheet!$F$2:$F$400,Mastersheet!$A$2:$A$400,$T$103)/1000)</f>
        <v/>
      </c>
      <c r="F103" s="100" t="str">
        <f aca="false">IF($T$103="","",SUMIFS(Mastersheet!$G$2:$G$400,Mastersheet!$A$2:$A$400,$T$103)/1000)</f>
        <v/>
      </c>
      <c r="G103" s="100" t="str">
        <f aca="false">IF($T$103="","",SUMIFS(Mastersheet!$H$2:$H$400,Mastersheet!$A$2:$A$400,$T$103)/1000)</f>
        <v/>
      </c>
      <c r="H103" s="100" t="str">
        <f aca="false">IF($T$103="","",SUMIFS(Mastersheet!$I$2:$I$400,Mastersheet!$A$2:$A$400,$T$103)/1000)</f>
        <v/>
      </c>
      <c r="I103" s="101" t="str">
        <f aca="false">IF($T$103="","",SUMIFS(Mastersheet!$J$2:$J$400,Mastersheet!$A$2:$A$400,$T$103)/1000)</f>
        <v/>
      </c>
      <c r="J103" s="102" t="str">
        <f aca="false">IF($T$103="","",SUMIFS(Mastersheet!$K$2:$K$400,Mastersheet!$A$2:$A$400,$T$103)/1000)</f>
        <v/>
      </c>
      <c r="K103" s="103" t="str">
        <f aca="false">IF($T$103="","",SUMIFS(Mastersheet!$L$2:$L$400,Mastersheet!$A$2:$A$400,$T$103)/1000)</f>
        <v/>
      </c>
      <c r="L103" s="103" t="str">
        <f aca="false">IF($T$103="","",SUMIFS(Mastersheet!$M$2:$M$400,Mastersheet!$A$2:$A$400,$T$103)/1000)</f>
        <v/>
      </c>
      <c r="M103" s="103" t="str">
        <f aca="false">IF($T$103="","",SUMIFS(Mastersheet!$N$2:$N$400,Mastersheet!$A$2:$A$400,$T$103)/1000)</f>
        <v/>
      </c>
      <c r="N103" s="103" t="str">
        <f aca="false">IF($T$103="","",SUMIFS(Mastersheet!$O$2:$O$400,Mastersheet!$A$2:$A$400,$T$103)/1000)</f>
        <v/>
      </c>
      <c r="O103" s="92"/>
      <c r="P103" s="96"/>
      <c r="Q103" s="96"/>
      <c r="T103" s="97"/>
      <c r="U103" s="104" t="s">
        <v>415</v>
      </c>
      <c r="V103" s="104" t="s">
        <v>416</v>
      </c>
    </row>
    <row r="104" customFormat="false" ht="11.25" hidden="true" customHeight="true" outlineLevel="3" collapsed="false">
      <c r="C104" s="99"/>
      <c r="D104" s="99"/>
      <c r="E104" s="100" t="str">
        <f aca="false">IF($T$104="","",SUMIFS(Mastersheet!$F$2:$F$400,Mastersheet!$A$2:$A$400,$T$104)/1000)</f>
        <v/>
      </c>
      <c r="F104" s="100" t="str">
        <f aca="false">IF($T$104="","",SUMIFS(Mastersheet!$G$2:$G$400,Mastersheet!$A$2:$A$400,$T$104)/1000)</f>
        <v/>
      </c>
      <c r="G104" s="100" t="str">
        <f aca="false">IF($T$104="","",SUMIFS(Mastersheet!$H$2:$H$400,Mastersheet!$A$2:$A$400,$T$104)/1000)</f>
        <v/>
      </c>
      <c r="H104" s="100" t="str">
        <f aca="false">IF($T$104="","",SUMIFS(Mastersheet!$I$2:$I$400,Mastersheet!$A$2:$A$400,$T$104)/1000)</f>
        <v/>
      </c>
      <c r="I104" s="101" t="str">
        <f aca="false">IF($T$104="","",SUMIFS(Mastersheet!$J$2:$J$400,Mastersheet!$A$2:$A$400,$T$104)/1000)</f>
        <v/>
      </c>
      <c r="J104" s="102" t="str">
        <f aca="false">IF($T$104="","",SUMIFS(Mastersheet!$K$2:$K$400,Mastersheet!$A$2:$A$400,$T$104)/1000)</f>
        <v/>
      </c>
      <c r="K104" s="103" t="str">
        <f aca="false">IF($T$104="","",SUMIFS(Mastersheet!$L$2:$L$400,Mastersheet!$A$2:$A$400,$T$104)/1000)</f>
        <v/>
      </c>
      <c r="L104" s="103" t="str">
        <f aca="false">IF($T$104="","",SUMIFS(Mastersheet!$M$2:$M$400,Mastersheet!$A$2:$A$400,$T$104)/1000)</f>
        <v/>
      </c>
      <c r="M104" s="103" t="str">
        <f aca="false">IF($T$104="","",SUMIFS(Mastersheet!$N$2:$N$400,Mastersheet!$A$2:$A$400,$T$104)/1000)</f>
        <v/>
      </c>
      <c r="N104" s="103" t="str">
        <f aca="false">IF($T$104="","",SUMIFS(Mastersheet!$O$2:$O$400,Mastersheet!$A$2:$A$400,$T$104)/1000)</f>
        <v/>
      </c>
      <c r="O104" s="92"/>
      <c r="P104" s="96"/>
      <c r="Q104" s="96"/>
      <c r="T104" s="97"/>
      <c r="U104" s="104" t="s">
        <v>415</v>
      </c>
      <c r="V104" s="104" t="s">
        <v>416</v>
      </c>
    </row>
    <row r="105" customFormat="false" ht="11.25" hidden="true" customHeight="true" outlineLevel="3" collapsed="false">
      <c r="C105" s="99"/>
      <c r="D105" s="99"/>
      <c r="E105" s="100" t="str">
        <f aca="false">IF($T$105="","",SUMIFS(Mastersheet!$F$2:$F$400,Mastersheet!$A$2:$A$400,$T$105)/1000)</f>
        <v/>
      </c>
      <c r="F105" s="100" t="str">
        <f aca="false">IF($T$105="","",SUMIFS(Mastersheet!$G$2:$G$400,Mastersheet!$A$2:$A$400,$T$105)/1000)</f>
        <v/>
      </c>
      <c r="G105" s="100" t="str">
        <f aca="false">IF($T$105="","",SUMIFS(Mastersheet!$H$2:$H$400,Mastersheet!$A$2:$A$400,$T$105)/1000)</f>
        <v/>
      </c>
      <c r="H105" s="100" t="str">
        <f aca="false">IF($T$105="","",SUMIFS(Mastersheet!$I$2:$I$400,Mastersheet!$A$2:$A$400,$T$105)/1000)</f>
        <v/>
      </c>
      <c r="I105" s="101" t="str">
        <f aca="false">IF($T$105="","",SUMIFS(Mastersheet!$J$2:$J$400,Mastersheet!$A$2:$A$400,$T$105)/1000)</f>
        <v/>
      </c>
      <c r="J105" s="102" t="str">
        <f aca="false">IF($T$105="","",SUMIFS(Mastersheet!$K$2:$K$400,Mastersheet!$A$2:$A$400,$T$105)/1000)</f>
        <v/>
      </c>
      <c r="K105" s="103" t="str">
        <f aca="false">IF($T$105="","",SUMIFS(Mastersheet!$L$2:$L$400,Mastersheet!$A$2:$A$400,$T$105)/1000)</f>
        <v/>
      </c>
      <c r="L105" s="103" t="str">
        <f aca="false">IF($T$105="","",SUMIFS(Mastersheet!$M$2:$M$400,Mastersheet!$A$2:$A$400,$T$105)/1000)</f>
        <v/>
      </c>
      <c r="M105" s="103" t="str">
        <f aca="false">IF($T$105="","",SUMIFS(Mastersheet!$N$2:$N$400,Mastersheet!$A$2:$A$400,$T$105)/1000)</f>
        <v/>
      </c>
      <c r="N105" s="103" t="str">
        <f aca="false">IF($T$105="","",SUMIFS(Mastersheet!$O$2:$O$400,Mastersheet!$A$2:$A$400,$T$105)/1000)</f>
        <v/>
      </c>
      <c r="O105" s="92"/>
      <c r="P105" s="96"/>
      <c r="Q105" s="96"/>
      <c r="T105" s="97"/>
      <c r="U105" s="104" t="s">
        <v>415</v>
      </c>
      <c r="V105" s="104" t="s">
        <v>416</v>
      </c>
    </row>
    <row r="106" customFormat="false" ht="11.25" hidden="true" customHeight="true" outlineLevel="3" collapsed="false">
      <c r="C106" s="99"/>
      <c r="D106" s="99"/>
      <c r="E106" s="100" t="str">
        <f aca="false">IF($T$106="","",SUMIFS(Mastersheet!$F$2:$F$400,Mastersheet!$A$2:$A$400,$T$106)/1000)</f>
        <v/>
      </c>
      <c r="F106" s="100" t="str">
        <f aca="false">IF($T$106="","",SUMIFS(Mastersheet!$G$2:$G$400,Mastersheet!$A$2:$A$400,$T$106)/1000)</f>
        <v/>
      </c>
      <c r="G106" s="100" t="str">
        <f aca="false">IF($T$106="","",SUMIFS(Mastersheet!$H$2:$H$400,Mastersheet!$A$2:$A$400,$T$106)/1000)</f>
        <v/>
      </c>
      <c r="H106" s="100" t="str">
        <f aca="false">IF($T$106="","",SUMIFS(Mastersheet!$I$2:$I$400,Mastersheet!$A$2:$A$400,$T$106)/1000)</f>
        <v/>
      </c>
      <c r="I106" s="101" t="str">
        <f aca="false">IF($T$106="","",SUMIFS(Mastersheet!$J$2:$J$400,Mastersheet!$A$2:$A$400,$T$106)/1000)</f>
        <v/>
      </c>
      <c r="J106" s="102" t="str">
        <f aca="false">IF($T$106="","",SUMIFS(Mastersheet!$K$2:$K$400,Mastersheet!$A$2:$A$400,$T$106)/1000)</f>
        <v/>
      </c>
      <c r="K106" s="103" t="str">
        <f aca="false">IF($T$106="","",SUMIFS(Mastersheet!$L$2:$L$400,Mastersheet!$A$2:$A$400,$T$106)/1000)</f>
        <v/>
      </c>
      <c r="L106" s="103" t="str">
        <f aca="false">IF($T$106="","",SUMIFS(Mastersheet!$M$2:$M$400,Mastersheet!$A$2:$A$400,$T$106)/1000)</f>
        <v/>
      </c>
      <c r="M106" s="103" t="str">
        <f aca="false">IF($T$106="","",SUMIFS(Mastersheet!$N$2:$N$400,Mastersheet!$A$2:$A$400,$T$106)/1000)</f>
        <v/>
      </c>
      <c r="N106" s="103" t="str">
        <f aca="false">IF($T$106="","",SUMIFS(Mastersheet!$O$2:$O$400,Mastersheet!$A$2:$A$400,$T$106)/1000)</f>
        <v/>
      </c>
      <c r="O106" s="92"/>
      <c r="P106" s="96"/>
      <c r="Q106" s="96"/>
      <c r="T106" s="97"/>
      <c r="U106" s="104" t="s">
        <v>415</v>
      </c>
      <c r="V106" s="104" t="s">
        <v>416</v>
      </c>
    </row>
    <row r="107" customFormat="false" ht="11.25" hidden="false" customHeight="true" outlineLevel="0" collapsed="false">
      <c r="C107" s="91" t="s">
        <v>439</v>
      </c>
      <c r="D107" s="91" t="s">
        <v>440</v>
      </c>
      <c r="E107" s="92" t="n">
        <f aca="false">SUMIFS(Mastersheet!$F$2:$F$400,Mastersheet!$D$2:$D$400,$T107,Mastersheet!$C$2:$C$400,$U107)/1000</f>
        <v>0</v>
      </c>
      <c r="F107" s="92" t="n">
        <f aca="false">SUMIFS(Mastersheet!$G$2:$G$400,Mastersheet!$D$2:$D$400,$T107,Mastersheet!$C$2:$C$400,$U107)/1000</f>
        <v>0</v>
      </c>
      <c r="G107" s="92" t="n">
        <f aca="false">SUMIFS(Mastersheet!$H$2:$H$400,Mastersheet!$D$2:$D$400,$T107,Mastersheet!$C$2:$C$400,$U107)/1000</f>
        <v>0</v>
      </c>
      <c r="H107" s="92" t="n">
        <f aca="false">SUMIFS(Mastersheet!$I$2:$I$400,Mastersheet!$D$2:$D$400,$T107,Mastersheet!$C$2:$C$400,$U107)/1000</f>
        <v>0</v>
      </c>
      <c r="I107" s="93" t="n">
        <f aca="false">SUMIFS(Mastersheet!$J$2:$J$400,Mastersheet!$D$2:$D$400,$T107,Mastersheet!$C$2:$C$400,$U107)/1000</f>
        <v>0</v>
      </c>
      <c r="J107" s="94" t="n">
        <f aca="false">SUMIFS(Mastersheet!$K$2:$K$400,Mastersheet!$D$2:$D$400,$T107,Mastersheet!$C$2:$C$400,$U107)/1000</f>
        <v>0</v>
      </c>
      <c r="K107" s="95" t="n">
        <f aca="false">SUMIFS(Mastersheet!$L$2:$L$400,Mastersheet!$D$2:$D$400,$T107,Mastersheet!$C$2:$C$400,$U107)/1000</f>
        <v>0</v>
      </c>
      <c r="L107" s="95" t="n">
        <f aca="false">SUMIFS(Mastersheet!$M$2:$M$400,Mastersheet!$D$2:$D$400,$T107,Mastersheet!$C$2:$C$400,$U107)/1000</f>
        <v>0</v>
      </c>
      <c r="M107" s="95" t="n">
        <f aca="false">SUMIFS(Mastersheet!$N$2:$N$400,Mastersheet!$D$2:$D$400,$T107,Mastersheet!$C$2:$C$400,$U107)/1000</f>
        <v>0</v>
      </c>
      <c r="N107" s="95" t="n">
        <f aca="false">SUMIFS(Mastersheet!$O$2:$O$400,Mastersheet!$D$2:$D$400,$T107,Mastersheet!$C$2:$C$400,$U107)/1000</f>
        <v>0</v>
      </c>
      <c r="O107" s="92"/>
      <c r="P107" s="96" t="str">
        <f aca="false">IFERROR(((H107/F107)^(1/(($H$1-$F$1)/365)))-1,"n/a")</f>
        <v>n/a</v>
      </c>
      <c r="Q107" s="96" t="str">
        <f aca="false">IFERROR(((N107/H107)^(1/(($N$1-$H$1)/365)))-1,"n/a")</f>
        <v>n/a</v>
      </c>
      <c r="T107" s="97" t="s">
        <v>441</v>
      </c>
      <c r="U107" s="98" t="s">
        <v>413</v>
      </c>
      <c r="V107" s="98" t="s">
        <v>414</v>
      </c>
    </row>
    <row r="108" customFormat="false" ht="11.25" hidden="true" customHeight="true" outlineLevel="3" collapsed="false">
      <c r="C108" s="99"/>
      <c r="D108" s="99"/>
      <c r="E108" s="100" t="str">
        <f aca="false">IF($T$108="","",SUMIFS(Mastersheet!$F$2:$F$400,Mastersheet!$A$2:$A$400,$T$108)/1000)</f>
        <v/>
      </c>
      <c r="F108" s="100" t="str">
        <f aca="false">IF($T$108="","",SUMIFS(Mastersheet!$G$2:$G$400,Mastersheet!$A$2:$A$400,$T$108)/1000)</f>
        <v/>
      </c>
      <c r="G108" s="100" t="str">
        <f aca="false">IF($T$108="","",SUMIFS(Mastersheet!$H$2:$H$400,Mastersheet!$A$2:$A$400,$T$108)/1000)</f>
        <v/>
      </c>
      <c r="H108" s="100" t="str">
        <f aca="false">IF($T$108="","",SUMIFS(Mastersheet!$I$2:$I$400,Mastersheet!$A$2:$A$400,$T$108)/1000)</f>
        <v/>
      </c>
      <c r="I108" s="101" t="str">
        <f aca="false">IF($T$108="","",SUMIFS(Mastersheet!$J$2:$J$400,Mastersheet!$A$2:$A$400,$T$108)/1000)</f>
        <v/>
      </c>
      <c r="J108" s="102" t="str">
        <f aca="false">IF($T$108="","",SUMIFS(Mastersheet!$K$2:$K$400,Mastersheet!$A$2:$A$400,$T$108)/1000)</f>
        <v/>
      </c>
      <c r="K108" s="103" t="str">
        <f aca="false">IF($T$108="","",SUMIFS(Mastersheet!$L$2:$L$400,Mastersheet!$A$2:$A$400,$T$108)/1000)</f>
        <v/>
      </c>
      <c r="L108" s="103" t="str">
        <f aca="false">IF($T$108="","",SUMIFS(Mastersheet!$M$2:$M$400,Mastersheet!$A$2:$A$400,$T$108)/1000)</f>
        <v/>
      </c>
      <c r="M108" s="103" t="str">
        <f aca="false">IF($T$108="","",SUMIFS(Mastersheet!$N$2:$N$400,Mastersheet!$A$2:$A$400,$T$108)/1000)</f>
        <v/>
      </c>
      <c r="N108" s="103" t="str">
        <f aca="false">IF($T$108="","",SUMIFS(Mastersheet!$O$2:$O$400,Mastersheet!$A$2:$A$400,$T$108)/1000)</f>
        <v/>
      </c>
      <c r="O108" s="92"/>
      <c r="P108" s="96"/>
      <c r="Q108" s="96"/>
      <c r="T108" s="97"/>
      <c r="U108" s="104" t="s">
        <v>415</v>
      </c>
      <c r="V108" s="104" t="s">
        <v>416</v>
      </c>
    </row>
    <row r="109" customFormat="false" ht="11.25" hidden="true" customHeight="true" outlineLevel="3" collapsed="false">
      <c r="C109" s="99"/>
      <c r="D109" s="99"/>
      <c r="E109" s="100" t="str">
        <f aca="false">IF($T$109="","",SUMIFS(Mastersheet!$F$2:$F$400,Mastersheet!$A$2:$A$400,$T$109)/1000)</f>
        <v/>
      </c>
      <c r="F109" s="100" t="str">
        <f aca="false">IF($T$109="","",SUMIFS(Mastersheet!$G$2:$G$400,Mastersheet!$A$2:$A$400,$T$109)/1000)</f>
        <v/>
      </c>
      <c r="G109" s="100" t="str">
        <f aca="false">IF($T$109="","",SUMIFS(Mastersheet!$H$2:$H$400,Mastersheet!$A$2:$A$400,$T$109)/1000)</f>
        <v/>
      </c>
      <c r="H109" s="100" t="str">
        <f aca="false">IF($T$109="","",SUMIFS(Mastersheet!$I$2:$I$400,Mastersheet!$A$2:$A$400,$T$109)/1000)</f>
        <v/>
      </c>
      <c r="I109" s="101" t="str">
        <f aca="false">IF($T$109="","",SUMIFS(Mastersheet!$J$2:$J$400,Mastersheet!$A$2:$A$400,$T$109)/1000)</f>
        <v/>
      </c>
      <c r="J109" s="102" t="str">
        <f aca="false">IF($T$109="","",SUMIFS(Mastersheet!$K$2:$K$400,Mastersheet!$A$2:$A$400,$T$109)/1000)</f>
        <v/>
      </c>
      <c r="K109" s="103" t="str">
        <f aca="false">IF($T$109="","",SUMIFS(Mastersheet!$L$2:$L$400,Mastersheet!$A$2:$A$400,$T$109)/1000)</f>
        <v/>
      </c>
      <c r="L109" s="103" t="str">
        <f aca="false">IF($T$109="","",SUMIFS(Mastersheet!$M$2:$M$400,Mastersheet!$A$2:$A$400,$T$109)/1000)</f>
        <v/>
      </c>
      <c r="M109" s="103" t="str">
        <f aca="false">IF($T$109="","",SUMIFS(Mastersheet!$N$2:$N$400,Mastersheet!$A$2:$A$400,$T$109)/1000)</f>
        <v/>
      </c>
      <c r="N109" s="103" t="str">
        <f aca="false">IF($T$109="","",SUMIFS(Mastersheet!$O$2:$O$400,Mastersheet!$A$2:$A$400,$T$109)/1000)</f>
        <v/>
      </c>
      <c r="O109" s="92"/>
      <c r="P109" s="96"/>
      <c r="Q109" s="96"/>
      <c r="T109" s="97"/>
      <c r="U109" s="104" t="s">
        <v>415</v>
      </c>
      <c r="V109" s="104" t="s">
        <v>416</v>
      </c>
    </row>
    <row r="110" customFormat="false" ht="11.25" hidden="true" customHeight="true" outlineLevel="3" collapsed="false">
      <c r="C110" s="99"/>
      <c r="D110" s="99"/>
      <c r="E110" s="100" t="str">
        <f aca="false">IF($T$110="","",SUMIFS(Mastersheet!$F$2:$F$400,Mastersheet!$A$2:$A$400,$T$110)/1000)</f>
        <v/>
      </c>
      <c r="F110" s="100" t="str">
        <f aca="false">IF($T$110="","",SUMIFS(Mastersheet!$G$2:$G$400,Mastersheet!$A$2:$A$400,$T$110)/1000)</f>
        <v/>
      </c>
      <c r="G110" s="100" t="str">
        <f aca="false">IF($T$110="","",SUMIFS(Mastersheet!$H$2:$H$400,Mastersheet!$A$2:$A$400,$T$110)/1000)</f>
        <v/>
      </c>
      <c r="H110" s="100" t="str">
        <f aca="false">IF($T$110="","",SUMIFS(Mastersheet!$I$2:$I$400,Mastersheet!$A$2:$A$400,$T$110)/1000)</f>
        <v/>
      </c>
      <c r="I110" s="101" t="str">
        <f aca="false">IF($T$110="","",SUMIFS(Mastersheet!$J$2:$J$400,Mastersheet!$A$2:$A$400,$T$110)/1000)</f>
        <v/>
      </c>
      <c r="J110" s="102" t="str">
        <f aca="false">IF($T$110="","",SUMIFS(Mastersheet!$K$2:$K$400,Mastersheet!$A$2:$A$400,$T$110)/1000)</f>
        <v/>
      </c>
      <c r="K110" s="103" t="str">
        <f aca="false">IF($T$110="","",SUMIFS(Mastersheet!$L$2:$L$400,Mastersheet!$A$2:$A$400,$T$110)/1000)</f>
        <v/>
      </c>
      <c r="L110" s="103" t="str">
        <f aca="false">IF($T$110="","",SUMIFS(Mastersheet!$M$2:$M$400,Mastersheet!$A$2:$A$400,$T$110)/1000)</f>
        <v/>
      </c>
      <c r="M110" s="103" t="str">
        <f aca="false">IF($T$110="","",SUMIFS(Mastersheet!$N$2:$N$400,Mastersheet!$A$2:$A$400,$T$110)/1000)</f>
        <v/>
      </c>
      <c r="N110" s="103" t="str">
        <f aca="false">IF($T$110="","",SUMIFS(Mastersheet!$O$2:$O$400,Mastersheet!$A$2:$A$400,$T$110)/1000)</f>
        <v/>
      </c>
      <c r="O110" s="92"/>
      <c r="P110" s="96"/>
      <c r="Q110" s="96"/>
      <c r="T110" s="97"/>
      <c r="U110" s="104" t="s">
        <v>415</v>
      </c>
      <c r="V110" s="104" t="s">
        <v>416</v>
      </c>
    </row>
    <row r="111" customFormat="false" ht="11.25" hidden="true" customHeight="true" outlineLevel="3" collapsed="false">
      <c r="C111" s="99"/>
      <c r="D111" s="99"/>
      <c r="E111" s="100" t="str">
        <f aca="false">IF($T$111="","",SUMIFS(Mastersheet!$F$2:$F$400,Mastersheet!$A$2:$A$400,$T$111)/1000)</f>
        <v/>
      </c>
      <c r="F111" s="100" t="str">
        <f aca="false">IF($T$111="","",SUMIFS(Mastersheet!$G$2:$G$400,Mastersheet!$A$2:$A$400,$T$111)/1000)</f>
        <v/>
      </c>
      <c r="G111" s="100" t="str">
        <f aca="false">IF($T$111="","",SUMIFS(Mastersheet!$H$2:$H$400,Mastersheet!$A$2:$A$400,$T$111)/1000)</f>
        <v/>
      </c>
      <c r="H111" s="100" t="str">
        <f aca="false">IF($T$111="","",SUMIFS(Mastersheet!$I$2:$I$400,Mastersheet!$A$2:$A$400,$T$111)/1000)</f>
        <v/>
      </c>
      <c r="I111" s="101" t="str">
        <f aca="false">IF($T$111="","",SUMIFS(Mastersheet!$J$2:$J$400,Mastersheet!$A$2:$A$400,$T$111)/1000)</f>
        <v/>
      </c>
      <c r="J111" s="102" t="str">
        <f aca="false">IF($T$111="","",SUMIFS(Mastersheet!$K$2:$K$400,Mastersheet!$A$2:$A$400,$T$111)/1000)</f>
        <v/>
      </c>
      <c r="K111" s="103" t="str">
        <f aca="false">IF($T$111="","",SUMIFS(Mastersheet!$L$2:$L$400,Mastersheet!$A$2:$A$400,$T$111)/1000)</f>
        <v/>
      </c>
      <c r="L111" s="103" t="str">
        <f aca="false">IF($T$111="","",SUMIFS(Mastersheet!$M$2:$M$400,Mastersheet!$A$2:$A$400,$T$111)/1000)</f>
        <v/>
      </c>
      <c r="M111" s="103" t="str">
        <f aca="false">IF($T$111="","",SUMIFS(Mastersheet!$N$2:$N$400,Mastersheet!$A$2:$A$400,$T$111)/1000)</f>
        <v/>
      </c>
      <c r="N111" s="103" t="str">
        <f aca="false">IF($T$111="","",SUMIFS(Mastersheet!$O$2:$O$400,Mastersheet!$A$2:$A$400,$T$111)/1000)</f>
        <v/>
      </c>
      <c r="O111" s="92"/>
      <c r="P111" s="96"/>
      <c r="Q111" s="96"/>
      <c r="T111" s="97"/>
      <c r="U111" s="104" t="s">
        <v>415</v>
      </c>
      <c r="V111" s="104" t="s">
        <v>416</v>
      </c>
    </row>
    <row r="112" customFormat="false" ht="11.25" hidden="true" customHeight="true" outlineLevel="3" collapsed="false">
      <c r="C112" s="99"/>
      <c r="D112" s="99"/>
      <c r="E112" s="100" t="str">
        <f aca="false">IF($T$112="","",SUMIFS(Mastersheet!$F$2:$F$400,Mastersheet!$A$2:$A$400,$T$112)/1000)</f>
        <v/>
      </c>
      <c r="F112" s="100" t="str">
        <f aca="false">IF($T$112="","",SUMIFS(Mastersheet!$G$2:$G$400,Mastersheet!$A$2:$A$400,$T$112)/1000)</f>
        <v/>
      </c>
      <c r="G112" s="100" t="str">
        <f aca="false">IF($T$112="","",SUMIFS(Mastersheet!$H$2:$H$400,Mastersheet!$A$2:$A$400,$T$112)/1000)</f>
        <v/>
      </c>
      <c r="H112" s="100" t="str">
        <f aca="false">IF($T$112="","",SUMIFS(Mastersheet!$I$2:$I$400,Mastersheet!$A$2:$A$400,$T$112)/1000)</f>
        <v/>
      </c>
      <c r="I112" s="101" t="str">
        <f aca="false">IF($T$112="","",SUMIFS(Mastersheet!$J$2:$J$400,Mastersheet!$A$2:$A$400,$T$112)/1000)</f>
        <v/>
      </c>
      <c r="J112" s="102" t="str">
        <f aca="false">IF($T$112="","",SUMIFS(Mastersheet!$K$2:$K$400,Mastersheet!$A$2:$A$400,$T$112)/1000)</f>
        <v/>
      </c>
      <c r="K112" s="103" t="str">
        <f aca="false">IF($T$112="","",SUMIFS(Mastersheet!$L$2:$L$400,Mastersheet!$A$2:$A$400,$T$112)/1000)</f>
        <v/>
      </c>
      <c r="L112" s="103" t="str">
        <f aca="false">IF($T$112="","",SUMIFS(Mastersheet!$M$2:$M$400,Mastersheet!$A$2:$A$400,$T$112)/1000)</f>
        <v/>
      </c>
      <c r="M112" s="103" t="str">
        <f aca="false">IF($T$112="","",SUMIFS(Mastersheet!$N$2:$N$400,Mastersheet!$A$2:$A$400,$T$112)/1000)</f>
        <v/>
      </c>
      <c r="N112" s="103" t="str">
        <f aca="false">IF($T$112="","",SUMIFS(Mastersheet!$O$2:$O$400,Mastersheet!$A$2:$A$400,$T$112)/1000)</f>
        <v/>
      </c>
      <c r="O112" s="92"/>
      <c r="P112" s="96"/>
      <c r="Q112" s="96"/>
      <c r="T112" s="97"/>
      <c r="U112" s="104" t="s">
        <v>415</v>
      </c>
      <c r="V112" s="104" t="s">
        <v>416</v>
      </c>
    </row>
    <row r="113" customFormat="false" ht="11.25" hidden="true" customHeight="true" outlineLevel="3" collapsed="false">
      <c r="C113" s="99"/>
      <c r="D113" s="99"/>
      <c r="E113" s="100" t="str">
        <f aca="false">IF($T$113="","",SUMIFS(Mastersheet!$F$2:$F$400,Mastersheet!$A$2:$A$400,$T$113)/1000)</f>
        <v/>
      </c>
      <c r="F113" s="100" t="str">
        <f aca="false">IF($T$113="","",SUMIFS(Mastersheet!$G$2:$G$400,Mastersheet!$A$2:$A$400,$T$113)/1000)</f>
        <v/>
      </c>
      <c r="G113" s="100" t="str">
        <f aca="false">IF($T$113="","",SUMIFS(Mastersheet!$H$2:$H$400,Mastersheet!$A$2:$A$400,$T$113)/1000)</f>
        <v/>
      </c>
      <c r="H113" s="100" t="str">
        <f aca="false">IF($T$113="","",SUMIFS(Mastersheet!$I$2:$I$400,Mastersheet!$A$2:$A$400,$T$113)/1000)</f>
        <v/>
      </c>
      <c r="I113" s="101" t="str">
        <f aca="false">IF($T$113="","",SUMIFS(Mastersheet!$J$2:$J$400,Mastersheet!$A$2:$A$400,$T$113)/1000)</f>
        <v/>
      </c>
      <c r="J113" s="102" t="str">
        <f aca="false">IF($T$113="","",SUMIFS(Mastersheet!$K$2:$K$400,Mastersheet!$A$2:$A$400,$T$113)/1000)</f>
        <v/>
      </c>
      <c r="K113" s="103" t="str">
        <f aca="false">IF($T$113="","",SUMIFS(Mastersheet!$L$2:$L$400,Mastersheet!$A$2:$A$400,$T$113)/1000)</f>
        <v/>
      </c>
      <c r="L113" s="103" t="str">
        <f aca="false">IF($T$113="","",SUMIFS(Mastersheet!$M$2:$M$400,Mastersheet!$A$2:$A$400,$T$113)/1000)</f>
        <v/>
      </c>
      <c r="M113" s="103" t="str">
        <f aca="false">IF($T$113="","",SUMIFS(Mastersheet!$N$2:$N$400,Mastersheet!$A$2:$A$400,$T$113)/1000)</f>
        <v/>
      </c>
      <c r="N113" s="103" t="str">
        <f aca="false">IF($T$113="","",SUMIFS(Mastersheet!$O$2:$O$400,Mastersheet!$A$2:$A$400,$T$113)/1000)</f>
        <v/>
      </c>
      <c r="O113" s="92"/>
      <c r="P113" s="96"/>
      <c r="Q113" s="96"/>
      <c r="T113" s="97"/>
      <c r="U113" s="104" t="s">
        <v>415</v>
      </c>
      <c r="V113" s="104" t="s">
        <v>416</v>
      </c>
    </row>
    <row r="114" customFormat="false" ht="11.25" hidden="true" customHeight="true" outlineLevel="3" collapsed="false">
      <c r="C114" s="99"/>
      <c r="D114" s="99"/>
      <c r="E114" s="100" t="str">
        <f aca="false">IF($T$114="","",SUMIFS(Mastersheet!$F$2:$F$400,Mastersheet!$A$2:$A$400,$T$114)/1000)</f>
        <v/>
      </c>
      <c r="F114" s="100" t="str">
        <f aca="false">IF($T$114="","",SUMIFS(Mastersheet!$G$2:$G$400,Mastersheet!$A$2:$A$400,$T$114)/1000)</f>
        <v/>
      </c>
      <c r="G114" s="100" t="str">
        <f aca="false">IF($T$114="","",SUMIFS(Mastersheet!$H$2:$H$400,Mastersheet!$A$2:$A$400,$T$114)/1000)</f>
        <v/>
      </c>
      <c r="H114" s="100" t="str">
        <f aca="false">IF($T$114="","",SUMIFS(Mastersheet!$I$2:$I$400,Mastersheet!$A$2:$A$400,$T$114)/1000)</f>
        <v/>
      </c>
      <c r="I114" s="101" t="str">
        <f aca="false">IF($T$114="","",SUMIFS(Mastersheet!$J$2:$J$400,Mastersheet!$A$2:$A$400,$T$114)/1000)</f>
        <v/>
      </c>
      <c r="J114" s="102" t="str">
        <f aca="false">IF($T$114="","",SUMIFS(Mastersheet!$K$2:$K$400,Mastersheet!$A$2:$A$400,$T$114)/1000)</f>
        <v/>
      </c>
      <c r="K114" s="103" t="str">
        <f aca="false">IF($T$114="","",SUMIFS(Mastersheet!$L$2:$L$400,Mastersheet!$A$2:$A$400,$T$114)/1000)</f>
        <v/>
      </c>
      <c r="L114" s="103" t="str">
        <f aca="false">IF($T$114="","",SUMIFS(Mastersheet!$M$2:$M$400,Mastersheet!$A$2:$A$400,$T$114)/1000)</f>
        <v/>
      </c>
      <c r="M114" s="103" t="str">
        <f aca="false">IF($T$114="","",SUMIFS(Mastersheet!$N$2:$N$400,Mastersheet!$A$2:$A$400,$T$114)/1000)</f>
        <v/>
      </c>
      <c r="N114" s="103" t="str">
        <f aca="false">IF($T$114="","",SUMIFS(Mastersheet!$O$2:$O$400,Mastersheet!$A$2:$A$400,$T$114)/1000)</f>
        <v/>
      </c>
      <c r="O114" s="92"/>
      <c r="P114" s="96"/>
      <c r="Q114" s="96"/>
      <c r="T114" s="97"/>
      <c r="U114" s="104" t="s">
        <v>415</v>
      </c>
      <c r="V114" s="104" t="s">
        <v>416</v>
      </c>
    </row>
    <row r="115" customFormat="false" ht="11.25" hidden="true" customHeight="true" outlineLevel="3" collapsed="false">
      <c r="C115" s="99"/>
      <c r="D115" s="99"/>
      <c r="E115" s="100" t="str">
        <f aca="false">IF($T$115="","",SUMIFS(Mastersheet!$F$2:$F$400,Mastersheet!$A$2:$A$400,$T$115)/1000)</f>
        <v/>
      </c>
      <c r="F115" s="100" t="str">
        <f aca="false">IF($T$115="","",SUMIFS(Mastersheet!$G$2:$G$400,Mastersheet!$A$2:$A$400,$T$115)/1000)</f>
        <v/>
      </c>
      <c r="G115" s="100" t="str">
        <f aca="false">IF($T$115="","",SUMIFS(Mastersheet!$H$2:$H$400,Mastersheet!$A$2:$A$400,$T$115)/1000)</f>
        <v/>
      </c>
      <c r="H115" s="100" t="str">
        <f aca="false">IF($T$115="","",SUMIFS(Mastersheet!$I$2:$I$400,Mastersheet!$A$2:$A$400,$T$115)/1000)</f>
        <v/>
      </c>
      <c r="I115" s="101" t="str">
        <f aca="false">IF($T$115="","",SUMIFS(Mastersheet!$J$2:$J$400,Mastersheet!$A$2:$A$400,$T$115)/1000)</f>
        <v/>
      </c>
      <c r="J115" s="102" t="str">
        <f aca="false">IF($T$115="","",SUMIFS(Mastersheet!$K$2:$K$400,Mastersheet!$A$2:$A$400,$T$115)/1000)</f>
        <v/>
      </c>
      <c r="K115" s="103" t="str">
        <f aca="false">IF($T$115="","",SUMIFS(Mastersheet!$L$2:$L$400,Mastersheet!$A$2:$A$400,$T$115)/1000)</f>
        <v/>
      </c>
      <c r="L115" s="103" t="str">
        <f aca="false">IF($T$115="","",SUMIFS(Mastersheet!$M$2:$M$400,Mastersheet!$A$2:$A$400,$T$115)/1000)</f>
        <v/>
      </c>
      <c r="M115" s="103" t="str">
        <f aca="false">IF($T$115="","",SUMIFS(Mastersheet!$N$2:$N$400,Mastersheet!$A$2:$A$400,$T$115)/1000)</f>
        <v/>
      </c>
      <c r="N115" s="103" t="str">
        <f aca="false">IF($T$115="","",SUMIFS(Mastersheet!$O$2:$O$400,Mastersheet!$A$2:$A$400,$T$115)/1000)</f>
        <v/>
      </c>
      <c r="O115" s="92"/>
      <c r="P115" s="96"/>
      <c r="Q115" s="96"/>
      <c r="T115" s="97"/>
      <c r="U115" s="104" t="s">
        <v>415</v>
      </c>
      <c r="V115" s="104" t="s">
        <v>416</v>
      </c>
    </row>
    <row r="116" customFormat="false" ht="11.25" hidden="false" customHeight="true" outlineLevel="0" collapsed="false">
      <c r="C116" s="91" t="s">
        <v>442</v>
      </c>
      <c r="D116" s="91" t="s">
        <v>443</v>
      </c>
      <c r="E116" s="92" t="n">
        <f aca="false">SUMIFS(Mastersheet!$F$2:$F$400,Mastersheet!$D$2:$D$400,$T116,Mastersheet!$C$2:$C$400,$U116)/1000</f>
        <v>0</v>
      </c>
      <c r="F116" s="92" t="n">
        <f aca="false">SUMIFS(Mastersheet!$G$2:$G$400,Mastersheet!$D$2:$D$400,$T116,Mastersheet!$C$2:$C$400,$U116)/1000</f>
        <v>0</v>
      </c>
      <c r="G116" s="92" t="n">
        <f aca="false">SUMIFS(Mastersheet!$H$2:$H$400,Mastersheet!$D$2:$D$400,$T116,Mastersheet!$C$2:$C$400,$U116)/1000</f>
        <v>0</v>
      </c>
      <c r="H116" s="92" t="n">
        <f aca="false">SUMIFS(Mastersheet!$I$2:$I$400,Mastersheet!$D$2:$D$400,$T116,Mastersheet!$C$2:$C$400,$U116)/1000</f>
        <v>0</v>
      </c>
      <c r="I116" s="93" t="n">
        <f aca="false">SUMIFS(Mastersheet!$J$2:$J$400,Mastersheet!$D$2:$D$400,$T116,Mastersheet!$C$2:$C$400,$U116)/1000</f>
        <v>0</v>
      </c>
      <c r="J116" s="94" t="n">
        <f aca="false">SUMIFS(Mastersheet!$K$2:$K$400,Mastersheet!$D$2:$D$400,$T116,Mastersheet!$C$2:$C$400,$U116)/1000</f>
        <v>0</v>
      </c>
      <c r="K116" s="95" t="n">
        <f aca="false">SUMIFS(Mastersheet!$L$2:$L$400,Mastersheet!$D$2:$D$400,$T116,Mastersheet!$C$2:$C$400,$U116)/1000</f>
        <v>0</v>
      </c>
      <c r="L116" s="95" t="n">
        <f aca="false">SUMIFS(Mastersheet!$M$2:$M$400,Mastersheet!$D$2:$D$400,$T116,Mastersheet!$C$2:$C$400,$U116)/1000</f>
        <v>0</v>
      </c>
      <c r="M116" s="95" t="n">
        <f aca="false">SUMIFS(Mastersheet!$N$2:$N$400,Mastersheet!$D$2:$D$400,$T116,Mastersheet!$C$2:$C$400,$U116)/1000</f>
        <v>0</v>
      </c>
      <c r="N116" s="95" t="n">
        <f aca="false">SUMIFS(Mastersheet!$O$2:$O$400,Mastersheet!$D$2:$D$400,$T116,Mastersheet!$C$2:$C$400,$U116)/1000</f>
        <v>0</v>
      </c>
      <c r="O116" s="92"/>
      <c r="P116" s="96" t="str">
        <f aca="false">IFERROR(((H116/F116)^(1/(($H$1-$F$1)/365)))-1,"n/a")</f>
        <v>n/a</v>
      </c>
      <c r="Q116" s="96" t="str">
        <f aca="false">IFERROR(((N116/H116)^(1/(($N$1-$H$1)/365)))-1,"n/a")</f>
        <v>n/a</v>
      </c>
      <c r="T116" s="97" t="s">
        <v>442</v>
      </c>
      <c r="U116" s="98" t="s">
        <v>413</v>
      </c>
      <c r="V116" s="98" t="s">
        <v>414</v>
      </c>
    </row>
    <row r="117" customFormat="false" ht="11.25" hidden="true" customHeight="true" outlineLevel="3" collapsed="false">
      <c r="C117" s="99"/>
      <c r="D117" s="99"/>
      <c r="E117" s="100" t="str">
        <f aca="false">IF($T$117="","",SUMIFS(Mastersheet!$F$2:$F$400,Mastersheet!$A$2:$A$400,$T$117)/1000)</f>
        <v/>
      </c>
      <c r="F117" s="100" t="str">
        <f aca="false">IF($T$117="","",SUMIFS(Mastersheet!$G$2:$G$400,Mastersheet!$A$2:$A$400,$T$117)/1000)</f>
        <v/>
      </c>
      <c r="G117" s="100" t="str">
        <f aca="false">IF($T$117="","",SUMIFS(Mastersheet!$H$2:$H$400,Mastersheet!$A$2:$A$400,$T$117)/1000)</f>
        <v/>
      </c>
      <c r="H117" s="100" t="str">
        <f aca="false">IF($T$117="","",SUMIFS(Mastersheet!$I$2:$I$400,Mastersheet!$A$2:$A$400,$T$117)/1000)</f>
        <v/>
      </c>
      <c r="I117" s="101" t="str">
        <f aca="false">IF($T$117="","",SUMIFS(Mastersheet!$J$2:$J$400,Mastersheet!$A$2:$A$400,$T$117)/1000)</f>
        <v/>
      </c>
      <c r="J117" s="102" t="str">
        <f aca="false">IF($T$117="","",SUMIFS(Mastersheet!$K$2:$K$400,Mastersheet!$A$2:$A$400,$T$117)/1000)</f>
        <v/>
      </c>
      <c r="K117" s="103" t="str">
        <f aca="false">IF($T$117="","",SUMIFS(Mastersheet!$L$2:$L$400,Mastersheet!$A$2:$A$400,$T$117)/1000)</f>
        <v/>
      </c>
      <c r="L117" s="103" t="str">
        <f aca="false">IF($T$117="","",SUMIFS(Mastersheet!$M$2:$M$400,Mastersheet!$A$2:$A$400,$T$117)/1000)</f>
        <v/>
      </c>
      <c r="M117" s="103" t="str">
        <f aca="false">IF($T$117="","",SUMIFS(Mastersheet!$N$2:$N$400,Mastersheet!$A$2:$A$400,$T$117)/1000)</f>
        <v/>
      </c>
      <c r="N117" s="103" t="str">
        <f aca="false">IF($T$117="","",SUMIFS(Mastersheet!$O$2:$O$400,Mastersheet!$A$2:$A$400,$T$117)/1000)</f>
        <v/>
      </c>
      <c r="O117" s="92"/>
      <c r="P117" s="96"/>
      <c r="Q117" s="96"/>
      <c r="T117" s="97"/>
      <c r="U117" s="104" t="s">
        <v>415</v>
      </c>
      <c r="V117" s="104" t="s">
        <v>416</v>
      </c>
    </row>
    <row r="118" customFormat="false" ht="11.25" hidden="true" customHeight="true" outlineLevel="3" collapsed="false">
      <c r="C118" s="99"/>
      <c r="D118" s="99"/>
      <c r="E118" s="100" t="str">
        <f aca="false">IF($T$118="","",SUMIFS(Mastersheet!$F$2:$F$400,Mastersheet!$A$2:$A$400,$T$118)/1000)</f>
        <v/>
      </c>
      <c r="F118" s="100" t="str">
        <f aca="false">IF($T$118="","",SUMIFS(Mastersheet!$G$2:$G$400,Mastersheet!$A$2:$A$400,$T$118)/1000)</f>
        <v/>
      </c>
      <c r="G118" s="100" t="str">
        <f aca="false">IF($T$118="","",SUMIFS(Mastersheet!$H$2:$H$400,Mastersheet!$A$2:$A$400,$T$118)/1000)</f>
        <v/>
      </c>
      <c r="H118" s="100" t="str">
        <f aca="false">IF($T$118="","",SUMIFS(Mastersheet!$I$2:$I$400,Mastersheet!$A$2:$A$400,$T$118)/1000)</f>
        <v/>
      </c>
      <c r="I118" s="101" t="str">
        <f aca="false">IF($T$118="","",SUMIFS(Mastersheet!$J$2:$J$400,Mastersheet!$A$2:$A$400,$T$118)/1000)</f>
        <v/>
      </c>
      <c r="J118" s="102" t="str">
        <f aca="false">IF($T$118="","",SUMIFS(Mastersheet!$K$2:$K$400,Mastersheet!$A$2:$A$400,$T$118)/1000)</f>
        <v/>
      </c>
      <c r="K118" s="103" t="str">
        <f aca="false">IF($T$118="","",SUMIFS(Mastersheet!$L$2:$L$400,Mastersheet!$A$2:$A$400,$T$118)/1000)</f>
        <v/>
      </c>
      <c r="L118" s="103" t="str">
        <f aca="false">IF($T$118="","",SUMIFS(Mastersheet!$M$2:$M$400,Mastersheet!$A$2:$A$400,$T$118)/1000)</f>
        <v/>
      </c>
      <c r="M118" s="103" t="str">
        <f aca="false">IF($T$118="","",SUMIFS(Mastersheet!$N$2:$N$400,Mastersheet!$A$2:$A$400,$T$118)/1000)</f>
        <v/>
      </c>
      <c r="N118" s="103" t="str">
        <f aca="false">IF($T$118="","",SUMIFS(Mastersheet!$O$2:$O$400,Mastersheet!$A$2:$A$400,$T$118)/1000)</f>
        <v/>
      </c>
      <c r="O118" s="92"/>
      <c r="P118" s="96"/>
      <c r="Q118" s="96"/>
      <c r="T118" s="97"/>
      <c r="U118" s="104" t="s">
        <v>415</v>
      </c>
      <c r="V118" s="104" t="s">
        <v>416</v>
      </c>
    </row>
    <row r="119" customFormat="false" ht="11.25" hidden="true" customHeight="true" outlineLevel="3" collapsed="false">
      <c r="C119" s="99"/>
      <c r="D119" s="99"/>
      <c r="E119" s="100" t="str">
        <f aca="false">IF($T$119="","",SUMIFS(Mastersheet!$F$2:$F$400,Mastersheet!$A$2:$A$400,$T$119)/1000)</f>
        <v/>
      </c>
      <c r="F119" s="100" t="str">
        <f aca="false">IF($T$119="","",SUMIFS(Mastersheet!$G$2:$G$400,Mastersheet!$A$2:$A$400,$T$119)/1000)</f>
        <v/>
      </c>
      <c r="G119" s="100" t="str">
        <f aca="false">IF($T$119="","",SUMIFS(Mastersheet!$H$2:$H$400,Mastersheet!$A$2:$A$400,$T$119)/1000)</f>
        <v/>
      </c>
      <c r="H119" s="100" t="str">
        <f aca="false">IF($T$119="","",SUMIFS(Mastersheet!$I$2:$I$400,Mastersheet!$A$2:$A$400,$T$119)/1000)</f>
        <v/>
      </c>
      <c r="I119" s="101" t="str">
        <f aca="false">IF($T$119="","",SUMIFS(Mastersheet!$J$2:$J$400,Mastersheet!$A$2:$A$400,$T$119)/1000)</f>
        <v/>
      </c>
      <c r="J119" s="102" t="str">
        <f aca="false">IF($T$119="","",SUMIFS(Mastersheet!$K$2:$K$400,Mastersheet!$A$2:$A$400,$T$119)/1000)</f>
        <v/>
      </c>
      <c r="K119" s="103" t="str">
        <f aca="false">IF($T$119="","",SUMIFS(Mastersheet!$L$2:$L$400,Mastersheet!$A$2:$A$400,$T$119)/1000)</f>
        <v/>
      </c>
      <c r="L119" s="103" t="str">
        <f aca="false">IF($T$119="","",SUMIFS(Mastersheet!$M$2:$M$400,Mastersheet!$A$2:$A$400,$T$119)/1000)</f>
        <v/>
      </c>
      <c r="M119" s="103" t="str">
        <f aca="false">IF($T$119="","",SUMIFS(Mastersheet!$N$2:$N$400,Mastersheet!$A$2:$A$400,$T$119)/1000)</f>
        <v/>
      </c>
      <c r="N119" s="103" t="str">
        <f aca="false">IF($T$119="","",SUMIFS(Mastersheet!$O$2:$O$400,Mastersheet!$A$2:$A$400,$T$119)/1000)</f>
        <v/>
      </c>
      <c r="O119" s="92"/>
      <c r="P119" s="96"/>
      <c r="Q119" s="96"/>
      <c r="T119" s="97"/>
      <c r="U119" s="104" t="s">
        <v>415</v>
      </c>
      <c r="V119" s="104" t="s">
        <v>416</v>
      </c>
    </row>
    <row r="120" customFormat="false" ht="11.25" hidden="true" customHeight="true" outlineLevel="3" collapsed="false">
      <c r="C120" s="99"/>
      <c r="D120" s="99"/>
      <c r="E120" s="100" t="str">
        <f aca="false">IF($T$120="","",SUMIFS(Mastersheet!$F$2:$F$400,Mastersheet!$A$2:$A$400,$T$120)/1000)</f>
        <v/>
      </c>
      <c r="F120" s="100" t="str">
        <f aca="false">IF($T$120="","",SUMIFS(Mastersheet!$G$2:$G$400,Mastersheet!$A$2:$A$400,$T$120)/1000)</f>
        <v/>
      </c>
      <c r="G120" s="100" t="str">
        <f aca="false">IF($T$120="","",SUMIFS(Mastersheet!$H$2:$H$400,Mastersheet!$A$2:$A$400,$T$120)/1000)</f>
        <v/>
      </c>
      <c r="H120" s="100" t="str">
        <f aca="false">IF($T$120="","",SUMIFS(Mastersheet!$I$2:$I$400,Mastersheet!$A$2:$A$400,$T$120)/1000)</f>
        <v/>
      </c>
      <c r="I120" s="101" t="str">
        <f aca="false">IF($T$120="","",SUMIFS(Mastersheet!$J$2:$J$400,Mastersheet!$A$2:$A$400,$T$120)/1000)</f>
        <v/>
      </c>
      <c r="J120" s="102" t="str">
        <f aca="false">IF($T$120="","",SUMIFS(Mastersheet!$K$2:$K$400,Mastersheet!$A$2:$A$400,$T$120)/1000)</f>
        <v/>
      </c>
      <c r="K120" s="103" t="str">
        <f aca="false">IF($T$120="","",SUMIFS(Mastersheet!$L$2:$L$400,Mastersheet!$A$2:$A$400,$T$120)/1000)</f>
        <v/>
      </c>
      <c r="L120" s="103" t="str">
        <f aca="false">IF($T$120="","",SUMIFS(Mastersheet!$M$2:$M$400,Mastersheet!$A$2:$A$400,$T$120)/1000)</f>
        <v/>
      </c>
      <c r="M120" s="103" t="str">
        <f aca="false">IF($T$120="","",SUMIFS(Mastersheet!$N$2:$N$400,Mastersheet!$A$2:$A$400,$T$120)/1000)</f>
        <v/>
      </c>
      <c r="N120" s="103" t="str">
        <f aca="false">IF($T$120="","",SUMIFS(Mastersheet!$O$2:$O$400,Mastersheet!$A$2:$A$400,$T$120)/1000)</f>
        <v/>
      </c>
      <c r="O120" s="92"/>
      <c r="P120" s="96"/>
      <c r="Q120" s="96"/>
      <c r="T120" s="97"/>
      <c r="U120" s="104" t="s">
        <v>415</v>
      </c>
      <c r="V120" s="104" t="s">
        <v>416</v>
      </c>
    </row>
    <row r="121" customFormat="false" ht="11.25" hidden="true" customHeight="true" outlineLevel="3" collapsed="false">
      <c r="C121" s="99"/>
      <c r="D121" s="99"/>
      <c r="E121" s="100" t="str">
        <f aca="false">IF($T$121="","",SUMIFS(Mastersheet!$F$2:$F$400,Mastersheet!$A$2:$A$400,$T$121)/1000)</f>
        <v/>
      </c>
      <c r="F121" s="100" t="str">
        <f aca="false">IF($T$121="","",SUMIFS(Mastersheet!$G$2:$G$400,Mastersheet!$A$2:$A$400,$T$121)/1000)</f>
        <v/>
      </c>
      <c r="G121" s="100" t="str">
        <f aca="false">IF($T$121="","",SUMIFS(Mastersheet!$H$2:$H$400,Mastersheet!$A$2:$A$400,$T$121)/1000)</f>
        <v/>
      </c>
      <c r="H121" s="100" t="str">
        <f aca="false">IF($T$121="","",SUMIFS(Mastersheet!$I$2:$I$400,Mastersheet!$A$2:$A$400,$T$121)/1000)</f>
        <v/>
      </c>
      <c r="I121" s="101" t="str">
        <f aca="false">IF($T$121="","",SUMIFS(Mastersheet!$J$2:$J$400,Mastersheet!$A$2:$A$400,$T$121)/1000)</f>
        <v/>
      </c>
      <c r="J121" s="102" t="str">
        <f aca="false">IF($T$121="","",SUMIFS(Mastersheet!$K$2:$K$400,Mastersheet!$A$2:$A$400,$T$121)/1000)</f>
        <v/>
      </c>
      <c r="K121" s="103" t="str">
        <f aca="false">IF($T$121="","",SUMIFS(Mastersheet!$L$2:$L$400,Mastersheet!$A$2:$A$400,$T$121)/1000)</f>
        <v/>
      </c>
      <c r="L121" s="103" t="str">
        <f aca="false">IF($T$121="","",SUMIFS(Mastersheet!$M$2:$M$400,Mastersheet!$A$2:$A$400,$T$121)/1000)</f>
        <v/>
      </c>
      <c r="M121" s="103" t="str">
        <f aca="false">IF($T$121="","",SUMIFS(Mastersheet!$N$2:$N$400,Mastersheet!$A$2:$A$400,$T$121)/1000)</f>
        <v/>
      </c>
      <c r="N121" s="103" t="str">
        <f aca="false">IF($T$121="","",SUMIFS(Mastersheet!$O$2:$O$400,Mastersheet!$A$2:$A$400,$T$121)/1000)</f>
        <v/>
      </c>
      <c r="O121" s="92"/>
      <c r="P121" s="96"/>
      <c r="Q121" s="96"/>
      <c r="T121" s="97"/>
      <c r="U121" s="104" t="s">
        <v>415</v>
      </c>
      <c r="V121" s="104" t="s">
        <v>416</v>
      </c>
    </row>
    <row r="122" customFormat="false" ht="11.25" hidden="true" customHeight="true" outlineLevel="3" collapsed="false">
      <c r="C122" s="99"/>
      <c r="D122" s="99"/>
      <c r="E122" s="100" t="str">
        <f aca="false">IF($T$122="","",SUMIFS(Mastersheet!$F$2:$F$400,Mastersheet!$A$2:$A$400,$T$122)/1000)</f>
        <v/>
      </c>
      <c r="F122" s="100" t="str">
        <f aca="false">IF($T$122="","",SUMIFS(Mastersheet!$G$2:$G$400,Mastersheet!$A$2:$A$400,$T$122)/1000)</f>
        <v/>
      </c>
      <c r="G122" s="100" t="str">
        <f aca="false">IF($T$122="","",SUMIFS(Mastersheet!$H$2:$H$400,Mastersheet!$A$2:$A$400,$T$122)/1000)</f>
        <v/>
      </c>
      <c r="H122" s="100" t="str">
        <f aca="false">IF($T$122="","",SUMIFS(Mastersheet!$I$2:$I$400,Mastersheet!$A$2:$A$400,$T$122)/1000)</f>
        <v/>
      </c>
      <c r="I122" s="101" t="str">
        <f aca="false">IF($T$122="","",SUMIFS(Mastersheet!$J$2:$J$400,Mastersheet!$A$2:$A$400,$T$122)/1000)</f>
        <v/>
      </c>
      <c r="J122" s="102" t="str">
        <f aca="false">IF($T$122="","",SUMIFS(Mastersheet!$K$2:$K$400,Mastersheet!$A$2:$A$400,$T$122)/1000)</f>
        <v/>
      </c>
      <c r="K122" s="103" t="str">
        <f aca="false">IF($T$122="","",SUMIFS(Mastersheet!$L$2:$L$400,Mastersheet!$A$2:$A$400,$T$122)/1000)</f>
        <v/>
      </c>
      <c r="L122" s="103" t="str">
        <f aca="false">IF($T$122="","",SUMIFS(Mastersheet!$M$2:$M$400,Mastersheet!$A$2:$A$400,$T$122)/1000)</f>
        <v/>
      </c>
      <c r="M122" s="103" t="str">
        <f aca="false">IF($T$122="","",SUMIFS(Mastersheet!$N$2:$N$400,Mastersheet!$A$2:$A$400,$T$122)/1000)</f>
        <v/>
      </c>
      <c r="N122" s="103" t="str">
        <f aca="false">IF($T$122="","",SUMIFS(Mastersheet!$O$2:$O$400,Mastersheet!$A$2:$A$400,$T$122)/1000)</f>
        <v/>
      </c>
      <c r="O122" s="92"/>
      <c r="P122" s="96"/>
      <c r="Q122" s="96"/>
      <c r="T122" s="97"/>
      <c r="U122" s="104" t="s">
        <v>415</v>
      </c>
      <c r="V122" s="104" t="s">
        <v>416</v>
      </c>
    </row>
    <row r="123" customFormat="false" ht="11.25" hidden="true" customHeight="true" outlineLevel="3" collapsed="false">
      <c r="C123" s="99"/>
      <c r="D123" s="99"/>
      <c r="E123" s="100" t="str">
        <f aca="false">IF($T$123="","",SUMIFS(Mastersheet!$F$2:$F$400,Mastersheet!$A$2:$A$400,$T$123)/1000)</f>
        <v/>
      </c>
      <c r="F123" s="100" t="str">
        <f aca="false">IF($T$123="","",SUMIFS(Mastersheet!$G$2:$G$400,Mastersheet!$A$2:$A$400,$T$123)/1000)</f>
        <v/>
      </c>
      <c r="G123" s="100" t="str">
        <f aca="false">IF($T$123="","",SUMIFS(Mastersheet!$H$2:$H$400,Mastersheet!$A$2:$A$400,$T$123)/1000)</f>
        <v/>
      </c>
      <c r="H123" s="100" t="str">
        <f aca="false">IF($T$123="","",SUMIFS(Mastersheet!$I$2:$I$400,Mastersheet!$A$2:$A$400,$T$123)/1000)</f>
        <v/>
      </c>
      <c r="I123" s="101" t="str">
        <f aca="false">IF($T$123="","",SUMIFS(Mastersheet!$J$2:$J$400,Mastersheet!$A$2:$A$400,$T$123)/1000)</f>
        <v/>
      </c>
      <c r="J123" s="102" t="str">
        <f aca="false">IF($T$123="","",SUMIFS(Mastersheet!$K$2:$K$400,Mastersheet!$A$2:$A$400,$T$123)/1000)</f>
        <v/>
      </c>
      <c r="K123" s="103" t="str">
        <f aca="false">IF($T$123="","",SUMIFS(Mastersheet!$L$2:$L$400,Mastersheet!$A$2:$A$400,$T$123)/1000)</f>
        <v/>
      </c>
      <c r="L123" s="103" t="str">
        <f aca="false">IF($T$123="","",SUMIFS(Mastersheet!$M$2:$M$400,Mastersheet!$A$2:$A$400,$T$123)/1000)</f>
        <v/>
      </c>
      <c r="M123" s="103" t="str">
        <f aca="false">IF($T$123="","",SUMIFS(Mastersheet!$N$2:$N$400,Mastersheet!$A$2:$A$400,$T$123)/1000)</f>
        <v/>
      </c>
      <c r="N123" s="103" t="str">
        <f aca="false">IF($T$123="","",SUMIFS(Mastersheet!$O$2:$O$400,Mastersheet!$A$2:$A$400,$T$123)/1000)</f>
        <v/>
      </c>
      <c r="O123" s="92"/>
      <c r="P123" s="96"/>
      <c r="Q123" s="96"/>
      <c r="T123" s="97"/>
      <c r="U123" s="104" t="s">
        <v>415</v>
      </c>
      <c r="V123" s="104" t="s">
        <v>416</v>
      </c>
    </row>
    <row r="124" customFormat="false" ht="11.25" hidden="true" customHeight="true" outlineLevel="3" collapsed="false">
      <c r="C124" s="99"/>
      <c r="D124" s="99"/>
      <c r="E124" s="100" t="str">
        <f aca="false">IF($T$124="","",SUMIFS(Mastersheet!$F$2:$F$400,Mastersheet!$A$2:$A$400,$T$124)/1000)</f>
        <v/>
      </c>
      <c r="F124" s="100" t="str">
        <f aca="false">IF($T$124="","",SUMIFS(Mastersheet!$G$2:$G$400,Mastersheet!$A$2:$A$400,$T$124)/1000)</f>
        <v/>
      </c>
      <c r="G124" s="100" t="str">
        <f aca="false">IF($T$124="","",SUMIFS(Mastersheet!$H$2:$H$400,Mastersheet!$A$2:$A$400,$T$124)/1000)</f>
        <v/>
      </c>
      <c r="H124" s="100" t="str">
        <f aca="false">IF($T$124="","",SUMIFS(Mastersheet!$I$2:$I$400,Mastersheet!$A$2:$A$400,$T$124)/1000)</f>
        <v/>
      </c>
      <c r="I124" s="101" t="str">
        <f aca="false">IF($T$124="","",SUMIFS(Mastersheet!$J$2:$J$400,Mastersheet!$A$2:$A$400,$T$124)/1000)</f>
        <v/>
      </c>
      <c r="J124" s="102" t="str">
        <f aca="false">IF($T$124="","",SUMIFS(Mastersheet!$K$2:$K$400,Mastersheet!$A$2:$A$400,$T$124)/1000)</f>
        <v/>
      </c>
      <c r="K124" s="103" t="str">
        <f aca="false">IF($T$124="","",SUMIFS(Mastersheet!$L$2:$L$400,Mastersheet!$A$2:$A$400,$T$124)/1000)</f>
        <v/>
      </c>
      <c r="L124" s="103" t="str">
        <f aca="false">IF($T$124="","",SUMIFS(Mastersheet!$M$2:$M$400,Mastersheet!$A$2:$A$400,$T$124)/1000)</f>
        <v/>
      </c>
      <c r="M124" s="103" t="str">
        <f aca="false">IF($T$124="","",SUMIFS(Mastersheet!$N$2:$N$400,Mastersheet!$A$2:$A$400,$T$124)/1000)</f>
        <v/>
      </c>
      <c r="N124" s="103" t="str">
        <f aca="false">IF($T$124="","",SUMIFS(Mastersheet!$O$2:$O$400,Mastersheet!$A$2:$A$400,$T$124)/1000)</f>
        <v/>
      </c>
      <c r="O124" s="92"/>
      <c r="P124" s="96"/>
      <c r="Q124" s="96"/>
      <c r="T124" s="97"/>
      <c r="U124" s="104" t="s">
        <v>415</v>
      </c>
      <c r="V124" s="104" t="s">
        <v>416</v>
      </c>
    </row>
    <row r="125" customFormat="false" ht="11.25" hidden="false" customHeight="true" outlineLevel="0" collapsed="false">
      <c r="C125" s="91" t="s">
        <v>444</v>
      </c>
      <c r="D125" s="91" t="s">
        <v>179</v>
      </c>
      <c r="E125" s="92" t="n">
        <f aca="false">SUMIFS(Mastersheet!$F$2:$F$400,Mastersheet!$D$2:$D$400,$T125,Mastersheet!$C$2:$C$400,$U125)/1000</f>
        <v>0</v>
      </c>
      <c r="F125" s="92" t="n">
        <f aca="false">SUMIFS(Mastersheet!$G$2:$G$400,Mastersheet!$D$2:$D$400,$T125,Mastersheet!$C$2:$C$400,$U125)/1000</f>
        <v>0</v>
      </c>
      <c r="G125" s="92" t="n">
        <f aca="false">SUMIFS(Mastersheet!$H$2:$H$400,Mastersheet!$D$2:$D$400,$T125,Mastersheet!$C$2:$C$400,$U125)/1000</f>
        <v>0</v>
      </c>
      <c r="H125" s="92" t="n">
        <f aca="false">SUMIFS(Mastersheet!$I$2:$I$400,Mastersheet!$D$2:$D$400,$T125,Mastersheet!$C$2:$C$400,$U125)/1000</f>
        <v>0</v>
      </c>
      <c r="I125" s="93" t="n">
        <f aca="false">SUMIFS(Mastersheet!$J$2:$J$400,Mastersheet!$D$2:$D$400,$T125,Mastersheet!$C$2:$C$400,$U125)/1000</f>
        <v>0</v>
      </c>
      <c r="J125" s="94" t="n">
        <f aca="false">SUMIFS(Mastersheet!$K$2:$K$400,Mastersheet!$D$2:$D$400,$T125,Mastersheet!$C$2:$C$400,$U125)/1000</f>
        <v>0</v>
      </c>
      <c r="K125" s="95" t="n">
        <f aca="false">SUMIFS(Mastersheet!$L$2:$L$400,Mastersheet!$D$2:$D$400,$T125,Mastersheet!$C$2:$C$400,$U125)/1000</f>
        <v>0</v>
      </c>
      <c r="L125" s="95" t="n">
        <f aca="false">SUMIFS(Mastersheet!$M$2:$M$400,Mastersheet!$D$2:$D$400,$T125,Mastersheet!$C$2:$C$400,$U125)/1000</f>
        <v>0</v>
      </c>
      <c r="M125" s="95" t="n">
        <f aca="false">SUMIFS(Mastersheet!$N$2:$N$400,Mastersheet!$D$2:$D$400,$T125,Mastersheet!$C$2:$C$400,$U125)/1000</f>
        <v>0</v>
      </c>
      <c r="N125" s="95" t="n">
        <f aca="false">SUMIFS(Mastersheet!$O$2:$O$400,Mastersheet!$D$2:$D$400,$T125,Mastersheet!$C$2:$C$400,$U125)/1000</f>
        <v>0</v>
      </c>
      <c r="O125" s="92"/>
      <c r="P125" s="96" t="str">
        <f aca="false">IFERROR(((H125/F125)^(1/(($H$1-$F$1)/365)))-1,"n/a")</f>
        <v>n/a</v>
      </c>
      <c r="Q125" s="96" t="str">
        <f aca="false">IFERROR(((N125/H125)^(1/(($N$1-$H$1)/365)))-1,"n/a")</f>
        <v>n/a</v>
      </c>
      <c r="T125" s="97" t="s">
        <v>445</v>
      </c>
      <c r="U125" s="98" t="s">
        <v>413</v>
      </c>
      <c r="V125" s="98" t="s">
        <v>414</v>
      </c>
    </row>
    <row r="126" customFormat="false" ht="11.25" hidden="true" customHeight="true" outlineLevel="3" collapsed="false">
      <c r="C126" s="99"/>
      <c r="D126" s="99"/>
      <c r="E126" s="100" t="str">
        <f aca="false">IF($T$126="","",SUMIFS(Mastersheet!$F$2:$F$400,Mastersheet!$A$2:$A$400,$T$126)/1000)</f>
        <v/>
      </c>
      <c r="F126" s="100" t="str">
        <f aca="false">IF($T$126="","",SUMIFS(Mastersheet!$G$2:$G$400,Mastersheet!$A$2:$A$400,$T$126)/1000)</f>
        <v/>
      </c>
      <c r="G126" s="100" t="str">
        <f aca="false">IF($T$126="","",SUMIFS(Mastersheet!$H$2:$H$400,Mastersheet!$A$2:$A$400,$T$126)/1000)</f>
        <v/>
      </c>
      <c r="H126" s="100" t="str">
        <f aca="false">IF($T$126="","",SUMIFS(Mastersheet!$I$2:$I$400,Mastersheet!$A$2:$A$400,$T$126)/1000)</f>
        <v/>
      </c>
      <c r="I126" s="101" t="str">
        <f aca="false">IF($T$126="","",SUMIFS(Mastersheet!$J$2:$J$400,Mastersheet!$A$2:$A$400,$T$126)/1000)</f>
        <v/>
      </c>
      <c r="J126" s="102" t="str">
        <f aca="false">IF($T$126="","",SUMIFS(Mastersheet!$K$2:$K$400,Mastersheet!$A$2:$A$400,$T$126)/1000)</f>
        <v/>
      </c>
      <c r="K126" s="103" t="str">
        <f aca="false">IF($T$126="","",SUMIFS(Mastersheet!$L$2:$L$400,Mastersheet!$A$2:$A$400,$T$126)/1000)</f>
        <v/>
      </c>
      <c r="L126" s="103" t="str">
        <f aca="false">IF($T$126="","",SUMIFS(Mastersheet!$M$2:$M$400,Mastersheet!$A$2:$A$400,$T$126)/1000)</f>
        <v/>
      </c>
      <c r="M126" s="103" t="str">
        <f aca="false">IF($T$126="","",SUMIFS(Mastersheet!$N$2:$N$400,Mastersheet!$A$2:$A$400,$T$126)/1000)</f>
        <v/>
      </c>
      <c r="N126" s="103" t="str">
        <f aca="false">IF($T$126="","",SUMIFS(Mastersheet!$O$2:$O$400,Mastersheet!$A$2:$A$400,$T$126)/1000)</f>
        <v/>
      </c>
      <c r="O126" s="92"/>
      <c r="P126" s="96"/>
      <c r="Q126" s="96"/>
      <c r="T126" s="97"/>
      <c r="U126" s="104" t="s">
        <v>415</v>
      </c>
      <c r="V126" s="104" t="s">
        <v>416</v>
      </c>
    </row>
    <row r="127" customFormat="false" ht="11.25" hidden="true" customHeight="true" outlineLevel="3" collapsed="false">
      <c r="C127" s="99"/>
      <c r="D127" s="99"/>
      <c r="E127" s="100" t="str">
        <f aca="false">IF($T$127="","",SUMIFS(Mastersheet!$F$2:$F$400,Mastersheet!$A$2:$A$400,$T$127)/1000)</f>
        <v/>
      </c>
      <c r="F127" s="100" t="str">
        <f aca="false">IF($T$127="","",SUMIFS(Mastersheet!$G$2:$G$400,Mastersheet!$A$2:$A$400,$T$127)/1000)</f>
        <v/>
      </c>
      <c r="G127" s="100" t="str">
        <f aca="false">IF($T$127="","",SUMIFS(Mastersheet!$H$2:$H$400,Mastersheet!$A$2:$A$400,$T$127)/1000)</f>
        <v/>
      </c>
      <c r="H127" s="100" t="str">
        <f aca="false">IF($T$127="","",SUMIFS(Mastersheet!$I$2:$I$400,Mastersheet!$A$2:$A$400,$T$127)/1000)</f>
        <v/>
      </c>
      <c r="I127" s="101" t="str">
        <f aca="false">IF($T$127="","",SUMIFS(Mastersheet!$J$2:$J$400,Mastersheet!$A$2:$A$400,$T$127)/1000)</f>
        <v/>
      </c>
      <c r="J127" s="102" t="str">
        <f aca="false">IF($T$127="","",SUMIFS(Mastersheet!$K$2:$K$400,Mastersheet!$A$2:$A$400,$T$127)/1000)</f>
        <v/>
      </c>
      <c r="K127" s="103" t="str">
        <f aca="false">IF($T$127="","",SUMIFS(Mastersheet!$L$2:$L$400,Mastersheet!$A$2:$A$400,$T$127)/1000)</f>
        <v/>
      </c>
      <c r="L127" s="103" t="str">
        <f aca="false">IF($T$127="","",SUMIFS(Mastersheet!$M$2:$M$400,Mastersheet!$A$2:$A$400,$T$127)/1000)</f>
        <v/>
      </c>
      <c r="M127" s="103" t="str">
        <f aca="false">IF($T$127="","",SUMIFS(Mastersheet!$N$2:$N$400,Mastersheet!$A$2:$A$400,$T$127)/1000)</f>
        <v/>
      </c>
      <c r="N127" s="103" t="str">
        <f aca="false">IF($T$127="","",SUMIFS(Mastersheet!$O$2:$O$400,Mastersheet!$A$2:$A$400,$T$127)/1000)</f>
        <v/>
      </c>
      <c r="O127" s="92"/>
      <c r="P127" s="96"/>
      <c r="Q127" s="96"/>
      <c r="T127" s="97"/>
      <c r="U127" s="104" t="s">
        <v>415</v>
      </c>
      <c r="V127" s="104" t="s">
        <v>416</v>
      </c>
    </row>
    <row r="128" customFormat="false" ht="11.25" hidden="true" customHeight="true" outlineLevel="3" collapsed="false">
      <c r="C128" s="99"/>
      <c r="D128" s="99"/>
      <c r="E128" s="100" t="str">
        <f aca="false">IF($T$128="","",SUMIFS(Mastersheet!$F$2:$F$400,Mastersheet!$A$2:$A$400,$T$128)/1000)</f>
        <v/>
      </c>
      <c r="F128" s="100" t="str">
        <f aca="false">IF($T$128="","",SUMIFS(Mastersheet!$G$2:$G$400,Mastersheet!$A$2:$A$400,$T$128)/1000)</f>
        <v/>
      </c>
      <c r="G128" s="100" t="str">
        <f aca="false">IF($T$128="","",SUMIFS(Mastersheet!$H$2:$H$400,Mastersheet!$A$2:$A$400,$T$128)/1000)</f>
        <v/>
      </c>
      <c r="H128" s="100" t="str">
        <f aca="false">IF($T$128="","",SUMIFS(Mastersheet!$I$2:$I$400,Mastersheet!$A$2:$A$400,$T$128)/1000)</f>
        <v/>
      </c>
      <c r="I128" s="101" t="str">
        <f aca="false">IF($T$128="","",SUMIFS(Mastersheet!$J$2:$J$400,Mastersheet!$A$2:$A$400,$T$128)/1000)</f>
        <v/>
      </c>
      <c r="J128" s="102" t="str">
        <f aca="false">IF($T$128="","",SUMIFS(Mastersheet!$K$2:$K$400,Mastersheet!$A$2:$A$400,$T$128)/1000)</f>
        <v/>
      </c>
      <c r="K128" s="103" t="str">
        <f aca="false">IF($T$128="","",SUMIFS(Mastersheet!$L$2:$L$400,Mastersheet!$A$2:$A$400,$T$128)/1000)</f>
        <v/>
      </c>
      <c r="L128" s="103" t="str">
        <f aca="false">IF($T$128="","",SUMIFS(Mastersheet!$M$2:$M$400,Mastersheet!$A$2:$A$400,$T$128)/1000)</f>
        <v/>
      </c>
      <c r="M128" s="103" t="str">
        <f aca="false">IF($T$128="","",SUMIFS(Mastersheet!$N$2:$N$400,Mastersheet!$A$2:$A$400,$T$128)/1000)</f>
        <v/>
      </c>
      <c r="N128" s="103" t="str">
        <f aca="false">IF($T$128="","",SUMIFS(Mastersheet!$O$2:$O$400,Mastersheet!$A$2:$A$400,$T$128)/1000)</f>
        <v/>
      </c>
      <c r="O128" s="92"/>
      <c r="P128" s="96"/>
      <c r="Q128" s="96"/>
      <c r="T128" s="97"/>
      <c r="U128" s="104" t="s">
        <v>415</v>
      </c>
      <c r="V128" s="104" t="s">
        <v>416</v>
      </c>
    </row>
    <row r="129" customFormat="false" ht="11.25" hidden="true" customHeight="true" outlineLevel="3" collapsed="false">
      <c r="C129" s="99"/>
      <c r="D129" s="99"/>
      <c r="E129" s="100" t="str">
        <f aca="false">IF($T$129="","",SUMIFS(Mastersheet!$F$2:$F$400,Mastersheet!$A$2:$A$400,$T$129)/1000)</f>
        <v/>
      </c>
      <c r="F129" s="100" t="str">
        <f aca="false">IF($T$129="","",SUMIFS(Mastersheet!$G$2:$G$400,Mastersheet!$A$2:$A$400,$T$129)/1000)</f>
        <v/>
      </c>
      <c r="G129" s="100" t="str">
        <f aca="false">IF($T$129="","",SUMIFS(Mastersheet!$H$2:$H$400,Mastersheet!$A$2:$A$400,$T$129)/1000)</f>
        <v/>
      </c>
      <c r="H129" s="100" t="str">
        <f aca="false">IF($T$129="","",SUMIFS(Mastersheet!$I$2:$I$400,Mastersheet!$A$2:$A$400,$T$129)/1000)</f>
        <v/>
      </c>
      <c r="I129" s="101" t="str">
        <f aca="false">IF($T$129="","",SUMIFS(Mastersheet!$J$2:$J$400,Mastersheet!$A$2:$A$400,$T$129)/1000)</f>
        <v/>
      </c>
      <c r="J129" s="102" t="str">
        <f aca="false">IF($T$129="","",SUMIFS(Mastersheet!$K$2:$K$400,Mastersheet!$A$2:$A$400,$T$129)/1000)</f>
        <v/>
      </c>
      <c r="K129" s="103" t="str">
        <f aca="false">IF($T$129="","",SUMIFS(Mastersheet!$L$2:$L$400,Mastersheet!$A$2:$A$400,$T$129)/1000)</f>
        <v/>
      </c>
      <c r="L129" s="103" t="str">
        <f aca="false">IF($T$129="","",SUMIFS(Mastersheet!$M$2:$M$400,Mastersheet!$A$2:$A$400,$T$129)/1000)</f>
        <v/>
      </c>
      <c r="M129" s="103" t="str">
        <f aca="false">IF($T$129="","",SUMIFS(Mastersheet!$N$2:$N$400,Mastersheet!$A$2:$A$400,$T$129)/1000)</f>
        <v/>
      </c>
      <c r="N129" s="103" t="str">
        <f aca="false">IF($T$129="","",SUMIFS(Mastersheet!$O$2:$O$400,Mastersheet!$A$2:$A$400,$T$129)/1000)</f>
        <v/>
      </c>
      <c r="O129" s="92"/>
      <c r="P129" s="96"/>
      <c r="Q129" s="96"/>
      <c r="T129" s="97"/>
      <c r="U129" s="104" t="s">
        <v>415</v>
      </c>
      <c r="V129" s="104" t="s">
        <v>416</v>
      </c>
    </row>
    <row r="130" customFormat="false" ht="11.25" hidden="true" customHeight="true" outlineLevel="3" collapsed="false">
      <c r="C130" s="99"/>
      <c r="D130" s="99"/>
      <c r="E130" s="100" t="str">
        <f aca="false">IF($T$130="","",SUMIFS(Mastersheet!$F$2:$F$400,Mastersheet!$A$2:$A$400,$T$130)/1000)</f>
        <v/>
      </c>
      <c r="F130" s="100" t="str">
        <f aca="false">IF($T$130="","",SUMIFS(Mastersheet!$G$2:$G$400,Mastersheet!$A$2:$A$400,$T$130)/1000)</f>
        <v/>
      </c>
      <c r="G130" s="100" t="str">
        <f aca="false">IF($T$130="","",SUMIFS(Mastersheet!$H$2:$H$400,Mastersheet!$A$2:$A$400,$T$130)/1000)</f>
        <v/>
      </c>
      <c r="H130" s="100" t="str">
        <f aca="false">IF($T$130="","",SUMIFS(Mastersheet!$I$2:$I$400,Mastersheet!$A$2:$A$400,$T$130)/1000)</f>
        <v/>
      </c>
      <c r="I130" s="101" t="str">
        <f aca="false">IF($T$130="","",SUMIFS(Mastersheet!$J$2:$J$400,Mastersheet!$A$2:$A$400,$T$130)/1000)</f>
        <v/>
      </c>
      <c r="J130" s="102" t="str">
        <f aca="false">IF($T$130="","",SUMIFS(Mastersheet!$K$2:$K$400,Mastersheet!$A$2:$A$400,$T$130)/1000)</f>
        <v/>
      </c>
      <c r="K130" s="103" t="str">
        <f aca="false">IF($T$130="","",SUMIFS(Mastersheet!$L$2:$L$400,Mastersheet!$A$2:$A$400,$T$130)/1000)</f>
        <v/>
      </c>
      <c r="L130" s="103" t="str">
        <f aca="false">IF($T$130="","",SUMIFS(Mastersheet!$M$2:$M$400,Mastersheet!$A$2:$A$400,$T$130)/1000)</f>
        <v/>
      </c>
      <c r="M130" s="103" t="str">
        <f aca="false">IF($T$130="","",SUMIFS(Mastersheet!$N$2:$N$400,Mastersheet!$A$2:$A$400,$T$130)/1000)</f>
        <v/>
      </c>
      <c r="N130" s="103" t="str">
        <f aca="false">IF($T$130="","",SUMIFS(Mastersheet!$O$2:$O$400,Mastersheet!$A$2:$A$400,$T$130)/1000)</f>
        <v/>
      </c>
      <c r="O130" s="92"/>
      <c r="P130" s="96"/>
      <c r="Q130" s="96"/>
      <c r="T130" s="97"/>
      <c r="U130" s="104" t="s">
        <v>415</v>
      </c>
      <c r="V130" s="104" t="s">
        <v>416</v>
      </c>
    </row>
    <row r="131" customFormat="false" ht="11.25" hidden="true" customHeight="true" outlineLevel="3" collapsed="false">
      <c r="C131" s="99"/>
      <c r="D131" s="99"/>
      <c r="E131" s="100" t="str">
        <f aca="false">IF($T$131="","",SUMIFS(Mastersheet!$F$2:$F$400,Mastersheet!$A$2:$A$400,$T$131)/1000)</f>
        <v/>
      </c>
      <c r="F131" s="100" t="str">
        <f aca="false">IF($T$131="","",SUMIFS(Mastersheet!$G$2:$G$400,Mastersheet!$A$2:$A$400,$T$131)/1000)</f>
        <v/>
      </c>
      <c r="G131" s="100" t="str">
        <f aca="false">IF($T$131="","",SUMIFS(Mastersheet!$H$2:$H$400,Mastersheet!$A$2:$A$400,$T$131)/1000)</f>
        <v/>
      </c>
      <c r="H131" s="100" t="str">
        <f aca="false">IF($T$131="","",SUMIFS(Mastersheet!$I$2:$I$400,Mastersheet!$A$2:$A$400,$T$131)/1000)</f>
        <v/>
      </c>
      <c r="I131" s="101" t="str">
        <f aca="false">IF($T$131="","",SUMIFS(Mastersheet!$J$2:$J$400,Mastersheet!$A$2:$A$400,$T$131)/1000)</f>
        <v/>
      </c>
      <c r="J131" s="102" t="str">
        <f aca="false">IF($T$131="","",SUMIFS(Mastersheet!$K$2:$K$400,Mastersheet!$A$2:$A$400,$T$131)/1000)</f>
        <v/>
      </c>
      <c r="K131" s="103" t="str">
        <f aca="false">IF($T$131="","",SUMIFS(Mastersheet!$L$2:$L$400,Mastersheet!$A$2:$A$400,$T$131)/1000)</f>
        <v/>
      </c>
      <c r="L131" s="103" t="str">
        <f aca="false">IF($T$131="","",SUMIFS(Mastersheet!$M$2:$M$400,Mastersheet!$A$2:$A$400,$T$131)/1000)</f>
        <v/>
      </c>
      <c r="M131" s="103" t="str">
        <f aca="false">IF($T$131="","",SUMIFS(Mastersheet!$N$2:$N$400,Mastersheet!$A$2:$A$400,$T$131)/1000)</f>
        <v/>
      </c>
      <c r="N131" s="103" t="str">
        <f aca="false">IF($T$131="","",SUMIFS(Mastersheet!$O$2:$O$400,Mastersheet!$A$2:$A$400,$T$131)/1000)</f>
        <v/>
      </c>
      <c r="O131" s="92"/>
      <c r="P131" s="96"/>
      <c r="Q131" s="96"/>
      <c r="T131" s="97"/>
      <c r="U131" s="104" t="s">
        <v>415</v>
      </c>
      <c r="V131" s="104" t="s">
        <v>416</v>
      </c>
    </row>
    <row r="132" customFormat="false" ht="11.25" hidden="true" customHeight="true" outlineLevel="3" collapsed="false">
      <c r="C132" s="99"/>
      <c r="D132" s="99"/>
      <c r="E132" s="100" t="str">
        <f aca="false">IF($T$132="","",SUMIFS(Mastersheet!$F$2:$F$400,Mastersheet!$A$2:$A$400,$T$132)/1000)</f>
        <v/>
      </c>
      <c r="F132" s="100" t="str">
        <f aca="false">IF($T$132="","",SUMIFS(Mastersheet!$G$2:$G$400,Mastersheet!$A$2:$A$400,$T$132)/1000)</f>
        <v/>
      </c>
      <c r="G132" s="100" t="str">
        <f aca="false">IF($T$132="","",SUMIFS(Mastersheet!$H$2:$H$400,Mastersheet!$A$2:$A$400,$T$132)/1000)</f>
        <v/>
      </c>
      <c r="H132" s="100" t="str">
        <f aca="false">IF($T$132="","",SUMIFS(Mastersheet!$I$2:$I$400,Mastersheet!$A$2:$A$400,$T$132)/1000)</f>
        <v/>
      </c>
      <c r="I132" s="101" t="str">
        <f aca="false">IF($T$132="","",SUMIFS(Mastersheet!$J$2:$J$400,Mastersheet!$A$2:$A$400,$T$132)/1000)</f>
        <v/>
      </c>
      <c r="J132" s="102" t="str">
        <f aca="false">IF($T$132="","",SUMIFS(Mastersheet!$K$2:$K$400,Mastersheet!$A$2:$A$400,$T$132)/1000)</f>
        <v/>
      </c>
      <c r="K132" s="103" t="str">
        <f aca="false">IF($T$132="","",SUMIFS(Mastersheet!$L$2:$L$400,Mastersheet!$A$2:$A$400,$T$132)/1000)</f>
        <v/>
      </c>
      <c r="L132" s="103" t="str">
        <f aca="false">IF($T$132="","",SUMIFS(Mastersheet!$M$2:$M$400,Mastersheet!$A$2:$A$400,$T$132)/1000)</f>
        <v/>
      </c>
      <c r="M132" s="103" t="str">
        <f aca="false">IF($T$132="","",SUMIFS(Mastersheet!$N$2:$N$400,Mastersheet!$A$2:$A$400,$T$132)/1000)</f>
        <v/>
      </c>
      <c r="N132" s="103" t="str">
        <f aca="false">IF($T$132="","",SUMIFS(Mastersheet!$O$2:$O$400,Mastersheet!$A$2:$A$400,$T$132)/1000)</f>
        <v/>
      </c>
      <c r="O132" s="92"/>
      <c r="P132" s="96"/>
      <c r="Q132" s="96"/>
      <c r="T132" s="97"/>
      <c r="U132" s="104" t="s">
        <v>415</v>
      </c>
      <c r="V132" s="104" t="s">
        <v>416</v>
      </c>
    </row>
    <row r="133" customFormat="false" ht="11.25" hidden="true" customHeight="true" outlineLevel="3" collapsed="false">
      <c r="C133" s="99"/>
      <c r="D133" s="99"/>
      <c r="E133" s="100" t="str">
        <f aca="false">IF($T$133="","",SUMIFS(Mastersheet!$F$2:$F$400,Mastersheet!$A$2:$A$400,$T$133)/1000)</f>
        <v/>
      </c>
      <c r="F133" s="100" t="str">
        <f aca="false">IF($T$133="","",SUMIFS(Mastersheet!$G$2:$G$400,Mastersheet!$A$2:$A$400,$T$133)/1000)</f>
        <v/>
      </c>
      <c r="G133" s="100" t="str">
        <f aca="false">IF($T$133="","",SUMIFS(Mastersheet!$H$2:$H$400,Mastersheet!$A$2:$A$400,$T$133)/1000)</f>
        <v/>
      </c>
      <c r="H133" s="100" t="str">
        <f aca="false">IF($T$133="","",SUMIFS(Mastersheet!$I$2:$I$400,Mastersheet!$A$2:$A$400,$T$133)/1000)</f>
        <v/>
      </c>
      <c r="I133" s="101" t="str">
        <f aca="false">IF($T$133="","",SUMIFS(Mastersheet!$J$2:$J$400,Mastersheet!$A$2:$A$400,$T$133)/1000)</f>
        <v/>
      </c>
      <c r="J133" s="102" t="str">
        <f aca="false">IF($T$133="","",SUMIFS(Mastersheet!$K$2:$K$400,Mastersheet!$A$2:$A$400,$T$133)/1000)</f>
        <v/>
      </c>
      <c r="K133" s="103" t="str">
        <f aca="false">IF($T$133="","",SUMIFS(Mastersheet!$L$2:$L$400,Mastersheet!$A$2:$A$400,$T$133)/1000)</f>
        <v/>
      </c>
      <c r="L133" s="103" t="str">
        <f aca="false">IF($T$133="","",SUMIFS(Mastersheet!$M$2:$M$400,Mastersheet!$A$2:$A$400,$T$133)/1000)</f>
        <v/>
      </c>
      <c r="M133" s="103" t="str">
        <f aca="false">IF($T$133="","",SUMIFS(Mastersheet!$N$2:$N$400,Mastersheet!$A$2:$A$400,$T$133)/1000)</f>
        <v/>
      </c>
      <c r="N133" s="103" t="str">
        <f aca="false">IF($T$133="","",SUMIFS(Mastersheet!$O$2:$O$400,Mastersheet!$A$2:$A$400,$T$133)/1000)</f>
        <v/>
      </c>
      <c r="O133" s="92"/>
      <c r="P133" s="96"/>
      <c r="Q133" s="96"/>
      <c r="T133" s="97"/>
      <c r="U133" s="104" t="s">
        <v>415</v>
      </c>
      <c r="V133" s="104" t="s">
        <v>416</v>
      </c>
    </row>
    <row r="134" customFormat="false" ht="11.25" hidden="true" customHeight="true" outlineLevel="2" collapsed="false">
      <c r="C134" s="91" t="s">
        <v>446</v>
      </c>
      <c r="D134" s="91" t="s">
        <v>447</v>
      </c>
      <c r="E134" s="92" t="n">
        <f aca="false">SUMIFS(Mastersheet!$F$2:$F$400,Mastersheet!$D$2:$D$400,$T134,Mastersheet!$C$2:$C$400,$U134)/1000</f>
        <v>0</v>
      </c>
      <c r="F134" s="92" t="n">
        <f aca="false">SUMIFS(Mastersheet!$G$2:$G$400,Mastersheet!$D$2:$D$400,$T134,Mastersheet!$C$2:$C$400,$U134)/1000</f>
        <v>0</v>
      </c>
      <c r="G134" s="92" t="n">
        <f aca="false">SUMIFS(Mastersheet!$H$2:$H$400,Mastersheet!$D$2:$D$400,$T134,Mastersheet!$C$2:$C$400,$U134)/1000</f>
        <v>0</v>
      </c>
      <c r="H134" s="92" t="n">
        <f aca="false">SUMIFS(Mastersheet!$I$2:$I$400,Mastersheet!$D$2:$D$400,$T134,Mastersheet!$C$2:$C$400,$U134)/1000</f>
        <v>0</v>
      </c>
      <c r="I134" s="93" t="n">
        <f aca="false">SUMIFS(Mastersheet!$J$2:$J$400,Mastersheet!$D$2:$D$400,$T134,Mastersheet!$C$2:$C$400,$U134)/1000</f>
        <v>0</v>
      </c>
      <c r="J134" s="94" t="n">
        <f aca="false">SUMIFS(Mastersheet!$K$2:$K$400,Mastersheet!$D$2:$D$400,$T134,Mastersheet!$C$2:$C$400,$U134)/1000</f>
        <v>0</v>
      </c>
      <c r="K134" s="95" t="n">
        <f aca="false">SUMIFS(Mastersheet!$L$2:$L$400,Mastersheet!$D$2:$D$400,$T134,Mastersheet!$C$2:$C$400,$U134)/1000</f>
        <v>0</v>
      </c>
      <c r="L134" s="95" t="n">
        <f aca="false">SUMIFS(Mastersheet!$M$2:$M$400,Mastersheet!$D$2:$D$400,$T134,Mastersheet!$C$2:$C$400,$U134)/1000</f>
        <v>0</v>
      </c>
      <c r="M134" s="95" t="n">
        <f aca="false">SUMIFS(Mastersheet!$N$2:$N$400,Mastersheet!$D$2:$D$400,$T134,Mastersheet!$C$2:$C$400,$U134)/1000</f>
        <v>0</v>
      </c>
      <c r="N134" s="95" t="n">
        <f aca="false">SUMIFS(Mastersheet!$O$2:$O$400,Mastersheet!$D$2:$D$400,$T134,Mastersheet!$C$2:$C$400,$U134)/1000</f>
        <v>0</v>
      </c>
      <c r="O134" s="92"/>
      <c r="P134" s="96" t="str">
        <f aca="false">IFERROR(((H134/F134)^(1/(($H$1-$F$1)/365)))-1,"n/a")</f>
        <v>n/a</v>
      </c>
      <c r="Q134" s="96" t="str">
        <f aca="false">IFERROR(((N134/H134)^(1/(($N$1-$H$1)/365)))-1,"n/a")</f>
        <v>n/a</v>
      </c>
      <c r="T134" s="97" t="s">
        <v>446</v>
      </c>
      <c r="U134" s="98" t="s">
        <v>413</v>
      </c>
      <c r="V134" s="98" t="s">
        <v>414</v>
      </c>
    </row>
    <row r="135" customFormat="false" ht="11.25" hidden="true" customHeight="true" outlineLevel="3" collapsed="false">
      <c r="C135" s="99"/>
      <c r="D135" s="99"/>
      <c r="E135" s="100" t="str">
        <f aca="false">IF($T$135="","",SUMIFS(Mastersheet!$F$2:$F$400,Mastersheet!$A$2:$A$400,$T$135)/1000)</f>
        <v/>
      </c>
      <c r="F135" s="100" t="str">
        <f aca="false">IF($T$135="","",SUMIFS(Mastersheet!$G$2:$G$400,Mastersheet!$A$2:$A$400,$T$135)/1000)</f>
        <v/>
      </c>
      <c r="G135" s="100" t="str">
        <f aca="false">IF($T$135="","",SUMIFS(Mastersheet!$H$2:$H$400,Mastersheet!$A$2:$A$400,$T$135)/1000)</f>
        <v/>
      </c>
      <c r="H135" s="100" t="str">
        <f aca="false">IF($T$135="","",SUMIFS(Mastersheet!$I$2:$I$400,Mastersheet!$A$2:$A$400,$T$135)/1000)</f>
        <v/>
      </c>
      <c r="I135" s="101" t="str">
        <f aca="false">IF($T$135="","",SUMIFS(Mastersheet!$J$2:$J$400,Mastersheet!$A$2:$A$400,$T$135)/1000)</f>
        <v/>
      </c>
      <c r="J135" s="102" t="str">
        <f aca="false">IF($T$135="","",SUMIFS(Mastersheet!$K$2:$K$400,Mastersheet!$A$2:$A$400,$T$135)/1000)</f>
        <v/>
      </c>
      <c r="K135" s="103" t="str">
        <f aca="false">IF($T$135="","",SUMIFS(Mastersheet!$L$2:$L$400,Mastersheet!$A$2:$A$400,$T$135)/1000)</f>
        <v/>
      </c>
      <c r="L135" s="103" t="str">
        <f aca="false">IF($T$135="","",SUMIFS(Mastersheet!$M$2:$M$400,Mastersheet!$A$2:$A$400,$T$135)/1000)</f>
        <v/>
      </c>
      <c r="M135" s="103" t="str">
        <f aca="false">IF($T$135="","",SUMIFS(Mastersheet!$N$2:$N$400,Mastersheet!$A$2:$A$400,$T$135)/1000)</f>
        <v/>
      </c>
      <c r="N135" s="103" t="str">
        <f aca="false">IF($T$135="","",SUMIFS(Mastersheet!$O$2:$O$400,Mastersheet!$A$2:$A$400,$T$135)/1000)</f>
        <v/>
      </c>
      <c r="O135" s="92"/>
      <c r="P135" s="96"/>
      <c r="Q135" s="96"/>
      <c r="T135" s="97"/>
      <c r="U135" s="104" t="s">
        <v>415</v>
      </c>
      <c r="V135" s="104" t="s">
        <v>416</v>
      </c>
    </row>
    <row r="136" customFormat="false" ht="11.25" hidden="true" customHeight="true" outlineLevel="3" collapsed="false">
      <c r="C136" s="99"/>
      <c r="D136" s="99"/>
      <c r="E136" s="100" t="str">
        <f aca="false">IF($T$136="","",SUMIFS(Mastersheet!$F$2:$F$400,Mastersheet!$A$2:$A$400,$T$136)/1000)</f>
        <v/>
      </c>
      <c r="F136" s="100" t="str">
        <f aca="false">IF($T$136="","",SUMIFS(Mastersheet!$G$2:$G$400,Mastersheet!$A$2:$A$400,$T$136)/1000)</f>
        <v/>
      </c>
      <c r="G136" s="100" t="str">
        <f aca="false">IF($T$136="","",SUMIFS(Mastersheet!$H$2:$H$400,Mastersheet!$A$2:$A$400,$T$136)/1000)</f>
        <v/>
      </c>
      <c r="H136" s="100" t="str">
        <f aca="false">IF($T$136="","",SUMIFS(Mastersheet!$I$2:$I$400,Mastersheet!$A$2:$A$400,$T$136)/1000)</f>
        <v/>
      </c>
      <c r="I136" s="101" t="str">
        <f aca="false">IF($T$136="","",SUMIFS(Mastersheet!$J$2:$J$400,Mastersheet!$A$2:$A$400,$T$136)/1000)</f>
        <v/>
      </c>
      <c r="J136" s="102" t="str">
        <f aca="false">IF($T$136="","",SUMIFS(Mastersheet!$K$2:$K$400,Mastersheet!$A$2:$A$400,$T$136)/1000)</f>
        <v/>
      </c>
      <c r="K136" s="103" t="str">
        <f aca="false">IF($T$136="","",SUMIFS(Mastersheet!$L$2:$L$400,Mastersheet!$A$2:$A$400,$T$136)/1000)</f>
        <v/>
      </c>
      <c r="L136" s="103" t="str">
        <f aca="false">IF($T$136="","",SUMIFS(Mastersheet!$M$2:$M$400,Mastersheet!$A$2:$A$400,$T$136)/1000)</f>
        <v/>
      </c>
      <c r="M136" s="103" t="str">
        <f aca="false">IF($T$136="","",SUMIFS(Mastersheet!$N$2:$N$400,Mastersheet!$A$2:$A$400,$T$136)/1000)</f>
        <v/>
      </c>
      <c r="N136" s="103" t="str">
        <f aca="false">IF($T$136="","",SUMIFS(Mastersheet!$O$2:$O$400,Mastersheet!$A$2:$A$400,$T$136)/1000)</f>
        <v/>
      </c>
      <c r="O136" s="92"/>
      <c r="P136" s="96"/>
      <c r="Q136" s="96"/>
      <c r="T136" s="97"/>
      <c r="U136" s="104" t="s">
        <v>415</v>
      </c>
      <c r="V136" s="104" t="s">
        <v>416</v>
      </c>
    </row>
    <row r="137" customFormat="false" ht="11.25" hidden="true" customHeight="true" outlineLevel="3" collapsed="false">
      <c r="C137" s="99"/>
      <c r="D137" s="99"/>
      <c r="E137" s="100" t="str">
        <f aca="false">IF($T$137="","",SUMIFS(Mastersheet!$F$2:$F$400,Mastersheet!$A$2:$A$400,$T$137)/1000)</f>
        <v/>
      </c>
      <c r="F137" s="100" t="str">
        <f aca="false">IF($T$137="","",SUMIFS(Mastersheet!$G$2:$G$400,Mastersheet!$A$2:$A$400,$T$137)/1000)</f>
        <v/>
      </c>
      <c r="G137" s="100" t="str">
        <f aca="false">IF($T$137="","",SUMIFS(Mastersheet!$H$2:$H$400,Mastersheet!$A$2:$A$400,$T$137)/1000)</f>
        <v/>
      </c>
      <c r="H137" s="100" t="str">
        <f aca="false">IF($T$137="","",SUMIFS(Mastersheet!$I$2:$I$400,Mastersheet!$A$2:$A$400,$T$137)/1000)</f>
        <v/>
      </c>
      <c r="I137" s="101" t="str">
        <f aca="false">IF($T$137="","",SUMIFS(Mastersheet!$J$2:$J$400,Mastersheet!$A$2:$A$400,$T$137)/1000)</f>
        <v/>
      </c>
      <c r="J137" s="102" t="str">
        <f aca="false">IF($T$137="","",SUMIFS(Mastersheet!$K$2:$K$400,Mastersheet!$A$2:$A$400,$T$137)/1000)</f>
        <v/>
      </c>
      <c r="K137" s="103" t="str">
        <f aca="false">IF($T$137="","",SUMIFS(Mastersheet!$L$2:$L$400,Mastersheet!$A$2:$A$400,$T$137)/1000)</f>
        <v/>
      </c>
      <c r="L137" s="103" t="str">
        <f aca="false">IF($T$137="","",SUMIFS(Mastersheet!$M$2:$M$400,Mastersheet!$A$2:$A$400,$T$137)/1000)</f>
        <v/>
      </c>
      <c r="M137" s="103" t="str">
        <f aca="false">IF($T$137="","",SUMIFS(Mastersheet!$N$2:$N$400,Mastersheet!$A$2:$A$400,$T$137)/1000)</f>
        <v/>
      </c>
      <c r="N137" s="103" t="str">
        <f aca="false">IF($T$137="","",SUMIFS(Mastersheet!$O$2:$O$400,Mastersheet!$A$2:$A$400,$T$137)/1000)</f>
        <v/>
      </c>
      <c r="O137" s="92"/>
      <c r="P137" s="96"/>
      <c r="Q137" s="96"/>
      <c r="T137" s="97"/>
      <c r="U137" s="104" t="s">
        <v>415</v>
      </c>
      <c r="V137" s="104" t="s">
        <v>416</v>
      </c>
    </row>
    <row r="138" customFormat="false" ht="11.25" hidden="true" customHeight="true" outlineLevel="3" collapsed="false">
      <c r="C138" s="99"/>
      <c r="D138" s="99"/>
      <c r="E138" s="100" t="str">
        <f aca="false">IF($T$138="","",SUMIFS(Mastersheet!$F$2:$F$400,Mastersheet!$A$2:$A$400,$T$138)/1000)</f>
        <v/>
      </c>
      <c r="F138" s="100" t="str">
        <f aca="false">IF($T$138="","",SUMIFS(Mastersheet!$G$2:$G$400,Mastersheet!$A$2:$A$400,$T$138)/1000)</f>
        <v/>
      </c>
      <c r="G138" s="100" t="str">
        <f aca="false">IF($T$138="","",SUMIFS(Mastersheet!$H$2:$H$400,Mastersheet!$A$2:$A$400,$T$138)/1000)</f>
        <v/>
      </c>
      <c r="H138" s="100" t="str">
        <f aca="false">IF($T$138="","",SUMIFS(Mastersheet!$I$2:$I$400,Mastersheet!$A$2:$A$400,$T$138)/1000)</f>
        <v/>
      </c>
      <c r="I138" s="101" t="str">
        <f aca="false">IF($T$138="","",SUMIFS(Mastersheet!$J$2:$J$400,Mastersheet!$A$2:$A$400,$T$138)/1000)</f>
        <v/>
      </c>
      <c r="J138" s="102" t="str">
        <f aca="false">IF($T$138="","",SUMIFS(Mastersheet!$K$2:$K$400,Mastersheet!$A$2:$A$400,$T$138)/1000)</f>
        <v/>
      </c>
      <c r="K138" s="103" t="str">
        <f aca="false">IF($T$138="","",SUMIFS(Mastersheet!$L$2:$L$400,Mastersheet!$A$2:$A$400,$T$138)/1000)</f>
        <v/>
      </c>
      <c r="L138" s="103" t="str">
        <f aca="false">IF($T$138="","",SUMIFS(Mastersheet!$M$2:$M$400,Mastersheet!$A$2:$A$400,$T$138)/1000)</f>
        <v/>
      </c>
      <c r="M138" s="103" t="str">
        <f aca="false">IF($T$138="","",SUMIFS(Mastersheet!$N$2:$N$400,Mastersheet!$A$2:$A$400,$T$138)/1000)</f>
        <v/>
      </c>
      <c r="N138" s="103" t="str">
        <f aca="false">IF($T$138="","",SUMIFS(Mastersheet!$O$2:$O$400,Mastersheet!$A$2:$A$400,$T$138)/1000)</f>
        <v/>
      </c>
      <c r="O138" s="92"/>
      <c r="P138" s="96"/>
      <c r="Q138" s="96"/>
      <c r="T138" s="97"/>
      <c r="U138" s="104" t="s">
        <v>415</v>
      </c>
      <c r="V138" s="104" t="s">
        <v>416</v>
      </c>
    </row>
    <row r="139" customFormat="false" ht="11.25" hidden="true" customHeight="true" outlineLevel="3" collapsed="false">
      <c r="C139" s="99"/>
      <c r="D139" s="99"/>
      <c r="E139" s="100" t="str">
        <f aca="false">IF($T$139="","",SUMIFS(Mastersheet!$F$2:$F$400,Mastersheet!$A$2:$A$400,$T$139)/1000)</f>
        <v/>
      </c>
      <c r="F139" s="100" t="str">
        <f aca="false">IF($T$139="","",SUMIFS(Mastersheet!$G$2:$G$400,Mastersheet!$A$2:$A$400,$T$139)/1000)</f>
        <v/>
      </c>
      <c r="G139" s="100" t="str">
        <f aca="false">IF($T$139="","",SUMIFS(Mastersheet!$H$2:$H$400,Mastersheet!$A$2:$A$400,$T$139)/1000)</f>
        <v/>
      </c>
      <c r="H139" s="100" t="str">
        <f aca="false">IF($T$139="","",SUMIFS(Mastersheet!$I$2:$I$400,Mastersheet!$A$2:$A$400,$T$139)/1000)</f>
        <v/>
      </c>
      <c r="I139" s="101" t="str">
        <f aca="false">IF($T$139="","",SUMIFS(Mastersheet!$J$2:$J$400,Mastersheet!$A$2:$A$400,$T$139)/1000)</f>
        <v/>
      </c>
      <c r="J139" s="102" t="str">
        <f aca="false">IF($T$139="","",SUMIFS(Mastersheet!$K$2:$K$400,Mastersheet!$A$2:$A$400,$T$139)/1000)</f>
        <v/>
      </c>
      <c r="K139" s="103" t="str">
        <f aca="false">IF($T$139="","",SUMIFS(Mastersheet!$L$2:$L$400,Mastersheet!$A$2:$A$400,$T$139)/1000)</f>
        <v/>
      </c>
      <c r="L139" s="103" t="str">
        <f aca="false">IF($T$139="","",SUMIFS(Mastersheet!$M$2:$M$400,Mastersheet!$A$2:$A$400,$T$139)/1000)</f>
        <v/>
      </c>
      <c r="M139" s="103" t="str">
        <f aca="false">IF($T$139="","",SUMIFS(Mastersheet!$N$2:$N$400,Mastersheet!$A$2:$A$400,$T$139)/1000)</f>
        <v/>
      </c>
      <c r="N139" s="103" t="str">
        <f aca="false">IF($T$139="","",SUMIFS(Mastersheet!$O$2:$O$400,Mastersheet!$A$2:$A$400,$T$139)/1000)</f>
        <v/>
      </c>
      <c r="O139" s="92"/>
      <c r="P139" s="96"/>
      <c r="Q139" s="96"/>
      <c r="T139" s="97"/>
      <c r="U139" s="104" t="s">
        <v>415</v>
      </c>
      <c r="V139" s="104" t="s">
        <v>416</v>
      </c>
    </row>
    <row r="140" customFormat="false" ht="11.25" hidden="true" customHeight="true" outlineLevel="3" collapsed="false">
      <c r="C140" s="99"/>
      <c r="D140" s="99"/>
      <c r="E140" s="100" t="str">
        <f aca="false">IF($T$140="","",SUMIFS(Mastersheet!$F$2:$F$400,Mastersheet!$A$2:$A$400,$T$140)/1000)</f>
        <v/>
      </c>
      <c r="F140" s="100" t="str">
        <f aca="false">IF($T$140="","",SUMIFS(Mastersheet!$G$2:$G$400,Mastersheet!$A$2:$A$400,$T$140)/1000)</f>
        <v/>
      </c>
      <c r="G140" s="100" t="str">
        <f aca="false">IF($T$140="","",SUMIFS(Mastersheet!$H$2:$H$400,Mastersheet!$A$2:$A$400,$T$140)/1000)</f>
        <v/>
      </c>
      <c r="H140" s="100" t="str">
        <f aca="false">IF($T$140="","",SUMIFS(Mastersheet!$I$2:$I$400,Mastersheet!$A$2:$A$400,$T$140)/1000)</f>
        <v/>
      </c>
      <c r="I140" s="101" t="str">
        <f aca="false">IF($T$140="","",SUMIFS(Mastersheet!$J$2:$J$400,Mastersheet!$A$2:$A$400,$T$140)/1000)</f>
        <v/>
      </c>
      <c r="J140" s="102" t="str">
        <f aca="false">IF($T$140="","",SUMIFS(Mastersheet!$K$2:$K$400,Mastersheet!$A$2:$A$400,$T$140)/1000)</f>
        <v/>
      </c>
      <c r="K140" s="103" t="str">
        <f aca="false">IF($T$140="","",SUMIFS(Mastersheet!$L$2:$L$400,Mastersheet!$A$2:$A$400,$T$140)/1000)</f>
        <v/>
      </c>
      <c r="L140" s="103" t="str">
        <f aca="false">IF($T$140="","",SUMIFS(Mastersheet!$M$2:$M$400,Mastersheet!$A$2:$A$400,$T$140)/1000)</f>
        <v/>
      </c>
      <c r="M140" s="103" t="str">
        <f aca="false">IF($T$140="","",SUMIFS(Mastersheet!$N$2:$N$400,Mastersheet!$A$2:$A$400,$T$140)/1000)</f>
        <v/>
      </c>
      <c r="N140" s="103" t="str">
        <f aca="false">IF($T$140="","",SUMIFS(Mastersheet!$O$2:$O$400,Mastersheet!$A$2:$A$400,$T$140)/1000)</f>
        <v/>
      </c>
      <c r="O140" s="92"/>
      <c r="P140" s="96"/>
      <c r="Q140" s="96"/>
      <c r="T140" s="97"/>
      <c r="U140" s="104" t="s">
        <v>415</v>
      </c>
      <c r="V140" s="104" t="s">
        <v>416</v>
      </c>
    </row>
    <row r="141" customFormat="false" ht="11.25" hidden="true" customHeight="true" outlineLevel="3" collapsed="false">
      <c r="C141" s="99"/>
      <c r="D141" s="99"/>
      <c r="E141" s="100" t="str">
        <f aca="false">IF($T$141="","",SUMIFS(Mastersheet!$F$2:$F$400,Mastersheet!$A$2:$A$400,$T$141)/1000)</f>
        <v/>
      </c>
      <c r="F141" s="100" t="str">
        <f aca="false">IF($T$141="","",SUMIFS(Mastersheet!$G$2:$G$400,Mastersheet!$A$2:$A$400,$T$141)/1000)</f>
        <v/>
      </c>
      <c r="G141" s="100" t="str">
        <f aca="false">IF($T$141="","",SUMIFS(Mastersheet!$H$2:$H$400,Mastersheet!$A$2:$A$400,$T$141)/1000)</f>
        <v/>
      </c>
      <c r="H141" s="100" t="str">
        <f aca="false">IF($T$141="","",SUMIFS(Mastersheet!$I$2:$I$400,Mastersheet!$A$2:$A$400,$T$141)/1000)</f>
        <v/>
      </c>
      <c r="I141" s="101" t="str">
        <f aca="false">IF($T$141="","",SUMIFS(Mastersheet!$J$2:$J$400,Mastersheet!$A$2:$A$400,$T$141)/1000)</f>
        <v/>
      </c>
      <c r="J141" s="102" t="str">
        <f aca="false">IF($T$141="","",SUMIFS(Mastersheet!$K$2:$K$400,Mastersheet!$A$2:$A$400,$T$141)/1000)</f>
        <v/>
      </c>
      <c r="K141" s="103" t="str">
        <f aca="false">IF($T$141="","",SUMIFS(Mastersheet!$L$2:$L$400,Mastersheet!$A$2:$A$400,$T$141)/1000)</f>
        <v/>
      </c>
      <c r="L141" s="103" t="str">
        <f aca="false">IF($T$141="","",SUMIFS(Mastersheet!$M$2:$M$400,Mastersheet!$A$2:$A$400,$T$141)/1000)</f>
        <v/>
      </c>
      <c r="M141" s="103" t="str">
        <f aca="false">IF($T$141="","",SUMIFS(Mastersheet!$N$2:$N$400,Mastersheet!$A$2:$A$400,$T$141)/1000)</f>
        <v/>
      </c>
      <c r="N141" s="103" t="str">
        <f aca="false">IF($T$141="","",SUMIFS(Mastersheet!$O$2:$O$400,Mastersheet!$A$2:$A$400,$T$141)/1000)</f>
        <v/>
      </c>
      <c r="O141" s="92"/>
      <c r="P141" s="96"/>
      <c r="Q141" s="96"/>
      <c r="T141" s="97"/>
      <c r="U141" s="104" t="s">
        <v>415</v>
      </c>
      <c r="V141" s="104" t="s">
        <v>416</v>
      </c>
    </row>
    <row r="142" customFormat="false" ht="11.25" hidden="true" customHeight="true" outlineLevel="3" collapsed="false">
      <c r="C142" s="99"/>
      <c r="D142" s="99"/>
      <c r="E142" s="100" t="str">
        <f aca="false">IF($T$142="","",SUMIFS(Mastersheet!$F$2:$F$400,Mastersheet!$A$2:$A$400,$T$142)/1000)</f>
        <v/>
      </c>
      <c r="F142" s="100" t="str">
        <f aca="false">IF($T$142="","",SUMIFS(Mastersheet!$G$2:$G$400,Mastersheet!$A$2:$A$400,$T$142)/1000)</f>
        <v/>
      </c>
      <c r="G142" s="100" t="str">
        <f aca="false">IF($T$142="","",SUMIFS(Mastersheet!$H$2:$H$400,Mastersheet!$A$2:$A$400,$T$142)/1000)</f>
        <v/>
      </c>
      <c r="H142" s="100" t="str">
        <f aca="false">IF($T$142="","",SUMIFS(Mastersheet!$I$2:$I$400,Mastersheet!$A$2:$A$400,$T$142)/1000)</f>
        <v/>
      </c>
      <c r="I142" s="101" t="str">
        <f aca="false">IF($T$142="","",SUMIFS(Mastersheet!$J$2:$J$400,Mastersheet!$A$2:$A$400,$T$142)/1000)</f>
        <v/>
      </c>
      <c r="J142" s="102" t="str">
        <f aca="false">IF($T$142="","",SUMIFS(Mastersheet!$K$2:$K$400,Mastersheet!$A$2:$A$400,$T$142)/1000)</f>
        <v/>
      </c>
      <c r="K142" s="103" t="str">
        <f aca="false">IF($T$142="","",SUMIFS(Mastersheet!$L$2:$L$400,Mastersheet!$A$2:$A$400,$T$142)/1000)</f>
        <v/>
      </c>
      <c r="L142" s="103" t="str">
        <f aca="false">IF($T$142="","",SUMIFS(Mastersheet!$M$2:$M$400,Mastersheet!$A$2:$A$400,$T$142)/1000)</f>
        <v/>
      </c>
      <c r="M142" s="103" t="str">
        <f aca="false">IF($T$142="","",SUMIFS(Mastersheet!$N$2:$N$400,Mastersheet!$A$2:$A$400,$T$142)/1000)</f>
        <v/>
      </c>
      <c r="N142" s="103" t="str">
        <f aca="false">IF($T$142="","",SUMIFS(Mastersheet!$O$2:$O$400,Mastersheet!$A$2:$A$400,$T$142)/1000)</f>
        <v/>
      </c>
      <c r="O142" s="92"/>
      <c r="P142" s="96"/>
      <c r="Q142" s="96"/>
      <c r="T142" s="97"/>
      <c r="U142" s="104" t="s">
        <v>415</v>
      </c>
      <c r="V142" s="104" t="s">
        <v>416</v>
      </c>
    </row>
    <row r="143" customFormat="false" ht="11.25" hidden="true" customHeight="true" outlineLevel="2" collapsed="false">
      <c r="C143" s="91" t="s">
        <v>234</v>
      </c>
      <c r="D143" s="91" t="s">
        <v>234</v>
      </c>
      <c r="E143" s="92"/>
      <c r="F143" s="92"/>
      <c r="G143" s="92"/>
      <c r="H143" s="92"/>
      <c r="I143" s="93"/>
      <c r="J143" s="94"/>
      <c r="K143" s="95"/>
      <c r="L143" s="95"/>
      <c r="M143" s="95"/>
      <c r="N143" s="95"/>
      <c r="O143" s="92"/>
      <c r="P143" s="96" t="str">
        <f aca="false">IFERROR(((H143/F143)^(1/(($H$1-$F$1)/365)))-1,"n/a")</f>
        <v>n/a</v>
      </c>
      <c r="Q143" s="96" t="str">
        <f aca="false">IFERROR(((N143/H143)^(1/(($N$1-$H$1)/365)))-1,"n/a")</f>
        <v>n/a</v>
      </c>
      <c r="T143" s="105"/>
    </row>
    <row r="144" customFormat="false" ht="11.25" hidden="true" customHeight="true" outlineLevel="2" collapsed="false">
      <c r="C144" s="91" t="s">
        <v>235</v>
      </c>
      <c r="D144" s="91" t="s">
        <v>235</v>
      </c>
      <c r="E144" s="92"/>
      <c r="F144" s="92"/>
      <c r="G144" s="92"/>
      <c r="H144" s="92"/>
      <c r="I144" s="93"/>
      <c r="J144" s="94"/>
      <c r="K144" s="95"/>
      <c r="L144" s="95"/>
      <c r="M144" s="95"/>
      <c r="N144" s="95"/>
      <c r="O144" s="92"/>
      <c r="P144" s="96" t="str">
        <f aca="false">IFERROR(((H144/F144)^(1/(($H$1-$F$1)/365)))-1,"n/a")</f>
        <v>n/a</v>
      </c>
      <c r="Q144" s="96" t="str">
        <f aca="false">IFERROR(((N144/H144)^(1/(($N$1-$H$1)/365)))-1,"n/a")</f>
        <v>n/a</v>
      </c>
      <c r="T144" s="105"/>
    </row>
    <row r="145" customFormat="false" ht="11.25" hidden="true" customHeight="true" outlineLevel="2" collapsed="false">
      <c r="C145" s="113" t="s">
        <v>236</v>
      </c>
      <c r="D145" s="113" t="s">
        <v>236</v>
      </c>
      <c r="E145" s="92"/>
      <c r="F145" s="114"/>
      <c r="G145" s="114"/>
      <c r="H145" s="114"/>
      <c r="I145" s="115"/>
      <c r="J145" s="116"/>
      <c r="K145" s="95"/>
      <c r="L145" s="95"/>
      <c r="M145" s="95"/>
      <c r="N145" s="95"/>
      <c r="O145" s="92"/>
      <c r="P145" s="96" t="str">
        <f aca="false">IFERROR(((H145/F145)^(1/(($H$1-$F$1)/365)))-1,"n/a")</f>
        <v>n/a</v>
      </c>
      <c r="Q145" s="96" t="str">
        <f aca="false">IFERROR(((N145/H145)^(1/(($N$1-$H$1)/365)))-1,"n/a")</f>
        <v>n/a</v>
      </c>
      <c r="T145" s="105"/>
    </row>
    <row r="146" customFormat="false" ht="11.25" hidden="false" customHeight="true" outlineLevel="0" collapsed="false">
      <c r="C146" s="106" t="s">
        <v>242</v>
      </c>
      <c r="D146" s="106" t="s">
        <v>242</v>
      </c>
      <c r="E146" s="107" t="n">
        <f aca="false">SUMIF($V$52:$V$145,"&lt;&gt;KTO",E52:E145)</f>
        <v>0</v>
      </c>
      <c r="F146" s="107" t="n">
        <f aca="false">SUMIF($V$52:$V$145,"&lt;&gt;KTO",F52:F145)</f>
        <v>0</v>
      </c>
      <c r="G146" s="107" t="n">
        <f aca="false">SUMIF($V$52:$V$145,"&lt;&gt;KTO",G52:G145)</f>
        <v>0</v>
      </c>
      <c r="H146" s="107" t="n">
        <f aca="false">SUMIF($V$52:$V$145,"&lt;&gt;KTO",H52:H145)</f>
        <v>0</v>
      </c>
      <c r="I146" s="108" t="n">
        <f aca="false">SUMIF($V$52:$V$145,"&lt;&gt;KTO",I52:I145)</f>
        <v>0</v>
      </c>
      <c r="J146" s="109" t="n">
        <f aca="false">SUMIF($V$52:$V$145,"&lt;&gt;KTO",J52:J145)</f>
        <v>0</v>
      </c>
      <c r="K146" s="110" t="n">
        <f aca="false">SUMIF($V$52:$V$145,"&lt;&gt;KTO",K52:K145)</f>
        <v>0</v>
      </c>
      <c r="L146" s="110" t="n">
        <f aca="false">SUMIF($V$52:$V$145,"&lt;&gt;KTO",L52:L145)</f>
        <v>0</v>
      </c>
      <c r="M146" s="110" t="n">
        <f aca="false">SUMIF($V$52:$V$145,"&lt;&gt;KTO",M52:M145)</f>
        <v>0</v>
      </c>
      <c r="N146" s="110" t="n">
        <f aca="false">SUMIF($V$52:$V$145,"&lt;&gt;KTO",N52:N145)</f>
        <v>0</v>
      </c>
      <c r="O146" s="92"/>
      <c r="P146" s="111" t="str">
        <f aca="false">IFERROR(((H146/F146)^(1/(($H$1-$F$1)/365)))-1,"n/a")</f>
        <v>n/a</v>
      </c>
      <c r="Q146" s="111" t="str">
        <f aca="false">IFERROR(((N146/H146)^(1/(($N$1-$H$1)/365)))-1,"n/a")</f>
        <v>n/a</v>
      </c>
    </row>
    <row r="147" customFormat="false" ht="11.25" hidden="false" customHeight="true" outlineLevel="0" collapsed="false">
      <c r="C147" s="91" t="s">
        <v>448</v>
      </c>
      <c r="D147" s="91" t="s">
        <v>449</v>
      </c>
      <c r="E147" s="92" t="n">
        <f aca="false">SUMIFS(Mastersheet!$F$2:$F$400,Mastersheet!$D$2:$D$400,$T147,Mastersheet!$C$2:$C$400,$U147)/1000</f>
        <v>0</v>
      </c>
      <c r="F147" s="92" t="n">
        <f aca="false">SUMIFS(Mastersheet!$G$2:$G$400,Mastersheet!$D$2:$D$400,$T147,Mastersheet!$C$2:$C$400,$U147)/1000</f>
        <v>0</v>
      </c>
      <c r="G147" s="92" t="n">
        <f aca="false">SUMIFS(Mastersheet!$H$2:$H$400,Mastersheet!$D$2:$D$400,$T147,Mastersheet!$C$2:$C$400,$U147)/1000</f>
        <v>0</v>
      </c>
      <c r="H147" s="92" t="n">
        <f aca="false">SUMIFS(Mastersheet!$I$2:$I$400,Mastersheet!$D$2:$D$400,$T147,Mastersheet!$C$2:$C$400,$U147)/1000</f>
        <v>0</v>
      </c>
      <c r="I147" s="93" t="n">
        <f aca="false">SUMIFS(Mastersheet!$J$2:$J$400,Mastersheet!$D$2:$D$400,$T147,Mastersheet!$C$2:$C$400,$U147)/1000</f>
        <v>0</v>
      </c>
      <c r="J147" s="94" t="n">
        <f aca="false">SUMIFS(Mastersheet!$K$2:$K$400,Mastersheet!$D$2:$D$400,$T147,Mastersheet!$C$2:$C$400,$U147)/1000</f>
        <v>0</v>
      </c>
      <c r="K147" s="95" t="n">
        <f aca="false">SUMIFS(Mastersheet!$L$2:$L$400,Mastersheet!$D$2:$D$400,$T147,Mastersheet!$C$2:$C$400,$U147)/1000</f>
        <v>0</v>
      </c>
      <c r="L147" s="95" t="n">
        <f aca="false">SUMIFS(Mastersheet!$M$2:$M$400,Mastersheet!$D$2:$D$400,$T147,Mastersheet!$C$2:$C$400,$U147)/1000</f>
        <v>0</v>
      </c>
      <c r="M147" s="95" t="n">
        <f aca="false">SUMIFS(Mastersheet!$N$2:$N$400,Mastersheet!$D$2:$D$400,$T147,Mastersheet!$C$2:$C$400,$U147)/1000</f>
        <v>0</v>
      </c>
      <c r="N147" s="95" t="n">
        <f aca="false">SUMIFS(Mastersheet!$O$2:$O$400,Mastersheet!$D$2:$D$400,$T147,Mastersheet!$C$2:$C$400,$U147)/1000</f>
        <v>0</v>
      </c>
      <c r="O147" s="92"/>
      <c r="P147" s="96" t="str">
        <f aca="false">IFERROR(((H147/F147)^(1/(($H$1-$F$1)/365)))-1,"n/a")</f>
        <v>n/a</v>
      </c>
      <c r="Q147" s="96" t="str">
        <f aca="false">IFERROR(((N147/H147)^(1/(($N$1-$H$1)/365)))-1,"n/a")</f>
        <v>n/a</v>
      </c>
      <c r="T147" s="97" t="s">
        <v>448</v>
      </c>
      <c r="U147" s="98" t="s">
        <v>413</v>
      </c>
      <c r="V147" s="98" t="s">
        <v>414</v>
      </c>
    </row>
    <row r="148" customFormat="false" ht="11.25" hidden="true" customHeight="true" outlineLevel="3" collapsed="false">
      <c r="C148" s="99"/>
      <c r="D148" s="99"/>
      <c r="E148" s="100" t="str">
        <f aca="false">IF($T$148="","",SUMIFS(Mastersheet!$F$2:$F$400,Mastersheet!$A$2:$A$400,$T$148)/1000)</f>
        <v/>
      </c>
      <c r="F148" s="100" t="str">
        <f aca="false">IF($T$148="","",SUMIFS(Mastersheet!$G$2:$G$400,Mastersheet!$A$2:$A$400,$T$148)/1000)</f>
        <v/>
      </c>
      <c r="G148" s="100" t="str">
        <f aca="false">IF($T$148="","",SUMIFS(Mastersheet!$H$2:$H$400,Mastersheet!$A$2:$A$400,$T$148)/1000)</f>
        <v/>
      </c>
      <c r="H148" s="100" t="str">
        <f aca="false">IF($T$148="","",SUMIFS(Mastersheet!$I$2:$I$400,Mastersheet!$A$2:$A$400,$T$148)/1000)</f>
        <v/>
      </c>
      <c r="I148" s="101" t="str">
        <f aca="false">IF($T$148="","",SUMIFS(Mastersheet!$J$2:$J$400,Mastersheet!$A$2:$A$400,$T$148)/1000)</f>
        <v/>
      </c>
      <c r="J148" s="102" t="str">
        <f aca="false">IF($T$148="","",SUMIFS(Mastersheet!$K$2:$K$400,Mastersheet!$A$2:$A$400,$T$148)/1000)</f>
        <v/>
      </c>
      <c r="K148" s="103" t="str">
        <f aca="false">IF($T$148="","",SUMIFS(Mastersheet!$L$2:$L$400,Mastersheet!$A$2:$A$400,$T$148)/1000)</f>
        <v/>
      </c>
      <c r="L148" s="103" t="str">
        <f aca="false">IF($T$148="","",SUMIFS(Mastersheet!$M$2:$M$400,Mastersheet!$A$2:$A$400,$T$148)/1000)</f>
        <v/>
      </c>
      <c r="M148" s="103" t="str">
        <f aca="false">IF($T$148="","",SUMIFS(Mastersheet!$N$2:$N$400,Mastersheet!$A$2:$A$400,$T$148)/1000)</f>
        <v/>
      </c>
      <c r="N148" s="103" t="str">
        <f aca="false">IF($T$148="","",SUMIFS(Mastersheet!$O$2:$O$400,Mastersheet!$A$2:$A$400,$T$148)/1000)</f>
        <v/>
      </c>
      <c r="O148" s="92"/>
      <c r="P148" s="96"/>
      <c r="Q148" s="96"/>
      <c r="T148" s="97"/>
      <c r="U148" s="104" t="s">
        <v>415</v>
      </c>
      <c r="V148" s="104" t="s">
        <v>416</v>
      </c>
    </row>
    <row r="149" customFormat="false" ht="11.25" hidden="true" customHeight="true" outlineLevel="3" collapsed="false">
      <c r="C149" s="99"/>
      <c r="D149" s="99"/>
      <c r="E149" s="100" t="str">
        <f aca="false">IF($T$149="","",SUMIFS(Mastersheet!$F$2:$F$400,Mastersheet!$A$2:$A$400,$T$149)/1000)</f>
        <v/>
      </c>
      <c r="F149" s="100" t="str">
        <f aca="false">IF($T$149="","",SUMIFS(Mastersheet!$G$2:$G$400,Mastersheet!$A$2:$A$400,$T$149)/1000)</f>
        <v/>
      </c>
      <c r="G149" s="100" t="str">
        <f aca="false">IF($T$149="","",SUMIFS(Mastersheet!$H$2:$H$400,Mastersheet!$A$2:$A$400,$T$149)/1000)</f>
        <v/>
      </c>
      <c r="H149" s="100" t="str">
        <f aca="false">IF($T$149="","",SUMIFS(Mastersheet!$I$2:$I$400,Mastersheet!$A$2:$A$400,$T$149)/1000)</f>
        <v/>
      </c>
      <c r="I149" s="101" t="str">
        <f aca="false">IF($T$149="","",SUMIFS(Mastersheet!$J$2:$J$400,Mastersheet!$A$2:$A$400,$T$149)/1000)</f>
        <v/>
      </c>
      <c r="J149" s="102" t="str">
        <f aca="false">IF($T$149="","",SUMIFS(Mastersheet!$K$2:$K$400,Mastersheet!$A$2:$A$400,$T$149)/1000)</f>
        <v/>
      </c>
      <c r="K149" s="103" t="str">
        <f aca="false">IF($T$149="","",SUMIFS(Mastersheet!$L$2:$L$400,Mastersheet!$A$2:$A$400,$T$149)/1000)</f>
        <v/>
      </c>
      <c r="L149" s="103" t="str">
        <f aca="false">IF($T$149="","",SUMIFS(Mastersheet!$M$2:$M$400,Mastersheet!$A$2:$A$400,$T$149)/1000)</f>
        <v/>
      </c>
      <c r="M149" s="103" t="str">
        <f aca="false">IF($T$149="","",SUMIFS(Mastersheet!$N$2:$N$400,Mastersheet!$A$2:$A$400,$T$149)/1000)</f>
        <v/>
      </c>
      <c r="N149" s="103" t="str">
        <f aca="false">IF($T$149="","",SUMIFS(Mastersheet!$O$2:$O$400,Mastersheet!$A$2:$A$400,$T$149)/1000)</f>
        <v/>
      </c>
      <c r="O149" s="92"/>
      <c r="P149" s="96"/>
      <c r="Q149" s="96"/>
      <c r="T149" s="97"/>
      <c r="U149" s="104" t="s">
        <v>415</v>
      </c>
      <c r="V149" s="104" t="s">
        <v>416</v>
      </c>
    </row>
    <row r="150" customFormat="false" ht="11.25" hidden="true" customHeight="true" outlineLevel="3" collapsed="false">
      <c r="C150" s="99"/>
      <c r="D150" s="99"/>
      <c r="E150" s="100" t="str">
        <f aca="false">IF($T$150="","",SUMIFS(Mastersheet!$F$2:$F$400,Mastersheet!$A$2:$A$400,$T$150)/1000)</f>
        <v/>
      </c>
      <c r="F150" s="100" t="str">
        <f aca="false">IF($T$150="","",SUMIFS(Mastersheet!$G$2:$G$400,Mastersheet!$A$2:$A$400,$T$150)/1000)</f>
        <v/>
      </c>
      <c r="G150" s="100" t="str">
        <f aca="false">IF($T$150="","",SUMIFS(Mastersheet!$H$2:$H$400,Mastersheet!$A$2:$A$400,$T$150)/1000)</f>
        <v/>
      </c>
      <c r="H150" s="100" t="str">
        <f aca="false">IF($T$150="","",SUMIFS(Mastersheet!$I$2:$I$400,Mastersheet!$A$2:$A$400,$T$150)/1000)</f>
        <v/>
      </c>
      <c r="I150" s="101" t="str">
        <f aca="false">IF($T$150="","",SUMIFS(Mastersheet!$J$2:$J$400,Mastersheet!$A$2:$A$400,$T$150)/1000)</f>
        <v/>
      </c>
      <c r="J150" s="102" t="str">
        <f aca="false">IF($T$150="","",SUMIFS(Mastersheet!$K$2:$K$400,Mastersheet!$A$2:$A$400,$T$150)/1000)</f>
        <v/>
      </c>
      <c r="K150" s="103" t="str">
        <f aca="false">IF($T$150="","",SUMIFS(Mastersheet!$L$2:$L$400,Mastersheet!$A$2:$A$400,$T$150)/1000)</f>
        <v/>
      </c>
      <c r="L150" s="103" t="str">
        <f aca="false">IF($T$150="","",SUMIFS(Mastersheet!$M$2:$M$400,Mastersheet!$A$2:$A$400,$T$150)/1000)</f>
        <v/>
      </c>
      <c r="M150" s="103" t="str">
        <f aca="false">IF($T$150="","",SUMIFS(Mastersheet!$N$2:$N$400,Mastersheet!$A$2:$A$400,$T$150)/1000)</f>
        <v/>
      </c>
      <c r="N150" s="103" t="str">
        <f aca="false">IF($T$150="","",SUMIFS(Mastersheet!$O$2:$O$400,Mastersheet!$A$2:$A$400,$T$150)/1000)</f>
        <v/>
      </c>
      <c r="O150" s="92"/>
      <c r="P150" s="96"/>
      <c r="Q150" s="96"/>
      <c r="T150" s="97"/>
      <c r="U150" s="104" t="s">
        <v>415</v>
      </c>
      <c r="V150" s="104" t="s">
        <v>416</v>
      </c>
    </row>
    <row r="151" customFormat="false" ht="11.25" hidden="true" customHeight="true" outlineLevel="3" collapsed="false">
      <c r="C151" s="99"/>
      <c r="D151" s="99"/>
      <c r="E151" s="100" t="str">
        <f aca="false">IF($T$151="","",SUMIFS(Mastersheet!$F$2:$F$400,Mastersheet!$A$2:$A$400,$T$151)/1000)</f>
        <v/>
      </c>
      <c r="F151" s="100" t="str">
        <f aca="false">IF($T$151="","",SUMIFS(Mastersheet!$G$2:$G$400,Mastersheet!$A$2:$A$400,$T$151)/1000)</f>
        <v/>
      </c>
      <c r="G151" s="100" t="str">
        <f aca="false">IF($T$151="","",SUMIFS(Mastersheet!$H$2:$H$400,Mastersheet!$A$2:$A$400,$T$151)/1000)</f>
        <v/>
      </c>
      <c r="H151" s="100" t="str">
        <f aca="false">IF($T$151="","",SUMIFS(Mastersheet!$I$2:$I$400,Mastersheet!$A$2:$A$400,$T$151)/1000)</f>
        <v/>
      </c>
      <c r="I151" s="101" t="str">
        <f aca="false">IF($T$151="","",SUMIFS(Mastersheet!$J$2:$J$400,Mastersheet!$A$2:$A$400,$T$151)/1000)</f>
        <v/>
      </c>
      <c r="J151" s="102" t="str">
        <f aca="false">IF($T$151="","",SUMIFS(Mastersheet!$K$2:$K$400,Mastersheet!$A$2:$A$400,$T$151)/1000)</f>
        <v/>
      </c>
      <c r="K151" s="103" t="str">
        <f aca="false">IF($T$151="","",SUMIFS(Mastersheet!$L$2:$L$400,Mastersheet!$A$2:$A$400,$T$151)/1000)</f>
        <v/>
      </c>
      <c r="L151" s="103" t="str">
        <f aca="false">IF($T$151="","",SUMIFS(Mastersheet!$M$2:$M$400,Mastersheet!$A$2:$A$400,$T$151)/1000)</f>
        <v/>
      </c>
      <c r="M151" s="103" t="str">
        <f aca="false">IF($T$151="","",SUMIFS(Mastersheet!$N$2:$N$400,Mastersheet!$A$2:$A$400,$T$151)/1000)</f>
        <v/>
      </c>
      <c r="N151" s="103" t="str">
        <f aca="false">IF($T$151="","",SUMIFS(Mastersheet!$O$2:$O$400,Mastersheet!$A$2:$A$400,$T$151)/1000)</f>
        <v/>
      </c>
      <c r="O151" s="92"/>
      <c r="P151" s="96"/>
      <c r="Q151" s="96"/>
      <c r="T151" s="97"/>
      <c r="U151" s="104" t="s">
        <v>415</v>
      </c>
      <c r="V151" s="104" t="s">
        <v>416</v>
      </c>
    </row>
    <row r="152" customFormat="false" ht="11.25" hidden="true" customHeight="true" outlineLevel="3" collapsed="false">
      <c r="C152" s="99"/>
      <c r="D152" s="99"/>
      <c r="E152" s="100" t="str">
        <f aca="false">IF($T$152="","",SUMIFS(Mastersheet!$F$2:$F$400,Mastersheet!$A$2:$A$400,$T$152)/1000)</f>
        <v/>
      </c>
      <c r="F152" s="100" t="str">
        <f aca="false">IF($T$152="","",SUMIFS(Mastersheet!$G$2:$G$400,Mastersheet!$A$2:$A$400,$T$152)/1000)</f>
        <v/>
      </c>
      <c r="G152" s="100" t="str">
        <f aca="false">IF($T$152="","",SUMIFS(Mastersheet!$H$2:$H$400,Mastersheet!$A$2:$A$400,$T$152)/1000)</f>
        <v/>
      </c>
      <c r="H152" s="100" t="str">
        <f aca="false">IF($T$152="","",SUMIFS(Mastersheet!$I$2:$I$400,Mastersheet!$A$2:$A$400,$T$152)/1000)</f>
        <v/>
      </c>
      <c r="I152" s="101" t="str">
        <f aca="false">IF($T$152="","",SUMIFS(Mastersheet!$J$2:$J$400,Mastersheet!$A$2:$A$400,$T$152)/1000)</f>
        <v/>
      </c>
      <c r="J152" s="102" t="str">
        <f aca="false">IF($T$152="","",SUMIFS(Mastersheet!$K$2:$K$400,Mastersheet!$A$2:$A$400,$T$152)/1000)</f>
        <v/>
      </c>
      <c r="K152" s="103" t="str">
        <f aca="false">IF($T$152="","",SUMIFS(Mastersheet!$L$2:$L$400,Mastersheet!$A$2:$A$400,$T$152)/1000)</f>
        <v/>
      </c>
      <c r="L152" s="103" t="str">
        <f aca="false">IF($T$152="","",SUMIFS(Mastersheet!$M$2:$M$400,Mastersheet!$A$2:$A$400,$T$152)/1000)</f>
        <v/>
      </c>
      <c r="M152" s="103" t="str">
        <f aca="false">IF($T$152="","",SUMIFS(Mastersheet!$N$2:$N$400,Mastersheet!$A$2:$A$400,$T$152)/1000)</f>
        <v/>
      </c>
      <c r="N152" s="103" t="str">
        <f aca="false">IF($T$152="","",SUMIFS(Mastersheet!$O$2:$O$400,Mastersheet!$A$2:$A$400,$T$152)/1000)</f>
        <v/>
      </c>
      <c r="O152" s="92"/>
      <c r="P152" s="96"/>
      <c r="Q152" s="96"/>
      <c r="T152" s="97"/>
      <c r="U152" s="104" t="s">
        <v>415</v>
      </c>
      <c r="V152" s="104" t="s">
        <v>416</v>
      </c>
    </row>
    <row r="153" customFormat="false" ht="11.25" hidden="true" customHeight="true" outlineLevel="3" collapsed="false">
      <c r="C153" s="99"/>
      <c r="D153" s="99"/>
      <c r="E153" s="100" t="str">
        <f aca="false">IF($T$153="","",SUMIFS(Mastersheet!$F$2:$F$400,Mastersheet!$A$2:$A$400,$T$153)/1000)</f>
        <v/>
      </c>
      <c r="F153" s="100" t="str">
        <f aca="false">IF($T$153="","",SUMIFS(Mastersheet!$G$2:$G$400,Mastersheet!$A$2:$A$400,$T$153)/1000)</f>
        <v/>
      </c>
      <c r="G153" s="100" t="str">
        <f aca="false">IF($T$153="","",SUMIFS(Mastersheet!$H$2:$H$400,Mastersheet!$A$2:$A$400,$T$153)/1000)</f>
        <v/>
      </c>
      <c r="H153" s="100" t="str">
        <f aca="false">IF($T$153="","",SUMIFS(Mastersheet!$I$2:$I$400,Mastersheet!$A$2:$A$400,$T$153)/1000)</f>
        <v/>
      </c>
      <c r="I153" s="101" t="str">
        <f aca="false">IF($T$153="","",SUMIFS(Mastersheet!$J$2:$J$400,Mastersheet!$A$2:$A$400,$T$153)/1000)</f>
        <v/>
      </c>
      <c r="J153" s="102" t="str">
        <f aca="false">IF($T$153="","",SUMIFS(Mastersheet!$K$2:$K$400,Mastersheet!$A$2:$A$400,$T$153)/1000)</f>
        <v/>
      </c>
      <c r="K153" s="103" t="str">
        <f aca="false">IF($T$153="","",SUMIFS(Mastersheet!$L$2:$L$400,Mastersheet!$A$2:$A$400,$T$153)/1000)</f>
        <v/>
      </c>
      <c r="L153" s="103" t="str">
        <f aca="false">IF($T$153="","",SUMIFS(Mastersheet!$M$2:$M$400,Mastersheet!$A$2:$A$400,$T$153)/1000)</f>
        <v/>
      </c>
      <c r="M153" s="103" t="str">
        <f aca="false">IF($T$153="","",SUMIFS(Mastersheet!$N$2:$N$400,Mastersheet!$A$2:$A$400,$T$153)/1000)</f>
        <v/>
      </c>
      <c r="N153" s="103" t="str">
        <f aca="false">IF($T$153="","",SUMIFS(Mastersheet!$O$2:$O$400,Mastersheet!$A$2:$A$400,$T$153)/1000)</f>
        <v/>
      </c>
      <c r="O153" s="92"/>
      <c r="P153" s="96"/>
      <c r="Q153" s="96"/>
      <c r="T153" s="97"/>
      <c r="U153" s="104" t="s">
        <v>415</v>
      </c>
      <c r="V153" s="104" t="s">
        <v>416</v>
      </c>
    </row>
    <row r="154" customFormat="false" ht="11.25" hidden="true" customHeight="true" outlineLevel="3" collapsed="false">
      <c r="C154" s="99"/>
      <c r="D154" s="99"/>
      <c r="E154" s="100" t="str">
        <f aca="false">IF($T$154="","",SUMIFS(Mastersheet!$F$2:$F$400,Mastersheet!$A$2:$A$400,$T$154)/1000)</f>
        <v/>
      </c>
      <c r="F154" s="100" t="str">
        <f aca="false">IF($T$154="","",SUMIFS(Mastersheet!$G$2:$G$400,Mastersheet!$A$2:$A$400,$T$154)/1000)</f>
        <v/>
      </c>
      <c r="G154" s="100" t="str">
        <f aca="false">IF($T$154="","",SUMIFS(Mastersheet!$H$2:$H$400,Mastersheet!$A$2:$A$400,$T$154)/1000)</f>
        <v/>
      </c>
      <c r="H154" s="100" t="str">
        <f aca="false">IF($T$154="","",SUMIFS(Mastersheet!$I$2:$I$400,Mastersheet!$A$2:$A$400,$T$154)/1000)</f>
        <v/>
      </c>
      <c r="I154" s="101" t="str">
        <f aca="false">IF($T$154="","",SUMIFS(Mastersheet!$J$2:$J$400,Mastersheet!$A$2:$A$400,$T$154)/1000)</f>
        <v/>
      </c>
      <c r="J154" s="102" t="str">
        <f aca="false">IF($T$154="","",SUMIFS(Mastersheet!$K$2:$K$400,Mastersheet!$A$2:$A$400,$T$154)/1000)</f>
        <v/>
      </c>
      <c r="K154" s="103" t="str">
        <f aca="false">IF($T$154="","",SUMIFS(Mastersheet!$L$2:$L$400,Mastersheet!$A$2:$A$400,$T$154)/1000)</f>
        <v/>
      </c>
      <c r="L154" s="103" t="str">
        <f aca="false">IF($T$154="","",SUMIFS(Mastersheet!$M$2:$M$400,Mastersheet!$A$2:$A$400,$T$154)/1000)</f>
        <v/>
      </c>
      <c r="M154" s="103" t="str">
        <f aca="false">IF($T$154="","",SUMIFS(Mastersheet!$N$2:$N$400,Mastersheet!$A$2:$A$400,$T$154)/1000)</f>
        <v/>
      </c>
      <c r="N154" s="103" t="str">
        <f aca="false">IF($T$154="","",SUMIFS(Mastersheet!$O$2:$O$400,Mastersheet!$A$2:$A$400,$T$154)/1000)</f>
        <v/>
      </c>
      <c r="O154" s="92"/>
      <c r="P154" s="96"/>
      <c r="Q154" s="96"/>
      <c r="T154" s="97"/>
      <c r="U154" s="104" t="s">
        <v>415</v>
      </c>
      <c r="V154" s="104" t="s">
        <v>416</v>
      </c>
    </row>
    <row r="155" customFormat="false" ht="11.25" hidden="true" customHeight="true" outlineLevel="3" collapsed="false">
      <c r="C155" s="99"/>
      <c r="D155" s="99"/>
      <c r="E155" s="100" t="str">
        <f aca="false">IF($T$155="","",SUMIFS(Mastersheet!$F$2:$F$400,Mastersheet!$A$2:$A$400,$T$155)/1000)</f>
        <v/>
      </c>
      <c r="F155" s="100" t="str">
        <f aca="false">IF($T$155="","",SUMIFS(Mastersheet!$G$2:$G$400,Mastersheet!$A$2:$A$400,$T$155)/1000)</f>
        <v/>
      </c>
      <c r="G155" s="100" t="str">
        <f aca="false">IF($T$155="","",SUMIFS(Mastersheet!$H$2:$H$400,Mastersheet!$A$2:$A$400,$T$155)/1000)</f>
        <v/>
      </c>
      <c r="H155" s="100" t="str">
        <f aca="false">IF($T$155="","",SUMIFS(Mastersheet!$I$2:$I$400,Mastersheet!$A$2:$A$400,$T$155)/1000)</f>
        <v/>
      </c>
      <c r="I155" s="101" t="str">
        <f aca="false">IF($T$155="","",SUMIFS(Mastersheet!$J$2:$J$400,Mastersheet!$A$2:$A$400,$T$155)/1000)</f>
        <v/>
      </c>
      <c r="J155" s="102" t="str">
        <f aca="false">IF($T$155="","",SUMIFS(Mastersheet!$K$2:$K$400,Mastersheet!$A$2:$A$400,$T$155)/1000)</f>
        <v/>
      </c>
      <c r="K155" s="103" t="str">
        <f aca="false">IF($T$155="","",SUMIFS(Mastersheet!$L$2:$L$400,Mastersheet!$A$2:$A$400,$T$155)/1000)</f>
        <v/>
      </c>
      <c r="L155" s="103" t="str">
        <f aca="false">IF($T$155="","",SUMIFS(Mastersheet!$M$2:$M$400,Mastersheet!$A$2:$A$400,$T$155)/1000)</f>
        <v/>
      </c>
      <c r="M155" s="103" t="str">
        <f aca="false">IF($T$155="","",SUMIFS(Mastersheet!$N$2:$N$400,Mastersheet!$A$2:$A$400,$T$155)/1000)</f>
        <v/>
      </c>
      <c r="N155" s="103" t="str">
        <f aca="false">IF($T$155="","",SUMIFS(Mastersheet!$O$2:$O$400,Mastersheet!$A$2:$A$400,$T$155)/1000)</f>
        <v/>
      </c>
      <c r="O155" s="92"/>
      <c r="P155" s="96"/>
      <c r="Q155" s="96"/>
      <c r="T155" s="97"/>
      <c r="U155" s="104" t="s">
        <v>415</v>
      </c>
      <c r="V155" s="104" t="s">
        <v>416</v>
      </c>
    </row>
    <row r="156" customFormat="false" ht="11.25" hidden="true" customHeight="true" outlineLevel="2" collapsed="false">
      <c r="C156" s="91" t="s">
        <v>234</v>
      </c>
      <c r="D156" s="91" t="s">
        <v>234</v>
      </c>
      <c r="E156" s="92"/>
      <c r="F156" s="92"/>
      <c r="G156" s="92"/>
      <c r="H156" s="92"/>
      <c r="I156" s="93"/>
      <c r="J156" s="94"/>
      <c r="K156" s="95"/>
      <c r="L156" s="95"/>
      <c r="M156" s="95"/>
      <c r="N156" s="95"/>
      <c r="O156" s="92"/>
      <c r="P156" s="96" t="str">
        <f aca="false">IFERROR(((H156/F156)^(1/(($H$1-$F$1)/365)))-1,"n/a")</f>
        <v>n/a</v>
      </c>
      <c r="Q156" s="96" t="str">
        <f aca="false">IFERROR(((N156/H156)^(1/(($N$1-$H$1)/365)))-1,"n/a")</f>
        <v>n/a</v>
      </c>
      <c r="T156" s="105"/>
    </row>
    <row r="157" customFormat="false" ht="11.25" hidden="true" customHeight="true" outlineLevel="2" collapsed="false">
      <c r="C157" s="91" t="s">
        <v>235</v>
      </c>
      <c r="D157" s="91" t="s">
        <v>235</v>
      </c>
      <c r="E157" s="92"/>
      <c r="F157" s="92"/>
      <c r="G157" s="92"/>
      <c r="H157" s="92"/>
      <c r="I157" s="93"/>
      <c r="J157" s="94"/>
      <c r="K157" s="95"/>
      <c r="L157" s="95"/>
      <c r="M157" s="95"/>
      <c r="N157" s="95"/>
      <c r="O157" s="92"/>
      <c r="P157" s="96" t="str">
        <f aca="false">IFERROR(((H157/F157)^(1/(($H$1-$F$1)/365)))-1,"n/a")</f>
        <v>n/a</v>
      </c>
      <c r="Q157" s="96" t="str">
        <f aca="false">IFERROR(((N157/H157)^(1/(($N$1-$H$1)/365)))-1,"n/a")</f>
        <v>n/a</v>
      </c>
      <c r="T157" s="105"/>
    </row>
    <row r="158" customFormat="false" ht="11.25" hidden="true" customHeight="true" outlineLevel="2" collapsed="false">
      <c r="C158" s="113" t="s">
        <v>236</v>
      </c>
      <c r="D158" s="113" t="s">
        <v>236</v>
      </c>
      <c r="E158" s="114"/>
      <c r="F158" s="114"/>
      <c r="G158" s="114"/>
      <c r="H158" s="114"/>
      <c r="I158" s="115"/>
      <c r="J158" s="116"/>
      <c r="K158" s="117"/>
      <c r="L158" s="117"/>
      <c r="M158" s="117"/>
      <c r="N158" s="117"/>
      <c r="O158" s="92"/>
      <c r="P158" s="118" t="str">
        <f aca="false">IFERROR(((H158/F158)^(1/(($H$1-$F$1)/365)))-1,"n/a")</f>
        <v>n/a</v>
      </c>
      <c r="Q158" s="118" t="str">
        <f aca="false">IFERROR(((N158/H158)^(1/(($N$1-$H$1)/365)))-1,"n/a")</f>
        <v>n/a</v>
      </c>
      <c r="T158" s="105"/>
    </row>
    <row r="159" customFormat="false" ht="11.25" hidden="false" customHeight="true" outlineLevel="0" collapsed="false">
      <c r="C159" s="106" t="s">
        <v>122</v>
      </c>
      <c r="D159" s="106" t="s">
        <v>122</v>
      </c>
      <c r="E159" s="107" t="n">
        <f aca="false">SUMIF($V$146:$V$158,"&lt;&gt;KTO",E146:E158)</f>
        <v>0</v>
      </c>
      <c r="F159" s="107" t="n">
        <f aca="false">SUMIF($V$146:$V$158,"&lt;&gt;KTO",F146:F158)</f>
        <v>0</v>
      </c>
      <c r="G159" s="107" t="n">
        <f aca="false">SUMIF($V$146:$V$158,"&lt;&gt;KTO",G146:G158)</f>
        <v>0</v>
      </c>
      <c r="H159" s="107" t="n">
        <f aca="false">SUMIF($V$146:$V$158,"&lt;&gt;KTO",H146:H158)</f>
        <v>0</v>
      </c>
      <c r="I159" s="108" t="n">
        <f aca="false">SUMIF($V$146:$V$158,"&lt;&gt;KTO",I146:I158)</f>
        <v>0</v>
      </c>
      <c r="J159" s="109" t="n">
        <f aca="false">SUMIF($V$146:$V$158,"&lt;&gt;KTO",J146:J158)</f>
        <v>0</v>
      </c>
      <c r="K159" s="110" t="n">
        <f aca="false">SUMIF($V$146:$V$158,"&lt;&gt;KTO",K146:K158)</f>
        <v>0</v>
      </c>
      <c r="L159" s="110" t="n">
        <f aca="false">SUMIF($V$146:$V$158,"&lt;&gt;KTO",L146:L158)</f>
        <v>0</v>
      </c>
      <c r="M159" s="110" t="n">
        <f aca="false">SUMIF($V$146:$V$158,"&lt;&gt;KTO",M146:M158)</f>
        <v>0</v>
      </c>
      <c r="N159" s="110" t="n">
        <f aca="false">SUMIF($V$146:$V$158,"&lt;&gt;KTO",N146:N158)</f>
        <v>0</v>
      </c>
      <c r="O159" s="92"/>
      <c r="P159" s="111" t="str">
        <f aca="false">IFERROR(((H159/F159)^(1/(($H$1-$F$1)/365)))-1,"n/a")</f>
        <v>n/a</v>
      </c>
      <c r="Q159" s="111" t="str">
        <f aca="false">IFERROR(((N159/H159)^(1/(($N$1-$H$1)/365)))-1,"n/a")</f>
        <v>n/a</v>
      </c>
    </row>
    <row r="160" customFormat="false" ht="11.25" hidden="true" customHeight="true" outlineLevel="1" collapsed="false">
      <c r="C160" s="119" t="s">
        <v>450</v>
      </c>
      <c r="D160" s="119" t="s">
        <v>451</v>
      </c>
      <c r="E160" s="92" t="n">
        <f aca="false">SUMIFS(Mastersheet!$F$2:$F$400,Mastersheet!$D$2:$D$400,$T160,Mastersheet!$C$2:$C$400,$U160)/1000</f>
        <v>0</v>
      </c>
      <c r="F160" s="92" t="n">
        <f aca="false">SUMIFS(Mastersheet!$G$2:$G$400,Mastersheet!$D$2:$D$400,$T160,Mastersheet!$C$2:$C$400,$U160)/1000</f>
        <v>0</v>
      </c>
      <c r="G160" s="92" t="n">
        <f aca="false">SUMIFS(Mastersheet!$H$2:$H$400,Mastersheet!$D$2:$D$400,$T160,Mastersheet!$C$2:$C$400,$U160)/1000</f>
        <v>0</v>
      </c>
      <c r="H160" s="92" t="n">
        <f aca="false">SUMIFS(Mastersheet!$I$2:$I$400,Mastersheet!$D$2:$D$400,$T160,Mastersheet!$C$2:$C$400,$U160)/1000</f>
        <v>0</v>
      </c>
      <c r="I160" s="93" t="n">
        <f aca="false">SUMIFS(Mastersheet!$J$2:$J$400,Mastersheet!$D$2:$D$400,$T160,Mastersheet!$C$2:$C$400,$U160)/1000</f>
        <v>0</v>
      </c>
      <c r="J160" s="94" t="n">
        <f aca="false">SUMIFS(Mastersheet!$K$2:$K$400,Mastersheet!$D$2:$D$400,$T160,Mastersheet!$C$2:$C$400,$U160)/1000</f>
        <v>0</v>
      </c>
      <c r="K160" s="95" t="n">
        <f aca="false">SUMIFS(Mastersheet!$L$2:$L$400,Mastersheet!$D$2:$D$400,$T160,Mastersheet!$C$2:$C$400,$U160)/1000</f>
        <v>0</v>
      </c>
      <c r="L160" s="95" t="n">
        <f aca="false">SUMIFS(Mastersheet!$M$2:$M$400,Mastersheet!$D$2:$D$400,$T160,Mastersheet!$C$2:$C$400,$U160)/1000</f>
        <v>0</v>
      </c>
      <c r="M160" s="95" t="n">
        <f aca="false">SUMIFS(Mastersheet!$N$2:$N$400,Mastersheet!$D$2:$D$400,$T160,Mastersheet!$C$2:$C$400,$U160)/1000</f>
        <v>0</v>
      </c>
      <c r="N160" s="95" t="n">
        <f aca="false">SUMIFS(Mastersheet!$O$2:$O$400,Mastersheet!$D$2:$D$400,$T160,Mastersheet!$C$2:$C$400,$U160)/1000</f>
        <v>0</v>
      </c>
      <c r="O160" s="92"/>
      <c r="P160" s="96" t="str">
        <f aca="false">IFERROR(((H160/F160)^(1/(($H$1-$F$1)/365)))-1,"n/a")</f>
        <v>n/a</v>
      </c>
      <c r="Q160" s="96" t="str">
        <f aca="false">IFERROR(((N160/H160)^(1/(($N$1-$H$1)/365)))-1,"n/a")</f>
        <v>n/a</v>
      </c>
      <c r="T160" s="97" t="s">
        <v>450</v>
      </c>
      <c r="U160" s="98" t="s">
        <v>413</v>
      </c>
      <c r="V160" s="98" t="s">
        <v>414</v>
      </c>
    </row>
    <row r="161" customFormat="false" ht="11.25" hidden="true" customHeight="true" outlineLevel="3" collapsed="false">
      <c r="C161" s="99"/>
      <c r="D161" s="99"/>
      <c r="E161" s="100" t="str">
        <f aca="false">IF($T$161="","",SUMIFS(Mastersheet!$F$2:$F$400,Mastersheet!$A$2:$A$400,$T$161)/1000)</f>
        <v/>
      </c>
      <c r="F161" s="100" t="str">
        <f aca="false">IF($T$161="","",SUMIFS(Mastersheet!$G$2:$G$400,Mastersheet!$A$2:$A$400,$T$161)/1000)</f>
        <v/>
      </c>
      <c r="G161" s="100" t="str">
        <f aca="false">IF($T$161="","",SUMIFS(Mastersheet!$H$2:$H$400,Mastersheet!$A$2:$A$400,$T$161)/1000)</f>
        <v/>
      </c>
      <c r="H161" s="100" t="str">
        <f aca="false">IF($T$161="","",SUMIFS(Mastersheet!$I$2:$I$400,Mastersheet!$A$2:$A$400,$T$161)/1000)</f>
        <v/>
      </c>
      <c r="I161" s="101" t="str">
        <f aca="false">IF($T$161="","",SUMIFS(Mastersheet!$J$2:$J$400,Mastersheet!$A$2:$A$400,$T$161)/1000)</f>
        <v/>
      </c>
      <c r="J161" s="102" t="str">
        <f aca="false">IF($T$161="","",SUMIFS(Mastersheet!$K$2:$K$400,Mastersheet!$A$2:$A$400,$T$161)/1000)</f>
        <v/>
      </c>
      <c r="K161" s="103" t="str">
        <f aca="false">IF($T$161="","",SUMIFS(Mastersheet!$L$2:$L$400,Mastersheet!$A$2:$A$400,$T$161)/1000)</f>
        <v/>
      </c>
      <c r="L161" s="103" t="str">
        <f aca="false">IF($T$161="","",SUMIFS(Mastersheet!$M$2:$M$400,Mastersheet!$A$2:$A$400,$T$161)/1000)</f>
        <v/>
      </c>
      <c r="M161" s="103" t="str">
        <f aca="false">IF($T$161="","",SUMIFS(Mastersheet!$N$2:$N$400,Mastersheet!$A$2:$A$400,$T$161)/1000)</f>
        <v/>
      </c>
      <c r="N161" s="103" t="str">
        <f aca="false">IF($T$161="","",SUMIFS(Mastersheet!$O$2:$O$400,Mastersheet!$A$2:$A$400,$T$161)/1000)</f>
        <v/>
      </c>
      <c r="O161" s="92"/>
      <c r="P161" s="96"/>
      <c r="Q161" s="96"/>
      <c r="T161" s="97"/>
      <c r="U161" s="104" t="s">
        <v>415</v>
      </c>
      <c r="V161" s="104" t="s">
        <v>416</v>
      </c>
    </row>
    <row r="162" customFormat="false" ht="11.25" hidden="true" customHeight="true" outlineLevel="3" collapsed="false">
      <c r="C162" s="99"/>
      <c r="D162" s="99"/>
      <c r="E162" s="100" t="str">
        <f aca="false">IF($T$162="","",SUMIFS(Mastersheet!$F$2:$F$400,Mastersheet!$A$2:$A$400,$T$162)/1000)</f>
        <v/>
      </c>
      <c r="F162" s="100" t="str">
        <f aca="false">IF($T$162="","",SUMIFS(Mastersheet!$G$2:$G$400,Mastersheet!$A$2:$A$400,$T$162)/1000)</f>
        <v/>
      </c>
      <c r="G162" s="100" t="str">
        <f aca="false">IF($T$162="","",SUMIFS(Mastersheet!$H$2:$H$400,Mastersheet!$A$2:$A$400,$T$162)/1000)</f>
        <v/>
      </c>
      <c r="H162" s="100" t="str">
        <f aca="false">IF($T$162="","",SUMIFS(Mastersheet!$I$2:$I$400,Mastersheet!$A$2:$A$400,$T$162)/1000)</f>
        <v/>
      </c>
      <c r="I162" s="101" t="str">
        <f aca="false">IF($T$162="","",SUMIFS(Mastersheet!$J$2:$J$400,Mastersheet!$A$2:$A$400,$T$162)/1000)</f>
        <v/>
      </c>
      <c r="J162" s="102" t="str">
        <f aca="false">IF($T$162="","",SUMIFS(Mastersheet!$K$2:$K$400,Mastersheet!$A$2:$A$400,$T$162)/1000)</f>
        <v/>
      </c>
      <c r="K162" s="103" t="str">
        <f aca="false">IF($T$162="","",SUMIFS(Mastersheet!$L$2:$L$400,Mastersheet!$A$2:$A$400,$T$162)/1000)</f>
        <v/>
      </c>
      <c r="L162" s="103" t="str">
        <f aca="false">IF($T$162="","",SUMIFS(Mastersheet!$M$2:$M$400,Mastersheet!$A$2:$A$400,$T$162)/1000)</f>
        <v/>
      </c>
      <c r="M162" s="103" t="str">
        <f aca="false">IF($T$162="","",SUMIFS(Mastersheet!$N$2:$N$400,Mastersheet!$A$2:$A$400,$T$162)/1000)</f>
        <v/>
      </c>
      <c r="N162" s="103" t="str">
        <f aca="false">IF($T$162="","",SUMIFS(Mastersheet!$O$2:$O$400,Mastersheet!$A$2:$A$400,$T$162)/1000)</f>
        <v/>
      </c>
      <c r="O162" s="92"/>
      <c r="P162" s="96"/>
      <c r="Q162" s="96"/>
      <c r="T162" s="97"/>
      <c r="U162" s="104" t="s">
        <v>415</v>
      </c>
      <c r="V162" s="104" t="s">
        <v>416</v>
      </c>
    </row>
    <row r="163" customFormat="false" ht="11.25" hidden="true" customHeight="true" outlineLevel="3" collapsed="false">
      <c r="C163" s="99"/>
      <c r="D163" s="99"/>
      <c r="E163" s="100" t="str">
        <f aca="false">IF($T$163="","",SUMIFS(Mastersheet!$F$2:$F$400,Mastersheet!$A$2:$A$400,$T$163)/1000)</f>
        <v/>
      </c>
      <c r="F163" s="100" t="str">
        <f aca="false">IF($T$163="","",SUMIFS(Mastersheet!$G$2:$G$400,Mastersheet!$A$2:$A$400,$T$163)/1000)</f>
        <v/>
      </c>
      <c r="G163" s="100" t="str">
        <f aca="false">IF($T$163="","",SUMIFS(Mastersheet!$H$2:$H$400,Mastersheet!$A$2:$A$400,$T$163)/1000)</f>
        <v/>
      </c>
      <c r="H163" s="100" t="str">
        <f aca="false">IF($T$163="","",SUMIFS(Mastersheet!$I$2:$I$400,Mastersheet!$A$2:$A$400,$T$163)/1000)</f>
        <v/>
      </c>
      <c r="I163" s="101" t="str">
        <f aca="false">IF($T$163="","",SUMIFS(Mastersheet!$J$2:$J$400,Mastersheet!$A$2:$A$400,$T$163)/1000)</f>
        <v/>
      </c>
      <c r="J163" s="102" t="str">
        <f aca="false">IF($T$163="","",SUMIFS(Mastersheet!$K$2:$K$400,Mastersheet!$A$2:$A$400,$T$163)/1000)</f>
        <v/>
      </c>
      <c r="K163" s="103" t="str">
        <f aca="false">IF($T$163="","",SUMIFS(Mastersheet!$L$2:$L$400,Mastersheet!$A$2:$A$400,$T$163)/1000)</f>
        <v/>
      </c>
      <c r="L163" s="103" t="str">
        <f aca="false">IF($T$163="","",SUMIFS(Mastersheet!$M$2:$M$400,Mastersheet!$A$2:$A$400,$T$163)/1000)</f>
        <v/>
      </c>
      <c r="M163" s="103" t="str">
        <f aca="false">IF($T$163="","",SUMIFS(Mastersheet!$N$2:$N$400,Mastersheet!$A$2:$A$400,$T$163)/1000)</f>
        <v/>
      </c>
      <c r="N163" s="103" t="str">
        <f aca="false">IF($T$163="","",SUMIFS(Mastersheet!$O$2:$O$400,Mastersheet!$A$2:$A$400,$T$163)/1000)</f>
        <v/>
      </c>
      <c r="O163" s="92"/>
      <c r="P163" s="96"/>
      <c r="Q163" s="96"/>
      <c r="T163" s="97"/>
      <c r="U163" s="104" t="s">
        <v>415</v>
      </c>
      <c r="V163" s="104" t="s">
        <v>416</v>
      </c>
    </row>
    <row r="164" customFormat="false" ht="11.25" hidden="true" customHeight="true" outlineLevel="3" collapsed="false">
      <c r="C164" s="99"/>
      <c r="D164" s="99"/>
      <c r="E164" s="100" t="str">
        <f aca="false">IF($T$164="","",SUMIFS(Mastersheet!$F$2:$F$400,Mastersheet!$A$2:$A$400,$T$164)/1000)</f>
        <v/>
      </c>
      <c r="F164" s="100" t="str">
        <f aca="false">IF($T$164="","",SUMIFS(Mastersheet!$G$2:$G$400,Mastersheet!$A$2:$A$400,$T$164)/1000)</f>
        <v/>
      </c>
      <c r="G164" s="100" t="str">
        <f aca="false">IF($T$164="","",SUMIFS(Mastersheet!$H$2:$H$400,Mastersheet!$A$2:$A$400,$T$164)/1000)</f>
        <v/>
      </c>
      <c r="H164" s="100" t="str">
        <f aca="false">IF($T$164="","",SUMIFS(Mastersheet!$I$2:$I$400,Mastersheet!$A$2:$A$400,$T$164)/1000)</f>
        <v/>
      </c>
      <c r="I164" s="101" t="str">
        <f aca="false">IF($T$164="","",SUMIFS(Mastersheet!$J$2:$J$400,Mastersheet!$A$2:$A$400,$T$164)/1000)</f>
        <v/>
      </c>
      <c r="J164" s="102" t="str">
        <f aca="false">IF($T$164="","",SUMIFS(Mastersheet!$K$2:$K$400,Mastersheet!$A$2:$A$400,$T$164)/1000)</f>
        <v/>
      </c>
      <c r="K164" s="103" t="str">
        <f aca="false">IF($T$164="","",SUMIFS(Mastersheet!$L$2:$L$400,Mastersheet!$A$2:$A$400,$T$164)/1000)</f>
        <v/>
      </c>
      <c r="L164" s="103" t="str">
        <f aca="false">IF($T$164="","",SUMIFS(Mastersheet!$M$2:$M$400,Mastersheet!$A$2:$A$400,$T$164)/1000)</f>
        <v/>
      </c>
      <c r="M164" s="103" t="str">
        <f aca="false">IF($T$164="","",SUMIFS(Mastersheet!$N$2:$N$400,Mastersheet!$A$2:$A$400,$T$164)/1000)</f>
        <v/>
      </c>
      <c r="N164" s="103" t="str">
        <f aca="false">IF($T$164="","",SUMIFS(Mastersheet!$O$2:$O$400,Mastersheet!$A$2:$A$400,$T$164)/1000)</f>
        <v/>
      </c>
      <c r="O164" s="92"/>
      <c r="P164" s="96"/>
      <c r="Q164" s="96"/>
      <c r="T164" s="97"/>
      <c r="U164" s="104" t="s">
        <v>415</v>
      </c>
      <c r="V164" s="104" t="s">
        <v>416</v>
      </c>
    </row>
    <row r="165" customFormat="false" ht="11.25" hidden="true" customHeight="true" outlineLevel="3" collapsed="false">
      <c r="C165" s="99"/>
      <c r="D165" s="99"/>
      <c r="E165" s="100" t="str">
        <f aca="false">IF($T$165="","",SUMIFS(Mastersheet!$F$2:$F$400,Mastersheet!$A$2:$A$400,$T$165)/1000)</f>
        <v/>
      </c>
      <c r="F165" s="100" t="str">
        <f aca="false">IF($T$165="","",SUMIFS(Mastersheet!$G$2:$G$400,Mastersheet!$A$2:$A$400,$T$165)/1000)</f>
        <v/>
      </c>
      <c r="G165" s="100" t="str">
        <f aca="false">IF($T$165="","",SUMIFS(Mastersheet!$H$2:$H$400,Mastersheet!$A$2:$A$400,$T$165)/1000)</f>
        <v/>
      </c>
      <c r="H165" s="100" t="str">
        <f aca="false">IF($T$165="","",SUMIFS(Mastersheet!$I$2:$I$400,Mastersheet!$A$2:$A$400,$T$165)/1000)</f>
        <v/>
      </c>
      <c r="I165" s="101" t="str">
        <f aca="false">IF($T$165="","",SUMIFS(Mastersheet!$J$2:$J$400,Mastersheet!$A$2:$A$400,$T$165)/1000)</f>
        <v/>
      </c>
      <c r="J165" s="102" t="str">
        <f aca="false">IF($T$165="","",SUMIFS(Mastersheet!$K$2:$K$400,Mastersheet!$A$2:$A$400,$T$165)/1000)</f>
        <v/>
      </c>
      <c r="K165" s="103" t="str">
        <f aca="false">IF($T$165="","",SUMIFS(Mastersheet!$L$2:$L$400,Mastersheet!$A$2:$A$400,$T$165)/1000)</f>
        <v/>
      </c>
      <c r="L165" s="103" t="str">
        <f aca="false">IF($T$165="","",SUMIFS(Mastersheet!$M$2:$M$400,Mastersheet!$A$2:$A$400,$T$165)/1000)</f>
        <v/>
      </c>
      <c r="M165" s="103" t="str">
        <f aca="false">IF($T$165="","",SUMIFS(Mastersheet!$N$2:$N$400,Mastersheet!$A$2:$A$400,$T$165)/1000)</f>
        <v/>
      </c>
      <c r="N165" s="103" t="str">
        <f aca="false">IF($T$165="","",SUMIFS(Mastersheet!$O$2:$O$400,Mastersheet!$A$2:$A$400,$T$165)/1000)</f>
        <v/>
      </c>
      <c r="O165" s="92"/>
      <c r="P165" s="96"/>
      <c r="Q165" s="96"/>
      <c r="T165" s="97"/>
      <c r="U165" s="104" t="s">
        <v>415</v>
      </c>
      <c r="V165" s="104" t="s">
        <v>416</v>
      </c>
    </row>
    <row r="166" customFormat="false" ht="11.25" hidden="true" customHeight="true" outlineLevel="3" collapsed="false">
      <c r="C166" s="99"/>
      <c r="D166" s="99"/>
      <c r="E166" s="100" t="str">
        <f aca="false">IF($T$166="","",SUMIFS(Mastersheet!$F$2:$F$400,Mastersheet!$A$2:$A$400,$T$166)/1000)</f>
        <v/>
      </c>
      <c r="F166" s="100" t="str">
        <f aca="false">IF($T$166="","",SUMIFS(Mastersheet!$G$2:$G$400,Mastersheet!$A$2:$A$400,$T$166)/1000)</f>
        <v/>
      </c>
      <c r="G166" s="100" t="str">
        <f aca="false">IF($T$166="","",SUMIFS(Mastersheet!$H$2:$H$400,Mastersheet!$A$2:$A$400,$T$166)/1000)</f>
        <v/>
      </c>
      <c r="H166" s="100" t="str">
        <f aca="false">IF($T$166="","",SUMIFS(Mastersheet!$I$2:$I$400,Mastersheet!$A$2:$A$400,$T$166)/1000)</f>
        <v/>
      </c>
      <c r="I166" s="101" t="str">
        <f aca="false">IF($T$166="","",SUMIFS(Mastersheet!$J$2:$J$400,Mastersheet!$A$2:$A$400,$T$166)/1000)</f>
        <v/>
      </c>
      <c r="J166" s="102" t="str">
        <f aca="false">IF($T$166="","",SUMIFS(Mastersheet!$K$2:$K$400,Mastersheet!$A$2:$A$400,$T$166)/1000)</f>
        <v/>
      </c>
      <c r="K166" s="103" t="str">
        <f aca="false">IF($T$166="","",SUMIFS(Mastersheet!$L$2:$L$400,Mastersheet!$A$2:$A$400,$T$166)/1000)</f>
        <v/>
      </c>
      <c r="L166" s="103" t="str">
        <f aca="false">IF($T$166="","",SUMIFS(Mastersheet!$M$2:$M$400,Mastersheet!$A$2:$A$400,$T$166)/1000)</f>
        <v/>
      </c>
      <c r="M166" s="103" t="str">
        <f aca="false">IF($T$166="","",SUMIFS(Mastersheet!$N$2:$N$400,Mastersheet!$A$2:$A$400,$T$166)/1000)</f>
        <v/>
      </c>
      <c r="N166" s="103" t="str">
        <f aca="false">IF($T$166="","",SUMIFS(Mastersheet!$O$2:$O$400,Mastersheet!$A$2:$A$400,$T$166)/1000)</f>
        <v/>
      </c>
      <c r="O166" s="92"/>
      <c r="P166" s="96"/>
      <c r="Q166" s="96"/>
      <c r="T166" s="97"/>
      <c r="U166" s="104" t="s">
        <v>415</v>
      </c>
      <c r="V166" s="104" t="s">
        <v>416</v>
      </c>
    </row>
    <row r="167" customFormat="false" ht="11.25" hidden="true" customHeight="true" outlineLevel="3" collapsed="false">
      <c r="C167" s="99"/>
      <c r="D167" s="99"/>
      <c r="E167" s="100" t="str">
        <f aca="false">IF($T$167="","",SUMIFS(Mastersheet!$F$2:$F$400,Mastersheet!$A$2:$A$400,$T$167)/1000)</f>
        <v/>
      </c>
      <c r="F167" s="100" t="str">
        <f aca="false">IF($T$167="","",SUMIFS(Mastersheet!$G$2:$G$400,Mastersheet!$A$2:$A$400,$T$167)/1000)</f>
        <v/>
      </c>
      <c r="G167" s="100" t="str">
        <f aca="false">IF($T$167="","",SUMIFS(Mastersheet!$H$2:$H$400,Mastersheet!$A$2:$A$400,$T$167)/1000)</f>
        <v/>
      </c>
      <c r="H167" s="100" t="str">
        <f aca="false">IF($T$167="","",SUMIFS(Mastersheet!$I$2:$I$400,Mastersheet!$A$2:$A$400,$T$167)/1000)</f>
        <v/>
      </c>
      <c r="I167" s="101" t="str">
        <f aca="false">IF($T$167="","",SUMIFS(Mastersheet!$J$2:$J$400,Mastersheet!$A$2:$A$400,$T$167)/1000)</f>
        <v/>
      </c>
      <c r="J167" s="102" t="str">
        <f aca="false">IF($T$167="","",SUMIFS(Mastersheet!$K$2:$K$400,Mastersheet!$A$2:$A$400,$T$167)/1000)</f>
        <v/>
      </c>
      <c r="K167" s="103" t="str">
        <f aca="false">IF($T$167="","",SUMIFS(Mastersheet!$L$2:$L$400,Mastersheet!$A$2:$A$400,$T$167)/1000)</f>
        <v/>
      </c>
      <c r="L167" s="103" t="str">
        <f aca="false">IF($T$167="","",SUMIFS(Mastersheet!$M$2:$M$400,Mastersheet!$A$2:$A$400,$T$167)/1000)</f>
        <v/>
      </c>
      <c r="M167" s="103" t="str">
        <f aca="false">IF($T$167="","",SUMIFS(Mastersheet!$N$2:$N$400,Mastersheet!$A$2:$A$400,$T$167)/1000)</f>
        <v/>
      </c>
      <c r="N167" s="103" t="str">
        <f aca="false">IF($T$167="","",SUMIFS(Mastersheet!$O$2:$O$400,Mastersheet!$A$2:$A$400,$T$167)/1000)</f>
        <v/>
      </c>
      <c r="O167" s="92"/>
      <c r="P167" s="96"/>
      <c r="Q167" s="96"/>
      <c r="T167" s="97"/>
      <c r="U167" s="104" t="s">
        <v>415</v>
      </c>
      <c r="V167" s="104" t="s">
        <v>416</v>
      </c>
    </row>
    <row r="168" customFormat="false" ht="11.25" hidden="true" customHeight="true" outlineLevel="3" collapsed="false">
      <c r="C168" s="99"/>
      <c r="D168" s="99"/>
      <c r="E168" s="100" t="str">
        <f aca="false">IF($T$168="","",SUMIFS(Mastersheet!$F$2:$F$400,Mastersheet!$A$2:$A$400,$T$168)/1000)</f>
        <v/>
      </c>
      <c r="F168" s="100" t="str">
        <f aca="false">IF($T$168="","",SUMIFS(Mastersheet!$G$2:$G$400,Mastersheet!$A$2:$A$400,$T$168)/1000)</f>
        <v/>
      </c>
      <c r="G168" s="100" t="str">
        <f aca="false">IF($T$168="","",SUMIFS(Mastersheet!$H$2:$H$400,Mastersheet!$A$2:$A$400,$T$168)/1000)</f>
        <v/>
      </c>
      <c r="H168" s="100" t="str">
        <f aca="false">IF($T$168="","",SUMIFS(Mastersheet!$I$2:$I$400,Mastersheet!$A$2:$A$400,$T$168)/1000)</f>
        <v/>
      </c>
      <c r="I168" s="101" t="str">
        <f aca="false">IF($T$168="","",SUMIFS(Mastersheet!$J$2:$J$400,Mastersheet!$A$2:$A$400,$T$168)/1000)</f>
        <v/>
      </c>
      <c r="J168" s="102" t="str">
        <f aca="false">IF($T$168="","",SUMIFS(Mastersheet!$K$2:$K$400,Mastersheet!$A$2:$A$400,$T$168)/1000)</f>
        <v/>
      </c>
      <c r="K168" s="103" t="str">
        <f aca="false">IF($T$168="","",SUMIFS(Mastersheet!$L$2:$L$400,Mastersheet!$A$2:$A$400,$T$168)/1000)</f>
        <v/>
      </c>
      <c r="L168" s="103" t="str">
        <f aca="false">IF($T$168="","",SUMIFS(Mastersheet!$M$2:$M$400,Mastersheet!$A$2:$A$400,$T$168)/1000)</f>
        <v/>
      </c>
      <c r="M168" s="103" t="str">
        <f aca="false">IF($T$168="","",SUMIFS(Mastersheet!$N$2:$N$400,Mastersheet!$A$2:$A$400,$T$168)/1000)</f>
        <v/>
      </c>
      <c r="N168" s="103" t="str">
        <f aca="false">IF($T$168="","",SUMIFS(Mastersheet!$O$2:$O$400,Mastersheet!$A$2:$A$400,$T$168)/1000)</f>
        <v/>
      </c>
      <c r="O168" s="92"/>
      <c r="P168" s="96"/>
      <c r="Q168" s="96"/>
      <c r="T168" s="97"/>
      <c r="U168" s="104" t="s">
        <v>415</v>
      </c>
      <c r="V168" s="104" t="s">
        <v>416</v>
      </c>
    </row>
    <row r="169" customFormat="false" ht="11.25" hidden="true" customHeight="true" outlineLevel="1" collapsed="false">
      <c r="C169" s="119" t="s">
        <v>452</v>
      </c>
      <c r="D169" s="119" t="s">
        <v>453</v>
      </c>
      <c r="E169" s="92" t="n">
        <f aca="false">SUMIFS(Mastersheet!$F$2:$F$400,Mastersheet!$D$2:$D$400,$T169,Mastersheet!$C$2:$C$400,$U169)/1000</f>
        <v>0</v>
      </c>
      <c r="F169" s="92" t="n">
        <f aca="false">SUMIFS(Mastersheet!$G$2:$G$400,Mastersheet!$D$2:$D$400,$T169,Mastersheet!$C$2:$C$400,$U169)/1000</f>
        <v>0</v>
      </c>
      <c r="G169" s="92" t="n">
        <f aca="false">SUMIFS(Mastersheet!$H$2:$H$400,Mastersheet!$D$2:$D$400,$T169,Mastersheet!$C$2:$C$400,$U169)/1000</f>
        <v>0</v>
      </c>
      <c r="H169" s="92" t="n">
        <f aca="false">SUMIFS(Mastersheet!$I$2:$I$400,Mastersheet!$D$2:$D$400,$T169,Mastersheet!$C$2:$C$400,$U169)/1000</f>
        <v>0</v>
      </c>
      <c r="I169" s="93" t="n">
        <f aca="false">SUMIFS(Mastersheet!$J$2:$J$400,Mastersheet!$D$2:$D$400,$T169,Mastersheet!$C$2:$C$400,$U169)/1000</f>
        <v>0</v>
      </c>
      <c r="J169" s="94" t="n">
        <f aca="false">SUMIFS(Mastersheet!$K$2:$K$400,Mastersheet!$D$2:$D$400,$T169,Mastersheet!$C$2:$C$400,$U169)/1000</f>
        <v>0</v>
      </c>
      <c r="K169" s="95" t="n">
        <f aca="false">SUMIFS(Mastersheet!$L$2:$L$400,Mastersheet!$D$2:$D$400,$T169,Mastersheet!$C$2:$C$400,$U169)/1000</f>
        <v>0</v>
      </c>
      <c r="L169" s="95" t="n">
        <f aca="false">SUMIFS(Mastersheet!$M$2:$M$400,Mastersheet!$D$2:$D$400,$T169,Mastersheet!$C$2:$C$400,$U169)/1000</f>
        <v>0</v>
      </c>
      <c r="M169" s="95" t="n">
        <f aca="false">SUMIFS(Mastersheet!$N$2:$N$400,Mastersheet!$D$2:$D$400,$T169,Mastersheet!$C$2:$C$400,$U169)/1000</f>
        <v>0</v>
      </c>
      <c r="N169" s="95" t="n">
        <f aca="false">SUMIFS(Mastersheet!$O$2:$O$400,Mastersheet!$D$2:$D$400,$T169,Mastersheet!$C$2:$C$400,$U169)/1000</f>
        <v>0</v>
      </c>
      <c r="O169" s="92"/>
      <c r="P169" s="96" t="str">
        <f aca="false">IFERROR(((H169/F169)^(1/(($H$1-$F$1)/365)))-1,"n/a")</f>
        <v>n/a</v>
      </c>
      <c r="Q169" s="96" t="str">
        <f aca="false">IFERROR(((N169/H169)^(1/(($N$1-$H$1)/365)))-1,"n/a")</f>
        <v>n/a</v>
      </c>
      <c r="T169" s="97" t="s">
        <v>454</v>
      </c>
      <c r="U169" s="98" t="s">
        <v>413</v>
      </c>
      <c r="V169" s="98" t="s">
        <v>414</v>
      </c>
    </row>
    <row r="170" customFormat="false" ht="11.25" hidden="true" customHeight="true" outlineLevel="3" collapsed="false">
      <c r="C170" s="99"/>
      <c r="D170" s="99"/>
      <c r="E170" s="100" t="str">
        <f aca="false">IF($T$170="","",SUMIFS(Mastersheet!$F$2:$F$400,Mastersheet!$A$2:$A$400,$T$170)/1000)</f>
        <v/>
      </c>
      <c r="F170" s="100" t="str">
        <f aca="false">IF($T$170="","",SUMIFS(Mastersheet!$G$2:$G$400,Mastersheet!$A$2:$A$400,$T$170)/1000)</f>
        <v/>
      </c>
      <c r="G170" s="100" t="str">
        <f aca="false">IF($T$170="","",SUMIFS(Mastersheet!$H$2:$H$400,Mastersheet!$A$2:$A$400,$T$170)/1000)</f>
        <v/>
      </c>
      <c r="H170" s="100" t="str">
        <f aca="false">IF($T$170="","",SUMIFS(Mastersheet!$I$2:$I$400,Mastersheet!$A$2:$A$400,$T$170)/1000)</f>
        <v/>
      </c>
      <c r="I170" s="101" t="str">
        <f aca="false">IF($T$170="","",SUMIFS(Mastersheet!$J$2:$J$400,Mastersheet!$A$2:$A$400,$T$170)/1000)</f>
        <v/>
      </c>
      <c r="J170" s="102" t="str">
        <f aca="false">IF($T$170="","",SUMIFS(Mastersheet!$K$2:$K$400,Mastersheet!$A$2:$A$400,$T$170)/1000)</f>
        <v/>
      </c>
      <c r="K170" s="103" t="str">
        <f aca="false">IF($T$170="","",SUMIFS(Mastersheet!$L$2:$L$400,Mastersheet!$A$2:$A$400,$T$170)/1000)</f>
        <v/>
      </c>
      <c r="L170" s="103" t="str">
        <f aca="false">IF($T$170="","",SUMIFS(Mastersheet!$M$2:$M$400,Mastersheet!$A$2:$A$400,$T$170)/1000)</f>
        <v/>
      </c>
      <c r="M170" s="103" t="str">
        <f aca="false">IF($T$170="","",SUMIFS(Mastersheet!$N$2:$N$400,Mastersheet!$A$2:$A$400,$T$170)/1000)</f>
        <v/>
      </c>
      <c r="N170" s="103" t="str">
        <f aca="false">IF($T$170="","",SUMIFS(Mastersheet!$O$2:$O$400,Mastersheet!$A$2:$A$400,$T$170)/1000)</f>
        <v/>
      </c>
      <c r="O170" s="92"/>
      <c r="P170" s="96"/>
      <c r="Q170" s="96"/>
      <c r="T170" s="97"/>
      <c r="U170" s="104" t="s">
        <v>415</v>
      </c>
      <c r="V170" s="104" t="s">
        <v>416</v>
      </c>
    </row>
    <row r="171" customFormat="false" ht="11.25" hidden="true" customHeight="true" outlineLevel="3" collapsed="false">
      <c r="C171" s="99"/>
      <c r="D171" s="99"/>
      <c r="E171" s="100" t="str">
        <f aca="false">IF($T$171="","",SUMIFS(Mastersheet!$F$2:$F$400,Mastersheet!$A$2:$A$400,$T$171)/1000)</f>
        <v/>
      </c>
      <c r="F171" s="100" t="str">
        <f aca="false">IF($T$171="","",SUMIFS(Mastersheet!$G$2:$G$400,Mastersheet!$A$2:$A$400,$T$171)/1000)</f>
        <v/>
      </c>
      <c r="G171" s="100" t="str">
        <f aca="false">IF($T$171="","",SUMIFS(Mastersheet!$H$2:$H$400,Mastersheet!$A$2:$A$400,$T$171)/1000)</f>
        <v/>
      </c>
      <c r="H171" s="100" t="str">
        <f aca="false">IF($T$171="","",SUMIFS(Mastersheet!$I$2:$I$400,Mastersheet!$A$2:$A$400,$T$171)/1000)</f>
        <v/>
      </c>
      <c r="I171" s="101" t="str">
        <f aca="false">IF($T$171="","",SUMIFS(Mastersheet!$J$2:$J$400,Mastersheet!$A$2:$A$400,$T$171)/1000)</f>
        <v/>
      </c>
      <c r="J171" s="102" t="str">
        <f aca="false">IF($T$171="","",SUMIFS(Mastersheet!$K$2:$K$400,Mastersheet!$A$2:$A$400,$T$171)/1000)</f>
        <v/>
      </c>
      <c r="K171" s="103" t="str">
        <f aca="false">IF($T$171="","",SUMIFS(Mastersheet!$L$2:$L$400,Mastersheet!$A$2:$A$400,$T$171)/1000)</f>
        <v/>
      </c>
      <c r="L171" s="103" t="str">
        <f aca="false">IF($T$171="","",SUMIFS(Mastersheet!$M$2:$M$400,Mastersheet!$A$2:$A$400,$T$171)/1000)</f>
        <v/>
      </c>
      <c r="M171" s="103" t="str">
        <f aca="false">IF($T$171="","",SUMIFS(Mastersheet!$N$2:$N$400,Mastersheet!$A$2:$A$400,$T$171)/1000)</f>
        <v/>
      </c>
      <c r="N171" s="103" t="str">
        <f aca="false">IF($T$171="","",SUMIFS(Mastersheet!$O$2:$O$400,Mastersheet!$A$2:$A$400,$T$171)/1000)</f>
        <v/>
      </c>
      <c r="O171" s="92"/>
      <c r="P171" s="96"/>
      <c r="Q171" s="96"/>
      <c r="T171" s="97"/>
      <c r="U171" s="104" t="s">
        <v>415</v>
      </c>
      <c r="V171" s="104" t="s">
        <v>416</v>
      </c>
    </row>
    <row r="172" customFormat="false" ht="11.25" hidden="true" customHeight="true" outlineLevel="3" collapsed="false">
      <c r="C172" s="99"/>
      <c r="D172" s="99"/>
      <c r="E172" s="100" t="str">
        <f aca="false">IF($T$172="","",SUMIFS(Mastersheet!$F$2:$F$400,Mastersheet!$A$2:$A$400,$T$172)/1000)</f>
        <v/>
      </c>
      <c r="F172" s="100" t="str">
        <f aca="false">IF($T$172="","",SUMIFS(Mastersheet!$G$2:$G$400,Mastersheet!$A$2:$A$400,$T$172)/1000)</f>
        <v/>
      </c>
      <c r="G172" s="100" t="str">
        <f aca="false">IF($T$172="","",SUMIFS(Mastersheet!$H$2:$H$400,Mastersheet!$A$2:$A$400,$T$172)/1000)</f>
        <v/>
      </c>
      <c r="H172" s="100" t="str">
        <f aca="false">IF($T$172="","",SUMIFS(Mastersheet!$I$2:$I$400,Mastersheet!$A$2:$A$400,$T$172)/1000)</f>
        <v/>
      </c>
      <c r="I172" s="101" t="str">
        <f aca="false">IF($T$172="","",SUMIFS(Mastersheet!$J$2:$J$400,Mastersheet!$A$2:$A$400,$T$172)/1000)</f>
        <v/>
      </c>
      <c r="J172" s="102" t="str">
        <f aca="false">IF($T$172="","",SUMIFS(Mastersheet!$K$2:$K$400,Mastersheet!$A$2:$A$400,$T$172)/1000)</f>
        <v/>
      </c>
      <c r="K172" s="103" t="str">
        <f aca="false">IF($T$172="","",SUMIFS(Mastersheet!$L$2:$L$400,Mastersheet!$A$2:$A$400,$T$172)/1000)</f>
        <v/>
      </c>
      <c r="L172" s="103" t="str">
        <f aca="false">IF($T$172="","",SUMIFS(Mastersheet!$M$2:$M$400,Mastersheet!$A$2:$A$400,$T$172)/1000)</f>
        <v/>
      </c>
      <c r="M172" s="103" t="str">
        <f aca="false">IF($T$172="","",SUMIFS(Mastersheet!$N$2:$N$400,Mastersheet!$A$2:$A$400,$T$172)/1000)</f>
        <v/>
      </c>
      <c r="N172" s="103" t="str">
        <f aca="false">IF($T$172="","",SUMIFS(Mastersheet!$O$2:$O$400,Mastersheet!$A$2:$A$400,$T$172)/1000)</f>
        <v/>
      </c>
      <c r="O172" s="92"/>
      <c r="P172" s="96"/>
      <c r="Q172" s="96"/>
      <c r="T172" s="97"/>
      <c r="U172" s="104" t="s">
        <v>415</v>
      </c>
      <c r="V172" s="104" t="s">
        <v>416</v>
      </c>
    </row>
    <row r="173" customFormat="false" ht="11.25" hidden="true" customHeight="true" outlineLevel="3" collapsed="false">
      <c r="C173" s="99"/>
      <c r="D173" s="99"/>
      <c r="E173" s="100" t="str">
        <f aca="false">IF($T$173="","",SUMIFS(Mastersheet!$F$2:$F$400,Mastersheet!$A$2:$A$400,$T$173)/1000)</f>
        <v/>
      </c>
      <c r="F173" s="100" t="str">
        <f aca="false">IF($T$173="","",SUMIFS(Mastersheet!$G$2:$G$400,Mastersheet!$A$2:$A$400,$T$173)/1000)</f>
        <v/>
      </c>
      <c r="G173" s="100" t="str">
        <f aca="false">IF($T$173="","",SUMIFS(Mastersheet!$H$2:$H$400,Mastersheet!$A$2:$A$400,$T$173)/1000)</f>
        <v/>
      </c>
      <c r="H173" s="100" t="str">
        <f aca="false">IF($T$173="","",SUMIFS(Mastersheet!$I$2:$I$400,Mastersheet!$A$2:$A$400,$T$173)/1000)</f>
        <v/>
      </c>
      <c r="I173" s="101" t="str">
        <f aca="false">IF($T$173="","",SUMIFS(Mastersheet!$J$2:$J$400,Mastersheet!$A$2:$A$400,$T$173)/1000)</f>
        <v/>
      </c>
      <c r="J173" s="102" t="str">
        <f aca="false">IF($T$173="","",SUMIFS(Mastersheet!$K$2:$K$400,Mastersheet!$A$2:$A$400,$T$173)/1000)</f>
        <v/>
      </c>
      <c r="K173" s="103" t="str">
        <f aca="false">IF($T$173="","",SUMIFS(Mastersheet!$L$2:$L$400,Mastersheet!$A$2:$A$400,$T$173)/1000)</f>
        <v/>
      </c>
      <c r="L173" s="103" t="str">
        <f aca="false">IF($T$173="","",SUMIFS(Mastersheet!$M$2:$M$400,Mastersheet!$A$2:$A$400,$T$173)/1000)</f>
        <v/>
      </c>
      <c r="M173" s="103" t="str">
        <f aca="false">IF($T$173="","",SUMIFS(Mastersheet!$N$2:$N$400,Mastersheet!$A$2:$A$400,$T$173)/1000)</f>
        <v/>
      </c>
      <c r="N173" s="103" t="str">
        <f aca="false">IF($T$173="","",SUMIFS(Mastersheet!$O$2:$O$400,Mastersheet!$A$2:$A$400,$T$173)/1000)</f>
        <v/>
      </c>
      <c r="O173" s="92"/>
      <c r="P173" s="96"/>
      <c r="Q173" s="96"/>
      <c r="T173" s="97"/>
      <c r="U173" s="104" t="s">
        <v>415</v>
      </c>
      <c r="V173" s="104" t="s">
        <v>416</v>
      </c>
    </row>
    <row r="174" customFormat="false" ht="11.25" hidden="true" customHeight="true" outlineLevel="3" collapsed="false">
      <c r="C174" s="99"/>
      <c r="D174" s="99"/>
      <c r="E174" s="100" t="str">
        <f aca="false">IF($T$174="","",SUMIFS(Mastersheet!$F$2:$F$400,Mastersheet!$A$2:$A$400,$T$174)/1000)</f>
        <v/>
      </c>
      <c r="F174" s="100" t="str">
        <f aca="false">IF($T$174="","",SUMIFS(Mastersheet!$G$2:$G$400,Mastersheet!$A$2:$A$400,$T$174)/1000)</f>
        <v/>
      </c>
      <c r="G174" s="100" t="str">
        <f aca="false">IF($T$174="","",SUMIFS(Mastersheet!$H$2:$H$400,Mastersheet!$A$2:$A$400,$T$174)/1000)</f>
        <v/>
      </c>
      <c r="H174" s="100" t="str">
        <f aca="false">IF($T$174="","",SUMIFS(Mastersheet!$I$2:$I$400,Mastersheet!$A$2:$A$400,$T$174)/1000)</f>
        <v/>
      </c>
      <c r="I174" s="101" t="str">
        <f aca="false">IF($T$174="","",SUMIFS(Mastersheet!$J$2:$J$400,Mastersheet!$A$2:$A$400,$T$174)/1000)</f>
        <v/>
      </c>
      <c r="J174" s="102" t="str">
        <f aca="false">IF($T$174="","",SUMIFS(Mastersheet!$K$2:$K$400,Mastersheet!$A$2:$A$400,$T$174)/1000)</f>
        <v/>
      </c>
      <c r="K174" s="103" t="str">
        <f aca="false">IF($T$174="","",SUMIFS(Mastersheet!$L$2:$L$400,Mastersheet!$A$2:$A$400,$T$174)/1000)</f>
        <v/>
      </c>
      <c r="L174" s="103" t="str">
        <f aca="false">IF($T$174="","",SUMIFS(Mastersheet!$M$2:$M$400,Mastersheet!$A$2:$A$400,$T$174)/1000)</f>
        <v/>
      </c>
      <c r="M174" s="103" t="str">
        <f aca="false">IF($T$174="","",SUMIFS(Mastersheet!$N$2:$N$400,Mastersheet!$A$2:$A$400,$T$174)/1000)</f>
        <v/>
      </c>
      <c r="N174" s="103" t="str">
        <f aca="false">IF($T$174="","",SUMIFS(Mastersheet!$O$2:$O$400,Mastersheet!$A$2:$A$400,$T$174)/1000)</f>
        <v/>
      </c>
      <c r="O174" s="92"/>
      <c r="P174" s="96"/>
      <c r="Q174" s="96"/>
      <c r="T174" s="97"/>
      <c r="U174" s="104" t="s">
        <v>415</v>
      </c>
      <c r="V174" s="104" t="s">
        <v>416</v>
      </c>
    </row>
    <row r="175" customFormat="false" ht="11.25" hidden="true" customHeight="true" outlineLevel="3" collapsed="false">
      <c r="C175" s="99"/>
      <c r="D175" s="99"/>
      <c r="E175" s="100" t="str">
        <f aca="false">IF($T$175="","",SUMIFS(Mastersheet!$F$2:$F$400,Mastersheet!$A$2:$A$400,$T$175)/1000)</f>
        <v/>
      </c>
      <c r="F175" s="100" t="str">
        <f aca="false">IF($T$175="","",SUMIFS(Mastersheet!$G$2:$G$400,Mastersheet!$A$2:$A$400,$T$175)/1000)</f>
        <v/>
      </c>
      <c r="G175" s="100" t="str">
        <f aca="false">IF($T$175="","",SUMIFS(Mastersheet!$H$2:$H$400,Mastersheet!$A$2:$A$400,$T$175)/1000)</f>
        <v/>
      </c>
      <c r="H175" s="100" t="str">
        <f aca="false">IF($T$175="","",SUMIFS(Mastersheet!$I$2:$I$400,Mastersheet!$A$2:$A$400,$T$175)/1000)</f>
        <v/>
      </c>
      <c r="I175" s="101" t="str">
        <f aca="false">IF($T$175="","",SUMIFS(Mastersheet!$J$2:$J$400,Mastersheet!$A$2:$A$400,$T$175)/1000)</f>
        <v/>
      </c>
      <c r="J175" s="102" t="str">
        <f aca="false">IF($T$175="","",SUMIFS(Mastersheet!$K$2:$K$400,Mastersheet!$A$2:$A$400,$T$175)/1000)</f>
        <v/>
      </c>
      <c r="K175" s="103" t="str">
        <f aca="false">IF($T$175="","",SUMIFS(Mastersheet!$L$2:$L$400,Mastersheet!$A$2:$A$400,$T$175)/1000)</f>
        <v/>
      </c>
      <c r="L175" s="103" t="str">
        <f aca="false">IF($T$175="","",SUMIFS(Mastersheet!$M$2:$M$400,Mastersheet!$A$2:$A$400,$T$175)/1000)</f>
        <v/>
      </c>
      <c r="M175" s="103" t="str">
        <f aca="false">IF($T$175="","",SUMIFS(Mastersheet!$N$2:$N$400,Mastersheet!$A$2:$A$400,$T$175)/1000)</f>
        <v/>
      </c>
      <c r="N175" s="103" t="str">
        <f aca="false">IF($T$175="","",SUMIFS(Mastersheet!$O$2:$O$400,Mastersheet!$A$2:$A$400,$T$175)/1000)</f>
        <v/>
      </c>
      <c r="O175" s="92"/>
      <c r="P175" s="96"/>
      <c r="Q175" s="96"/>
      <c r="T175" s="97"/>
      <c r="U175" s="104" t="s">
        <v>415</v>
      </c>
      <c r="V175" s="104" t="s">
        <v>416</v>
      </c>
    </row>
    <row r="176" customFormat="false" ht="11.25" hidden="true" customHeight="true" outlineLevel="3" collapsed="false">
      <c r="C176" s="99"/>
      <c r="D176" s="99"/>
      <c r="E176" s="100" t="str">
        <f aca="false">IF($T$176="","",SUMIFS(Mastersheet!$F$2:$F$400,Mastersheet!$A$2:$A$400,$T$176)/1000)</f>
        <v/>
      </c>
      <c r="F176" s="100" t="str">
        <f aca="false">IF($T$176="","",SUMIFS(Mastersheet!$G$2:$G$400,Mastersheet!$A$2:$A$400,$T$176)/1000)</f>
        <v/>
      </c>
      <c r="G176" s="100" t="str">
        <f aca="false">IF($T$176="","",SUMIFS(Mastersheet!$H$2:$H$400,Mastersheet!$A$2:$A$400,$T$176)/1000)</f>
        <v/>
      </c>
      <c r="H176" s="100" t="str">
        <f aca="false">IF($T$176="","",SUMIFS(Mastersheet!$I$2:$I$400,Mastersheet!$A$2:$A$400,$T$176)/1000)</f>
        <v/>
      </c>
      <c r="I176" s="101" t="str">
        <f aca="false">IF($T$176="","",SUMIFS(Mastersheet!$J$2:$J$400,Mastersheet!$A$2:$A$400,$T$176)/1000)</f>
        <v/>
      </c>
      <c r="J176" s="102" t="str">
        <f aca="false">IF($T$176="","",SUMIFS(Mastersheet!$K$2:$K$400,Mastersheet!$A$2:$A$400,$T$176)/1000)</f>
        <v/>
      </c>
      <c r="K176" s="103" t="str">
        <f aca="false">IF($T$176="","",SUMIFS(Mastersheet!$L$2:$L$400,Mastersheet!$A$2:$A$400,$T$176)/1000)</f>
        <v/>
      </c>
      <c r="L176" s="103" t="str">
        <f aca="false">IF($T$176="","",SUMIFS(Mastersheet!$M$2:$M$400,Mastersheet!$A$2:$A$400,$T$176)/1000)</f>
        <v/>
      </c>
      <c r="M176" s="103" t="str">
        <f aca="false">IF($T$176="","",SUMIFS(Mastersheet!$N$2:$N$400,Mastersheet!$A$2:$A$400,$T$176)/1000)</f>
        <v/>
      </c>
      <c r="N176" s="103" t="str">
        <f aca="false">IF($T$176="","",SUMIFS(Mastersheet!$O$2:$O$400,Mastersheet!$A$2:$A$400,$T$176)/1000)</f>
        <v/>
      </c>
      <c r="O176" s="92"/>
      <c r="P176" s="96"/>
      <c r="Q176" s="96"/>
      <c r="T176" s="97"/>
      <c r="U176" s="104" t="s">
        <v>415</v>
      </c>
      <c r="V176" s="104" t="s">
        <v>416</v>
      </c>
    </row>
    <row r="177" customFormat="false" ht="11.25" hidden="true" customHeight="true" outlineLevel="3" collapsed="false">
      <c r="C177" s="99"/>
      <c r="D177" s="99"/>
      <c r="E177" s="100" t="str">
        <f aca="false">IF($T$177="","",SUMIFS(Mastersheet!$F$2:$F$400,Mastersheet!$A$2:$A$400,$T$177)/1000)</f>
        <v/>
      </c>
      <c r="F177" s="100" t="str">
        <f aca="false">IF($T$177="","",SUMIFS(Mastersheet!$G$2:$G$400,Mastersheet!$A$2:$A$400,$T$177)/1000)</f>
        <v/>
      </c>
      <c r="G177" s="100" t="str">
        <f aca="false">IF($T$177="","",SUMIFS(Mastersheet!$H$2:$H$400,Mastersheet!$A$2:$A$400,$T$177)/1000)</f>
        <v/>
      </c>
      <c r="H177" s="100" t="str">
        <f aca="false">IF($T$177="","",SUMIFS(Mastersheet!$I$2:$I$400,Mastersheet!$A$2:$A$400,$T$177)/1000)</f>
        <v/>
      </c>
      <c r="I177" s="101" t="str">
        <f aca="false">IF($T$177="","",SUMIFS(Mastersheet!$J$2:$J$400,Mastersheet!$A$2:$A$400,$T$177)/1000)</f>
        <v/>
      </c>
      <c r="J177" s="102" t="str">
        <f aca="false">IF($T$177="","",SUMIFS(Mastersheet!$K$2:$K$400,Mastersheet!$A$2:$A$400,$T$177)/1000)</f>
        <v/>
      </c>
      <c r="K177" s="103" t="str">
        <f aca="false">IF($T$177="","",SUMIFS(Mastersheet!$L$2:$L$400,Mastersheet!$A$2:$A$400,$T$177)/1000)</f>
        <v/>
      </c>
      <c r="L177" s="103" t="str">
        <f aca="false">IF($T$177="","",SUMIFS(Mastersheet!$M$2:$M$400,Mastersheet!$A$2:$A$400,$T$177)/1000)</f>
        <v/>
      </c>
      <c r="M177" s="103" t="str">
        <f aca="false">IF($T$177="","",SUMIFS(Mastersheet!$N$2:$N$400,Mastersheet!$A$2:$A$400,$T$177)/1000)</f>
        <v/>
      </c>
      <c r="N177" s="103" t="str">
        <f aca="false">IF($T$177="","",SUMIFS(Mastersheet!$O$2:$O$400,Mastersheet!$A$2:$A$400,$T$177)/1000)</f>
        <v/>
      </c>
      <c r="O177" s="92"/>
      <c r="P177" s="96"/>
      <c r="Q177" s="96"/>
      <c r="T177" s="97"/>
      <c r="U177" s="104" t="s">
        <v>415</v>
      </c>
      <c r="V177" s="104" t="s">
        <v>416</v>
      </c>
    </row>
    <row r="178" customFormat="false" ht="11.25" hidden="true" customHeight="true" outlineLevel="1" collapsed="false">
      <c r="C178" s="119" t="s">
        <v>455</v>
      </c>
      <c r="D178" s="119" t="s">
        <v>456</v>
      </c>
      <c r="E178" s="92" t="n">
        <f aca="false">SUMIFS(Mastersheet!$F$2:$F$400,Mastersheet!$D$2:$D$400,$T178,Mastersheet!$C$2:$C$400,$U178)/1000</f>
        <v>0</v>
      </c>
      <c r="F178" s="92" t="n">
        <f aca="false">SUMIFS(Mastersheet!$G$2:$G$400,Mastersheet!$D$2:$D$400,$T178,Mastersheet!$C$2:$C$400,$U178)/1000</f>
        <v>0</v>
      </c>
      <c r="G178" s="92" t="n">
        <f aca="false">SUMIFS(Mastersheet!$H$2:$H$400,Mastersheet!$D$2:$D$400,$T178,Mastersheet!$C$2:$C$400,$U178)/1000</f>
        <v>0</v>
      </c>
      <c r="H178" s="92" t="n">
        <f aca="false">SUMIFS(Mastersheet!$I$2:$I$400,Mastersheet!$D$2:$D$400,$T178,Mastersheet!$C$2:$C$400,$U178)/1000</f>
        <v>0</v>
      </c>
      <c r="I178" s="93" t="n">
        <f aca="false">SUMIFS(Mastersheet!$J$2:$J$400,Mastersheet!$D$2:$D$400,$T178,Mastersheet!$C$2:$C$400,$U178)/1000</f>
        <v>0</v>
      </c>
      <c r="J178" s="94" t="n">
        <f aca="false">SUMIFS(Mastersheet!$K$2:$K$400,Mastersheet!$D$2:$D$400,$T178,Mastersheet!$C$2:$C$400,$U178)/1000</f>
        <v>0</v>
      </c>
      <c r="K178" s="95" t="n">
        <f aca="false">SUMIFS(Mastersheet!$L$2:$L$400,Mastersheet!$D$2:$D$400,$T178,Mastersheet!$C$2:$C$400,$U178)/1000</f>
        <v>0</v>
      </c>
      <c r="L178" s="95" t="n">
        <f aca="false">SUMIFS(Mastersheet!$M$2:$M$400,Mastersheet!$D$2:$D$400,$T178,Mastersheet!$C$2:$C$400,$U178)/1000</f>
        <v>0</v>
      </c>
      <c r="M178" s="95" t="n">
        <f aca="false">SUMIFS(Mastersheet!$N$2:$N$400,Mastersheet!$D$2:$D$400,$T178,Mastersheet!$C$2:$C$400,$U178)/1000</f>
        <v>0</v>
      </c>
      <c r="N178" s="95" t="n">
        <f aca="false">SUMIFS(Mastersheet!$O$2:$O$400,Mastersheet!$D$2:$D$400,$T178,Mastersheet!$C$2:$C$400,$U178)/1000</f>
        <v>0</v>
      </c>
      <c r="O178" s="92"/>
      <c r="P178" s="96" t="str">
        <f aca="false">IFERROR(((H178/F178)^(1/(($H$1-$F$1)/365)))-1,"n/a")</f>
        <v>n/a</v>
      </c>
      <c r="Q178" s="96" t="str">
        <f aca="false">IFERROR(((N178/H178)^(1/(($N$1-$H$1)/365)))-1,"n/a")</f>
        <v>n/a</v>
      </c>
      <c r="T178" s="97" t="s">
        <v>455</v>
      </c>
      <c r="U178" s="98" t="s">
        <v>413</v>
      </c>
      <c r="V178" s="98" t="s">
        <v>414</v>
      </c>
    </row>
    <row r="179" customFormat="false" ht="11.25" hidden="true" customHeight="true" outlineLevel="3" collapsed="false">
      <c r="C179" s="99"/>
      <c r="D179" s="99"/>
      <c r="E179" s="100" t="str">
        <f aca="false">IF($T$179="","",SUMIFS(Mastersheet!$F$2:$F$400,Mastersheet!$A$2:$A$400,$T$179)/1000)</f>
        <v/>
      </c>
      <c r="F179" s="100" t="str">
        <f aca="false">IF($T$179="","",SUMIFS(Mastersheet!$G$2:$G$400,Mastersheet!$A$2:$A$400,$T$179)/1000)</f>
        <v/>
      </c>
      <c r="G179" s="100" t="str">
        <f aca="false">IF($T$179="","",SUMIFS(Mastersheet!$H$2:$H$400,Mastersheet!$A$2:$A$400,$T$179)/1000)</f>
        <v/>
      </c>
      <c r="H179" s="100" t="str">
        <f aca="false">IF($T$179="","",SUMIFS(Mastersheet!$I$2:$I$400,Mastersheet!$A$2:$A$400,$T$179)/1000)</f>
        <v/>
      </c>
      <c r="I179" s="101" t="str">
        <f aca="false">IF($T$179="","",SUMIFS(Mastersheet!$J$2:$J$400,Mastersheet!$A$2:$A$400,$T$179)/1000)</f>
        <v/>
      </c>
      <c r="J179" s="102" t="str">
        <f aca="false">IF($T$179="","",SUMIFS(Mastersheet!$K$2:$K$400,Mastersheet!$A$2:$A$400,$T$179)/1000)</f>
        <v/>
      </c>
      <c r="K179" s="103" t="str">
        <f aca="false">IF($T$179="","",SUMIFS(Mastersheet!$L$2:$L$400,Mastersheet!$A$2:$A$400,$T$179)/1000)</f>
        <v/>
      </c>
      <c r="L179" s="103" t="str">
        <f aca="false">IF($T$179="","",SUMIFS(Mastersheet!$M$2:$M$400,Mastersheet!$A$2:$A$400,$T$179)/1000)</f>
        <v/>
      </c>
      <c r="M179" s="103" t="str">
        <f aca="false">IF($T$179="","",SUMIFS(Mastersheet!$N$2:$N$400,Mastersheet!$A$2:$A$400,$T$179)/1000)</f>
        <v/>
      </c>
      <c r="N179" s="103" t="str">
        <f aca="false">IF($T$179="","",SUMIFS(Mastersheet!$O$2:$O$400,Mastersheet!$A$2:$A$400,$T$179)/1000)</f>
        <v/>
      </c>
      <c r="O179" s="92"/>
      <c r="P179" s="96"/>
      <c r="Q179" s="96"/>
      <c r="T179" s="97"/>
      <c r="U179" s="104" t="s">
        <v>415</v>
      </c>
      <c r="V179" s="104" t="s">
        <v>416</v>
      </c>
    </row>
    <row r="180" customFormat="false" ht="11.25" hidden="true" customHeight="true" outlineLevel="3" collapsed="false">
      <c r="C180" s="99"/>
      <c r="D180" s="99"/>
      <c r="E180" s="100" t="str">
        <f aca="false">IF($T$180="","",SUMIFS(Mastersheet!$F$2:$F$400,Mastersheet!$A$2:$A$400,$T$180)/1000)</f>
        <v/>
      </c>
      <c r="F180" s="100" t="str">
        <f aca="false">IF($T$180="","",SUMIFS(Mastersheet!$G$2:$G$400,Mastersheet!$A$2:$A$400,$T$180)/1000)</f>
        <v/>
      </c>
      <c r="G180" s="100" t="str">
        <f aca="false">IF($T$180="","",SUMIFS(Mastersheet!$H$2:$H$400,Mastersheet!$A$2:$A$400,$T$180)/1000)</f>
        <v/>
      </c>
      <c r="H180" s="100" t="str">
        <f aca="false">IF($T$180="","",SUMIFS(Mastersheet!$I$2:$I$400,Mastersheet!$A$2:$A$400,$T$180)/1000)</f>
        <v/>
      </c>
      <c r="I180" s="101" t="str">
        <f aca="false">IF($T$180="","",SUMIFS(Mastersheet!$J$2:$J$400,Mastersheet!$A$2:$A$400,$T$180)/1000)</f>
        <v/>
      </c>
      <c r="J180" s="102" t="str">
        <f aca="false">IF($T$180="","",SUMIFS(Mastersheet!$K$2:$K$400,Mastersheet!$A$2:$A$400,$T$180)/1000)</f>
        <v/>
      </c>
      <c r="K180" s="103" t="str">
        <f aca="false">IF($T$180="","",SUMIFS(Mastersheet!$L$2:$L$400,Mastersheet!$A$2:$A$400,$T$180)/1000)</f>
        <v/>
      </c>
      <c r="L180" s="103" t="str">
        <f aca="false">IF($T$180="","",SUMIFS(Mastersheet!$M$2:$M$400,Mastersheet!$A$2:$A$400,$T$180)/1000)</f>
        <v/>
      </c>
      <c r="M180" s="103" t="str">
        <f aca="false">IF($T$180="","",SUMIFS(Mastersheet!$N$2:$N$400,Mastersheet!$A$2:$A$400,$T$180)/1000)</f>
        <v/>
      </c>
      <c r="N180" s="103" t="str">
        <f aca="false">IF($T$180="","",SUMIFS(Mastersheet!$O$2:$O$400,Mastersheet!$A$2:$A$400,$T$180)/1000)</f>
        <v/>
      </c>
      <c r="O180" s="92"/>
      <c r="P180" s="96"/>
      <c r="Q180" s="96"/>
      <c r="T180" s="97"/>
      <c r="U180" s="104" t="s">
        <v>415</v>
      </c>
      <c r="V180" s="104" t="s">
        <v>416</v>
      </c>
    </row>
    <row r="181" customFormat="false" ht="11.25" hidden="true" customHeight="true" outlineLevel="3" collapsed="false">
      <c r="C181" s="99"/>
      <c r="D181" s="99"/>
      <c r="E181" s="100" t="str">
        <f aca="false">IF($T$181="","",SUMIFS(Mastersheet!$F$2:$F$400,Mastersheet!$A$2:$A$400,$T$181)/1000)</f>
        <v/>
      </c>
      <c r="F181" s="100" t="str">
        <f aca="false">IF($T$181="","",SUMIFS(Mastersheet!$G$2:$G$400,Mastersheet!$A$2:$A$400,$T$181)/1000)</f>
        <v/>
      </c>
      <c r="G181" s="100" t="str">
        <f aca="false">IF($T$181="","",SUMIFS(Mastersheet!$H$2:$H$400,Mastersheet!$A$2:$A$400,$T$181)/1000)</f>
        <v/>
      </c>
      <c r="H181" s="100" t="str">
        <f aca="false">IF($T$181="","",SUMIFS(Mastersheet!$I$2:$I$400,Mastersheet!$A$2:$A$400,$T$181)/1000)</f>
        <v/>
      </c>
      <c r="I181" s="101" t="str">
        <f aca="false">IF($T$181="","",SUMIFS(Mastersheet!$J$2:$J$400,Mastersheet!$A$2:$A$400,$T$181)/1000)</f>
        <v/>
      </c>
      <c r="J181" s="102" t="str">
        <f aca="false">IF($T$181="","",SUMIFS(Mastersheet!$K$2:$K$400,Mastersheet!$A$2:$A$400,$T$181)/1000)</f>
        <v/>
      </c>
      <c r="K181" s="103" t="str">
        <f aca="false">IF($T$181="","",SUMIFS(Mastersheet!$L$2:$L$400,Mastersheet!$A$2:$A$400,$T$181)/1000)</f>
        <v/>
      </c>
      <c r="L181" s="103" t="str">
        <f aca="false">IF($T$181="","",SUMIFS(Mastersheet!$M$2:$M$400,Mastersheet!$A$2:$A$400,$T$181)/1000)</f>
        <v/>
      </c>
      <c r="M181" s="103" t="str">
        <f aca="false">IF($T$181="","",SUMIFS(Mastersheet!$N$2:$N$400,Mastersheet!$A$2:$A$400,$T$181)/1000)</f>
        <v/>
      </c>
      <c r="N181" s="103" t="str">
        <f aca="false">IF($T$181="","",SUMIFS(Mastersheet!$O$2:$O$400,Mastersheet!$A$2:$A$400,$T$181)/1000)</f>
        <v/>
      </c>
      <c r="O181" s="92"/>
      <c r="P181" s="96"/>
      <c r="Q181" s="96"/>
      <c r="T181" s="97"/>
      <c r="U181" s="104" t="s">
        <v>415</v>
      </c>
      <c r="V181" s="104" t="s">
        <v>416</v>
      </c>
    </row>
    <row r="182" customFormat="false" ht="11.25" hidden="true" customHeight="true" outlineLevel="3" collapsed="false">
      <c r="C182" s="99"/>
      <c r="D182" s="99"/>
      <c r="E182" s="100" t="str">
        <f aca="false">IF($T$182="","",SUMIFS(Mastersheet!$F$2:$F$400,Mastersheet!$A$2:$A$400,$T$182)/1000)</f>
        <v/>
      </c>
      <c r="F182" s="100" t="str">
        <f aca="false">IF($T$182="","",SUMIFS(Mastersheet!$G$2:$G$400,Mastersheet!$A$2:$A$400,$T$182)/1000)</f>
        <v/>
      </c>
      <c r="G182" s="100" t="str">
        <f aca="false">IF($T$182="","",SUMIFS(Mastersheet!$H$2:$H$400,Mastersheet!$A$2:$A$400,$T$182)/1000)</f>
        <v/>
      </c>
      <c r="H182" s="100" t="str">
        <f aca="false">IF($T$182="","",SUMIFS(Mastersheet!$I$2:$I$400,Mastersheet!$A$2:$A$400,$T$182)/1000)</f>
        <v/>
      </c>
      <c r="I182" s="101" t="str">
        <f aca="false">IF($T$182="","",SUMIFS(Mastersheet!$J$2:$J$400,Mastersheet!$A$2:$A$400,$T$182)/1000)</f>
        <v/>
      </c>
      <c r="J182" s="102" t="str">
        <f aca="false">IF($T$182="","",SUMIFS(Mastersheet!$K$2:$K$400,Mastersheet!$A$2:$A$400,$T$182)/1000)</f>
        <v/>
      </c>
      <c r="K182" s="103" t="str">
        <f aca="false">IF($T$182="","",SUMIFS(Mastersheet!$L$2:$L$400,Mastersheet!$A$2:$A$400,$T$182)/1000)</f>
        <v/>
      </c>
      <c r="L182" s="103" t="str">
        <f aca="false">IF($T$182="","",SUMIFS(Mastersheet!$M$2:$M$400,Mastersheet!$A$2:$A$400,$T$182)/1000)</f>
        <v/>
      </c>
      <c r="M182" s="103" t="str">
        <f aca="false">IF($T$182="","",SUMIFS(Mastersheet!$N$2:$N$400,Mastersheet!$A$2:$A$400,$T$182)/1000)</f>
        <v/>
      </c>
      <c r="N182" s="103" t="str">
        <f aca="false">IF($T$182="","",SUMIFS(Mastersheet!$O$2:$O$400,Mastersheet!$A$2:$A$400,$T$182)/1000)</f>
        <v/>
      </c>
      <c r="O182" s="92"/>
      <c r="P182" s="96"/>
      <c r="Q182" s="96"/>
      <c r="T182" s="97"/>
      <c r="U182" s="104" t="s">
        <v>415</v>
      </c>
      <c r="V182" s="104" t="s">
        <v>416</v>
      </c>
    </row>
    <row r="183" customFormat="false" ht="11.25" hidden="true" customHeight="true" outlineLevel="3" collapsed="false">
      <c r="C183" s="99"/>
      <c r="D183" s="99"/>
      <c r="E183" s="100" t="str">
        <f aca="false">IF($T$183="","",SUMIFS(Mastersheet!$F$2:$F$400,Mastersheet!$A$2:$A$400,$T$183)/1000)</f>
        <v/>
      </c>
      <c r="F183" s="100" t="str">
        <f aca="false">IF($T$183="","",SUMIFS(Mastersheet!$G$2:$G$400,Mastersheet!$A$2:$A$400,$T$183)/1000)</f>
        <v/>
      </c>
      <c r="G183" s="100" t="str">
        <f aca="false">IF($T$183="","",SUMIFS(Mastersheet!$H$2:$H$400,Mastersheet!$A$2:$A$400,$T$183)/1000)</f>
        <v/>
      </c>
      <c r="H183" s="100" t="str">
        <f aca="false">IF($T$183="","",SUMIFS(Mastersheet!$I$2:$I$400,Mastersheet!$A$2:$A$400,$T$183)/1000)</f>
        <v/>
      </c>
      <c r="I183" s="101" t="str">
        <f aca="false">IF($T$183="","",SUMIFS(Mastersheet!$J$2:$J$400,Mastersheet!$A$2:$A$400,$T$183)/1000)</f>
        <v/>
      </c>
      <c r="J183" s="102" t="str">
        <f aca="false">IF($T$183="","",SUMIFS(Mastersheet!$K$2:$K$400,Mastersheet!$A$2:$A$400,$T$183)/1000)</f>
        <v/>
      </c>
      <c r="K183" s="103" t="str">
        <f aca="false">IF($T$183="","",SUMIFS(Mastersheet!$L$2:$L$400,Mastersheet!$A$2:$A$400,$T$183)/1000)</f>
        <v/>
      </c>
      <c r="L183" s="103" t="str">
        <f aca="false">IF($T$183="","",SUMIFS(Mastersheet!$M$2:$M$400,Mastersheet!$A$2:$A$400,$T$183)/1000)</f>
        <v/>
      </c>
      <c r="M183" s="103" t="str">
        <f aca="false">IF($T$183="","",SUMIFS(Mastersheet!$N$2:$N$400,Mastersheet!$A$2:$A$400,$T$183)/1000)</f>
        <v/>
      </c>
      <c r="N183" s="103" t="str">
        <f aca="false">IF($T$183="","",SUMIFS(Mastersheet!$O$2:$O$400,Mastersheet!$A$2:$A$400,$T$183)/1000)</f>
        <v/>
      </c>
      <c r="O183" s="92"/>
      <c r="P183" s="96"/>
      <c r="Q183" s="96"/>
      <c r="T183" s="97"/>
      <c r="U183" s="104" t="s">
        <v>415</v>
      </c>
      <c r="V183" s="104" t="s">
        <v>416</v>
      </c>
    </row>
    <row r="184" customFormat="false" ht="11.25" hidden="true" customHeight="true" outlineLevel="3" collapsed="false">
      <c r="C184" s="99"/>
      <c r="D184" s="99"/>
      <c r="E184" s="100" t="str">
        <f aca="false">IF($T$184="","",SUMIFS(Mastersheet!$F$2:$F$400,Mastersheet!$A$2:$A$400,$T$184)/1000)</f>
        <v/>
      </c>
      <c r="F184" s="100" t="str">
        <f aca="false">IF($T$184="","",SUMIFS(Mastersheet!$G$2:$G$400,Mastersheet!$A$2:$A$400,$T$184)/1000)</f>
        <v/>
      </c>
      <c r="G184" s="100" t="str">
        <f aca="false">IF($T$184="","",SUMIFS(Mastersheet!$H$2:$H$400,Mastersheet!$A$2:$A$400,$T$184)/1000)</f>
        <v/>
      </c>
      <c r="H184" s="100" t="str">
        <f aca="false">IF($T$184="","",SUMIFS(Mastersheet!$I$2:$I$400,Mastersheet!$A$2:$A$400,$T$184)/1000)</f>
        <v/>
      </c>
      <c r="I184" s="101" t="str">
        <f aca="false">IF($T$184="","",SUMIFS(Mastersheet!$J$2:$J$400,Mastersheet!$A$2:$A$400,$T$184)/1000)</f>
        <v/>
      </c>
      <c r="J184" s="102" t="str">
        <f aca="false">IF($T$184="","",SUMIFS(Mastersheet!$K$2:$K$400,Mastersheet!$A$2:$A$400,$T$184)/1000)</f>
        <v/>
      </c>
      <c r="K184" s="103" t="str">
        <f aca="false">IF($T$184="","",SUMIFS(Mastersheet!$L$2:$L$400,Mastersheet!$A$2:$A$400,$T$184)/1000)</f>
        <v/>
      </c>
      <c r="L184" s="103" t="str">
        <f aca="false">IF($T$184="","",SUMIFS(Mastersheet!$M$2:$M$400,Mastersheet!$A$2:$A$400,$T$184)/1000)</f>
        <v/>
      </c>
      <c r="M184" s="103" t="str">
        <f aca="false">IF($T$184="","",SUMIFS(Mastersheet!$N$2:$N$400,Mastersheet!$A$2:$A$400,$T$184)/1000)</f>
        <v/>
      </c>
      <c r="N184" s="103" t="str">
        <f aca="false">IF($T$184="","",SUMIFS(Mastersheet!$O$2:$O$400,Mastersheet!$A$2:$A$400,$T$184)/1000)</f>
        <v/>
      </c>
      <c r="O184" s="92"/>
      <c r="P184" s="96"/>
      <c r="Q184" s="96"/>
      <c r="T184" s="97"/>
      <c r="U184" s="104" t="s">
        <v>415</v>
      </c>
      <c r="V184" s="104" t="s">
        <v>416</v>
      </c>
    </row>
    <row r="185" customFormat="false" ht="11.25" hidden="true" customHeight="true" outlineLevel="3" collapsed="false">
      <c r="C185" s="99"/>
      <c r="D185" s="99"/>
      <c r="E185" s="100" t="str">
        <f aca="false">IF($T$185="","",SUMIFS(Mastersheet!$F$2:$F$400,Mastersheet!$A$2:$A$400,$T$185)/1000)</f>
        <v/>
      </c>
      <c r="F185" s="100" t="str">
        <f aca="false">IF($T$185="","",SUMIFS(Mastersheet!$G$2:$G$400,Mastersheet!$A$2:$A$400,$T$185)/1000)</f>
        <v/>
      </c>
      <c r="G185" s="100" t="str">
        <f aca="false">IF($T$185="","",SUMIFS(Mastersheet!$H$2:$H$400,Mastersheet!$A$2:$A$400,$T$185)/1000)</f>
        <v/>
      </c>
      <c r="H185" s="100" t="str">
        <f aca="false">IF($T$185="","",SUMIFS(Mastersheet!$I$2:$I$400,Mastersheet!$A$2:$A$400,$T$185)/1000)</f>
        <v/>
      </c>
      <c r="I185" s="101" t="str">
        <f aca="false">IF($T$185="","",SUMIFS(Mastersheet!$J$2:$J$400,Mastersheet!$A$2:$A$400,$T$185)/1000)</f>
        <v/>
      </c>
      <c r="J185" s="102" t="str">
        <f aca="false">IF($T$185="","",SUMIFS(Mastersheet!$K$2:$K$400,Mastersheet!$A$2:$A$400,$T$185)/1000)</f>
        <v/>
      </c>
      <c r="K185" s="103" t="str">
        <f aca="false">IF($T$185="","",SUMIFS(Mastersheet!$L$2:$L$400,Mastersheet!$A$2:$A$400,$T$185)/1000)</f>
        <v/>
      </c>
      <c r="L185" s="103" t="str">
        <f aca="false">IF($T$185="","",SUMIFS(Mastersheet!$M$2:$M$400,Mastersheet!$A$2:$A$400,$T$185)/1000)</f>
        <v/>
      </c>
      <c r="M185" s="103" t="str">
        <f aca="false">IF($T$185="","",SUMIFS(Mastersheet!$N$2:$N$400,Mastersheet!$A$2:$A$400,$T$185)/1000)</f>
        <v/>
      </c>
      <c r="N185" s="103" t="str">
        <f aca="false">IF($T$185="","",SUMIFS(Mastersheet!$O$2:$O$400,Mastersheet!$A$2:$A$400,$T$185)/1000)</f>
        <v/>
      </c>
      <c r="O185" s="92"/>
      <c r="P185" s="96"/>
      <c r="Q185" s="96"/>
      <c r="T185" s="97"/>
      <c r="U185" s="104" t="s">
        <v>415</v>
      </c>
      <c r="V185" s="104" t="s">
        <v>416</v>
      </c>
    </row>
    <row r="186" customFormat="false" ht="11.25" hidden="true" customHeight="true" outlineLevel="3" collapsed="false">
      <c r="C186" s="99"/>
      <c r="D186" s="99"/>
      <c r="E186" s="100" t="str">
        <f aca="false">IF($T$186="","",SUMIFS(Mastersheet!$F$2:$F$400,Mastersheet!$A$2:$A$400,$T$186)/1000)</f>
        <v/>
      </c>
      <c r="F186" s="100" t="str">
        <f aca="false">IF($T$186="","",SUMIFS(Mastersheet!$G$2:$G$400,Mastersheet!$A$2:$A$400,$T$186)/1000)</f>
        <v/>
      </c>
      <c r="G186" s="100" t="str">
        <f aca="false">IF($T$186="","",SUMIFS(Mastersheet!$H$2:$H$400,Mastersheet!$A$2:$A$400,$T$186)/1000)</f>
        <v/>
      </c>
      <c r="H186" s="100" t="str">
        <f aca="false">IF($T$186="","",SUMIFS(Mastersheet!$I$2:$I$400,Mastersheet!$A$2:$A$400,$T$186)/1000)</f>
        <v/>
      </c>
      <c r="I186" s="101" t="str">
        <f aca="false">IF($T$186="","",SUMIFS(Mastersheet!$J$2:$J$400,Mastersheet!$A$2:$A$400,$T$186)/1000)</f>
        <v/>
      </c>
      <c r="J186" s="102" t="str">
        <f aca="false">IF($T$186="","",SUMIFS(Mastersheet!$K$2:$K$400,Mastersheet!$A$2:$A$400,$T$186)/1000)</f>
        <v/>
      </c>
      <c r="K186" s="103" t="str">
        <f aca="false">IF($T$186="","",SUMIFS(Mastersheet!$L$2:$L$400,Mastersheet!$A$2:$A$400,$T$186)/1000)</f>
        <v/>
      </c>
      <c r="L186" s="103" t="str">
        <f aca="false">IF($T$186="","",SUMIFS(Mastersheet!$M$2:$M$400,Mastersheet!$A$2:$A$400,$T$186)/1000)</f>
        <v/>
      </c>
      <c r="M186" s="103" t="str">
        <f aca="false">IF($T$186="","",SUMIFS(Mastersheet!$N$2:$N$400,Mastersheet!$A$2:$A$400,$T$186)/1000)</f>
        <v/>
      </c>
      <c r="N186" s="103" t="str">
        <f aca="false">IF($T$186="","",SUMIFS(Mastersheet!$O$2:$O$400,Mastersheet!$A$2:$A$400,$T$186)/1000)</f>
        <v/>
      </c>
      <c r="O186" s="92"/>
      <c r="P186" s="96"/>
      <c r="Q186" s="96"/>
      <c r="T186" s="97"/>
      <c r="U186" s="104" t="s">
        <v>415</v>
      </c>
      <c r="V186" s="104" t="s">
        <v>416</v>
      </c>
    </row>
    <row r="187" customFormat="false" ht="11.25" hidden="true" customHeight="true" outlineLevel="2" collapsed="false">
      <c r="C187" s="119" t="s">
        <v>234</v>
      </c>
      <c r="D187" s="119" t="s">
        <v>234</v>
      </c>
      <c r="E187" s="92"/>
      <c r="F187" s="92"/>
      <c r="G187" s="92"/>
      <c r="H187" s="92"/>
      <c r="I187" s="93"/>
      <c r="J187" s="94"/>
      <c r="K187" s="95"/>
      <c r="L187" s="95"/>
      <c r="M187" s="95"/>
      <c r="N187" s="95"/>
      <c r="O187" s="92"/>
      <c r="P187" s="96" t="str">
        <f aca="false">IFERROR(((H187/F187)^(1/(($H$1-$F$1)/365)))-1,"n/a")</f>
        <v>n/a</v>
      </c>
      <c r="Q187" s="96" t="str">
        <f aca="false">IFERROR(((N187/H187)^(1/(($N$1-$H$1)/365)))-1,"n/a")</f>
        <v>n/a</v>
      </c>
      <c r="T187" s="105"/>
    </row>
    <row r="188" customFormat="false" ht="11.25" hidden="true" customHeight="true" outlineLevel="2" collapsed="false">
      <c r="C188" s="119" t="s">
        <v>235</v>
      </c>
      <c r="D188" s="119" t="s">
        <v>235</v>
      </c>
      <c r="E188" s="92"/>
      <c r="F188" s="92"/>
      <c r="G188" s="92"/>
      <c r="H188" s="92"/>
      <c r="I188" s="93"/>
      <c r="J188" s="94"/>
      <c r="K188" s="95"/>
      <c r="L188" s="95"/>
      <c r="M188" s="95"/>
      <c r="N188" s="95"/>
      <c r="O188" s="92"/>
      <c r="P188" s="96" t="str">
        <f aca="false">IFERROR(((H188/F188)^(1/(($H$1-$F$1)/365)))-1,"n/a")</f>
        <v>n/a</v>
      </c>
      <c r="Q188" s="96" t="str">
        <f aca="false">IFERROR(((N188/H188)^(1/(($N$1-$H$1)/365)))-1,"n/a")</f>
        <v>n/a</v>
      </c>
      <c r="T188" s="105"/>
    </row>
    <row r="189" customFormat="false" ht="11.25" hidden="true" customHeight="true" outlineLevel="2" collapsed="false">
      <c r="C189" s="119" t="s">
        <v>236</v>
      </c>
      <c r="D189" s="119" t="s">
        <v>236</v>
      </c>
      <c r="E189" s="92"/>
      <c r="F189" s="92"/>
      <c r="G189" s="92"/>
      <c r="H189" s="92"/>
      <c r="I189" s="93"/>
      <c r="J189" s="94"/>
      <c r="K189" s="95"/>
      <c r="L189" s="95"/>
      <c r="M189" s="95"/>
      <c r="N189" s="95"/>
      <c r="O189" s="92"/>
      <c r="P189" s="96" t="str">
        <f aca="false">IFERROR(((H189/F189)^(1/(($H$1-$F$1)/365)))-1,"n/a")</f>
        <v>n/a</v>
      </c>
      <c r="Q189" s="96" t="str">
        <f aca="false">IFERROR(((N189/H189)^(1/(($N$1-$H$1)/365)))-1,"n/a")</f>
        <v>n/a</v>
      </c>
      <c r="T189" s="105"/>
    </row>
    <row r="190" customFormat="false" ht="11.25" hidden="false" customHeight="true" outlineLevel="0" collapsed="false">
      <c r="C190" s="113" t="s">
        <v>457</v>
      </c>
      <c r="D190" s="113" t="s">
        <v>458</v>
      </c>
      <c r="E190" s="114" t="n">
        <f aca="false">SUMIF($V$160:$V$189,"&lt;&gt;KTO",E160:E189)</f>
        <v>0</v>
      </c>
      <c r="F190" s="114" t="n">
        <f aca="false">SUMIF($V$160:$V$189,"&lt;&gt;KTO",F160:F189)</f>
        <v>0</v>
      </c>
      <c r="G190" s="114" t="n">
        <f aca="false">SUMIF($V$160:$V$189,"&lt;&gt;KTO",G160:G189)</f>
        <v>0</v>
      </c>
      <c r="H190" s="114" t="n">
        <f aca="false">SUMIF($V$160:$V$189,"&lt;&gt;KTO",H160:H189)</f>
        <v>0</v>
      </c>
      <c r="I190" s="115" t="n">
        <f aca="false">SUMIF($V$160:$V$189,"&lt;&gt;KTO",I160:I189)</f>
        <v>0</v>
      </c>
      <c r="J190" s="116" t="n">
        <f aca="false">SUMIF($V$160:$V$189,"&lt;&gt;KTO",J160:J189)</f>
        <v>0</v>
      </c>
      <c r="K190" s="117" t="n">
        <f aca="false">SUMIF($V$160:$V$189,"&lt;&gt;KTO",K160:K189)</f>
        <v>0</v>
      </c>
      <c r="L190" s="117" t="n">
        <f aca="false">SUMIF($V$160:$V$189,"&lt;&gt;KTO",L160:L189)</f>
        <v>0</v>
      </c>
      <c r="M190" s="117" t="n">
        <f aca="false">SUMIF($V$160:$V$189,"&lt;&gt;KTO",M160:M189)</f>
        <v>0</v>
      </c>
      <c r="N190" s="117" t="n">
        <f aca="false">SUMIF($V$160:$V$189,"&lt;&gt;KTO",N160:N189)</f>
        <v>0</v>
      </c>
      <c r="O190" s="92"/>
      <c r="P190" s="118" t="str">
        <f aca="false">IFERROR(((H190/F190)^(1/(($H$1-$F$1)/365)))-1,"n/a")</f>
        <v>n/a</v>
      </c>
      <c r="Q190" s="118" t="str">
        <f aca="false">IFERROR(((N190/H190)^(1/(($N$1-$H$1)/365)))-1,"n/a")</f>
        <v>n/a</v>
      </c>
    </row>
    <row r="191" customFormat="false" ht="11.25" hidden="false" customHeight="true" outlineLevel="0" collapsed="false">
      <c r="C191" s="106" t="s">
        <v>129</v>
      </c>
      <c r="D191" s="106" t="s">
        <v>129</v>
      </c>
      <c r="E191" s="107" t="n">
        <f aca="false">E190+E159</f>
        <v>0</v>
      </c>
      <c r="F191" s="107" t="n">
        <f aca="false">F190+F159</f>
        <v>0</v>
      </c>
      <c r="G191" s="107" t="n">
        <f aca="false">G190+G159</f>
        <v>0</v>
      </c>
      <c r="H191" s="107" t="n">
        <f aca="false">H190+H159</f>
        <v>0</v>
      </c>
      <c r="I191" s="108" t="n">
        <f aca="false">I190+I159</f>
        <v>0</v>
      </c>
      <c r="J191" s="109" t="n">
        <f aca="false">J190+J159</f>
        <v>0</v>
      </c>
      <c r="K191" s="110" t="n">
        <f aca="false">K190+K159</f>
        <v>0</v>
      </c>
      <c r="L191" s="110" t="n">
        <f aca="false">L190+L159</f>
        <v>0</v>
      </c>
      <c r="M191" s="110" t="n">
        <f aca="false">M190+M159</f>
        <v>0</v>
      </c>
      <c r="N191" s="110" t="n">
        <f aca="false">N190+N159</f>
        <v>0</v>
      </c>
      <c r="O191" s="92"/>
      <c r="P191" s="111" t="str">
        <f aca="false">IFERROR(((H191/F191)^(1/(($H$1-$F$1)/365)))-1,"n/a")</f>
        <v>n/a</v>
      </c>
      <c r="Q191" s="111" t="str">
        <f aca="false">IFERROR(((N191/H191)^(1/(($N$1-$H$1)/365)))-1,"n/a")</f>
        <v>n/a</v>
      </c>
    </row>
    <row r="192" customFormat="false" ht="11.25" hidden="false" customHeight="true" outlineLevel="0" collapsed="false">
      <c r="C192" s="91" t="s">
        <v>459</v>
      </c>
      <c r="D192" s="91" t="s">
        <v>460</v>
      </c>
      <c r="E192" s="92" t="n">
        <f aca="false">SUMIFS(Mastersheet!$F$2:$F$400,Mastersheet!$D$2:$D$400,$T192,Mastersheet!$C$2:$C$400,$U192)/1000</f>
        <v>0</v>
      </c>
      <c r="F192" s="92" t="n">
        <f aca="false">SUMIFS(Mastersheet!$G$2:$G$400,Mastersheet!$D$2:$D$400,$T192,Mastersheet!$C$2:$C$400,$U192)/1000</f>
        <v>0</v>
      </c>
      <c r="G192" s="92" t="n">
        <f aca="false">SUMIFS(Mastersheet!$H$2:$H$400,Mastersheet!$D$2:$D$400,$T192,Mastersheet!$C$2:$C$400,$U192)/1000</f>
        <v>0</v>
      </c>
      <c r="H192" s="92" t="n">
        <f aca="false">SUMIFS(Mastersheet!$I$2:$I$400,Mastersheet!$D$2:$D$400,$T192,Mastersheet!$C$2:$C$400,$U192)/1000</f>
        <v>0</v>
      </c>
      <c r="I192" s="93" t="n">
        <f aca="false">SUMIFS(Mastersheet!$J$2:$J$400,Mastersheet!$D$2:$D$400,$T192,Mastersheet!$C$2:$C$400,$U192)/1000</f>
        <v>0</v>
      </c>
      <c r="J192" s="94" t="n">
        <f aca="false">SUMIFS(Mastersheet!$K$2:$K$400,Mastersheet!$D$2:$D$400,$T192,Mastersheet!$C$2:$C$400,$U192)/1000</f>
        <v>0</v>
      </c>
      <c r="K192" s="95" t="n">
        <f aca="false">SUMIFS(Mastersheet!$L$2:$L$400,Mastersheet!$D$2:$D$400,$T192,Mastersheet!$C$2:$C$400,$U192)/1000</f>
        <v>0</v>
      </c>
      <c r="L192" s="95" t="n">
        <f aca="false">SUMIFS(Mastersheet!$M$2:$M$400,Mastersheet!$D$2:$D$400,$T192,Mastersheet!$C$2:$C$400,$U192)/1000</f>
        <v>0</v>
      </c>
      <c r="M192" s="95" t="n">
        <f aca="false">SUMIFS(Mastersheet!$N$2:$N$400,Mastersheet!$D$2:$D$400,$T192,Mastersheet!$C$2:$C$400,$U192)/1000</f>
        <v>0</v>
      </c>
      <c r="N192" s="95" t="n">
        <f aca="false">SUMIFS(Mastersheet!$O$2:$O$400,Mastersheet!$D$2:$D$400,$T192,Mastersheet!$C$2:$C$400,$U192)/1000</f>
        <v>0</v>
      </c>
      <c r="O192" s="92"/>
      <c r="P192" s="96" t="str">
        <f aca="false">IFERROR(((H192/F192)^(1/(($H$1-$F$1)/365)))-1,"n/a")</f>
        <v>n/a</v>
      </c>
      <c r="Q192" s="96" t="str">
        <f aca="false">IFERROR(((N192/H192)^(1/(($N$1-$H$1)/365)))-1,"n/a")</f>
        <v>n/a</v>
      </c>
      <c r="T192" s="97" t="s">
        <v>459</v>
      </c>
      <c r="U192" s="98" t="s">
        <v>413</v>
      </c>
      <c r="V192" s="98" t="s">
        <v>414</v>
      </c>
    </row>
    <row r="193" customFormat="false" ht="11.25" hidden="true" customHeight="true" outlineLevel="3" collapsed="false">
      <c r="C193" s="99"/>
      <c r="D193" s="99"/>
      <c r="E193" s="100" t="str">
        <f aca="false">IF($T$193="","",SUMIFS(Mastersheet!$F$2:$F$400,Mastersheet!$A$2:$A$400,$T$193)/1000)</f>
        <v/>
      </c>
      <c r="F193" s="100" t="str">
        <f aca="false">IF($T$193="","",SUMIFS(Mastersheet!$G$2:$G$400,Mastersheet!$A$2:$A$400,$T$193)/1000)</f>
        <v/>
      </c>
      <c r="G193" s="100" t="str">
        <f aca="false">IF($T$193="","",SUMIFS(Mastersheet!$H$2:$H$400,Mastersheet!$A$2:$A$400,$T$193)/1000)</f>
        <v/>
      </c>
      <c r="H193" s="100" t="str">
        <f aca="false">IF($T$193="","",SUMIFS(Mastersheet!$I$2:$I$400,Mastersheet!$A$2:$A$400,$T$193)/1000)</f>
        <v/>
      </c>
      <c r="I193" s="101" t="str">
        <f aca="false">IF($T$193="","",SUMIFS(Mastersheet!$J$2:$J$400,Mastersheet!$A$2:$A$400,$T$193)/1000)</f>
        <v/>
      </c>
      <c r="J193" s="102" t="str">
        <f aca="false">IF($T$193="","",SUMIFS(Mastersheet!$K$2:$K$400,Mastersheet!$A$2:$A$400,$T$193)/1000)</f>
        <v/>
      </c>
      <c r="K193" s="103" t="str">
        <f aca="false">IF($T$193="","",SUMIFS(Mastersheet!$L$2:$L$400,Mastersheet!$A$2:$A$400,$T$193)/1000)</f>
        <v/>
      </c>
      <c r="L193" s="103" t="str">
        <f aca="false">IF($T$193="","",SUMIFS(Mastersheet!$M$2:$M$400,Mastersheet!$A$2:$A$400,$T$193)/1000)</f>
        <v/>
      </c>
      <c r="M193" s="103" t="str">
        <f aca="false">IF($T$193="","",SUMIFS(Mastersheet!$N$2:$N$400,Mastersheet!$A$2:$A$400,$T$193)/1000)</f>
        <v/>
      </c>
      <c r="N193" s="103" t="str">
        <f aca="false">IF($T$193="","",SUMIFS(Mastersheet!$O$2:$O$400,Mastersheet!$A$2:$A$400,$T$193)/1000)</f>
        <v/>
      </c>
      <c r="O193" s="92"/>
      <c r="P193" s="96"/>
      <c r="Q193" s="96"/>
      <c r="T193" s="97"/>
      <c r="U193" s="104" t="s">
        <v>415</v>
      </c>
      <c r="V193" s="104" t="s">
        <v>416</v>
      </c>
    </row>
    <row r="194" customFormat="false" ht="11.25" hidden="true" customHeight="true" outlineLevel="3" collapsed="false">
      <c r="C194" s="99"/>
      <c r="D194" s="99"/>
      <c r="E194" s="100" t="str">
        <f aca="false">IF($T$194="","",SUMIFS(Mastersheet!$F$2:$F$400,Mastersheet!$A$2:$A$400,$T$194)/1000)</f>
        <v/>
      </c>
      <c r="F194" s="100" t="str">
        <f aca="false">IF($T$194="","",SUMIFS(Mastersheet!$G$2:$G$400,Mastersheet!$A$2:$A$400,$T$194)/1000)</f>
        <v/>
      </c>
      <c r="G194" s="100" t="str">
        <f aca="false">IF($T$194="","",SUMIFS(Mastersheet!$H$2:$H$400,Mastersheet!$A$2:$A$400,$T$194)/1000)</f>
        <v/>
      </c>
      <c r="H194" s="100" t="str">
        <f aca="false">IF($T$194="","",SUMIFS(Mastersheet!$I$2:$I$400,Mastersheet!$A$2:$A$400,$T$194)/1000)</f>
        <v/>
      </c>
      <c r="I194" s="101" t="str">
        <f aca="false">IF($T$194="","",SUMIFS(Mastersheet!$J$2:$J$400,Mastersheet!$A$2:$A$400,$T$194)/1000)</f>
        <v/>
      </c>
      <c r="J194" s="102" t="str">
        <f aca="false">IF($T$194="","",SUMIFS(Mastersheet!$K$2:$K$400,Mastersheet!$A$2:$A$400,$T$194)/1000)</f>
        <v/>
      </c>
      <c r="K194" s="103" t="str">
        <f aca="false">IF($T$194="","",SUMIFS(Mastersheet!$L$2:$L$400,Mastersheet!$A$2:$A$400,$T$194)/1000)</f>
        <v/>
      </c>
      <c r="L194" s="103" t="str">
        <f aca="false">IF($T$194="","",SUMIFS(Mastersheet!$M$2:$M$400,Mastersheet!$A$2:$A$400,$T$194)/1000)</f>
        <v/>
      </c>
      <c r="M194" s="103" t="str">
        <f aca="false">IF($T$194="","",SUMIFS(Mastersheet!$N$2:$N$400,Mastersheet!$A$2:$A$400,$T$194)/1000)</f>
        <v/>
      </c>
      <c r="N194" s="103" t="str">
        <f aca="false">IF($T$194="","",SUMIFS(Mastersheet!$O$2:$O$400,Mastersheet!$A$2:$A$400,$T$194)/1000)</f>
        <v/>
      </c>
      <c r="O194" s="92"/>
      <c r="P194" s="96"/>
      <c r="Q194" s="96"/>
      <c r="T194" s="97"/>
      <c r="U194" s="104" t="s">
        <v>415</v>
      </c>
      <c r="V194" s="104" t="s">
        <v>416</v>
      </c>
    </row>
    <row r="195" customFormat="false" ht="11.25" hidden="true" customHeight="true" outlineLevel="3" collapsed="false">
      <c r="C195" s="99"/>
      <c r="D195" s="99"/>
      <c r="E195" s="100" t="str">
        <f aca="false">IF($T$195="","",SUMIFS(Mastersheet!$F$2:$F$400,Mastersheet!$A$2:$A$400,$T$195)/1000)</f>
        <v/>
      </c>
      <c r="F195" s="100" t="str">
        <f aca="false">IF($T$195="","",SUMIFS(Mastersheet!$G$2:$G$400,Mastersheet!$A$2:$A$400,$T$195)/1000)</f>
        <v/>
      </c>
      <c r="G195" s="100" t="str">
        <f aca="false">IF($T$195="","",SUMIFS(Mastersheet!$H$2:$H$400,Mastersheet!$A$2:$A$400,$T$195)/1000)</f>
        <v/>
      </c>
      <c r="H195" s="100" t="str">
        <f aca="false">IF($T$195="","",SUMIFS(Mastersheet!$I$2:$I$400,Mastersheet!$A$2:$A$400,$T$195)/1000)</f>
        <v/>
      </c>
      <c r="I195" s="101" t="str">
        <f aca="false">IF($T$195="","",SUMIFS(Mastersheet!$J$2:$J$400,Mastersheet!$A$2:$A$400,$T$195)/1000)</f>
        <v/>
      </c>
      <c r="J195" s="102" t="str">
        <f aca="false">IF($T$195="","",SUMIFS(Mastersheet!$K$2:$K$400,Mastersheet!$A$2:$A$400,$T$195)/1000)</f>
        <v/>
      </c>
      <c r="K195" s="103" t="str">
        <f aca="false">IF($T$195="","",SUMIFS(Mastersheet!$L$2:$L$400,Mastersheet!$A$2:$A$400,$T$195)/1000)</f>
        <v/>
      </c>
      <c r="L195" s="103" t="str">
        <f aca="false">IF($T$195="","",SUMIFS(Mastersheet!$M$2:$M$400,Mastersheet!$A$2:$A$400,$T$195)/1000)</f>
        <v/>
      </c>
      <c r="M195" s="103" t="str">
        <f aca="false">IF($T$195="","",SUMIFS(Mastersheet!$N$2:$N$400,Mastersheet!$A$2:$A$400,$T$195)/1000)</f>
        <v/>
      </c>
      <c r="N195" s="103" t="str">
        <f aca="false">IF($T$195="","",SUMIFS(Mastersheet!$O$2:$O$400,Mastersheet!$A$2:$A$400,$T$195)/1000)</f>
        <v/>
      </c>
      <c r="O195" s="92"/>
      <c r="P195" s="96"/>
      <c r="Q195" s="96"/>
      <c r="T195" s="97"/>
      <c r="U195" s="104" t="s">
        <v>415</v>
      </c>
      <c r="V195" s="104" t="s">
        <v>416</v>
      </c>
    </row>
    <row r="196" customFormat="false" ht="11.25" hidden="true" customHeight="true" outlineLevel="3" collapsed="false">
      <c r="C196" s="99"/>
      <c r="D196" s="99"/>
      <c r="E196" s="100" t="str">
        <f aca="false">IF($T$196="","",SUMIFS(Mastersheet!$F$2:$F$400,Mastersheet!$A$2:$A$400,$T$196)/1000)</f>
        <v/>
      </c>
      <c r="F196" s="100" t="str">
        <f aca="false">IF($T$196="","",SUMIFS(Mastersheet!$G$2:$G$400,Mastersheet!$A$2:$A$400,$T$196)/1000)</f>
        <v/>
      </c>
      <c r="G196" s="100" t="str">
        <f aca="false">IF($T$196="","",SUMIFS(Mastersheet!$H$2:$H$400,Mastersheet!$A$2:$A$400,$T$196)/1000)</f>
        <v/>
      </c>
      <c r="H196" s="100" t="str">
        <f aca="false">IF($T$196="","",SUMIFS(Mastersheet!$I$2:$I$400,Mastersheet!$A$2:$A$400,$T$196)/1000)</f>
        <v/>
      </c>
      <c r="I196" s="101" t="str">
        <f aca="false">IF($T$196="","",SUMIFS(Mastersheet!$J$2:$J$400,Mastersheet!$A$2:$A$400,$T$196)/1000)</f>
        <v/>
      </c>
      <c r="J196" s="102" t="str">
        <f aca="false">IF($T$196="","",SUMIFS(Mastersheet!$K$2:$K$400,Mastersheet!$A$2:$A$400,$T$196)/1000)</f>
        <v/>
      </c>
      <c r="K196" s="103" t="str">
        <f aca="false">IF($T$196="","",SUMIFS(Mastersheet!$L$2:$L$400,Mastersheet!$A$2:$A$400,$T$196)/1000)</f>
        <v/>
      </c>
      <c r="L196" s="103" t="str">
        <f aca="false">IF($T$196="","",SUMIFS(Mastersheet!$M$2:$M$400,Mastersheet!$A$2:$A$400,$T$196)/1000)</f>
        <v/>
      </c>
      <c r="M196" s="103" t="str">
        <f aca="false">IF($T$196="","",SUMIFS(Mastersheet!$N$2:$N$400,Mastersheet!$A$2:$A$400,$T$196)/1000)</f>
        <v/>
      </c>
      <c r="N196" s="103" t="str">
        <f aca="false">IF($T$196="","",SUMIFS(Mastersheet!$O$2:$O$400,Mastersheet!$A$2:$A$400,$T$196)/1000)</f>
        <v/>
      </c>
      <c r="O196" s="92"/>
      <c r="P196" s="96"/>
      <c r="Q196" s="96"/>
      <c r="T196" s="97"/>
      <c r="U196" s="104" t="s">
        <v>415</v>
      </c>
      <c r="V196" s="104" t="s">
        <v>416</v>
      </c>
    </row>
    <row r="197" customFormat="false" ht="11.25" hidden="true" customHeight="true" outlineLevel="3" collapsed="false">
      <c r="C197" s="99"/>
      <c r="D197" s="99"/>
      <c r="E197" s="100" t="str">
        <f aca="false">IF($T$197="","",SUMIFS(Mastersheet!$F$2:$F$400,Mastersheet!$A$2:$A$400,$T$197)/1000)</f>
        <v/>
      </c>
      <c r="F197" s="100" t="str">
        <f aca="false">IF($T$197="","",SUMIFS(Mastersheet!$G$2:$G$400,Mastersheet!$A$2:$A$400,$T$197)/1000)</f>
        <v/>
      </c>
      <c r="G197" s="100" t="str">
        <f aca="false">IF($T$197="","",SUMIFS(Mastersheet!$H$2:$H$400,Mastersheet!$A$2:$A$400,$T$197)/1000)</f>
        <v/>
      </c>
      <c r="H197" s="100" t="str">
        <f aca="false">IF($T$197="","",SUMIFS(Mastersheet!$I$2:$I$400,Mastersheet!$A$2:$A$400,$T$197)/1000)</f>
        <v/>
      </c>
      <c r="I197" s="101" t="str">
        <f aca="false">IF($T$197="","",SUMIFS(Mastersheet!$J$2:$J$400,Mastersheet!$A$2:$A$400,$T$197)/1000)</f>
        <v/>
      </c>
      <c r="J197" s="102" t="str">
        <f aca="false">IF($T$197="","",SUMIFS(Mastersheet!$K$2:$K$400,Mastersheet!$A$2:$A$400,$T$197)/1000)</f>
        <v/>
      </c>
      <c r="K197" s="103" t="str">
        <f aca="false">IF($T$197="","",SUMIFS(Mastersheet!$L$2:$L$400,Mastersheet!$A$2:$A$400,$T$197)/1000)</f>
        <v/>
      </c>
      <c r="L197" s="103" t="str">
        <f aca="false">IF($T$197="","",SUMIFS(Mastersheet!$M$2:$M$400,Mastersheet!$A$2:$A$400,$T$197)/1000)</f>
        <v/>
      </c>
      <c r="M197" s="103" t="str">
        <f aca="false">IF($T$197="","",SUMIFS(Mastersheet!$N$2:$N$400,Mastersheet!$A$2:$A$400,$T$197)/1000)</f>
        <v/>
      </c>
      <c r="N197" s="103" t="str">
        <f aca="false">IF($T$197="","",SUMIFS(Mastersheet!$O$2:$O$400,Mastersheet!$A$2:$A$400,$T$197)/1000)</f>
        <v/>
      </c>
      <c r="O197" s="92"/>
      <c r="P197" s="96"/>
      <c r="Q197" s="96"/>
      <c r="T197" s="97"/>
      <c r="U197" s="104" t="s">
        <v>415</v>
      </c>
      <c r="V197" s="104" t="s">
        <v>416</v>
      </c>
    </row>
    <row r="198" customFormat="false" ht="11.25" hidden="true" customHeight="true" outlineLevel="3" collapsed="false">
      <c r="C198" s="99"/>
      <c r="D198" s="99"/>
      <c r="E198" s="100" t="str">
        <f aca="false">IF($T$198="","",SUMIFS(Mastersheet!$F$2:$F$400,Mastersheet!$A$2:$A$400,$T$198)/1000)</f>
        <v/>
      </c>
      <c r="F198" s="100" t="str">
        <f aca="false">IF($T$198="","",SUMIFS(Mastersheet!$G$2:$G$400,Mastersheet!$A$2:$A$400,$T$198)/1000)</f>
        <v/>
      </c>
      <c r="G198" s="100" t="str">
        <f aca="false">IF($T$198="","",SUMIFS(Mastersheet!$H$2:$H$400,Mastersheet!$A$2:$A$400,$T$198)/1000)</f>
        <v/>
      </c>
      <c r="H198" s="100" t="str">
        <f aca="false">IF($T$198="","",SUMIFS(Mastersheet!$I$2:$I$400,Mastersheet!$A$2:$A$400,$T$198)/1000)</f>
        <v/>
      </c>
      <c r="I198" s="101" t="str">
        <f aca="false">IF($T$198="","",SUMIFS(Mastersheet!$J$2:$J$400,Mastersheet!$A$2:$A$400,$T$198)/1000)</f>
        <v/>
      </c>
      <c r="J198" s="102" t="str">
        <f aca="false">IF($T$198="","",SUMIFS(Mastersheet!$K$2:$K$400,Mastersheet!$A$2:$A$400,$T$198)/1000)</f>
        <v/>
      </c>
      <c r="K198" s="103" t="str">
        <f aca="false">IF($T$198="","",SUMIFS(Mastersheet!$L$2:$L$400,Mastersheet!$A$2:$A$400,$T$198)/1000)</f>
        <v/>
      </c>
      <c r="L198" s="103" t="str">
        <f aca="false">IF($T$198="","",SUMIFS(Mastersheet!$M$2:$M$400,Mastersheet!$A$2:$A$400,$T$198)/1000)</f>
        <v/>
      </c>
      <c r="M198" s="103" t="str">
        <f aca="false">IF($T$198="","",SUMIFS(Mastersheet!$N$2:$N$400,Mastersheet!$A$2:$A$400,$T$198)/1000)</f>
        <v/>
      </c>
      <c r="N198" s="103" t="str">
        <f aca="false">IF($T$198="","",SUMIFS(Mastersheet!$O$2:$O$400,Mastersheet!$A$2:$A$400,$T$198)/1000)</f>
        <v/>
      </c>
      <c r="O198" s="92"/>
      <c r="P198" s="96"/>
      <c r="Q198" s="96"/>
      <c r="T198" s="97"/>
      <c r="U198" s="104" t="s">
        <v>415</v>
      </c>
      <c r="V198" s="104" t="s">
        <v>416</v>
      </c>
    </row>
    <row r="199" customFormat="false" ht="11.25" hidden="true" customHeight="true" outlineLevel="3" collapsed="false">
      <c r="C199" s="99"/>
      <c r="D199" s="99"/>
      <c r="E199" s="100" t="str">
        <f aca="false">IF($T$199="","",SUMIFS(Mastersheet!$F$2:$F$400,Mastersheet!$A$2:$A$400,$T$199)/1000)</f>
        <v/>
      </c>
      <c r="F199" s="100" t="str">
        <f aca="false">IF($T$199="","",SUMIFS(Mastersheet!$G$2:$G$400,Mastersheet!$A$2:$A$400,$T$199)/1000)</f>
        <v/>
      </c>
      <c r="G199" s="100" t="str">
        <f aca="false">IF($T$199="","",SUMIFS(Mastersheet!$H$2:$H$400,Mastersheet!$A$2:$A$400,$T$199)/1000)</f>
        <v/>
      </c>
      <c r="H199" s="100" t="str">
        <f aca="false">IF($T$199="","",SUMIFS(Mastersheet!$I$2:$I$400,Mastersheet!$A$2:$A$400,$T$199)/1000)</f>
        <v/>
      </c>
      <c r="I199" s="101" t="str">
        <f aca="false">IF($T$199="","",SUMIFS(Mastersheet!$J$2:$J$400,Mastersheet!$A$2:$A$400,$T$199)/1000)</f>
        <v/>
      </c>
      <c r="J199" s="102" t="str">
        <f aca="false">IF($T$199="","",SUMIFS(Mastersheet!$K$2:$K$400,Mastersheet!$A$2:$A$400,$T$199)/1000)</f>
        <v/>
      </c>
      <c r="K199" s="103" t="str">
        <f aca="false">IF($T$199="","",SUMIFS(Mastersheet!$L$2:$L$400,Mastersheet!$A$2:$A$400,$T$199)/1000)</f>
        <v/>
      </c>
      <c r="L199" s="103" t="str">
        <f aca="false">IF($T$199="","",SUMIFS(Mastersheet!$M$2:$M$400,Mastersheet!$A$2:$A$400,$T$199)/1000)</f>
        <v/>
      </c>
      <c r="M199" s="103" t="str">
        <f aca="false">IF($T$199="","",SUMIFS(Mastersheet!$N$2:$N$400,Mastersheet!$A$2:$A$400,$T$199)/1000)</f>
        <v/>
      </c>
      <c r="N199" s="103" t="str">
        <f aca="false">IF($T$199="","",SUMIFS(Mastersheet!$O$2:$O$400,Mastersheet!$A$2:$A$400,$T$199)/1000)</f>
        <v/>
      </c>
      <c r="O199" s="92"/>
      <c r="P199" s="96"/>
      <c r="Q199" s="96"/>
      <c r="T199" s="97"/>
      <c r="U199" s="104" t="s">
        <v>415</v>
      </c>
      <c r="V199" s="104" t="s">
        <v>416</v>
      </c>
    </row>
    <row r="200" customFormat="false" ht="11.25" hidden="true" customHeight="true" outlineLevel="3" collapsed="false">
      <c r="C200" s="99"/>
      <c r="D200" s="99"/>
      <c r="E200" s="100" t="str">
        <f aca="false">IF($T$200="","",SUMIFS(Mastersheet!$F$2:$F$400,Mastersheet!$A$2:$A$400,$T$200)/1000)</f>
        <v/>
      </c>
      <c r="F200" s="100" t="str">
        <f aca="false">IF($T$200="","",SUMIFS(Mastersheet!$G$2:$G$400,Mastersheet!$A$2:$A$400,$T$200)/1000)</f>
        <v/>
      </c>
      <c r="G200" s="100" t="str">
        <f aca="false">IF($T$200="","",SUMIFS(Mastersheet!$H$2:$H$400,Mastersheet!$A$2:$A$400,$T$200)/1000)</f>
        <v/>
      </c>
      <c r="H200" s="100" t="str">
        <f aca="false">IF($T$200="","",SUMIFS(Mastersheet!$I$2:$I$400,Mastersheet!$A$2:$A$400,$T$200)/1000)</f>
        <v/>
      </c>
      <c r="I200" s="101" t="str">
        <f aca="false">IF($T$200="","",SUMIFS(Mastersheet!$J$2:$J$400,Mastersheet!$A$2:$A$400,$T$200)/1000)</f>
        <v/>
      </c>
      <c r="J200" s="102" t="str">
        <f aca="false">IF($T$200="","",SUMIFS(Mastersheet!$K$2:$K$400,Mastersheet!$A$2:$A$400,$T$200)/1000)</f>
        <v/>
      </c>
      <c r="K200" s="103" t="str">
        <f aca="false">IF($T$200="","",SUMIFS(Mastersheet!$L$2:$L$400,Mastersheet!$A$2:$A$400,$T$200)/1000)</f>
        <v/>
      </c>
      <c r="L200" s="103" t="str">
        <f aca="false">IF($T$200="","",SUMIFS(Mastersheet!$M$2:$M$400,Mastersheet!$A$2:$A$400,$T$200)/1000)</f>
        <v/>
      </c>
      <c r="M200" s="103" t="str">
        <f aca="false">IF($T$200="","",SUMIFS(Mastersheet!$N$2:$N$400,Mastersheet!$A$2:$A$400,$T$200)/1000)</f>
        <v/>
      </c>
      <c r="N200" s="103" t="str">
        <f aca="false">IF($T$200="","",SUMIFS(Mastersheet!$O$2:$O$400,Mastersheet!$A$2:$A$400,$T$200)/1000)</f>
        <v/>
      </c>
      <c r="O200" s="92"/>
      <c r="P200" s="96"/>
      <c r="Q200" s="96"/>
      <c r="T200" s="97"/>
      <c r="U200" s="104" t="s">
        <v>415</v>
      </c>
      <c r="V200" s="104" t="s">
        <v>416</v>
      </c>
    </row>
    <row r="201" customFormat="false" ht="11.25" hidden="false" customHeight="true" outlineLevel="0" collapsed="false">
      <c r="C201" s="113" t="s">
        <v>461</v>
      </c>
      <c r="D201" s="91" t="s">
        <v>462</v>
      </c>
      <c r="E201" s="92" t="n">
        <f aca="false">SUMIFS(Mastersheet!$F$2:$F$400,Mastersheet!$D$2:$D$400,$T201,Mastersheet!$C$2:$C$400,$U201)/1000</f>
        <v>0</v>
      </c>
      <c r="F201" s="92" t="n">
        <f aca="false">SUMIFS(Mastersheet!$G$2:$G$400,Mastersheet!$D$2:$D$400,$T201,Mastersheet!$C$2:$C$400,$U201)/1000</f>
        <v>0</v>
      </c>
      <c r="G201" s="92" t="n">
        <f aca="false">SUMIFS(Mastersheet!$H$2:$H$400,Mastersheet!$D$2:$D$400,$T201,Mastersheet!$C$2:$C$400,$U201)/1000</f>
        <v>0</v>
      </c>
      <c r="H201" s="92" t="n">
        <f aca="false">SUMIFS(Mastersheet!$I$2:$I$400,Mastersheet!$D$2:$D$400,$T201,Mastersheet!$C$2:$C$400,$U201)/1000</f>
        <v>0</v>
      </c>
      <c r="I201" s="93" t="n">
        <f aca="false">SUMIFS(Mastersheet!$J$2:$J$400,Mastersheet!$D$2:$D$400,$T201,Mastersheet!$C$2:$C$400,$U201)/1000</f>
        <v>0</v>
      </c>
      <c r="J201" s="94" t="n">
        <f aca="false">SUMIFS(Mastersheet!$K$2:$K$400,Mastersheet!$D$2:$D$400,$T201,Mastersheet!$C$2:$C$400,$U201)/1000</f>
        <v>0</v>
      </c>
      <c r="K201" s="95" t="n">
        <f aca="false">SUMIFS(Mastersheet!$L$2:$L$400,Mastersheet!$D$2:$D$400,$T201,Mastersheet!$C$2:$C$400,$U201)/1000</f>
        <v>0</v>
      </c>
      <c r="L201" s="95" t="n">
        <f aca="false">SUMIFS(Mastersheet!$M$2:$M$400,Mastersheet!$D$2:$D$400,$T201,Mastersheet!$C$2:$C$400,$U201)/1000</f>
        <v>0</v>
      </c>
      <c r="M201" s="95" t="n">
        <f aca="false">SUMIFS(Mastersheet!$N$2:$N$400,Mastersheet!$D$2:$D$400,$T201,Mastersheet!$C$2:$C$400,$U201)/1000</f>
        <v>0</v>
      </c>
      <c r="N201" s="95" t="n">
        <f aca="false">SUMIFS(Mastersheet!$O$2:$O$400,Mastersheet!$D$2:$D$400,$T201,Mastersheet!$C$2:$C$400,$U201)/1000</f>
        <v>0</v>
      </c>
      <c r="O201" s="92"/>
      <c r="P201" s="118" t="str">
        <f aca="false">IFERROR(((H201/F201)^(1/(($H$1-$F$1)/365)))-1,"n/a")</f>
        <v>n/a</v>
      </c>
      <c r="Q201" s="118" t="str">
        <f aca="false">IFERROR(((N201/H201)^(1/(($N$1-$H$1)/365)))-1,"n/a")</f>
        <v>n/a</v>
      </c>
      <c r="T201" s="97" t="s">
        <v>461</v>
      </c>
      <c r="U201" s="98" t="s">
        <v>413</v>
      </c>
      <c r="V201" s="98" t="s">
        <v>414</v>
      </c>
    </row>
    <row r="202" customFormat="false" ht="11.25" hidden="true" customHeight="true" outlineLevel="3" collapsed="false">
      <c r="C202" s="120"/>
      <c r="D202" s="99"/>
      <c r="E202" s="100" t="str">
        <f aca="false">IF($T$202="","",SUMIFS(Mastersheet!$F$2:$F$400,Mastersheet!$A$2:$A$400,$T$202)/1000)</f>
        <v/>
      </c>
      <c r="F202" s="100" t="str">
        <f aca="false">IF($T$202="","",SUMIFS(Mastersheet!$G$2:$G$400,Mastersheet!$A$2:$A$400,$T$202)/1000)</f>
        <v/>
      </c>
      <c r="G202" s="100" t="str">
        <f aca="false">IF($T$202="","",SUMIFS(Mastersheet!$H$2:$H$400,Mastersheet!$A$2:$A$400,$T$202)/1000)</f>
        <v/>
      </c>
      <c r="H202" s="100" t="str">
        <f aca="false">IF($T$202="","",SUMIFS(Mastersheet!$I$2:$I$400,Mastersheet!$A$2:$A$400,$T$202)/1000)</f>
        <v/>
      </c>
      <c r="I202" s="101" t="str">
        <f aca="false">IF($T$202="","",SUMIFS(Mastersheet!$J$2:$J$400,Mastersheet!$A$2:$A$400,$T$202)/1000)</f>
        <v/>
      </c>
      <c r="J202" s="102" t="str">
        <f aca="false">IF($T$202="","",SUMIFS(Mastersheet!$K$2:$K$400,Mastersheet!$A$2:$A$400,$T$202)/1000)</f>
        <v/>
      </c>
      <c r="K202" s="103" t="str">
        <f aca="false">IF($T$202="","",SUMIFS(Mastersheet!$L$2:$L$400,Mastersheet!$A$2:$A$400,$T$202)/1000)</f>
        <v/>
      </c>
      <c r="L202" s="103" t="str">
        <f aca="false">IF($T$202="","",SUMIFS(Mastersheet!$M$2:$M$400,Mastersheet!$A$2:$A$400,$T$202)/1000)</f>
        <v/>
      </c>
      <c r="M202" s="103" t="str">
        <f aca="false">IF($T$202="","",SUMIFS(Mastersheet!$N$2:$N$400,Mastersheet!$A$2:$A$400,$T$202)/1000)</f>
        <v/>
      </c>
      <c r="N202" s="103" t="str">
        <f aca="false">IF($T$202="","",SUMIFS(Mastersheet!$O$2:$O$400,Mastersheet!$A$2:$A$400,$T$202)/1000)</f>
        <v/>
      </c>
      <c r="O202" s="92"/>
      <c r="P202" s="118"/>
      <c r="Q202" s="118"/>
      <c r="T202" s="97"/>
      <c r="U202" s="104" t="s">
        <v>415</v>
      </c>
      <c r="V202" s="104" t="s">
        <v>416</v>
      </c>
    </row>
    <row r="203" customFormat="false" ht="11.25" hidden="true" customHeight="true" outlineLevel="3" collapsed="false">
      <c r="C203" s="120"/>
      <c r="D203" s="99"/>
      <c r="E203" s="100" t="str">
        <f aca="false">IF($T$203="","",SUMIFS(Mastersheet!$F$2:$F$400,Mastersheet!$A$2:$A$400,$T$203)/1000)</f>
        <v/>
      </c>
      <c r="F203" s="100" t="str">
        <f aca="false">IF($T$203="","",SUMIFS(Mastersheet!$G$2:$G$400,Mastersheet!$A$2:$A$400,$T$203)/1000)</f>
        <v/>
      </c>
      <c r="G203" s="100" t="str">
        <f aca="false">IF($T$203="","",SUMIFS(Mastersheet!$H$2:$H$400,Mastersheet!$A$2:$A$400,$T$203)/1000)</f>
        <v/>
      </c>
      <c r="H203" s="100" t="str">
        <f aca="false">IF($T$203="","",SUMIFS(Mastersheet!$I$2:$I$400,Mastersheet!$A$2:$A$400,$T$203)/1000)</f>
        <v/>
      </c>
      <c r="I203" s="101" t="str">
        <f aca="false">IF($T$203="","",SUMIFS(Mastersheet!$J$2:$J$400,Mastersheet!$A$2:$A$400,$T$203)/1000)</f>
        <v/>
      </c>
      <c r="J203" s="102" t="str">
        <f aca="false">IF($T$203="","",SUMIFS(Mastersheet!$K$2:$K$400,Mastersheet!$A$2:$A$400,$T$203)/1000)</f>
        <v/>
      </c>
      <c r="K203" s="103" t="str">
        <f aca="false">IF($T$203="","",SUMIFS(Mastersheet!$L$2:$L$400,Mastersheet!$A$2:$A$400,$T$203)/1000)</f>
        <v/>
      </c>
      <c r="L203" s="103" t="str">
        <f aca="false">IF($T$203="","",SUMIFS(Mastersheet!$M$2:$M$400,Mastersheet!$A$2:$A$400,$T$203)/1000)</f>
        <v/>
      </c>
      <c r="M203" s="103" t="str">
        <f aca="false">IF($T$203="","",SUMIFS(Mastersheet!$N$2:$N$400,Mastersheet!$A$2:$A$400,$T$203)/1000)</f>
        <v/>
      </c>
      <c r="N203" s="103" t="str">
        <f aca="false">IF($T$203="","",SUMIFS(Mastersheet!$O$2:$O$400,Mastersheet!$A$2:$A$400,$T$203)/1000)</f>
        <v/>
      </c>
      <c r="O203" s="92"/>
      <c r="P203" s="118"/>
      <c r="Q203" s="118"/>
      <c r="T203" s="97"/>
      <c r="U203" s="104" t="s">
        <v>415</v>
      </c>
      <c r="V203" s="104" t="s">
        <v>416</v>
      </c>
    </row>
    <row r="204" customFormat="false" ht="11.25" hidden="true" customHeight="true" outlineLevel="3" collapsed="false">
      <c r="C204" s="120"/>
      <c r="D204" s="99"/>
      <c r="E204" s="100" t="str">
        <f aca="false">IF($T$204="","",SUMIFS(Mastersheet!$F$2:$F$400,Mastersheet!$A$2:$A$400,$T$204)/1000)</f>
        <v/>
      </c>
      <c r="F204" s="100" t="str">
        <f aca="false">IF($T$204="","",SUMIFS(Mastersheet!$G$2:$G$400,Mastersheet!$A$2:$A$400,$T$204)/1000)</f>
        <v/>
      </c>
      <c r="G204" s="100" t="str">
        <f aca="false">IF($T$204="","",SUMIFS(Mastersheet!$H$2:$H$400,Mastersheet!$A$2:$A$400,$T$204)/1000)</f>
        <v/>
      </c>
      <c r="H204" s="100" t="str">
        <f aca="false">IF($T$204="","",SUMIFS(Mastersheet!$I$2:$I$400,Mastersheet!$A$2:$A$400,$T$204)/1000)</f>
        <v/>
      </c>
      <c r="I204" s="101" t="str">
        <f aca="false">IF($T$204="","",SUMIFS(Mastersheet!$J$2:$J$400,Mastersheet!$A$2:$A$400,$T$204)/1000)</f>
        <v/>
      </c>
      <c r="J204" s="102" t="str">
        <f aca="false">IF($T$204="","",SUMIFS(Mastersheet!$K$2:$K$400,Mastersheet!$A$2:$A$400,$T$204)/1000)</f>
        <v/>
      </c>
      <c r="K204" s="103" t="str">
        <f aca="false">IF($T$204="","",SUMIFS(Mastersheet!$L$2:$L$400,Mastersheet!$A$2:$A$400,$T$204)/1000)</f>
        <v/>
      </c>
      <c r="L204" s="103" t="str">
        <f aca="false">IF($T$204="","",SUMIFS(Mastersheet!$M$2:$M$400,Mastersheet!$A$2:$A$400,$T$204)/1000)</f>
        <v/>
      </c>
      <c r="M204" s="103" t="str">
        <f aca="false">IF($T$204="","",SUMIFS(Mastersheet!$N$2:$N$400,Mastersheet!$A$2:$A$400,$T$204)/1000)</f>
        <v/>
      </c>
      <c r="N204" s="103" t="str">
        <f aca="false">IF($T$204="","",SUMIFS(Mastersheet!$O$2:$O$400,Mastersheet!$A$2:$A$400,$T$204)/1000)</f>
        <v/>
      </c>
      <c r="O204" s="92"/>
      <c r="P204" s="118"/>
      <c r="Q204" s="118"/>
      <c r="T204" s="97"/>
      <c r="U204" s="104" t="s">
        <v>415</v>
      </c>
      <c r="V204" s="104" t="s">
        <v>416</v>
      </c>
    </row>
    <row r="205" customFormat="false" ht="11.25" hidden="true" customHeight="true" outlineLevel="3" collapsed="false">
      <c r="C205" s="120"/>
      <c r="D205" s="99"/>
      <c r="E205" s="100" t="str">
        <f aca="false">IF($T$205="","",SUMIFS(Mastersheet!$F$2:$F$400,Mastersheet!$A$2:$A$400,$T$205)/1000)</f>
        <v/>
      </c>
      <c r="F205" s="100" t="str">
        <f aca="false">IF($T$205="","",SUMIFS(Mastersheet!$G$2:$G$400,Mastersheet!$A$2:$A$400,$T$205)/1000)</f>
        <v/>
      </c>
      <c r="G205" s="100" t="str">
        <f aca="false">IF($T$205="","",SUMIFS(Mastersheet!$H$2:$H$400,Mastersheet!$A$2:$A$400,$T$205)/1000)</f>
        <v/>
      </c>
      <c r="H205" s="100" t="str">
        <f aca="false">IF($T$205="","",SUMIFS(Mastersheet!$I$2:$I$400,Mastersheet!$A$2:$A$400,$T$205)/1000)</f>
        <v/>
      </c>
      <c r="I205" s="101" t="str">
        <f aca="false">IF($T$205="","",SUMIFS(Mastersheet!$J$2:$J$400,Mastersheet!$A$2:$A$400,$T$205)/1000)</f>
        <v/>
      </c>
      <c r="J205" s="102" t="str">
        <f aca="false">IF($T$205="","",SUMIFS(Mastersheet!$K$2:$K$400,Mastersheet!$A$2:$A$400,$T$205)/1000)</f>
        <v/>
      </c>
      <c r="K205" s="103" t="str">
        <f aca="false">IF($T$205="","",SUMIFS(Mastersheet!$L$2:$L$400,Mastersheet!$A$2:$A$400,$T$205)/1000)</f>
        <v/>
      </c>
      <c r="L205" s="103" t="str">
        <f aca="false">IF($T$205="","",SUMIFS(Mastersheet!$M$2:$M$400,Mastersheet!$A$2:$A$400,$T$205)/1000)</f>
        <v/>
      </c>
      <c r="M205" s="103" t="str">
        <f aca="false">IF($T$205="","",SUMIFS(Mastersheet!$N$2:$N$400,Mastersheet!$A$2:$A$400,$T$205)/1000)</f>
        <v/>
      </c>
      <c r="N205" s="103" t="str">
        <f aca="false">IF($T$205="","",SUMIFS(Mastersheet!$O$2:$O$400,Mastersheet!$A$2:$A$400,$T$205)/1000)</f>
        <v/>
      </c>
      <c r="O205" s="92"/>
      <c r="P205" s="118"/>
      <c r="Q205" s="118"/>
      <c r="T205" s="97"/>
      <c r="U205" s="104" t="s">
        <v>415</v>
      </c>
      <c r="V205" s="104" t="s">
        <v>416</v>
      </c>
    </row>
    <row r="206" customFormat="false" ht="11.25" hidden="true" customHeight="true" outlineLevel="3" collapsed="false">
      <c r="C206" s="120"/>
      <c r="D206" s="99"/>
      <c r="E206" s="100" t="str">
        <f aca="false">IF($T$206="","",SUMIFS(Mastersheet!$F$2:$F$400,Mastersheet!$A$2:$A$400,$T$206)/1000)</f>
        <v/>
      </c>
      <c r="F206" s="100" t="str">
        <f aca="false">IF($T$206="","",SUMIFS(Mastersheet!$G$2:$G$400,Mastersheet!$A$2:$A$400,$T$206)/1000)</f>
        <v/>
      </c>
      <c r="G206" s="100" t="str">
        <f aca="false">IF($T$206="","",SUMIFS(Mastersheet!$H$2:$H$400,Mastersheet!$A$2:$A$400,$T$206)/1000)</f>
        <v/>
      </c>
      <c r="H206" s="100" t="str">
        <f aca="false">IF($T$206="","",SUMIFS(Mastersheet!$I$2:$I$400,Mastersheet!$A$2:$A$400,$T$206)/1000)</f>
        <v/>
      </c>
      <c r="I206" s="101" t="str">
        <f aca="false">IF($T$206="","",SUMIFS(Mastersheet!$J$2:$J$400,Mastersheet!$A$2:$A$400,$T$206)/1000)</f>
        <v/>
      </c>
      <c r="J206" s="102" t="str">
        <f aca="false">IF($T$206="","",SUMIFS(Mastersheet!$K$2:$K$400,Mastersheet!$A$2:$A$400,$T$206)/1000)</f>
        <v/>
      </c>
      <c r="K206" s="103" t="str">
        <f aca="false">IF($T$206="","",SUMIFS(Mastersheet!$L$2:$L$400,Mastersheet!$A$2:$A$400,$T$206)/1000)</f>
        <v/>
      </c>
      <c r="L206" s="103" t="str">
        <f aca="false">IF($T$206="","",SUMIFS(Mastersheet!$M$2:$M$400,Mastersheet!$A$2:$A$400,$T$206)/1000)</f>
        <v/>
      </c>
      <c r="M206" s="103" t="str">
        <f aca="false">IF($T$206="","",SUMIFS(Mastersheet!$N$2:$N$400,Mastersheet!$A$2:$A$400,$T$206)/1000)</f>
        <v/>
      </c>
      <c r="N206" s="103" t="str">
        <f aca="false">IF($T$206="","",SUMIFS(Mastersheet!$O$2:$O$400,Mastersheet!$A$2:$A$400,$T$206)/1000)</f>
        <v/>
      </c>
      <c r="O206" s="92"/>
      <c r="P206" s="118"/>
      <c r="Q206" s="118"/>
      <c r="T206" s="97"/>
      <c r="U206" s="104" t="s">
        <v>415</v>
      </c>
      <c r="V206" s="104" t="s">
        <v>416</v>
      </c>
    </row>
    <row r="207" customFormat="false" ht="11.25" hidden="true" customHeight="true" outlineLevel="3" collapsed="false">
      <c r="C207" s="120"/>
      <c r="D207" s="99"/>
      <c r="E207" s="100" t="str">
        <f aca="false">IF($T$207="","",SUMIFS(Mastersheet!$F$2:$F$400,Mastersheet!$A$2:$A$400,$T$207)/1000)</f>
        <v/>
      </c>
      <c r="F207" s="100" t="str">
        <f aca="false">IF($T$207="","",SUMIFS(Mastersheet!$G$2:$G$400,Mastersheet!$A$2:$A$400,$T$207)/1000)</f>
        <v/>
      </c>
      <c r="G207" s="100" t="str">
        <f aca="false">IF($T$207="","",SUMIFS(Mastersheet!$H$2:$H$400,Mastersheet!$A$2:$A$400,$T$207)/1000)</f>
        <v/>
      </c>
      <c r="H207" s="100" t="str">
        <f aca="false">IF($T$207="","",SUMIFS(Mastersheet!$I$2:$I$400,Mastersheet!$A$2:$A$400,$T$207)/1000)</f>
        <v/>
      </c>
      <c r="I207" s="101" t="str">
        <f aca="false">IF($T$207="","",SUMIFS(Mastersheet!$J$2:$J$400,Mastersheet!$A$2:$A$400,$T$207)/1000)</f>
        <v/>
      </c>
      <c r="J207" s="102" t="str">
        <f aca="false">IF($T$207="","",SUMIFS(Mastersheet!$K$2:$K$400,Mastersheet!$A$2:$A$400,$T$207)/1000)</f>
        <v/>
      </c>
      <c r="K207" s="103" t="str">
        <f aca="false">IF($T$207="","",SUMIFS(Mastersheet!$L$2:$L$400,Mastersheet!$A$2:$A$400,$T$207)/1000)</f>
        <v/>
      </c>
      <c r="L207" s="103" t="str">
        <f aca="false">IF($T$207="","",SUMIFS(Mastersheet!$M$2:$M$400,Mastersheet!$A$2:$A$400,$T$207)/1000)</f>
        <v/>
      </c>
      <c r="M207" s="103" t="str">
        <f aca="false">IF($T$207="","",SUMIFS(Mastersheet!$N$2:$N$400,Mastersheet!$A$2:$A$400,$T$207)/1000)</f>
        <v/>
      </c>
      <c r="N207" s="103" t="str">
        <f aca="false">IF($T$207="","",SUMIFS(Mastersheet!$O$2:$O$400,Mastersheet!$A$2:$A$400,$T$207)/1000)</f>
        <v/>
      </c>
      <c r="O207" s="92"/>
      <c r="P207" s="118"/>
      <c r="Q207" s="118"/>
      <c r="T207" s="97"/>
      <c r="U207" s="104" t="s">
        <v>415</v>
      </c>
      <c r="V207" s="104" t="s">
        <v>416</v>
      </c>
    </row>
    <row r="208" customFormat="false" ht="11.25" hidden="true" customHeight="true" outlineLevel="3" collapsed="false">
      <c r="C208" s="120"/>
      <c r="D208" s="99"/>
      <c r="E208" s="100" t="str">
        <f aca="false">IF($T$208="","",SUMIFS(Mastersheet!$F$2:$F$400,Mastersheet!$A$2:$A$400,$T$208)/1000)</f>
        <v/>
      </c>
      <c r="F208" s="100" t="str">
        <f aca="false">IF($T$208="","",SUMIFS(Mastersheet!$G$2:$G$400,Mastersheet!$A$2:$A$400,$T$208)/1000)</f>
        <v/>
      </c>
      <c r="G208" s="100" t="str">
        <f aca="false">IF($T$208="","",SUMIFS(Mastersheet!$H$2:$H$400,Mastersheet!$A$2:$A$400,$T$208)/1000)</f>
        <v/>
      </c>
      <c r="H208" s="100" t="str">
        <f aca="false">IF($T$208="","",SUMIFS(Mastersheet!$I$2:$I$400,Mastersheet!$A$2:$A$400,$T$208)/1000)</f>
        <v/>
      </c>
      <c r="I208" s="101" t="str">
        <f aca="false">IF($T$208="","",SUMIFS(Mastersheet!$J$2:$J$400,Mastersheet!$A$2:$A$400,$T$208)/1000)</f>
        <v/>
      </c>
      <c r="J208" s="102" t="str">
        <f aca="false">IF($T$208="","",SUMIFS(Mastersheet!$K$2:$K$400,Mastersheet!$A$2:$A$400,$T$208)/1000)</f>
        <v/>
      </c>
      <c r="K208" s="103" t="str">
        <f aca="false">IF($T$208="","",SUMIFS(Mastersheet!$L$2:$L$400,Mastersheet!$A$2:$A$400,$T$208)/1000)</f>
        <v/>
      </c>
      <c r="L208" s="103" t="str">
        <f aca="false">IF($T$208="","",SUMIFS(Mastersheet!$M$2:$M$400,Mastersheet!$A$2:$A$400,$T$208)/1000)</f>
        <v/>
      </c>
      <c r="M208" s="103" t="str">
        <f aca="false">IF($T$208="","",SUMIFS(Mastersheet!$N$2:$N$400,Mastersheet!$A$2:$A$400,$T$208)/1000)</f>
        <v/>
      </c>
      <c r="N208" s="103" t="str">
        <f aca="false">IF($T$208="","",SUMIFS(Mastersheet!$O$2:$O$400,Mastersheet!$A$2:$A$400,$T$208)/1000)</f>
        <v/>
      </c>
      <c r="O208" s="92"/>
      <c r="P208" s="118"/>
      <c r="Q208" s="118"/>
      <c r="T208" s="97"/>
      <c r="U208" s="104" t="s">
        <v>415</v>
      </c>
      <c r="V208" s="104" t="s">
        <v>416</v>
      </c>
    </row>
    <row r="209" customFormat="false" ht="11.25" hidden="true" customHeight="true" outlineLevel="3" collapsed="false">
      <c r="C209" s="120"/>
      <c r="D209" s="99"/>
      <c r="E209" s="100" t="str">
        <f aca="false">IF($T$209="","",SUMIFS(Mastersheet!$F$2:$F$400,Mastersheet!$A$2:$A$400,$T$209)/1000)</f>
        <v/>
      </c>
      <c r="F209" s="100" t="str">
        <f aca="false">IF($T$209="","",SUMIFS(Mastersheet!$G$2:$G$400,Mastersheet!$A$2:$A$400,$T$209)/1000)</f>
        <v/>
      </c>
      <c r="G209" s="100" t="str">
        <f aca="false">IF($T$209="","",SUMIFS(Mastersheet!$H$2:$H$400,Mastersheet!$A$2:$A$400,$T$209)/1000)</f>
        <v/>
      </c>
      <c r="H209" s="100" t="str">
        <f aca="false">IF($T$209="","",SUMIFS(Mastersheet!$I$2:$I$400,Mastersheet!$A$2:$A$400,$T$209)/1000)</f>
        <v/>
      </c>
      <c r="I209" s="101" t="str">
        <f aca="false">IF($T$209="","",SUMIFS(Mastersheet!$J$2:$J$400,Mastersheet!$A$2:$A$400,$T$209)/1000)</f>
        <v/>
      </c>
      <c r="J209" s="102" t="str">
        <f aca="false">IF($T$209="","",SUMIFS(Mastersheet!$K$2:$K$400,Mastersheet!$A$2:$A$400,$T$209)/1000)</f>
        <v/>
      </c>
      <c r="K209" s="103" t="str">
        <f aca="false">IF($T$209="","",SUMIFS(Mastersheet!$L$2:$L$400,Mastersheet!$A$2:$A$400,$T$209)/1000)</f>
        <v/>
      </c>
      <c r="L209" s="103" t="str">
        <f aca="false">IF($T$209="","",SUMIFS(Mastersheet!$M$2:$M$400,Mastersheet!$A$2:$A$400,$T$209)/1000)</f>
        <v/>
      </c>
      <c r="M209" s="103" t="str">
        <f aca="false">IF($T$209="","",SUMIFS(Mastersheet!$N$2:$N$400,Mastersheet!$A$2:$A$400,$T$209)/1000)</f>
        <v/>
      </c>
      <c r="N209" s="103" t="str">
        <f aca="false">IF($T$209="","",SUMIFS(Mastersheet!$O$2:$O$400,Mastersheet!$A$2:$A$400,$T$209)/1000)</f>
        <v/>
      </c>
      <c r="O209" s="92"/>
      <c r="P209" s="118"/>
      <c r="Q209" s="118"/>
      <c r="T209" s="97"/>
      <c r="U209" s="104" t="s">
        <v>415</v>
      </c>
      <c r="V209" s="104" t="s">
        <v>416</v>
      </c>
    </row>
    <row r="210" customFormat="false" ht="12" hidden="false" customHeight="true" outlineLevel="0" collapsed="false">
      <c r="C210" s="121" t="s">
        <v>463</v>
      </c>
      <c r="D210" s="121" t="s">
        <v>464</v>
      </c>
      <c r="E210" s="122" t="n">
        <f aca="false">SUMIF($V$191:$V$201,"&lt;&gt;KTO",E191:E201)</f>
        <v>0</v>
      </c>
      <c r="F210" s="122" t="n">
        <f aca="false">SUMIF($V$191:$V$201,"&lt;&gt;KTO",F191:F201)</f>
        <v>0</v>
      </c>
      <c r="G210" s="122" t="n">
        <f aca="false">SUMIF($V$191:$V$201,"&lt;&gt;KTO",G191:G201)</f>
        <v>0</v>
      </c>
      <c r="H210" s="122" t="n">
        <f aca="false">SUMIF($V$191:$V$201,"&lt;&gt;KTO",H191:H201)</f>
        <v>0</v>
      </c>
      <c r="I210" s="123" t="n">
        <f aca="false">SUMIF($V$191:$V$201,"&lt;&gt;KTO",I191:I201)</f>
        <v>0</v>
      </c>
      <c r="J210" s="124" t="n">
        <f aca="false">SUMIF($V$191:$V$201,"&lt;&gt;KTO",J191:J201)</f>
        <v>0</v>
      </c>
      <c r="K210" s="125" t="n">
        <f aca="false">SUMIF($V$191:$V$201,"&lt;&gt;KTO",K191:K201)</f>
        <v>0</v>
      </c>
      <c r="L210" s="125" t="n">
        <f aca="false">SUMIF($V$191:$V$201,"&lt;&gt;KTO",L191:L201)</f>
        <v>0</v>
      </c>
      <c r="M210" s="125" t="n">
        <f aca="false">SUMIF($V$191:$V$201,"&lt;&gt;KTO",M191:M201)</f>
        <v>0</v>
      </c>
      <c r="N210" s="125" t="n">
        <f aca="false">SUMIF($V$191:$V$201,"&lt;&gt;KTO",N191:N201)</f>
        <v>0</v>
      </c>
      <c r="O210" s="92"/>
      <c r="P210" s="126" t="str">
        <f aca="false">IFERROR(((H210/F210)^(1/(($H$1-$F$1)/365)))-1,"n/a")</f>
        <v>n/a</v>
      </c>
      <c r="Q210" s="126" t="str">
        <f aca="false">IFERROR(((N210/H210)^(1/(($N$1-$H$1)/365)))-1,"n/a")</f>
        <v>n/a</v>
      </c>
    </row>
    <row r="211" customFormat="false" ht="12" hidden="false" customHeight="true" outlineLevel="0" collapsed="false">
      <c r="B211" s="112"/>
      <c r="C211" s="127"/>
      <c r="D211" s="127"/>
      <c r="E211" s="112"/>
      <c r="F211" s="112"/>
      <c r="G211" s="112"/>
      <c r="H211" s="112"/>
      <c r="I211" s="128"/>
      <c r="J211" s="129"/>
      <c r="K211" s="130"/>
      <c r="L211" s="130"/>
      <c r="M211" s="130"/>
      <c r="N211" s="130"/>
      <c r="O211" s="112"/>
      <c r="P211" s="131"/>
      <c r="Q211" s="131"/>
      <c r="R211" s="112"/>
    </row>
    <row r="212" customFormat="false" ht="12" hidden="false" customHeight="true" outlineLevel="0" collapsed="false">
      <c r="C212" s="132" t="s">
        <v>465</v>
      </c>
      <c r="D212" s="132" t="s">
        <v>466</v>
      </c>
      <c r="E212" s="133"/>
      <c r="F212" s="133"/>
      <c r="G212" s="133"/>
      <c r="H212" s="133"/>
      <c r="I212" s="134"/>
      <c r="J212" s="135"/>
      <c r="K212" s="136"/>
      <c r="L212" s="136"/>
      <c r="M212" s="136"/>
      <c r="N212" s="136"/>
      <c r="O212" s="112"/>
      <c r="P212" s="131"/>
      <c r="Q212" s="131"/>
    </row>
    <row r="213" customFormat="false" ht="12" hidden="false" customHeight="true" outlineLevel="0" collapsed="false">
      <c r="C213" s="51" t="str">
        <f aca="false">C39</f>
        <v>Gesamtleistung</v>
      </c>
      <c r="D213" s="51" t="str">
        <f aca="false">D39</f>
        <v>Total output</v>
      </c>
      <c r="E213" s="137"/>
      <c r="F213" s="57" t="str">
        <f aca="false">IFERROR(IF(F39/E39-1&gt;1,"&gt;100%",IF(F39/E39-1&lt;-1,"&lt;100%",F39/E39-1)),"n/a")</f>
        <v>n/a</v>
      </c>
      <c r="G213" s="57" t="str">
        <f aca="false">IFERROR(IF(G39/F39-1&gt;1,"&gt;100%",IF(G39/F39-1&lt;-1,"&lt;100%",G39/F39-1)),"n/a")</f>
        <v>n/a</v>
      </c>
      <c r="H213" s="57" t="str">
        <f aca="false">IFERROR(IF(H39/G39-1&gt;1,"&gt;100%",IF(H39/G39-1&lt;-1,"&lt;100%",H39/G39-1)),"n/a")</f>
        <v>n/a</v>
      </c>
      <c r="I213" s="138"/>
      <c r="J213" s="138"/>
      <c r="K213" s="139" t="str">
        <f aca="false">IFERROR(IF(K39/H39-1&gt;1,"&gt;100%",IF(K39/H39-1&lt;-1,"&lt;100%",K39/H39-1)),"n/a")</f>
        <v>n/a</v>
      </c>
      <c r="L213" s="139" t="str">
        <f aca="false">IFERROR(IF(L39/K39-1&gt;1,"&gt;100%",IF(L39/K39-1&lt;-1,"&lt;100%",L39/K39-1)),"n/a")</f>
        <v>n/a</v>
      </c>
      <c r="M213" s="139" t="str">
        <f aca="false">IFERROR(IF(M39/L39-1&gt;1,"&gt;100%",IF(M39/L39-1&lt;-1,"&lt;100%",M39/L39-1)),"n/a")</f>
        <v>n/a</v>
      </c>
      <c r="N213" s="139" t="str">
        <f aca="false">IFERROR(IF(N39/M39-1&gt;1,"&gt;100%",IF(N39/M39-1&lt;-1,"&lt;100%",N39/M39-1)),"n/a")</f>
        <v>n/a</v>
      </c>
      <c r="O213" s="112"/>
      <c r="P213" s="140"/>
      <c r="Q213" s="140"/>
    </row>
    <row r="214" customFormat="false" ht="12" hidden="true" customHeight="true" outlineLevel="3" collapsed="false">
      <c r="C214" s="51" t="str">
        <f aca="false">C52</f>
        <v>Rohergebnis</v>
      </c>
      <c r="D214" s="51" t="str">
        <f aca="false">D52</f>
        <v>Gross profit</v>
      </c>
      <c r="E214" s="137"/>
      <c r="F214" s="57" t="str">
        <f aca="false">IFERROR(IF(F52/E52-1&gt;1,"&gt;100%",IF(F52/E52-1&lt;-1,"&lt;100%",F52/E52-1)),"n/a")</f>
        <v>n/a</v>
      </c>
      <c r="G214" s="57" t="str">
        <f aca="false">IFERROR(IF(G52/F52-1&gt;1,"&gt;100%",IF(G52/F52-1&lt;-1,"&lt;100%",G52/F52-1)),"n/a")</f>
        <v>n/a</v>
      </c>
      <c r="H214" s="57" t="str">
        <f aca="false">IFERROR(IF(H52/G52-1&gt;1,"&gt;100%",IF(H52/G52-1&lt;-1,"&lt;100%",H52/G52-1)),"n/a")</f>
        <v>n/a</v>
      </c>
      <c r="I214" s="138"/>
      <c r="J214" s="138"/>
      <c r="K214" s="139" t="str">
        <f aca="false">IFERROR(IF(K52/H52-1&gt;1,"&gt;100%",IF(K52/H52-1&lt;-1,"&lt;100%",K52/H52-1)),"n/a")</f>
        <v>n/a</v>
      </c>
      <c r="L214" s="139" t="str">
        <f aca="false">IFERROR(IF(L52/K52-1&gt;1,"&gt;100%",IF(L52/K52-1&lt;-1,"&lt;100%",L52/K52-1)),"n/a")</f>
        <v>n/a</v>
      </c>
      <c r="M214" s="139" t="str">
        <f aca="false">IFERROR(IF(M52/L52-1&gt;1,"&gt;100%",IF(M52/L52-1&lt;-1,"&lt;100%",M52/L52-1)),"n/a")</f>
        <v>n/a</v>
      </c>
      <c r="N214" s="139" t="str">
        <f aca="false">IFERROR(IF(N52/M52-1&gt;1,"&gt;100%",IF(N52/M52-1&lt;-1,"&lt;100%",N52/M52-1)),"n/a")</f>
        <v>n/a</v>
      </c>
      <c r="O214" s="112"/>
      <c r="P214" s="140"/>
      <c r="Q214" s="140"/>
    </row>
    <row r="215" customFormat="false" ht="12" hidden="true" customHeight="true" outlineLevel="3" collapsed="false">
      <c r="C215" s="51" t="str">
        <f aca="false">C146</f>
        <v>EBITDA</v>
      </c>
      <c r="D215" s="51" t="str">
        <f aca="false">D146</f>
        <v>EBITDA</v>
      </c>
      <c r="E215" s="137"/>
      <c r="F215" s="57" t="str">
        <f aca="false">IFERROR(IF(F146/E146-1&gt;1,"&gt;100%",IF(F146/E146-1&lt;-1,"&lt;100%",F146/E146-1)),"n/a")</f>
        <v>n/a</v>
      </c>
      <c r="G215" s="57" t="str">
        <f aca="false">IFERROR(IF(G146/F146-1&gt;1,"&gt;100%",IF(G146/F146-1&lt;-1,"&lt;100%",G146/F146-1)),"n/a")</f>
        <v>n/a</v>
      </c>
      <c r="H215" s="57" t="str">
        <f aca="false">IFERROR(IF(H146/G146-1&gt;1,"&gt;100%",IF(H146/G146-1&lt;-1,"&lt;100%",H146/G146-1)),"n/a")</f>
        <v>n/a</v>
      </c>
      <c r="I215" s="138"/>
      <c r="J215" s="138"/>
      <c r="K215" s="139" t="str">
        <f aca="false">IFERROR(IF(K146/H146-1&gt;1,"&gt;100%",IF(K146/H146-1&lt;-1,"&lt;100%",K146/H146-1)),"n/a")</f>
        <v>n/a</v>
      </c>
      <c r="L215" s="139" t="str">
        <f aca="false">IFERROR(IF(L146/K146-1&gt;1,"&gt;100%",IF(L146/K146-1&lt;-1,"&lt;100%",L146/K146-1)),"n/a")</f>
        <v>n/a</v>
      </c>
      <c r="M215" s="139" t="str">
        <f aca="false">IFERROR(IF(M146/L146-1&gt;1,"&gt;100%",IF(M146/L146-1&lt;-1,"&lt;100%",M146/L146-1)),"n/a")</f>
        <v>n/a</v>
      </c>
      <c r="N215" s="139" t="str">
        <f aca="false">IFERROR(IF(N146/M146-1&gt;1,"&gt;100%",IF(N146/M146-1&lt;-1,"&lt;100%",N146/M146-1)),"n/a")</f>
        <v>n/a</v>
      </c>
      <c r="O215" s="112"/>
      <c r="P215" s="140"/>
      <c r="Q215" s="140"/>
    </row>
    <row r="216" customFormat="false" ht="12" hidden="true" customHeight="true" outlineLevel="3" collapsed="false">
      <c r="C216" s="51" t="str">
        <f aca="false">C210</f>
        <v>Jahresüberschuss</v>
      </c>
      <c r="D216" s="51" t="str">
        <f aca="false">D210</f>
        <v>Profit / Loss</v>
      </c>
      <c r="E216" s="137"/>
      <c r="F216" s="57" t="str">
        <f aca="false">IFERROR(IF(F210/E210-1&gt;1,"&gt;100%",IF(F210/E210-1&lt;-1,"&lt;100%",F210/E210-1)),"n/a")</f>
        <v>n/a</v>
      </c>
      <c r="G216" s="57" t="str">
        <f aca="false">IFERROR(IF(G210/F210-1&gt;1,"&gt;100%",IF(G210/F210-1&lt;-1,"&lt;100%",G210/F210-1)),"n/a")</f>
        <v>n/a</v>
      </c>
      <c r="H216" s="57" t="str">
        <f aca="false">IFERROR(IF(H210/G210-1&gt;1,"&gt;100%",IF(H210/G210-1&lt;-1,"&lt;100%",H210/G210-1)),"n/a")</f>
        <v>n/a</v>
      </c>
      <c r="I216" s="138"/>
      <c r="J216" s="138"/>
      <c r="K216" s="139" t="str">
        <f aca="false">IFERROR(IF(K210/H210-1&gt;1,"&gt;100%",IF(K210/H210-1&lt;-1,"&lt;100%",K210/H210-1)),"n/a")</f>
        <v>n/a</v>
      </c>
      <c r="L216" s="139" t="str">
        <f aca="false">IFERROR(IF(L210/K210-1&gt;1,"&gt;100%",IF(L210/K210-1&lt;-1,"&lt;100%",L210/K210-1)),"n/a")</f>
        <v>n/a</v>
      </c>
      <c r="M216" s="139" t="str">
        <f aca="false">IFERROR(IF(M210/L210-1&gt;1,"&gt;100%",IF(M210/L210-1&lt;-1,"&lt;100%",M210/L210-1)),"n/a")</f>
        <v>n/a</v>
      </c>
      <c r="N216" s="139" t="str">
        <f aca="false">IFERROR(IF(N210/M210-1&gt;1,"&gt;100%",IF(N210/M210-1&lt;-1,"&lt;100%",N210/M210-1)),"n/a")</f>
        <v>n/a</v>
      </c>
      <c r="O216" s="112"/>
      <c r="P216" s="140"/>
      <c r="Q216" s="140"/>
    </row>
    <row r="217" customFormat="false" ht="12" hidden="false" customHeight="true" outlineLevel="0" collapsed="false">
      <c r="C217" s="51"/>
      <c r="D217" s="51"/>
      <c r="E217" s="57"/>
      <c r="F217" s="57"/>
      <c r="G217" s="57"/>
      <c r="H217" s="57"/>
      <c r="I217" s="141"/>
      <c r="J217" s="142"/>
      <c r="K217" s="139"/>
      <c r="L217" s="139"/>
      <c r="M217" s="139"/>
      <c r="N217" s="139"/>
      <c r="O217" s="112"/>
      <c r="P217" s="131"/>
      <c r="Q217" s="131"/>
    </row>
    <row r="218" customFormat="false" ht="12" hidden="false" customHeight="true" outlineLevel="0" collapsed="false">
      <c r="B218" s="143"/>
      <c r="C218" s="132" t="str">
        <f aca="false">"In % der "&amp;C39</f>
        <v>In % der Gesamtleistung</v>
      </c>
      <c r="D218" s="132" t="str">
        <f aca="false">"In % of "&amp;D39</f>
        <v>In % of Total output</v>
      </c>
      <c r="E218" s="57"/>
      <c r="F218" s="57"/>
      <c r="G218" s="57"/>
      <c r="H218" s="57"/>
      <c r="I218" s="141"/>
      <c r="J218" s="142"/>
      <c r="K218" s="139"/>
      <c r="L218" s="139"/>
      <c r="M218" s="139"/>
      <c r="N218" s="139"/>
      <c r="O218" s="112"/>
      <c r="P218" s="131"/>
      <c r="Q218" s="131"/>
      <c r="R218" s="143"/>
      <c r="S218" s="143"/>
    </row>
    <row r="219" customFormat="false" ht="11.25" hidden="false" customHeight="true" outlineLevel="0" collapsed="false">
      <c r="B219" s="143"/>
      <c r="C219" s="51" t="str">
        <f aca="false">C9</f>
        <v>Umsatzerlöse</v>
      </c>
      <c r="D219" s="51" t="str">
        <f aca="false">D9</f>
        <v>Revenues</v>
      </c>
      <c r="E219" s="57" t="str">
        <f aca="false">IFERROR(E9/E$39,"n/a")</f>
        <v>n/a</v>
      </c>
      <c r="F219" s="57" t="str">
        <f aca="false">IFERROR(F9/F$39,"n/a")</f>
        <v>n/a</v>
      </c>
      <c r="G219" s="57" t="str">
        <f aca="false">IFERROR(G9/G$39,"n/a")</f>
        <v>n/a</v>
      </c>
      <c r="H219" s="57" t="str">
        <f aca="false">IFERROR(H9/H$39,"n/a")</f>
        <v>n/a</v>
      </c>
      <c r="I219" s="141" t="str">
        <f aca="false">IFERROR(I9/I$39,"n/a")</f>
        <v>n/a</v>
      </c>
      <c r="J219" s="142" t="str">
        <f aca="false">IFERROR(J9/J$39,"n/a")</f>
        <v>n/a</v>
      </c>
      <c r="K219" s="139" t="str">
        <f aca="false">IFERROR(K9/K$39,"n/a")</f>
        <v>n/a</v>
      </c>
      <c r="L219" s="139" t="str">
        <f aca="false">IFERROR(L9/L$39,"n/a")</f>
        <v>n/a</v>
      </c>
      <c r="M219" s="139" t="str">
        <f aca="false">IFERROR(M9/M$39,"n/a")</f>
        <v>n/a</v>
      </c>
      <c r="N219" s="139" t="str">
        <f aca="false">IFERROR(N9/N$39,"n/a")</f>
        <v>n/a</v>
      </c>
      <c r="O219" s="112"/>
      <c r="P219" s="131"/>
      <c r="Q219" s="131"/>
      <c r="R219" s="143"/>
      <c r="S219" s="143"/>
    </row>
    <row r="220" customFormat="false" ht="11.25" hidden="true" customHeight="true" outlineLevel="2" collapsed="false">
      <c r="C220" s="51" t="str">
        <f aca="false">C18</f>
        <v>Bestandsveränderung</v>
      </c>
      <c r="D220" s="51" t="str">
        <f aca="false">D18</f>
        <v>Change in inventory</v>
      </c>
      <c r="E220" s="57" t="str">
        <f aca="false">IFERROR(E18/E$39,"n/a")</f>
        <v>n/a</v>
      </c>
      <c r="F220" s="57" t="str">
        <f aca="false">IFERROR(F18/F$39,"n/a")</f>
        <v>n/a</v>
      </c>
      <c r="G220" s="57" t="str">
        <f aca="false">IFERROR(G18/G$39,"n/a")</f>
        <v>n/a</v>
      </c>
      <c r="H220" s="57" t="str">
        <f aca="false">IFERROR(H18/H$39,"n/a")</f>
        <v>n/a</v>
      </c>
      <c r="I220" s="141" t="str">
        <f aca="false">IFERROR(I18/I$39,"n/a")</f>
        <v>n/a</v>
      </c>
      <c r="J220" s="142" t="str">
        <f aca="false">IFERROR(J18/J$39,"n/a")</f>
        <v>n/a</v>
      </c>
      <c r="K220" s="139" t="str">
        <f aca="false">IFERROR(K18/K$39,"n/a")</f>
        <v>n/a</v>
      </c>
      <c r="L220" s="139" t="str">
        <f aca="false">IFERROR(L18/L$39,"n/a")</f>
        <v>n/a</v>
      </c>
      <c r="M220" s="139" t="str">
        <f aca="false">IFERROR(M18/M$39,"n/a")</f>
        <v>n/a</v>
      </c>
      <c r="N220" s="139" t="str">
        <f aca="false">IFERROR(N18/N$39,"n/a")</f>
        <v>n/a</v>
      </c>
      <c r="O220" s="112"/>
      <c r="P220" s="131"/>
      <c r="Q220" s="131"/>
    </row>
    <row r="221" customFormat="false" ht="11.25" hidden="true" customHeight="true" outlineLevel="2" collapsed="false">
      <c r="C221" s="51" t="str">
        <f aca="false">C37</f>
        <v>Dummy 2</v>
      </c>
      <c r="D221" s="51" t="str">
        <f aca="false">D37</f>
        <v>Dummy 2</v>
      </c>
      <c r="E221" s="57" t="str">
        <f aca="false">IFERROR(E37/E$39,"n/a")</f>
        <v>n/a</v>
      </c>
      <c r="F221" s="57" t="str">
        <f aca="false">IFERROR(F37/F$39,"n/a")</f>
        <v>n/a</v>
      </c>
      <c r="G221" s="57" t="str">
        <f aca="false">IFERROR(G37/G$39,"n/a")</f>
        <v>n/a</v>
      </c>
      <c r="H221" s="57" t="str">
        <f aca="false">IFERROR(H37/H$39,"n/a")</f>
        <v>n/a</v>
      </c>
      <c r="I221" s="141" t="str">
        <f aca="false">IFERROR(I37/I$39,"n/a")</f>
        <v>n/a</v>
      </c>
      <c r="J221" s="142" t="str">
        <f aca="false">IFERROR(J37/J$39,"n/a")</f>
        <v>n/a</v>
      </c>
      <c r="K221" s="139" t="str">
        <f aca="false">IFERROR(K37/K$39,"n/a")</f>
        <v>n/a</v>
      </c>
      <c r="L221" s="139" t="str">
        <f aca="false">IFERROR(L37/L$39,"n/a")</f>
        <v>n/a</v>
      </c>
      <c r="M221" s="139" t="str">
        <f aca="false">IFERROR(M37/M$39,"n/a")</f>
        <v>n/a</v>
      </c>
      <c r="N221" s="139" t="str">
        <f aca="false">IFERROR(N37/N$39,"n/a")</f>
        <v>n/a</v>
      </c>
      <c r="O221" s="112"/>
      <c r="P221" s="131"/>
      <c r="Q221" s="131"/>
    </row>
    <row r="222" customFormat="false" ht="11.25" hidden="true" customHeight="true" outlineLevel="2" collapsed="false">
      <c r="C222" s="51" t="str">
        <f aca="false">C38</f>
        <v>Dummy 3</v>
      </c>
      <c r="D222" s="51" t="str">
        <f aca="false">D38</f>
        <v>Dummy 3</v>
      </c>
      <c r="E222" s="57" t="str">
        <f aca="false">IFERROR(E38/E$39,"n/a")</f>
        <v>n/a</v>
      </c>
      <c r="F222" s="57" t="str">
        <f aca="false">IFERROR(F38/F$39,"n/a")</f>
        <v>n/a</v>
      </c>
      <c r="G222" s="57" t="str">
        <f aca="false">IFERROR(G38/G$39,"n/a")</f>
        <v>n/a</v>
      </c>
      <c r="H222" s="57" t="str">
        <f aca="false">IFERROR(H38/H$39,"n/a")</f>
        <v>n/a</v>
      </c>
      <c r="I222" s="141" t="str">
        <f aca="false">IFERROR(I38/I$39,"n/a")</f>
        <v>n/a</v>
      </c>
      <c r="J222" s="142" t="str">
        <f aca="false">IFERROR(J38/J$39,"n/a")</f>
        <v>n/a</v>
      </c>
      <c r="K222" s="139" t="str">
        <f aca="false">IFERROR(K38/K$39,"n/a")</f>
        <v>n/a</v>
      </c>
      <c r="L222" s="139" t="str">
        <f aca="false">IFERROR(L38/L$39,"n/a")</f>
        <v>n/a</v>
      </c>
      <c r="M222" s="139" t="str">
        <f aca="false">IFERROR(M38/M$39,"n/a")</f>
        <v>n/a</v>
      </c>
      <c r="N222" s="139" t="str">
        <f aca="false">IFERROR(N38/N$39,"n/a")</f>
        <v>n/a</v>
      </c>
      <c r="O222" s="112"/>
      <c r="P222" s="131"/>
      <c r="Q222" s="131"/>
    </row>
    <row r="223" customFormat="false" ht="11.25" hidden="false" customHeight="true" outlineLevel="0" collapsed="false">
      <c r="C223" s="132" t="str">
        <f aca="false">C39</f>
        <v>Gesamtleistung</v>
      </c>
      <c r="D223" s="132" t="str">
        <f aca="false">D39</f>
        <v>Total output</v>
      </c>
      <c r="E223" s="144" t="str">
        <f aca="false">IFERROR(E39/E$39,"n/a")</f>
        <v>n/a</v>
      </c>
      <c r="F223" s="144" t="str">
        <f aca="false">IFERROR(F39/F$39,"n/a")</f>
        <v>n/a</v>
      </c>
      <c r="G223" s="144" t="str">
        <f aca="false">IFERROR(G39/G$39,"n/a")</f>
        <v>n/a</v>
      </c>
      <c r="H223" s="144" t="str">
        <f aca="false">IFERROR(H39/H$39,"n/a")</f>
        <v>n/a</v>
      </c>
      <c r="I223" s="145" t="str">
        <f aca="false">IFERROR(I39/I$39,"n/a")</f>
        <v>n/a</v>
      </c>
      <c r="J223" s="146" t="str">
        <f aca="false">IFERROR(J39/J$39,"n/a")</f>
        <v>n/a</v>
      </c>
      <c r="K223" s="147" t="str">
        <f aca="false">IFERROR(K39/K$39,"n/a")</f>
        <v>n/a</v>
      </c>
      <c r="L223" s="147" t="str">
        <f aca="false">IFERROR(L39/L$39,"n/a")</f>
        <v>n/a</v>
      </c>
      <c r="M223" s="147" t="str">
        <f aca="false">IFERROR(M39/M$39,"n/a")</f>
        <v>n/a</v>
      </c>
      <c r="N223" s="147" t="str">
        <f aca="false">IFERROR(N39/N$39,"n/a")</f>
        <v>n/a</v>
      </c>
      <c r="O223" s="112"/>
      <c r="P223" s="131"/>
      <c r="Q223" s="131"/>
    </row>
    <row r="224" customFormat="false" ht="11.25" hidden="false" customHeight="true" outlineLevel="0" collapsed="false">
      <c r="B224" s="143"/>
      <c r="C224" s="51" t="str">
        <f aca="false">C40</f>
        <v>Materialaufwand</v>
      </c>
      <c r="D224" s="51" t="str">
        <f aca="false">D40</f>
        <v>Cost of materials</v>
      </c>
      <c r="E224" s="57" t="str">
        <f aca="false">IFERROR(E40/E$39,"n/a")</f>
        <v>n/a</v>
      </c>
      <c r="F224" s="57" t="str">
        <f aca="false">IFERROR(F40/F$39,"n/a")</f>
        <v>n/a</v>
      </c>
      <c r="G224" s="57" t="str">
        <f aca="false">IFERROR(G40/G$39,"n/a")</f>
        <v>n/a</v>
      </c>
      <c r="H224" s="57" t="str">
        <f aca="false">IFERROR(H40/H$39,"n/a")</f>
        <v>n/a</v>
      </c>
      <c r="I224" s="141" t="str">
        <f aca="false">IFERROR(I40/I$39,"n/a")</f>
        <v>n/a</v>
      </c>
      <c r="J224" s="142" t="str">
        <f aca="false">IFERROR(J40/J$39,"n/a")</f>
        <v>n/a</v>
      </c>
      <c r="K224" s="139" t="str">
        <f aca="false">IFERROR(K40/K$39,"n/a")</f>
        <v>n/a</v>
      </c>
      <c r="L224" s="139" t="str">
        <f aca="false">IFERROR(L40/L$39,"n/a")</f>
        <v>n/a</v>
      </c>
      <c r="M224" s="139" t="str">
        <f aca="false">IFERROR(M40/M$39,"n/a")</f>
        <v>n/a</v>
      </c>
      <c r="N224" s="139" t="str">
        <f aca="false">IFERROR(N40/N$39,"n/a")</f>
        <v>n/a</v>
      </c>
      <c r="O224" s="112"/>
      <c r="P224" s="131"/>
      <c r="Q224" s="131"/>
      <c r="R224" s="143"/>
      <c r="S224" s="143"/>
      <c r="T224" s="143"/>
    </row>
    <row r="225" customFormat="false" ht="11.25" hidden="true" customHeight="true" outlineLevel="2" collapsed="false">
      <c r="B225" s="143"/>
      <c r="C225" s="51" t="str">
        <f aca="false">C49</f>
        <v>Dummy 1</v>
      </c>
      <c r="D225" s="51" t="str">
        <f aca="false">D49</f>
        <v>Dummy 1</v>
      </c>
      <c r="E225" s="57" t="str">
        <f aca="false">IFERROR(E49/E$39,"n/a")</f>
        <v>n/a</v>
      </c>
      <c r="F225" s="57" t="str">
        <f aca="false">IFERROR(F49/F$39,"n/a")</f>
        <v>n/a</v>
      </c>
      <c r="G225" s="57" t="str">
        <f aca="false">IFERROR(G49/G$39,"n/a")</f>
        <v>n/a</v>
      </c>
      <c r="H225" s="57" t="str">
        <f aca="false">IFERROR(H49/H$39,"n/a")</f>
        <v>n/a</v>
      </c>
      <c r="I225" s="141" t="str">
        <f aca="false">IFERROR(I49/I$39,"n/a")</f>
        <v>n/a</v>
      </c>
      <c r="J225" s="142" t="str">
        <f aca="false">IFERROR(J49/J$39,"n/a")</f>
        <v>n/a</v>
      </c>
      <c r="K225" s="139" t="str">
        <f aca="false">IFERROR(K49/K$39,"n/a")</f>
        <v>n/a</v>
      </c>
      <c r="L225" s="139" t="str">
        <f aca="false">IFERROR(L49/L$39,"n/a")</f>
        <v>n/a</v>
      </c>
      <c r="M225" s="139" t="str">
        <f aca="false">IFERROR(M49/M$39,"n/a")</f>
        <v>n/a</v>
      </c>
      <c r="N225" s="139" t="str">
        <f aca="false">IFERROR(N49/N$39,"n/a")</f>
        <v>n/a</v>
      </c>
      <c r="O225" s="112"/>
      <c r="P225" s="131"/>
      <c r="Q225" s="131"/>
      <c r="R225" s="143"/>
      <c r="S225" s="143"/>
      <c r="T225" s="143"/>
    </row>
    <row r="226" customFormat="false" ht="11.25" hidden="true" customHeight="true" outlineLevel="2" collapsed="false">
      <c r="B226" s="143"/>
      <c r="C226" s="51" t="str">
        <f aca="false">C50</f>
        <v>Dummy 2</v>
      </c>
      <c r="D226" s="51" t="str">
        <f aca="false">D50</f>
        <v>Dummy 2</v>
      </c>
      <c r="E226" s="57" t="str">
        <f aca="false">IFERROR(E50/E$39,"n/a")</f>
        <v>n/a</v>
      </c>
      <c r="F226" s="57" t="str">
        <f aca="false">IFERROR(F50/F$39,"n/a")</f>
        <v>n/a</v>
      </c>
      <c r="G226" s="57" t="str">
        <f aca="false">IFERROR(G50/G$39,"n/a")</f>
        <v>n/a</v>
      </c>
      <c r="H226" s="57" t="str">
        <f aca="false">IFERROR(H50/H$39,"n/a")</f>
        <v>n/a</v>
      </c>
      <c r="I226" s="141" t="str">
        <f aca="false">IFERROR(I50/I$39,"n/a")</f>
        <v>n/a</v>
      </c>
      <c r="J226" s="142" t="str">
        <f aca="false">IFERROR(J50/J$39,"n/a")</f>
        <v>n/a</v>
      </c>
      <c r="K226" s="139" t="str">
        <f aca="false">IFERROR(K50/K$39,"n/a")</f>
        <v>n/a</v>
      </c>
      <c r="L226" s="139" t="str">
        <f aca="false">IFERROR(L50/L$39,"n/a")</f>
        <v>n/a</v>
      </c>
      <c r="M226" s="139" t="str">
        <f aca="false">IFERROR(M50/M$39,"n/a")</f>
        <v>n/a</v>
      </c>
      <c r="N226" s="139" t="str">
        <f aca="false">IFERROR(N50/N$39,"n/a")</f>
        <v>n/a</v>
      </c>
      <c r="O226" s="112"/>
      <c r="P226" s="131"/>
      <c r="Q226" s="131"/>
      <c r="R226" s="143"/>
      <c r="S226" s="143"/>
      <c r="T226" s="143"/>
    </row>
    <row r="227" customFormat="false" ht="11.25" hidden="true" customHeight="true" outlineLevel="2" collapsed="false">
      <c r="B227" s="143"/>
      <c r="C227" s="51" t="str">
        <f aca="false">C51</f>
        <v>Dummy 3</v>
      </c>
      <c r="D227" s="51" t="str">
        <f aca="false">D51</f>
        <v>Dummy 3</v>
      </c>
      <c r="E227" s="57" t="str">
        <f aca="false">IFERROR(E51/E$39,"n/a")</f>
        <v>n/a</v>
      </c>
      <c r="F227" s="57" t="str">
        <f aca="false">IFERROR(F51/F$39,"n/a")</f>
        <v>n/a</v>
      </c>
      <c r="G227" s="57" t="str">
        <f aca="false">IFERROR(G51/G$39,"n/a")</f>
        <v>n/a</v>
      </c>
      <c r="H227" s="57" t="str">
        <f aca="false">IFERROR(H51/H$39,"n/a")</f>
        <v>n/a</v>
      </c>
      <c r="I227" s="141" t="str">
        <f aca="false">IFERROR(I51/I$39,"n/a")</f>
        <v>n/a</v>
      </c>
      <c r="J227" s="142" t="str">
        <f aca="false">IFERROR(J51/J$39,"n/a")</f>
        <v>n/a</v>
      </c>
      <c r="K227" s="139" t="str">
        <f aca="false">IFERROR(K51/K$39,"n/a")</f>
        <v>n/a</v>
      </c>
      <c r="L227" s="139" t="str">
        <f aca="false">IFERROR(L51/L$39,"n/a")</f>
        <v>n/a</v>
      </c>
      <c r="M227" s="139" t="str">
        <f aca="false">IFERROR(M51/M$39,"n/a")</f>
        <v>n/a</v>
      </c>
      <c r="N227" s="139" t="str">
        <f aca="false">IFERROR(N51/N$39,"n/a")</f>
        <v>n/a</v>
      </c>
      <c r="O227" s="112"/>
      <c r="P227" s="131"/>
      <c r="Q227" s="131"/>
      <c r="R227" s="143"/>
      <c r="S227" s="143"/>
      <c r="T227" s="143"/>
    </row>
    <row r="228" customFormat="false" ht="11.25" hidden="false" customHeight="true" outlineLevel="0" collapsed="false">
      <c r="C228" s="132" t="str">
        <f aca="false">C52</f>
        <v>Rohergebnis</v>
      </c>
      <c r="D228" s="132" t="str">
        <f aca="false">D52</f>
        <v>Gross profit</v>
      </c>
      <c r="E228" s="144" t="str">
        <f aca="false">IFERROR(E52/E$39,"n/a")</f>
        <v>n/a</v>
      </c>
      <c r="F228" s="144" t="str">
        <f aca="false">IFERROR(F52/F$39,"n/a")</f>
        <v>n/a</v>
      </c>
      <c r="G228" s="144" t="str">
        <f aca="false">IFERROR(G52/G$39,"n/a")</f>
        <v>n/a</v>
      </c>
      <c r="H228" s="144" t="str">
        <f aca="false">IFERROR(H52/H$39,"n/a")</f>
        <v>n/a</v>
      </c>
      <c r="I228" s="145" t="str">
        <f aca="false">IFERROR(I52/I$39,"n/a")</f>
        <v>n/a</v>
      </c>
      <c r="J228" s="146" t="str">
        <f aca="false">IFERROR(J52/J$39,"n/a")</f>
        <v>n/a</v>
      </c>
      <c r="K228" s="147" t="str">
        <f aca="false">IFERROR(K52/K$39,"n/a")</f>
        <v>n/a</v>
      </c>
      <c r="L228" s="147" t="str">
        <f aca="false">IFERROR(L52/L$39,"n/a")</f>
        <v>n/a</v>
      </c>
      <c r="M228" s="147" t="str">
        <f aca="false">IFERROR(M52/M$39,"n/a")</f>
        <v>n/a</v>
      </c>
      <c r="N228" s="147" t="str">
        <f aca="false">IFERROR(N52/N$39,"n/a")</f>
        <v>n/a</v>
      </c>
      <c r="O228" s="112"/>
      <c r="P228" s="131"/>
      <c r="Q228" s="131"/>
    </row>
    <row r="229" customFormat="false" ht="11.25" hidden="false" customHeight="true" outlineLevel="0" collapsed="false">
      <c r="C229" s="51" t="str">
        <f aca="false">C53</f>
        <v>Personalaufwand</v>
      </c>
      <c r="D229" s="51" t="str">
        <f aca="false">D53</f>
        <v>Personnel expenses</v>
      </c>
      <c r="E229" s="57" t="str">
        <f aca="false">IFERROR(E53/E$39,"n/a")</f>
        <v>n/a</v>
      </c>
      <c r="F229" s="57" t="str">
        <f aca="false">IFERROR(F53/F$39,"n/a")</f>
        <v>n/a</v>
      </c>
      <c r="G229" s="57" t="str">
        <f aca="false">IFERROR(G53/G$39,"n/a")</f>
        <v>n/a</v>
      </c>
      <c r="H229" s="57" t="str">
        <f aca="false">IFERROR(H53/H$39,"n/a")</f>
        <v>n/a</v>
      </c>
      <c r="I229" s="141" t="str">
        <f aca="false">IFERROR(I53/I$39,"n/a")</f>
        <v>n/a</v>
      </c>
      <c r="J229" s="142" t="str">
        <f aca="false">IFERROR(J53/J$39,"n/a")</f>
        <v>n/a</v>
      </c>
      <c r="K229" s="139" t="str">
        <f aca="false">IFERROR(K53/K$39,"n/a")</f>
        <v>n/a</v>
      </c>
      <c r="L229" s="139" t="str">
        <f aca="false">IFERROR(L53/L$39,"n/a")</f>
        <v>n/a</v>
      </c>
      <c r="M229" s="139" t="str">
        <f aca="false">IFERROR(M53/M$39,"n/a")</f>
        <v>n/a</v>
      </c>
      <c r="N229" s="139" t="str">
        <f aca="false">IFERROR(N53/N$39,"n/a")</f>
        <v>n/a</v>
      </c>
      <c r="O229" s="112"/>
      <c r="P229" s="131"/>
      <c r="Q229" s="131"/>
    </row>
    <row r="230" customFormat="false" ht="11.25" hidden="false" customHeight="true" outlineLevel="0" collapsed="false">
      <c r="C230" s="51" t="str">
        <f aca="false">C62</f>
        <v>Raumkosten</v>
      </c>
      <c r="D230" s="51" t="str">
        <f aca="false">D62</f>
        <v>Premise costs</v>
      </c>
      <c r="E230" s="57" t="str">
        <f aca="false">IFERROR(E62/E$39,"n/a")</f>
        <v>n/a</v>
      </c>
      <c r="F230" s="57" t="str">
        <f aca="false">IFERROR(F62/F$39,"n/a")</f>
        <v>n/a</v>
      </c>
      <c r="G230" s="57" t="str">
        <f aca="false">IFERROR(G62/G$39,"n/a")</f>
        <v>n/a</v>
      </c>
      <c r="H230" s="57" t="str">
        <f aca="false">IFERROR(H62/H$39,"n/a")</f>
        <v>n/a</v>
      </c>
      <c r="I230" s="141" t="str">
        <f aca="false">IFERROR(I62/I$39,"n/a")</f>
        <v>n/a</v>
      </c>
      <c r="J230" s="142" t="str">
        <f aca="false">IFERROR(J62/J$39,"n/a")</f>
        <v>n/a</v>
      </c>
      <c r="K230" s="139" t="str">
        <f aca="false">IFERROR(K62/K$39,"n/a")</f>
        <v>n/a</v>
      </c>
      <c r="L230" s="139" t="str">
        <f aca="false">IFERROR(L62/L$39,"n/a")</f>
        <v>n/a</v>
      </c>
      <c r="M230" s="139" t="str">
        <f aca="false">IFERROR(M62/M$39,"n/a")</f>
        <v>n/a</v>
      </c>
      <c r="N230" s="139" t="str">
        <f aca="false">IFERROR(N62/N$39,"n/a")</f>
        <v>n/a</v>
      </c>
      <c r="O230" s="112"/>
      <c r="P230" s="131"/>
      <c r="Q230" s="131"/>
    </row>
    <row r="231" customFormat="false" ht="11.25" hidden="false" customHeight="true" outlineLevel="0" collapsed="false">
      <c r="C231" s="51" t="str">
        <f aca="false">C71</f>
        <v>Reparaturen und Instandhaltungen</v>
      </c>
      <c r="D231" s="51" t="str">
        <f aca="false">D71</f>
        <v>Repair and maintenance</v>
      </c>
      <c r="E231" s="57" t="str">
        <f aca="false">IFERROR(E71/E$39,"n/a")</f>
        <v>n/a</v>
      </c>
      <c r="F231" s="57" t="str">
        <f aca="false">IFERROR(F71/F$39,"n/a")</f>
        <v>n/a</v>
      </c>
      <c r="G231" s="57" t="str">
        <f aca="false">IFERROR(G71/G$39,"n/a")</f>
        <v>n/a</v>
      </c>
      <c r="H231" s="57" t="str">
        <f aca="false">IFERROR(H71/H$39,"n/a")</f>
        <v>n/a</v>
      </c>
      <c r="I231" s="141" t="str">
        <f aca="false">IFERROR(I71/I$39,"n/a")</f>
        <v>n/a</v>
      </c>
      <c r="J231" s="142" t="str">
        <f aca="false">IFERROR(J71/J$39,"n/a")</f>
        <v>n/a</v>
      </c>
      <c r="K231" s="139" t="str">
        <f aca="false">IFERROR(K71/K$39,"n/a")</f>
        <v>n/a</v>
      </c>
      <c r="L231" s="139" t="str">
        <f aca="false">IFERROR(L71/L$39,"n/a")</f>
        <v>n/a</v>
      </c>
      <c r="M231" s="139" t="str">
        <f aca="false">IFERROR(M71/M$39,"n/a")</f>
        <v>n/a</v>
      </c>
      <c r="N231" s="139" t="str">
        <f aca="false">IFERROR(N71/N$39,"n/a")</f>
        <v>n/a</v>
      </c>
      <c r="O231" s="112"/>
      <c r="P231" s="131"/>
      <c r="Q231" s="131"/>
    </row>
    <row r="232" customFormat="false" ht="11.25" hidden="false" customHeight="true" outlineLevel="0" collapsed="false">
      <c r="C232" s="51" t="str">
        <f aca="false">C80</f>
        <v>Vertriebskosten</v>
      </c>
      <c r="D232" s="51" t="str">
        <f aca="false">D80</f>
        <v>Sales costs</v>
      </c>
      <c r="E232" s="57" t="str">
        <f aca="false">IFERROR(E80/E$39,"n/a")</f>
        <v>n/a</v>
      </c>
      <c r="F232" s="57" t="str">
        <f aca="false">IFERROR(F80/F$39,"n/a")</f>
        <v>n/a</v>
      </c>
      <c r="G232" s="57" t="str">
        <f aca="false">IFERROR(G80/G$39,"n/a")</f>
        <v>n/a</v>
      </c>
      <c r="H232" s="57" t="str">
        <f aca="false">IFERROR(H80/H$39,"n/a")</f>
        <v>n/a</v>
      </c>
      <c r="I232" s="141" t="str">
        <f aca="false">IFERROR(I80/I$39,"n/a")</f>
        <v>n/a</v>
      </c>
      <c r="J232" s="142" t="str">
        <f aca="false">IFERROR(J80/J$39,"n/a")</f>
        <v>n/a</v>
      </c>
      <c r="K232" s="139" t="str">
        <f aca="false">IFERROR(K80/K$39,"n/a")</f>
        <v>n/a</v>
      </c>
      <c r="L232" s="139" t="str">
        <f aca="false">IFERROR(L80/L$39,"n/a")</f>
        <v>n/a</v>
      </c>
      <c r="M232" s="139" t="str">
        <f aca="false">IFERROR(M80/M$39,"n/a")</f>
        <v>n/a</v>
      </c>
      <c r="N232" s="139" t="str">
        <f aca="false">IFERROR(N80/N$39,"n/a")</f>
        <v>n/a</v>
      </c>
      <c r="O232" s="112"/>
      <c r="P232" s="131"/>
      <c r="Q232" s="131"/>
    </row>
    <row r="233" customFormat="false" ht="11.25" hidden="false" customHeight="true" outlineLevel="0" collapsed="false">
      <c r="C233" s="51" t="str">
        <f aca="false">C89</f>
        <v>Kosten der Warenabgabe</v>
      </c>
      <c r="D233" s="51" t="str">
        <f aca="false">D89</f>
        <v>Delivery costs</v>
      </c>
      <c r="E233" s="57" t="str">
        <f aca="false">IFERROR(E89/E$39,"n/a")</f>
        <v>n/a</v>
      </c>
      <c r="F233" s="57" t="str">
        <f aca="false">IFERROR(F89/F$39,"n/a")</f>
        <v>n/a</v>
      </c>
      <c r="G233" s="57" t="str">
        <f aca="false">IFERROR(G89/G$39,"n/a")</f>
        <v>n/a</v>
      </c>
      <c r="H233" s="57" t="str">
        <f aca="false">IFERROR(H89/H$39,"n/a")</f>
        <v>n/a</v>
      </c>
      <c r="I233" s="141" t="str">
        <f aca="false">IFERROR(I89/I$39,"n/a")</f>
        <v>n/a</v>
      </c>
      <c r="J233" s="142" t="str">
        <f aca="false">IFERROR(J89/J$39,"n/a")</f>
        <v>n/a</v>
      </c>
      <c r="K233" s="139" t="str">
        <f aca="false">IFERROR(K89/K$39,"n/a")</f>
        <v>n/a</v>
      </c>
      <c r="L233" s="139" t="str">
        <f aca="false">IFERROR(L89/L$39,"n/a")</f>
        <v>n/a</v>
      </c>
      <c r="M233" s="139" t="str">
        <f aca="false">IFERROR(M89/M$39,"n/a")</f>
        <v>n/a</v>
      </c>
      <c r="N233" s="139" t="str">
        <f aca="false">IFERROR(N89/N$39,"n/a")</f>
        <v>n/a</v>
      </c>
      <c r="O233" s="112"/>
      <c r="P233" s="131"/>
      <c r="Q233" s="131"/>
    </row>
    <row r="234" customFormat="false" ht="11.25" hidden="false" customHeight="true" outlineLevel="0" collapsed="false">
      <c r="C234" s="51" t="str">
        <f aca="false">C98</f>
        <v>Fahrzeugkosten</v>
      </c>
      <c r="D234" s="51" t="str">
        <f aca="false">D98</f>
        <v>Vehicle costs</v>
      </c>
      <c r="E234" s="57" t="str">
        <f aca="false">IFERROR(E98/E$39,"n/a")</f>
        <v>n/a</v>
      </c>
      <c r="F234" s="57" t="str">
        <f aca="false">IFERROR(F98/F$39,"n/a")</f>
        <v>n/a</v>
      </c>
      <c r="G234" s="57" t="str">
        <f aca="false">IFERROR(G98/G$39,"n/a")</f>
        <v>n/a</v>
      </c>
      <c r="H234" s="57" t="str">
        <f aca="false">IFERROR(H98/H$39,"n/a")</f>
        <v>n/a</v>
      </c>
      <c r="I234" s="141" t="str">
        <f aca="false">IFERROR(I98/I$39,"n/a")</f>
        <v>n/a</v>
      </c>
      <c r="J234" s="142" t="str">
        <f aca="false">IFERROR(J98/J$39,"n/a")</f>
        <v>n/a</v>
      </c>
      <c r="K234" s="139" t="str">
        <f aca="false">IFERROR(K98/K$39,"n/a")</f>
        <v>n/a</v>
      </c>
      <c r="L234" s="139" t="str">
        <f aca="false">IFERROR(L98/L$39,"n/a")</f>
        <v>n/a</v>
      </c>
      <c r="M234" s="139" t="str">
        <f aca="false">IFERROR(M98/M$39,"n/a")</f>
        <v>n/a</v>
      </c>
      <c r="N234" s="139" t="str">
        <f aca="false">IFERROR(N98/N$39,"n/a")</f>
        <v>n/a</v>
      </c>
      <c r="O234" s="112"/>
      <c r="P234" s="131"/>
      <c r="Q234" s="131"/>
    </row>
    <row r="235" customFormat="false" ht="11.25" hidden="false" customHeight="true" outlineLevel="0" collapsed="false">
      <c r="C235" s="51" t="str">
        <f aca="false">C107</f>
        <v>Versicherung, Beiträge und Abgaben</v>
      </c>
      <c r="D235" s="51" t="str">
        <f aca="false">D107</f>
        <v>Insurance, contributions and levies expenses</v>
      </c>
      <c r="E235" s="57" t="str">
        <f aca="false">IFERROR(E107/E$39,"n/a")</f>
        <v>n/a</v>
      </c>
      <c r="F235" s="57" t="str">
        <f aca="false">IFERROR(F107/F$39,"n/a")</f>
        <v>n/a</v>
      </c>
      <c r="G235" s="57" t="str">
        <f aca="false">IFERROR(G107/G$39,"n/a")</f>
        <v>n/a</v>
      </c>
      <c r="H235" s="57" t="str">
        <f aca="false">IFERROR(H107/H$39,"n/a")</f>
        <v>n/a</v>
      </c>
      <c r="I235" s="141" t="str">
        <f aca="false">IFERROR(I107/I$39,"n/a")</f>
        <v>n/a</v>
      </c>
      <c r="J235" s="142" t="str">
        <f aca="false">IFERROR(J107/J$39,"n/a")</f>
        <v>n/a</v>
      </c>
      <c r="K235" s="139" t="str">
        <f aca="false">IFERROR(K107/K$39,"n/a")</f>
        <v>n/a</v>
      </c>
      <c r="L235" s="139" t="str">
        <f aca="false">IFERROR(L107/L$39,"n/a")</f>
        <v>n/a</v>
      </c>
      <c r="M235" s="139" t="str">
        <f aca="false">IFERROR(M107/M$39,"n/a")</f>
        <v>n/a</v>
      </c>
      <c r="N235" s="139" t="str">
        <f aca="false">IFERROR(N107/N$39,"n/a")</f>
        <v>n/a</v>
      </c>
      <c r="O235" s="112"/>
      <c r="P235" s="131"/>
      <c r="Q235" s="131"/>
    </row>
    <row r="236" customFormat="false" ht="11.25" hidden="false" customHeight="true" outlineLevel="0" collapsed="false">
      <c r="C236" s="51" t="str">
        <f aca="false">C116</f>
        <v>Werbe- und Reisekosten</v>
      </c>
      <c r="D236" s="51" t="str">
        <f aca="false">D116</f>
        <v>Advertising and travel expenses</v>
      </c>
      <c r="E236" s="57" t="str">
        <f aca="false">IFERROR(E116/E$39,"n/a")</f>
        <v>n/a</v>
      </c>
      <c r="F236" s="57" t="str">
        <f aca="false">IFERROR(F116/F$39,"n/a")</f>
        <v>n/a</v>
      </c>
      <c r="G236" s="57" t="str">
        <f aca="false">IFERROR(G116/G$39,"n/a")</f>
        <v>n/a</v>
      </c>
      <c r="H236" s="57" t="str">
        <f aca="false">IFERROR(H116/H$39,"n/a")</f>
        <v>n/a</v>
      </c>
      <c r="I236" s="141" t="str">
        <f aca="false">IFERROR(I116/I$39,"n/a")</f>
        <v>n/a</v>
      </c>
      <c r="J236" s="142" t="str">
        <f aca="false">IFERROR(J116/J$39,"n/a")</f>
        <v>n/a</v>
      </c>
      <c r="K236" s="139" t="str">
        <f aca="false">IFERROR(K116/K$39,"n/a")</f>
        <v>n/a</v>
      </c>
      <c r="L236" s="139" t="str">
        <f aca="false">IFERROR(L116/L$39,"n/a")</f>
        <v>n/a</v>
      </c>
      <c r="M236" s="139" t="str">
        <f aca="false">IFERROR(M116/M$39,"n/a")</f>
        <v>n/a</v>
      </c>
      <c r="N236" s="139" t="str">
        <f aca="false">IFERROR(N116/N$39,"n/a")</f>
        <v>n/a</v>
      </c>
      <c r="O236" s="112"/>
      <c r="P236" s="131"/>
      <c r="Q236" s="131"/>
    </row>
    <row r="237" customFormat="false" ht="11.25" hidden="true" customHeight="true" outlineLevel="2" collapsed="false">
      <c r="C237" s="51" t="str">
        <f aca="false">C125</f>
        <v>Sonstige betriebliche Erträge</v>
      </c>
      <c r="D237" s="51" t="str">
        <f aca="false">D125</f>
        <v>Other operating income</v>
      </c>
      <c r="E237" s="57" t="str">
        <f aca="false">IFERROR(E125/E$39,"n/a")</f>
        <v>n/a</v>
      </c>
      <c r="F237" s="57" t="str">
        <f aca="false">IFERROR(F125/F$39,"n/a")</f>
        <v>n/a</v>
      </c>
      <c r="G237" s="57" t="str">
        <f aca="false">IFERROR(G125/G$39,"n/a")</f>
        <v>n/a</v>
      </c>
      <c r="H237" s="57" t="str">
        <f aca="false">IFERROR(H125/H$39,"n/a")</f>
        <v>n/a</v>
      </c>
      <c r="I237" s="141" t="str">
        <f aca="false">IFERROR(I125/I$39,"n/a")</f>
        <v>n/a</v>
      </c>
      <c r="J237" s="142" t="str">
        <f aca="false">IFERROR(J125/J$39,"n/a")</f>
        <v>n/a</v>
      </c>
      <c r="K237" s="139" t="str">
        <f aca="false">IFERROR(K125/K$39,"n/a")</f>
        <v>n/a</v>
      </c>
      <c r="L237" s="139" t="str">
        <f aca="false">IFERROR(L125/L$39,"n/a")</f>
        <v>n/a</v>
      </c>
      <c r="M237" s="139" t="str">
        <f aca="false">IFERROR(M125/M$39,"n/a")</f>
        <v>n/a</v>
      </c>
      <c r="N237" s="139" t="str">
        <f aca="false">IFERROR(N125/N$39,"n/a")</f>
        <v>n/a</v>
      </c>
      <c r="O237" s="112"/>
      <c r="P237" s="131"/>
      <c r="Q237" s="131"/>
    </row>
    <row r="238" customFormat="false" ht="11.25" hidden="true" customHeight="true" outlineLevel="2" collapsed="false">
      <c r="C238" s="51" t="str">
        <f aca="false">C134</f>
        <v>Sonstige betriebliche Aufwendungen</v>
      </c>
      <c r="D238" s="51" t="str">
        <f aca="false">D134</f>
        <v>Other operating expenses</v>
      </c>
      <c r="E238" s="57" t="str">
        <f aca="false">IFERROR(E134/E$39,"n/a")</f>
        <v>n/a</v>
      </c>
      <c r="F238" s="57" t="str">
        <f aca="false">IFERROR(F134/F$39,"n/a")</f>
        <v>n/a</v>
      </c>
      <c r="G238" s="57" t="str">
        <f aca="false">IFERROR(G134/G$39,"n/a")</f>
        <v>n/a</v>
      </c>
      <c r="H238" s="57" t="str">
        <f aca="false">IFERROR(H134/H$39,"n/a")</f>
        <v>n/a</v>
      </c>
      <c r="I238" s="141" t="str">
        <f aca="false">IFERROR(I134/I$39,"n/a")</f>
        <v>n/a</v>
      </c>
      <c r="J238" s="142" t="str">
        <f aca="false">IFERROR(J134/J$39,"n/a")</f>
        <v>n/a</v>
      </c>
      <c r="K238" s="139" t="str">
        <f aca="false">IFERROR(K134/K$39,"n/a")</f>
        <v>n/a</v>
      </c>
      <c r="L238" s="139" t="str">
        <f aca="false">IFERROR(L134/L$39,"n/a")</f>
        <v>n/a</v>
      </c>
      <c r="M238" s="139" t="str">
        <f aca="false">IFERROR(M134/M$39,"n/a")</f>
        <v>n/a</v>
      </c>
      <c r="N238" s="139" t="str">
        <f aca="false">IFERROR(N134/N$39,"n/a")</f>
        <v>n/a</v>
      </c>
      <c r="O238" s="112"/>
      <c r="P238" s="131"/>
      <c r="Q238" s="131"/>
    </row>
    <row r="239" customFormat="false" ht="11.25" hidden="true" customHeight="true" outlineLevel="2" collapsed="false">
      <c r="C239" s="51" t="str">
        <f aca="false">C143</f>
        <v>Dummy 1</v>
      </c>
      <c r="D239" s="51" t="str">
        <f aca="false">D143</f>
        <v>Dummy 1</v>
      </c>
      <c r="E239" s="57" t="str">
        <f aca="false">IFERROR(E143/E$39,"n/a")</f>
        <v>n/a</v>
      </c>
      <c r="F239" s="57" t="str">
        <f aca="false">IFERROR(F143/F$39,"n/a")</f>
        <v>n/a</v>
      </c>
      <c r="G239" s="57" t="str">
        <f aca="false">IFERROR(G143/G$39,"n/a")</f>
        <v>n/a</v>
      </c>
      <c r="H239" s="57" t="str">
        <f aca="false">IFERROR(H143/H$39,"n/a")</f>
        <v>n/a</v>
      </c>
      <c r="I239" s="141" t="str">
        <f aca="false">IFERROR(I143/I$39,"n/a")</f>
        <v>n/a</v>
      </c>
      <c r="J239" s="142" t="str">
        <f aca="false">IFERROR(J143/J$39,"n/a")</f>
        <v>n/a</v>
      </c>
      <c r="K239" s="139" t="str">
        <f aca="false">IFERROR(K144/K$39,"n/a")</f>
        <v>n/a</v>
      </c>
      <c r="L239" s="139" t="str">
        <f aca="false">IFERROR(L144/L$39,"n/a")</f>
        <v>n/a</v>
      </c>
      <c r="M239" s="139" t="str">
        <f aca="false">IFERROR(M144/M$39,"n/a")</f>
        <v>n/a</v>
      </c>
      <c r="N239" s="139" t="str">
        <f aca="false">IFERROR(N144/N$39,"n/a")</f>
        <v>n/a</v>
      </c>
      <c r="O239" s="112"/>
      <c r="P239" s="131"/>
      <c r="Q239" s="131"/>
    </row>
    <row r="240" customFormat="false" ht="11.25" hidden="true" customHeight="true" outlineLevel="2" collapsed="false">
      <c r="C240" s="51" t="str">
        <f aca="false">C144</f>
        <v>Dummy 2</v>
      </c>
      <c r="D240" s="51" t="str">
        <f aca="false">D144</f>
        <v>Dummy 2</v>
      </c>
      <c r="E240" s="57" t="str">
        <f aca="false">IFERROR(E144/E$39,"n/a")</f>
        <v>n/a</v>
      </c>
      <c r="F240" s="57" t="str">
        <f aca="false">IFERROR(F144/F$39,"n/a")</f>
        <v>n/a</v>
      </c>
      <c r="G240" s="57" t="str">
        <f aca="false">IFERROR(G144/G$39,"n/a")</f>
        <v>n/a</v>
      </c>
      <c r="H240" s="57" t="str">
        <f aca="false">IFERROR(H144/H$39,"n/a")</f>
        <v>n/a</v>
      </c>
      <c r="I240" s="141" t="str">
        <f aca="false">IFERROR(I144/I$39,"n/a")</f>
        <v>n/a</v>
      </c>
      <c r="J240" s="142" t="str">
        <f aca="false">IFERROR(J144/J$39,"n/a")</f>
        <v>n/a</v>
      </c>
      <c r="K240" s="139" t="str">
        <f aca="false">IFERROR(K145/K$39,"n/a")</f>
        <v>n/a</v>
      </c>
      <c r="L240" s="139" t="str">
        <f aca="false">IFERROR(L145/L$39,"n/a")</f>
        <v>n/a</v>
      </c>
      <c r="M240" s="139" t="str">
        <f aca="false">IFERROR(M145/M$39,"n/a")</f>
        <v>n/a</v>
      </c>
      <c r="N240" s="139" t="str">
        <f aca="false">IFERROR(N145/N$39,"n/a")</f>
        <v>n/a</v>
      </c>
      <c r="O240" s="112"/>
      <c r="P240" s="131"/>
      <c r="Q240" s="131"/>
    </row>
    <row r="241" customFormat="false" ht="11.25" hidden="true" customHeight="true" outlineLevel="2" collapsed="false">
      <c r="C241" s="51" t="str">
        <f aca="false">C145</f>
        <v>Dummy 3</v>
      </c>
      <c r="D241" s="51" t="str">
        <f aca="false">D145</f>
        <v>Dummy 3</v>
      </c>
      <c r="E241" s="57" t="str">
        <f aca="false">IFERROR(E145/E$39,"n/a")</f>
        <v>n/a</v>
      </c>
      <c r="F241" s="57" t="str">
        <f aca="false">IFERROR(F145/F$39,"n/a")</f>
        <v>n/a</v>
      </c>
      <c r="G241" s="57" t="str">
        <f aca="false">IFERROR(G145/G$39,"n/a")</f>
        <v>n/a</v>
      </c>
      <c r="H241" s="57" t="str">
        <f aca="false">IFERROR(H145/H$39,"n/a")</f>
        <v>n/a</v>
      </c>
      <c r="I241" s="141" t="str">
        <f aca="false">IFERROR(I145/I$39,"n/a")</f>
        <v>n/a</v>
      </c>
      <c r="J241" s="142" t="str">
        <f aca="false">IFERROR(J145/J$39,"n/a")</f>
        <v>n/a</v>
      </c>
      <c r="K241" s="139" t="str">
        <f aca="false">IFERROR(K146/K$39,"n/a")</f>
        <v>n/a</v>
      </c>
      <c r="L241" s="139" t="str">
        <f aca="false">IFERROR(L146/L$39,"n/a")</f>
        <v>n/a</v>
      </c>
      <c r="M241" s="139" t="str">
        <f aca="false">IFERROR(M146/M$39,"n/a")</f>
        <v>n/a</v>
      </c>
      <c r="N241" s="139" t="str">
        <f aca="false">IFERROR(N146/N$39,"n/a")</f>
        <v>n/a</v>
      </c>
      <c r="O241" s="112"/>
      <c r="P241" s="131"/>
      <c r="Q241" s="131"/>
    </row>
    <row r="242" customFormat="false" ht="11.25" hidden="false" customHeight="true" outlineLevel="0" collapsed="false">
      <c r="C242" s="132" t="str">
        <f aca="false">C146</f>
        <v>EBITDA</v>
      </c>
      <c r="D242" s="132" t="str">
        <f aca="false">D146</f>
        <v>EBITDA</v>
      </c>
      <c r="E242" s="144" t="str">
        <f aca="false">IFERROR(E146/E$39,"n/a")</f>
        <v>n/a</v>
      </c>
      <c r="F242" s="144" t="str">
        <f aca="false">IFERROR(F146/F$39,"n/a")</f>
        <v>n/a</v>
      </c>
      <c r="G242" s="144" t="str">
        <f aca="false">IFERROR(G146/G$39,"n/a")</f>
        <v>n/a</v>
      </c>
      <c r="H242" s="144" t="str">
        <f aca="false">IFERROR(H146/H$39,"n/a")</f>
        <v>n/a</v>
      </c>
      <c r="I242" s="145" t="str">
        <f aca="false">IFERROR(I146/I$39,"n/a")</f>
        <v>n/a</v>
      </c>
      <c r="J242" s="146" t="str">
        <f aca="false">IFERROR(J146/J$39,"n/a")</f>
        <v>n/a</v>
      </c>
      <c r="K242" s="147" t="str">
        <f aca="false">IFERROR(K146/K$39,"n/a")</f>
        <v>n/a</v>
      </c>
      <c r="L242" s="147" t="str">
        <f aca="false">IFERROR(L146/L$39,"n/a")</f>
        <v>n/a</v>
      </c>
      <c r="M242" s="147" t="str">
        <f aca="false">IFERROR(M146/M$39,"n/a")</f>
        <v>n/a</v>
      </c>
      <c r="N242" s="147" t="str">
        <f aca="false">IFERROR(N146/N$39,"n/a")</f>
        <v>n/a</v>
      </c>
      <c r="O242" s="112"/>
      <c r="P242" s="131"/>
      <c r="Q242" s="131"/>
    </row>
    <row r="243" customFormat="false" ht="11.25" hidden="true" customHeight="true" outlineLevel="1" collapsed="false">
      <c r="C243" s="51" t="str">
        <f aca="false">C147</f>
        <v>Abschreibungen</v>
      </c>
      <c r="D243" s="51" t="str">
        <f aca="false">D147</f>
        <v>Depreciation</v>
      </c>
      <c r="E243" s="57" t="str">
        <f aca="false">IFERROR(E147/E$39,"n/a")</f>
        <v>n/a</v>
      </c>
      <c r="F243" s="57" t="str">
        <f aca="false">IFERROR(F147/F$39,"n/a")</f>
        <v>n/a</v>
      </c>
      <c r="G243" s="57" t="str">
        <f aca="false">IFERROR(G147/G$39,"n/a")</f>
        <v>n/a</v>
      </c>
      <c r="H243" s="57" t="str">
        <f aca="false">IFERROR(H147/H$39,"n/a")</f>
        <v>n/a</v>
      </c>
      <c r="I243" s="141" t="str">
        <f aca="false">IFERROR(I147/I$39,"n/a")</f>
        <v>n/a</v>
      </c>
      <c r="J243" s="142" t="str">
        <f aca="false">IFERROR(J147/J$39,"n/a")</f>
        <v>n/a</v>
      </c>
      <c r="K243" s="139" t="str">
        <f aca="false">IFERROR(K147/K$39,"n/a")</f>
        <v>n/a</v>
      </c>
      <c r="L243" s="139" t="str">
        <f aca="false">IFERROR(L147/L$39,"n/a")</f>
        <v>n/a</v>
      </c>
      <c r="M243" s="139" t="str">
        <f aca="false">IFERROR(M147/M$39,"n/a")</f>
        <v>n/a</v>
      </c>
      <c r="N243" s="139" t="str">
        <f aca="false">IFERROR(N147/N$39,"n/a")</f>
        <v>n/a</v>
      </c>
      <c r="O243" s="112"/>
      <c r="P243" s="131"/>
      <c r="Q243" s="131"/>
    </row>
    <row r="244" customFormat="false" ht="11.25" hidden="true" customHeight="true" outlineLevel="3" collapsed="false">
      <c r="C244" s="51" t="str">
        <f aca="false">C156</f>
        <v>Dummy 1</v>
      </c>
      <c r="D244" s="51" t="str">
        <f aca="false">D156</f>
        <v>Dummy 1</v>
      </c>
      <c r="E244" s="57" t="str">
        <f aca="false">IFERROR(E156/E$39,"n/a")</f>
        <v>n/a</v>
      </c>
      <c r="F244" s="57" t="str">
        <f aca="false">IFERROR(F156/F$39,"n/a")</f>
        <v>n/a</v>
      </c>
      <c r="G244" s="57" t="str">
        <f aca="false">IFERROR(G156/G$39,"n/a")</f>
        <v>n/a</v>
      </c>
      <c r="H244" s="57" t="str">
        <f aca="false">IFERROR(H156/H$39,"n/a")</f>
        <v>n/a</v>
      </c>
      <c r="I244" s="141" t="str">
        <f aca="false">IFERROR(I156/I$39,"n/a")</f>
        <v>n/a</v>
      </c>
      <c r="J244" s="142" t="str">
        <f aca="false">IFERROR(J156/J$39,"n/a")</f>
        <v>n/a</v>
      </c>
      <c r="K244" s="139" t="str">
        <f aca="false">IFERROR(K156/K$39,"n/a")</f>
        <v>n/a</v>
      </c>
      <c r="L244" s="139" t="str">
        <f aca="false">IFERROR(L156/L$39,"n/a")</f>
        <v>n/a</v>
      </c>
      <c r="M244" s="139" t="str">
        <f aca="false">IFERROR(M156/M$39,"n/a")</f>
        <v>n/a</v>
      </c>
      <c r="N244" s="139" t="str">
        <f aca="false">IFERROR(N156/N$39,"n/a")</f>
        <v>n/a</v>
      </c>
      <c r="O244" s="112"/>
      <c r="P244" s="131"/>
      <c r="Q244" s="131"/>
    </row>
    <row r="245" customFormat="false" ht="11.25" hidden="true" customHeight="true" outlineLevel="3" collapsed="false">
      <c r="C245" s="51" t="str">
        <f aca="false">C157</f>
        <v>Dummy 2</v>
      </c>
      <c r="D245" s="51" t="str">
        <f aca="false">D157</f>
        <v>Dummy 2</v>
      </c>
      <c r="E245" s="57" t="str">
        <f aca="false">IFERROR(E157/E$39,"n/a")</f>
        <v>n/a</v>
      </c>
      <c r="F245" s="57" t="str">
        <f aca="false">IFERROR(F157/F$39,"n/a")</f>
        <v>n/a</v>
      </c>
      <c r="G245" s="57" t="str">
        <f aca="false">IFERROR(G157/G$39,"n/a")</f>
        <v>n/a</v>
      </c>
      <c r="H245" s="57" t="str">
        <f aca="false">IFERROR(H157/H$39,"n/a")</f>
        <v>n/a</v>
      </c>
      <c r="I245" s="141" t="str">
        <f aca="false">IFERROR(I157/I$39,"n/a")</f>
        <v>n/a</v>
      </c>
      <c r="J245" s="142" t="str">
        <f aca="false">IFERROR(J157/J$39,"n/a")</f>
        <v>n/a</v>
      </c>
      <c r="K245" s="139" t="str">
        <f aca="false">IFERROR(K157/K$39,"n/a")</f>
        <v>n/a</v>
      </c>
      <c r="L245" s="139" t="str">
        <f aca="false">IFERROR(L157/L$39,"n/a")</f>
        <v>n/a</v>
      </c>
      <c r="M245" s="139" t="str">
        <f aca="false">IFERROR(M157/M$39,"n/a")</f>
        <v>n/a</v>
      </c>
      <c r="N245" s="139" t="str">
        <f aca="false">IFERROR(N157/N$39,"n/a")</f>
        <v>n/a</v>
      </c>
      <c r="O245" s="112"/>
      <c r="P245" s="131"/>
      <c r="Q245" s="131"/>
    </row>
    <row r="246" customFormat="false" ht="11.25" hidden="true" customHeight="true" outlineLevel="3" collapsed="false">
      <c r="C246" s="51" t="str">
        <f aca="false">C158</f>
        <v>Dummy 3</v>
      </c>
      <c r="D246" s="51" t="str">
        <f aca="false">D158</f>
        <v>Dummy 3</v>
      </c>
      <c r="E246" s="57" t="str">
        <f aca="false">IFERROR(E158/E$39,"n/a")</f>
        <v>n/a</v>
      </c>
      <c r="F246" s="57" t="str">
        <f aca="false">IFERROR(F158/F$39,"n/a")</f>
        <v>n/a</v>
      </c>
      <c r="G246" s="57" t="str">
        <f aca="false">IFERROR(G158/G$39,"n/a")</f>
        <v>n/a</v>
      </c>
      <c r="H246" s="57" t="str">
        <f aca="false">IFERROR(H158/H$39,"n/a")</f>
        <v>n/a</v>
      </c>
      <c r="I246" s="141" t="str">
        <f aca="false">IFERROR(I158/I$39,"n/a")</f>
        <v>n/a</v>
      </c>
      <c r="J246" s="142" t="str">
        <f aca="false">IFERROR(J158/J$39,"n/a")</f>
        <v>n/a</v>
      </c>
      <c r="K246" s="139" t="str">
        <f aca="false">IFERROR(K158/K$39,"n/a")</f>
        <v>n/a</v>
      </c>
      <c r="L246" s="139" t="str">
        <f aca="false">IFERROR(L158/L$39,"n/a")</f>
        <v>n/a</v>
      </c>
      <c r="M246" s="139" t="str">
        <f aca="false">IFERROR(M158/M$39,"n/a")</f>
        <v>n/a</v>
      </c>
      <c r="N246" s="139" t="str">
        <f aca="false">IFERROR(N158/N$39,"n/a")</f>
        <v>n/a</v>
      </c>
      <c r="O246" s="112"/>
      <c r="P246" s="131"/>
      <c r="Q246" s="131"/>
    </row>
    <row r="247" customFormat="false" ht="11.25" hidden="true" customHeight="true" outlineLevel="1" collapsed="false">
      <c r="C247" s="132" t="str">
        <f aca="false">C159</f>
        <v>EBIT</v>
      </c>
      <c r="D247" s="132" t="str">
        <f aca="false">D159</f>
        <v>EBIT</v>
      </c>
      <c r="E247" s="144" t="str">
        <f aca="false">IFERROR(E159/E$39,"n/a")</f>
        <v>n/a</v>
      </c>
      <c r="F247" s="144" t="str">
        <f aca="false">IFERROR(F159/F$39,"n/a")</f>
        <v>n/a</v>
      </c>
      <c r="G247" s="144" t="str">
        <f aca="false">IFERROR(G159/G$39,"n/a")</f>
        <v>n/a</v>
      </c>
      <c r="H247" s="144" t="str">
        <f aca="false">IFERROR(H159/H$39,"n/a")</f>
        <v>n/a</v>
      </c>
      <c r="I247" s="145" t="str">
        <f aca="false">IFERROR(I159/I$39,"n/a")</f>
        <v>n/a</v>
      </c>
      <c r="J247" s="146" t="str">
        <f aca="false">IFERROR(J159/J$39,"n/a")</f>
        <v>n/a</v>
      </c>
      <c r="K247" s="147" t="str">
        <f aca="false">IFERROR(K159/K$39,"n/a")</f>
        <v>n/a</v>
      </c>
      <c r="L247" s="147" t="str">
        <f aca="false">IFERROR(L159/L$39,"n/a")</f>
        <v>n/a</v>
      </c>
      <c r="M247" s="147" t="str">
        <f aca="false">IFERROR(M159/M$39,"n/a")</f>
        <v>n/a</v>
      </c>
      <c r="N247" s="147" t="str">
        <f aca="false">IFERROR(N159/N$39,"n/a")</f>
        <v>n/a</v>
      </c>
      <c r="O247" s="112"/>
      <c r="P247" s="131"/>
      <c r="Q247" s="131"/>
    </row>
    <row r="248" customFormat="false" ht="11.25" hidden="true" customHeight="true" outlineLevel="2" collapsed="false">
      <c r="C248" s="51" t="str">
        <f aca="false">C160</f>
        <v>Beteiligungsergebnis</v>
      </c>
      <c r="D248" s="51" t="str">
        <f aca="false">D160</f>
        <v>Investment income</v>
      </c>
      <c r="E248" s="57" t="str">
        <f aca="false">IFERROR(E160/E$39,"n/a")</f>
        <v>n/a</v>
      </c>
      <c r="F248" s="57" t="str">
        <f aca="false">IFERROR(F160/F$39,"n/a")</f>
        <v>n/a</v>
      </c>
      <c r="G248" s="57" t="str">
        <f aca="false">IFERROR(G160/G$39,"n/a")</f>
        <v>n/a</v>
      </c>
      <c r="H248" s="57" t="str">
        <f aca="false">IFERROR(H160/H$39,"n/a")</f>
        <v>n/a</v>
      </c>
      <c r="I248" s="141" t="str">
        <f aca="false">IFERROR(I160/I$39,"n/a")</f>
        <v>n/a</v>
      </c>
      <c r="J248" s="142" t="str">
        <f aca="false">IFERROR(J160/J$39,"n/a")</f>
        <v>n/a</v>
      </c>
      <c r="K248" s="139" t="str">
        <f aca="false">IFERROR(K160/K$39,"n/a")</f>
        <v>n/a</v>
      </c>
      <c r="L248" s="139" t="str">
        <f aca="false">IFERROR(L160/L$39,"n/a")</f>
        <v>n/a</v>
      </c>
      <c r="M248" s="139" t="str">
        <f aca="false">IFERROR(M160/M$39,"n/a")</f>
        <v>n/a</v>
      </c>
      <c r="N248" s="139" t="str">
        <f aca="false">IFERROR(N160/N$39,"n/a")</f>
        <v>n/a</v>
      </c>
      <c r="O248" s="112"/>
      <c r="P248" s="131"/>
      <c r="Q248" s="131"/>
    </row>
    <row r="249" customFormat="false" ht="11.25" hidden="true" customHeight="true" outlineLevel="2" collapsed="false">
      <c r="C249" s="51" t="str">
        <f aca="false">C169</f>
        <v>Zinserträge</v>
      </c>
      <c r="D249" s="51" t="str">
        <f aca="false">D169</f>
        <v>Interest income</v>
      </c>
      <c r="E249" s="57" t="str">
        <f aca="false">IFERROR(E169/E$39,"n/a")</f>
        <v>n/a</v>
      </c>
      <c r="F249" s="57" t="str">
        <f aca="false">IFERROR(F169/F$39,"n/a")</f>
        <v>n/a</v>
      </c>
      <c r="G249" s="57" t="str">
        <f aca="false">IFERROR(G169/G$39,"n/a")</f>
        <v>n/a</v>
      </c>
      <c r="H249" s="57" t="str">
        <f aca="false">IFERROR(H169/H$39,"n/a")</f>
        <v>n/a</v>
      </c>
      <c r="I249" s="141" t="str">
        <f aca="false">IFERROR(I169/I$39,"n/a")</f>
        <v>n/a</v>
      </c>
      <c r="J249" s="142" t="str">
        <f aca="false">IFERROR(J169/J$39,"n/a")</f>
        <v>n/a</v>
      </c>
      <c r="K249" s="139" t="str">
        <f aca="false">IFERROR(K169/K$39,"n/a")</f>
        <v>n/a</v>
      </c>
      <c r="L249" s="139" t="str">
        <f aca="false">IFERROR(L169/L$39,"n/a")</f>
        <v>n/a</v>
      </c>
      <c r="M249" s="139" t="str">
        <f aca="false">IFERROR(M169/M$39,"n/a")</f>
        <v>n/a</v>
      </c>
      <c r="N249" s="139" t="str">
        <f aca="false">IFERROR(N169/N$39,"n/a")</f>
        <v>n/a</v>
      </c>
      <c r="O249" s="112"/>
      <c r="P249" s="131"/>
      <c r="Q249" s="131"/>
    </row>
    <row r="250" customFormat="false" ht="11.25" hidden="true" customHeight="true" outlineLevel="2" collapsed="false">
      <c r="C250" s="51" t="str">
        <f aca="false">C178</f>
        <v>Zinsaufwendungen</v>
      </c>
      <c r="D250" s="51" t="str">
        <f aca="false">D178</f>
        <v>Interest expenses</v>
      </c>
      <c r="E250" s="57" t="str">
        <f aca="false">IFERROR(E178/E$39,"n/a")</f>
        <v>n/a</v>
      </c>
      <c r="F250" s="57" t="str">
        <f aca="false">IFERROR(F178/F$39,"n/a")</f>
        <v>n/a</v>
      </c>
      <c r="G250" s="57" t="str">
        <f aca="false">IFERROR(G178/G$39,"n/a")</f>
        <v>n/a</v>
      </c>
      <c r="H250" s="57" t="str">
        <f aca="false">IFERROR(H178/H$39,"n/a")</f>
        <v>n/a</v>
      </c>
      <c r="I250" s="141" t="str">
        <f aca="false">IFERROR(I178/I$39,"n/a")</f>
        <v>n/a</v>
      </c>
      <c r="J250" s="142" t="str">
        <f aca="false">IFERROR(J178/J$39,"n/a")</f>
        <v>n/a</v>
      </c>
      <c r="K250" s="139" t="str">
        <f aca="false">IFERROR(K178/K$39,"n/a")</f>
        <v>n/a</v>
      </c>
      <c r="L250" s="139" t="str">
        <f aca="false">IFERROR(L178/L$39,"n/a")</f>
        <v>n/a</v>
      </c>
      <c r="M250" s="139" t="str">
        <f aca="false">IFERROR(M178/M$39,"n/a")</f>
        <v>n/a</v>
      </c>
      <c r="N250" s="139" t="str">
        <f aca="false">IFERROR(N178/N$39,"n/a")</f>
        <v>n/a</v>
      </c>
      <c r="O250" s="112"/>
      <c r="P250" s="131"/>
      <c r="Q250" s="131"/>
    </row>
    <row r="251" customFormat="false" ht="11.25" hidden="true" customHeight="true" outlineLevel="3" collapsed="false">
      <c r="C251" s="51" t="str">
        <f aca="false">C187</f>
        <v>Dummy 1</v>
      </c>
      <c r="D251" s="51" t="str">
        <f aca="false">D187</f>
        <v>Dummy 1</v>
      </c>
      <c r="E251" s="57" t="str">
        <f aca="false">IFERROR(E187/E$39,"n/a")</f>
        <v>n/a</v>
      </c>
      <c r="F251" s="57" t="str">
        <f aca="false">IFERROR(F187/F$39,"n/a")</f>
        <v>n/a</v>
      </c>
      <c r="G251" s="57" t="str">
        <f aca="false">IFERROR(G187/G$39,"n/a")</f>
        <v>n/a</v>
      </c>
      <c r="H251" s="57" t="str">
        <f aca="false">IFERROR(H187/H$39,"n/a")</f>
        <v>n/a</v>
      </c>
      <c r="I251" s="141" t="str">
        <f aca="false">IFERROR(I187/I$39,"n/a")</f>
        <v>n/a</v>
      </c>
      <c r="J251" s="142" t="str">
        <f aca="false">IFERROR(J187/J$39,"n/a")</f>
        <v>n/a</v>
      </c>
      <c r="K251" s="139" t="str">
        <f aca="false">IFERROR(K187/K$39,"n/a")</f>
        <v>n/a</v>
      </c>
      <c r="L251" s="139" t="str">
        <f aca="false">IFERROR(L187/L$39,"n/a")</f>
        <v>n/a</v>
      </c>
      <c r="M251" s="139" t="str">
        <f aca="false">IFERROR(M187/M$39,"n/a")</f>
        <v>n/a</v>
      </c>
      <c r="N251" s="139" t="str">
        <f aca="false">IFERROR(N187/N$39,"n/a")</f>
        <v>n/a</v>
      </c>
      <c r="O251" s="112"/>
      <c r="P251" s="131"/>
      <c r="Q251" s="131"/>
    </row>
    <row r="252" customFormat="false" ht="11.25" hidden="true" customHeight="true" outlineLevel="3" collapsed="false">
      <c r="C252" s="51" t="str">
        <f aca="false">C188</f>
        <v>Dummy 2</v>
      </c>
      <c r="D252" s="51" t="str">
        <f aca="false">D188</f>
        <v>Dummy 2</v>
      </c>
      <c r="E252" s="57" t="str">
        <f aca="false">IFERROR(E188/E$39,"n/a")</f>
        <v>n/a</v>
      </c>
      <c r="F252" s="57" t="str">
        <f aca="false">IFERROR(F188/F$39,"n/a")</f>
        <v>n/a</v>
      </c>
      <c r="G252" s="57" t="str">
        <f aca="false">IFERROR(G188/G$39,"n/a")</f>
        <v>n/a</v>
      </c>
      <c r="H252" s="57" t="str">
        <f aca="false">IFERROR(H188/H$39,"n/a")</f>
        <v>n/a</v>
      </c>
      <c r="I252" s="141" t="str">
        <f aca="false">IFERROR(I188/I$39,"n/a")</f>
        <v>n/a</v>
      </c>
      <c r="J252" s="142" t="str">
        <f aca="false">IFERROR(J188/J$39,"n/a")</f>
        <v>n/a</v>
      </c>
      <c r="K252" s="139" t="str">
        <f aca="false">IFERROR(K188/K$39,"n/a")</f>
        <v>n/a</v>
      </c>
      <c r="L252" s="139" t="str">
        <f aca="false">IFERROR(L188/L$39,"n/a")</f>
        <v>n/a</v>
      </c>
      <c r="M252" s="139" t="str">
        <f aca="false">IFERROR(M188/M$39,"n/a")</f>
        <v>n/a</v>
      </c>
      <c r="N252" s="139" t="str">
        <f aca="false">IFERROR(N188/N$39,"n/a")</f>
        <v>n/a</v>
      </c>
      <c r="O252" s="112"/>
      <c r="P252" s="131"/>
      <c r="Q252" s="131"/>
    </row>
    <row r="253" customFormat="false" ht="11.25" hidden="true" customHeight="true" outlineLevel="3" collapsed="false">
      <c r="C253" s="51" t="str">
        <f aca="false">C189</f>
        <v>Dummy 3</v>
      </c>
      <c r="D253" s="51" t="str">
        <f aca="false">D189</f>
        <v>Dummy 3</v>
      </c>
      <c r="E253" s="57" t="str">
        <f aca="false">IFERROR(E189/E$39,"n/a")</f>
        <v>n/a</v>
      </c>
      <c r="F253" s="57" t="str">
        <f aca="false">IFERROR(F189/F$39,"n/a")</f>
        <v>n/a</v>
      </c>
      <c r="G253" s="57" t="str">
        <f aca="false">IFERROR(G189/G$39,"n/a")</f>
        <v>n/a</v>
      </c>
      <c r="H253" s="57" t="str">
        <f aca="false">IFERROR(H189/H$39,"n/a")</f>
        <v>n/a</v>
      </c>
      <c r="I253" s="141" t="str">
        <f aca="false">IFERROR(I189/I$39,"n/a")</f>
        <v>n/a</v>
      </c>
      <c r="J253" s="142" t="str">
        <f aca="false">IFERROR(J189/J$39,"n/a")</f>
        <v>n/a</v>
      </c>
      <c r="K253" s="139" t="str">
        <f aca="false">IFERROR(K189/K$39,"n/a")</f>
        <v>n/a</v>
      </c>
      <c r="L253" s="139" t="str">
        <f aca="false">IFERROR(L189/L$39,"n/a")</f>
        <v>n/a</v>
      </c>
      <c r="M253" s="139" t="str">
        <f aca="false">IFERROR(M189/M$39,"n/a")</f>
        <v>n/a</v>
      </c>
      <c r="N253" s="139" t="str">
        <f aca="false">IFERROR(N189/N$39,"n/a")</f>
        <v>n/a</v>
      </c>
      <c r="O253" s="112"/>
      <c r="P253" s="131"/>
      <c r="Q253" s="131"/>
    </row>
    <row r="254" customFormat="false" ht="11.25" hidden="true" customHeight="true" outlineLevel="1" collapsed="false">
      <c r="C254" s="51" t="str">
        <f aca="false">C190</f>
        <v>Finanzergebnis</v>
      </c>
      <c r="D254" s="51" t="str">
        <f aca="false">D190</f>
        <v>Financial result</v>
      </c>
      <c r="E254" s="57" t="str">
        <f aca="false">IFERROR(E190/E$39,"n/a")</f>
        <v>n/a</v>
      </c>
      <c r="F254" s="57" t="str">
        <f aca="false">IFERROR(F190/F$39,"n/a")</f>
        <v>n/a</v>
      </c>
      <c r="G254" s="57" t="str">
        <f aca="false">IFERROR(G190/G$39,"n/a")</f>
        <v>n/a</v>
      </c>
      <c r="H254" s="57" t="str">
        <f aca="false">IFERROR(H190/H$39,"n/a")</f>
        <v>n/a</v>
      </c>
      <c r="I254" s="141" t="str">
        <f aca="false">IFERROR(I190/I$39,"n/a")</f>
        <v>n/a</v>
      </c>
      <c r="J254" s="142" t="str">
        <f aca="false">IFERROR(J190/J$39,"n/a")</f>
        <v>n/a</v>
      </c>
      <c r="K254" s="139" t="str">
        <f aca="false">IFERROR(K190/K$39,"n/a")</f>
        <v>n/a</v>
      </c>
      <c r="L254" s="139" t="str">
        <f aca="false">IFERROR(L190/L$39,"n/a")</f>
        <v>n/a</v>
      </c>
      <c r="M254" s="139" t="str">
        <f aca="false">IFERROR(M190/M$39,"n/a")</f>
        <v>n/a</v>
      </c>
      <c r="N254" s="139" t="str">
        <f aca="false">IFERROR(N190/N$39,"n/a")</f>
        <v>n/a</v>
      </c>
      <c r="O254" s="112"/>
      <c r="P254" s="131"/>
      <c r="Q254" s="131"/>
    </row>
    <row r="255" customFormat="false" ht="11.25" hidden="true" customHeight="true" outlineLevel="1" collapsed="false">
      <c r="C255" s="132" t="str">
        <f aca="false">C191</f>
        <v>EBT</v>
      </c>
      <c r="D255" s="132" t="str">
        <f aca="false">D191</f>
        <v>EBT</v>
      </c>
      <c r="E255" s="144" t="str">
        <f aca="false">IFERROR(E191/E$39,"n/a")</f>
        <v>n/a</v>
      </c>
      <c r="F255" s="144" t="str">
        <f aca="false">IFERROR(F191/F$39,"n/a")</f>
        <v>n/a</v>
      </c>
      <c r="G255" s="144" t="str">
        <f aca="false">IFERROR(G191/G$39,"n/a")</f>
        <v>n/a</v>
      </c>
      <c r="H255" s="144" t="str">
        <f aca="false">IFERROR(H191/H$39,"n/a")</f>
        <v>n/a</v>
      </c>
      <c r="I255" s="145" t="str">
        <f aca="false">IFERROR(I191/I$39,"n/a")</f>
        <v>n/a</v>
      </c>
      <c r="J255" s="146" t="str">
        <f aca="false">IFERROR(J191/J$39,"n/a")</f>
        <v>n/a</v>
      </c>
      <c r="K255" s="147" t="str">
        <f aca="false">IFERROR(K191/K$39,"n/a")</f>
        <v>n/a</v>
      </c>
      <c r="L255" s="147" t="str">
        <f aca="false">IFERROR(L191/L$39,"n/a")</f>
        <v>n/a</v>
      </c>
      <c r="M255" s="147" t="str">
        <f aca="false">IFERROR(M191/M$39,"n/a")</f>
        <v>n/a</v>
      </c>
      <c r="N255" s="147" t="str">
        <f aca="false">IFERROR(N191/N$39,"n/a")</f>
        <v>n/a</v>
      </c>
      <c r="O255" s="112"/>
      <c r="P255" s="131"/>
      <c r="Q255" s="131"/>
    </row>
    <row r="256" customFormat="false" ht="11.25" hidden="true" customHeight="true" outlineLevel="1" collapsed="false">
      <c r="C256" s="51" t="str">
        <f aca="false">C192</f>
        <v>Ertragssteuern</v>
      </c>
      <c r="D256" s="51" t="str">
        <f aca="false">D192</f>
        <v>Income taxes</v>
      </c>
      <c r="E256" s="57" t="str">
        <f aca="false">IFERROR(E192/E$39,"n/a")</f>
        <v>n/a</v>
      </c>
      <c r="F256" s="57" t="str">
        <f aca="false">IFERROR(F192/F$39,"n/a")</f>
        <v>n/a</v>
      </c>
      <c r="G256" s="57" t="str">
        <f aca="false">IFERROR(G192/G$39,"n/a")</f>
        <v>n/a</v>
      </c>
      <c r="H256" s="57" t="str">
        <f aca="false">IFERROR(H192/H$39,"n/a")</f>
        <v>n/a</v>
      </c>
      <c r="I256" s="141" t="str">
        <f aca="false">IFERROR(I192/I$39,"n/a")</f>
        <v>n/a</v>
      </c>
      <c r="J256" s="142" t="str">
        <f aca="false">IFERROR(J192/J$39,"n/a")</f>
        <v>n/a</v>
      </c>
      <c r="K256" s="139" t="str">
        <f aca="false">IFERROR(K192/K$39,"n/a")</f>
        <v>n/a</v>
      </c>
      <c r="L256" s="139" t="str">
        <f aca="false">IFERROR(L192/L$39,"n/a")</f>
        <v>n/a</v>
      </c>
      <c r="M256" s="139" t="str">
        <f aca="false">IFERROR(M192/M$39,"n/a")</f>
        <v>n/a</v>
      </c>
      <c r="N256" s="139" t="str">
        <f aca="false">IFERROR(N192/N$39,"n/a")</f>
        <v>n/a</v>
      </c>
      <c r="O256" s="112"/>
      <c r="P256" s="131"/>
      <c r="Q256" s="131"/>
    </row>
    <row r="257" customFormat="false" ht="11.25" hidden="true" customHeight="true" outlineLevel="1" collapsed="false">
      <c r="C257" s="51" t="str">
        <f aca="false">C201</f>
        <v>Sonstige Steuern</v>
      </c>
      <c r="D257" s="51" t="str">
        <f aca="false">D201</f>
        <v>Other taxes</v>
      </c>
      <c r="E257" s="57" t="str">
        <f aca="false">IFERROR(E201/E$39,"n/a")</f>
        <v>n/a</v>
      </c>
      <c r="F257" s="57" t="str">
        <f aca="false">IFERROR(F201/F$39,"n/a")</f>
        <v>n/a</v>
      </c>
      <c r="G257" s="57" t="str">
        <f aca="false">IFERROR(G201/G$39,"n/a")</f>
        <v>n/a</v>
      </c>
      <c r="H257" s="57" t="str">
        <f aca="false">IFERROR(H201/H$39,"n/a")</f>
        <v>n/a</v>
      </c>
      <c r="I257" s="141" t="str">
        <f aca="false">IFERROR(I201/I$39,"n/a")</f>
        <v>n/a</v>
      </c>
      <c r="J257" s="142" t="str">
        <f aca="false">IFERROR(J201/J$39,"n/a")</f>
        <v>n/a</v>
      </c>
      <c r="K257" s="139" t="str">
        <f aca="false">IFERROR(K201/K$39,"n/a")</f>
        <v>n/a</v>
      </c>
      <c r="L257" s="139" t="str">
        <f aca="false">IFERROR(L201/L$39,"n/a")</f>
        <v>n/a</v>
      </c>
      <c r="M257" s="139" t="str">
        <f aca="false">IFERROR(M201/M$39,"n/a")</f>
        <v>n/a</v>
      </c>
      <c r="N257" s="139" t="str">
        <f aca="false">IFERROR(N201/N$39,"n/a")</f>
        <v>n/a</v>
      </c>
      <c r="O257" s="112"/>
      <c r="P257" s="131"/>
      <c r="Q257" s="131"/>
    </row>
    <row r="258" customFormat="false" ht="11.25" hidden="true" customHeight="true" outlineLevel="1" collapsed="false">
      <c r="C258" s="132" t="str">
        <f aca="false">C210</f>
        <v>Jahresüberschuss</v>
      </c>
      <c r="D258" s="132" t="str">
        <f aca="false">D210</f>
        <v>Profit / Loss</v>
      </c>
      <c r="E258" s="144" t="str">
        <f aca="false">IFERROR(E210/E$39,"n/a")</f>
        <v>n/a</v>
      </c>
      <c r="F258" s="144" t="str">
        <f aca="false">IFERROR(F210/F$39,"n/a")</f>
        <v>n/a</v>
      </c>
      <c r="G258" s="144" t="str">
        <f aca="false">IFERROR(G210/G$39,"n/a")</f>
        <v>n/a</v>
      </c>
      <c r="H258" s="144" t="str">
        <f aca="false">IFERROR(H210/H$39,"n/a")</f>
        <v>n/a</v>
      </c>
      <c r="I258" s="145" t="str">
        <f aca="false">IFERROR(I210/I$39,"n/a")</f>
        <v>n/a</v>
      </c>
      <c r="J258" s="146" t="str">
        <f aca="false">IFERROR(J210/J$39,"n/a")</f>
        <v>n/a</v>
      </c>
      <c r="K258" s="147" t="str">
        <f aca="false">IFERROR(K210/K$39,"n/a")</f>
        <v>n/a</v>
      </c>
      <c r="L258" s="147" t="str">
        <f aca="false">IFERROR(L210/L$39,"n/a")</f>
        <v>n/a</v>
      </c>
      <c r="M258" s="147" t="str">
        <f aca="false">IFERROR(M210/M$39,"n/a")</f>
        <v>n/a</v>
      </c>
      <c r="N258" s="147" t="str">
        <f aca="false">IFERROR(N210/N$39,"n/a")</f>
        <v>n/a</v>
      </c>
      <c r="O258" s="112"/>
      <c r="P258" s="131"/>
      <c r="Q258" s="131"/>
    </row>
    <row r="259" customFormat="false" ht="4.5" hidden="true" customHeight="true" outlineLevel="1" collapsed="false">
      <c r="C259" s="51"/>
      <c r="D259" s="51"/>
      <c r="E259" s="57"/>
      <c r="F259" s="57"/>
      <c r="G259" s="57"/>
      <c r="H259" s="57"/>
      <c r="I259" s="141"/>
      <c r="J259" s="142"/>
      <c r="K259" s="139"/>
      <c r="L259" s="139"/>
      <c r="M259" s="139"/>
      <c r="N259" s="139"/>
      <c r="O259" s="112"/>
      <c r="P259" s="131"/>
      <c r="Q259" s="131"/>
    </row>
    <row r="260" customFormat="false" ht="11.25" hidden="true" customHeight="true" outlineLevel="1" collapsed="false">
      <c r="C260" s="51" t="s">
        <v>467</v>
      </c>
      <c r="D260" s="51" t="s">
        <v>468</v>
      </c>
      <c r="E260" s="57" t="str">
        <f aca="false">IFERROR(E192/E$191,"n/a")</f>
        <v>n/a</v>
      </c>
      <c r="F260" s="57" t="str">
        <f aca="false">IFERROR(F192/F$191,"n/a")</f>
        <v>n/a</v>
      </c>
      <c r="G260" s="57" t="str">
        <f aca="false">IFERROR(G192/G$191,"n/a")</f>
        <v>n/a</v>
      </c>
      <c r="H260" s="57" t="str">
        <f aca="false">IFERROR(H192/H$191,"n/a")</f>
        <v>n/a</v>
      </c>
      <c r="I260" s="141" t="str">
        <f aca="false">IFERROR(I192/I$191,"n/a")</f>
        <v>n/a</v>
      </c>
      <c r="J260" s="142" t="str">
        <f aca="false">IFERROR(J192/J$191,"n/a")</f>
        <v>n/a</v>
      </c>
      <c r="K260" s="139" t="str">
        <f aca="false">IFERROR(K192/K$191,"n/a")</f>
        <v>n/a</v>
      </c>
      <c r="L260" s="139" t="str">
        <f aca="false">IFERROR(L192/L$191,"n/a")</f>
        <v>n/a</v>
      </c>
      <c r="M260" s="139" t="str">
        <f aca="false">IFERROR(M192/M$191,"n/a")</f>
        <v>n/a</v>
      </c>
      <c r="N260" s="139" t="str">
        <f aca="false">IFERROR(N192/N$191,"n/a")</f>
        <v>n/a</v>
      </c>
      <c r="O260" s="112"/>
      <c r="P260" s="131"/>
      <c r="Q260" s="131"/>
    </row>
    <row r="261" customFormat="false" ht="4.5" hidden="false" customHeight="true" outlineLevel="0" collapsed="false">
      <c r="C261" s="51"/>
      <c r="D261" s="51"/>
      <c r="E261" s="57"/>
      <c r="F261" s="57"/>
      <c r="G261" s="57"/>
      <c r="H261" s="57"/>
      <c r="I261" s="141"/>
      <c r="J261" s="142"/>
      <c r="K261" s="139"/>
      <c r="L261" s="139"/>
      <c r="M261" s="139"/>
      <c r="N261" s="139"/>
      <c r="O261" s="112"/>
      <c r="P261" s="131"/>
      <c r="Q261" s="131"/>
    </row>
    <row r="262" customFormat="false" ht="11.25" hidden="false" customHeight="true" outlineLevel="0" collapsed="false">
      <c r="C262" s="54" t="str">
        <f aca="false">"Quelle: "&amp;Cockpit!$C$7</f>
        <v>Quelle: Datenraum/ eigene Analysen</v>
      </c>
      <c r="D262" s="54" t="str">
        <f aca="false">"Source: "&amp;Cockpit!$C$8</f>
        <v>Source: Virtual Data Room/ Company Information</v>
      </c>
      <c r="E262" s="55"/>
      <c r="F262" s="55"/>
      <c r="G262" s="55"/>
      <c r="H262" s="55"/>
      <c r="I262" s="148"/>
      <c r="J262" s="148"/>
      <c r="K262" s="149"/>
      <c r="L262" s="149"/>
      <c r="M262" s="149"/>
      <c r="N262" s="149"/>
      <c r="O262" s="131"/>
      <c r="P262" s="150"/>
      <c r="Q262" s="150"/>
    </row>
    <row r="264" customFormat="false" ht="11.25" hidden="false" customHeight="true" outlineLevel="0" collapsed="false">
      <c r="C264" s="151" t="s">
        <v>469</v>
      </c>
      <c r="D264" s="151" t="s">
        <v>470</v>
      </c>
      <c r="E264" s="152"/>
      <c r="F264" s="152"/>
      <c r="G264" s="152"/>
      <c r="H264" s="152"/>
      <c r="I264" s="152"/>
      <c r="J264" s="152"/>
      <c r="K264" s="152"/>
      <c r="L264" s="152"/>
      <c r="M264" s="152"/>
      <c r="N264" s="152"/>
    </row>
    <row r="265" customFormat="false" ht="11.25" hidden="false" customHeight="true" outlineLevel="0" collapsed="false">
      <c r="C265" s="153" t="s">
        <v>245</v>
      </c>
      <c r="D265" s="154" t="s">
        <v>245</v>
      </c>
      <c r="E265" s="155" t="n">
        <f aca="false">E264-E210</f>
        <v>0</v>
      </c>
      <c r="F265" s="155" t="n">
        <f aca="false">F264-F210</f>
        <v>0</v>
      </c>
      <c r="G265" s="155" t="n">
        <f aca="false">G264-G210</f>
        <v>0</v>
      </c>
      <c r="H265" s="155" t="n">
        <f aca="false">H264-H210</f>
        <v>0</v>
      </c>
      <c r="I265" s="155" t="n">
        <f aca="false">I264-I210</f>
        <v>0</v>
      </c>
      <c r="J265" s="155" t="n">
        <f aca="false">J264-J210</f>
        <v>0</v>
      </c>
      <c r="K265" s="155" t="n">
        <f aca="false">K264-K210</f>
        <v>0</v>
      </c>
      <c r="L265" s="155" t="n">
        <f aca="false">L264-L210</f>
        <v>0</v>
      </c>
      <c r="M265" s="155" t="n">
        <f aca="false">M264-M210</f>
        <v>0</v>
      </c>
      <c r="N265" s="155" t="n">
        <f aca="false">N264-N210</f>
        <v>0</v>
      </c>
    </row>
  </sheetData>
  <conditionalFormatting sqref="E105:N105">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EAED"/>
    <pageSetUpPr fitToPage="false"/>
  </sheetPr>
  <dimension ref="C1:R237"/>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pane xSplit="4" ySplit="6" topLeftCell="E26" activePane="bottomRight" state="frozen"/>
      <selection pane="topLeft" activeCell="A2" activeCellId="0" sqref="A2"/>
      <selection pane="topRight" activeCell="E2" activeCellId="0" sqref="E2"/>
      <selection pane="bottomLeft" activeCell="A26" activeCellId="0" sqref="A26"/>
      <selection pane="bottomRight" activeCell="H4" activeCellId="0" sqref="H4"/>
    </sheetView>
  </sheetViews>
  <sheetFormatPr defaultColWidth="12.00390625" defaultRowHeight="11.25" zeroHeight="false" outlineLevelRow="3" outlineLevelCol="2"/>
  <cols>
    <col collapsed="false" customWidth="true" hidden="false" outlineLevel="0" max="1" min="1" style="1" width="11.43"/>
    <col collapsed="false" customWidth="true" hidden="false" outlineLevel="2" max="2" min="2" style="1" width="0.86"/>
    <col collapsed="false" customWidth="true" hidden="false" outlineLevel="2" max="3" min="3" style="1" width="35.57"/>
    <col collapsed="false" customWidth="true" hidden="false" outlineLevel="0" max="4" min="4" style="1" width="35.57"/>
    <col collapsed="false" customWidth="true" hidden="false" outlineLevel="1" max="5" min="5" style="1" width="10.42"/>
    <col collapsed="false" customWidth="true" hidden="false" outlineLevel="0" max="9" min="6" style="1" width="10.42"/>
    <col collapsed="false" customWidth="true" hidden="false" outlineLevel="1" max="13" min="10" style="1" width="10.42"/>
    <col collapsed="false" customWidth="true" hidden="false" outlineLevel="2" max="14" min="14" style="1" width="0.86"/>
    <col collapsed="false" customWidth="true" hidden="false" outlineLevel="0" max="15" min="15" style="1" width="11.43"/>
    <col collapsed="false" customWidth="true" hidden="false" outlineLevel="0" max="16" min="16" style="1" width="40"/>
    <col collapsed="false" customWidth="false" hidden="false" outlineLevel="0" max="16384" min="17" style="1" width="12"/>
  </cols>
  <sheetData>
    <row r="1" customFormat="false" ht="11.25" hidden="true" customHeight="true" outlineLevel="3" collapsed="false"/>
    <row r="4" customFormat="false" ht="11.25" hidden="false" customHeight="true" outlineLevel="3" collapsed="false">
      <c r="C4" s="36" t="str">
        <f aca="false">Cockpit!$C$4</f>
        <v>Template</v>
      </c>
      <c r="D4" s="85"/>
      <c r="E4" s="156" t="n">
        <f aca="false">Cockpit!C39</f>
        <v>44561</v>
      </c>
      <c r="F4" s="156" t="n">
        <f aca="false">Cockpit!D39</f>
        <v>44926</v>
      </c>
      <c r="G4" s="156" t="n">
        <f aca="false">Cockpit!E39</f>
        <v>45291</v>
      </c>
      <c r="H4" s="156" t="n">
        <f aca="false">Cockpit!F39</f>
        <v>45657</v>
      </c>
      <c r="I4" s="156" t="n">
        <f aca="false">Cockpit!G39</f>
        <v>45808</v>
      </c>
      <c r="J4" s="156" t="n">
        <f aca="false">Cockpit!H39</f>
        <v>46022</v>
      </c>
      <c r="K4" s="156" t="n">
        <f aca="false">Cockpit!I39</f>
        <v>46387</v>
      </c>
      <c r="L4" s="156" t="n">
        <f aca="false">Cockpit!J39</f>
        <v>46752</v>
      </c>
      <c r="M4" s="156" t="n">
        <f aca="false">Cockpit!K39</f>
        <v>47118</v>
      </c>
    </row>
    <row r="5" customFormat="false" ht="11.25" hidden="false" customHeight="true" outlineLevel="3" collapsed="false">
      <c r="C5" s="36" t="str">
        <f aca="false">"in T"&amp;Cockpit!$C$5</f>
        <v>in TEUR</v>
      </c>
      <c r="D5" s="85"/>
      <c r="E5" s="156" t="s">
        <v>21</v>
      </c>
      <c r="F5" s="156" t="s">
        <v>21</v>
      </c>
      <c r="G5" s="156" t="s">
        <v>21</v>
      </c>
      <c r="H5" s="156" t="s">
        <v>21</v>
      </c>
      <c r="I5" s="156" t="s">
        <v>21</v>
      </c>
      <c r="J5" s="156" t="str">
        <f aca="false">Cockpit!H40</f>
        <v>Plan</v>
      </c>
      <c r="K5" s="156" t="str">
        <f aca="false">Cockpit!I40</f>
        <v>Plan</v>
      </c>
      <c r="L5" s="156" t="str">
        <f aca="false">Cockpit!J40</f>
        <v>Plan</v>
      </c>
      <c r="M5" s="156" t="str">
        <f aca="false">Cockpit!K40</f>
        <v>Plan</v>
      </c>
      <c r="P5" s="87" t="s">
        <v>406</v>
      </c>
      <c r="Q5" s="87" t="s">
        <v>407</v>
      </c>
      <c r="R5" s="87" t="s">
        <v>408</v>
      </c>
    </row>
    <row r="6" customFormat="false" ht="11.25" hidden="false" customHeight="true" outlineLevel="0" collapsed="false">
      <c r="C6" s="10"/>
      <c r="D6" s="10" t="str">
        <f aca="false">Cockpit!$C$4</f>
        <v>Template</v>
      </c>
      <c r="E6" s="81" t="n">
        <f aca="false">Cockpit!C39</f>
        <v>44561</v>
      </c>
      <c r="F6" s="81" t="n">
        <f aca="false">Cockpit!D39</f>
        <v>44926</v>
      </c>
      <c r="G6" s="81" t="n">
        <f aca="false">Cockpit!E39</f>
        <v>45291</v>
      </c>
      <c r="H6" s="81" t="n">
        <f aca="false">Cockpit!F39</f>
        <v>45657</v>
      </c>
      <c r="I6" s="81" t="n">
        <f aca="false">Cockpit!G39</f>
        <v>45808</v>
      </c>
      <c r="J6" s="81" t="n">
        <f aca="false">Cockpit!H39</f>
        <v>46022</v>
      </c>
      <c r="K6" s="81" t="n">
        <f aca="false">Cockpit!I39</f>
        <v>46387</v>
      </c>
      <c r="L6" s="81" t="n">
        <f aca="false">Cockpit!J39</f>
        <v>46752</v>
      </c>
      <c r="M6" s="81" t="n">
        <f aca="false">Cockpit!K39</f>
        <v>47118</v>
      </c>
    </row>
    <row r="7" customFormat="false" ht="11.25" hidden="false" customHeight="true" outlineLevel="0" collapsed="false">
      <c r="C7" s="10"/>
      <c r="D7" s="10" t="str">
        <f aca="false">"in k"&amp;Cockpit!$C$5</f>
        <v>in kEUR</v>
      </c>
      <c r="E7" s="81" t="str">
        <f aca="false">Cockpit!C40</f>
        <v>IST</v>
      </c>
      <c r="F7" s="81" t="str">
        <f aca="false">Cockpit!D40</f>
        <v>IST</v>
      </c>
      <c r="G7" s="81" t="str">
        <f aca="false">Cockpit!E40</f>
        <v>IST</v>
      </c>
      <c r="H7" s="81" t="str">
        <f aca="false">Cockpit!F40</f>
        <v>IST</v>
      </c>
      <c r="I7" s="81" t="str">
        <f aca="false">Cockpit!G40</f>
        <v>IST</v>
      </c>
      <c r="J7" s="81" t="str">
        <f aca="false">Cockpit!H40</f>
        <v>Plan</v>
      </c>
      <c r="K7" s="81" t="str">
        <f aca="false">Cockpit!I40</f>
        <v>Plan</v>
      </c>
      <c r="L7" s="81" t="str">
        <f aca="false">Cockpit!J40</f>
        <v>Plan</v>
      </c>
      <c r="M7" s="81" t="str">
        <f aca="false">Cockpit!K40</f>
        <v>Plan</v>
      </c>
      <c r="P7" s="89" t="s">
        <v>409</v>
      </c>
    </row>
    <row r="8" customFormat="false" ht="4.5" hidden="false" customHeight="true" outlineLevel="0" collapsed="false">
      <c r="C8" s="157"/>
      <c r="D8" s="158"/>
      <c r="E8" s="157"/>
      <c r="F8" s="157"/>
      <c r="G8" s="157"/>
      <c r="H8" s="157"/>
      <c r="I8" s="157"/>
      <c r="J8" s="157"/>
      <c r="K8" s="157"/>
      <c r="L8" s="157"/>
      <c r="M8" s="157"/>
    </row>
    <row r="9" customFormat="false" ht="11.25" hidden="false" customHeight="true" outlineLevel="0" collapsed="false">
      <c r="C9" s="51" t="s">
        <v>471</v>
      </c>
      <c r="D9" s="51" t="s">
        <v>472</v>
      </c>
      <c r="E9" s="159" t="n">
        <f aca="false">SUMIFS(Mastersheet!$F$2:$F$400,Mastersheet!$D$2:$D$400,$P9,Mastersheet!$C$2:$C$400,$Q9)/1000</f>
        <v>0</v>
      </c>
      <c r="F9" s="159" t="n">
        <f aca="false">SUMIFS(Mastersheet!$G$2:$G$400,Mastersheet!$D$2:$D$400,$P9,Mastersheet!$C$2:$C$400,$Q9)/1000</f>
        <v>0</v>
      </c>
      <c r="G9" s="159" t="n">
        <f aca="false">SUMIFS(Mastersheet!$H$2:$H$400,Mastersheet!$D$2:$D$400,$P9,Mastersheet!$C$2:$C$400,$Q9)/1000</f>
        <v>0</v>
      </c>
      <c r="H9" s="159" t="n">
        <f aca="false">SUMIFS(Mastersheet!$I$2:$I$400,Mastersheet!$D$2:$D$400,$P9,Mastersheet!$C$2:$C$400,$Q9)/1000</f>
        <v>0</v>
      </c>
      <c r="I9" s="160" t="n">
        <f aca="false">SUMIFS(Mastersheet!$J$2:$J$400,Mastersheet!$D$2:$D$400,$P9,Mastersheet!$C$2:$C$400,$Q9)/1000</f>
        <v>0</v>
      </c>
      <c r="J9" s="161" t="n">
        <f aca="false">SUMIFS(Mastersheet!$K$2:$K$400,Mastersheet!$D$2:$D$400,$P9,Mastersheet!$C$2:$C$400,$Q9)/1000</f>
        <v>0</v>
      </c>
      <c r="K9" s="161" t="n">
        <f aca="false">SUMIFS(Mastersheet!$L$2:$L$400,Mastersheet!$D$2:$D$400,$P9,Mastersheet!$C$2:$C$400,$Q9)/1000</f>
        <v>0</v>
      </c>
      <c r="L9" s="161" t="n">
        <f aca="false">SUMIFS(Mastersheet!$M$2:$M$400,Mastersheet!$D$2:$D$400,$P9,Mastersheet!$C$2:$C$400,$Q9)/1000</f>
        <v>0</v>
      </c>
      <c r="M9" s="161" t="n">
        <f aca="false">SUMIFS(Mastersheet!$N$2:$N$400,Mastersheet!$D$2:$D$400,$P9,Mastersheet!$C$2:$C$400,$Q9)/1000</f>
        <v>0</v>
      </c>
      <c r="P9" s="97" t="s">
        <v>473</v>
      </c>
      <c r="Q9" s="98" t="s">
        <v>474</v>
      </c>
      <c r="R9" s="98" t="s">
        <v>414</v>
      </c>
    </row>
    <row r="10" customFormat="false" ht="11.25" hidden="true" customHeight="true" outlineLevel="3" collapsed="false">
      <c r="C10" s="99"/>
      <c r="D10" s="99"/>
      <c r="E10" s="100" t="str">
        <f aca="false">IF($P$10="","",SUMIFS(Mastersheet!$F$2:$F$400,Mastersheet!$A$2:$A$400,$P$10)/1000)</f>
        <v/>
      </c>
      <c r="F10" s="100" t="str">
        <f aca="false">IF($P$10="","",SUMIFS(Mastersheet!$G$2:$G$400,Mastersheet!$A$2:$A$400,$P$10)/1000)</f>
        <v/>
      </c>
      <c r="G10" s="100" t="str">
        <f aca="false">IF($P$10="","",SUMIFS(Mastersheet!$H$2:$H$400,Mastersheet!$A$2:$A$400,$P$10)/1000)</f>
        <v/>
      </c>
      <c r="H10" s="100" t="str">
        <f aca="false">IF($P$10="","",SUMIFS(Mastersheet!$I$2:$I$400,Mastersheet!$A$2:$A$400,$P$10)/1000)</f>
        <v/>
      </c>
      <c r="I10" s="102" t="str">
        <f aca="false">IF($P$10="","",SUMIFS(Mastersheet!$J$2:$J$400,Mastersheet!$A$2:$A$400,$P$10)/1000)</f>
        <v/>
      </c>
      <c r="J10" s="103" t="str">
        <f aca="false">IF($P$10="","",SUMIFS(Mastersheet!$K$2:$K$400,Mastersheet!$A$2:$A$400,$P$10)/1000)</f>
        <v/>
      </c>
      <c r="K10" s="103" t="str">
        <f aca="false">IF($P$10="","",SUMIFS(Mastersheet!$L$2:$L$400,Mastersheet!$A$2:$A$400,$P$10)/1000)</f>
        <v/>
      </c>
      <c r="L10" s="103" t="str">
        <f aca="false">IF($P$10="","",SUMIFS(Mastersheet!$M$2:$M$400,Mastersheet!$A$2:$A$400,$P$10)/1000)</f>
        <v/>
      </c>
      <c r="M10" s="103" t="str">
        <f aca="false">IF($P$10="","",SUMIFS(Mastersheet!$N$2:$N$400,Mastersheet!$A$2:$A$400,$P$10)/1000)</f>
        <v/>
      </c>
      <c r="P10" s="97"/>
      <c r="Q10" s="104" t="s">
        <v>415</v>
      </c>
      <c r="R10" s="104" t="s">
        <v>416</v>
      </c>
    </row>
    <row r="11" customFormat="false" ht="11.25" hidden="true" customHeight="true" outlineLevel="3" collapsed="false">
      <c r="C11" s="99"/>
      <c r="D11" s="99"/>
      <c r="E11" s="100" t="str">
        <f aca="false">IF($P$11="","",SUMIFS(Mastersheet!$F$2:$F$400,Mastersheet!$A$2:$A$400,$P$11)/1000)</f>
        <v/>
      </c>
      <c r="F11" s="100" t="str">
        <f aca="false">IF($P$11="","",SUMIFS(Mastersheet!$G$2:$G$400,Mastersheet!$A$2:$A$400,$P$11)/1000)</f>
        <v/>
      </c>
      <c r="G11" s="100" t="str">
        <f aca="false">IF($P$11="","",SUMIFS(Mastersheet!$H$2:$H$400,Mastersheet!$A$2:$A$400,$P$11)/1000)</f>
        <v/>
      </c>
      <c r="H11" s="100" t="str">
        <f aca="false">IF($P$11="","",SUMIFS(Mastersheet!$I$2:$I$400,Mastersheet!$A$2:$A$400,$P$11)/1000)</f>
        <v/>
      </c>
      <c r="I11" s="102" t="str">
        <f aca="false">IF($P$11="","",SUMIFS(Mastersheet!$J$2:$J$400,Mastersheet!$A$2:$A$400,$P$11)/1000)</f>
        <v/>
      </c>
      <c r="J11" s="103" t="str">
        <f aca="false">IF($P$11="","",SUMIFS(Mastersheet!$K$2:$K$400,Mastersheet!$A$2:$A$400,$P$11)/1000)</f>
        <v/>
      </c>
      <c r="K11" s="103" t="str">
        <f aca="false">IF($P$11="","",SUMIFS(Mastersheet!$L$2:$L$400,Mastersheet!$A$2:$A$400,$P$11)/1000)</f>
        <v/>
      </c>
      <c r="L11" s="103" t="str">
        <f aca="false">IF($P$11="","",SUMIFS(Mastersheet!$M$2:$M$400,Mastersheet!$A$2:$A$400,$P$11)/1000)</f>
        <v/>
      </c>
      <c r="M11" s="103" t="str">
        <f aca="false">IF($P$11="","",SUMIFS(Mastersheet!$N$2:$N$400,Mastersheet!$A$2:$A$400,$P$11)/1000)</f>
        <v/>
      </c>
      <c r="P11" s="97"/>
      <c r="Q11" s="104" t="s">
        <v>415</v>
      </c>
      <c r="R11" s="104" t="s">
        <v>416</v>
      </c>
    </row>
    <row r="12" customFormat="false" ht="11.25" hidden="true" customHeight="true" outlineLevel="3" collapsed="false">
      <c r="C12" s="99"/>
      <c r="D12" s="99"/>
      <c r="E12" s="100" t="str">
        <f aca="false">IF($P$12="","",SUMIFS(Mastersheet!$F$2:$F$400,Mastersheet!$A$2:$A$400,$P$12)/1000)</f>
        <v/>
      </c>
      <c r="F12" s="100" t="str">
        <f aca="false">IF($P$12="","",SUMIFS(Mastersheet!$G$2:$G$400,Mastersheet!$A$2:$A$400,$P$12)/1000)</f>
        <v/>
      </c>
      <c r="G12" s="100" t="str">
        <f aca="false">IF($P$12="","",SUMIFS(Mastersheet!$H$2:$H$400,Mastersheet!$A$2:$A$400,$P$12)/1000)</f>
        <v/>
      </c>
      <c r="H12" s="100" t="str">
        <f aca="false">IF($P$12="","",SUMIFS(Mastersheet!$I$2:$I$400,Mastersheet!$A$2:$A$400,$P$12)/1000)</f>
        <v/>
      </c>
      <c r="I12" s="102" t="str">
        <f aca="false">IF($P$12="","",SUMIFS(Mastersheet!$J$2:$J$400,Mastersheet!$A$2:$A$400,$P$12)/1000)</f>
        <v/>
      </c>
      <c r="J12" s="103" t="str">
        <f aca="false">IF($P$12="","",SUMIFS(Mastersheet!$K$2:$K$400,Mastersheet!$A$2:$A$400,$P$12)/1000)</f>
        <v/>
      </c>
      <c r="K12" s="103" t="str">
        <f aca="false">IF($P$12="","",SUMIFS(Mastersheet!$L$2:$L$400,Mastersheet!$A$2:$A$400,$P$12)/1000)</f>
        <v/>
      </c>
      <c r="L12" s="103" t="str">
        <f aca="false">IF($P$12="","",SUMIFS(Mastersheet!$M$2:$M$400,Mastersheet!$A$2:$A$400,$P$12)/1000)</f>
        <v/>
      </c>
      <c r="M12" s="103" t="str">
        <f aca="false">IF($P$12="","",SUMIFS(Mastersheet!$N$2:$N$400,Mastersheet!$A$2:$A$400,$P$12)/1000)</f>
        <v/>
      </c>
      <c r="P12" s="97"/>
      <c r="Q12" s="104" t="s">
        <v>415</v>
      </c>
      <c r="R12" s="104" t="s">
        <v>416</v>
      </c>
    </row>
    <row r="13" customFormat="false" ht="11.25" hidden="true" customHeight="true" outlineLevel="3" collapsed="false">
      <c r="C13" s="99"/>
      <c r="D13" s="99"/>
      <c r="E13" s="100" t="str">
        <f aca="false">IF($P$13="","",SUMIFS(Mastersheet!$F$2:$F$400,Mastersheet!$A$2:$A$400,$P$13)/1000)</f>
        <v/>
      </c>
      <c r="F13" s="100" t="str">
        <f aca="false">IF($P$13="","",SUMIFS(Mastersheet!$G$2:$G$400,Mastersheet!$A$2:$A$400,$P$13)/1000)</f>
        <v/>
      </c>
      <c r="G13" s="100" t="str">
        <f aca="false">IF($P$13="","",SUMIFS(Mastersheet!$H$2:$H$400,Mastersheet!$A$2:$A$400,$P$13)/1000)</f>
        <v/>
      </c>
      <c r="H13" s="100" t="str">
        <f aca="false">IF($P$13="","",SUMIFS(Mastersheet!$I$2:$I$400,Mastersheet!$A$2:$A$400,$P$13)/1000)</f>
        <v/>
      </c>
      <c r="I13" s="102" t="str">
        <f aca="false">IF($P$13="","",SUMIFS(Mastersheet!$J$2:$J$400,Mastersheet!$A$2:$A$400,$P$13)/1000)</f>
        <v/>
      </c>
      <c r="J13" s="103" t="str">
        <f aca="false">IF($P$13="","",SUMIFS(Mastersheet!$K$2:$K$400,Mastersheet!$A$2:$A$400,$P$13)/1000)</f>
        <v/>
      </c>
      <c r="K13" s="103" t="str">
        <f aca="false">IF($P$13="","",SUMIFS(Mastersheet!$L$2:$L$400,Mastersheet!$A$2:$A$400,$P$13)/1000)</f>
        <v/>
      </c>
      <c r="L13" s="103" t="str">
        <f aca="false">IF($P$13="","",SUMIFS(Mastersheet!$M$2:$M$400,Mastersheet!$A$2:$A$400,$P$13)/1000)</f>
        <v/>
      </c>
      <c r="M13" s="103" t="str">
        <f aca="false">IF($P$13="","",SUMIFS(Mastersheet!$N$2:$N$400,Mastersheet!$A$2:$A$400,$P$13)/1000)</f>
        <v/>
      </c>
      <c r="P13" s="97"/>
      <c r="Q13" s="104" t="s">
        <v>415</v>
      </c>
      <c r="R13" s="104" t="s">
        <v>416</v>
      </c>
    </row>
    <row r="14" customFormat="false" ht="11.25" hidden="true" customHeight="true" outlineLevel="3" collapsed="false">
      <c r="C14" s="99"/>
      <c r="D14" s="99"/>
      <c r="E14" s="100" t="str">
        <f aca="false">IF($P$14="","",SUMIFS(Mastersheet!$F$2:$F$400,Mastersheet!$A$2:$A$400,$P$14)/1000)</f>
        <v/>
      </c>
      <c r="F14" s="100" t="str">
        <f aca="false">IF($P$14="","",SUMIFS(Mastersheet!$G$2:$G$400,Mastersheet!$A$2:$A$400,$P$14)/1000)</f>
        <v/>
      </c>
      <c r="G14" s="100" t="str">
        <f aca="false">IF($P$14="","",SUMIFS(Mastersheet!$H$2:$H$400,Mastersheet!$A$2:$A$400,$P$14)/1000)</f>
        <v/>
      </c>
      <c r="H14" s="100" t="str">
        <f aca="false">IF($P$14="","",SUMIFS(Mastersheet!$I$2:$I$400,Mastersheet!$A$2:$A$400,$P$14)/1000)</f>
        <v/>
      </c>
      <c r="I14" s="102" t="str">
        <f aca="false">IF($P$14="","",SUMIFS(Mastersheet!$J$2:$J$400,Mastersheet!$A$2:$A$400,$P$14)/1000)</f>
        <v/>
      </c>
      <c r="J14" s="103" t="str">
        <f aca="false">IF($P$14="","",SUMIFS(Mastersheet!$K$2:$K$400,Mastersheet!$A$2:$A$400,$P$14)/1000)</f>
        <v/>
      </c>
      <c r="K14" s="103" t="str">
        <f aca="false">IF($P$14="","",SUMIFS(Mastersheet!$L$2:$L$400,Mastersheet!$A$2:$A$400,$P$14)/1000)</f>
        <v/>
      </c>
      <c r="L14" s="103" t="str">
        <f aca="false">IF($P$14="","",SUMIFS(Mastersheet!$M$2:$M$400,Mastersheet!$A$2:$A$400,$P$14)/1000)</f>
        <v/>
      </c>
      <c r="M14" s="103" t="str">
        <f aca="false">IF($P$14="","",SUMIFS(Mastersheet!$N$2:$N$400,Mastersheet!$A$2:$A$400,$P$14)/1000)</f>
        <v/>
      </c>
      <c r="P14" s="97"/>
      <c r="Q14" s="104" t="s">
        <v>415</v>
      </c>
      <c r="R14" s="104" t="s">
        <v>416</v>
      </c>
    </row>
    <row r="15" customFormat="false" ht="11.25" hidden="true" customHeight="true" outlineLevel="3" collapsed="false">
      <c r="C15" s="99"/>
      <c r="D15" s="99"/>
      <c r="E15" s="100" t="str">
        <f aca="false">IF($P$15="","",SUMIFS(Mastersheet!$F$2:$F$400,Mastersheet!$A$2:$A$400,$P$15)/1000)</f>
        <v/>
      </c>
      <c r="F15" s="100" t="str">
        <f aca="false">IF($P$15="","",SUMIFS(Mastersheet!$G$2:$G$400,Mastersheet!$A$2:$A$400,$P$15)/1000)</f>
        <v/>
      </c>
      <c r="G15" s="100" t="str">
        <f aca="false">IF($P$15="","",SUMIFS(Mastersheet!$H$2:$H$400,Mastersheet!$A$2:$A$400,$P$15)/1000)</f>
        <v/>
      </c>
      <c r="H15" s="100" t="str">
        <f aca="false">IF($P$15="","",SUMIFS(Mastersheet!$I$2:$I$400,Mastersheet!$A$2:$A$400,$P$15)/1000)</f>
        <v/>
      </c>
      <c r="I15" s="102" t="str">
        <f aca="false">IF($P$15="","",SUMIFS(Mastersheet!$J$2:$J$400,Mastersheet!$A$2:$A$400,$P$15)/1000)</f>
        <v/>
      </c>
      <c r="J15" s="103" t="str">
        <f aca="false">IF($P$15="","",SUMIFS(Mastersheet!$K$2:$K$400,Mastersheet!$A$2:$A$400,$P$15)/1000)</f>
        <v/>
      </c>
      <c r="K15" s="103" t="str">
        <f aca="false">IF($P$15="","",SUMIFS(Mastersheet!$L$2:$L$400,Mastersheet!$A$2:$A$400,$P$15)/1000)</f>
        <v/>
      </c>
      <c r="L15" s="103" t="str">
        <f aca="false">IF($P$15="","",SUMIFS(Mastersheet!$M$2:$M$400,Mastersheet!$A$2:$A$400,$P$15)/1000)</f>
        <v/>
      </c>
      <c r="M15" s="103" t="str">
        <f aca="false">IF($P$15="","",SUMIFS(Mastersheet!$N$2:$N$400,Mastersheet!$A$2:$A$400,$P$15)/1000)</f>
        <v/>
      </c>
      <c r="P15" s="97"/>
      <c r="Q15" s="104" t="s">
        <v>415</v>
      </c>
      <c r="R15" s="104" t="s">
        <v>416</v>
      </c>
    </row>
    <row r="16" customFormat="false" ht="11.25" hidden="true" customHeight="true" outlineLevel="3" collapsed="false">
      <c r="C16" s="99"/>
      <c r="D16" s="99"/>
      <c r="E16" s="100" t="str">
        <f aca="false">IF($P$16="","",SUMIFS(Mastersheet!$F$2:$F$400,Mastersheet!$A$2:$A$400,$P$16)/1000)</f>
        <v/>
      </c>
      <c r="F16" s="100" t="str">
        <f aca="false">IF($P$16="","",SUMIFS(Mastersheet!$G$2:$G$400,Mastersheet!$A$2:$A$400,$P$16)/1000)</f>
        <v/>
      </c>
      <c r="G16" s="100" t="str">
        <f aca="false">IF($P$16="","",SUMIFS(Mastersheet!$H$2:$H$400,Mastersheet!$A$2:$A$400,$P$16)/1000)</f>
        <v/>
      </c>
      <c r="H16" s="100" t="str">
        <f aca="false">IF($P$16="","",SUMIFS(Mastersheet!$I$2:$I$400,Mastersheet!$A$2:$A$400,$P$16)/1000)</f>
        <v/>
      </c>
      <c r="I16" s="102" t="str">
        <f aca="false">IF($P$16="","",SUMIFS(Mastersheet!$J$2:$J$400,Mastersheet!$A$2:$A$400,$P$16)/1000)</f>
        <v/>
      </c>
      <c r="J16" s="103" t="str">
        <f aca="false">IF($P$16="","",SUMIFS(Mastersheet!$K$2:$K$400,Mastersheet!$A$2:$A$400,$P$16)/1000)</f>
        <v/>
      </c>
      <c r="K16" s="103" t="str">
        <f aca="false">IF($P$16="","",SUMIFS(Mastersheet!$L$2:$L$400,Mastersheet!$A$2:$A$400,$P$16)/1000)</f>
        <v/>
      </c>
      <c r="L16" s="103" t="str">
        <f aca="false">IF($P$16="","",SUMIFS(Mastersheet!$M$2:$M$400,Mastersheet!$A$2:$A$400,$P$16)/1000)</f>
        <v/>
      </c>
      <c r="M16" s="103" t="str">
        <f aca="false">IF($P$16="","",SUMIFS(Mastersheet!$N$2:$N$400,Mastersheet!$A$2:$A$400,$P$16)/1000)</f>
        <v/>
      </c>
      <c r="P16" s="97"/>
      <c r="Q16" s="104" t="s">
        <v>415</v>
      </c>
      <c r="R16" s="104" t="s">
        <v>416</v>
      </c>
    </row>
    <row r="17" customFormat="false" ht="11.25" hidden="true" customHeight="true" outlineLevel="3" collapsed="false">
      <c r="C17" s="99"/>
      <c r="D17" s="99"/>
      <c r="E17" s="100" t="str">
        <f aca="false">IF($P$17="","",SUMIFS(Mastersheet!$F$2:$F$400,Mastersheet!$A$2:$A$400,$P$17)/1000)</f>
        <v/>
      </c>
      <c r="F17" s="100" t="str">
        <f aca="false">IF($P$17="","",SUMIFS(Mastersheet!$G$2:$G$400,Mastersheet!$A$2:$A$400,$P$17)/1000)</f>
        <v/>
      </c>
      <c r="G17" s="100" t="str">
        <f aca="false">IF($P$17="","",SUMIFS(Mastersheet!$H$2:$H$400,Mastersheet!$A$2:$A$400,$P$17)/1000)</f>
        <v/>
      </c>
      <c r="H17" s="100" t="str">
        <f aca="false">IF($P$17="","",SUMIFS(Mastersheet!$I$2:$I$400,Mastersheet!$A$2:$A$400,$P$17)/1000)</f>
        <v/>
      </c>
      <c r="I17" s="102" t="str">
        <f aca="false">IF($P$17="","",SUMIFS(Mastersheet!$J$2:$J$400,Mastersheet!$A$2:$A$400,$P$17)/1000)</f>
        <v/>
      </c>
      <c r="J17" s="103" t="str">
        <f aca="false">IF($P$17="","",SUMIFS(Mastersheet!$K$2:$K$400,Mastersheet!$A$2:$A$400,$P$17)/1000)</f>
        <v/>
      </c>
      <c r="K17" s="103" t="str">
        <f aca="false">IF($P$17="","",SUMIFS(Mastersheet!$L$2:$L$400,Mastersheet!$A$2:$A$400,$P$17)/1000)</f>
        <v/>
      </c>
      <c r="L17" s="103" t="str">
        <f aca="false">IF($P$17="","",SUMIFS(Mastersheet!$M$2:$M$400,Mastersheet!$A$2:$A$400,$P$17)/1000)</f>
        <v/>
      </c>
      <c r="M17" s="103" t="str">
        <f aca="false">IF($P$17="","",SUMIFS(Mastersheet!$N$2:$N$400,Mastersheet!$A$2:$A$400,$P$17)/1000)</f>
        <v/>
      </c>
      <c r="P17" s="97"/>
      <c r="Q17" s="104" t="s">
        <v>415</v>
      </c>
      <c r="R17" s="104" t="s">
        <v>416</v>
      </c>
    </row>
    <row r="18" customFormat="false" ht="11.25" hidden="false" customHeight="true" outlineLevel="0" collapsed="false">
      <c r="C18" s="51" t="s">
        <v>475</v>
      </c>
      <c r="D18" s="51" t="s">
        <v>476</v>
      </c>
      <c r="E18" s="159" t="n">
        <f aca="false">SUMIFS(Mastersheet!$F$2:$F$400,Mastersheet!$D$2:$D$400,$P18,Mastersheet!$C$2:$C$400,$Q18)/1000</f>
        <v>0</v>
      </c>
      <c r="F18" s="159" t="n">
        <f aca="false">SUMIFS(Mastersheet!$G$2:$G$400,Mastersheet!$D$2:$D$400,$P18,Mastersheet!$C$2:$C$400,$Q18)/1000</f>
        <v>0</v>
      </c>
      <c r="G18" s="159" t="n">
        <f aca="false">SUMIFS(Mastersheet!$H$2:$H$400,Mastersheet!$D$2:$D$400,$P18,Mastersheet!$C$2:$C$400,$Q18)/1000</f>
        <v>0</v>
      </c>
      <c r="H18" s="159" t="n">
        <f aca="false">SUMIFS(Mastersheet!$I$2:$I$400,Mastersheet!$D$2:$D$400,$P18,Mastersheet!$C$2:$C$400,$Q18)/1000</f>
        <v>0</v>
      </c>
      <c r="I18" s="160" t="n">
        <f aca="false">SUMIFS(Mastersheet!$J$2:$J$400,Mastersheet!$D$2:$D$400,$P18,Mastersheet!$C$2:$C$400,$Q18)/1000</f>
        <v>0</v>
      </c>
      <c r="J18" s="161" t="n">
        <f aca="false">SUMIFS(Mastersheet!$K$2:$K$400,Mastersheet!$D$2:$D$400,$P18,Mastersheet!$C$2:$C$400,$Q18)/1000</f>
        <v>0</v>
      </c>
      <c r="K18" s="161" t="n">
        <f aca="false">SUMIFS(Mastersheet!$L$2:$L$400,Mastersheet!$D$2:$D$400,$P18,Mastersheet!$C$2:$C$400,$Q18)/1000</f>
        <v>0</v>
      </c>
      <c r="L18" s="161" t="n">
        <f aca="false">SUMIFS(Mastersheet!$M$2:$M$400,Mastersheet!$D$2:$D$400,$P18,Mastersheet!$C$2:$C$400,$Q18)/1000</f>
        <v>0</v>
      </c>
      <c r="M18" s="161" t="n">
        <f aca="false">SUMIFS(Mastersheet!$N$2:$N$400,Mastersheet!$D$2:$D$400,$P18,Mastersheet!$C$2:$C$400,$Q18)/1000</f>
        <v>0</v>
      </c>
      <c r="P18" s="97" t="s">
        <v>475</v>
      </c>
      <c r="Q18" s="98" t="s">
        <v>474</v>
      </c>
      <c r="R18" s="98" t="s">
        <v>414</v>
      </c>
    </row>
    <row r="19" customFormat="false" ht="11.25" hidden="true" customHeight="true" outlineLevel="3" collapsed="false">
      <c r="C19" s="99"/>
      <c r="D19" s="99"/>
      <c r="E19" s="100" t="str">
        <f aca="false">IF($P$19="","",SUMIFS(Mastersheet!$F$2:$F$400,Mastersheet!$A$2:$A$400,$P$19)/1000)</f>
        <v/>
      </c>
      <c r="F19" s="100" t="str">
        <f aca="false">IF($P$19="","",SUMIFS(Mastersheet!$G$2:$G$400,Mastersheet!$A$2:$A$400,$P$19)/1000)</f>
        <v/>
      </c>
      <c r="G19" s="100" t="str">
        <f aca="false">IF($P$19="","",SUMIFS(Mastersheet!$H$2:$H$400,Mastersheet!$A$2:$A$400,$P$19)/1000)</f>
        <v/>
      </c>
      <c r="H19" s="100" t="str">
        <f aca="false">IF($P$19="","",SUMIFS(Mastersheet!$I$2:$I$400,Mastersheet!$A$2:$A$400,$P$19)/1000)</f>
        <v/>
      </c>
      <c r="I19" s="102" t="str">
        <f aca="false">IF($P$19="","",SUMIFS(Mastersheet!$J$2:$J$400,Mastersheet!$A$2:$A$400,$P$19)/1000)</f>
        <v/>
      </c>
      <c r="J19" s="103" t="str">
        <f aca="false">IF($P$19="","",SUMIFS(Mastersheet!$K$2:$K$400,Mastersheet!$A$2:$A$400,$P$19)/1000)</f>
        <v/>
      </c>
      <c r="K19" s="103" t="str">
        <f aca="false">IF($P$19="","",SUMIFS(Mastersheet!$L$2:$L$400,Mastersheet!$A$2:$A$400,$P$19)/1000)</f>
        <v/>
      </c>
      <c r="L19" s="103" t="str">
        <f aca="false">IF($P$19="","",SUMIFS(Mastersheet!$M$2:$M$400,Mastersheet!$A$2:$A$400,$P$19)/1000)</f>
        <v/>
      </c>
      <c r="M19" s="103" t="str">
        <f aca="false">IF($P$19="","",SUMIFS(Mastersheet!$N$2:$N$400,Mastersheet!$A$2:$A$400,$P$19)/1000)</f>
        <v/>
      </c>
      <c r="P19" s="97"/>
      <c r="Q19" s="104" t="s">
        <v>415</v>
      </c>
      <c r="R19" s="104" t="s">
        <v>416</v>
      </c>
    </row>
    <row r="20" customFormat="false" ht="11.25" hidden="true" customHeight="true" outlineLevel="3" collapsed="false">
      <c r="C20" s="99"/>
      <c r="D20" s="99"/>
      <c r="E20" s="100" t="str">
        <f aca="false">IF($P$20="","",SUMIFS(Mastersheet!$F$2:$F$400,Mastersheet!$A$2:$A$400,$P$20)/1000)</f>
        <v/>
      </c>
      <c r="F20" s="100" t="str">
        <f aca="false">IF($P$20="","",SUMIFS(Mastersheet!$G$2:$G$400,Mastersheet!$A$2:$A$400,$P$20)/1000)</f>
        <v/>
      </c>
      <c r="G20" s="100" t="str">
        <f aca="false">IF($P$20="","",SUMIFS(Mastersheet!$H$2:$H$400,Mastersheet!$A$2:$A$400,$P$20)/1000)</f>
        <v/>
      </c>
      <c r="H20" s="100" t="str">
        <f aca="false">IF($P$20="","",SUMIFS(Mastersheet!$I$2:$I$400,Mastersheet!$A$2:$A$400,$P$20)/1000)</f>
        <v/>
      </c>
      <c r="I20" s="102" t="str">
        <f aca="false">IF($P$20="","",SUMIFS(Mastersheet!$J$2:$J$400,Mastersheet!$A$2:$A$400,$P$20)/1000)</f>
        <v/>
      </c>
      <c r="J20" s="103" t="str">
        <f aca="false">IF($P$20="","",SUMIFS(Mastersheet!$K$2:$K$400,Mastersheet!$A$2:$A$400,$P$20)/1000)</f>
        <v/>
      </c>
      <c r="K20" s="103" t="str">
        <f aca="false">IF($P$20="","",SUMIFS(Mastersheet!$L$2:$L$400,Mastersheet!$A$2:$A$400,$P$20)/1000)</f>
        <v/>
      </c>
      <c r="L20" s="103" t="str">
        <f aca="false">IF($P$20="","",SUMIFS(Mastersheet!$M$2:$M$400,Mastersheet!$A$2:$A$400,$P$20)/1000)</f>
        <v/>
      </c>
      <c r="M20" s="103" t="str">
        <f aca="false">IF($P$20="","",SUMIFS(Mastersheet!$N$2:$N$400,Mastersheet!$A$2:$A$400,$P$20)/1000)</f>
        <v/>
      </c>
      <c r="P20" s="97"/>
      <c r="Q20" s="104" t="s">
        <v>415</v>
      </c>
      <c r="R20" s="104" t="s">
        <v>416</v>
      </c>
    </row>
    <row r="21" customFormat="false" ht="11.25" hidden="true" customHeight="true" outlineLevel="3" collapsed="false">
      <c r="C21" s="99"/>
      <c r="D21" s="99"/>
      <c r="E21" s="100" t="str">
        <f aca="false">IF($P$21="","",SUMIFS(Mastersheet!$F$2:$F$400,Mastersheet!$A$2:$A$400,$P$21)/1000)</f>
        <v/>
      </c>
      <c r="F21" s="100" t="str">
        <f aca="false">IF($P$21="","",SUMIFS(Mastersheet!$G$2:$G$400,Mastersheet!$A$2:$A$400,$P$21)/1000)</f>
        <v/>
      </c>
      <c r="G21" s="100" t="str">
        <f aca="false">IF($P$21="","",SUMIFS(Mastersheet!$H$2:$H$400,Mastersheet!$A$2:$A$400,$P$21)/1000)</f>
        <v/>
      </c>
      <c r="H21" s="100" t="str">
        <f aca="false">IF($P$21="","",SUMIFS(Mastersheet!$I$2:$I$400,Mastersheet!$A$2:$A$400,$P$21)/1000)</f>
        <v/>
      </c>
      <c r="I21" s="102" t="str">
        <f aca="false">IF($P$21="","",SUMIFS(Mastersheet!$J$2:$J$400,Mastersheet!$A$2:$A$400,$P$21)/1000)</f>
        <v/>
      </c>
      <c r="J21" s="103" t="str">
        <f aca="false">IF($P$21="","",SUMIFS(Mastersheet!$K$2:$K$400,Mastersheet!$A$2:$A$400,$P$21)/1000)</f>
        <v/>
      </c>
      <c r="K21" s="103" t="str">
        <f aca="false">IF($P$21="","",SUMIFS(Mastersheet!$L$2:$L$400,Mastersheet!$A$2:$A$400,$P$21)/1000)</f>
        <v/>
      </c>
      <c r="L21" s="103" t="str">
        <f aca="false">IF($P$21="","",SUMIFS(Mastersheet!$M$2:$M$400,Mastersheet!$A$2:$A$400,$P$21)/1000)</f>
        <v/>
      </c>
      <c r="M21" s="103" t="str">
        <f aca="false">IF($P$21="","",SUMIFS(Mastersheet!$N$2:$N$400,Mastersheet!$A$2:$A$400,$P$21)/1000)</f>
        <v/>
      </c>
      <c r="P21" s="97"/>
      <c r="Q21" s="104" t="s">
        <v>415</v>
      </c>
      <c r="R21" s="104" t="s">
        <v>416</v>
      </c>
    </row>
    <row r="22" customFormat="false" ht="11.25" hidden="true" customHeight="true" outlineLevel="3" collapsed="false">
      <c r="C22" s="99"/>
      <c r="D22" s="99"/>
      <c r="E22" s="100" t="str">
        <f aca="false">IF($P$22="","",SUMIFS(Mastersheet!$F$2:$F$400,Mastersheet!$A$2:$A$400,$P$22)/1000)</f>
        <v/>
      </c>
      <c r="F22" s="100" t="str">
        <f aca="false">IF($P$22="","",SUMIFS(Mastersheet!$G$2:$G$400,Mastersheet!$A$2:$A$400,$P$22)/1000)</f>
        <v/>
      </c>
      <c r="G22" s="100" t="str">
        <f aca="false">IF($P$22="","",SUMIFS(Mastersheet!$H$2:$H$400,Mastersheet!$A$2:$A$400,$P$22)/1000)</f>
        <v/>
      </c>
      <c r="H22" s="100" t="str">
        <f aca="false">IF($P$22="","",SUMIFS(Mastersheet!$I$2:$I$400,Mastersheet!$A$2:$A$400,$P$22)/1000)</f>
        <v/>
      </c>
      <c r="I22" s="102" t="str">
        <f aca="false">IF($P$22="","",SUMIFS(Mastersheet!$J$2:$J$400,Mastersheet!$A$2:$A$400,$P$22)/1000)</f>
        <v/>
      </c>
      <c r="J22" s="103" t="str">
        <f aca="false">IF($P$22="","",SUMIFS(Mastersheet!$K$2:$K$400,Mastersheet!$A$2:$A$400,$P$22)/1000)</f>
        <v/>
      </c>
      <c r="K22" s="103" t="str">
        <f aca="false">IF($P$22="","",SUMIFS(Mastersheet!$L$2:$L$400,Mastersheet!$A$2:$A$400,$P$22)/1000)</f>
        <v/>
      </c>
      <c r="L22" s="103" t="str">
        <f aca="false">IF($P$22="","",SUMIFS(Mastersheet!$M$2:$M$400,Mastersheet!$A$2:$A$400,$P$22)/1000)</f>
        <v/>
      </c>
      <c r="M22" s="103" t="str">
        <f aca="false">IF($P$22="","",SUMIFS(Mastersheet!$N$2:$N$400,Mastersheet!$A$2:$A$400,$P$22)/1000)</f>
        <v/>
      </c>
      <c r="P22" s="97"/>
      <c r="Q22" s="104" t="s">
        <v>415</v>
      </c>
      <c r="R22" s="104" t="s">
        <v>416</v>
      </c>
    </row>
    <row r="23" customFormat="false" ht="11.25" hidden="true" customHeight="true" outlineLevel="3" collapsed="false">
      <c r="C23" s="99"/>
      <c r="D23" s="99"/>
      <c r="E23" s="100" t="str">
        <f aca="false">IF($P$23="","",SUMIFS(Mastersheet!$F$2:$F$400,Mastersheet!$A$2:$A$400,$P$23)/1000)</f>
        <v/>
      </c>
      <c r="F23" s="100" t="str">
        <f aca="false">IF($P$23="","",SUMIFS(Mastersheet!$G$2:$G$400,Mastersheet!$A$2:$A$400,$P$23)/1000)</f>
        <v/>
      </c>
      <c r="G23" s="100" t="str">
        <f aca="false">IF($P$23="","",SUMIFS(Mastersheet!$H$2:$H$400,Mastersheet!$A$2:$A$400,$P$23)/1000)</f>
        <v/>
      </c>
      <c r="H23" s="100" t="str">
        <f aca="false">IF($P$23="","",SUMIFS(Mastersheet!$I$2:$I$400,Mastersheet!$A$2:$A$400,$P$23)/1000)</f>
        <v/>
      </c>
      <c r="I23" s="102" t="str">
        <f aca="false">IF($P$23="","",SUMIFS(Mastersheet!$J$2:$J$400,Mastersheet!$A$2:$A$400,$P$23)/1000)</f>
        <v/>
      </c>
      <c r="J23" s="103" t="str">
        <f aca="false">IF($P$23="","",SUMIFS(Mastersheet!$K$2:$K$400,Mastersheet!$A$2:$A$400,$P$23)/1000)</f>
        <v/>
      </c>
      <c r="K23" s="103" t="str">
        <f aca="false">IF($P$23="","",SUMIFS(Mastersheet!$L$2:$L$400,Mastersheet!$A$2:$A$400,$P$23)/1000)</f>
        <v/>
      </c>
      <c r="L23" s="103" t="str">
        <f aca="false">IF($P$23="","",SUMIFS(Mastersheet!$M$2:$M$400,Mastersheet!$A$2:$A$400,$P$23)/1000)</f>
        <v/>
      </c>
      <c r="M23" s="103" t="str">
        <f aca="false">IF($P$23="","",SUMIFS(Mastersheet!$N$2:$N$400,Mastersheet!$A$2:$A$400,$P$23)/1000)</f>
        <v/>
      </c>
      <c r="P23" s="97"/>
      <c r="Q23" s="104" t="s">
        <v>415</v>
      </c>
      <c r="R23" s="104" t="s">
        <v>416</v>
      </c>
    </row>
    <row r="24" customFormat="false" ht="11.25" hidden="true" customHeight="true" outlineLevel="3" collapsed="false">
      <c r="C24" s="99"/>
      <c r="D24" s="99"/>
      <c r="E24" s="100" t="str">
        <f aca="false">IF($P$24="","",SUMIFS(Mastersheet!$F$2:$F$400,Mastersheet!$A$2:$A$400,$P$24)/1000)</f>
        <v/>
      </c>
      <c r="F24" s="100" t="str">
        <f aca="false">IF($P$24="","",SUMIFS(Mastersheet!$G$2:$G$400,Mastersheet!$A$2:$A$400,$P$24)/1000)</f>
        <v/>
      </c>
      <c r="G24" s="100" t="str">
        <f aca="false">IF($P$24="","",SUMIFS(Mastersheet!$H$2:$H$400,Mastersheet!$A$2:$A$400,$P$24)/1000)</f>
        <v/>
      </c>
      <c r="H24" s="100" t="str">
        <f aca="false">IF($P$24="","",SUMIFS(Mastersheet!$I$2:$I$400,Mastersheet!$A$2:$A$400,$P$24)/1000)</f>
        <v/>
      </c>
      <c r="I24" s="102" t="str">
        <f aca="false">IF($P$24="","",SUMIFS(Mastersheet!$J$2:$J$400,Mastersheet!$A$2:$A$400,$P$24)/1000)</f>
        <v/>
      </c>
      <c r="J24" s="103" t="str">
        <f aca="false">IF($P$24="","",SUMIFS(Mastersheet!$K$2:$K$400,Mastersheet!$A$2:$A$400,$P$24)/1000)</f>
        <v/>
      </c>
      <c r="K24" s="103" t="str">
        <f aca="false">IF($P$24="","",SUMIFS(Mastersheet!$L$2:$L$400,Mastersheet!$A$2:$A$400,$P$24)/1000)</f>
        <v/>
      </c>
      <c r="L24" s="103" t="str">
        <f aca="false">IF($P$24="","",SUMIFS(Mastersheet!$M$2:$M$400,Mastersheet!$A$2:$A$400,$P$24)/1000)</f>
        <v/>
      </c>
      <c r="M24" s="103" t="str">
        <f aca="false">IF($P$24="","",SUMIFS(Mastersheet!$N$2:$N$400,Mastersheet!$A$2:$A$400,$P$24)/1000)</f>
        <v/>
      </c>
      <c r="P24" s="97"/>
      <c r="Q24" s="104" t="s">
        <v>415</v>
      </c>
      <c r="R24" s="104" t="s">
        <v>416</v>
      </c>
    </row>
    <row r="25" customFormat="false" ht="11.25" hidden="true" customHeight="true" outlineLevel="3" collapsed="false">
      <c r="C25" s="99"/>
      <c r="D25" s="99"/>
      <c r="E25" s="100" t="str">
        <f aca="false">IF($P$25="","",SUMIFS(Mastersheet!$F$2:$F$400,Mastersheet!$A$2:$A$400,$P$25)/1000)</f>
        <v/>
      </c>
      <c r="F25" s="100" t="str">
        <f aca="false">IF($P$25="","",SUMIFS(Mastersheet!$G$2:$G$400,Mastersheet!$A$2:$A$400,$P$25)/1000)</f>
        <v/>
      </c>
      <c r="G25" s="100" t="str">
        <f aca="false">IF($P$25="","",SUMIFS(Mastersheet!$H$2:$H$400,Mastersheet!$A$2:$A$400,$P$25)/1000)</f>
        <v/>
      </c>
      <c r="H25" s="100" t="str">
        <f aca="false">IF($P$25="","",SUMIFS(Mastersheet!$I$2:$I$400,Mastersheet!$A$2:$A$400,$P$25)/1000)</f>
        <v/>
      </c>
      <c r="I25" s="102" t="str">
        <f aca="false">IF($P$25="","",SUMIFS(Mastersheet!$J$2:$J$400,Mastersheet!$A$2:$A$400,$P$25)/1000)</f>
        <v/>
      </c>
      <c r="J25" s="103" t="str">
        <f aca="false">IF($P$25="","",SUMIFS(Mastersheet!$K$2:$K$400,Mastersheet!$A$2:$A$400,$P$25)/1000)</f>
        <v/>
      </c>
      <c r="K25" s="103" t="str">
        <f aca="false">IF($P$25="","",SUMIFS(Mastersheet!$L$2:$L$400,Mastersheet!$A$2:$A$400,$P$25)/1000)</f>
        <v/>
      </c>
      <c r="L25" s="103" t="str">
        <f aca="false">IF($P$25="","",SUMIFS(Mastersheet!$M$2:$M$400,Mastersheet!$A$2:$A$400,$P$25)/1000)</f>
        <v/>
      </c>
      <c r="M25" s="103" t="str">
        <f aca="false">IF($P$25="","",SUMIFS(Mastersheet!$N$2:$N$400,Mastersheet!$A$2:$A$400,$P$25)/1000)</f>
        <v/>
      </c>
      <c r="P25" s="97"/>
      <c r="Q25" s="104" t="s">
        <v>415</v>
      </c>
      <c r="R25" s="104" t="s">
        <v>416</v>
      </c>
    </row>
    <row r="26" customFormat="false" ht="11.25" hidden="true" customHeight="true" outlineLevel="3" collapsed="false">
      <c r="C26" s="99"/>
      <c r="D26" s="99"/>
      <c r="E26" s="100" t="str">
        <f aca="false">IF($P$26="","",SUMIFS(Mastersheet!$F$2:$F$400,Mastersheet!$A$2:$A$400,$P$26)/1000)</f>
        <v/>
      </c>
      <c r="F26" s="100" t="str">
        <f aca="false">IF($P$26="","",SUMIFS(Mastersheet!$G$2:$G$400,Mastersheet!$A$2:$A$400,$P$26)/1000)</f>
        <v/>
      </c>
      <c r="G26" s="100" t="str">
        <f aca="false">IF($P$26="","",SUMIFS(Mastersheet!$H$2:$H$400,Mastersheet!$A$2:$A$400,$P$26)/1000)</f>
        <v/>
      </c>
      <c r="H26" s="100" t="str">
        <f aca="false">IF($P$26="","",SUMIFS(Mastersheet!$I$2:$I$400,Mastersheet!$A$2:$A$400,$P$26)/1000)</f>
        <v/>
      </c>
      <c r="I26" s="102" t="str">
        <f aca="false">IF($P$26="","",SUMIFS(Mastersheet!$J$2:$J$400,Mastersheet!$A$2:$A$400,$P$26)/1000)</f>
        <v/>
      </c>
      <c r="J26" s="103" t="str">
        <f aca="false">IF($P$26="","",SUMIFS(Mastersheet!$K$2:$K$400,Mastersheet!$A$2:$A$400,$P$26)/1000)</f>
        <v/>
      </c>
      <c r="K26" s="103" t="str">
        <f aca="false">IF($P$26="","",SUMIFS(Mastersheet!$L$2:$L$400,Mastersheet!$A$2:$A$400,$P$26)/1000)</f>
        <v/>
      </c>
      <c r="L26" s="103" t="str">
        <f aca="false">IF($P$26="","",SUMIFS(Mastersheet!$M$2:$M$400,Mastersheet!$A$2:$A$400,$P$26)/1000)</f>
        <v/>
      </c>
      <c r="M26" s="103" t="str">
        <f aca="false">IF($P$26="","",SUMIFS(Mastersheet!$N$2:$N$400,Mastersheet!$A$2:$A$400,$P$26)/1000)</f>
        <v/>
      </c>
      <c r="P26" s="97"/>
      <c r="Q26" s="104" t="s">
        <v>415</v>
      </c>
      <c r="R26" s="104" t="s">
        <v>416</v>
      </c>
    </row>
    <row r="27" customFormat="false" ht="11.25" hidden="false" customHeight="true" outlineLevel="0" collapsed="false">
      <c r="C27" s="51" t="s">
        <v>477</v>
      </c>
      <c r="D27" s="51" t="s">
        <v>478</v>
      </c>
      <c r="E27" s="159" t="n">
        <f aca="false">SUMIFS(Mastersheet!$F$2:$F$400,Mastersheet!$D$2:$D$400,$P27,Mastersheet!$C$2:$C$400,$Q27)/1000</f>
        <v>0</v>
      </c>
      <c r="F27" s="159" t="n">
        <f aca="false">SUMIFS(Mastersheet!$G$2:$G$400,Mastersheet!$D$2:$D$400,$P27,Mastersheet!$C$2:$C$400,$Q27)/1000</f>
        <v>0</v>
      </c>
      <c r="G27" s="159" t="n">
        <f aca="false">SUMIFS(Mastersheet!$H$2:$H$400,Mastersheet!$D$2:$D$400,$P27,Mastersheet!$C$2:$C$400,$Q27)/1000</f>
        <v>0</v>
      </c>
      <c r="H27" s="159" t="n">
        <f aca="false">SUMIFS(Mastersheet!$I$2:$I$400,Mastersheet!$D$2:$D$400,$P27,Mastersheet!$C$2:$C$400,$Q27)/1000</f>
        <v>0</v>
      </c>
      <c r="I27" s="160" t="n">
        <f aca="false">SUMIFS(Mastersheet!$J$2:$J$400,Mastersheet!$D$2:$D$400,$P27,Mastersheet!$C$2:$C$400,$Q27)/1000</f>
        <v>0</v>
      </c>
      <c r="J27" s="161" t="n">
        <f aca="false">SUMIFS(Mastersheet!$K$2:$K$400,Mastersheet!$D$2:$D$400,$P27,Mastersheet!$C$2:$C$400,$Q27)/1000</f>
        <v>0</v>
      </c>
      <c r="K27" s="161" t="n">
        <f aca="false">SUMIFS(Mastersheet!$L$2:$L$400,Mastersheet!$D$2:$D$400,$P27,Mastersheet!$C$2:$C$400,$Q27)/1000</f>
        <v>0</v>
      </c>
      <c r="L27" s="161" t="n">
        <f aca="false">SUMIFS(Mastersheet!$M$2:$M$400,Mastersheet!$D$2:$D$400,$P27,Mastersheet!$C$2:$C$400,$Q27)/1000</f>
        <v>0</v>
      </c>
      <c r="M27" s="161" t="n">
        <f aca="false">SUMIFS(Mastersheet!$N$2:$N$400,Mastersheet!$D$2:$D$400,$P27,Mastersheet!$C$2:$C$400,$Q27)/1000</f>
        <v>0</v>
      </c>
      <c r="P27" s="97" t="s">
        <v>477</v>
      </c>
      <c r="Q27" s="98" t="s">
        <v>474</v>
      </c>
      <c r="R27" s="98" t="s">
        <v>414</v>
      </c>
    </row>
    <row r="28" customFormat="false" ht="11.25" hidden="true" customHeight="true" outlineLevel="3" collapsed="false">
      <c r="C28" s="99"/>
      <c r="D28" s="99"/>
      <c r="E28" s="100" t="str">
        <f aca="false">IF($P$28="","",SUMIFS(Mastersheet!$F$2:$F$400,Mastersheet!$A$2:$A$400,$P$28)/1000)</f>
        <v/>
      </c>
      <c r="F28" s="100" t="str">
        <f aca="false">IF($P$28="","",SUMIFS(Mastersheet!$G$2:$G$400,Mastersheet!$A$2:$A$400,$P$28)/1000)</f>
        <v/>
      </c>
      <c r="G28" s="100" t="str">
        <f aca="false">IF($P$28="","",SUMIFS(Mastersheet!$H$2:$H$400,Mastersheet!$A$2:$A$400,$P$28)/1000)</f>
        <v/>
      </c>
      <c r="H28" s="100" t="str">
        <f aca="false">IF($P$28="","",SUMIFS(Mastersheet!$I$2:$I$400,Mastersheet!$A$2:$A$400,$P$28)/1000)</f>
        <v/>
      </c>
      <c r="I28" s="102" t="str">
        <f aca="false">IF($P$28="","",SUMIFS(Mastersheet!$J$2:$J$400,Mastersheet!$A$2:$A$400,$P$28)/1000)</f>
        <v/>
      </c>
      <c r="J28" s="103" t="str">
        <f aca="false">IF($P$28="","",SUMIFS(Mastersheet!$K$2:$K$400,Mastersheet!$A$2:$A$400,$P$28)/1000)</f>
        <v/>
      </c>
      <c r="K28" s="103" t="str">
        <f aca="false">IF($P$28="","",SUMIFS(Mastersheet!$L$2:$L$400,Mastersheet!$A$2:$A$400,$P$28)/1000)</f>
        <v/>
      </c>
      <c r="L28" s="103" t="str">
        <f aca="false">IF($P$28="","",SUMIFS(Mastersheet!$M$2:$M$400,Mastersheet!$A$2:$A$400,$P$28)/1000)</f>
        <v/>
      </c>
      <c r="M28" s="103" t="str">
        <f aca="false">IF($P$28="","",SUMIFS(Mastersheet!$N$2:$N$400,Mastersheet!$A$2:$A$400,$P$28)/1000)</f>
        <v/>
      </c>
      <c r="P28" s="97"/>
      <c r="Q28" s="104" t="s">
        <v>415</v>
      </c>
      <c r="R28" s="104" t="s">
        <v>416</v>
      </c>
    </row>
    <row r="29" customFormat="false" ht="11.25" hidden="true" customHeight="true" outlineLevel="3" collapsed="false">
      <c r="C29" s="99"/>
      <c r="D29" s="99"/>
      <c r="E29" s="100" t="str">
        <f aca="false">IF($P$29="","",SUMIFS(Mastersheet!$F$2:$F$400,Mastersheet!$A$2:$A$400,$P$29)/1000)</f>
        <v/>
      </c>
      <c r="F29" s="100" t="str">
        <f aca="false">IF($P$29="","",SUMIFS(Mastersheet!$G$2:$G$400,Mastersheet!$A$2:$A$400,$P$29)/1000)</f>
        <v/>
      </c>
      <c r="G29" s="100" t="str">
        <f aca="false">IF($P$29="","",SUMIFS(Mastersheet!$H$2:$H$400,Mastersheet!$A$2:$A$400,$P$29)/1000)</f>
        <v/>
      </c>
      <c r="H29" s="100" t="str">
        <f aca="false">IF($P$29="","",SUMIFS(Mastersheet!$I$2:$I$400,Mastersheet!$A$2:$A$400,$P$29)/1000)</f>
        <v/>
      </c>
      <c r="I29" s="102" t="str">
        <f aca="false">IF($P$29="","",SUMIFS(Mastersheet!$J$2:$J$400,Mastersheet!$A$2:$A$400,$P$29)/1000)</f>
        <v/>
      </c>
      <c r="J29" s="103" t="str">
        <f aca="false">IF($P$29="","",SUMIFS(Mastersheet!$K$2:$K$400,Mastersheet!$A$2:$A$400,$P$29)/1000)</f>
        <v/>
      </c>
      <c r="K29" s="103" t="str">
        <f aca="false">IF($P$29="","",SUMIFS(Mastersheet!$L$2:$L$400,Mastersheet!$A$2:$A$400,$P$29)/1000)</f>
        <v/>
      </c>
      <c r="L29" s="103" t="str">
        <f aca="false">IF($P$29="","",SUMIFS(Mastersheet!$M$2:$M$400,Mastersheet!$A$2:$A$400,$P$29)/1000)</f>
        <v/>
      </c>
      <c r="M29" s="103" t="str">
        <f aca="false">IF($P$29="","",SUMIFS(Mastersheet!$N$2:$N$400,Mastersheet!$A$2:$A$400,$P$29)/1000)</f>
        <v/>
      </c>
      <c r="P29" s="97"/>
      <c r="Q29" s="104" t="s">
        <v>415</v>
      </c>
      <c r="R29" s="104" t="s">
        <v>416</v>
      </c>
    </row>
    <row r="30" customFormat="false" ht="11.25" hidden="true" customHeight="true" outlineLevel="3" collapsed="false">
      <c r="C30" s="99"/>
      <c r="D30" s="99"/>
      <c r="E30" s="100" t="str">
        <f aca="false">IF($P$30="","",SUMIFS(Mastersheet!$F$2:$F$400,Mastersheet!$A$2:$A$400,$P$30)/1000)</f>
        <v/>
      </c>
      <c r="F30" s="100" t="str">
        <f aca="false">IF($P$30="","",SUMIFS(Mastersheet!$G$2:$G$400,Mastersheet!$A$2:$A$400,$P$30)/1000)</f>
        <v/>
      </c>
      <c r="G30" s="100" t="str">
        <f aca="false">IF($P$30="","",SUMIFS(Mastersheet!$H$2:$H$400,Mastersheet!$A$2:$A$400,$P$30)/1000)</f>
        <v/>
      </c>
      <c r="H30" s="100" t="str">
        <f aca="false">IF($P$30="","",SUMIFS(Mastersheet!$I$2:$I$400,Mastersheet!$A$2:$A$400,$P$30)/1000)</f>
        <v/>
      </c>
      <c r="I30" s="102" t="str">
        <f aca="false">IF($P$30="","",SUMIFS(Mastersheet!$J$2:$J$400,Mastersheet!$A$2:$A$400,$P$30)/1000)</f>
        <v/>
      </c>
      <c r="J30" s="103" t="str">
        <f aca="false">IF($P$30="","",SUMIFS(Mastersheet!$K$2:$K$400,Mastersheet!$A$2:$A$400,$P$30)/1000)</f>
        <v/>
      </c>
      <c r="K30" s="103" t="str">
        <f aca="false">IF($P$30="","",SUMIFS(Mastersheet!$L$2:$L$400,Mastersheet!$A$2:$A$400,$P$30)/1000)</f>
        <v/>
      </c>
      <c r="L30" s="103" t="str">
        <f aca="false">IF($P$30="","",SUMIFS(Mastersheet!$M$2:$M$400,Mastersheet!$A$2:$A$400,$P$30)/1000)</f>
        <v/>
      </c>
      <c r="M30" s="103" t="str">
        <f aca="false">IF($P$30="","",SUMIFS(Mastersheet!$N$2:$N$400,Mastersheet!$A$2:$A$400,$P$30)/1000)</f>
        <v/>
      </c>
      <c r="P30" s="97"/>
      <c r="Q30" s="104" t="s">
        <v>415</v>
      </c>
      <c r="R30" s="104" t="s">
        <v>416</v>
      </c>
    </row>
    <row r="31" customFormat="false" ht="11.25" hidden="true" customHeight="true" outlineLevel="3" collapsed="false">
      <c r="C31" s="99"/>
      <c r="D31" s="99"/>
      <c r="E31" s="100" t="str">
        <f aca="false">IF($P$31="","",SUMIFS(Mastersheet!$F$2:$F$400,Mastersheet!$A$2:$A$400,$P$31)/1000)</f>
        <v/>
      </c>
      <c r="F31" s="100" t="str">
        <f aca="false">IF($P$31="","",SUMIFS(Mastersheet!$G$2:$G$400,Mastersheet!$A$2:$A$400,$P$31)/1000)</f>
        <v/>
      </c>
      <c r="G31" s="100" t="str">
        <f aca="false">IF($P$31="","",SUMIFS(Mastersheet!$H$2:$H$400,Mastersheet!$A$2:$A$400,$P$31)/1000)</f>
        <v/>
      </c>
      <c r="H31" s="100" t="str">
        <f aca="false">IF($P$31="","",SUMIFS(Mastersheet!$I$2:$I$400,Mastersheet!$A$2:$A$400,$P$31)/1000)</f>
        <v/>
      </c>
      <c r="I31" s="102" t="str">
        <f aca="false">IF($P$31="","",SUMIFS(Mastersheet!$J$2:$J$400,Mastersheet!$A$2:$A$400,$P$31)/1000)</f>
        <v/>
      </c>
      <c r="J31" s="103" t="str">
        <f aca="false">IF($P$31="","",SUMIFS(Mastersheet!$K$2:$K$400,Mastersheet!$A$2:$A$400,$P$31)/1000)</f>
        <v/>
      </c>
      <c r="K31" s="103" t="str">
        <f aca="false">IF($P$31="","",SUMIFS(Mastersheet!$L$2:$L$400,Mastersheet!$A$2:$A$400,$P$31)/1000)</f>
        <v/>
      </c>
      <c r="L31" s="103" t="str">
        <f aca="false">IF($P$31="","",SUMIFS(Mastersheet!$M$2:$M$400,Mastersheet!$A$2:$A$400,$P$31)/1000)</f>
        <v/>
      </c>
      <c r="M31" s="103" t="str">
        <f aca="false">IF($P$31="","",SUMIFS(Mastersheet!$N$2:$N$400,Mastersheet!$A$2:$A$400,$P$31)/1000)</f>
        <v/>
      </c>
      <c r="P31" s="97"/>
      <c r="Q31" s="104" t="s">
        <v>415</v>
      </c>
      <c r="R31" s="104" t="s">
        <v>416</v>
      </c>
    </row>
    <row r="32" customFormat="false" ht="11.25" hidden="true" customHeight="true" outlineLevel="3" collapsed="false">
      <c r="C32" s="99"/>
      <c r="D32" s="99"/>
      <c r="E32" s="100" t="str">
        <f aca="false">IF($P$32="","",SUMIFS(Mastersheet!$F$2:$F$400,Mastersheet!$A$2:$A$400,$P$32)/1000)</f>
        <v/>
      </c>
      <c r="F32" s="100" t="str">
        <f aca="false">IF($P$32="","",SUMIFS(Mastersheet!$G$2:$G$400,Mastersheet!$A$2:$A$400,$P$32)/1000)</f>
        <v/>
      </c>
      <c r="G32" s="100" t="str">
        <f aca="false">IF($P$32="","",SUMIFS(Mastersheet!$H$2:$H$400,Mastersheet!$A$2:$A$400,$P$32)/1000)</f>
        <v/>
      </c>
      <c r="H32" s="100" t="str">
        <f aca="false">IF($P$32="","",SUMIFS(Mastersheet!$I$2:$I$400,Mastersheet!$A$2:$A$400,$P$32)/1000)</f>
        <v/>
      </c>
      <c r="I32" s="102" t="str">
        <f aca="false">IF($P$32="","",SUMIFS(Mastersheet!$J$2:$J$400,Mastersheet!$A$2:$A$400,$P$32)/1000)</f>
        <v/>
      </c>
      <c r="J32" s="103" t="str">
        <f aca="false">IF($P$32="","",SUMIFS(Mastersheet!$K$2:$K$400,Mastersheet!$A$2:$A$400,$P$32)/1000)</f>
        <v/>
      </c>
      <c r="K32" s="103" t="str">
        <f aca="false">IF($P$32="","",SUMIFS(Mastersheet!$L$2:$L$400,Mastersheet!$A$2:$A$400,$P$32)/1000)</f>
        <v/>
      </c>
      <c r="L32" s="103" t="str">
        <f aca="false">IF($P$32="","",SUMIFS(Mastersheet!$M$2:$M$400,Mastersheet!$A$2:$A$400,$P$32)/1000)</f>
        <v/>
      </c>
      <c r="M32" s="103" t="str">
        <f aca="false">IF($P$32="","",SUMIFS(Mastersheet!$N$2:$N$400,Mastersheet!$A$2:$A$400,$P$32)/1000)</f>
        <v/>
      </c>
      <c r="P32" s="97"/>
      <c r="Q32" s="104" t="s">
        <v>415</v>
      </c>
      <c r="R32" s="104" t="s">
        <v>416</v>
      </c>
    </row>
    <row r="33" customFormat="false" ht="11.25" hidden="true" customHeight="true" outlineLevel="3" collapsed="false">
      <c r="C33" s="99"/>
      <c r="D33" s="99"/>
      <c r="E33" s="100" t="str">
        <f aca="false">IF($P$33="","",SUMIFS(Mastersheet!$F$2:$F$400,Mastersheet!$A$2:$A$400,$P$33)/1000)</f>
        <v/>
      </c>
      <c r="F33" s="100" t="str">
        <f aca="false">IF($P$33="","",SUMIFS(Mastersheet!$G$2:$G$400,Mastersheet!$A$2:$A$400,$P$33)/1000)</f>
        <v/>
      </c>
      <c r="G33" s="100" t="str">
        <f aca="false">IF($P$33="","",SUMIFS(Mastersheet!$H$2:$H$400,Mastersheet!$A$2:$A$400,$P$33)/1000)</f>
        <v/>
      </c>
      <c r="H33" s="100" t="str">
        <f aca="false">IF($P$33="","",SUMIFS(Mastersheet!$I$2:$I$400,Mastersheet!$A$2:$A$400,$P$33)/1000)</f>
        <v/>
      </c>
      <c r="I33" s="102" t="str">
        <f aca="false">IF($P$33="","",SUMIFS(Mastersheet!$J$2:$J$400,Mastersheet!$A$2:$A$400,$P$33)/1000)</f>
        <v/>
      </c>
      <c r="J33" s="103" t="str">
        <f aca="false">IF($P$33="","",SUMIFS(Mastersheet!$K$2:$K$400,Mastersheet!$A$2:$A$400,$P$33)/1000)</f>
        <v/>
      </c>
      <c r="K33" s="103" t="str">
        <f aca="false">IF($P$33="","",SUMIFS(Mastersheet!$L$2:$L$400,Mastersheet!$A$2:$A$400,$P$33)/1000)</f>
        <v/>
      </c>
      <c r="L33" s="103" t="str">
        <f aca="false">IF($P$33="","",SUMIFS(Mastersheet!$M$2:$M$400,Mastersheet!$A$2:$A$400,$P$33)/1000)</f>
        <v/>
      </c>
      <c r="M33" s="103" t="str">
        <f aca="false">IF($P$33="","",SUMIFS(Mastersheet!$N$2:$N$400,Mastersheet!$A$2:$A$400,$P$33)/1000)</f>
        <v/>
      </c>
      <c r="P33" s="97"/>
      <c r="Q33" s="104" t="s">
        <v>415</v>
      </c>
      <c r="R33" s="104" t="s">
        <v>416</v>
      </c>
    </row>
    <row r="34" customFormat="false" ht="11.25" hidden="true" customHeight="true" outlineLevel="3" collapsed="false">
      <c r="C34" s="99"/>
      <c r="D34" s="99"/>
      <c r="E34" s="100" t="str">
        <f aca="false">IF($P$34="","",SUMIFS(Mastersheet!$F$2:$F$400,Mastersheet!$A$2:$A$400,$P$34)/1000)</f>
        <v/>
      </c>
      <c r="F34" s="100" t="str">
        <f aca="false">IF($P$34="","",SUMIFS(Mastersheet!$G$2:$G$400,Mastersheet!$A$2:$A$400,$P$34)/1000)</f>
        <v/>
      </c>
      <c r="G34" s="100" t="str">
        <f aca="false">IF($P$34="","",SUMIFS(Mastersheet!$H$2:$H$400,Mastersheet!$A$2:$A$400,$P$34)/1000)</f>
        <v/>
      </c>
      <c r="H34" s="100" t="str">
        <f aca="false">IF($P$34="","",SUMIFS(Mastersheet!$I$2:$I$400,Mastersheet!$A$2:$A$400,$P$34)/1000)</f>
        <v/>
      </c>
      <c r="I34" s="102" t="str">
        <f aca="false">IF($P$34="","",SUMIFS(Mastersheet!$J$2:$J$400,Mastersheet!$A$2:$A$400,$P$34)/1000)</f>
        <v/>
      </c>
      <c r="J34" s="103" t="str">
        <f aca="false">IF($P$34="","",SUMIFS(Mastersheet!$K$2:$K$400,Mastersheet!$A$2:$A$400,$P$34)/1000)</f>
        <v/>
      </c>
      <c r="K34" s="103" t="str">
        <f aca="false">IF($P$34="","",SUMIFS(Mastersheet!$L$2:$L$400,Mastersheet!$A$2:$A$400,$P$34)/1000)</f>
        <v/>
      </c>
      <c r="L34" s="103" t="str">
        <f aca="false">IF($P$34="","",SUMIFS(Mastersheet!$M$2:$M$400,Mastersheet!$A$2:$A$400,$P$34)/1000)</f>
        <v/>
      </c>
      <c r="M34" s="103" t="str">
        <f aca="false">IF($P$34="","",SUMIFS(Mastersheet!$N$2:$N$400,Mastersheet!$A$2:$A$400,$P$34)/1000)</f>
        <v/>
      </c>
      <c r="P34" s="97"/>
      <c r="Q34" s="104" t="s">
        <v>415</v>
      </c>
      <c r="R34" s="104" t="s">
        <v>416</v>
      </c>
    </row>
    <row r="35" customFormat="false" ht="11.25" hidden="true" customHeight="true" outlineLevel="3" collapsed="false">
      <c r="C35" s="99"/>
      <c r="D35" s="99"/>
      <c r="E35" s="100" t="str">
        <f aca="false">IF($P$35="","",SUMIFS(Mastersheet!$F$2:$F$400,Mastersheet!$A$2:$A$400,$P$35)/1000)</f>
        <v/>
      </c>
      <c r="F35" s="100" t="str">
        <f aca="false">IF($P$35="","",SUMIFS(Mastersheet!$G$2:$G$400,Mastersheet!$A$2:$A$400,$P$35)/1000)</f>
        <v/>
      </c>
      <c r="G35" s="100" t="str">
        <f aca="false">IF($P$35="","",SUMIFS(Mastersheet!$H$2:$H$400,Mastersheet!$A$2:$A$400,$P$35)/1000)</f>
        <v/>
      </c>
      <c r="H35" s="100" t="str">
        <f aca="false">IF($P$35="","",SUMIFS(Mastersheet!$I$2:$I$400,Mastersheet!$A$2:$A$400,$P$35)/1000)</f>
        <v/>
      </c>
      <c r="I35" s="102" t="str">
        <f aca="false">IF($P$35="","",SUMIFS(Mastersheet!$J$2:$J$400,Mastersheet!$A$2:$A$400,$P$35)/1000)</f>
        <v/>
      </c>
      <c r="J35" s="103" t="str">
        <f aca="false">IF($P$35="","",SUMIFS(Mastersheet!$K$2:$K$400,Mastersheet!$A$2:$A$400,$P$35)/1000)</f>
        <v/>
      </c>
      <c r="K35" s="103" t="str">
        <f aca="false">IF($P$35="","",SUMIFS(Mastersheet!$L$2:$L$400,Mastersheet!$A$2:$A$400,$P$35)/1000)</f>
        <v/>
      </c>
      <c r="L35" s="103" t="str">
        <f aca="false">IF($P$35="","",SUMIFS(Mastersheet!$M$2:$M$400,Mastersheet!$A$2:$A$400,$P$35)/1000)</f>
        <v/>
      </c>
      <c r="M35" s="103" t="str">
        <f aca="false">IF($P$35="","",SUMIFS(Mastersheet!$N$2:$N$400,Mastersheet!$A$2:$A$400,$P$35)/1000)</f>
        <v/>
      </c>
      <c r="P35" s="97"/>
      <c r="Q35" s="104" t="s">
        <v>415</v>
      </c>
      <c r="R35" s="104" t="s">
        <v>416</v>
      </c>
    </row>
    <row r="36" customFormat="false" ht="11.25" hidden="false" customHeight="true" outlineLevel="2" collapsed="false">
      <c r="C36" s="51" t="s">
        <v>234</v>
      </c>
      <c r="D36" s="51" t="s">
        <v>234</v>
      </c>
      <c r="E36" s="159"/>
      <c r="F36" s="159"/>
      <c r="G36" s="159"/>
      <c r="H36" s="159"/>
      <c r="I36" s="160"/>
      <c r="J36" s="161"/>
      <c r="K36" s="161"/>
      <c r="L36" s="161"/>
      <c r="M36" s="161"/>
      <c r="P36" s="105"/>
      <c r="Q36" s="98"/>
      <c r="R36" s="98"/>
    </row>
    <row r="37" customFormat="false" ht="11.25" hidden="false" customHeight="true" outlineLevel="2" collapsed="false">
      <c r="C37" s="51" t="s">
        <v>235</v>
      </c>
      <c r="D37" s="51" t="s">
        <v>235</v>
      </c>
      <c r="E37" s="159"/>
      <c r="F37" s="159"/>
      <c r="G37" s="159"/>
      <c r="H37" s="159"/>
      <c r="I37" s="160"/>
      <c r="J37" s="161"/>
      <c r="K37" s="161"/>
      <c r="L37" s="161"/>
      <c r="M37" s="161"/>
      <c r="P37" s="105"/>
      <c r="Q37" s="98"/>
      <c r="R37" s="98"/>
    </row>
    <row r="38" customFormat="false" ht="11.25" hidden="false" customHeight="true" outlineLevel="2" collapsed="false">
      <c r="C38" s="54" t="s">
        <v>236</v>
      </c>
      <c r="D38" s="54" t="s">
        <v>236</v>
      </c>
      <c r="E38" s="162"/>
      <c r="F38" s="162"/>
      <c r="G38" s="162"/>
      <c r="H38" s="162"/>
      <c r="I38" s="163"/>
      <c r="J38" s="164"/>
      <c r="K38" s="164"/>
      <c r="L38" s="164"/>
      <c r="M38" s="164"/>
      <c r="P38" s="105"/>
    </row>
    <row r="39" customFormat="false" ht="11.25" hidden="false" customHeight="true" outlineLevel="0" collapsed="false">
      <c r="C39" s="165" t="s">
        <v>479</v>
      </c>
      <c r="D39" s="165" t="s">
        <v>480</v>
      </c>
      <c r="E39" s="165" t="n">
        <f aca="false">SUMIF($R$9:$R$38,"&lt;&gt;KTO",E9:E38)</f>
        <v>0</v>
      </c>
      <c r="F39" s="165" t="n">
        <f aca="false">SUMIF($R$9:$R$38,"&lt;&gt;KTO",F9:F38)</f>
        <v>0</v>
      </c>
      <c r="G39" s="165" t="n">
        <f aca="false">SUMIF($R$9:$R$38,"&lt;&gt;KTO",G9:G38)</f>
        <v>0</v>
      </c>
      <c r="H39" s="165" t="n">
        <f aca="false">SUMIF($R$9:$R$38,"&lt;&gt;KTO",H9:H38)</f>
        <v>0</v>
      </c>
      <c r="I39" s="166" t="n">
        <f aca="false">SUMIF($R$9:$R$38,"&lt;&gt;KTO",I9:I38)</f>
        <v>0</v>
      </c>
      <c r="J39" s="167" t="n">
        <f aca="false">SUMIF($R$9:$R$38,"&lt;&gt;KTO",J9:J38)</f>
        <v>0</v>
      </c>
      <c r="K39" s="167" t="n">
        <f aca="false">SUMIF($R$9:$R$38,"&lt;&gt;KTO",K9:K38)</f>
        <v>0</v>
      </c>
      <c r="L39" s="167" t="n">
        <f aca="false">SUMIF($R$9:$R$38,"&lt;&gt;KTO",L9:L38)</f>
        <v>0</v>
      </c>
      <c r="M39" s="167" t="n">
        <f aca="false">SUMIF($R$9:$R$38,"&lt;&gt;KTO",M9:M38)</f>
        <v>0</v>
      </c>
      <c r="P39" s="105"/>
    </row>
    <row r="40" customFormat="false" ht="11.25" hidden="false" customHeight="true" outlineLevel="0" collapsed="false">
      <c r="C40" s="51" t="s">
        <v>481</v>
      </c>
      <c r="D40" s="51" t="s">
        <v>482</v>
      </c>
      <c r="E40" s="159" t="n">
        <f aca="false">SUMIFS(Mastersheet!$F$2:$F$400,Mastersheet!$D$2:$D$400,$P40,Mastersheet!$C$2:$C$400,$Q40)/1000</f>
        <v>0</v>
      </c>
      <c r="F40" s="159" t="n">
        <f aca="false">SUMIFS(Mastersheet!$G$2:$G$400,Mastersheet!$D$2:$D$400,$P40,Mastersheet!$C$2:$C$400,$Q40)/1000</f>
        <v>0</v>
      </c>
      <c r="G40" s="159" t="n">
        <f aca="false">SUMIFS(Mastersheet!$H$2:$H$400,Mastersheet!$D$2:$D$400,$P40,Mastersheet!$C$2:$C$400,$Q40)/1000</f>
        <v>0</v>
      </c>
      <c r="H40" s="159" t="n">
        <f aca="false">SUMIFS(Mastersheet!$I$2:$I$400,Mastersheet!$D$2:$D$400,$P40,Mastersheet!$C$2:$C$400,$Q40)/1000</f>
        <v>0</v>
      </c>
      <c r="I40" s="160" t="n">
        <f aca="false">SUMIFS(Mastersheet!$J$2:$J$400,Mastersheet!$D$2:$D$400,$P40,Mastersheet!$C$2:$C$400,$Q40)/1000</f>
        <v>0</v>
      </c>
      <c r="J40" s="161" t="n">
        <f aca="false">SUMIFS(Mastersheet!$K$2:$K$400,Mastersheet!$D$2:$D$400,$P40,Mastersheet!$C$2:$C$400,$Q40)/1000</f>
        <v>0</v>
      </c>
      <c r="K40" s="161" t="n">
        <f aca="false">SUMIFS(Mastersheet!$L$2:$L$400,Mastersheet!$D$2:$D$400,$P40,Mastersheet!$C$2:$C$400,$Q40)/1000</f>
        <v>0</v>
      </c>
      <c r="L40" s="161" t="n">
        <f aca="false">SUMIFS(Mastersheet!$M$2:$M$400,Mastersheet!$D$2:$D$400,$P40,Mastersheet!$C$2:$C$400,$Q40)/1000</f>
        <v>0</v>
      </c>
      <c r="M40" s="161" t="n">
        <f aca="false">SUMIFS(Mastersheet!$N$2:$N$400,Mastersheet!$D$2:$D$400,$P40,Mastersheet!$C$2:$C$400,$Q40)/1000</f>
        <v>0</v>
      </c>
      <c r="P40" s="97" t="s">
        <v>483</v>
      </c>
      <c r="Q40" s="98" t="s">
        <v>209</v>
      </c>
      <c r="R40" s="98" t="s">
        <v>414</v>
      </c>
    </row>
    <row r="41" customFormat="false" ht="11.25" hidden="true" customHeight="true" outlineLevel="3" collapsed="false">
      <c r="C41" s="99"/>
      <c r="D41" s="99"/>
      <c r="E41" s="100" t="str">
        <f aca="false">IF($P$41="","",SUMIFS(Mastersheet!$F$2:$F$400,Mastersheet!$A$2:$A$400,$P$41)/1000)</f>
        <v/>
      </c>
      <c r="F41" s="100" t="str">
        <f aca="false">IF($P$41="","",SUMIFS(Mastersheet!$G$2:$G$400,Mastersheet!$A$2:$A$400,$P$41)/1000)</f>
        <v/>
      </c>
      <c r="G41" s="100" t="str">
        <f aca="false">IF($P$41="","",SUMIFS(Mastersheet!$H$2:$H$400,Mastersheet!$A$2:$A$400,$P$41)/1000)</f>
        <v/>
      </c>
      <c r="H41" s="100" t="str">
        <f aca="false">IF($P$41="","",SUMIFS(Mastersheet!$I$2:$I$400,Mastersheet!$A$2:$A$400,$P$41)/1000)</f>
        <v/>
      </c>
      <c r="I41" s="102" t="str">
        <f aca="false">IF($P$41="","",SUMIFS(Mastersheet!$J$2:$J$400,Mastersheet!$A$2:$A$400,$P$41)/1000)</f>
        <v/>
      </c>
      <c r="J41" s="103" t="str">
        <f aca="false">IF($P$41="","",SUMIFS(Mastersheet!$K$2:$K$400,Mastersheet!$A$2:$A$400,$P$41)/1000)</f>
        <v/>
      </c>
      <c r="K41" s="103" t="str">
        <f aca="false">IF($P$41="","",SUMIFS(Mastersheet!$L$2:$L$400,Mastersheet!$A$2:$A$400,$P$41)/1000)</f>
        <v/>
      </c>
      <c r="L41" s="103" t="str">
        <f aca="false">IF($P$41="","",SUMIFS(Mastersheet!$M$2:$M$400,Mastersheet!$A$2:$A$400,$P$41)/1000)</f>
        <v/>
      </c>
      <c r="M41" s="103" t="str">
        <f aca="false">IF($P$41="","",SUMIFS(Mastersheet!$N$2:$N$400,Mastersheet!$A$2:$A$400,$P$41)/1000)</f>
        <v/>
      </c>
      <c r="P41" s="97"/>
      <c r="Q41" s="104" t="s">
        <v>415</v>
      </c>
      <c r="R41" s="104" t="s">
        <v>416</v>
      </c>
    </row>
    <row r="42" customFormat="false" ht="11.25" hidden="true" customHeight="true" outlineLevel="3" collapsed="false">
      <c r="C42" s="99"/>
      <c r="D42" s="99"/>
      <c r="E42" s="100" t="str">
        <f aca="false">IF($P$42="","",SUMIFS(Mastersheet!$F$2:$F$400,Mastersheet!$A$2:$A$400,$P$42)/1000)</f>
        <v/>
      </c>
      <c r="F42" s="100" t="str">
        <f aca="false">IF($P$42="","",SUMIFS(Mastersheet!$G$2:$G$400,Mastersheet!$A$2:$A$400,$P$42)/1000)</f>
        <v/>
      </c>
      <c r="G42" s="100" t="str">
        <f aca="false">IF($P$42="","",SUMIFS(Mastersheet!$H$2:$H$400,Mastersheet!$A$2:$A$400,$P$42)/1000)</f>
        <v/>
      </c>
      <c r="H42" s="100" t="str">
        <f aca="false">IF($P$42="","",SUMIFS(Mastersheet!$I$2:$I$400,Mastersheet!$A$2:$A$400,$P$42)/1000)</f>
        <v/>
      </c>
      <c r="I42" s="102" t="str">
        <f aca="false">IF($P$42="","",SUMIFS(Mastersheet!$J$2:$J$400,Mastersheet!$A$2:$A$400,$P$42)/1000)</f>
        <v/>
      </c>
      <c r="J42" s="103" t="str">
        <f aca="false">IF($P$42="","",SUMIFS(Mastersheet!$K$2:$K$400,Mastersheet!$A$2:$A$400,$P$42)/1000)</f>
        <v/>
      </c>
      <c r="K42" s="103" t="str">
        <f aca="false">IF($P$42="","",SUMIFS(Mastersheet!$L$2:$L$400,Mastersheet!$A$2:$A$400,$P$42)/1000)</f>
        <v/>
      </c>
      <c r="L42" s="103" t="str">
        <f aca="false">IF($P$42="","",SUMIFS(Mastersheet!$M$2:$M$400,Mastersheet!$A$2:$A$400,$P$42)/1000)</f>
        <v/>
      </c>
      <c r="M42" s="103" t="str">
        <f aca="false">IF($P$42="","",SUMIFS(Mastersheet!$N$2:$N$400,Mastersheet!$A$2:$A$400,$P$42)/1000)</f>
        <v/>
      </c>
      <c r="P42" s="97"/>
      <c r="Q42" s="104" t="s">
        <v>415</v>
      </c>
      <c r="R42" s="104" t="s">
        <v>416</v>
      </c>
    </row>
    <row r="43" customFormat="false" ht="11.25" hidden="true" customHeight="true" outlineLevel="3" collapsed="false">
      <c r="C43" s="99"/>
      <c r="D43" s="99"/>
      <c r="E43" s="100" t="str">
        <f aca="false">IF($P$43="","",SUMIFS(Mastersheet!$F$2:$F$400,Mastersheet!$A$2:$A$400,$P$43)/1000)</f>
        <v/>
      </c>
      <c r="F43" s="100" t="str">
        <f aca="false">IF($P$43="","",SUMIFS(Mastersheet!$G$2:$G$400,Mastersheet!$A$2:$A$400,$P$43)/1000)</f>
        <v/>
      </c>
      <c r="G43" s="100" t="str">
        <f aca="false">IF($P$43="","",SUMIFS(Mastersheet!$H$2:$H$400,Mastersheet!$A$2:$A$400,$P$43)/1000)</f>
        <v/>
      </c>
      <c r="H43" s="100" t="str">
        <f aca="false">IF($P$43="","",SUMIFS(Mastersheet!$I$2:$I$400,Mastersheet!$A$2:$A$400,$P$43)/1000)</f>
        <v/>
      </c>
      <c r="I43" s="102" t="str">
        <f aca="false">IF($P$43="","",SUMIFS(Mastersheet!$J$2:$J$400,Mastersheet!$A$2:$A$400,$P$43)/1000)</f>
        <v/>
      </c>
      <c r="J43" s="103" t="str">
        <f aca="false">IF($P$43="","",SUMIFS(Mastersheet!$K$2:$K$400,Mastersheet!$A$2:$A$400,$P$43)/1000)</f>
        <v/>
      </c>
      <c r="K43" s="103" t="str">
        <f aca="false">IF($P$43="","",SUMIFS(Mastersheet!$L$2:$L$400,Mastersheet!$A$2:$A$400,$P$43)/1000)</f>
        <v/>
      </c>
      <c r="L43" s="103" t="str">
        <f aca="false">IF($P$43="","",SUMIFS(Mastersheet!$M$2:$M$400,Mastersheet!$A$2:$A$400,$P$43)/1000)</f>
        <v/>
      </c>
      <c r="M43" s="103" t="str">
        <f aca="false">IF($P$43="","",SUMIFS(Mastersheet!$N$2:$N$400,Mastersheet!$A$2:$A$400,$P$43)/1000)</f>
        <v/>
      </c>
      <c r="P43" s="97"/>
      <c r="Q43" s="104" t="s">
        <v>415</v>
      </c>
      <c r="R43" s="104" t="s">
        <v>416</v>
      </c>
    </row>
    <row r="44" customFormat="false" ht="11.25" hidden="true" customHeight="true" outlineLevel="3" collapsed="false">
      <c r="C44" s="99"/>
      <c r="D44" s="99"/>
      <c r="E44" s="100" t="str">
        <f aca="false">IF($P$44="","",SUMIFS(Mastersheet!$F$2:$F$400,Mastersheet!$A$2:$A$400,$P$44)/1000)</f>
        <v/>
      </c>
      <c r="F44" s="100" t="str">
        <f aca="false">IF($P$44="","",SUMIFS(Mastersheet!$G$2:$G$400,Mastersheet!$A$2:$A$400,$P$44)/1000)</f>
        <v/>
      </c>
      <c r="G44" s="100" t="str">
        <f aca="false">IF($P$44="","",SUMIFS(Mastersheet!$H$2:$H$400,Mastersheet!$A$2:$A$400,$P$44)/1000)</f>
        <v/>
      </c>
      <c r="H44" s="100" t="str">
        <f aca="false">IF($P$44="","",SUMIFS(Mastersheet!$I$2:$I$400,Mastersheet!$A$2:$A$400,$P$44)/1000)</f>
        <v/>
      </c>
      <c r="I44" s="102" t="str">
        <f aca="false">IF($P$44="","",SUMIFS(Mastersheet!$J$2:$J$400,Mastersheet!$A$2:$A$400,$P$44)/1000)</f>
        <v/>
      </c>
      <c r="J44" s="103" t="str">
        <f aca="false">IF($P$44="","",SUMIFS(Mastersheet!$K$2:$K$400,Mastersheet!$A$2:$A$400,$P$44)/1000)</f>
        <v/>
      </c>
      <c r="K44" s="103" t="str">
        <f aca="false">IF($P$44="","",SUMIFS(Mastersheet!$L$2:$L$400,Mastersheet!$A$2:$A$400,$P$44)/1000)</f>
        <v/>
      </c>
      <c r="L44" s="103" t="str">
        <f aca="false">IF($P$44="","",SUMIFS(Mastersheet!$M$2:$M$400,Mastersheet!$A$2:$A$400,$P$44)/1000)</f>
        <v/>
      </c>
      <c r="M44" s="103" t="str">
        <f aca="false">IF($P$44="","",SUMIFS(Mastersheet!$N$2:$N$400,Mastersheet!$A$2:$A$400,$P$44)/1000)</f>
        <v/>
      </c>
      <c r="P44" s="97"/>
      <c r="Q44" s="104" t="s">
        <v>415</v>
      </c>
      <c r="R44" s="104" t="s">
        <v>416</v>
      </c>
    </row>
    <row r="45" customFormat="false" ht="11.25" hidden="true" customHeight="true" outlineLevel="3" collapsed="false">
      <c r="C45" s="99"/>
      <c r="D45" s="99"/>
      <c r="E45" s="100" t="str">
        <f aca="false">IF($P$45="","",SUMIFS(Mastersheet!$F$2:$F$400,Mastersheet!$A$2:$A$400,$P$45)/1000)</f>
        <v/>
      </c>
      <c r="F45" s="100" t="str">
        <f aca="false">IF($P$45="","",SUMIFS(Mastersheet!$G$2:$G$400,Mastersheet!$A$2:$A$400,$P$45)/1000)</f>
        <v/>
      </c>
      <c r="G45" s="100" t="str">
        <f aca="false">IF($P$45="","",SUMIFS(Mastersheet!$H$2:$H$400,Mastersheet!$A$2:$A$400,$P$45)/1000)</f>
        <v/>
      </c>
      <c r="H45" s="100" t="str">
        <f aca="false">IF($P$45="","",SUMIFS(Mastersheet!$I$2:$I$400,Mastersheet!$A$2:$A$400,$P$45)/1000)</f>
        <v/>
      </c>
      <c r="I45" s="102" t="str">
        <f aca="false">IF($P$45="","",SUMIFS(Mastersheet!$J$2:$J$400,Mastersheet!$A$2:$A$400,$P$45)/1000)</f>
        <v/>
      </c>
      <c r="J45" s="103" t="str">
        <f aca="false">IF($P$45="","",SUMIFS(Mastersheet!$K$2:$K$400,Mastersheet!$A$2:$A$400,$P$45)/1000)</f>
        <v/>
      </c>
      <c r="K45" s="103" t="str">
        <f aca="false">IF($P$45="","",SUMIFS(Mastersheet!$L$2:$L$400,Mastersheet!$A$2:$A$400,$P$45)/1000)</f>
        <v/>
      </c>
      <c r="L45" s="103" t="str">
        <f aca="false">IF($P$45="","",SUMIFS(Mastersheet!$M$2:$M$400,Mastersheet!$A$2:$A$400,$P$45)/1000)</f>
        <v/>
      </c>
      <c r="M45" s="103" t="str">
        <f aca="false">IF($P$45="","",SUMIFS(Mastersheet!$N$2:$N$400,Mastersheet!$A$2:$A$400,$P$45)/1000)</f>
        <v/>
      </c>
      <c r="P45" s="97"/>
      <c r="Q45" s="104" t="s">
        <v>415</v>
      </c>
      <c r="R45" s="104" t="s">
        <v>416</v>
      </c>
    </row>
    <row r="46" customFormat="false" ht="11.25" hidden="true" customHeight="true" outlineLevel="3" collapsed="false">
      <c r="C46" s="99"/>
      <c r="D46" s="99"/>
      <c r="E46" s="100" t="str">
        <f aca="false">IF($P$46="","",SUMIFS(Mastersheet!$F$2:$F$400,Mastersheet!$A$2:$A$400,$P$46)/1000)</f>
        <v/>
      </c>
      <c r="F46" s="100" t="str">
        <f aca="false">IF($P$46="","",SUMIFS(Mastersheet!$G$2:$G$400,Mastersheet!$A$2:$A$400,$P$46)/1000)</f>
        <v/>
      </c>
      <c r="G46" s="100" t="str">
        <f aca="false">IF($P$46="","",SUMIFS(Mastersheet!$H$2:$H$400,Mastersheet!$A$2:$A$400,$P$46)/1000)</f>
        <v/>
      </c>
      <c r="H46" s="100" t="str">
        <f aca="false">IF($P$46="","",SUMIFS(Mastersheet!$I$2:$I$400,Mastersheet!$A$2:$A$400,$P$46)/1000)</f>
        <v/>
      </c>
      <c r="I46" s="102" t="str">
        <f aca="false">IF($P$46="","",SUMIFS(Mastersheet!$J$2:$J$400,Mastersheet!$A$2:$A$400,$P$46)/1000)</f>
        <v/>
      </c>
      <c r="J46" s="103" t="str">
        <f aca="false">IF($P$46="","",SUMIFS(Mastersheet!$K$2:$K$400,Mastersheet!$A$2:$A$400,$P$46)/1000)</f>
        <v/>
      </c>
      <c r="K46" s="103" t="str">
        <f aca="false">IF($P$46="","",SUMIFS(Mastersheet!$L$2:$L$400,Mastersheet!$A$2:$A$400,$P$46)/1000)</f>
        <v/>
      </c>
      <c r="L46" s="103" t="str">
        <f aca="false">IF($P$46="","",SUMIFS(Mastersheet!$M$2:$M$400,Mastersheet!$A$2:$A$400,$P$46)/1000)</f>
        <v/>
      </c>
      <c r="M46" s="103" t="str">
        <f aca="false">IF($P$46="","",SUMIFS(Mastersheet!$N$2:$N$400,Mastersheet!$A$2:$A$400,$P$46)/1000)</f>
        <v/>
      </c>
      <c r="P46" s="97"/>
      <c r="Q46" s="104" t="s">
        <v>415</v>
      </c>
      <c r="R46" s="104" t="s">
        <v>416</v>
      </c>
    </row>
    <row r="47" customFormat="false" ht="11.25" hidden="true" customHeight="true" outlineLevel="3" collapsed="false">
      <c r="C47" s="99"/>
      <c r="D47" s="99"/>
      <c r="E47" s="100" t="str">
        <f aca="false">IF($P$47="","",SUMIFS(Mastersheet!$F$2:$F$400,Mastersheet!$A$2:$A$400,$P$47)/1000)</f>
        <v/>
      </c>
      <c r="F47" s="100" t="str">
        <f aca="false">IF($P$47="","",SUMIFS(Mastersheet!$G$2:$G$400,Mastersheet!$A$2:$A$400,$P$47)/1000)</f>
        <v/>
      </c>
      <c r="G47" s="100" t="str">
        <f aca="false">IF($P$47="","",SUMIFS(Mastersheet!$H$2:$H$400,Mastersheet!$A$2:$A$400,$P$47)/1000)</f>
        <v/>
      </c>
      <c r="H47" s="100" t="str">
        <f aca="false">IF($P$47="","",SUMIFS(Mastersheet!$I$2:$I$400,Mastersheet!$A$2:$A$400,$P$47)/1000)</f>
        <v/>
      </c>
      <c r="I47" s="102" t="str">
        <f aca="false">IF($P$47="","",SUMIFS(Mastersheet!$J$2:$J$400,Mastersheet!$A$2:$A$400,$P$47)/1000)</f>
        <v/>
      </c>
      <c r="J47" s="103" t="str">
        <f aca="false">IF($P$47="","",SUMIFS(Mastersheet!$K$2:$K$400,Mastersheet!$A$2:$A$400,$P$47)/1000)</f>
        <v/>
      </c>
      <c r="K47" s="103" t="str">
        <f aca="false">IF($P$47="","",SUMIFS(Mastersheet!$L$2:$L$400,Mastersheet!$A$2:$A$400,$P$47)/1000)</f>
        <v/>
      </c>
      <c r="L47" s="103" t="str">
        <f aca="false">IF($P$47="","",SUMIFS(Mastersheet!$M$2:$M$400,Mastersheet!$A$2:$A$400,$P$47)/1000)</f>
        <v/>
      </c>
      <c r="M47" s="103" t="str">
        <f aca="false">IF($P$47="","",SUMIFS(Mastersheet!$N$2:$N$400,Mastersheet!$A$2:$A$400,$P$47)/1000)</f>
        <v/>
      </c>
      <c r="P47" s="97"/>
      <c r="Q47" s="104" t="s">
        <v>415</v>
      </c>
      <c r="R47" s="104" t="s">
        <v>416</v>
      </c>
    </row>
    <row r="48" customFormat="false" ht="11.25" hidden="true" customHeight="true" outlineLevel="3" collapsed="false">
      <c r="C48" s="99"/>
      <c r="D48" s="99"/>
      <c r="E48" s="100" t="str">
        <f aca="false">IF($P$48="","",SUMIFS(Mastersheet!$F$2:$F$400,Mastersheet!$A$2:$A$400,$P$48)/1000)</f>
        <v/>
      </c>
      <c r="F48" s="100" t="str">
        <f aca="false">IF($P$48="","",SUMIFS(Mastersheet!$G$2:$G$400,Mastersheet!$A$2:$A$400,$P$48)/1000)</f>
        <v/>
      </c>
      <c r="G48" s="100" t="str">
        <f aca="false">IF($P$48="","",SUMIFS(Mastersheet!$H$2:$H$400,Mastersheet!$A$2:$A$400,$P$48)/1000)</f>
        <v/>
      </c>
      <c r="H48" s="100" t="str">
        <f aca="false">IF($P$48="","",SUMIFS(Mastersheet!$I$2:$I$400,Mastersheet!$A$2:$A$400,$P$48)/1000)</f>
        <v/>
      </c>
      <c r="I48" s="102" t="str">
        <f aca="false">IF($P$48="","",SUMIFS(Mastersheet!$J$2:$J$400,Mastersheet!$A$2:$A$400,$P$48)/1000)</f>
        <v/>
      </c>
      <c r="J48" s="103" t="str">
        <f aca="false">IF($P$48="","",SUMIFS(Mastersheet!$K$2:$K$400,Mastersheet!$A$2:$A$400,$P$48)/1000)</f>
        <v/>
      </c>
      <c r="K48" s="103" t="str">
        <f aca="false">IF($P$48="","",SUMIFS(Mastersheet!$L$2:$L$400,Mastersheet!$A$2:$A$400,$P$48)/1000)</f>
        <v/>
      </c>
      <c r="L48" s="103" t="str">
        <f aca="false">IF($P$48="","",SUMIFS(Mastersheet!$M$2:$M$400,Mastersheet!$A$2:$A$400,$P$48)/1000)</f>
        <v/>
      </c>
      <c r="M48" s="103" t="str">
        <f aca="false">IF($P$48="","",SUMIFS(Mastersheet!$N$2:$N$400,Mastersheet!$A$2:$A$400,$P$48)/1000)</f>
        <v/>
      </c>
      <c r="P48" s="97"/>
      <c r="Q48" s="104" t="s">
        <v>415</v>
      </c>
      <c r="R48" s="104" t="s">
        <v>416</v>
      </c>
    </row>
    <row r="49" customFormat="false" ht="11.25" hidden="false" customHeight="true" outlineLevel="0" collapsed="false">
      <c r="C49" s="51" t="s">
        <v>484</v>
      </c>
      <c r="D49" s="51" t="s">
        <v>485</v>
      </c>
      <c r="E49" s="159" t="n">
        <f aca="false">SUMIFS(Mastersheet!$F$2:$F$400,Mastersheet!$D$2:$D$400,$P49,Mastersheet!$C$2:$C$400,$Q49)/1000</f>
        <v>0</v>
      </c>
      <c r="F49" s="159" t="n">
        <f aca="false">SUMIFS(Mastersheet!$G$2:$G$400,Mastersheet!$D$2:$D$400,$P49,Mastersheet!$C$2:$C$400,$Q49)/1000</f>
        <v>0</v>
      </c>
      <c r="G49" s="159" t="n">
        <f aca="false">SUMIFS(Mastersheet!$H$2:$H$400,Mastersheet!$D$2:$D$400,$P49,Mastersheet!$C$2:$C$400,$Q49)/1000</f>
        <v>0</v>
      </c>
      <c r="H49" s="159" t="n">
        <f aca="false">SUMIFS(Mastersheet!$I$2:$I$400,Mastersheet!$D$2:$D$400,$P49,Mastersheet!$C$2:$C$400,$Q49)/1000</f>
        <v>0</v>
      </c>
      <c r="I49" s="160" t="n">
        <f aca="false">SUMIFS(Mastersheet!$J$2:$J$400,Mastersheet!$D$2:$D$400,$P49,Mastersheet!$C$2:$C$400,$Q49)/1000</f>
        <v>0</v>
      </c>
      <c r="J49" s="161" t="n">
        <f aca="false">SUMIFS(Mastersheet!$K$2:$K$400,Mastersheet!$D$2:$D$400,$P49,Mastersheet!$C$2:$C$400,$Q49)/1000</f>
        <v>0</v>
      </c>
      <c r="K49" s="161" t="n">
        <f aca="false">SUMIFS(Mastersheet!$L$2:$L$400,Mastersheet!$D$2:$D$400,$P49,Mastersheet!$C$2:$C$400,$Q49)/1000</f>
        <v>0</v>
      </c>
      <c r="L49" s="161" t="n">
        <f aca="false">SUMIFS(Mastersheet!$M$2:$M$400,Mastersheet!$D$2:$D$400,$P49,Mastersheet!$C$2:$C$400,$Q49)/1000</f>
        <v>0</v>
      </c>
      <c r="M49" s="161" t="n">
        <f aca="false">SUMIFS(Mastersheet!$N$2:$N$400,Mastersheet!$D$2:$D$400,$P49,Mastersheet!$C$2:$C$400,$Q49)/1000</f>
        <v>0</v>
      </c>
      <c r="P49" s="97" t="s">
        <v>486</v>
      </c>
      <c r="Q49" s="98" t="s">
        <v>209</v>
      </c>
      <c r="R49" s="98" t="s">
        <v>414</v>
      </c>
    </row>
    <row r="50" customFormat="false" ht="11.25" hidden="true" customHeight="true" outlineLevel="3" collapsed="false">
      <c r="C50" s="99"/>
      <c r="D50" s="99"/>
      <c r="E50" s="100" t="str">
        <f aca="false">IF($P$50="","",SUMIFS(Mastersheet!$F$2:$F$400,Mastersheet!$A$2:$A$400,$P$50)/1000)</f>
        <v/>
      </c>
      <c r="F50" s="100" t="str">
        <f aca="false">IF($P$50="","",SUMIFS(Mastersheet!$G$2:$G$400,Mastersheet!$A$2:$A$400,$P$50)/1000)</f>
        <v/>
      </c>
      <c r="G50" s="100" t="str">
        <f aca="false">IF($P$50="","",SUMIFS(Mastersheet!$H$2:$H$400,Mastersheet!$A$2:$A$400,$P$50)/1000)</f>
        <v/>
      </c>
      <c r="H50" s="100" t="str">
        <f aca="false">IF($P$50="","",SUMIFS(Mastersheet!$I$2:$I$400,Mastersheet!$A$2:$A$400,$P$50)/1000)</f>
        <v/>
      </c>
      <c r="I50" s="102" t="str">
        <f aca="false">IF($P$50="","",SUMIFS(Mastersheet!$J$2:$J$400,Mastersheet!$A$2:$A$400,$P$50)/1000)</f>
        <v/>
      </c>
      <c r="J50" s="103" t="str">
        <f aca="false">IF($P$50="","",SUMIFS(Mastersheet!$K$2:$K$400,Mastersheet!$A$2:$A$400,$P$50)/1000)</f>
        <v/>
      </c>
      <c r="K50" s="103" t="str">
        <f aca="false">IF($P$50="","",SUMIFS(Mastersheet!$L$2:$L$400,Mastersheet!$A$2:$A$400,$P$50)/1000)</f>
        <v/>
      </c>
      <c r="L50" s="103" t="str">
        <f aca="false">IF($P$50="","",SUMIFS(Mastersheet!$M$2:$M$400,Mastersheet!$A$2:$A$400,$P$50)/1000)</f>
        <v/>
      </c>
      <c r="M50" s="103" t="str">
        <f aca="false">IF($P$50="","",SUMIFS(Mastersheet!$N$2:$N$400,Mastersheet!$A$2:$A$400,$P$50)/1000)</f>
        <v/>
      </c>
      <c r="P50" s="97"/>
      <c r="Q50" s="104" t="s">
        <v>415</v>
      </c>
      <c r="R50" s="104" t="s">
        <v>416</v>
      </c>
    </row>
    <row r="51" customFormat="false" ht="11.25" hidden="true" customHeight="true" outlineLevel="3" collapsed="false">
      <c r="C51" s="99"/>
      <c r="D51" s="99"/>
      <c r="E51" s="100" t="str">
        <f aca="false">IF($P$51="","",SUMIFS(Mastersheet!$F$2:$F$400,Mastersheet!$A$2:$A$400,$P$51)/1000)</f>
        <v/>
      </c>
      <c r="F51" s="100" t="str">
        <f aca="false">IF($P$51="","",SUMIFS(Mastersheet!$G$2:$G$400,Mastersheet!$A$2:$A$400,$P$51)/1000)</f>
        <v/>
      </c>
      <c r="G51" s="100" t="str">
        <f aca="false">IF($P$51="","",SUMIFS(Mastersheet!$H$2:$H$400,Mastersheet!$A$2:$A$400,$P$51)/1000)</f>
        <v/>
      </c>
      <c r="H51" s="100" t="str">
        <f aca="false">IF($P$51="","",SUMIFS(Mastersheet!$I$2:$I$400,Mastersheet!$A$2:$A$400,$P$51)/1000)</f>
        <v/>
      </c>
      <c r="I51" s="102" t="str">
        <f aca="false">IF($P$51="","",SUMIFS(Mastersheet!$J$2:$J$400,Mastersheet!$A$2:$A$400,$P$51)/1000)</f>
        <v/>
      </c>
      <c r="J51" s="103" t="str">
        <f aca="false">IF($P$51="","",SUMIFS(Mastersheet!$K$2:$K$400,Mastersheet!$A$2:$A$400,$P$51)/1000)</f>
        <v/>
      </c>
      <c r="K51" s="103" t="str">
        <f aca="false">IF($P$51="","",SUMIFS(Mastersheet!$L$2:$L$400,Mastersheet!$A$2:$A$400,$P$51)/1000)</f>
        <v/>
      </c>
      <c r="L51" s="103" t="str">
        <f aca="false">IF($P$51="","",SUMIFS(Mastersheet!$M$2:$M$400,Mastersheet!$A$2:$A$400,$P$51)/1000)</f>
        <v/>
      </c>
      <c r="M51" s="103" t="str">
        <f aca="false">IF($P$51="","",SUMIFS(Mastersheet!$N$2:$N$400,Mastersheet!$A$2:$A$400,$P$51)/1000)</f>
        <v/>
      </c>
      <c r="P51" s="97"/>
      <c r="Q51" s="104" t="s">
        <v>415</v>
      </c>
      <c r="R51" s="104" t="s">
        <v>416</v>
      </c>
    </row>
    <row r="52" customFormat="false" ht="11.25" hidden="true" customHeight="true" outlineLevel="3" collapsed="false">
      <c r="C52" s="99"/>
      <c r="D52" s="99"/>
      <c r="E52" s="100" t="str">
        <f aca="false">IF($P$52="","",SUMIFS(Mastersheet!$F$2:$F$400,Mastersheet!$A$2:$A$400,$P$52)/1000)</f>
        <v/>
      </c>
      <c r="F52" s="100" t="str">
        <f aca="false">IF($P$52="","",SUMIFS(Mastersheet!$G$2:$G$400,Mastersheet!$A$2:$A$400,$P$52)/1000)</f>
        <v/>
      </c>
      <c r="G52" s="100" t="str">
        <f aca="false">IF($P$52="","",SUMIFS(Mastersheet!$H$2:$H$400,Mastersheet!$A$2:$A$400,$P$52)/1000)</f>
        <v/>
      </c>
      <c r="H52" s="100" t="str">
        <f aca="false">IF($P$52="","",SUMIFS(Mastersheet!$I$2:$I$400,Mastersheet!$A$2:$A$400,$P$52)/1000)</f>
        <v/>
      </c>
      <c r="I52" s="102" t="str">
        <f aca="false">IF($P$52="","",SUMIFS(Mastersheet!$J$2:$J$400,Mastersheet!$A$2:$A$400,$P$52)/1000)</f>
        <v/>
      </c>
      <c r="J52" s="103" t="str">
        <f aca="false">IF($P$52="","",SUMIFS(Mastersheet!$K$2:$K$400,Mastersheet!$A$2:$A$400,$P$52)/1000)</f>
        <v/>
      </c>
      <c r="K52" s="103" t="str">
        <f aca="false">IF($P$52="","",SUMIFS(Mastersheet!$L$2:$L$400,Mastersheet!$A$2:$A$400,$P$52)/1000)</f>
        <v/>
      </c>
      <c r="L52" s="103" t="str">
        <f aca="false">IF($P$52="","",SUMIFS(Mastersheet!$M$2:$M$400,Mastersheet!$A$2:$A$400,$P$52)/1000)</f>
        <v/>
      </c>
      <c r="M52" s="103" t="str">
        <f aca="false">IF($P$52="","",SUMIFS(Mastersheet!$N$2:$N$400,Mastersheet!$A$2:$A$400,$P$52)/1000)</f>
        <v/>
      </c>
      <c r="P52" s="97"/>
      <c r="Q52" s="104" t="s">
        <v>415</v>
      </c>
      <c r="R52" s="104" t="s">
        <v>416</v>
      </c>
    </row>
    <row r="53" customFormat="false" ht="11.25" hidden="true" customHeight="true" outlineLevel="3" collapsed="false">
      <c r="C53" s="99"/>
      <c r="D53" s="99"/>
      <c r="E53" s="100" t="str">
        <f aca="false">IF($P$53="","",SUMIFS(Mastersheet!$F$2:$F$400,Mastersheet!$A$2:$A$400,$P$53)/1000)</f>
        <v/>
      </c>
      <c r="F53" s="100" t="str">
        <f aca="false">IF($P$53="","",SUMIFS(Mastersheet!$G$2:$G$400,Mastersheet!$A$2:$A$400,$P$53)/1000)</f>
        <v/>
      </c>
      <c r="G53" s="100" t="str">
        <f aca="false">IF($P$53="","",SUMIFS(Mastersheet!$H$2:$H$400,Mastersheet!$A$2:$A$400,$P$53)/1000)</f>
        <v/>
      </c>
      <c r="H53" s="100" t="str">
        <f aca="false">IF($P$53="","",SUMIFS(Mastersheet!$I$2:$I$400,Mastersheet!$A$2:$A$400,$P$53)/1000)</f>
        <v/>
      </c>
      <c r="I53" s="102" t="str">
        <f aca="false">IF($P$53="","",SUMIFS(Mastersheet!$J$2:$J$400,Mastersheet!$A$2:$A$400,$P$53)/1000)</f>
        <v/>
      </c>
      <c r="J53" s="103" t="str">
        <f aca="false">IF($P$53="","",SUMIFS(Mastersheet!$K$2:$K$400,Mastersheet!$A$2:$A$400,$P$53)/1000)</f>
        <v/>
      </c>
      <c r="K53" s="103" t="str">
        <f aca="false">IF($P$53="","",SUMIFS(Mastersheet!$L$2:$L$400,Mastersheet!$A$2:$A$400,$P$53)/1000)</f>
        <v/>
      </c>
      <c r="L53" s="103" t="str">
        <f aca="false">IF($P$53="","",SUMIFS(Mastersheet!$M$2:$M$400,Mastersheet!$A$2:$A$400,$P$53)/1000)</f>
        <v/>
      </c>
      <c r="M53" s="103" t="str">
        <f aca="false">IF($P$53="","",SUMIFS(Mastersheet!$N$2:$N$400,Mastersheet!$A$2:$A$400,$P$53)/1000)</f>
        <v/>
      </c>
      <c r="P53" s="97"/>
      <c r="Q53" s="104" t="s">
        <v>415</v>
      </c>
      <c r="R53" s="104" t="s">
        <v>416</v>
      </c>
    </row>
    <row r="54" customFormat="false" ht="11.25" hidden="true" customHeight="true" outlineLevel="3" collapsed="false">
      <c r="C54" s="99"/>
      <c r="D54" s="99"/>
      <c r="E54" s="100" t="str">
        <f aca="false">IF($P$54="","",SUMIFS(Mastersheet!$F$2:$F$400,Mastersheet!$A$2:$A$400,$P$54)/1000)</f>
        <v/>
      </c>
      <c r="F54" s="100" t="str">
        <f aca="false">IF($P$54="","",SUMIFS(Mastersheet!$G$2:$G$400,Mastersheet!$A$2:$A$400,$P$54)/1000)</f>
        <v/>
      </c>
      <c r="G54" s="100" t="str">
        <f aca="false">IF($P$54="","",SUMIFS(Mastersheet!$H$2:$H$400,Mastersheet!$A$2:$A$400,$P$54)/1000)</f>
        <v/>
      </c>
      <c r="H54" s="100" t="str">
        <f aca="false">IF($P$54="","",SUMIFS(Mastersheet!$I$2:$I$400,Mastersheet!$A$2:$A$400,$P$54)/1000)</f>
        <v/>
      </c>
      <c r="I54" s="102" t="str">
        <f aca="false">IF($P$54="","",SUMIFS(Mastersheet!$J$2:$J$400,Mastersheet!$A$2:$A$400,$P$54)/1000)</f>
        <v/>
      </c>
      <c r="J54" s="103" t="str">
        <f aca="false">IF($P$54="","",SUMIFS(Mastersheet!$K$2:$K$400,Mastersheet!$A$2:$A$400,$P$54)/1000)</f>
        <v/>
      </c>
      <c r="K54" s="103" t="str">
        <f aca="false">IF($P$54="","",SUMIFS(Mastersheet!$L$2:$L$400,Mastersheet!$A$2:$A$400,$P$54)/1000)</f>
        <v/>
      </c>
      <c r="L54" s="103" t="str">
        <f aca="false">IF($P$54="","",SUMIFS(Mastersheet!$M$2:$M$400,Mastersheet!$A$2:$A$400,$P$54)/1000)</f>
        <v/>
      </c>
      <c r="M54" s="103" t="str">
        <f aca="false">IF($P$54="","",SUMIFS(Mastersheet!$N$2:$N$400,Mastersheet!$A$2:$A$400,$P$54)/1000)</f>
        <v/>
      </c>
      <c r="P54" s="97"/>
      <c r="Q54" s="104" t="s">
        <v>415</v>
      </c>
      <c r="R54" s="104" t="s">
        <v>416</v>
      </c>
    </row>
    <row r="55" customFormat="false" ht="11.25" hidden="true" customHeight="true" outlineLevel="3" collapsed="false">
      <c r="C55" s="99"/>
      <c r="D55" s="99"/>
      <c r="E55" s="100" t="str">
        <f aca="false">IF($P$55="","",SUMIFS(Mastersheet!$F$2:$F$400,Mastersheet!$A$2:$A$400,$P$55)/1000)</f>
        <v/>
      </c>
      <c r="F55" s="100" t="str">
        <f aca="false">IF($P$55="","",SUMIFS(Mastersheet!$G$2:$G$400,Mastersheet!$A$2:$A$400,$P$55)/1000)</f>
        <v/>
      </c>
      <c r="G55" s="100" t="str">
        <f aca="false">IF($P$55="","",SUMIFS(Mastersheet!$H$2:$H$400,Mastersheet!$A$2:$A$400,$P$55)/1000)</f>
        <v/>
      </c>
      <c r="H55" s="100" t="str">
        <f aca="false">IF($P$55="","",SUMIFS(Mastersheet!$I$2:$I$400,Mastersheet!$A$2:$A$400,$P$55)/1000)</f>
        <v/>
      </c>
      <c r="I55" s="102" t="str">
        <f aca="false">IF($P$55="","",SUMIFS(Mastersheet!$J$2:$J$400,Mastersheet!$A$2:$A$400,$P$55)/1000)</f>
        <v/>
      </c>
      <c r="J55" s="103" t="str">
        <f aca="false">IF($P$55="","",SUMIFS(Mastersheet!$K$2:$K$400,Mastersheet!$A$2:$A$400,$P$55)/1000)</f>
        <v/>
      </c>
      <c r="K55" s="103" t="str">
        <f aca="false">IF($P$55="","",SUMIFS(Mastersheet!$L$2:$L$400,Mastersheet!$A$2:$A$400,$P$55)/1000)</f>
        <v/>
      </c>
      <c r="L55" s="103" t="str">
        <f aca="false">IF($P$55="","",SUMIFS(Mastersheet!$M$2:$M$400,Mastersheet!$A$2:$A$400,$P$55)/1000)</f>
        <v/>
      </c>
      <c r="M55" s="103" t="str">
        <f aca="false">IF($P$55="","",SUMIFS(Mastersheet!$N$2:$N$400,Mastersheet!$A$2:$A$400,$P$55)/1000)</f>
        <v/>
      </c>
      <c r="P55" s="97"/>
      <c r="Q55" s="104" t="s">
        <v>415</v>
      </c>
      <c r="R55" s="104" t="s">
        <v>416</v>
      </c>
    </row>
    <row r="56" customFormat="false" ht="11.25" hidden="true" customHeight="true" outlineLevel="3" collapsed="false">
      <c r="C56" s="99"/>
      <c r="D56" s="99"/>
      <c r="E56" s="100" t="str">
        <f aca="false">IF($P$56="","",SUMIFS(Mastersheet!$F$2:$F$400,Mastersheet!$A$2:$A$400,$P$56)/1000)</f>
        <v/>
      </c>
      <c r="F56" s="100" t="str">
        <f aca="false">IF($P$56="","",SUMIFS(Mastersheet!$G$2:$G$400,Mastersheet!$A$2:$A$400,$P$56)/1000)</f>
        <v/>
      </c>
      <c r="G56" s="100" t="str">
        <f aca="false">IF($P$56="","",SUMIFS(Mastersheet!$H$2:$H$400,Mastersheet!$A$2:$A$400,$P$56)/1000)</f>
        <v/>
      </c>
      <c r="H56" s="100" t="str">
        <f aca="false">IF($P$56="","",SUMIFS(Mastersheet!$I$2:$I$400,Mastersheet!$A$2:$A$400,$P$56)/1000)</f>
        <v/>
      </c>
      <c r="I56" s="102" t="str">
        <f aca="false">IF($P$56="","",SUMIFS(Mastersheet!$J$2:$J$400,Mastersheet!$A$2:$A$400,$P$56)/1000)</f>
        <v/>
      </c>
      <c r="J56" s="103" t="str">
        <f aca="false">IF($P$56="","",SUMIFS(Mastersheet!$K$2:$K$400,Mastersheet!$A$2:$A$400,$P$56)/1000)</f>
        <v/>
      </c>
      <c r="K56" s="103" t="str">
        <f aca="false">IF($P$56="","",SUMIFS(Mastersheet!$L$2:$L$400,Mastersheet!$A$2:$A$400,$P$56)/1000)</f>
        <v/>
      </c>
      <c r="L56" s="103" t="str">
        <f aca="false">IF($P$56="","",SUMIFS(Mastersheet!$M$2:$M$400,Mastersheet!$A$2:$A$400,$P$56)/1000)</f>
        <v/>
      </c>
      <c r="M56" s="103" t="str">
        <f aca="false">IF($P$56="","",SUMIFS(Mastersheet!$N$2:$N$400,Mastersheet!$A$2:$A$400,$P$56)/1000)</f>
        <v/>
      </c>
      <c r="P56" s="97"/>
      <c r="Q56" s="104" t="s">
        <v>415</v>
      </c>
      <c r="R56" s="104" t="s">
        <v>416</v>
      </c>
    </row>
    <row r="57" customFormat="false" ht="11.25" hidden="true" customHeight="true" outlineLevel="3" collapsed="false">
      <c r="C57" s="99"/>
      <c r="D57" s="99"/>
      <c r="E57" s="100" t="str">
        <f aca="false">IF($P$57="","",SUMIFS(Mastersheet!$F$2:$F$400,Mastersheet!$A$2:$A$400,$P$57)/1000)</f>
        <v/>
      </c>
      <c r="F57" s="100" t="str">
        <f aca="false">IF($P$57="","",SUMIFS(Mastersheet!$G$2:$G$400,Mastersheet!$A$2:$A$400,$P$57)/1000)</f>
        <v/>
      </c>
      <c r="G57" s="100" t="str">
        <f aca="false">IF($P$57="","",SUMIFS(Mastersheet!$H$2:$H$400,Mastersheet!$A$2:$A$400,$P$57)/1000)</f>
        <v/>
      </c>
      <c r="H57" s="100" t="str">
        <f aca="false">IF($P$57="","",SUMIFS(Mastersheet!$I$2:$I$400,Mastersheet!$A$2:$A$400,$P$57)/1000)</f>
        <v/>
      </c>
      <c r="I57" s="102" t="str">
        <f aca="false">IF($P$57="","",SUMIFS(Mastersheet!$J$2:$J$400,Mastersheet!$A$2:$A$400,$P$57)/1000)</f>
        <v/>
      </c>
      <c r="J57" s="103" t="str">
        <f aca="false">IF($P$57="","",SUMIFS(Mastersheet!$K$2:$K$400,Mastersheet!$A$2:$A$400,$P$57)/1000)</f>
        <v/>
      </c>
      <c r="K57" s="103" t="str">
        <f aca="false">IF($P$57="","",SUMIFS(Mastersheet!$L$2:$L$400,Mastersheet!$A$2:$A$400,$P$57)/1000)</f>
        <v/>
      </c>
      <c r="L57" s="103" t="str">
        <f aca="false">IF($P$57="","",SUMIFS(Mastersheet!$M$2:$M$400,Mastersheet!$A$2:$A$400,$P$57)/1000)</f>
        <v/>
      </c>
      <c r="M57" s="103" t="str">
        <f aca="false">IF($P$57="","",SUMIFS(Mastersheet!$N$2:$N$400,Mastersheet!$A$2:$A$400,$P$57)/1000)</f>
        <v/>
      </c>
      <c r="P57" s="97"/>
      <c r="Q57" s="104" t="s">
        <v>415</v>
      </c>
      <c r="R57" s="104" t="s">
        <v>416</v>
      </c>
    </row>
    <row r="58" customFormat="false" ht="11.25" hidden="false" customHeight="true" outlineLevel="0" collapsed="false">
      <c r="C58" s="51" t="s">
        <v>487</v>
      </c>
      <c r="D58" s="51" t="s">
        <v>488</v>
      </c>
      <c r="E58" s="159" t="n">
        <f aca="false">SUMIFS(Mastersheet!$F$2:$F$400,Mastersheet!$D$2:$D$400,$P58,Mastersheet!$C$2:$C$400,$Q58)/1000</f>
        <v>0</v>
      </c>
      <c r="F58" s="159" t="n">
        <f aca="false">SUMIFS(Mastersheet!$G$2:$G$400,Mastersheet!$D$2:$D$400,$P58,Mastersheet!$C$2:$C$400,$Q58)/1000</f>
        <v>0</v>
      </c>
      <c r="G58" s="159" t="n">
        <f aca="false">SUMIFS(Mastersheet!$H$2:$H$400,Mastersheet!$D$2:$D$400,$P58,Mastersheet!$C$2:$C$400,$Q58)/1000</f>
        <v>0</v>
      </c>
      <c r="H58" s="159" t="n">
        <f aca="false">SUMIFS(Mastersheet!$I$2:$I$400,Mastersheet!$D$2:$D$400,$P58,Mastersheet!$C$2:$C$400,$Q58)/1000</f>
        <v>0</v>
      </c>
      <c r="I58" s="160" t="n">
        <f aca="false">SUMIFS(Mastersheet!$J$2:$J$400,Mastersheet!$D$2:$D$400,$P58,Mastersheet!$C$2:$C$400,$Q58)/1000</f>
        <v>0</v>
      </c>
      <c r="J58" s="161" t="n">
        <f aca="false">SUMIFS(Mastersheet!$K$2:$K$400,Mastersheet!$D$2:$D$400,$P58,Mastersheet!$C$2:$C$400,$Q58)/1000</f>
        <v>0</v>
      </c>
      <c r="K58" s="161" t="n">
        <f aca="false">SUMIFS(Mastersheet!$L$2:$L$400,Mastersheet!$D$2:$D$400,$P58,Mastersheet!$C$2:$C$400,$Q58)/1000</f>
        <v>0</v>
      </c>
      <c r="L58" s="161" t="n">
        <f aca="false">SUMIFS(Mastersheet!$M$2:$M$400,Mastersheet!$D$2:$D$400,$P58,Mastersheet!$C$2:$C$400,$Q58)/1000</f>
        <v>0</v>
      </c>
      <c r="M58" s="161" t="n">
        <f aca="false">SUMIFS(Mastersheet!$N$2:$N$400,Mastersheet!$D$2:$D$400,$P58,Mastersheet!$C$2:$C$400,$Q58)/1000</f>
        <v>0</v>
      </c>
      <c r="P58" s="97" t="s">
        <v>489</v>
      </c>
      <c r="Q58" s="98" t="s">
        <v>209</v>
      </c>
      <c r="R58" s="98" t="s">
        <v>414</v>
      </c>
    </row>
    <row r="59" customFormat="false" ht="11.25" hidden="true" customHeight="true" outlineLevel="3" collapsed="false">
      <c r="C59" s="99"/>
      <c r="D59" s="99"/>
      <c r="E59" s="100" t="str">
        <f aca="false">IF($P$59="","",SUMIFS(Mastersheet!$F$2:$F$400,Mastersheet!$A$2:$A$400,$P$59)/1000)</f>
        <v/>
      </c>
      <c r="F59" s="100" t="str">
        <f aca="false">IF($P$59="","",SUMIFS(Mastersheet!$G$2:$G$400,Mastersheet!$A$2:$A$400,$P$59)/1000)</f>
        <v/>
      </c>
      <c r="G59" s="100" t="str">
        <f aca="false">IF($P$59="","",SUMIFS(Mastersheet!$H$2:$H$400,Mastersheet!$A$2:$A$400,$P$59)/1000)</f>
        <v/>
      </c>
      <c r="H59" s="100" t="str">
        <f aca="false">IF($P$59="","",SUMIFS(Mastersheet!$I$2:$I$400,Mastersheet!$A$2:$A$400,$P$59)/1000)</f>
        <v/>
      </c>
      <c r="I59" s="102" t="str">
        <f aca="false">IF($P$59="","",SUMIFS(Mastersheet!$J$2:$J$400,Mastersheet!$A$2:$A$400,$P$59)/1000)</f>
        <v/>
      </c>
      <c r="J59" s="103" t="str">
        <f aca="false">IF($P$59="","",SUMIFS(Mastersheet!$K$2:$K$400,Mastersheet!$A$2:$A$400,$P$59)/1000)</f>
        <v/>
      </c>
      <c r="K59" s="103" t="str">
        <f aca="false">IF($P$59="","",SUMIFS(Mastersheet!$L$2:$L$400,Mastersheet!$A$2:$A$400,$P$59)/1000)</f>
        <v/>
      </c>
      <c r="L59" s="103" t="str">
        <f aca="false">IF($P$59="","",SUMIFS(Mastersheet!$M$2:$M$400,Mastersheet!$A$2:$A$400,$P$59)/1000)</f>
        <v/>
      </c>
      <c r="M59" s="103" t="str">
        <f aca="false">IF($P$59="","",SUMIFS(Mastersheet!$N$2:$N$400,Mastersheet!$A$2:$A$400,$P$59)/1000)</f>
        <v/>
      </c>
      <c r="P59" s="97"/>
      <c r="Q59" s="104" t="s">
        <v>415</v>
      </c>
      <c r="R59" s="104" t="s">
        <v>416</v>
      </c>
    </row>
    <row r="60" customFormat="false" ht="11.25" hidden="true" customHeight="true" outlineLevel="3" collapsed="false">
      <c r="C60" s="99"/>
      <c r="D60" s="99"/>
      <c r="E60" s="100" t="str">
        <f aca="false">IF($P$60="","",SUMIFS(Mastersheet!$F$2:$F$400,Mastersheet!$A$2:$A$400,$P$60)/1000)</f>
        <v/>
      </c>
      <c r="F60" s="100" t="str">
        <f aca="false">IF($P$60="","",SUMIFS(Mastersheet!$G$2:$G$400,Mastersheet!$A$2:$A$400,$P$60)/1000)</f>
        <v/>
      </c>
      <c r="G60" s="100" t="str">
        <f aca="false">IF($P$60="","",SUMIFS(Mastersheet!$H$2:$H$400,Mastersheet!$A$2:$A$400,$P$60)/1000)</f>
        <v/>
      </c>
      <c r="H60" s="100" t="str">
        <f aca="false">IF($P$60="","",SUMIFS(Mastersheet!$I$2:$I$400,Mastersheet!$A$2:$A$400,$P$60)/1000)</f>
        <v/>
      </c>
      <c r="I60" s="102" t="str">
        <f aca="false">IF($P$60="","",SUMIFS(Mastersheet!$J$2:$J$400,Mastersheet!$A$2:$A$400,$P$60)/1000)</f>
        <v/>
      </c>
      <c r="J60" s="103" t="str">
        <f aca="false">IF($P$60="","",SUMIFS(Mastersheet!$K$2:$K$400,Mastersheet!$A$2:$A$400,$P$60)/1000)</f>
        <v/>
      </c>
      <c r="K60" s="103" t="str">
        <f aca="false">IF($P$60="","",SUMIFS(Mastersheet!$L$2:$L$400,Mastersheet!$A$2:$A$400,$P$60)/1000)</f>
        <v/>
      </c>
      <c r="L60" s="103" t="str">
        <f aca="false">IF($P$60="","",SUMIFS(Mastersheet!$M$2:$M$400,Mastersheet!$A$2:$A$400,$P$60)/1000)</f>
        <v/>
      </c>
      <c r="M60" s="103" t="str">
        <f aca="false">IF($P$60="","",SUMIFS(Mastersheet!$N$2:$N$400,Mastersheet!$A$2:$A$400,$P$60)/1000)</f>
        <v/>
      </c>
      <c r="P60" s="97"/>
      <c r="Q60" s="104" t="s">
        <v>415</v>
      </c>
      <c r="R60" s="104" t="s">
        <v>416</v>
      </c>
    </row>
    <row r="61" customFormat="false" ht="11.25" hidden="true" customHeight="true" outlineLevel="3" collapsed="false">
      <c r="C61" s="99"/>
      <c r="D61" s="99"/>
      <c r="E61" s="100" t="str">
        <f aca="false">IF($P$61="","",SUMIFS(Mastersheet!$F$2:$F$400,Mastersheet!$A$2:$A$400,$P$61)/1000)</f>
        <v/>
      </c>
      <c r="F61" s="100" t="str">
        <f aca="false">IF($P$61="","",SUMIFS(Mastersheet!$G$2:$G$400,Mastersheet!$A$2:$A$400,$P$61)/1000)</f>
        <v/>
      </c>
      <c r="G61" s="100" t="str">
        <f aca="false">IF($P$61="","",SUMIFS(Mastersheet!$H$2:$H$400,Mastersheet!$A$2:$A$400,$P$61)/1000)</f>
        <v/>
      </c>
      <c r="H61" s="100" t="str">
        <f aca="false">IF($P$61="","",SUMIFS(Mastersheet!$I$2:$I$400,Mastersheet!$A$2:$A$400,$P$61)/1000)</f>
        <v/>
      </c>
      <c r="I61" s="102" t="str">
        <f aca="false">IF($P$61="","",SUMIFS(Mastersheet!$J$2:$J$400,Mastersheet!$A$2:$A$400,$P$61)/1000)</f>
        <v/>
      </c>
      <c r="J61" s="103" t="str">
        <f aca="false">IF($P$61="","",SUMIFS(Mastersheet!$K$2:$K$400,Mastersheet!$A$2:$A$400,$P$61)/1000)</f>
        <v/>
      </c>
      <c r="K61" s="103" t="str">
        <f aca="false">IF($P$61="","",SUMIFS(Mastersheet!$L$2:$L$400,Mastersheet!$A$2:$A$400,$P$61)/1000)</f>
        <v/>
      </c>
      <c r="L61" s="103" t="str">
        <f aca="false">IF($P$61="","",SUMIFS(Mastersheet!$M$2:$M$400,Mastersheet!$A$2:$A$400,$P$61)/1000)</f>
        <v/>
      </c>
      <c r="M61" s="103" t="str">
        <f aca="false">IF($P$61="","",SUMIFS(Mastersheet!$N$2:$N$400,Mastersheet!$A$2:$A$400,$P$61)/1000)</f>
        <v/>
      </c>
      <c r="P61" s="97"/>
      <c r="Q61" s="104" t="s">
        <v>415</v>
      </c>
      <c r="R61" s="104" t="s">
        <v>416</v>
      </c>
    </row>
    <row r="62" customFormat="false" ht="11.25" hidden="true" customHeight="true" outlineLevel="3" collapsed="false">
      <c r="C62" s="99"/>
      <c r="D62" s="99"/>
      <c r="E62" s="100" t="str">
        <f aca="false">IF($P$62="","",SUMIFS(Mastersheet!$F$2:$F$400,Mastersheet!$A$2:$A$400,$P$62)/1000)</f>
        <v/>
      </c>
      <c r="F62" s="100" t="str">
        <f aca="false">IF($P$62="","",SUMIFS(Mastersheet!$G$2:$G$400,Mastersheet!$A$2:$A$400,$P$62)/1000)</f>
        <v/>
      </c>
      <c r="G62" s="100" t="str">
        <f aca="false">IF($P$62="","",SUMIFS(Mastersheet!$H$2:$H$400,Mastersheet!$A$2:$A$400,$P$62)/1000)</f>
        <v/>
      </c>
      <c r="H62" s="100" t="str">
        <f aca="false">IF($P$62="","",SUMIFS(Mastersheet!$I$2:$I$400,Mastersheet!$A$2:$A$400,$P$62)/1000)</f>
        <v/>
      </c>
      <c r="I62" s="102" t="str">
        <f aca="false">IF($P$62="","",SUMIFS(Mastersheet!$J$2:$J$400,Mastersheet!$A$2:$A$400,$P$62)/1000)</f>
        <v/>
      </c>
      <c r="J62" s="103" t="str">
        <f aca="false">IF($P$62="","",SUMIFS(Mastersheet!$K$2:$K$400,Mastersheet!$A$2:$A$400,$P$62)/1000)</f>
        <v/>
      </c>
      <c r="K62" s="103" t="str">
        <f aca="false">IF($P$62="","",SUMIFS(Mastersheet!$L$2:$L$400,Mastersheet!$A$2:$A$400,$P$62)/1000)</f>
        <v/>
      </c>
      <c r="L62" s="103" t="str">
        <f aca="false">IF($P$62="","",SUMIFS(Mastersheet!$M$2:$M$400,Mastersheet!$A$2:$A$400,$P$62)/1000)</f>
        <v/>
      </c>
      <c r="M62" s="103" t="str">
        <f aca="false">IF($P$62="","",SUMIFS(Mastersheet!$N$2:$N$400,Mastersheet!$A$2:$A$400,$P$62)/1000)</f>
        <v/>
      </c>
      <c r="P62" s="97"/>
      <c r="Q62" s="104" t="s">
        <v>415</v>
      </c>
      <c r="R62" s="104" t="s">
        <v>416</v>
      </c>
    </row>
    <row r="63" customFormat="false" ht="11.25" hidden="true" customHeight="true" outlineLevel="3" collapsed="false">
      <c r="C63" s="99"/>
      <c r="D63" s="99"/>
      <c r="E63" s="100" t="str">
        <f aca="false">IF($P$63="","",SUMIFS(Mastersheet!$F$2:$F$400,Mastersheet!$A$2:$A$400,$P$63)/1000)</f>
        <v/>
      </c>
      <c r="F63" s="100" t="str">
        <f aca="false">IF($P$63="","",SUMIFS(Mastersheet!$G$2:$G$400,Mastersheet!$A$2:$A$400,$P$63)/1000)</f>
        <v/>
      </c>
      <c r="G63" s="100" t="str">
        <f aca="false">IF($P$63="","",SUMIFS(Mastersheet!$H$2:$H$400,Mastersheet!$A$2:$A$400,$P$63)/1000)</f>
        <v/>
      </c>
      <c r="H63" s="100" t="str">
        <f aca="false">IF($P$63="","",SUMIFS(Mastersheet!$I$2:$I$400,Mastersheet!$A$2:$A$400,$P$63)/1000)</f>
        <v/>
      </c>
      <c r="I63" s="102" t="str">
        <f aca="false">IF($P$63="","",SUMIFS(Mastersheet!$J$2:$J$400,Mastersheet!$A$2:$A$400,$P$63)/1000)</f>
        <v/>
      </c>
      <c r="J63" s="103" t="str">
        <f aca="false">IF($P$63="","",SUMIFS(Mastersheet!$K$2:$K$400,Mastersheet!$A$2:$A$400,$P$63)/1000)</f>
        <v/>
      </c>
      <c r="K63" s="103" t="str">
        <f aca="false">IF($P$63="","",SUMIFS(Mastersheet!$L$2:$L$400,Mastersheet!$A$2:$A$400,$P$63)/1000)</f>
        <v/>
      </c>
      <c r="L63" s="103" t="str">
        <f aca="false">IF($P$63="","",SUMIFS(Mastersheet!$M$2:$M$400,Mastersheet!$A$2:$A$400,$P$63)/1000)</f>
        <v/>
      </c>
      <c r="M63" s="103" t="str">
        <f aca="false">IF($P$63="","",SUMIFS(Mastersheet!$N$2:$N$400,Mastersheet!$A$2:$A$400,$P$63)/1000)</f>
        <v/>
      </c>
      <c r="P63" s="97"/>
      <c r="Q63" s="104" t="s">
        <v>415</v>
      </c>
      <c r="R63" s="104" t="s">
        <v>416</v>
      </c>
    </row>
    <row r="64" customFormat="false" ht="11.25" hidden="true" customHeight="true" outlineLevel="3" collapsed="false">
      <c r="C64" s="99"/>
      <c r="D64" s="99"/>
      <c r="E64" s="100" t="str">
        <f aca="false">IF($P$64="","",SUMIFS(Mastersheet!$F$2:$F$400,Mastersheet!$A$2:$A$400,$P$64)/1000)</f>
        <v/>
      </c>
      <c r="F64" s="100" t="str">
        <f aca="false">IF($P$64="","",SUMIFS(Mastersheet!$G$2:$G$400,Mastersheet!$A$2:$A$400,$P$64)/1000)</f>
        <v/>
      </c>
      <c r="G64" s="100" t="str">
        <f aca="false">IF($P$64="","",SUMIFS(Mastersheet!$H$2:$H$400,Mastersheet!$A$2:$A$400,$P$64)/1000)</f>
        <v/>
      </c>
      <c r="H64" s="100" t="str">
        <f aca="false">IF($P$64="","",SUMIFS(Mastersheet!$I$2:$I$400,Mastersheet!$A$2:$A$400,$P$64)/1000)</f>
        <v/>
      </c>
      <c r="I64" s="102" t="str">
        <f aca="false">IF($P$64="","",SUMIFS(Mastersheet!$J$2:$J$400,Mastersheet!$A$2:$A$400,$P$64)/1000)</f>
        <v/>
      </c>
      <c r="J64" s="103" t="str">
        <f aca="false">IF($P$64="","",SUMIFS(Mastersheet!$K$2:$K$400,Mastersheet!$A$2:$A$400,$P$64)/1000)</f>
        <v/>
      </c>
      <c r="K64" s="103" t="str">
        <f aca="false">IF($P$64="","",SUMIFS(Mastersheet!$L$2:$L$400,Mastersheet!$A$2:$A$400,$P$64)/1000)</f>
        <v/>
      </c>
      <c r="L64" s="103" t="str">
        <f aca="false">IF($P$64="","",SUMIFS(Mastersheet!$M$2:$M$400,Mastersheet!$A$2:$A$400,$P$64)/1000)</f>
        <v/>
      </c>
      <c r="M64" s="103" t="str">
        <f aca="false">IF($P$64="","",SUMIFS(Mastersheet!$N$2:$N$400,Mastersheet!$A$2:$A$400,$P$64)/1000)</f>
        <v/>
      </c>
      <c r="P64" s="97"/>
      <c r="Q64" s="104" t="s">
        <v>415</v>
      </c>
      <c r="R64" s="104" t="s">
        <v>416</v>
      </c>
    </row>
    <row r="65" customFormat="false" ht="11.25" hidden="true" customHeight="true" outlineLevel="3" collapsed="false">
      <c r="C65" s="99"/>
      <c r="D65" s="99"/>
      <c r="E65" s="100" t="str">
        <f aca="false">IF($P$65="","",SUMIFS(Mastersheet!$F$2:$F$400,Mastersheet!$A$2:$A$400,$P$65)/1000)</f>
        <v/>
      </c>
      <c r="F65" s="100" t="str">
        <f aca="false">IF($P$65="","",SUMIFS(Mastersheet!$G$2:$G$400,Mastersheet!$A$2:$A$400,$P$65)/1000)</f>
        <v/>
      </c>
      <c r="G65" s="100" t="str">
        <f aca="false">IF($P$65="","",SUMIFS(Mastersheet!$H$2:$H$400,Mastersheet!$A$2:$A$400,$P$65)/1000)</f>
        <v/>
      </c>
      <c r="H65" s="100" t="str">
        <f aca="false">IF($P$65="","",SUMIFS(Mastersheet!$I$2:$I$400,Mastersheet!$A$2:$A$400,$P$65)/1000)</f>
        <v/>
      </c>
      <c r="I65" s="102" t="str">
        <f aca="false">IF($P$65="","",SUMIFS(Mastersheet!$J$2:$J$400,Mastersheet!$A$2:$A$400,$P$65)/1000)</f>
        <v/>
      </c>
      <c r="J65" s="103" t="str">
        <f aca="false">IF($P$65="","",SUMIFS(Mastersheet!$K$2:$K$400,Mastersheet!$A$2:$A$400,$P$65)/1000)</f>
        <v/>
      </c>
      <c r="K65" s="103" t="str">
        <f aca="false">IF($P$65="","",SUMIFS(Mastersheet!$L$2:$L$400,Mastersheet!$A$2:$A$400,$P$65)/1000)</f>
        <v/>
      </c>
      <c r="L65" s="103" t="str">
        <f aca="false">IF($P$65="","",SUMIFS(Mastersheet!$M$2:$M$400,Mastersheet!$A$2:$A$400,$P$65)/1000)</f>
        <v/>
      </c>
      <c r="M65" s="103" t="str">
        <f aca="false">IF($P$65="","",SUMIFS(Mastersheet!$N$2:$N$400,Mastersheet!$A$2:$A$400,$P$65)/1000)</f>
        <v/>
      </c>
      <c r="P65" s="97"/>
      <c r="Q65" s="104" t="s">
        <v>415</v>
      </c>
      <c r="R65" s="104" t="s">
        <v>416</v>
      </c>
    </row>
    <row r="66" customFormat="false" ht="11.25" hidden="true" customHeight="true" outlineLevel="3" collapsed="false">
      <c r="C66" s="99"/>
      <c r="D66" s="99"/>
      <c r="E66" s="100" t="str">
        <f aca="false">IF($P$66="","",SUMIFS(Mastersheet!$F$2:$F$400,Mastersheet!$A$2:$A$400,$P$66)/1000)</f>
        <v/>
      </c>
      <c r="F66" s="100" t="str">
        <f aca="false">IF($P$66="","",SUMIFS(Mastersheet!$G$2:$G$400,Mastersheet!$A$2:$A$400,$P$66)/1000)</f>
        <v/>
      </c>
      <c r="G66" s="100" t="str">
        <f aca="false">IF($P$66="","",SUMIFS(Mastersheet!$H$2:$H$400,Mastersheet!$A$2:$A$400,$P$66)/1000)</f>
        <v/>
      </c>
      <c r="H66" s="100" t="str">
        <f aca="false">IF($P$66="","",SUMIFS(Mastersheet!$I$2:$I$400,Mastersheet!$A$2:$A$400,$P$66)/1000)</f>
        <v/>
      </c>
      <c r="I66" s="102" t="str">
        <f aca="false">IF($P$66="","",SUMIFS(Mastersheet!$J$2:$J$400,Mastersheet!$A$2:$A$400,$P$66)/1000)</f>
        <v/>
      </c>
      <c r="J66" s="103" t="str">
        <f aca="false">IF($P$66="","",SUMIFS(Mastersheet!$K$2:$K$400,Mastersheet!$A$2:$A$400,$P$66)/1000)</f>
        <v/>
      </c>
      <c r="K66" s="103" t="str">
        <f aca="false">IF($P$66="","",SUMIFS(Mastersheet!$L$2:$L$400,Mastersheet!$A$2:$A$400,$P$66)/1000)</f>
        <v/>
      </c>
      <c r="L66" s="103" t="str">
        <f aca="false">IF($P$66="","",SUMIFS(Mastersheet!$M$2:$M$400,Mastersheet!$A$2:$A$400,$P$66)/1000)</f>
        <v/>
      </c>
      <c r="M66" s="103" t="str">
        <f aca="false">IF($P$66="","",SUMIFS(Mastersheet!$N$2:$N$400,Mastersheet!$A$2:$A$400,$P$66)/1000)</f>
        <v/>
      </c>
      <c r="P66" s="97"/>
      <c r="Q66" s="104" t="s">
        <v>415</v>
      </c>
      <c r="R66" s="104" t="s">
        <v>416</v>
      </c>
    </row>
    <row r="67" customFormat="false" ht="11.25" hidden="false" customHeight="true" outlineLevel="0" collapsed="false">
      <c r="C67" s="51" t="s">
        <v>490</v>
      </c>
      <c r="D67" s="51" t="s">
        <v>491</v>
      </c>
      <c r="E67" s="159" t="n">
        <f aca="false">SUMIFS(Mastersheet!$F$2:$F$400,Mastersheet!$D$2:$D$400,$P67,Mastersheet!$C$2:$C$400,$Q67)/1000</f>
        <v>0</v>
      </c>
      <c r="F67" s="159" t="n">
        <f aca="false">SUMIFS(Mastersheet!$G$2:$G$400,Mastersheet!$D$2:$D$400,$P67,Mastersheet!$C$2:$C$400,$Q67)/1000</f>
        <v>0</v>
      </c>
      <c r="G67" s="159" t="n">
        <f aca="false">SUMIFS(Mastersheet!$H$2:$H$400,Mastersheet!$D$2:$D$400,$P67,Mastersheet!$C$2:$C$400,$Q67)/1000</f>
        <v>0</v>
      </c>
      <c r="H67" s="159" t="n">
        <f aca="false">SUMIFS(Mastersheet!$I$2:$I$400,Mastersheet!$D$2:$D$400,$P67,Mastersheet!$C$2:$C$400,$Q67)/1000</f>
        <v>0</v>
      </c>
      <c r="I67" s="160" t="n">
        <f aca="false">SUMIFS(Mastersheet!$J$2:$J$400,Mastersheet!$D$2:$D$400,$P67,Mastersheet!$C$2:$C$400,$Q67)/1000</f>
        <v>0</v>
      </c>
      <c r="J67" s="161" t="n">
        <f aca="false">SUMIFS(Mastersheet!$K$2:$K$400,Mastersheet!$D$2:$D$400,$P67,Mastersheet!$C$2:$C$400,$Q67)/1000</f>
        <v>0</v>
      </c>
      <c r="K67" s="161" t="n">
        <f aca="false">SUMIFS(Mastersheet!$L$2:$L$400,Mastersheet!$D$2:$D$400,$P67,Mastersheet!$C$2:$C$400,$Q67)/1000</f>
        <v>0</v>
      </c>
      <c r="L67" s="161" t="n">
        <f aca="false">SUMIFS(Mastersheet!$M$2:$M$400,Mastersheet!$D$2:$D$400,$P67,Mastersheet!$C$2:$C$400,$Q67)/1000</f>
        <v>0</v>
      </c>
      <c r="M67" s="161" t="n">
        <f aca="false">SUMIFS(Mastersheet!$N$2:$N$400,Mastersheet!$D$2:$D$400,$P67,Mastersheet!$C$2:$C$400,$Q67)/1000</f>
        <v>0</v>
      </c>
      <c r="P67" s="97" t="s">
        <v>490</v>
      </c>
      <c r="Q67" s="98" t="s">
        <v>209</v>
      </c>
      <c r="R67" s="98" t="s">
        <v>414</v>
      </c>
    </row>
    <row r="68" customFormat="false" ht="11.25" hidden="true" customHeight="true" outlineLevel="3" collapsed="false">
      <c r="C68" s="99"/>
      <c r="D68" s="99"/>
      <c r="E68" s="100" t="str">
        <f aca="false">IF($P$68="","",SUMIFS(Mastersheet!$F$2:$F$400,Mastersheet!$A$2:$A$400,$P$68)/1000)</f>
        <v/>
      </c>
      <c r="F68" s="100" t="str">
        <f aca="false">IF($P$68="","",SUMIFS(Mastersheet!$G$2:$G$400,Mastersheet!$A$2:$A$400,$P$68)/1000)</f>
        <v/>
      </c>
      <c r="G68" s="100" t="str">
        <f aca="false">IF($P$68="","",SUMIFS(Mastersheet!$H$2:$H$400,Mastersheet!$A$2:$A$400,$P$68)/1000)</f>
        <v/>
      </c>
      <c r="H68" s="100" t="str">
        <f aca="false">IF($P$68="","",SUMIFS(Mastersheet!$I$2:$I$400,Mastersheet!$A$2:$A$400,$P$68)/1000)</f>
        <v/>
      </c>
      <c r="I68" s="102" t="str">
        <f aca="false">IF($P$68="","",SUMIFS(Mastersheet!$J$2:$J$400,Mastersheet!$A$2:$A$400,$P$68)/1000)</f>
        <v/>
      </c>
      <c r="J68" s="103" t="str">
        <f aca="false">IF($P$68="","",SUMIFS(Mastersheet!$K$2:$K$400,Mastersheet!$A$2:$A$400,$P$68)/1000)</f>
        <v/>
      </c>
      <c r="K68" s="103" t="str">
        <f aca="false">IF($P$68="","",SUMIFS(Mastersheet!$L$2:$L$400,Mastersheet!$A$2:$A$400,$P$68)/1000)</f>
        <v/>
      </c>
      <c r="L68" s="103" t="str">
        <f aca="false">IF($P$68="","",SUMIFS(Mastersheet!$M$2:$M$400,Mastersheet!$A$2:$A$400,$P$68)/1000)</f>
        <v/>
      </c>
      <c r="M68" s="103" t="str">
        <f aca="false">IF($P$68="","",SUMIFS(Mastersheet!$N$2:$N$400,Mastersheet!$A$2:$A$400,$P$68)/1000)</f>
        <v/>
      </c>
      <c r="P68" s="97"/>
      <c r="Q68" s="104" t="s">
        <v>415</v>
      </c>
      <c r="R68" s="104" t="s">
        <v>416</v>
      </c>
    </row>
    <row r="69" customFormat="false" ht="11.25" hidden="true" customHeight="true" outlineLevel="3" collapsed="false">
      <c r="C69" s="99"/>
      <c r="D69" s="99"/>
      <c r="E69" s="100" t="str">
        <f aca="false">IF($P$69="","",SUMIFS(Mastersheet!$F$2:$F$400,Mastersheet!$A$2:$A$400,$P$69)/1000)</f>
        <v/>
      </c>
      <c r="F69" s="100" t="str">
        <f aca="false">IF($P$69="","",SUMIFS(Mastersheet!$G$2:$G$400,Mastersheet!$A$2:$A$400,$P$69)/1000)</f>
        <v/>
      </c>
      <c r="G69" s="100" t="str">
        <f aca="false">IF($P$69="","",SUMIFS(Mastersheet!$H$2:$H$400,Mastersheet!$A$2:$A$400,$P$69)/1000)</f>
        <v/>
      </c>
      <c r="H69" s="100" t="str">
        <f aca="false">IF($P$69="","",SUMIFS(Mastersheet!$I$2:$I$400,Mastersheet!$A$2:$A$400,$P$69)/1000)</f>
        <v/>
      </c>
      <c r="I69" s="102" t="str">
        <f aca="false">IF($P$69="","",SUMIFS(Mastersheet!$J$2:$J$400,Mastersheet!$A$2:$A$400,$P$69)/1000)</f>
        <v/>
      </c>
      <c r="J69" s="103" t="str">
        <f aca="false">IF($P$69="","",SUMIFS(Mastersheet!$K$2:$K$400,Mastersheet!$A$2:$A$400,$P$69)/1000)</f>
        <v/>
      </c>
      <c r="K69" s="103" t="str">
        <f aca="false">IF($P$69="","",SUMIFS(Mastersheet!$L$2:$L$400,Mastersheet!$A$2:$A$400,$P$69)/1000)</f>
        <v/>
      </c>
      <c r="L69" s="103" t="str">
        <f aca="false">IF($P$69="","",SUMIFS(Mastersheet!$M$2:$M$400,Mastersheet!$A$2:$A$400,$P$69)/1000)</f>
        <v/>
      </c>
      <c r="M69" s="103" t="str">
        <f aca="false">IF($P$69="","",SUMIFS(Mastersheet!$N$2:$N$400,Mastersheet!$A$2:$A$400,$P$69)/1000)</f>
        <v/>
      </c>
      <c r="P69" s="97"/>
      <c r="Q69" s="104" t="s">
        <v>415</v>
      </c>
      <c r="R69" s="104" t="s">
        <v>416</v>
      </c>
    </row>
    <row r="70" customFormat="false" ht="11.25" hidden="true" customHeight="true" outlineLevel="3" collapsed="false">
      <c r="C70" s="99"/>
      <c r="D70" s="99"/>
      <c r="E70" s="100" t="str">
        <f aca="false">IF($P$70="","",SUMIFS(Mastersheet!$F$2:$F$400,Mastersheet!$A$2:$A$400,$P$70)/1000)</f>
        <v/>
      </c>
      <c r="F70" s="100" t="str">
        <f aca="false">IF($P$70="","",SUMIFS(Mastersheet!$G$2:$G$400,Mastersheet!$A$2:$A$400,$P$70)/1000)</f>
        <v/>
      </c>
      <c r="G70" s="100" t="str">
        <f aca="false">IF($P$70="","",SUMIFS(Mastersheet!$H$2:$H$400,Mastersheet!$A$2:$A$400,$P$70)/1000)</f>
        <v/>
      </c>
      <c r="H70" s="100" t="str">
        <f aca="false">IF($P$70="","",SUMIFS(Mastersheet!$I$2:$I$400,Mastersheet!$A$2:$A$400,$P$70)/1000)</f>
        <v/>
      </c>
      <c r="I70" s="102" t="str">
        <f aca="false">IF($P$70="","",SUMIFS(Mastersheet!$J$2:$J$400,Mastersheet!$A$2:$A$400,$P$70)/1000)</f>
        <v/>
      </c>
      <c r="J70" s="103" t="str">
        <f aca="false">IF($P$70="","",SUMIFS(Mastersheet!$K$2:$K$400,Mastersheet!$A$2:$A$400,$P$70)/1000)</f>
        <v/>
      </c>
      <c r="K70" s="103" t="str">
        <f aca="false">IF($P$70="","",SUMIFS(Mastersheet!$L$2:$L$400,Mastersheet!$A$2:$A$400,$P$70)/1000)</f>
        <v/>
      </c>
      <c r="L70" s="103" t="str">
        <f aca="false">IF($P$70="","",SUMIFS(Mastersheet!$M$2:$M$400,Mastersheet!$A$2:$A$400,$P$70)/1000)</f>
        <v/>
      </c>
      <c r="M70" s="103" t="str">
        <f aca="false">IF($P$70="","",SUMIFS(Mastersheet!$N$2:$N$400,Mastersheet!$A$2:$A$400,$P$70)/1000)</f>
        <v/>
      </c>
      <c r="P70" s="97"/>
      <c r="Q70" s="104" t="s">
        <v>415</v>
      </c>
      <c r="R70" s="104" t="s">
        <v>416</v>
      </c>
    </row>
    <row r="71" customFormat="false" ht="11.25" hidden="true" customHeight="true" outlineLevel="3" collapsed="false">
      <c r="C71" s="99"/>
      <c r="D71" s="99"/>
      <c r="E71" s="100" t="str">
        <f aca="false">IF($P$71="","",SUMIFS(Mastersheet!$F$2:$F$400,Mastersheet!$A$2:$A$400,$P$71)/1000)</f>
        <v/>
      </c>
      <c r="F71" s="100" t="str">
        <f aca="false">IF($P$71="","",SUMIFS(Mastersheet!$G$2:$G$400,Mastersheet!$A$2:$A$400,$P$71)/1000)</f>
        <v/>
      </c>
      <c r="G71" s="100" t="str">
        <f aca="false">IF($P$71="","",SUMIFS(Mastersheet!$H$2:$H$400,Mastersheet!$A$2:$A$400,$P$71)/1000)</f>
        <v/>
      </c>
      <c r="H71" s="100" t="str">
        <f aca="false">IF($P$71="","",SUMIFS(Mastersheet!$I$2:$I$400,Mastersheet!$A$2:$A$400,$P$71)/1000)</f>
        <v/>
      </c>
      <c r="I71" s="102" t="str">
        <f aca="false">IF($P$71="","",SUMIFS(Mastersheet!$J$2:$J$400,Mastersheet!$A$2:$A$400,$P$71)/1000)</f>
        <v/>
      </c>
      <c r="J71" s="103" t="str">
        <f aca="false">IF($P$71="","",SUMIFS(Mastersheet!$K$2:$K$400,Mastersheet!$A$2:$A$400,$P$71)/1000)</f>
        <v/>
      </c>
      <c r="K71" s="103" t="str">
        <f aca="false">IF($P$71="","",SUMIFS(Mastersheet!$L$2:$L$400,Mastersheet!$A$2:$A$400,$P$71)/1000)</f>
        <v/>
      </c>
      <c r="L71" s="103" t="str">
        <f aca="false">IF($P$71="","",SUMIFS(Mastersheet!$M$2:$M$400,Mastersheet!$A$2:$A$400,$P$71)/1000)</f>
        <v/>
      </c>
      <c r="M71" s="103" t="str">
        <f aca="false">IF($P$71="","",SUMIFS(Mastersheet!$N$2:$N$400,Mastersheet!$A$2:$A$400,$P$71)/1000)</f>
        <v/>
      </c>
      <c r="P71" s="97"/>
      <c r="Q71" s="104" t="s">
        <v>415</v>
      </c>
      <c r="R71" s="104" t="s">
        <v>416</v>
      </c>
    </row>
    <row r="72" customFormat="false" ht="11.25" hidden="true" customHeight="true" outlineLevel="3" collapsed="false">
      <c r="C72" s="99"/>
      <c r="D72" s="99"/>
      <c r="E72" s="100" t="str">
        <f aca="false">IF($P$72="","",SUMIFS(Mastersheet!$F$2:$F$400,Mastersheet!$A$2:$A$400,$P$72)/1000)</f>
        <v/>
      </c>
      <c r="F72" s="100" t="str">
        <f aca="false">IF($P$72="","",SUMIFS(Mastersheet!$G$2:$G$400,Mastersheet!$A$2:$A$400,$P$72)/1000)</f>
        <v/>
      </c>
      <c r="G72" s="100" t="str">
        <f aca="false">IF($P$72="","",SUMIFS(Mastersheet!$H$2:$H$400,Mastersheet!$A$2:$A$400,$P$72)/1000)</f>
        <v/>
      </c>
      <c r="H72" s="100" t="str">
        <f aca="false">IF($P$72="","",SUMIFS(Mastersheet!$I$2:$I$400,Mastersheet!$A$2:$A$400,$P$72)/1000)</f>
        <v/>
      </c>
      <c r="I72" s="102" t="str">
        <f aca="false">IF($P$72="","",SUMIFS(Mastersheet!$J$2:$J$400,Mastersheet!$A$2:$A$400,$P$72)/1000)</f>
        <v/>
      </c>
      <c r="J72" s="103" t="str">
        <f aca="false">IF($P$72="","",SUMIFS(Mastersheet!$K$2:$K$400,Mastersheet!$A$2:$A$400,$P$72)/1000)</f>
        <v/>
      </c>
      <c r="K72" s="103" t="str">
        <f aca="false">IF($P$72="","",SUMIFS(Mastersheet!$L$2:$L$400,Mastersheet!$A$2:$A$400,$P$72)/1000)</f>
        <v/>
      </c>
      <c r="L72" s="103" t="str">
        <f aca="false">IF($P$72="","",SUMIFS(Mastersheet!$M$2:$M$400,Mastersheet!$A$2:$A$400,$P$72)/1000)</f>
        <v/>
      </c>
      <c r="M72" s="103" t="str">
        <f aca="false">IF($P$72="","",SUMIFS(Mastersheet!$N$2:$N$400,Mastersheet!$A$2:$A$400,$P$72)/1000)</f>
        <v/>
      </c>
      <c r="P72" s="97"/>
      <c r="Q72" s="104" t="s">
        <v>415</v>
      </c>
      <c r="R72" s="104" t="s">
        <v>416</v>
      </c>
    </row>
    <row r="73" customFormat="false" ht="11.25" hidden="true" customHeight="true" outlineLevel="3" collapsed="false">
      <c r="C73" s="99"/>
      <c r="D73" s="99"/>
      <c r="E73" s="100" t="str">
        <f aca="false">IF($P$73="","",SUMIFS(Mastersheet!$F$2:$F$400,Mastersheet!$A$2:$A$400,$P$73)/1000)</f>
        <v/>
      </c>
      <c r="F73" s="100" t="str">
        <f aca="false">IF($P$73="","",SUMIFS(Mastersheet!$G$2:$G$400,Mastersheet!$A$2:$A$400,$P$73)/1000)</f>
        <v/>
      </c>
      <c r="G73" s="100" t="str">
        <f aca="false">IF($P$73="","",SUMIFS(Mastersheet!$H$2:$H$400,Mastersheet!$A$2:$A$400,$P$73)/1000)</f>
        <v/>
      </c>
      <c r="H73" s="100" t="str">
        <f aca="false">IF($P$73="","",SUMIFS(Mastersheet!$I$2:$I$400,Mastersheet!$A$2:$A$400,$P$73)/1000)</f>
        <v/>
      </c>
      <c r="I73" s="102" t="str">
        <f aca="false">IF($P$73="","",SUMIFS(Mastersheet!$J$2:$J$400,Mastersheet!$A$2:$A$400,$P$73)/1000)</f>
        <v/>
      </c>
      <c r="J73" s="103" t="str">
        <f aca="false">IF($P$73="","",SUMIFS(Mastersheet!$K$2:$K$400,Mastersheet!$A$2:$A$400,$P$73)/1000)</f>
        <v/>
      </c>
      <c r="K73" s="103" t="str">
        <f aca="false">IF($P$73="","",SUMIFS(Mastersheet!$L$2:$L$400,Mastersheet!$A$2:$A$400,$P$73)/1000)</f>
        <v/>
      </c>
      <c r="L73" s="103" t="str">
        <f aca="false">IF($P$73="","",SUMIFS(Mastersheet!$M$2:$M$400,Mastersheet!$A$2:$A$400,$P$73)/1000)</f>
        <v/>
      </c>
      <c r="M73" s="103" t="str">
        <f aca="false">IF($P$73="","",SUMIFS(Mastersheet!$N$2:$N$400,Mastersheet!$A$2:$A$400,$P$73)/1000)</f>
        <v/>
      </c>
      <c r="P73" s="97"/>
      <c r="Q73" s="104" t="s">
        <v>415</v>
      </c>
      <c r="R73" s="104" t="s">
        <v>416</v>
      </c>
    </row>
    <row r="74" customFormat="false" ht="11.25" hidden="true" customHeight="true" outlineLevel="3" collapsed="false">
      <c r="C74" s="99"/>
      <c r="D74" s="99"/>
      <c r="E74" s="100" t="str">
        <f aca="false">IF($P$74="","",SUMIFS(Mastersheet!$F$2:$F$400,Mastersheet!$A$2:$A$400,$P$74)/1000)</f>
        <v/>
      </c>
      <c r="F74" s="100" t="str">
        <f aca="false">IF($P$74="","",SUMIFS(Mastersheet!$G$2:$G$400,Mastersheet!$A$2:$A$400,$P$74)/1000)</f>
        <v/>
      </c>
      <c r="G74" s="100" t="str">
        <f aca="false">IF($P$74="","",SUMIFS(Mastersheet!$H$2:$H$400,Mastersheet!$A$2:$A$400,$P$74)/1000)</f>
        <v/>
      </c>
      <c r="H74" s="100" t="str">
        <f aca="false">IF($P$74="","",SUMIFS(Mastersheet!$I$2:$I$400,Mastersheet!$A$2:$A$400,$P$74)/1000)</f>
        <v/>
      </c>
      <c r="I74" s="102" t="str">
        <f aca="false">IF($P$74="","",SUMIFS(Mastersheet!$J$2:$J$400,Mastersheet!$A$2:$A$400,$P$74)/1000)</f>
        <v/>
      </c>
      <c r="J74" s="103" t="str">
        <f aca="false">IF($P$74="","",SUMIFS(Mastersheet!$K$2:$K$400,Mastersheet!$A$2:$A$400,$P$74)/1000)</f>
        <v/>
      </c>
      <c r="K74" s="103" t="str">
        <f aca="false">IF($P$74="","",SUMIFS(Mastersheet!$L$2:$L$400,Mastersheet!$A$2:$A$400,$P$74)/1000)</f>
        <v/>
      </c>
      <c r="L74" s="103" t="str">
        <f aca="false">IF($P$74="","",SUMIFS(Mastersheet!$M$2:$M$400,Mastersheet!$A$2:$A$400,$P$74)/1000)</f>
        <v/>
      </c>
      <c r="M74" s="103" t="str">
        <f aca="false">IF($P$74="","",SUMIFS(Mastersheet!$N$2:$N$400,Mastersheet!$A$2:$A$400,$P$74)/1000)</f>
        <v/>
      </c>
      <c r="P74" s="97"/>
      <c r="Q74" s="104" t="s">
        <v>415</v>
      </c>
      <c r="R74" s="104" t="s">
        <v>416</v>
      </c>
    </row>
    <row r="75" customFormat="false" ht="11.25" hidden="true" customHeight="true" outlineLevel="3" collapsed="false">
      <c r="C75" s="99"/>
      <c r="D75" s="99"/>
      <c r="E75" s="100" t="str">
        <f aca="false">IF($P$75="","",SUMIFS(Mastersheet!$F$2:$F$400,Mastersheet!$A$2:$A$400,$P$75)/1000)</f>
        <v/>
      </c>
      <c r="F75" s="100" t="str">
        <f aca="false">IF($P$75="","",SUMIFS(Mastersheet!$G$2:$G$400,Mastersheet!$A$2:$A$400,$P$75)/1000)</f>
        <v/>
      </c>
      <c r="G75" s="100" t="str">
        <f aca="false">IF($P$75="","",SUMIFS(Mastersheet!$H$2:$H$400,Mastersheet!$A$2:$A$400,$P$75)/1000)</f>
        <v/>
      </c>
      <c r="H75" s="100" t="str">
        <f aca="false">IF($P$75="","",SUMIFS(Mastersheet!$I$2:$I$400,Mastersheet!$A$2:$A$400,$P$75)/1000)</f>
        <v/>
      </c>
      <c r="I75" s="102" t="str">
        <f aca="false">IF($P$75="","",SUMIFS(Mastersheet!$J$2:$J$400,Mastersheet!$A$2:$A$400,$P$75)/1000)</f>
        <v/>
      </c>
      <c r="J75" s="103" t="str">
        <f aca="false">IF($P$75="","",SUMIFS(Mastersheet!$K$2:$K$400,Mastersheet!$A$2:$A$400,$P$75)/1000)</f>
        <v/>
      </c>
      <c r="K75" s="103" t="str">
        <f aca="false">IF($P$75="","",SUMIFS(Mastersheet!$L$2:$L$400,Mastersheet!$A$2:$A$400,$P$75)/1000)</f>
        <v/>
      </c>
      <c r="L75" s="103" t="str">
        <f aca="false">IF($P$75="","",SUMIFS(Mastersheet!$M$2:$M$400,Mastersheet!$A$2:$A$400,$P$75)/1000)</f>
        <v/>
      </c>
      <c r="M75" s="103" t="str">
        <f aca="false">IF($P$75="","",SUMIFS(Mastersheet!$N$2:$N$400,Mastersheet!$A$2:$A$400,$P$75)/1000)</f>
        <v/>
      </c>
      <c r="P75" s="97"/>
      <c r="Q75" s="104" t="s">
        <v>415</v>
      </c>
      <c r="R75" s="104" t="s">
        <v>416</v>
      </c>
    </row>
    <row r="76" customFormat="false" ht="11.25" hidden="false" customHeight="true" outlineLevel="2" collapsed="false">
      <c r="C76" s="51" t="s">
        <v>234</v>
      </c>
      <c r="D76" s="51" t="s">
        <v>234</v>
      </c>
      <c r="E76" s="159"/>
      <c r="F76" s="159"/>
      <c r="G76" s="159"/>
      <c r="H76" s="159"/>
      <c r="I76" s="160"/>
      <c r="J76" s="161"/>
      <c r="K76" s="161"/>
      <c r="L76" s="161"/>
      <c r="M76" s="161"/>
      <c r="P76" s="105"/>
    </row>
    <row r="77" customFormat="false" ht="11.25" hidden="false" customHeight="true" outlineLevel="2" collapsed="false">
      <c r="C77" s="51" t="s">
        <v>235</v>
      </c>
      <c r="D77" s="51" t="s">
        <v>235</v>
      </c>
      <c r="E77" s="159"/>
      <c r="F77" s="159"/>
      <c r="G77" s="159"/>
      <c r="H77" s="159"/>
      <c r="I77" s="160"/>
      <c r="J77" s="161"/>
      <c r="K77" s="161"/>
      <c r="L77" s="161"/>
      <c r="M77" s="161"/>
      <c r="P77" s="105"/>
    </row>
    <row r="78" customFormat="false" ht="11.25" hidden="false" customHeight="true" outlineLevel="2" collapsed="false">
      <c r="C78" s="54" t="s">
        <v>236</v>
      </c>
      <c r="D78" s="54" t="s">
        <v>236</v>
      </c>
      <c r="E78" s="162"/>
      <c r="F78" s="162"/>
      <c r="G78" s="162"/>
      <c r="H78" s="162"/>
      <c r="I78" s="163"/>
      <c r="J78" s="164"/>
      <c r="K78" s="164"/>
      <c r="L78" s="164"/>
      <c r="M78" s="164"/>
      <c r="P78" s="105"/>
    </row>
    <row r="79" customFormat="false" ht="11.25" hidden="false" customHeight="true" outlineLevel="0" collapsed="false">
      <c r="C79" s="165" t="s">
        <v>210</v>
      </c>
      <c r="D79" s="165" t="s">
        <v>492</v>
      </c>
      <c r="E79" s="165" t="n">
        <f aca="false">SUMIF($R$40:$R$78,"&lt;&gt;KTO",E40:E78)</f>
        <v>0</v>
      </c>
      <c r="F79" s="165" t="n">
        <f aca="false">SUMIF($R$40:$R$78,"&lt;&gt;KTO",F40:F78)</f>
        <v>0</v>
      </c>
      <c r="G79" s="165" t="n">
        <f aca="false">SUMIF($R$40:$R$78,"&lt;&gt;KTO",G40:G78)</f>
        <v>0</v>
      </c>
      <c r="H79" s="165" t="n">
        <f aca="false">SUMIF($R$40:$R$78,"&lt;&gt;KTO",H40:H78)</f>
        <v>0</v>
      </c>
      <c r="I79" s="166" t="n">
        <f aca="false">SUMIF($R$40:$R$78,"&lt;&gt;KTO",I40:I78)</f>
        <v>0</v>
      </c>
      <c r="J79" s="167" t="n">
        <f aca="false">SUMIF($R$40:$R$78,"&lt;&gt;KTO",J40:J78)</f>
        <v>0</v>
      </c>
      <c r="K79" s="167" t="n">
        <f aca="false">SUMIF($R$40:$R$78,"&lt;&gt;KTO",K40:K78)</f>
        <v>0</v>
      </c>
      <c r="L79" s="167" t="n">
        <f aca="false">SUMIF($R$40:$R$78,"&lt;&gt;KTO",L40:L78)</f>
        <v>0</v>
      </c>
      <c r="M79" s="167" t="n">
        <f aca="false">SUMIF($R$40:$R$78,"&lt;&gt;KTO",M40:M78)</f>
        <v>0</v>
      </c>
    </row>
    <row r="80" customFormat="false" ht="11.25" hidden="false" customHeight="true" outlineLevel="0" collapsed="false">
      <c r="C80" s="51" t="s">
        <v>493</v>
      </c>
      <c r="D80" s="51" t="s">
        <v>494</v>
      </c>
      <c r="E80" s="159" t="n">
        <f aca="false">SUMIFS(Mastersheet!$F$2:$F$400,Mastersheet!$D$2:$D$400,$P80,Mastersheet!$C$2:$C$400,$Q80)/1000</f>
        <v>0</v>
      </c>
      <c r="F80" s="159" t="n">
        <f aca="false">SUMIFS(Mastersheet!$G$2:$G$400,Mastersheet!$D$2:$D$400,$P80,Mastersheet!$C$2:$C$400,$Q80)/1000</f>
        <v>0</v>
      </c>
      <c r="G80" s="159" t="n">
        <f aca="false">SUMIFS(Mastersheet!$H$2:$H$400,Mastersheet!$D$2:$D$400,$P80,Mastersheet!$C$2:$C$400,$Q80)/1000</f>
        <v>0</v>
      </c>
      <c r="H80" s="159" t="n">
        <f aca="false">SUMIFS(Mastersheet!$I$2:$I$400,Mastersheet!$D$2:$D$400,$P80,Mastersheet!$C$2:$C$400,$Q80)/1000</f>
        <v>0</v>
      </c>
      <c r="I80" s="160" t="n">
        <f aca="false">SUMIFS(Mastersheet!$J$2:$J$400,Mastersheet!$D$2:$D$400,$P80,Mastersheet!$C$2:$C$400,$Q80)/1000</f>
        <v>0</v>
      </c>
      <c r="J80" s="161" t="n">
        <f aca="false">SUMIFS(Mastersheet!$K$2:$K$400,Mastersheet!$D$2:$D$400,$P80,Mastersheet!$C$2:$C$400,$Q80)/1000</f>
        <v>0</v>
      </c>
      <c r="K80" s="161" t="n">
        <f aca="false">SUMIFS(Mastersheet!$L$2:$L$400,Mastersheet!$D$2:$D$400,$P80,Mastersheet!$C$2:$C$400,$Q80)/1000</f>
        <v>0</v>
      </c>
      <c r="L80" s="161" t="n">
        <f aca="false">SUMIFS(Mastersheet!$M$2:$M$400,Mastersheet!$D$2:$D$400,$P80,Mastersheet!$C$2:$C$400,$Q80)/1000</f>
        <v>0</v>
      </c>
      <c r="M80" s="161" t="n">
        <f aca="false">SUMIFS(Mastersheet!$N$2:$N$400,Mastersheet!$D$2:$D$400,$P80,Mastersheet!$C$2:$C$400,$Q80)/1000</f>
        <v>0</v>
      </c>
      <c r="P80" s="97" t="s">
        <v>495</v>
      </c>
      <c r="Q80" s="98" t="s">
        <v>496</v>
      </c>
      <c r="R80" s="98" t="s">
        <v>414</v>
      </c>
    </row>
    <row r="81" customFormat="false" ht="11.25" hidden="true" customHeight="true" outlineLevel="3" collapsed="false">
      <c r="C81" s="99"/>
      <c r="D81" s="99"/>
      <c r="E81" s="100" t="str">
        <f aca="false">IF($P$81="","",SUMIFS(Mastersheet!$F$2:$F$400,Mastersheet!$A$2:$A$400,$P$81)/1000)</f>
        <v/>
      </c>
      <c r="F81" s="100" t="str">
        <f aca="false">IF($P$81="","",SUMIFS(Mastersheet!$G$2:$G$400,Mastersheet!$A$2:$A$400,$P$81)/1000)</f>
        <v/>
      </c>
      <c r="G81" s="100" t="str">
        <f aca="false">IF($P$81="","",SUMIFS(Mastersheet!$H$2:$H$400,Mastersheet!$A$2:$A$400,$P$81)/1000)</f>
        <v/>
      </c>
      <c r="H81" s="100" t="str">
        <f aca="false">IF($P$81="","",SUMIFS(Mastersheet!$I$2:$I$400,Mastersheet!$A$2:$A$400,$P$81)/1000)</f>
        <v/>
      </c>
      <c r="I81" s="102" t="str">
        <f aca="false">IF($P$81="","",SUMIFS(Mastersheet!$J$2:$J$400,Mastersheet!$A$2:$A$400,$P$81)/1000)</f>
        <v/>
      </c>
      <c r="J81" s="103" t="str">
        <f aca="false">IF($P$81="","",SUMIFS(Mastersheet!$K$2:$K$400,Mastersheet!$A$2:$A$400,$P$81)/1000)</f>
        <v/>
      </c>
      <c r="K81" s="103" t="str">
        <f aca="false">IF($P$81="","",SUMIFS(Mastersheet!$L$2:$L$400,Mastersheet!$A$2:$A$400,$P$81)/1000)</f>
        <v/>
      </c>
      <c r="L81" s="103" t="str">
        <f aca="false">IF($P$81="","",SUMIFS(Mastersheet!$M$2:$M$400,Mastersheet!$A$2:$A$400,$P$81)/1000)</f>
        <v/>
      </c>
      <c r="M81" s="103" t="str">
        <f aca="false">IF($P$81="","",SUMIFS(Mastersheet!$N$2:$N$400,Mastersheet!$A$2:$A$400,$P$81)/1000)</f>
        <v/>
      </c>
      <c r="P81" s="97"/>
      <c r="Q81" s="104" t="s">
        <v>415</v>
      </c>
      <c r="R81" s="104" t="s">
        <v>416</v>
      </c>
    </row>
    <row r="82" customFormat="false" ht="11.25" hidden="true" customHeight="true" outlineLevel="3" collapsed="false">
      <c r="C82" s="99"/>
      <c r="D82" s="99"/>
      <c r="E82" s="100" t="str">
        <f aca="false">IF($P$82="","",SUMIFS(Mastersheet!$F$2:$F$400,Mastersheet!$A$2:$A$400,$P$82)/1000)</f>
        <v/>
      </c>
      <c r="F82" s="100" t="str">
        <f aca="false">IF($P$82="","",SUMIFS(Mastersheet!$G$2:$G$400,Mastersheet!$A$2:$A$400,$P$82)/1000)</f>
        <v/>
      </c>
      <c r="G82" s="100" t="str">
        <f aca="false">IF($P$82="","",SUMIFS(Mastersheet!$H$2:$H$400,Mastersheet!$A$2:$A$400,$P$82)/1000)</f>
        <v/>
      </c>
      <c r="H82" s="100" t="str">
        <f aca="false">IF($P$82="","",SUMIFS(Mastersheet!$I$2:$I$400,Mastersheet!$A$2:$A$400,$P$82)/1000)</f>
        <v/>
      </c>
      <c r="I82" s="102" t="str">
        <f aca="false">IF($P$82="","",SUMIFS(Mastersheet!$J$2:$J$400,Mastersheet!$A$2:$A$400,$P$82)/1000)</f>
        <v/>
      </c>
      <c r="J82" s="103" t="str">
        <f aca="false">IF($P$82="","",SUMIFS(Mastersheet!$K$2:$K$400,Mastersheet!$A$2:$A$400,$P$82)/1000)</f>
        <v/>
      </c>
      <c r="K82" s="103" t="str">
        <f aca="false">IF($P$82="","",SUMIFS(Mastersheet!$L$2:$L$400,Mastersheet!$A$2:$A$400,$P$82)/1000)</f>
        <v/>
      </c>
      <c r="L82" s="103" t="str">
        <f aca="false">IF($P$82="","",SUMIFS(Mastersheet!$M$2:$M$400,Mastersheet!$A$2:$A$400,$P$82)/1000)</f>
        <v/>
      </c>
      <c r="M82" s="103" t="str">
        <f aca="false">IF($P$82="","",SUMIFS(Mastersheet!$N$2:$N$400,Mastersheet!$A$2:$A$400,$P$82)/1000)</f>
        <v/>
      </c>
      <c r="P82" s="97"/>
      <c r="Q82" s="104" t="s">
        <v>415</v>
      </c>
      <c r="R82" s="104" t="s">
        <v>416</v>
      </c>
    </row>
    <row r="83" customFormat="false" ht="11.25" hidden="true" customHeight="true" outlineLevel="3" collapsed="false">
      <c r="C83" s="99"/>
      <c r="D83" s="99"/>
      <c r="E83" s="100" t="str">
        <f aca="false">IF($P$83="","",SUMIFS(Mastersheet!$F$2:$F$400,Mastersheet!$A$2:$A$400,$P$83)/1000)</f>
        <v/>
      </c>
      <c r="F83" s="100" t="str">
        <f aca="false">IF($P$83="","",SUMIFS(Mastersheet!$G$2:$G$400,Mastersheet!$A$2:$A$400,$P$83)/1000)</f>
        <v/>
      </c>
      <c r="G83" s="100" t="str">
        <f aca="false">IF($P$83="","",SUMIFS(Mastersheet!$H$2:$H$400,Mastersheet!$A$2:$A$400,$P$83)/1000)</f>
        <v/>
      </c>
      <c r="H83" s="100" t="str">
        <f aca="false">IF($P$83="","",SUMIFS(Mastersheet!$I$2:$I$400,Mastersheet!$A$2:$A$400,$P$83)/1000)</f>
        <v/>
      </c>
      <c r="I83" s="102" t="str">
        <f aca="false">IF($P$83="","",SUMIFS(Mastersheet!$J$2:$J$400,Mastersheet!$A$2:$A$400,$P$83)/1000)</f>
        <v/>
      </c>
      <c r="J83" s="103" t="str">
        <f aca="false">IF($P$83="","",SUMIFS(Mastersheet!$K$2:$K$400,Mastersheet!$A$2:$A$400,$P$83)/1000)</f>
        <v/>
      </c>
      <c r="K83" s="103" t="str">
        <f aca="false">IF($P$83="","",SUMIFS(Mastersheet!$L$2:$L$400,Mastersheet!$A$2:$A$400,$P$83)/1000)</f>
        <v/>
      </c>
      <c r="L83" s="103" t="str">
        <f aca="false">IF($P$83="","",SUMIFS(Mastersheet!$M$2:$M$400,Mastersheet!$A$2:$A$400,$P$83)/1000)</f>
        <v/>
      </c>
      <c r="M83" s="103" t="str">
        <f aca="false">IF($P$83="","",SUMIFS(Mastersheet!$N$2:$N$400,Mastersheet!$A$2:$A$400,$P$83)/1000)</f>
        <v/>
      </c>
      <c r="P83" s="97"/>
      <c r="Q83" s="104" t="s">
        <v>415</v>
      </c>
      <c r="R83" s="104" t="s">
        <v>416</v>
      </c>
    </row>
    <row r="84" customFormat="false" ht="11.25" hidden="true" customHeight="true" outlineLevel="3" collapsed="false">
      <c r="C84" s="99"/>
      <c r="D84" s="99"/>
      <c r="E84" s="100" t="str">
        <f aca="false">IF($P$84="","",SUMIFS(Mastersheet!$F$2:$F$400,Mastersheet!$A$2:$A$400,$P$84)/1000)</f>
        <v/>
      </c>
      <c r="F84" s="100" t="str">
        <f aca="false">IF($P$84="","",SUMIFS(Mastersheet!$G$2:$G$400,Mastersheet!$A$2:$A$400,$P$84)/1000)</f>
        <v/>
      </c>
      <c r="G84" s="100" t="str">
        <f aca="false">IF($P$84="","",SUMIFS(Mastersheet!$H$2:$H$400,Mastersheet!$A$2:$A$400,$P$84)/1000)</f>
        <v/>
      </c>
      <c r="H84" s="100" t="str">
        <f aca="false">IF($P$84="","",SUMIFS(Mastersheet!$I$2:$I$400,Mastersheet!$A$2:$A$400,$P$84)/1000)</f>
        <v/>
      </c>
      <c r="I84" s="102" t="str">
        <f aca="false">IF($P$84="","",SUMIFS(Mastersheet!$J$2:$J$400,Mastersheet!$A$2:$A$400,$P$84)/1000)</f>
        <v/>
      </c>
      <c r="J84" s="103" t="str">
        <f aca="false">IF($P$84="","",SUMIFS(Mastersheet!$K$2:$K$400,Mastersheet!$A$2:$A$400,$P$84)/1000)</f>
        <v/>
      </c>
      <c r="K84" s="103" t="str">
        <f aca="false">IF($P$84="","",SUMIFS(Mastersheet!$L$2:$L$400,Mastersheet!$A$2:$A$400,$P$84)/1000)</f>
        <v/>
      </c>
      <c r="L84" s="103" t="str">
        <f aca="false">IF($P$84="","",SUMIFS(Mastersheet!$M$2:$M$400,Mastersheet!$A$2:$A$400,$P$84)/1000)</f>
        <v/>
      </c>
      <c r="M84" s="103" t="str">
        <f aca="false">IF($P$84="","",SUMIFS(Mastersheet!$N$2:$N$400,Mastersheet!$A$2:$A$400,$P$84)/1000)</f>
        <v/>
      </c>
      <c r="P84" s="97"/>
      <c r="Q84" s="104" t="s">
        <v>415</v>
      </c>
      <c r="R84" s="104" t="s">
        <v>416</v>
      </c>
    </row>
    <row r="85" customFormat="false" ht="11.25" hidden="true" customHeight="true" outlineLevel="3" collapsed="false">
      <c r="C85" s="99"/>
      <c r="D85" s="99"/>
      <c r="E85" s="100" t="str">
        <f aca="false">IF($P$85="","",SUMIFS(Mastersheet!$F$2:$F$400,Mastersheet!$A$2:$A$400,$P$85)/1000)</f>
        <v/>
      </c>
      <c r="F85" s="100" t="str">
        <f aca="false">IF($P$85="","",SUMIFS(Mastersheet!$G$2:$G$400,Mastersheet!$A$2:$A$400,$P$85)/1000)</f>
        <v/>
      </c>
      <c r="G85" s="100" t="str">
        <f aca="false">IF($P$85="","",SUMIFS(Mastersheet!$H$2:$H$400,Mastersheet!$A$2:$A$400,$P$85)/1000)</f>
        <v/>
      </c>
      <c r="H85" s="100" t="str">
        <f aca="false">IF($P$85="","",SUMIFS(Mastersheet!$I$2:$I$400,Mastersheet!$A$2:$A$400,$P$85)/1000)</f>
        <v/>
      </c>
      <c r="I85" s="102" t="str">
        <f aca="false">IF($P$85="","",SUMIFS(Mastersheet!$J$2:$J$400,Mastersheet!$A$2:$A$400,$P$85)/1000)</f>
        <v/>
      </c>
      <c r="J85" s="103" t="str">
        <f aca="false">IF($P$85="","",SUMIFS(Mastersheet!$K$2:$K$400,Mastersheet!$A$2:$A$400,$P$85)/1000)</f>
        <v/>
      </c>
      <c r="K85" s="103" t="str">
        <f aca="false">IF($P$85="","",SUMIFS(Mastersheet!$L$2:$L$400,Mastersheet!$A$2:$A$400,$P$85)/1000)</f>
        <v/>
      </c>
      <c r="L85" s="103" t="str">
        <f aca="false">IF($P$85="","",SUMIFS(Mastersheet!$M$2:$M$400,Mastersheet!$A$2:$A$400,$P$85)/1000)</f>
        <v/>
      </c>
      <c r="M85" s="103" t="str">
        <f aca="false">IF($P$85="","",SUMIFS(Mastersheet!$N$2:$N$400,Mastersheet!$A$2:$A$400,$P$85)/1000)</f>
        <v/>
      </c>
      <c r="P85" s="97"/>
      <c r="Q85" s="104" t="s">
        <v>415</v>
      </c>
      <c r="R85" s="104" t="s">
        <v>416</v>
      </c>
    </row>
    <row r="86" customFormat="false" ht="11.25" hidden="true" customHeight="true" outlineLevel="3" collapsed="false">
      <c r="C86" s="99"/>
      <c r="D86" s="99"/>
      <c r="E86" s="100" t="str">
        <f aca="false">IF($P$86="","",SUMIFS(Mastersheet!$F$2:$F$400,Mastersheet!$A$2:$A$400,$P$86)/1000)</f>
        <v/>
      </c>
      <c r="F86" s="100" t="str">
        <f aca="false">IF($P$86="","",SUMIFS(Mastersheet!$G$2:$G$400,Mastersheet!$A$2:$A$400,$P$86)/1000)</f>
        <v/>
      </c>
      <c r="G86" s="100" t="str">
        <f aca="false">IF($P$86="","",SUMIFS(Mastersheet!$H$2:$H$400,Mastersheet!$A$2:$A$400,$P$86)/1000)</f>
        <v/>
      </c>
      <c r="H86" s="100" t="str">
        <f aca="false">IF($P$86="","",SUMIFS(Mastersheet!$I$2:$I$400,Mastersheet!$A$2:$A$400,$P$86)/1000)</f>
        <v/>
      </c>
      <c r="I86" s="102" t="str">
        <f aca="false">IF($P$86="","",SUMIFS(Mastersheet!$J$2:$J$400,Mastersheet!$A$2:$A$400,$P$86)/1000)</f>
        <v/>
      </c>
      <c r="J86" s="103" t="str">
        <f aca="false">IF($P$86="","",SUMIFS(Mastersheet!$K$2:$K$400,Mastersheet!$A$2:$A$400,$P$86)/1000)</f>
        <v/>
      </c>
      <c r="K86" s="103" t="str">
        <f aca="false">IF($P$86="","",SUMIFS(Mastersheet!$L$2:$L$400,Mastersheet!$A$2:$A$400,$P$86)/1000)</f>
        <v/>
      </c>
      <c r="L86" s="103" t="str">
        <f aca="false">IF($P$86="","",SUMIFS(Mastersheet!$M$2:$M$400,Mastersheet!$A$2:$A$400,$P$86)/1000)</f>
        <v/>
      </c>
      <c r="M86" s="103" t="str">
        <f aca="false">IF($P$86="","",SUMIFS(Mastersheet!$N$2:$N$400,Mastersheet!$A$2:$A$400,$P$86)/1000)</f>
        <v/>
      </c>
      <c r="P86" s="97"/>
      <c r="Q86" s="104" t="s">
        <v>415</v>
      </c>
      <c r="R86" s="104" t="s">
        <v>416</v>
      </c>
    </row>
    <row r="87" customFormat="false" ht="11.25" hidden="true" customHeight="true" outlineLevel="3" collapsed="false">
      <c r="C87" s="99"/>
      <c r="D87" s="99"/>
      <c r="E87" s="100" t="str">
        <f aca="false">IF($P$87="","",SUMIFS(Mastersheet!$F$2:$F$400,Mastersheet!$A$2:$A$400,$P$87)/1000)</f>
        <v/>
      </c>
      <c r="F87" s="100" t="str">
        <f aca="false">IF($P$87="","",SUMIFS(Mastersheet!$G$2:$G$400,Mastersheet!$A$2:$A$400,$P$87)/1000)</f>
        <v/>
      </c>
      <c r="G87" s="100" t="str">
        <f aca="false">IF($P$87="","",SUMIFS(Mastersheet!$H$2:$H$400,Mastersheet!$A$2:$A$400,$P$87)/1000)</f>
        <v/>
      </c>
      <c r="H87" s="100" t="str">
        <f aca="false">IF($P$87="","",SUMIFS(Mastersheet!$I$2:$I$400,Mastersheet!$A$2:$A$400,$P$87)/1000)</f>
        <v/>
      </c>
      <c r="I87" s="102" t="str">
        <f aca="false">IF($P$87="","",SUMIFS(Mastersheet!$J$2:$J$400,Mastersheet!$A$2:$A$400,$P$87)/1000)</f>
        <v/>
      </c>
      <c r="J87" s="103" t="str">
        <f aca="false">IF($P$87="","",SUMIFS(Mastersheet!$K$2:$K$400,Mastersheet!$A$2:$A$400,$P$87)/1000)</f>
        <v/>
      </c>
      <c r="K87" s="103" t="str">
        <f aca="false">IF($P$87="","",SUMIFS(Mastersheet!$L$2:$L$400,Mastersheet!$A$2:$A$400,$P$87)/1000)</f>
        <v/>
      </c>
      <c r="L87" s="103" t="str">
        <f aca="false">IF($P$87="","",SUMIFS(Mastersheet!$M$2:$M$400,Mastersheet!$A$2:$A$400,$P$87)/1000)</f>
        <v/>
      </c>
      <c r="M87" s="103" t="str">
        <f aca="false">IF($P$87="","",SUMIFS(Mastersheet!$N$2:$N$400,Mastersheet!$A$2:$A$400,$P$87)/1000)</f>
        <v/>
      </c>
      <c r="P87" s="97"/>
      <c r="Q87" s="104" t="s">
        <v>415</v>
      </c>
      <c r="R87" s="104" t="s">
        <v>416</v>
      </c>
    </row>
    <row r="88" customFormat="false" ht="11.25" hidden="true" customHeight="true" outlineLevel="3" collapsed="false">
      <c r="C88" s="99"/>
      <c r="D88" s="99"/>
      <c r="E88" s="100" t="str">
        <f aca="false">IF($P$88="","",SUMIFS(Mastersheet!$F$2:$F$400,Mastersheet!$A$2:$A$400,$P$88)/1000)</f>
        <v/>
      </c>
      <c r="F88" s="100" t="str">
        <f aca="false">IF($P$88="","",SUMIFS(Mastersheet!$G$2:$G$400,Mastersheet!$A$2:$A$400,$P$88)/1000)</f>
        <v/>
      </c>
      <c r="G88" s="100" t="str">
        <f aca="false">IF($P$88="","",SUMIFS(Mastersheet!$H$2:$H$400,Mastersheet!$A$2:$A$400,$P$88)/1000)</f>
        <v/>
      </c>
      <c r="H88" s="100" t="str">
        <f aca="false">IF($P$88="","",SUMIFS(Mastersheet!$I$2:$I$400,Mastersheet!$A$2:$A$400,$P$88)/1000)</f>
        <v/>
      </c>
      <c r="I88" s="102" t="str">
        <f aca="false">IF($P$88="","",SUMIFS(Mastersheet!$J$2:$J$400,Mastersheet!$A$2:$A$400,$P$88)/1000)</f>
        <v/>
      </c>
      <c r="J88" s="103" t="str">
        <f aca="false">IF($P$88="","",SUMIFS(Mastersheet!$K$2:$K$400,Mastersheet!$A$2:$A$400,$P$88)/1000)</f>
        <v/>
      </c>
      <c r="K88" s="103" t="str">
        <f aca="false">IF($P$88="","",SUMIFS(Mastersheet!$L$2:$L$400,Mastersheet!$A$2:$A$400,$P$88)/1000)</f>
        <v/>
      </c>
      <c r="L88" s="103" t="str">
        <f aca="false">IF($P$88="","",SUMIFS(Mastersheet!$M$2:$M$400,Mastersheet!$A$2:$A$400,$P$88)/1000)</f>
        <v/>
      </c>
      <c r="M88" s="103" t="str">
        <f aca="false">IF($P$88="","",SUMIFS(Mastersheet!$N$2:$N$400,Mastersheet!$A$2:$A$400,$P$88)/1000)</f>
        <v/>
      </c>
      <c r="P88" s="97"/>
      <c r="Q88" s="104" t="s">
        <v>415</v>
      </c>
      <c r="R88" s="104" t="s">
        <v>416</v>
      </c>
    </row>
    <row r="89" customFormat="false" ht="11.25" hidden="false" customHeight="true" outlineLevel="0" collapsed="false">
      <c r="C89" s="51" t="s">
        <v>497</v>
      </c>
      <c r="D89" s="51" t="s">
        <v>498</v>
      </c>
      <c r="E89" s="159" t="n">
        <f aca="false">SUMIFS(Mastersheet!$F$2:$F$400,Mastersheet!$D$2:$D$400,$P89,Mastersheet!$C$2:$C$400,$Q89)/1000</f>
        <v>0</v>
      </c>
      <c r="F89" s="159" t="n">
        <f aca="false">SUMIFS(Mastersheet!$G$2:$G$400,Mastersheet!$D$2:$D$400,$P89,Mastersheet!$C$2:$C$400,$Q89)/1000</f>
        <v>0</v>
      </c>
      <c r="G89" s="159" t="n">
        <f aca="false">SUMIFS(Mastersheet!$H$2:$H$400,Mastersheet!$D$2:$D$400,$P89,Mastersheet!$C$2:$C$400,$Q89)/1000</f>
        <v>0</v>
      </c>
      <c r="H89" s="159" t="n">
        <f aca="false">SUMIFS(Mastersheet!$I$2:$I$400,Mastersheet!$D$2:$D$400,$P89,Mastersheet!$C$2:$C$400,$Q89)/1000</f>
        <v>0</v>
      </c>
      <c r="I89" s="160" t="n">
        <f aca="false">SUMIFS(Mastersheet!$J$2:$J$400,Mastersheet!$D$2:$D$400,$P89,Mastersheet!$C$2:$C$400,$Q89)/1000</f>
        <v>0</v>
      </c>
      <c r="J89" s="161" t="n">
        <f aca="false">SUMIFS(Mastersheet!$K$2:$K$400,Mastersheet!$D$2:$D$400,$P89,Mastersheet!$C$2:$C$400,$Q89)/1000</f>
        <v>0</v>
      </c>
      <c r="K89" s="161" t="n">
        <f aca="false">SUMIFS(Mastersheet!$L$2:$L$400,Mastersheet!$D$2:$D$400,$P89,Mastersheet!$C$2:$C$400,$Q89)/1000</f>
        <v>0</v>
      </c>
      <c r="L89" s="161" t="n">
        <f aca="false">SUMIFS(Mastersheet!$M$2:$M$400,Mastersheet!$D$2:$D$400,$P89,Mastersheet!$C$2:$C$400,$Q89)/1000</f>
        <v>0</v>
      </c>
      <c r="M89" s="161" t="n">
        <f aca="false">SUMIFS(Mastersheet!$N$2:$N$400,Mastersheet!$D$2:$D$400,$P89,Mastersheet!$C$2:$C$400,$Q89)/1000</f>
        <v>0</v>
      </c>
      <c r="P89" s="97" t="s">
        <v>499</v>
      </c>
      <c r="Q89" s="98" t="s">
        <v>496</v>
      </c>
      <c r="R89" s="98" t="s">
        <v>414</v>
      </c>
    </row>
    <row r="90" customFormat="false" ht="11.25" hidden="true" customHeight="true" outlineLevel="3" collapsed="false">
      <c r="C90" s="99"/>
      <c r="D90" s="99"/>
      <c r="E90" s="100" t="str">
        <f aca="false">IF($P$90="","",SUMIFS(Mastersheet!$F$2:$F$400,Mastersheet!$A$2:$A$400,$P$90)/1000)</f>
        <v/>
      </c>
      <c r="F90" s="100" t="str">
        <f aca="false">IF($P$90="","",SUMIFS(Mastersheet!$G$2:$G$400,Mastersheet!$A$2:$A$400,$P$90)/1000)</f>
        <v/>
      </c>
      <c r="G90" s="100" t="str">
        <f aca="false">IF($P$90="","",SUMIFS(Mastersheet!$H$2:$H$400,Mastersheet!$A$2:$A$400,$P$90)/1000)</f>
        <v/>
      </c>
      <c r="H90" s="100" t="str">
        <f aca="false">IF($P$90="","",SUMIFS(Mastersheet!$I$2:$I$400,Mastersheet!$A$2:$A$400,$P$90)/1000)</f>
        <v/>
      </c>
      <c r="I90" s="102" t="str">
        <f aca="false">IF($P$90="","",SUMIFS(Mastersheet!$J$2:$J$400,Mastersheet!$A$2:$A$400,$P$90)/1000)</f>
        <v/>
      </c>
      <c r="J90" s="103" t="str">
        <f aca="false">IF($P$90="","",SUMIFS(Mastersheet!$K$2:$K$400,Mastersheet!$A$2:$A$400,$P$90)/1000)</f>
        <v/>
      </c>
      <c r="K90" s="103" t="str">
        <f aca="false">IF($P$90="","",SUMIFS(Mastersheet!$L$2:$L$400,Mastersheet!$A$2:$A$400,$P$90)/1000)</f>
        <v/>
      </c>
      <c r="L90" s="103" t="str">
        <f aca="false">IF($P$90="","",SUMIFS(Mastersheet!$M$2:$M$400,Mastersheet!$A$2:$A$400,$P$90)/1000)</f>
        <v/>
      </c>
      <c r="M90" s="103" t="str">
        <f aca="false">IF($P$90="","",SUMIFS(Mastersheet!$N$2:$N$400,Mastersheet!$A$2:$A$400,$P$90)/1000)</f>
        <v/>
      </c>
      <c r="P90" s="97"/>
      <c r="Q90" s="104" t="s">
        <v>415</v>
      </c>
      <c r="R90" s="104" t="s">
        <v>416</v>
      </c>
    </row>
    <row r="91" customFormat="false" ht="11.25" hidden="true" customHeight="true" outlineLevel="3" collapsed="false">
      <c r="C91" s="99"/>
      <c r="D91" s="99"/>
      <c r="E91" s="100" t="str">
        <f aca="false">IF($P$91="","",SUMIFS(Mastersheet!$F$2:$F$400,Mastersheet!$A$2:$A$400,$P$91)/1000)</f>
        <v/>
      </c>
      <c r="F91" s="100" t="str">
        <f aca="false">IF($P$91="","",SUMIFS(Mastersheet!$G$2:$G$400,Mastersheet!$A$2:$A$400,$P$91)/1000)</f>
        <v/>
      </c>
      <c r="G91" s="100" t="str">
        <f aca="false">IF($P$91="","",SUMIFS(Mastersheet!$H$2:$H$400,Mastersheet!$A$2:$A$400,$P$91)/1000)</f>
        <v/>
      </c>
      <c r="H91" s="100" t="str">
        <f aca="false">IF($P$91="","",SUMIFS(Mastersheet!$I$2:$I$400,Mastersheet!$A$2:$A$400,$P$91)/1000)</f>
        <v/>
      </c>
      <c r="I91" s="102" t="str">
        <f aca="false">IF($P$91="","",SUMIFS(Mastersheet!$J$2:$J$400,Mastersheet!$A$2:$A$400,$P$91)/1000)</f>
        <v/>
      </c>
      <c r="J91" s="103" t="str">
        <f aca="false">IF($P$91="","",SUMIFS(Mastersheet!$K$2:$K$400,Mastersheet!$A$2:$A$400,$P$91)/1000)</f>
        <v/>
      </c>
      <c r="K91" s="103" t="str">
        <f aca="false">IF($P$91="","",SUMIFS(Mastersheet!$L$2:$L$400,Mastersheet!$A$2:$A$400,$P$91)/1000)</f>
        <v/>
      </c>
      <c r="L91" s="103" t="str">
        <f aca="false">IF($P$91="","",SUMIFS(Mastersheet!$M$2:$M$400,Mastersheet!$A$2:$A$400,$P$91)/1000)</f>
        <v/>
      </c>
      <c r="M91" s="103" t="str">
        <f aca="false">IF($P$91="","",SUMIFS(Mastersheet!$N$2:$N$400,Mastersheet!$A$2:$A$400,$P$91)/1000)</f>
        <v/>
      </c>
      <c r="P91" s="97"/>
      <c r="Q91" s="104" t="s">
        <v>415</v>
      </c>
      <c r="R91" s="104" t="s">
        <v>416</v>
      </c>
    </row>
    <row r="92" customFormat="false" ht="11.25" hidden="true" customHeight="true" outlineLevel="3" collapsed="false">
      <c r="C92" s="99"/>
      <c r="D92" s="99"/>
      <c r="E92" s="100" t="str">
        <f aca="false">IF($P$92="","",SUMIFS(Mastersheet!$F$2:$F$400,Mastersheet!$A$2:$A$400,$P$92)/1000)</f>
        <v/>
      </c>
      <c r="F92" s="100" t="str">
        <f aca="false">IF($P$92="","",SUMIFS(Mastersheet!$G$2:$G$400,Mastersheet!$A$2:$A$400,$P$92)/1000)</f>
        <v/>
      </c>
      <c r="G92" s="100" t="str">
        <f aca="false">IF($P$92="","",SUMIFS(Mastersheet!$H$2:$H$400,Mastersheet!$A$2:$A$400,$P$92)/1000)</f>
        <v/>
      </c>
      <c r="H92" s="100" t="str">
        <f aca="false">IF($P$92="","",SUMIFS(Mastersheet!$I$2:$I$400,Mastersheet!$A$2:$A$400,$P$92)/1000)</f>
        <v/>
      </c>
      <c r="I92" s="102" t="str">
        <f aca="false">IF($P$92="","",SUMIFS(Mastersheet!$J$2:$J$400,Mastersheet!$A$2:$A$400,$P$92)/1000)</f>
        <v/>
      </c>
      <c r="J92" s="103" t="str">
        <f aca="false">IF($P$92="","",SUMIFS(Mastersheet!$K$2:$K$400,Mastersheet!$A$2:$A$400,$P$92)/1000)</f>
        <v/>
      </c>
      <c r="K92" s="103" t="str">
        <f aca="false">IF($P$92="","",SUMIFS(Mastersheet!$L$2:$L$400,Mastersheet!$A$2:$A$400,$P$92)/1000)</f>
        <v/>
      </c>
      <c r="L92" s="103" t="str">
        <f aca="false">IF($P$92="","",SUMIFS(Mastersheet!$M$2:$M$400,Mastersheet!$A$2:$A$400,$P$92)/1000)</f>
        <v/>
      </c>
      <c r="M92" s="103" t="str">
        <f aca="false">IF($P$92="","",SUMIFS(Mastersheet!$N$2:$N$400,Mastersheet!$A$2:$A$400,$P$92)/1000)</f>
        <v/>
      </c>
      <c r="P92" s="97"/>
      <c r="Q92" s="104" t="s">
        <v>415</v>
      </c>
      <c r="R92" s="104" t="s">
        <v>416</v>
      </c>
    </row>
    <row r="93" customFormat="false" ht="11.25" hidden="true" customHeight="true" outlineLevel="3" collapsed="false">
      <c r="C93" s="99"/>
      <c r="D93" s="99"/>
      <c r="E93" s="100" t="str">
        <f aca="false">IF($P$93="","",SUMIFS(Mastersheet!$F$2:$F$400,Mastersheet!$A$2:$A$400,$P$93)/1000)</f>
        <v/>
      </c>
      <c r="F93" s="100" t="str">
        <f aca="false">IF($P$93="","",SUMIFS(Mastersheet!$G$2:$G$400,Mastersheet!$A$2:$A$400,$P$93)/1000)</f>
        <v/>
      </c>
      <c r="G93" s="100" t="str">
        <f aca="false">IF($P$93="","",SUMIFS(Mastersheet!$H$2:$H$400,Mastersheet!$A$2:$A$400,$P$93)/1000)</f>
        <v/>
      </c>
      <c r="H93" s="100" t="str">
        <f aca="false">IF($P$93="","",SUMIFS(Mastersheet!$I$2:$I$400,Mastersheet!$A$2:$A$400,$P$93)/1000)</f>
        <v/>
      </c>
      <c r="I93" s="102" t="str">
        <f aca="false">IF($P$93="","",SUMIFS(Mastersheet!$J$2:$J$400,Mastersheet!$A$2:$A$400,$P$93)/1000)</f>
        <v/>
      </c>
      <c r="J93" s="103" t="str">
        <f aca="false">IF($P$93="","",SUMIFS(Mastersheet!$K$2:$K$400,Mastersheet!$A$2:$A$400,$P$93)/1000)</f>
        <v/>
      </c>
      <c r="K93" s="103" t="str">
        <f aca="false">IF($P$93="","",SUMIFS(Mastersheet!$L$2:$L$400,Mastersheet!$A$2:$A$400,$P$93)/1000)</f>
        <v/>
      </c>
      <c r="L93" s="103" t="str">
        <f aca="false">IF($P$93="","",SUMIFS(Mastersheet!$M$2:$M$400,Mastersheet!$A$2:$A$400,$P$93)/1000)</f>
        <v/>
      </c>
      <c r="M93" s="103" t="str">
        <f aca="false">IF($P$93="","",SUMIFS(Mastersheet!$N$2:$N$400,Mastersheet!$A$2:$A$400,$P$93)/1000)</f>
        <v/>
      </c>
      <c r="P93" s="97"/>
      <c r="Q93" s="104" t="s">
        <v>415</v>
      </c>
      <c r="R93" s="104" t="s">
        <v>416</v>
      </c>
    </row>
    <row r="94" customFormat="false" ht="11.25" hidden="true" customHeight="true" outlineLevel="3" collapsed="false">
      <c r="C94" s="99"/>
      <c r="D94" s="99"/>
      <c r="E94" s="100" t="str">
        <f aca="false">IF($P$94="","",SUMIFS(Mastersheet!$F$2:$F$400,Mastersheet!$A$2:$A$400,$P$94)/1000)</f>
        <v/>
      </c>
      <c r="F94" s="100" t="str">
        <f aca="false">IF($P$94="","",SUMIFS(Mastersheet!$G$2:$G$400,Mastersheet!$A$2:$A$400,$P$94)/1000)</f>
        <v/>
      </c>
      <c r="G94" s="100" t="str">
        <f aca="false">IF($P$94="","",SUMIFS(Mastersheet!$H$2:$H$400,Mastersheet!$A$2:$A$400,$P$94)/1000)</f>
        <v/>
      </c>
      <c r="H94" s="100" t="str">
        <f aca="false">IF($P$94="","",SUMIFS(Mastersheet!$I$2:$I$400,Mastersheet!$A$2:$A$400,$P$94)/1000)</f>
        <v/>
      </c>
      <c r="I94" s="102" t="str">
        <f aca="false">IF($P$94="","",SUMIFS(Mastersheet!$J$2:$J$400,Mastersheet!$A$2:$A$400,$P$94)/1000)</f>
        <v/>
      </c>
      <c r="J94" s="103" t="str">
        <f aca="false">IF($P$94="","",SUMIFS(Mastersheet!$K$2:$K$400,Mastersheet!$A$2:$A$400,$P$94)/1000)</f>
        <v/>
      </c>
      <c r="K94" s="103" t="str">
        <f aca="false">IF($P$94="","",SUMIFS(Mastersheet!$L$2:$L$400,Mastersheet!$A$2:$A$400,$P$94)/1000)</f>
        <v/>
      </c>
      <c r="L94" s="103" t="str">
        <f aca="false">IF($P$94="","",SUMIFS(Mastersheet!$M$2:$M$400,Mastersheet!$A$2:$A$400,$P$94)/1000)</f>
        <v/>
      </c>
      <c r="M94" s="103" t="str">
        <f aca="false">IF($P$94="","",SUMIFS(Mastersheet!$N$2:$N$400,Mastersheet!$A$2:$A$400,$P$94)/1000)</f>
        <v/>
      </c>
      <c r="P94" s="97"/>
      <c r="Q94" s="104" t="s">
        <v>415</v>
      </c>
      <c r="R94" s="104" t="s">
        <v>416</v>
      </c>
    </row>
    <row r="95" customFormat="false" ht="11.25" hidden="true" customHeight="true" outlineLevel="3" collapsed="false">
      <c r="C95" s="99"/>
      <c r="D95" s="99"/>
      <c r="E95" s="100" t="str">
        <f aca="false">IF($P$95="","",SUMIFS(Mastersheet!$F$2:$F$400,Mastersheet!$A$2:$A$400,$P$95)/1000)</f>
        <v/>
      </c>
      <c r="F95" s="100" t="str">
        <f aca="false">IF($P$95="","",SUMIFS(Mastersheet!$G$2:$G$400,Mastersheet!$A$2:$A$400,$P$95)/1000)</f>
        <v/>
      </c>
      <c r="G95" s="100" t="str">
        <f aca="false">IF($P$95="","",SUMIFS(Mastersheet!$H$2:$H$400,Mastersheet!$A$2:$A$400,$P$95)/1000)</f>
        <v/>
      </c>
      <c r="H95" s="100" t="str">
        <f aca="false">IF($P$95="","",SUMIFS(Mastersheet!$I$2:$I$400,Mastersheet!$A$2:$A$400,$P$95)/1000)</f>
        <v/>
      </c>
      <c r="I95" s="102" t="str">
        <f aca="false">IF($P$95="","",SUMIFS(Mastersheet!$J$2:$J$400,Mastersheet!$A$2:$A$400,$P$95)/1000)</f>
        <v/>
      </c>
      <c r="J95" s="103" t="str">
        <f aca="false">IF($P$95="","",SUMIFS(Mastersheet!$K$2:$K$400,Mastersheet!$A$2:$A$400,$P$95)/1000)</f>
        <v/>
      </c>
      <c r="K95" s="103" t="str">
        <f aca="false">IF($P$95="","",SUMIFS(Mastersheet!$L$2:$L$400,Mastersheet!$A$2:$A$400,$P$95)/1000)</f>
        <v/>
      </c>
      <c r="L95" s="103" t="str">
        <f aca="false">IF($P$95="","",SUMIFS(Mastersheet!$M$2:$M$400,Mastersheet!$A$2:$A$400,$P$95)/1000)</f>
        <v/>
      </c>
      <c r="M95" s="103" t="str">
        <f aca="false">IF($P$95="","",SUMIFS(Mastersheet!$N$2:$N$400,Mastersheet!$A$2:$A$400,$P$95)/1000)</f>
        <v/>
      </c>
      <c r="P95" s="97"/>
      <c r="Q95" s="104" t="s">
        <v>415</v>
      </c>
      <c r="R95" s="104" t="s">
        <v>416</v>
      </c>
    </row>
    <row r="96" customFormat="false" ht="11.25" hidden="true" customHeight="true" outlineLevel="3" collapsed="false">
      <c r="C96" s="99"/>
      <c r="D96" s="99"/>
      <c r="E96" s="100" t="str">
        <f aca="false">IF($P$96="","",SUMIFS(Mastersheet!$F$2:$F$400,Mastersheet!$A$2:$A$400,$P$96)/1000)</f>
        <v/>
      </c>
      <c r="F96" s="100" t="str">
        <f aca="false">IF($P$96="","",SUMIFS(Mastersheet!$G$2:$G$400,Mastersheet!$A$2:$A$400,$P$96)/1000)</f>
        <v/>
      </c>
      <c r="G96" s="100" t="str">
        <f aca="false">IF($P$96="","",SUMIFS(Mastersheet!$H$2:$H$400,Mastersheet!$A$2:$A$400,$P$96)/1000)</f>
        <v/>
      </c>
      <c r="H96" s="100" t="str">
        <f aca="false">IF($P$96="","",SUMIFS(Mastersheet!$I$2:$I$400,Mastersheet!$A$2:$A$400,$P$96)/1000)</f>
        <v/>
      </c>
      <c r="I96" s="102" t="str">
        <f aca="false">IF($P$96="","",SUMIFS(Mastersheet!$J$2:$J$400,Mastersheet!$A$2:$A$400,$P$96)/1000)</f>
        <v/>
      </c>
      <c r="J96" s="103" t="str">
        <f aca="false">IF($P$96="","",SUMIFS(Mastersheet!$K$2:$K$400,Mastersheet!$A$2:$A$400,$P$96)/1000)</f>
        <v/>
      </c>
      <c r="K96" s="103" t="str">
        <f aca="false">IF($P$96="","",SUMIFS(Mastersheet!$L$2:$L$400,Mastersheet!$A$2:$A$400,$P$96)/1000)</f>
        <v/>
      </c>
      <c r="L96" s="103" t="str">
        <f aca="false">IF($P$96="","",SUMIFS(Mastersheet!$M$2:$M$400,Mastersheet!$A$2:$A$400,$P$96)/1000)</f>
        <v/>
      </c>
      <c r="M96" s="103" t="str">
        <f aca="false">IF($P$96="","",SUMIFS(Mastersheet!$N$2:$N$400,Mastersheet!$A$2:$A$400,$P$96)/1000)</f>
        <v/>
      </c>
      <c r="P96" s="97"/>
      <c r="Q96" s="104" t="s">
        <v>415</v>
      </c>
      <c r="R96" s="104" t="s">
        <v>416</v>
      </c>
    </row>
    <row r="97" customFormat="false" ht="11.25" hidden="true" customHeight="true" outlineLevel="3" collapsed="false">
      <c r="C97" s="99"/>
      <c r="D97" s="99"/>
      <c r="E97" s="100" t="str">
        <f aca="false">IF($P$97="","",SUMIFS(Mastersheet!$F$2:$F$400,Mastersheet!$A$2:$A$400,$P$97)/1000)</f>
        <v/>
      </c>
      <c r="F97" s="100" t="str">
        <f aca="false">IF($P$97="","",SUMIFS(Mastersheet!$G$2:$G$400,Mastersheet!$A$2:$A$400,$P$97)/1000)</f>
        <v/>
      </c>
      <c r="G97" s="100" t="str">
        <f aca="false">IF($P$97="","",SUMIFS(Mastersheet!$H$2:$H$400,Mastersheet!$A$2:$A$400,$P$97)/1000)</f>
        <v/>
      </c>
      <c r="H97" s="100" t="str">
        <f aca="false">IF($P$97="","",SUMIFS(Mastersheet!$I$2:$I$400,Mastersheet!$A$2:$A$400,$P$97)/1000)</f>
        <v/>
      </c>
      <c r="I97" s="102" t="str">
        <f aca="false">IF($P$97="","",SUMIFS(Mastersheet!$J$2:$J$400,Mastersheet!$A$2:$A$400,$P$97)/1000)</f>
        <v/>
      </c>
      <c r="J97" s="103" t="str">
        <f aca="false">IF($P$97="","",SUMIFS(Mastersheet!$K$2:$K$400,Mastersheet!$A$2:$A$400,$P$97)/1000)</f>
        <v/>
      </c>
      <c r="K97" s="103" t="str">
        <f aca="false">IF($P$97="","",SUMIFS(Mastersheet!$L$2:$L$400,Mastersheet!$A$2:$A$400,$P$97)/1000)</f>
        <v/>
      </c>
      <c r="L97" s="103" t="str">
        <f aca="false">IF($P$97="","",SUMIFS(Mastersheet!$M$2:$M$400,Mastersheet!$A$2:$A$400,$P$97)/1000)</f>
        <v/>
      </c>
      <c r="M97" s="103" t="str">
        <f aca="false">IF($P$97="","",SUMIFS(Mastersheet!$N$2:$N$400,Mastersheet!$A$2:$A$400,$P$97)/1000)</f>
        <v/>
      </c>
      <c r="P97" s="97"/>
      <c r="Q97" s="104" t="s">
        <v>415</v>
      </c>
      <c r="R97" s="104" t="s">
        <v>416</v>
      </c>
    </row>
    <row r="98" customFormat="false" ht="11.25" hidden="false" customHeight="true" outlineLevel="0" collapsed="false">
      <c r="C98" s="51" t="s">
        <v>500</v>
      </c>
      <c r="D98" s="51" t="s">
        <v>501</v>
      </c>
      <c r="E98" s="159" t="n">
        <f aca="false">SUMIFS(Mastersheet!$F$2:$F$400,Mastersheet!$D$2:$D$400,$P98,Mastersheet!$C$2:$C$400,$Q98)/1000</f>
        <v>0</v>
      </c>
      <c r="F98" s="159" t="n">
        <f aca="false">SUMIFS(Mastersheet!$G$2:$G$400,Mastersheet!$D$2:$D$400,$P98,Mastersheet!$C$2:$C$400,$Q98)/1000</f>
        <v>0</v>
      </c>
      <c r="G98" s="159" t="n">
        <f aca="false">SUMIFS(Mastersheet!$H$2:$H$400,Mastersheet!$D$2:$D$400,$P98,Mastersheet!$C$2:$C$400,$Q98)/1000</f>
        <v>0</v>
      </c>
      <c r="H98" s="159" t="n">
        <f aca="false">SUMIFS(Mastersheet!$I$2:$I$400,Mastersheet!$D$2:$D$400,$P98,Mastersheet!$C$2:$C$400,$Q98)/1000</f>
        <v>0</v>
      </c>
      <c r="I98" s="160" t="n">
        <f aca="false">SUMIFS(Mastersheet!$J$2:$J$400,Mastersheet!$D$2:$D$400,$P98,Mastersheet!$C$2:$C$400,$Q98)/1000</f>
        <v>0</v>
      </c>
      <c r="J98" s="161" t="n">
        <f aca="false">SUMIFS(Mastersheet!$K$2:$K$400,Mastersheet!$D$2:$D$400,$P98,Mastersheet!$C$2:$C$400,$Q98)/1000</f>
        <v>0</v>
      </c>
      <c r="K98" s="161" t="n">
        <f aca="false">SUMIFS(Mastersheet!$L$2:$L$400,Mastersheet!$D$2:$D$400,$P98,Mastersheet!$C$2:$C$400,$Q98)/1000</f>
        <v>0</v>
      </c>
      <c r="L98" s="161" t="n">
        <f aca="false">SUMIFS(Mastersheet!$M$2:$M$400,Mastersheet!$D$2:$D$400,$P98,Mastersheet!$C$2:$C$400,$Q98)/1000</f>
        <v>0</v>
      </c>
      <c r="M98" s="161" t="n">
        <f aca="false">SUMIFS(Mastersheet!$N$2:$N$400,Mastersheet!$D$2:$D$400,$P98,Mastersheet!$C$2:$C$400,$Q98)/1000</f>
        <v>0</v>
      </c>
      <c r="P98" s="97" t="s">
        <v>502</v>
      </c>
      <c r="Q98" s="98" t="s">
        <v>496</v>
      </c>
      <c r="R98" s="98" t="s">
        <v>414</v>
      </c>
    </row>
    <row r="99" customFormat="false" ht="11.25" hidden="true" customHeight="true" outlineLevel="3" collapsed="false">
      <c r="C99" s="99"/>
      <c r="D99" s="99"/>
      <c r="E99" s="100" t="str">
        <f aca="false">IF($P$99="","",SUMIFS(Mastersheet!$F$2:$F$400,Mastersheet!$A$2:$A$400,$P$99)/1000)</f>
        <v/>
      </c>
      <c r="F99" s="100" t="str">
        <f aca="false">IF($P$99="","",SUMIFS(Mastersheet!$G$2:$G$400,Mastersheet!$A$2:$A$400,$P$99)/1000)</f>
        <v/>
      </c>
      <c r="G99" s="100" t="str">
        <f aca="false">IF($P$99="","",SUMIFS(Mastersheet!$H$2:$H$400,Mastersheet!$A$2:$A$400,$P$99)/1000)</f>
        <v/>
      </c>
      <c r="H99" s="100" t="str">
        <f aca="false">IF($P$99="","",SUMIFS(Mastersheet!$I$2:$I$400,Mastersheet!$A$2:$A$400,$P$99)/1000)</f>
        <v/>
      </c>
      <c r="I99" s="102" t="str">
        <f aca="false">IF($P$99="","",SUMIFS(Mastersheet!$J$2:$J$400,Mastersheet!$A$2:$A$400,$P$99)/1000)</f>
        <v/>
      </c>
      <c r="J99" s="103" t="str">
        <f aca="false">IF($P$99="","",SUMIFS(Mastersheet!$K$2:$K$400,Mastersheet!$A$2:$A$400,$P$99)/1000)</f>
        <v/>
      </c>
      <c r="K99" s="103" t="str">
        <f aca="false">IF($P$99="","",SUMIFS(Mastersheet!$L$2:$L$400,Mastersheet!$A$2:$A$400,$P$99)/1000)</f>
        <v/>
      </c>
      <c r="L99" s="103" t="str">
        <f aca="false">IF($P$99="","",SUMIFS(Mastersheet!$M$2:$M$400,Mastersheet!$A$2:$A$400,$P$99)/1000)</f>
        <v/>
      </c>
      <c r="M99" s="103" t="str">
        <f aca="false">IF($P$99="","",SUMIFS(Mastersheet!$N$2:$N$400,Mastersheet!$A$2:$A$400,$P$99)/1000)</f>
        <v/>
      </c>
      <c r="P99" s="97"/>
      <c r="Q99" s="104" t="s">
        <v>415</v>
      </c>
      <c r="R99" s="104" t="s">
        <v>416</v>
      </c>
    </row>
    <row r="100" customFormat="false" ht="11.25" hidden="true" customHeight="true" outlineLevel="3" collapsed="false">
      <c r="C100" s="99"/>
      <c r="D100" s="99"/>
      <c r="E100" s="100" t="str">
        <f aca="false">IF($P$100="","",SUMIFS(Mastersheet!$F$2:$F$400,Mastersheet!$A$2:$A$400,$P$100)/1000)</f>
        <v/>
      </c>
      <c r="F100" s="100" t="str">
        <f aca="false">IF($P$100="","",SUMIFS(Mastersheet!$G$2:$G$400,Mastersheet!$A$2:$A$400,$P$100)/1000)</f>
        <v/>
      </c>
      <c r="G100" s="100" t="str">
        <f aca="false">IF($P$100="","",SUMIFS(Mastersheet!$H$2:$H$400,Mastersheet!$A$2:$A$400,$P$100)/1000)</f>
        <v/>
      </c>
      <c r="H100" s="100" t="str">
        <f aca="false">IF($P$100="","",SUMIFS(Mastersheet!$I$2:$I$400,Mastersheet!$A$2:$A$400,$P$100)/1000)</f>
        <v/>
      </c>
      <c r="I100" s="102" t="str">
        <f aca="false">IF($P$100="","",SUMIFS(Mastersheet!$J$2:$J$400,Mastersheet!$A$2:$A$400,$P$100)/1000)</f>
        <v/>
      </c>
      <c r="J100" s="103" t="str">
        <f aca="false">IF($P$100="","",SUMIFS(Mastersheet!$K$2:$K$400,Mastersheet!$A$2:$A$400,$P$100)/1000)</f>
        <v/>
      </c>
      <c r="K100" s="103" t="str">
        <f aca="false">IF($P$100="","",SUMIFS(Mastersheet!$L$2:$L$400,Mastersheet!$A$2:$A$400,$P$100)/1000)</f>
        <v/>
      </c>
      <c r="L100" s="103" t="str">
        <f aca="false">IF($P$100="","",SUMIFS(Mastersheet!$M$2:$M$400,Mastersheet!$A$2:$A$400,$P$100)/1000)</f>
        <v/>
      </c>
      <c r="M100" s="103" t="str">
        <f aca="false">IF($P$100="","",SUMIFS(Mastersheet!$N$2:$N$400,Mastersheet!$A$2:$A$400,$P$100)/1000)</f>
        <v/>
      </c>
      <c r="P100" s="97"/>
      <c r="Q100" s="104" t="s">
        <v>415</v>
      </c>
      <c r="R100" s="104" t="s">
        <v>416</v>
      </c>
    </row>
    <row r="101" customFormat="false" ht="11.25" hidden="true" customHeight="true" outlineLevel="3" collapsed="false">
      <c r="C101" s="99"/>
      <c r="D101" s="99"/>
      <c r="E101" s="100" t="str">
        <f aca="false">IF($P$101="","",SUMIFS(Mastersheet!$F$2:$F$400,Mastersheet!$A$2:$A$400,$P$101)/1000)</f>
        <v/>
      </c>
      <c r="F101" s="100" t="str">
        <f aca="false">IF($P$101="","",SUMIFS(Mastersheet!$G$2:$G$400,Mastersheet!$A$2:$A$400,$P$101)/1000)</f>
        <v/>
      </c>
      <c r="G101" s="100" t="str">
        <f aca="false">IF($P$101="","",SUMIFS(Mastersheet!$H$2:$H$400,Mastersheet!$A$2:$A$400,$P$101)/1000)</f>
        <v/>
      </c>
      <c r="H101" s="100" t="str">
        <f aca="false">IF($P$101="","",SUMIFS(Mastersheet!$I$2:$I$400,Mastersheet!$A$2:$A$400,$P$101)/1000)</f>
        <v/>
      </c>
      <c r="I101" s="102" t="str">
        <f aca="false">IF($P$101="","",SUMIFS(Mastersheet!$J$2:$J$400,Mastersheet!$A$2:$A$400,$P$101)/1000)</f>
        <v/>
      </c>
      <c r="J101" s="103" t="str">
        <f aca="false">IF($P$101="","",SUMIFS(Mastersheet!$K$2:$K$400,Mastersheet!$A$2:$A$400,$P$101)/1000)</f>
        <v/>
      </c>
      <c r="K101" s="103" t="str">
        <f aca="false">IF($P$101="","",SUMIFS(Mastersheet!$L$2:$L$400,Mastersheet!$A$2:$A$400,$P$101)/1000)</f>
        <v/>
      </c>
      <c r="L101" s="103" t="str">
        <f aca="false">IF($P$101="","",SUMIFS(Mastersheet!$M$2:$M$400,Mastersheet!$A$2:$A$400,$P$101)/1000)</f>
        <v/>
      </c>
      <c r="M101" s="103" t="str">
        <f aca="false">IF($P$101="","",SUMIFS(Mastersheet!$N$2:$N$400,Mastersheet!$A$2:$A$400,$P$101)/1000)</f>
        <v/>
      </c>
      <c r="P101" s="97"/>
      <c r="Q101" s="104" t="s">
        <v>415</v>
      </c>
      <c r="R101" s="104" t="s">
        <v>416</v>
      </c>
    </row>
    <row r="102" customFormat="false" ht="11.25" hidden="true" customHeight="true" outlineLevel="3" collapsed="false">
      <c r="C102" s="99"/>
      <c r="D102" s="99"/>
      <c r="E102" s="100" t="str">
        <f aca="false">IF($P$102="","",SUMIFS(Mastersheet!$F$2:$F$400,Mastersheet!$A$2:$A$400,$P$102)/1000)</f>
        <v/>
      </c>
      <c r="F102" s="100" t="str">
        <f aca="false">IF($P$102="","",SUMIFS(Mastersheet!$G$2:$G$400,Mastersheet!$A$2:$A$400,$P$102)/1000)</f>
        <v/>
      </c>
      <c r="G102" s="100" t="str">
        <f aca="false">IF($P$102="","",SUMIFS(Mastersheet!$H$2:$H$400,Mastersheet!$A$2:$A$400,$P$102)/1000)</f>
        <v/>
      </c>
      <c r="H102" s="100" t="str">
        <f aca="false">IF($P$102="","",SUMIFS(Mastersheet!$I$2:$I$400,Mastersheet!$A$2:$A$400,$P$102)/1000)</f>
        <v/>
      </c>
      <c r="I102" s="102" t="str">
        <f aca="false">IF($P$102="","",SUMIFS(Mastersheet!$J$2:$J$400,Mastersheet!$A$2:$A$400,$P$102)/1000)</f>
        <v/>
      </c>
      <c r="J102" s="103" t="str">
        <f aca="false">IF($P$102="","",SUMIFS(Mastersheet!$K$2:$K$400,Mastersheet!$A$2:$A$400,$P$102)/1000)</f>
        <v/>
      </c>
      <c r="K102" s="103" t="str">
        <f aca="false">IF($P$102="","",SUMIFS(Mastersheet!$L$2:$L$400,Mastersheet!$A$2:$A$400,$P$102)/1000)</f>
        <v/>
      </c>
      <c r="L102" s="103" t="str">
        <f aca="false">IF($P$102="","",SUMIFS(Mastersheet!$M$2:$M$400,Mastersheet!$A$2:$A$400,$P$102)/1000)</f>
        <v/>
      </c>
      <c r="M102" s="103" t="str">
        <f aca="false">IF($P$102="","",SUMIFS(Mastersheet!$N$2:$N$400,Mastersheet!$A$2:$A$400,$P$102)/1000)</f>
        <v/>
      </c>
      <c r="P102" s="97"/>
      <c r="Q102" s="104" t="s">
        <v>415</v>
      </c>
      <c r="R102" s="104" t="s">
        <v>416</v>
      </c>
    </row>
    <row r="103" customFormat="false" ht="11.25" hidden="true" customHeight="true" outlineLevel="3" collapsed="false">
      <c r="C103" s="99"/>
      <c r="D103" s="99"/>
      <c r="E103" s="100" t="str">
        <f aca="false">IF($P$103="","",SUMIFS(Mastersheet!$F$2:$F$400,Mastersheet!$A$2:$A$400,$P$103)/1000)</f>
        <v/>
      </c>
      <c r="F103" s="100" t="str">
        <f aca="false">IF($P$103="","",SUMIFS(Mastersheet!$G$2:$G$400,Mastersheet!$A$2:$A$400,$P$103)/1000)</f>
        <v/>
      </c>
      <c r="G103" s="100" t="str">
        <f aca="false">IF($P$103="","",SUMIFS(Mastersheet!$H$2:$H$400,Mastersheet!$A$2:$A$400,$P$103)/1000)</f>
        <v/>
      </c>
      <c r="H103" s="100" t="str">
        <f aca="false">IF($P$103="","",SUMIFS(Mastersheet!$I$2:$I$400,Mastersheet!$A$2:$A$400,$P$103)/1000)</f>
        <v/>
      </c>
      <c r="I103" s="102" t="str">
        <f aca="false">IF($P$103="","",SUMIFS(Mastersheet!$J$2:$J$400,Mastersheet!$A$2:$A$400,$P$103)/1000)</f>
        <v/>
      </c>
      <c r="J103" s="103" t="str">
        <f aca="false">IF($P$103="","",SUMIFS(Mastersheet!$K$2:$K$400,Mastersheet!$A$2:$A$400,$P$103)/1000)</f>
        <v/>
      </c>
      <c r="K103" s="103" t="str">
        <f aca="false">IF($P$103="","",SUMIFS(Mastersheet!$L$2:$L$400,Mastersheet!$A$2:$A$400,$P$103)/1000)</f>
        <v/>
      </c>
      <c r="L103" s="103" t="str">
        <f aca="false">IF($P$103="","",SUMIFS(Mastersheet!$M$2:$M$400,Mastersheet!$A$2:$A$400,$P$103)/1000)</f>
        <v/>
      </c>
      <c r="M103" s="103" t="str">
        <f aca="false">IF($P$103="","",SUMIFS(Mastersheet!$N$2:$N$400,Mastersheet!$A$2:$A$400,$P$103)/1000)</f>
        <v/>
      </c>
      <c r="P103" s="97"/>
      <c r="Q103" s="104" t="s">
        <v>415</v>
      </c>
      <c r="R103" s="104" t="s">
        <v>416</v>
      </c>
    </row>
    <row r="104" customFormat="false" ht="11.25" hidden="true" customHeight="true" outlineLevel="3" collapsed="false">
      <c r="C104" s="99"/>
      <c r="D104" s="99"/>
      <c r="E104" s="100" t="str">
        <f aca="false">IF($P$104="","",SUMIFS(Mastersheet!$F$2:$F$400,Mastersheet!$A$2:$A$400,$P$104)/1000)</f>
        <v/>
      </c>
      <c r="F104" s="100" t="str">
        <f aca="false">IF($P$104="","",SUMIFS(Mastersheet!$G$2:$G$400,Mastersheet!$A$2:$A$400,$P$104)/1000)</f>
        <v/>
      </c>
      <c r="G104" s="100" t="str">
        <f aca="false">IF($P$104="","",SUMIFS(Mastersheet!$H$2:$H$400,Mastersheet!$A$2:$A$400,$P$104)/1000)</f>
        <v/>
      </c>
      <c r="H104" s="100" t="str">
        <f aca="false">IF($P$104="","",SUMIFS(Mastersheet!$I$2:$I$400,Mastersheet!$A$2:$A$400,$P$104)/1000)</f>
        <v/>
      </c>
      <c r="I104" s="102" t="str">
        <f aca="false">IF($P$104="","",SUMIFS(Mastersheet!$J$2:$J$400,Mastersheet!$A$2:$A$400,$P$104)/1000)</f>
        <v/>
      </c>
      <c r="J104" s="103" t="str">
        <f aca="false">IF($P$104="","",SUMIFS(Mastersheet!$K$2:$K$400,Mastersheet!$A$2:$A$400,$P$104)/1000)</f>
        <v/>
      </c>
      <c r="K104" s="103" t="str">
        <f aca="false">IF($P$104="","",SUMIFS(Mastersheet!$L$2:$L$400,Mastersheet!$A$2:$A$400,$P$104)/1000)</f>
        <v/>
      </c>
      <c r="L104" s="103" t="str">
        <f aca="false">IF($P$104="","",SUMIFS(Mastersheet!$M$2:$M$400,Mastersheet!$A$2:$A$400,$P$104)/1000)</f>
        <v/>
      </c>
      <c r="M104" s="103" t="str">
        <f aca="false">IF($P$104="","",SUMIFS(Mastersheet!$N$2:$N$400,Mastersheet!$A$2:$A$400,$P$104)/1000)</f>
        <v/>
      </c>
      <c r="P104" s="97"/>
      <c r="Q104" s="104" t="s">
        <v>415</v>
      </c>
      <c r="R104" s="104" t="s">
        <v>416</v>
      </c>
    </row>
    <row r="105" customFormat="false" ht="11.25" hidden="true" customHeight="true" outlineLevel="3" collapsed="false">
      <c r="C105" s="99"/>
      <c r="D105" s="99"/>
      <c r="E105" s="100" t="str">
        <f aca="false">IF($P$105="","",SUMIFS(Mastersheet!$F$2:$F$400,Mastersheet!$A$2:$A$400,$P$105)/1000)</f>
        <v/>
      </c>
      <c r="F105" s="100" t="str">
        <f aca="false">IF($P$105="","",SUMIFS(Mastersheet!$G$2:$G$400,Mastersheet!$A$2:$A$400,$P$105)/1000)</f>
        <v/>
      </c>
      <c r="G105" s="100" t="str">
        <f aca="false">IF($P$105="","",SUMIFS(Mastersheet!$H$2:$H$400,Mastersheet!$A$2:$A$400,$P$105)/1000)</f>
        <v/>
      </c>
      <c r="H105" s="100" t="str">
        <f aca="false">IF($P$105="","",SUMIFS(Mastersheet!$I$2:$I$400,Mastersheet!$A$2:$A$400,$P$105)/1000)</f>
        <v/>
      </c>
      <c r="I105" s="102" t="str">
        <f aca="false">IF($P$105="","",SUMIFS(Mastersheet!$J$2:$J$400,Mastersheet!$A$2:$A$400,$P$105)/1000)</f>
        <v/>
      </c>
      <c r="J105" s="103" t="str">
        <f aca="false">IF($P$105="","",SUMIFS(Mastersheet!$K$2:$K$400,Mastersheet!$A$2:$A$400,$P$105)/1000)</f>
        <v/>
      </c>
      <c r="K105" s="103" t="str">
        <f aca="false">IF($P$105="","",SUMIFS(Mastersheet!$L$2:$L$400,Mastersheet!$A$2:$A$400,$P$105)/1000)</f>
        <v/>
      </c>
      <c r="L105" s="103" t="str">
        <f aca="false">IF($P$105="","",SUMIFS(Mastersheet!$M$2:$M$400,Mastersheet!$A$2:$A$400,$P$105)/1000)</f>
        <v/>
      </c>
      <c r="M105" s="103" t="str">
        <f aca="false">IF($P$105="","",SUMIFS(Mastersheet!$N$2:$N$400,Mastersheet!$A$2:$A$400,$P$105)/1000)</f>
        <v/>
      </c>
      <c r="P105" s="97"/>
      <c r="Q105" s="104" t="s">
        <v>415</v>
      </c>
      <c r="R105" s="104" t="s">
        <v>416</v>
      </c>
    </row>
    <row r="106" customFormat="false" ht="11.25" hidden="true" customHeight="true" outlineLevel="3" collapsed="false">
      <c r="C106" s="99"/>
      <c r="D106" s="99"/>
      <c r="E106" s="100" t="str">
        <f aca="false">IF($P$106="","",SUMIFS(Mastersheet!$F$2:$F$400,Mastersheet!$A$2:$A$400,$P$106)/1000)</f>
        <v/>
      </c>
      <c r="F106" s="100" t="str">
        <f aca="false">IF($P$106="","",SUMIFS(Mastersheet!$G$2:$G$400,Mastersheet!$A$2:$A$400,$P$106)/1000)</f>
        <v/>
      </c>
      <c r="G106" s="100" t="str">
        <f aca="false">IF($P$106="","",SUMIFS(Mastersheet!$H$2:$H$400,Mastersheet!$A$2:$A$400,$P$106)/1000)</f>
        <v/>
      </c>
      <c r="H106" s="100" t="str">
        <f aca="false">IF($P$106="","",SUMIFS(Mastersheet!$I$2:$I$400,Mastersheet!$A$2:$A$400,$P$106)/1000)</f>
        <v/>
      </c>
      <c r="I106" s="102" t="str">
        <f aca="false">IF($P$106="","",SUMIFS(Mastersheet!$J$2:$J$400,Mastersheet!$A$2:$A$400,$P$106)/1000)</f>
        <v/>
      </c>
      <c r="J106" s="103" t="str">
        <f aca="false">IF($P$106="","",SUMIFS(Mastersheet!$K$2:$K$400,Mastersheet!$A$2:$A$400,$P$106)/1000)</f>
        <v/>
      </c>
      <c r="K106" s="103" t="str">
        <f aca="false">IF($P$106="","",SUMIFS(Mastersheet!$L$2:$L$400,Mastersheet!$A$2:$A$400,$P$106)/1000)</f>
        <v/>
      </c>
      <c r="L106" s="103" t="str">
        <f aca="false">IF($P$106="","",SUMIFS(Mastersheet!$M$2:$M$400,Mastersheet!$A$2:$A$400,$P$106)/1000)</f>
        <v/>
      </c>
      <c r="M106" s="103" t="str">
        <f aca="false">IF($P$106="","",SUMIFS(Mastersheet!$N$2:$N$400,Mastersheet!$A$2:$A$400,$P$106)/1000)</f>
        <v/>
      </c>
      <c r="P106" s="97"/>
      <c r="Q106" s="104" t="s">
        <v>415</v>
      </c>
      <c r="R106" s="104" t="s">
        <v>416</v>
      </c>
    </row>
    <row r="107" customFormat="false" ht="11.25" hidden="false" customHeight="true" outlineLevel="0" collapsed="false">
      <c r="C107" s="51" t="s">
        <v>503</v>
      </c>
      <c r="D107" s="51" t="s">
        <v>504</v>
      </c>
      <c r="E107" s="159" t="n">
        <f aca="false">SUMIFS(Mastersheet!$F$2:$F$400,Mastersheet!$D$2:$D$400,$P107,Mastersheet!$C$2:$C$400,$Q107)/1000</f>
        <v>0</v>
      </c>
      <c r="F107" s="159" t="n">
        <f aca="false">SUMIFS(Mastersheet!$G$2:$G$400,Mastersheet!$D$2:$D$400,$P107,Mastersheet!$C$2:$C$400,$Q107)/1000</f>
        <v>0</v>
      </c>
      <c r="G107" s="159" t="n">
        <f aca="false">SUMIFS(Mastersheet!$H$2:$H$400,Mastersheet!$D$2:$D$400,$P107,Mastersheet!$C$2:$C$400,$Q107)/1000</f>
        <v>0</v>
      </c>
      <c r="H107" s="159" t="n">
        <f aca="false">SUMIFS(Mastersheet!$I$2:$I$400,Mastersheet!$D$2:$D$400,$P107,Mastersheet!$C$2:$C$400,$Q107)/1000</f>
        <v>0</v>
      </c>
      <c r="I107" s="160" t="n">
        <f aca="false">SUMIFS(Mastersheet!$J$2:$J$400,Mastersheet!$D$2:$D$400,$P107,Mastersheet!$C$2:$C$400,$Q107)/1000</f>
        <v>0</v>
      </c>
      <c r="J107" s="161" t="n">
        <f aca="false">SUMIFS(Mastersheet!$K$2:$K$400,Mastersheet!$D$2:$D$400,$P107,Mastersheet!$C$2:$C$400,$Q107)/1000</f>
        <v>0</v>
      </c>
      <c r="K107" s="161" t="n">
        <f aca="false">SUMIFS(Mastersheet!$L$2:$L$400,Mastersheet!$D$2:$D$400,$P107,Mastersheet!$C$2:$C$400,$Q107)/1000</f>
        <v>0</v>
      </c>
      <c r="L107" s="161" t="n">
        <f aca="false">SUMIFS(Mastersheet!$M$2:$M$400,Mastersheet!$D$2:$D$400,$P107,Mastersheet!$C$2:$C$400,$Q107)/1000</f>
        <v>0</v>
      </c>
      <c r="M107" s="161" t="n">
        <f aca="false">SUMIFS(Mastersheet!$N$2:$N$400,Mastersheet!$D$2:$D$400,$P107,Mastersheet!$C$2:$C$400,$Q107)/1000</f>
        <v>0</v>
      </c>
      <c r="P107" s="97" t="s">
        <v>505</v>
      </c>
      <c r="Q107" s="98" t="s">
        <v>496</v>
      </c>
      <c r="R107" s="98" t="s">
        <v>414</v>
      </c>
    </row>
    <row r="108" customFormat="false" ht="11.25" hidden="true" customHeight="true" outlineLevel="3" collapsed="false">
      <c r="C108" s="99"/>
      <c r="D108" s="99"/>
      <c r="E108" s="100" t="str">
        <f aca="false">IF($P$108="","",SUMIFS(Mastersheet!$F$2:$F$400,Mastersheet!$A$2:$A$400,$P$108)/1000)</f>
        <v/>
      </c>
      <c r="F108" s="100" t="str">
        <f aca="false">IF($P$108="","",SUMIFS(Mastersheet!$G$2:$G$400,Mastersheet!$A$2:$A$400,$P$108)/1000)</f>
        <v/>
      </c>
      <c r="G108" s="100" t="str">
        <f aca="false">IF($P$108="","",SUMIFS(Mastersheet!$H$2:$H$400,Mastersheet!$A$2:$A$400,$P$108)/1000)</f>
        <v/>
      </c>
      <c r="H108" s="100" t="str">
        <f aca="false">IF($P$108="","",SUMIFS(Mastersheet!$I$2:$I$400,Mastersheet!$A$2:$A$400,$P$108)/1000)</f>
        <v/>
      </c>
      <c r="I108" s="102" t="str">
        <f aca="false">IF($P$108="","",SUMIFS(Mastersheet!$J$2:$J$400,Mastersheet!$A$2:$A$400,$P$108)/1000)</f>
        <v/>
      </c>
      <c r="J108" s="103" t="str">
        <f aca="false">IF($P$108="","",SUMIFS(Mastersheet!$K$2:$K$400,Mastersheet!$A$2:$A$400,$P$108)/1000)</f>
        <v/>
      </c>
      <c r="K108" s="103" t="str">
        <f aca="false">IF($P$108="","",SUMIFS(Mastersheet!$L$2:$L$400,Mastersheet!$A$2:$A$400,$P$108)/1000)</f>
        <v/>
      </c>
      <c r="L108" s="103" t="str">
        <f aca="false">IF($P$108="","",SUMIFS(Mastersheet!$M$2:$M$400,Mastersheet!$A$2:$A$400,$P$108)/1000)</f>
        <v/>
      </c>
      <c r="M108" s="103" t="str">
        <f aca="false">IF($P$108="","",SUMIFS(Mastersheet!$N$2:$N$400,Mastersheet!$A$2:$A$400,$P$108)/1000)</f>
        <v/>
      </c>
      <c r="P108" s="97"/>
      <c r="Q108" s="104" t="s">
        <v>415</v>
      </c>
      <c r="R108" s="104" t="s">
        <v>416</v>
      </c>
    </row>
    <row r="109" customFormat="false" ht="11.25" hidden="true" customHeight="true" outlineLevel="3" collapsed="false">
      <c r="C109" s="99"/>
      <c r="D109" s="99"/>
      <c r="E109" s="100" t="str">
        <f aca="false">IF($P$109="","",SUMIFS(Mastersheet!$F$2:$F$400,Mastersheet!$A$2:$A$400,$P$109)/1000)</f>
        <v/>
      </c>
      <c r="F109" s="100" t="str">
        <f aca="false">IF($P$109="","",SUMIFS(Mastersheet!$G$2:$G$400,Mastersheet!$A$2:$A$400,$P$109)/1000)</f>
        <v/>
      </c>
      <c r="G109" s="100" t="str">
        <f aca="false">IF($P$109="","",SUMIFS(Mastersheet!$H$2:$H$400,Mastersheet!$A$2:$A$400,$P$109)/1000)</f>
        <v/>
      </c>
      <c r="H109" s="100" t="str">
        <f aca="false">IF($P$109="","",SUMIFS(Mastersheet!$I$2:$I$400,Mastersheet!$A$2:$A$400,$P$109)/1000)</f>
        <v/>
      </c>
      <c r="I109" s="102" t="str">
        <f aca="false">IF($P$109="","",SUMIFS(Mastersheet!$J$2:$J$400,Mastersheet!$A$2:$A$400,$P$109)/1000)</f>
        <v/>
      </c>
      <c r="J109" s="103" t="str">
        <f aca="false">IF($P$109="","",SUMIFS(Mastersheet!$K$2:$K$400,Mastersheet!$A$2:$A$400,$P$109)/1000)</f>
        <v/>
      </c>
      <c r="K109" s="103" t="str">
        <f aca="false">IF($P$109="","",SUMIFS(Mastersheet!$L$2:$L$400,Mastersheet!$A$2:$A$400,$P$109)/1000)</f>
        <v/>
      </c>
      <c r="L109" s="103" t="str">
        <f aca="false">IF($P$109="","",SUMIFS(Mastersheet!$M$2:$M$400,Mastersheet!$A$2:$A$400,$P$109)/1000)</f>
        <v/>
      </c>
      <c r="M109" s="103" t="str">
        <f aca="false">IF($P$109="","",SUMIFS(Mastersheet!$N$2:$N$400,Mastersheet!$A$2:$A$400,$P$109)/1000)</f>
        <v/>
      </c>
      <c r="P109" s="97"/>
      <c r="Q109" s="104" t="s">
        <v>415</v>
      </c>
      <c r="R109" s="104" t="s">
        <v>416</v>
      </c>
    </row>
    <row r="110" customFormat="false" ht="11.25" hidden="true" customHeight="true" outlineLevel="3" collapsed="false">
      <c r="C110" s="99"/>
      <c r="D110" s="99"/>
      <c r="E110" s="100" t="str">
        <f aca="false">IF($P$110="","",SUMIFS(Mastersheet!$F$2:$F$400,Mastersheet!$A$2:$A$400,$P$110)/1000)</f>
        <v/>
      </c>
      <c r="F110" s="100" t="str">
        <f aca="false">IF($P$110="","",SUMIFS(Mastersheet!$G$2:$G$400,Mastersheet!$A$2:$A$400,$P$110)/1000)</f>
        <v/>
      </c>
      <c r="G110" s="100" t="str">
        <f aca="false">IF($P$110="","",SUMIFS(Mastersheet!$H$2:$H$400,Mastersheet!$A$2:$A$400,$P$110)/1000)</f>
        <v/>
      </c>
      <c r="H110" s="100" t="str">
        <f aca="false">IF($P$110="","",SUMIFS(Mastersheet!$I$2:$I$400,Mastersheet!$A$2:$A$400,$P$110)/1000)</f>
        <v/>
      </c>
      <c r="I110" s="102" t="str">
        <f aca="false">IF($P$110="","",SUMIFS(Mastersheet!$J$2:$J$400,Mastersheet!$A$2:$A$400,$P$110)/1000)</f>
        <v/>
      </c>
      <c r="J110" s="103" t="str">
        <f aca="false">IF($P$110="","",SUMIFS(Mastersheet!$K$2:$K$400,Mastersheet!$A$2:$A$400,$P$110)/1000)</f>
        <v/>
      </c>
      <c r="K110" s="103" t="str">
        <f aca="false">IF($P$110="","",SUMIFS(Mastersheet!$L$2:$L$400,Mastersheet!$A$2:$A$400,$P$110)/1000)</f>
        <v/>
      </c>
      <c r="L110" s="103" t="str">
        <f aca="false">IF($P$110="","",SUMIFS(Mastersheet!$M$2:$M$400,Mastersheet!$A$2:$A$400,$P$110)/1000)</f>
        <v/>
      </c>
      <c r="M110" s="103" t="str">
        <f aca="false">IF($P$110="","",SUMIFS(Mastersheet!$N$2:$N$400,Mastersheet!$A$2:$A$400,$P$110)/1000)</f>
        <v/>
      </c>
      <c r="P110" s="97"/>
      <c r="Q110" s="104" t="s">
        <v>415</v>
      </c>
      <c r="R110" s="104" t="s">
        <v>416</v>
      </c>
    </row>
    <row r="111" customFormat="false" ht="11.25" hidden="true" customHeight="true" outlineLevel="3" collapsed="false">
      <c r="C111" s="99"/>
      <c r="D111" s="99"/>
      <c r="E111" s="100" t="str">
        <f aca="false">IF($P$111="","",SUMIFS(Mastersheet!$F$2:$F$400,Mastersheet!$A$2:$A$400,$P$111)/1000)</f>
        <v/>
      </c>
      <c r="F111" s="100" t="str">
        <f aca="false">IF($P$111="","",SUMIFS(Mastersheet!$G$2:$G$400,Mastersheet!$A$2:$A$400,$P$111)/1000)</f>
        <v/>
      </c>
      <c r="G111" s="100" t="str">
        <f aca="false">IF($P$111="","",SUMIFS(Mastersheet!$H$2:$H$400,Mastersheet!$A$2:$A$400,$P$111)/1000)</f>
        <v/>
      </c>
      <c r="H111" s="100" t="str">
        <f aca="false">IF($P$111="","",SUMIFS(Mastersheet!$I$2:$I$400,Mastersheet!$A$2:$A$400,$P$111)/1000)</f>
        <v/>
      </c>
      <c r="I111" s="102" t="str">
        <f aca="false">IF($P$111="","",SUMIFS(Mastersheet!$J$2:$J$400,Mastersheet!$A$2:$A$400,$P$111)/1000)</f>
        <v/>
      </c>
      <c r="J111" s="103" t="str">
        <f aca="false">IF($P$111="","",SUMIFS(Mastersheet!$K$2:$K$400,Mastersheet!$A$2:$A$400,$P$111)/1000)</f>
        <v/>
      </c>
      <c r="K111" s="103" t="str">
        <f aca="false">IF($P$111="","",SUMIFS(Mastersheet!$L$2:$L$400,Mastersheet!$A$2:$A$400,$P$111)/1000)</f>
        <v/>
      </c>
      <c r="L111" s="103" t="str">
        <f aca="false">IF($P$111="","",SUMIFS(Mastersheet!$M$2:$M$400,Mastersheet!$A$2:$A$400,$P$111)/1000)</f>
        <v/>
      </c>
      <c r="M111" s="103" t="str">
        <f aca="false">IF($P$111="","",SUMIFS(Mastersheet!$N$2:$N$400,Mastersheet!$A$2:$A$400,$P$111)/1000)</f>
        <v/>
      </c>
      <c r="P111" s="97"/>
      <c r="Q111" s="104" t="s">
        <v>415</v>
      </c>
      <c r="R111" s="104" t="s">
        <v>416</v>
      </c>
    </row>
    <row r="112" customFormat="false" ht="11.25" hidden="true" customHeight="true" outlineLevel="3" collapsed="false">
      <c r="C112" s="99"/>
      <c r="D112" s="99"/>
      <c r="E112" s="100" t="str">
        <f aca="false">IF($P$112="","",SUMIFS(Mastersheet!$F$2:$F$400,Mastersheet!$A$2:$A$400,$P$112)/1000)</f>
        <v/>
      </c>
      <c r="F112" s="100" t="str">
        <f aca="false">IF($P$112="","",SUMIFS(Mastersheet!$G$2:$G$400,Mastersheet!$A$2:$A$400,$P$112)/1000)</f>
        <v/>
      </c>
      <c r="G112" s="100" t="str">
        <f aca="false">IF($P$112="","",SUMIFS(Mastersheet!$H$2:$H$400,Mastersheet!$A$2:$A$400,$P$112)/1000)</f>
        <v/>
      </c>
      <c r="H112" s="100" t="str">
        <f aca="false">IF($P$112="","",SUMIFS(Mastersheet!$I$2:$I$400,Mastersheet!$A$2:$A$400,$P$112)/1000)</f>
        <v/>
      </c>
      <c r="I112" s="102" t="str">
        <f aca="false">IF($P$112="","",SUMIFS(Mastersheet!$J$2:$J$400,Mastersheet!$A$2:$A$400,$P$112)/1000)</f>
        <v/>
      </c>
      <c r="J112" s="103" t="str">
        <f aca="false">IF($P$112="","",SUMIFS(Mastersheet!$K$2:$K$400,Mastersheet!$A$2:$A$400,$P$112)/1000)</f>
        <v/>
      </c>
      <c r="K112" s="103" t="str">
        <f aca="false">IF($P$112="","",SUMIFS(Mastersheet!$L$2:$L$400,Mastersheet!$A$2:$A$400,$P$112)/1000)</f>
        <v/>
      </c>
      <c r="L112" s="103" t="str">
        <f aca="false">IF($P$112="","",SUMIFS(Mastersheet!$M$2:$M$400,Mastersheet!$A$2:$A$400,$P$112)/1000)</f>
        <v/>
      </c>
      <c r="M112" s="103" t="str">
        <f aca="false">IF($P$112="","",SUMIFS(Mastersheet!$N$2:$N$400,Mastersheet!$A$2:$A$400,$P$112)/1000)</f>
        <v/>
      </c>
      <c r="P112" s="97"/>
      <c r="Q112" s="104" t="s">
        <v>415</v>
      </c>
      <c r="R112" s="104" t="s">
        <v>416</v>
      </c>
    </row>
    <row r="113" customFormat="false" ht="11.25" hidden="true" customHeight="true" outlineLevel="3" collapsed="false">
      <c r="C113" s="99"/>
      <c r="D113" s="99"/>
      <c r="E113" s="100" t="str">
        <f aca="false">IF($P$113="","",SUMIFS(Mastersheet!$F$2:$F$400,Mastersheet!$A$2:$A$400,$P$113)/1000)</f>
        <v/>
      </c>
      <c r="F113" s="100" t="str">
        <f aca="false">IF($P$113="","",SUMIFS(Mastersheet!$G$2:$G$400,Mastersheet!$A$2:$A$400,$P$113)/1000)</f>
        <v/>
      </c>
      <c r="G113" s="100" t="str">
        <f aca="false">IF($P$113="","",SUMIFS(Mastersheet!$H$2:$H$400,Mastersheet!$A$2:$A$400,$P$113)/1000)</f>
        <v/>
      </c>
      <c r="H113" s="100" t="str">
        <f aca="false">IF($P$113="","",SUMIFS(Mastersheet!$I$2:$I$400,Mastersheet!$A$2:$A$400,$P$113)/1000)</f>
        <v/>
      </c>
      <c r="I113" s="102" t="str">
        <f aca="false">IF($P$113="","",SUMIFS(Mastersheet!$J$2:$J$400,Mastersheet!$A$2:$A$400,$P$113)/1000)</f>
        <v/>
      </c>
      <c r="J113" s="103" t="str">
        <f aca="false">IF($P$113="","",SUMIFS(Mastersheet!$K$2:$K$400,Mastersheet!$A$2:$A$400,$P$113)/1000)</f>
        <v/>
      </c>
      <c r="K113" s="103" t="str">
        <f aca="false">IF($P$113="","",SUMIFS(Mastersheet!$L$2:$L$400,Mastersheet!$A$2:$A$400,$P$113)/1000)</f>
        <v/>
      </c>
      <c r="L113" s="103" t="str">
        <f aca="false">IF($P$113="","",SUMIFS(Mastersheet!$M$2:$M$400,Mastersheet!$A$2:$A$400,$P$113)/1000)</f>
        <v/>
      </c>
      <c r="M113" s="103" t="str">
        <f aca="false">IF($P$113="","",SUMIFS(Mastersheet!$N$2:$N$400,Mastersheet!$A$2:$A$400,$P$113)/1000)</f>
        <v/>
      </c>
      <c r="P113" s="97"/>
      <c r="Q113" s="104" t="s">
        <v>415</v>
      </c>
      <c r="R113" s="104" t="s">
        <v>416</v>
      </c>
    </row>
    <row r="114" customFormat="false" ht="11.25" hidden="true" customHeight="true" outlineLevel="3" collapsed="false">
      <c r="C114" s="99"/>
      <c r="D114" s="99"/>
      <c r="E114" s="100" t="str">
        <f aca="false">IF($P$114="","",SUMIFS(Mastersheet!$F$2:$F$400,Mastersheet!$A$2:$A$400,$P$114)/1000)</f>
        <v/>
      </c>
      <c r="F114" s="100" t="str">
        <f aca="false">IF($P$114="","",SUMIFS(Mastersheet!$G$2:$G$400,Mastersheet!$A$2:$A$400,$P$114)/1000)</f>
        <v/>
      </c>
      <c r="G114" s="100" t="str">
        <f aca="false">IF($P$114="","",SUMIFS(Mastersheet!$H$2:$H$400,Mastersheet!$A$2:$A$400,$P$114)/1000)</f>
        <v/>
      </c>
      <c r="H114" s="100" t="str">
        <f aca="false">IF($P$114="","",SUMIFS(Mastersheet!$I$2:$I$400,Mastersheet!$A$2:$A$400,$P$114)/1000)</f>
        <v/>
      </c>
      <c r="I114" s="102" t="str">
        <f aca="false">IF($P$114="","",SUMIFS(Mastersheet!$J$2:$J$400,Mastersheet!$A$2:$A$400,$P$114)/1000)</f>
        <v/>
      </c>
      <c r="J114" s="103" t="str">
        <f aca="false">IF($P$114="","",SUMIFS(Mastersheet!$K$2:$K$400,Mastersheet!$A$2:$A$400,$P$114)/1000)</f>
        <v/>
      </c>
      <c r="K114" s="103" t="str">
        <f aca="false">IF($P$114="","",SUMIFS(Mastersheet!$L$2:$L$400,Mastersheet!$A$2:$A$400,$P$114)/1000)</f>
        <v/>
      </c>
      <c r="L114" s="103" t="str">
        <f aca="false">IF($P$114="","",SUMIFS(Mastersheet!$M$2:$M$400,Mastersheet!$A$2:$A$400,$P$114)/1000)</f>
        <v/>
      </c>
      <c r="M114" s="103" t="str">
        <f aca="false">IF($P$114="","",SUMIFS(Mastersheet!$N$2:$N$400,Mastersheet!$A$2:$A$400,$P$114)/1000)</f>
        <v/>
      </c>
      <c r="P114" s="97"/>
      <c r="Q114" s="104" t="s">
        <v>415</v>
      </c>
      <c r="R114" s="104" t="s">
        <v>416</v>
      </c>
    </row>
    <row r="115" customFormat="false" ht="11.25" hidden="true" customHeight="true" outlineLevel="3" collapsed="false">
      <c r="C115" s="99"/>
      <c r="D115" s="99"/>
      <c r="E115" s="100" t="str">
        <f aca="false">IF($P$115="","",SUMIFS(Mastersheet!$F$2:$F$400,Mastersheet!$A$2:$A$400,$P$115)/1000)</f>
        <v/>
      </c>
      <c r="F115" s="100" t="str">
        <f aca="false">IF($P$115="","",SUMIFS(Mastersheet!$G$2:$G$400,Mastersheet!$A$2:$A$400,$P$115)/1000)</f>
        <v/>
      </c>
      <c r="G115" s="100" t="str">
        <f aca="false">IF($P$115="","",SUMIFS(Mastersheet!$H$2:$H$400,Mastersheet!$A$2:$A$400,$P$115)/1000)</f>
        <v/>
      </c>
      <c r="H115" s="100" t="str">
        <f aca="false">IF($P$115="","",SUMIFS(Mastersheet!$I$2:$I$400,Mastersheet!$A$2:$A$400,$P$115)/1000)</f>
        <v/>
      </c>
      <c r="I115" s="102" t="str">
        <f aca="false">IF($P$115="","",SUMIFS(Mastersheet!$J$2:$J$400,Mastersheet!$A$2:$A$400,$P$115)/1000)</f>
        <v/>
      </c>
      <c r="J115" s="103" t="str">
        <f aca="false">IF($P$115="","",SUMIFS(Mastersheet!$K$2:$K$400,Mastersheet!$A$2:$A$400,$P$115)/1000)</f>
        <v/>
      </c>
      <c r="K115" s="103" t="str">
        <f aca="false">IF($P$115="","",SUMIFS(Mastersheet!$L$2:$L$400,Mastersheet!$A$2:$A$400,$P$115)/1000)</f>
        <v/>
      </c>
      <c r="L115" s="103" t="str">
        <f aca="false">IF($P$115="","",SUMIFS(Mastersheet!$M$2:$M$400,Mastersheet!$A$2:$A$400,$P$115)/1000)</f>
        <v/>
      </c>
      <c r="M115" s="103" t="str">
        <f aca="false">IF($P$115="","",SUMIFS(Mastersheet!$N$2:$N$400,Mastersheet!$A$2:$A$400,$P$115)/1000)</f>
        <v/>
      </c>
      <c r="P115" s="97"/>
      <c r="Q115" s="104" t="s">
        <v>415</v>
      </c>
      <c r="R115" s="104" t="s">
        <v>416</v>
      </c>
    </row>
    <row r="116" customFormat="false" ht="11.25" hidden="false" customHeight="true" outlineLevel="2" collapsed="false">
      <c r="C116" s="51" t="s">
        <v>234</v>
      </c>
      <c r="D116" s="51" t="s">
        <v>234</v>
      </c>
      <c r="E116" s="159"/>
      <c r="F116" s="159"/>
      <c r="G116" s="159"/>
      <c r="H116" s="159"/>
      <c r="I116" s="160"/>
      <c r="J116" s="161"/>
      <c r="K116" s="161"/>
      <c r="L116" s="161"/>
      <c r="M116" s="161"/>
      <c r="P116" s="105"/>
    </row>
    <row r="117" customFormat="false" ht="11.25" hidden="false" customHeight="true" outlineLevel="2" collapsed="false">
      <c r="C117" s="51" t="s">
        <v>235</v>
      </c>
      <c r="D117" s="51" t="s">
        <v>235</v>
      </c>
      <c r="E117" s="159"/>
      <c r="F117" s="159"/>
      <c r="G117" s="159"/>
      <c r="H117" s="159"/>
      <c r="I117" s="160"/>
      <c r="J117" s="161"/>
      <c r="K117" s="161"/>
      <c r="L117" s="161"/>
      <c r="M117" s="161"/>
      <c r="P117" s="105"/>
    </row>
    <row r="118" customFormat="false" ht="11.25" hidden="false" customHeight="true" outlineLevel="2" collapsed="false">
      <c r="C118" s="51" t="s">
        <v>236</v>
      </c>
      <c r="D118" s="51" t="s">
        <v>236</v>
      </c>
      <c r="E118" s="159"/>
      <c r="F118" s="159"/>
      <c r="G118" s="159"/>
      <c r="H118" s="159"/>
      <c r="I118" s="160"/>
      <c r="J118" s="161"/>
      <c r="K118" s="161"/>
      <c r="L118" s="161"/>
      <c r="M118" s="161"/>
      <c r="P118" s="105"/>
    </row>
    <row r="119" customFormat="false" ht="11.25" hidden="false" customHeight="true" outlineLevel="0" collapsed="false">
      <c r="C119" s="132" t="s">
        <v>506</v>
      </c>
      <c r="D119" s="132" t="s">
        <v>507</v>
      </c>
      <c r="E119" s="168" t="n">
        <f aca="false">SUMIF($R$80:$R$118,"&lt;&gt;KTO",E80:E118)</f>
        <v>0</v>
      </c>
      <c r="F119" s="168" t="n">
        <f aca="false">SUMIF($R$80:$R$118,"&lt;&gt;KTO",F80:F118)</f>
        <v>0</v>
      </c>
      <c r="G119" s="168" t="n">
        <f aca="false">SUMIF($R$80:$R$118,"&lt;&gt;KTO",G80:G118)</f>
        <v>0</v>
      </c>
      <c r="H119" s="168" t="n">
        <f aca="false">SUMIF($R$80:$R$118,"&lt;&gt;KTO",H80:H118)</f>
        <v>0</v>
      </c>
      <c r="I119" s="169" t="n">
        <f aca="false">SUMIF($R$80:$R$118,"&lt;&gt;KTO",I80:I118)</f>
        <v>0</v>
      </c>
      <c r="J119" s="170" t="n">
        <f aca="false">SUMIF($R$80:$R$118,"&lt;&gt;KTO",J80:J118)</f>
        <v>0</v>
      </c>
      <c r="K119" s="170" t="n">
        <f aca="false">SUMIF($R$80:$R$118,"&lt;&gt;KTO",K80:K118)</f>
        <v>0</v>
      </c>
      <c r="L119" s="170" t="n">
        <f aca="false">SUMIF($R$80:$R$118,"&lt;&gt;KTO",L80:L118)</f>
        <v>0</v>
      </c>
      <c r="M119" s="170" t="n">
        <f aca="false">SUMIF($R$80:$R$118,"&lt;&gt;KTO",M80:M118)</f>
        <v>0</v>
      </c>
    </row>
    <row r="120" customFormat="false" ht="11.25" hidden="false" customHeight="true" outlineLevel="0" collapsed="false">
      <c r="C120" s="51" t="s">
        <v>508</v>
      </c>
      <c r="D120" s="51" t="s">
        <v>509</v>
      </c>
      <c r="E120" s="159" t="n">
        <f aca="false">SUMIFS(Mastersheet!$F$2:$F$400,Mastersheet!$D$2:$D$400,$P120,Mastersheet!$C$2:$C$400,$Q120)/1000</f>
        <v>0</v>
      </c>
      <c r="F120" s="159" t="n">
        <f aca="false">SUMIFS(Mastersheet!$G$2:$G$400,Mastersheet!$D$2:$D$400,$P120,Mastersheet!$C$2:$C$400,$Q120)/1000</f>
        <v>0</v>
      </c>
      <c r="G120" s="159" t="n">
        <f aca="false">SUMIFS(Mastersheet!$H$2:$H$400,Mastersheet!$D$2:$D$400,$P120,Mastersheet!$C$2:$C$400,$Q120)/1000</f>
        <v>0</v>
      </c>
      <c r="H120" s="159" t="n">
        <f aca="false">SUMIFS(Mastersheet!$I$2:$I$400,Mastersheet!$D$2:$D$400,$P120,Mastersheet!$C$2:$C$400,$Q120)/1000</f>
        <v>0</v>
      </c>
      <c r="I120" s="160" t="n">
        <f aca="false">SUMIFS(Mastersheet!$J$2:$J$400,Mastersheet!$D$2:$D$400,$P120,Mastersheet!$C$2:$C$400,$Q120)/1000</f>
        <v>0</v>
      </c>
      <c r="J120" s="161" t="n">
        <f aca="false">SUMIFS(Mastersheet!$K$2:$K$400,Mastersheet!$D$2:$D$400,$P120,Mastersheet!$C$2:$C$400,$Q120)/1000</f>
        <v>0</v>
      </c>
      <c r="K120" s="161" t="n">
        <f aca="false">SUMIFS(Mastersheet!$L$2:$L$400,Mastersheet!$D$2:$D$400,$P120,Mastersheet!$C$2:$C$400,$Q120)/1000</f>
        <v>0</v>
      </c>
      <c r="L120" s="161" t="n">
        <f aca="false">SUMIFS(Mastersheet!$M$2:$M$400,Mastersheet!$D$2:$D$400,$P120,Mastersheet!$C$2:$C$400,$Q120)/1000</f>
        <v>0</v>
      </c>
      <c r="M120" s="161" t="n">
        <f aca="false">SUMIFS(Mastersheet!$N$2:$N$400,Mastersheet!$D$2:$D$400,$P120,Mastersheet!$C$2:$C$400,$Q120)/1000</f>
        <v>0</v>
      </c>
      <c r="P120" s="97" t="s">
        <v>510</v>
      </c>
      <c r="Q120" s="98" t="s">
        <v>511</v>
      </c>
      <c r="R120" s="98" t="s">
        <v>414</v>
      </c>
    </row>
    <row r="121" customFormat="false" ht="11.25" hidden="true" customHeight="true" outlineLevel="3" collapsed="false">
      <c r="C121" s="99"/>
      <c r="D121" s="99"/>
      <c r="E121" s="100" t="str">
        <f aca="false">IF($P$121="","",SUMIFS(Mastersheet!$F$2:$F$400,Mastersheet!$A$2:$A$400,$P$121)/1000)</f>
        <v/>
      </c>
      <c r="F121" s="100" t="str">
        <f aca="false">IF($P$121="","",SUMIFS(Mastersheet!$G$2:$G$400,Mastersheet!$A$2:$A$400,$P$121)/1000)</f>
        <v/>
      </c>
      <c r="G121" s="100" t="str">
        <f aca="false">IF($P$121="","",SUMIFS(Mastersheet!$H$2:$H$400,Mastersheet!$A$2:$A$400,$P$121)/1000)</f>
        <v/>
      </c>
      <c r="H121" s="100" t="str">
        <f aca="false">IF($P$121="","",SUMIFS(Mastersheet!$I$2:$I$400,Mastersheet!$A$2:$A$400,$P$121)/1000)</f>
        <v/>
      </c>
      <c r="I121" s="102" t="str">
        <f aca="false">IF($P$121="","",SUMIFS(Mastersheet!$J$2:$J$400,Mastersheet!$A$2:$A$400,$P$121)/1000)</f>
        <v/>
      </c>
      <c r="J121" s="103" t="str">
        <f aca="false">IF($P$121="","",SUMIFS(Mastersheet!$K$2:$K$400,Mastersheet!$A$2:$A$400,$P$121)/1000)</f>
        <v/>
      </c>
      <c r="K121" s="103" t="str">
        <f aca="false">IF($P$121="","",SUMIFS(Mastersheet!$L$2:$L$400,Mastersheet!$A$2:$A$400,$P$121)/1000)</f>
        <v/>
      </c>
      <c r="L121" s="103" t="str">
        <f aca="false">IF($P$121="","",SUMIFS(Mastersheet!$M$2:$M$400,Mastersheet!$A$2:$A$400,$P$121)/1000)</f>
        <v/>
      </c>
      <c r="M121" s="103" t="str">
        <f aca="false">IF($P$121="","",SUMIFS(Mastersheet!$N$2:$N$400,Mastersheet!$A$2:$A$400,$P$121)/1000)</f>
        <v/>
      </c>
      <c r="P121" s="97"/>
      <c r="Q121" s="104" t="s">
        <v>415</v>
      </c>
      <c r="R121" s="104" t="s">
        <v>416</v>
      </c>
    </row>
    <row r="122" customFormat="false" ht="11.25" hidden="true" customHeight="true" outlineLevel="3" collapsed="false">
      <c r="C122" s="99"/>
      <c r="D122" s="99"/>
      <c r="E122" s="100" t="str">
        <f aca="false">IF($P$122="","",SUMIFS(Mastersheet!$F$2:$F$400,Mastersheet!$A$2:$A$400,$P$122)/1000)</f>
        <v/>
      </c>
      <c r="F122" s="100" t="str">
        <f aca="false">IF($P$122="","",SUMIFS(Mastersheet!$G$2:$G$400,Mastersheet!$A$2:$A$400,$P$122)/1000)</f>
        <v/>
      </c>
      <c r="G122" s="100" t="str">
        <f aca="false">IF($P$122="","",SUMIFS(Mastersheet!$H$2:$H$400,Mastersheet!$A$2:$A$400,$P$122)/1000)</f>
        <v/>
      </c>
      <c r="H122" s="100" t="str">
        <f aca="false">IF($P$122="","",SUMIFS(Mastersheet!$I$2:$I$400,Mastersheet!$A$2:$A$400,$P$122)/1000)</f>
        <v/>
      </c>
      <c r="I122" s="102" t="str">
        <f aca="false">IF($P$122="","",SUMIFS(Mastersheet!$J$2:$J$400,Mastersheet!$A$2:$A$400,$P$122)/1000)</f>
        <v/>
      </c>
      <c r="J122" s="103" t="str">
        <f aca="false">IF($P$122="","",SUMIFS(Mastersheet!$K$2:$K$400,Mastersheet!$A$2:$A$400,$P$122)/1000)</f>
        <v/>
      </c>
      <c r="K122" s="103" t="str">
        <f aca="false">IF($P$122="","",SUMIFS(Mastersheet!$L$2:$L$400,Mastersheet!$A$2:$A$400,$P$122)/1000)</f>
        <v/>
      </c>
      <c r="L122" s="103" t="str">
        <f aca="false">IF($P$122="","",SUMIFS(Mastersheet!$M$2:$M$400,Mastersheet!$A$2:$A$400,$P$122)/1000)</f>
        <v/>
      </c>
      <c r="M122" s="103" t="str">
        <f aca="false">IF($P$122="","",SUMIFS(Mastersheet!$N$2:$N$400,Mastersheet!$A$2:$A$400,$P$122)/1000)</f>
        <v/>
      </c>
      <c r="P122" s="97"/>
      <c r="Q122" s="104" t="s">
        <v>415</v>
      </c>
      <c r="R122" s="104" t="s">
        <v>416</v>
      </c>
    </row>
    <row r="123" customFormat="false" ht="11.25" hidden="true" customHeight="true" outlineLevel="3" collapsed="false">
      <c r="C123" s="99"/>
      <c r="D123" s="99"/>
      <c r="E123" s="100" t="str">
        <f aca="false">IF($P$123="","",SUMIFS(Mastersheet!$F$2:$F$400,Mastersheet!$A$2:$A$400,$P$123)/1000)</f>
        <v/>
      </c>
      <c r="F123" s="100" t="str">
        <f aca="false">IF($P$123="","",SUMIFS(Mastersheet!$G$2:$G$400,Mastersheet!$A$2:$A$400,$P$123)/1000)</f>
        <v/>
      </c>
      <c r="G123" s="100" t="str">
        <f aca="false">IF($P$123="","",SUMIFS(Mastersheet!$H$2:$H$400,Mastersheet!$A$2:$A$400,$P$123)/1000)</f>
        <v/>
      </c>
      <c r="H123" s="100" t="str">
        <f aca="false">IF($P$123="","",SUMIFS(Mastersheet!$I$2:$I$400,Mastersheet!$A$2:$A$400,$P$123)/1000)</f>
        <v/>
      </c>
      <c r="I123" s="102" t="str">
        <f aca="false">IF($P$123="","",SUMIFS(Mastersheet!$J$2:$J$400,Mastersheet!$A$2:$A$400,$P$123)/1000)</f>
        <v/>
      </c>
      <c r="J123" s="103" t="str">
        <f aca="false">IF($P$123="","",SUMIFS(Mastersheet!$K$2:$K$400,Mastersheet!$A$2:$A$400,$P$123)/1000)</f>
        <v/>
      </c>
      <c r="K123" s="103" t="str">
        <f aca="false">IF($P$123="","",SUMIFS(Mastersheet!$L$2:$L$400,Mastersheet!$A$2:$A$400,$P$123)/1000)</f>
        <v/>
      </c>
      <c r="L123" s="103" t="str">
        <f aca="false">IF($P$123="","",SUMIFS(Mastersheet!$M$2:$M$400,Mastersheet!$A$2:$A$400,$P$123)/1000)</f>
        <v/>
      </c>
      <c r="M123" s="103" t="str">
        <f aca="false">IF($P$123="","",SUMIFS(Mastersheet!$N$2:$N$400,Mastersheet!$A$2:$A$400,$P$123)/1000)</f>
        <v/>
      </c>
      <c r="P123" s="97"/>
      <c r="Q123" s="104" t="s">
        <v>415</v>
      </c>
      <c r="R123" s="104" t="s">
        <v>416</v>
      </c>
    </row>
    <row r="124" customFormat="false" ht="11.25" hidden="true" customHeight="true" outlineLevel="3" collapsed="false">
      <c r="C124" s="99"/>
      <c r="D124" s="99"/>
      <c r="E124" s="100" t="str">
        <f aca="false">IF($P$124="","",SUMIFS(Mastersheet!$F$2:$F$400,Mastersheet!$A$2:$A$400,$P$124)/1000)</f>
        <v/>
      </c>
      <c r="F124" s="100" t="str">
        <f aca="false">IF($P$124="","",SUMIFS(Mastersheet!$G$2:$G$400,Mastersheet!$A$2:$A$400,$P$124)/1000)</f>
        <v/>
      </c>
      <c r="G124" s="100" t="str">
        <f aca="false">IF($P$124="","",SUMIFS(Mastersheet!$H$2:$H$400,Mastersheet!$A$2:$A$400,$P$124)/1000)</f>
        <v/>
      </c>
      <c r="H124" s="100" t="str">
        <f aca="false">IF($P$124="","",SUMIFS(Mastersheet!$I$2:$I$400,Mastersheet!$A$2:$A$400,$P$124)/1000)</f>
        <v/>
      </c>
      <c r="I124" s="102" t="str">
        <f aca="false">IF($P$124="","",SUMIFS(Mastersheet!$J$2:$J$400,Mastersheet!$A$2:$A$400,$P$124)/1000)</f>
        <v/>
      </c>
      <c r="J124" s="103" t="str">
        <f aca="false">IF($P$124="","",SUMIFS(Mastersheet!$K$2:$K$400,Mastersheet!$A$2:$A$400,$P$124)/1000)</f>
        <v/>
      </c>
      <c r="K124" s="103" t="str">
        <f aca="false">IF($P$124="","",SUMIFS(Mastersheet!$L$2:$L$400,Mastersheet!$A$2:$A$400,$P$124)/1000)</f>
        <v/>
      </c>
      <c r="L124" s="103" t="str">
        <f aca="false">IF($P$124="","",SUMIFS(Mastersheet!$M$2:$M$400,Mastersheet!$A$2:$A$400,$P$124)/1000)</f>
        <v/>
      </c>
      <c r="M124" s="103" t="str">
        <f aca="false">IF($P$124="","",SUMIFS(Mastersheet!$N$2:$N$400,Mastersheet!$A$2:$A$400,$P$124)/1000)</f>
        <v/>
      </c>
      <c r="P124" s="97"/>
      <c r="Q124" s="104" t="s">
        <v>415</v>
      </c>
      <c r="R124" s="104" t="s">
        <v>416</v>
      </c>
    </row>
    <row r="125" customFormat="false" ht="11.25" hidden="true" customHeight="true" outlineLevel="3" collapsed="false">
      <c r="C125" s="99"/>
      <c r="D125" s="99"/>
      <c r="E125" s="100" t="str">
        <f aca="false">IF($P$125="","",SUMIFS(Mastersheet!$F$2:$F$400,Mastersheet!$A$2:$A$400,$P$125)/1000)</f>
        <v/>
      </c>
      <c r="F125" s="100" t="str">
        <f aca="false">IF($P$125="","",SUMIFS(Mastersheet!$G$2:$G$400,Mastersheet!$A$2:$A$400,$P$125)/1000)</f>
        <v/>
      </c>
      <c r="G125" s="100" t="str">
        <f aca="false">IF($P$125="","",SUMIFS(Mastersheet!$H$2:$H$400,Mastersheet!$A$2:$A$400,$P$125)/1000)</f>
        <v/>
      </c>
      <c r="H125" s="100" t="str">
        <f aca="false">IF($P$125="","",SUMIFS(Mastersheet!$I$2:$I$400,Mastersheet!$A$2:$A$400,$P$125)/1000)</f>
        <v/>
      </c>
      <c r="I125" s="102" t="str">
        <f aca="false">IF($P$125="","",SUMIFS(Mastersheet!$J$2:$J$400,Mastersheet!$A$2:$A$400,$P$125)/1000)</f>
        <v/>
      </c>
      <c r="J125" s="103" t="str">
        <f aca="false">IF($P$125="","",SUMIFS(Mastersheet!$K$2:$K$400,Mastersheet!$A$2:$A$400,$P$125)/1000)</f>
        <v/>
      </c>
      <c r="K125" s="103" t="str">
        <f aca="false">IF($P$125="","",SUMIFS(Mastersheet!$L$2:$L$400,Mastersheet!$A$2:$A$400,$P$125)/1000)</f>
        <v/>
      </c>
      <c r="L125" s="103" t="str">
        <f aca="false">IF($P$125="","",SUMIFS(Mastersheet!$M$2:$M$400,Mastersheet!$A$2:$A$400,$P$125)/1000)</f>
        <v/>
      </c>
      <c r="M125" s="103" t="str">
        <f aca="false">IF($P$125="","",SUMIFS(Mastersheet!$N$2:$N$400,Mastersheet!$A$2:$A$400,$P$125)/1000)</f>
        <v/>
      </c>
      <c r="P125" s="97"/>
      <c r="Q125" s="104" t="s">
        <v>415</v>
      </c>
      <c r="R125" s="104" t="s">
        <v>416</v>
      </c>
    </row>
    <row r="126" customFormat="false" ht="11.25" hidden="true" customHeight="true" outlineLevel="3" collapsed="false">
      <c r="C126" s="99"/>
      <c r="D126" s="99"/>
      <c r="E126" s="100" t="str">
        <f aca="false">IF($P$126="","",SUMIFS(Mastersheet!$F$2:$F$400,Mastersheet!$A$2:$A$400,$P$126)/1000)</f>
        <v/>
      </c>
      <c r="F126" s="100" t="str">
        <f aca="false">IF($P$126="","",SUMIFS(Mastersheet!$G$2:$G$400,Mastersheet!$A$2:$A$400,$P$126)/1000)</f>
        <v/>
      </c>
      <c r="G126" s="100" t="str">
        <f aca="false">IF($P$126="","",SUMIFS(Mastersheet!$H$2:$H$400,Mastersheet!$A$2:$A$400,$P$126)/1000)</f>
        <v/>
      </c>
      <c r="H126" s="100" t="str">
        <f aca="false">IF($P$126="","",SUMIFS(Mastersheet!$I$2:$I$400,Mastersheet!$A$2:$A$400,$P$126)/1000)</f>
        <v/>
      </c>
      <c r="I126" s="102" t="str">
        <f aca="false">IF($P$126="","",SUMIFS(Mastersheet!$J$2:$J$400,Mastersheet!$A$2:$A$400,$P$126)/1000)</f>
        <v/>
      </c>
      <c r="J126" s="103" t="str">
        <f aca="false">IF($P$126="","",SUMIFS(Mastersheet!$K$2:$K$400,Mastersheet!$A$2:$A$400,$P$126)/1000)</f>
        <v/>
      </c>
      <c r="K126" s="103" t="str">
        <f aca="false">IF($P$126="","",SUMIFS(Mastersheet!$L$2:$L$400,Mastersheet!$A$2:$A$400,$P$126)/1000)</f>
        <v/>
      </c>
      <c r="L126" s="103" t="str">
        <f aca="false">IF($P$126="","",SUMIFS(Mastersheet!$M$2:$M$400,Mastersheet!$A$2:$A$400,$P$126)/1000)</f>
        <v/>
      </c>
      <c r="M126" s="103" t="str">
        <f aca="false">IF($P$126="","",SUMIFS(Mastersheet!$N$2:$N$400,Mastersheet!$A$2:$A$400,$P$126)/1000)</f>
        <v/>
      </c>
      <c r="P126" s="97"/>
      <c r="Q126" s="104" t="s">
        <v>415</v>
      </c>
      <c r="R126" s="104" t="s">
        <v>416</v>
      </c>
    </row>
    <row r="127" customFormat="false" ht="11.25" hidden="true" customHeight="true" outlineLevel="3" collapsed="false">
      <c r="C127" s="99"/>
      <c r="D127" s="99"/>
      <c r="E127" s="100" t="str">
        <f aca="false">IF($P$127="","",SUMIFS(Mastersheet!$F$2:$F$400,Mastersheet!$A$2:$A$400,$P$127)/1000)</f>
        <v/>
      </c>
      <c r="F127" s="100" t="str">
        <f aca="false">IF($P$127="","",SUMIFS(Mastersheet!$G$2:$G$400,Mastersheet!$A$2:$A$400,$P$127)/1000)</f>
        <v/>
      </c>
      <c r="G127" s="100" t="str">
        <f aca="false">IF($P$127="","",SUMIFS(Mastersheet!$H$2:$H$400,Mastersheet!$A$2:$A$400,$P$127)/1000)</f>
        <v/>
      </c>
      <c r="H127" s="100" t="str">
        <f aca="false">IF($P$127="","",SUMIFS(Mastersheet!$I$2:$I$400,Mastersheet!$A$2:$A$400,$P$127)/1000)</f>
        <v/>
      </c>
      <c r="I127" s="102" t="str">
        <f aca="false">IF($P$127="","",SUMIFS(Mastersheet!$J$2:$J$400,Mastersheet!$A$2:$A$400,$P$127)/1000)</f>
        <v/>
      </c>
      <c r="J127" s="103" t="str">
        <f aca="false">IF($P$127="","",SUMIFS(Mastersheet!$K$2:$K$400,Mastersheet!$A$2:$A$400,$P$127)/1000)</f>
        <v/>
      </c>
      <c r="K127" s="103" t="str">
        <f aca="false">IF($P$127="","",SUMIFS(Mastersheet!$L$2:$L$400,Mastersheet!$A$2:$A$400,$P$127)/1000)</f>
        <v/>
      </c>
      <c r="L127" s="103" t="str">
        <f aca="false">IF($P$127="","",SUMIFS(Mastersheet!$M$2:$M$400,Mastersheet!$A$2:$A$400,$P$127)/1000)</f>
        <v/>
      </c>
      <c r="M127" s="103" t="str">
        <f aca="false">IF($P$127="","",SUMIFS(Mastersheet!$N$2:$N$400,Mastersheet!$A$2:$A$400,$P$127)/1000)</f>
        <v/>
      </c>
      <c r="P127" s="97"/>
      <c r="Q127" s="104" t="s">
        <v>415</v>
      </c>
      <c r="R127" s="104" t="s">
        <v>416</v>
      </c>
    </row>
    <row r="128" customFormat="false" ht="11.25" hidden="true" customHeight="true" outlineLevel="3" collapsed="false">
      <c r="C128" s="99"/>
      <c r="D128" s="99"/>
      <c r="E128" s="100" t="str">
        <f aca="false">IF($P$128="","",SUMIFS(Mastersheet!$F$2:$F$400,Mastersheet!$A$2:$A$400,$P$128)/1000)</f>
        <v/>
      </c>
      <c r="F128" s="100" t="str">
        <f aca="false">IF($P$128="","",SUMIFS(Mastersheet!$G$2:$G$400,Mastersheet!$A$2:$A$400,$P$128)/1000)</f>
        <v/>
      </c>
      <c r="G128" s="100" t="str">
        <f aca="false">IF($P$128="","",SUMIFS(Mastersheet!$H$2:$H$400,Mastersheet!$A$2:$A$400,$P$128)/1000)</f>
        <v/>
      </c>
      <c r="H128" s="100" t="str">
        <f aca="false">IF($P$128="","",SUMIFS(Mastersheet!$I$2:$I$400,Mastersheet!$A$2:$A$400,$P$128)/1000)</f>
        <v/>
      </c>
      <c r="I128" s="102" t="str">
        <f aca="false">IF($P$128="","",SUMIFS(Mastersheet!$J$2:$J$400,Mastersheet!$A$2:$A$400,$P$128)/1000)</f>
        <v/>
      </c>
      <c r="J128" s="103" t="str">
        <f aca="false">IF($P$128="","",SUMIFS(Mastersheet!$K$2:$K$400,Mastersheet!$A$2:$A$400,$P$128)/1000)</f>
        <v/>
      </c>
      <c r="K128" s="103" t="str">
        <f aca="false">IF($P$128="","",SUMIFS(Mastersheet!$L$2:$L$400,Mastersheet!$A$2:$A$400,$P$128)/1000)</f>
        <v/>
      </c>
      <c r="L128" s="103" t="str">
        <f aca="false">IF($P$128="","",SUMIFS(Mastersheet!$M$2:$M$400,Mastersheet!$A$2:$A$400,$P$128)/1000)</f>
        <v/>
      </c>
      <c r="M128" s="103" t="str">
        <f aca="false">IF($P$128="","",SUMIFS(Mastersheet!$N$2:$N$400,Mastersheet!$A$2:$A$400,$P$128)/1000)</f>
        <v/>
      </c>
      <c r="P128" s="97"/>
      <c r="Q128" s="104" t="s">
        <v>415</v>
      </c>
      <c r="R128" s="104" t="s">
        <v>416</v>
      </c>
    </row>
    <row r="129" customFormat="false" ht="11.25" hidden="false" customHeight="true" outlineLevel="0" collapsed="false">
      <c r="C129" s="51" t="s">
        <v>512</v>
      </c>
      <c r="D129" s="51" t="s">
        <v>513</v>
      </c>
      <c r="E129" s="159" t="n">
        <f aca="false">SUMIFS(Mastersheet!$F$2:$F$400,Mastersheet!$D$2:$D$400,$P129,Mastersheet!$C$2:$C$400,$Q129)/1000</f>
        <v>0</v>
      </c>
      <c r="F129" s="159" t="n">
        <f aca="false">SUMIFS(Mastersheet!$G$2:$G$400,Mastersheet!$D$2:$D$400,$P129,Mastersheet!$C$2:$C$400,$Q129)/1000</f>
        <v>0</v>
      </c>
      <c r="G129" s="159" t="n">
        <f aca="false">SUMIFS(Mastersheet!$H$2:$H$400,Mastersheet!$D$2:$D$400,$P129,Mastersheet!$C$2:$C$400,$Q129)/1000</f>
        <v>0</v>
      </c>
      <c r="H129" s="159" t="n">
        <f aca="false">SUMIFS(Mastersheet!$I$2:$I$400,Mastersheet!$D$2:$D$400,$P129,Mastersheet!$C$2:$C$400,$Q129)/1000</f>
        <v>0</v>
      </c>
      <c r="I129" s="160" t="n">
        <f aca="false">SUMIFS(Mastersheet!$J$2:$J$400,Mastersheet!$D$2:$D$400,$P129,Mastersheet!$C$2:$C$400,$Q129)/1000</f>
        <v>0</v>
      </c>
      <c r="J129" s="161" t="n">
        <f aca="false">SUMIFS(Mastersheet!$K$2:$K$400,Mastersheet!$D$2:$D$400,$P129,Mastersheet!$C$2:$C$400,$Q129)/1000</f>
        <v>0</v>
      </c>
      <c r="K129" s="161" t="n">
        <f aca="false">SUMIFS(Mastersheet!$L$2:$L$400,Mastersheet!$D$2:$D$400,$P129,Mastersheet!$C$2:$C$400,$Q129)/1000</f>
        <v>0</v>
      </c>
      <c r="L129" s="161" t="n">
        <f aca="false">SUMIFS(Mastersheet!$M$2:$M$400,Mastersheet!$D$2:$D$400,$P129,Mastersheet!$C$2:$C$400,$Q129)/1000</f>
        <v>0</v>
      </c>
      <c r="M129" s="161" t="n">
        <f aca="false">SUMIFS(Mastersheet!$N$2:$N$400,Mastersheet!$D$2:$D$400,$P129,Mastersheet!$C$2:$C$400,$Q129)/1000</f>
        <v>0</v>
      </c>
      <c r="P129" s="97" t="s">
        <v>512</v>
      </c>
      <c r="Q129" s="98" t="s">
        <v>511</v>
      </c>
      <c r="R129" s="98" t="s">
        <v>414</v>
      </c>
    </row>
    <row r="130" customFormat="false" ht="11.25" hidden="true" customHeight="true" outlineLevel="3" collapsed="false">
      <c r="C130" s="99"/>
      <c r="D130" s="99"/>
      <c r="E130" s="100" t="str">
        <f aca="false">IF($P$130="","",SUMIFS(Mastersheet!$F$2:$F$400,Mastersheet!$A$2:$A$400,$P$130)/1000)</f>
        <v/>
      </c>
      <c r="F130" s="100" t="str">
        <f aca="false">IF($P$130="","",SUMIFS(Mastersheet!$G$2:$G$400,Mastersheet!$A$2:$A$400,$P$130)/1000)</f>
        <v/>
      </c>
      <c r="G130" s="100" t="str">
        <f aca="false">IF($P$130="","",SUMIFS(Mastersheet!$H$2:$H$400,Mastersheet!$A$2:$A$400,$P$130)/1000)</f>
        <v/>
      </c>
      <c r="H130" s="100" t="str">
        <f aca="false">IF($P$130="","",SUMIFS(Mastersheet!$I$2:$I$400,Mastersheet!$A$2:$A$400,$P$130)/1000)</f>
        <v/>
      </c>
      <c r="I130" s="102" t="str">
        <f aca="false">IF($P$130="","",SUMIFS(Mastersheet!$J$2:$J$400,Mastersheet!$A$2:$A$400,$P$130)/1000)</f>
        <v/>
      </c>
      <c r="J130" s="103" t="str">
        <f aca="false">IF($P$130="","",SUMIFS(Mastersheet!$K$2:$K$400,Mastersheet!$A$2:$A$400,$P$130)/1000)</f>
        <v/>
      </c>
      <c r="K130" s="103" t="str">
        <f aca="false">IF($P$130="","",SUMIFS(Mastersheet!$L$2:$L$400,Mastersheet!$A$2:$A$400,$P$130)/1000)</f>
        <v/>
      </c>
      <c r="L130" s="103" t="str">
        <f aca="false">IF($P$130="","",SUMIFS(Mastersheet!$M$2:$M$400,Mastersheet!$A$2:$A$400,$P$130)/1000)</f>
        <v/>
      </c>
      <c r="M130" s="103" t="str">
        <f aca="false">IF($P$130="","",SUMIFS(Mastersheet!$N$2:$N$400,Mastersheet!$A$2:$A$400,$P$130)/1000)</f>
        <v/>
      </c>
      <c r="P130" s="97"/>
      <c r="Q130" s="104" t="s">
        <v>415</v>
      </c>
      <c r="R130" s="104" t="s">
        <v>416</v>
      </c>
    </row>
    <row r="131" customFormat="false" ht="11.25" hidden="true" customHeight="true" outlineLevel="3" collapsed="false">
      <c r="C131" s="99"/>
      <c r="D131" s="99"/>
      <c r="E131" s="100" t="str">
        <f aca="false">IF($P$131="","",SUMIFS(Mastersheet!$F$2:$F$400,Mastersheet!$A$2:$A$400,$P$131)/1000)</f>
        <v/>
      </c>
      <c r="F131" s="100" t="str">
        <f aca="false">IF($P$131="","",SUMIFS(Mastersheet!$G$2:$G$400,Mastersheet!$A$2:$A$400,$P$131)/1000)</f>
        <v/>
      </c>
      <c r="G131" s="100" t="str">
        <f aca="false">IF($P$131="","",SUMIFS(Mastersheet!$H$2:$H$400,Mastersheet!$A$2:$A$400,$P$131)/1000)</f>
        <v/>
      </c>
      <c r="H131" s="100" t="str">
        <f aca="false">IF($P$131="","",SUMIFS(Mastersheet!$I$2:$I$400,Mastersheet!$A$2:$A$400,$P$131)/1000)</f>
        <v/>
      </c>
      <c r="I131" s="102" t="str">
        <f aca="false">IF($P$131="","",SUMIFS(Mastersheet!$J$2:$J$400,Mastersheet!$A$2:$A$400,$P$131)/1000)</f>
        <v/>
      </c>
      <c r="J131" s="103" t="str">
        <f aca="false">IF($P$131="","",SUMIFS(Mastersheet!$K$2:$K$400,Mastersheet!$A$2:$A$400,$P$131)/1000)</f>
        <v/>
      </c>
      <c r="K131" s="103" t="str">
        <f aca="false">IF($P$131="","",SUMIFS(Mastersheet!$L$2:$L$400,Mastersheet!$A$2:$A$400,$P$131)/1000)</f>
        <v/>
      </c>
      <c r="L131" s="103" t="str">
        <f aca="false">IF($P$131="","",SUMIFS(Mastersheet!$M$2:$M$400,Mastersheet!$A$2:$A$400,$P$131)/1000)</f>
        <v/>
      </c>
      <c r="M131" s="103" t="str">
        <f aca="false">IF($P$131="","",SUMIFS(Mastersheet!$N$2:$N$400,Mastersheet!$A$2:$A$400,$P$131)/1000)</f>
        <v/>
      </c>
      <c r="P131" s="97"/>
      <c r="Q131" s="104" t="s">
        <v>415</v>
      </c>
      <c r="R131" s="104" t="s">
        <v>416</v>
      </c>
    </row>
    <row r="132" customFormat="false" ht="11.25" hidden="true" customHeight="true" outlineLevel="3" collapsed="false">
      <c r="C132" s="99"/>
      <c r="D132" s="99"/>
      <c r="E132" s="100" t="str">
        <f aca="false">IF($P$132="","",SUMIFS(Mastersheet!$F$2:$F$400,Mastersheet!$A$2:$A$400,$P$132)/1000)</f>
        <v/>
      </c>
      <c r="F132" s="100" t="str">
        <f aca="false">IF($P$132="","",SUMIFS(Mastersheet!$G$2:$G$400,Mastersheet!$A$2:$A$400,$P$132)/1000)</f>
        <v/>
      </c>
      <c r="G132" s="100" t="str">
        <f aca="false">IF($P$132="","",SUMIFS(Mastersheet!$H$2:$H$400,Mastersheet!$A$2:$A$400,$P$132)/1000)</f>
        <v/>
      </c>
      <c r="H132" s="100" t="str">
        <f aca="false">IF($P$132="","",SUMIFS(Mastersheet!$I$2:$I$400,Mastersheet!$A$2:$A$400,$P$132)/1000)</f>
        <v/>
      </c>
      <c r="I132" s="102" t="str">
        <f aca="false">IF($P$132="","",SUMIFS(Mastersheet!$J$2:$J$400,Mastersheet!$A$2:$A$400,$P$132)/1000)</f>
        <v/>
      </c>
      <c r="J132" s="103" t="str">
        <f aca="false">IF($P$132="","",SUMIFS(Mastersheet!$K$2:$K$400,Mastersheet!$A$2:$A$400,$P$132)/1000)</f>
        <v/>
      </c>
      <c r="K132" s="103" t="str">
        <f aca="false">IF($P$132="","",SUMIFS(Mastersheet!$L$2:$L$400,Mastersheet!$A$2:$A$400,$P$132)/1000)</f>
        <v/>
      </c>
      <c r="L132" s="103" t="str">
        <f aca="false">IF($P$132="","",SUMIFS(Mastersheet!$M$2:$M$400,Mastersheet!$A$2:$A$400,$P$132)/1000)</f>
        <v/>
      </c>
      <c r="M132" s="103" t="str">
        <f aca="false">IF($P$132="","",SUMIFS(Mastersheet!$N$2:$N$400,Mastersheet!$A$2:$A$400,$P$132)/1000)</f>
        <v/>
      </c>
      <c r="P132" s="97"/>
      <c r="Q132" s="104" t="s">
        <v>415</v>
      </c>
      <c r="R132" s="104" t="s">
        <v>416</v>
      </c>
    </row>
    <row r="133" customFormat="false" ht="11.25" hidden="true" customHeight="true" outlineLevel="3" collapsed="false">
      <c r="C133" s="99"/>
      <c r="D133" s="99"/>
      <c r="E133" s="100" t="str">
        <f aca="false">IF($P$133="","",SUMIFS(Mastersheet!$F$2:$F$400,Mastersheet!$A$2:$A$400,$P$133)/1000)</f>
        <v/>
      </c>
      <c r="F133" s="100" t="str">
        <f aca="false">IF($P$133="","",SUMIFS(Mastersheet!$G$2:$G$400,Mastersheet!$A$2:$A$400,$P$133)/1000)</f>
        <v/>
      </c>
      <c r="G133" s="100" t="str">
        <f aca="false">IF($P$133="","",SUMIFS(Mastersheet!$H$2:$H$400,Mastersheet!$A$2:$A$400,$P$133)/1000)</f>
        <v/>
      </c>
      <c r="H133" s="100" t="str">
        <f aca="false">IF($P$133="","",SUMIFS(Mastersheet!$I$2:$I$400,Mastersheet!$A$2:$A$400,$P$133)/1000)</f>
        <v/>
      </c>
      <c r="I133" s="102" t="str">
        <f aca="false">IF($P$133="","",SUMIFS(Mastersheet!$J$2:$J$400,Mastersheet!$A$2:$A$400,$P$133)/1000)</f>
        <v/>
      </c>
      <c r="J133" s="103" t="str">
        <f aca="false">IF($P$133="","",SUMIFS(Mastersheet!$K$2:$K$400,Mastersheet!$A$2:$A$400,$P$133)/1000)</f>
        <v/>
      </c>
      <c r="K133" s="103" t="str">
        <f aca="false">IF($P$133="","",SUMIFS(Mastersheet!$L$2:$L$400,Mastersheet!$A$2:$A$400,$P$133)/1000)</f>
        <v/>
      </c>
      <c r="L133" s="103" t="str">
        <f aca="false">IF($P$133="","",SUMIFS(Mastersheet!$M$2:$M$400,Mastersheet!$A$2:$A$400,$P$133)/1000)</f>
        <v/>
      </c>
      <c r="M133" s="103" t="str">
        <f aca="false">IF($P$133="","",SUMIFS(Mastersheet!$N$2:$N$400,Mastersheet!$A$2:$A$400,$P$133)/1000)</f>
        <v/>
      </c>
      <c r="P133" s="97"/>
      <c r="Q133" s="104" t="s">
        <v>415</v>
      </c>
      <c r="R133" s="104" t="s">
        <v>416</v>
      </c>
    </row>
    <row r="134" customFormat="false" ht="11.25" hidden="true" customHeight="true" outlineLevel="3" collapsed="false">
      <c r="C134" s="99"/>
      <c r="D134" s="99"/>
      <c r="E134" s="100" t="str">
        <f aca="false">IF($P$134="","",SUMIFS(Mastersheet!$F$2:$F$400,Mastersheet!$A$2:$A$400,$P$134)/1000)</f>
        <v/>
      </c>
      <c r="F134" s="100" t="str">
        <f aca="false">IF($P$134="","",SUMIFS(Mastersheet!$G$2:$G$400,Mastersheet!$A$2:$A$400,$P$134)/1000)</f>
        <v/>
      </c>
      <c r="G134" s="100" t="str">
        <f aca="false">IF($P$134="","",SUMIFS(Mastersheet!$H$2:$H$400,Mastersheet!$A$2:$A$400,$P$134)/1000)</f>
        <v/>
      </c>
      <c r="H134" s="100" t="str">
        <f aca="false">IF($P$134="","",SUMIFS(Mastersheet!$I$2:$I$400,Mastersheet!$A$2:$A$400,$P$134)/1000)</f>
        <v/>
      </c>
      <c r="I134" s="102" t="str">
        <f aca="false">IF($P$134="","",SUMIFS(Mastersheet!$J$2:$J$400,Mastersheet!$A$2:$A$400,$P$134)/1000)</f>
        <v/>
      </c>
      <c r="J134" s="103" t="str">
        <f aca="false">IF($P$134="","",SUMIFS(Mastersheet!$K$2:$K$400,Mastersheet!$A$2:$A$400,$P$134)/1000)</f>
        <v/>
      </c>
      <c r="K134" s="103" t="str">
        <f aca="false">IF($P$134="","",SUMIFS(Mastersheet!$L$2:$L$400,Mastersheet!$A$2:$A$400,$P$134)/1000)</f>
        <v/>
      </c>
      <c r="L134" s="103" t="str">
        <f aca="false">IF($P$134="","",SUMIFS(Mastersheet!$M$2:$M$400,Mastersheet!$A$2:$A$400,$P$134)/1000)</f>
        <v/>
      </c>
      <c r="M134" s="103" t="str">
        <f aca="false">IF($P$134="","",SUMIFS(Mastersheet!$N$2:$N$400,Mastersheet!$A$2:$A$400,$P$134)/1000)</f>
        <v/>
      </c>
      <c r="P134" s="97"/>
      <c r="Q134" s="104" t="s">
        <v>415</v>
      </c>
      <c r="R134" s="104" t="s">
        <v>416</v>
      </c>
    </row>
    <row r="135" customFormat="false" ht="11.25" hidden="true" customHeight="true" outlineLevel="3" collapsed="false">
      <c r="C135" s="99"/>
      <c r="D135" s="99"/>
      <c r="E135" s="100" t="str">
        <f aca="false">IF($P$135="","",SUMIFS(Mastersheet!$F$2:$F$400,Mastersheet!$A$2:$A$400,$P$135)/1000)</f>
        <v/>
      </c>
      <c r="F135" s="100" t="str">
        <f aca="false">IF($P$135="","",SUMIFS(Mastersheet!$G$2:$G$400,Mastersheet!$A$2:$A$400,$P$135)/1000)</f>
        <v/>
      </c>
      <c r="G135" s="100" t="str">
        <f aca="false">IF($P$135="","",SUMIFS(Mastersheet!$H$2:$H$400,Mastersheet!$A$2:$A$400,$P$135)/1000)</f>
        <v/>
      </c>
      <c r="H135" s="100" t="str">
        <f aca="false">IF($P$135="","",SUMIFS(Mastersheet!$I$2:$I$400,Mastersheet!$A$2:$A$400,$P$135)/1000)</f>
        <v/>
      </c>
      <c r="I135" s="102" t="str">
        <f aca="false">IF($P$135="","",SUMIFS(Mastersheet!$J$2:$J$400,Mastersheet!$A$2:$A$400,$P$135)/1000)</f>
        <v/>
      </c>
      <c r="J135" s="103" t="str">
        <f aca="false">IF($P$135="","",SUMIFS(Mastersheet!$K$2:$K$400,Mastersheet!$A$2:$A$400,$P$135)/1000)</f>
        <v/>
      </c>
      <c r="K135" s="103" t="str">
        <f aca="false">IF($P$135="","",SUMIFS(Mastersheet!$L$2:$L$400,Mastersheet!$A$2:$A$400,$P$135)/1000)</f>
        <v/>
      </c>
      <c r="L135" s="103" t="str">
        <f aca="false">IF($P$135="","",SUMIFS(Mastersheet!$M$2:$M$400,Mastersheet!$A$2:$A$400,$P$135)/1000)</f>
        <v/>
      </c>
      <c r="M135" s="103" t="str">
        <f aca="false">IF($P$135="","",SUMIFS(Mastersheet!$N$2:$N$400,Mastersheet!$A$2:$A$400,$P$135)/1000)</f>
        <v/>
      </c>
      <c r="P135" s="97"/>
      <c r="Q135" s="104" t="s">
        <v>415</v>
      </c>
      <c r="R135" s="104" t="s">
        <v>416</v>
      </c>
    </row>
    <row r="136" customFormat="false" ht="11.25" hidden="true" customHeight="true" outlineLevel="3" collapsed="false">
      <c r="C136" s="99"/>
      <c r="D136" s="99"/>
      <c r="E136" s="100" t="str">
        <f aca="false">IF($P$136="","",SUMIFS(Mastersheet!$F$2:$F$400,Mastersheet!$A$2:$A$400,$P$136)/1000)</f>
        <v/>
      </c>
      <c r="F136" s="100" t="str">
        <f aca="false">IF($P$136="","",SUMIFS(Mastersheet!$G$2:$G$400,Mastersheet!$A$2:$A$400,$P$136)/1000)</f>
        <v/>
      </c>
      <c r="G136" s="100" t="str">
        <f aca="false">IF($P$136="","",SUMIFS(Mastersheet!$H$2:$H$400,Mastersheet!$A$2:$A$400,$P$136)/1000)</f>
        <v/>
      </c>
      <c r="H136" s="100" t="str">
        <f aca="false">IF($P$136="","",SUMIFS(Mastersheet!$I$2:$I$400,Mastersheet!$A$2:$A$400,$P$136)/1000)</f>
        <v/>
      </c>
      <c r="I136" s="102" t="str">
        <f aca="false">IF($P$136="","",SUMIFS(Mastersheet!$J$2:$J$400,Mastersheet!$A$2:$A$400,$P$136)/1000)</f>
        <v/>
      </c>
      <c r="J136" s="103" t="str">
        <f aca="false">IF($P$136="","",SUMIFS(Mastersheet!$K$2:$K$400,Mastersheet!$A$2:$A$400,$P$136)/1000)</f>
        <v/>
      </c>
      <c r="K136" s="103" t="str">
        <f aca="false">IF($P$136="","",SUMIFS(Mastersheet!$L$2:$L$400,Mastersheet!$A$2:$A$400,$P$136)/1000)</f>
        <v/>
      </c>
      <c r="L136" s="103" t="str">
        <f aca="false">IF($P$136="","",SUMIFS(Mastersheet!$M$2:$M$400,Mastersheet!$A$2:$A$400,$P$136)/1000)</f>
        <v/>
      </c>
      <c r="M136" s="103" t="str">
        <f aca="false">IF($P$136="","",SUMIFS(Mastersheet!$N$2:$N$400,Mastersheet!$A$2:$A$400,$P$136)/1000)</f>
        <v/>
      </c>
      <c r="P136" s="97"/>
      <c r="Q136" s="104" t="s">
        <v>415</v>
      </c>
      <c r="R136" s="104" t="s">
        <v>416</v>
      </c>
    </row>
    <row r="137" customFormat="false" ht="11.25" hidden="true" customHeight="true" outlineLevel="3" collapsed="false">
      <c r="C137" s="99"/>
      <c r="D137" s="99"/>
      <c r="E137" s="100" t="str">
        <f aca="false">IF($P$137="","",SUMIFS(Mastersheet!$F$2:$F$400,Mastersheet!$A$2:$A$400,$P$137)/1000)</f>
        <v/>
      </c>
      <c r="F137" s="100" t="str">
        <f aca="false">IF($P$137="","",SUMIFS(Mastersheet!$G$2:$G$400,Mastersheet!$A$2:$A$400,$P$137)/1000)</f>
        <v/>
      </c>
      <c r="G137" s="100" t="str">
        <f aca="false">IF($P$137="","",SUMIFS(Mastersheet!$H$2:$H$400,Mastersheet!$A$2:$A$400,$P$137)/1000)</f>
        <v/>
      </c>
      <c r="H137" s="100" t="str">
        <f aca="false">IF($P$137="","",SUMIFS(Mastersheet!$I$2:$I$400,Mastersheet!$A$2:$A$400,$P$137)/1000)</f>
        <v/>
      </c>
      <c r="I137" s="102" t="str">
        <f aca="false">IF($P$137="","",SUMIFS(Mastersheet!$J$2:$J$400,Mastersheet!$A$2:$A$400,$P$137)/1000)</f>
        <v/>
      </c>
      <c r="J137" s="103" t="str">
        <f aca="false">IF($P$137="","",SUMIFS(Mastersheet!$K$2:$K$400,Mastersheet!$A$2:$A$400,$P$137)/1000)</f>
        <v/>
      </c>
      <c r="K137" s="103" t="str">
        <f aca="false">IF($P$137="","",SUMIFS(Mastersheet!$L$2:$L$400,Mastersheet!$A$2:$A$400,$P$137)/1000)</f>
        <v/>
      </c>
      <c r="L137" s="103" t="str">
        <f aca="false">IF($P$137="","",SUMIFS(Mastersheet!$M$2:$M$400,Mastersheet!$A$2:$A$400,$P$137)/1000)</f>
        <v/>
      </c>
      <c r="M137" s="103" t="str">
        <f aca="false">IF($P$137="","",SUMIFS(Mastersheet!$N$2:$N$400,Mastersheet!$A$2:$A$400,$P$137)/1000)</f>
        <v/>
      </c>
      <c r="P137" s="97"/>
      <c r="Q137" s="104" t="s">
        <v>415</v>
      </c>
      <c r="R137" s="104" t="s">
        <v>416</v>
      </c>
    </row>
    <row r="138" customFormat="false" ht="11.25" hidden="false" customHeight="true" outlineLevel="0" collapsed="false">
      <c r="C138" s="51" t="s">
        <v>514</v>
      </c>
      <c r="D138" s="51" t="s">
        <v>515</v>
      </c>
      <c r="E138" s="159" t="n">
        <f aca="false">SUMIFS(Mastersheet!$F$2:$F$400,Mastersheet!$D$2:$D$400,$P138,Mastersheet!$C$2:$C$400,$Q138)/1000</f>
        <v>0</v>
      </c>
      <c r="F138" s="159" t="n">
        <f aca="false">SUMIFS(Mastersheet!$G$2:$G$400,Mastersheet!$D$2:$D$400,$P138,Mastersheet!$C$2:$C$400,$Q138)/1000</f>
        <v>0</v>
      </c>
      <c r="G138" s="159" t="n">
        <f aca="false">SUMIFS(Mastersheet!$H$2:$H$400,Mastersheet!$D$2:$D$400,$P138,Mastersheet!$C$2:$C$400,$Q138)/1000</f>
        <v>0</v>
      </c>
      <c r="H138" s="159" t="n">
        <f aca="false">SUMIFS(Mastersheet!$I$2:$I$400,Mastersheet!$D$2:$D$400,$P138,Mastersheet!$C$2:$C$400,$Q138)/1000</f>
        <v>0</v>
      </c>
      <c r="I138" s="160" t="n">
        <f aca="false">SUMIFS(Mastersheet!$J$2:$J$400,Mastersheet!$D$2:$D$400,$P138,Mastersheet!$C$2:$C$400,$Q138)/1000</f>
        <v>0</v>
      </c>
      <c r="J138" s="161" t="n">
        <f aca="false">SUMIFS(Mastersheet!$K$2:$K$400,Mastersheet!$D$2:$D$400,$P138,Mastersheet!$C$2:$C$400,$Q138)/1000</f>
        <v>0</v>
      </c>
      <c r="K138" s="161" t="n">
        <f aca="false">SUMIFS(Mastersheet!$L$2:$L$400,Mastersheet!$D$2:$D$400,$P138,Mastersheet!$C$2:$C$400,$Q138)/1000</f>
        <v>0</v>
      </c>
      <c r="L138" s="161" t="n">
        <f aca="false">SUMIFS(Mastersheet!$M$2:$M$400,Mastersheet!$D$2:$D$400,$P138,Mastersheet!$C$2:$C$400,$Q138)/1000</f>
        <v>0</v>
      </c>
      <c r="M138" s="161" t="n">
        <f aca="false">SUMIFS(Mastersheet!$N$2:$N$400,Mastersheet!$D$2:$D$400,$P138,Mastersheet!$C$2:$C$400,$Q138)/1000</f>
        <v>0</v>
      </c>
      <c r="P138" s="97" t="s">
        <v>516</v>
      </c>
      <c r="Q138" s="98" t="s">
        <v>511</v>
      </c>
      <c r="R138" s="98" t="s">
        <v>414</v>
      </c>
    </row>
    <row r="139" customFormat="false" ht="11.25" hidden="true" customHeight="true" outlineLevel="3" collapsed="false">
      <c r="C139" s="99"/>
      <c r="D139" s="99"/>
      <c r="E139" s="100" t="str">
        <f aca="false">IF($P$139="","",SUMIFS(Mastersheet!$F$2:$F$400,Mastersheet!$A$2:$A$400,$P$139)/1000)</f>
        <v/>
      </c>
      <c r="F139" s="100" t="str">
        <f aca="false">IF($P$139="","",SUMIFS(Mastersheet!$G$2:$G$400,Mastersheet!$A$2:$A$400,$P$139)/1000)</f>
        <v/>
      </c>
      <c r="G139" s="100" t="str">
        <f aca="false">IF($P$139="","",SUMIFS(Mastersheet!$H$2:$H$400,Mastersheet!$A$2:$A$400,$P$139)/1000)</f>
        <v/>
      </c>
      <c r="H139" s="100" t="str">
        <f aca="false">IF($P$139="","",SUMIFS(Mastersheet!$I$2:$I$400,Mastersheet!$A$2:$A$400,$P$139)/1000)</f>
        <v/>
      </c>
      <c r="I139" s="102" t="str">
        <f aca="false">IF($P$139="","",SUMIFS(Mastersheet!$J$2:$J$400,Mastersheet!$A$2:$A$400,$P$139)/1000)</f>
        <v/>
      </c>
      <c r="J139" s="103" t="str">
        <f aca="false">IF($P$139="","",SUMIFS(Mastersheet!$K$2:$K$400,Mastersheet!$A$2:$A$400,$P$139)/1000)</f>
        <v/>
      </c>
      <c r="K139" s="103" t="str">
        <f aca="false">IF($P$139="","",SUMIFS(Mastersheet!$L$2:$L$400,Mastersheet!$A$2:$A$400,$P$139)/1000)</f>
        <v/>
      </c>
      <c r="L139" s="103" t="str">
        <f aca="false">IF($P$139="","",SUMIFS(Mastersheet!$M$2:$M$400,Mastersheet!$A$2:$A$400,$P$139)/1000)</f>
        <v/>
      </c>
      <c r="M139" s="103" t="str">
        <f aca="false">IF($P$139="","",SUMIFS(Mastersheet!$N$2:$N$400,Mastersheet!$A$2:$A$400,$P$139)/1000)</f>
        <v/>
      </c>
      <c r="P139" s="97"/>
      <c r="Q139" s="104" t="s">
        <v>415</v>
      </c>
      <c r="R139" s="104" t="s">
        <v>416</v>
      </c>
    </row>
    <row r="140" customFormat="false" ht="11.25" hidden="true" customHeight="true" outlineLevel="3" collapsed="false">
      <c r="C140" s="99"/>
      <c r="D140" s="99"/>
      <c r="E140" s="100" t="str">
        <f aca="false">IF($P$140="","",SUMIFS(Mastersheet!$F$2:$F$400,Mastersheet!$A$2:$A$400,$P$140)/1000)</f>
        <v/>
      </c>
      <c r="F140" s="100" t="str">
        <f aca="false">IF($P$140="","",SUMIFS(Mastersheet!$G$2:$G$400,Mastersheet!$A$2:$A$400,$P$140)/1000)</f>
        <v/>
      </c>
      <c r="G140" s="100" t="str">
        <f aca="false">IF($P$140="","",SUMIFS(Mastersheet!$H$2:$H$400,Mastersheet!$A$2:$A$400,$P$140)/1000)</f>
        <v/>
      </c>
      <c r="H140" s="100" t="str">
        <f aca="false">IF($P$140="","",SUMIFS(Mastersheet!$I$2:$I$400,Mastersheet!$A$2:$A$400,$P$140)/1000)</f>
        <v/>
      </c>
      <c r="I140" s="102" t="str">
        <f aca="false">IF($P$140="","",SUMIFS(Mastersheet!$J$2:$J$400,Mastersheet!$A$2:$A$400,$P$140)/1000)</f>
        <v/>
      </c>
      <c r="J140" s="103" t="str">
        <f aca="false">IF($P$140="","",SUMIFS(Mastersheet!$K$2:$K$400,Mastersheet!$A$2:$A$400,$P$140)/1000)</f>
        <v/>
      </c>
      <c r="K140" s="103" t="str">
        <f aca="false">IF($P$140="","",SUMIFS(Mastersheet!$L$2:$L$400,Mastersheet!$A$2:$A$400,$P$140)/1000)</f>
        <v/>
      </c>
      <c r="L140" s="103" t="str">
        <f aca="false">IF($P$140="","",SUMIFS(Mastersheet!$M$2:$M$400,Mastersheet!$A$2:$A$400,$P$140)/1000)</f>
        <v/>
      </c>
      <c r="M140" s="103" t="str">
        <f aca="false">IF($P$140="","",SUMIFS(Mastersheet!$N$2:$N$400,Mastersheet!$A$2:$A$400,$P$140)/1000)</f>
        <v/>
      </c>
      <c r="P140" s="97"/>
      <c r="Q140" s="104" t="s">
        <v>415</v>
      </c>
      <c r="R140" s="104" t="s">
        <v>416</v>
      </c>
    </row>
    <row r="141" customFormat="false" ht="11.25" hidden="true" customHeight="true" outlineLevel="3" collapsed="false">
      <c r="C141" s="99"/>
      <c r="D141" s="99"/>
      <c r="E141" s="100" t="str">
        <f aca="false">IF($P$141="","",SUMIFS(Mastersheet!$F$2:$F$400,Mastersheet!$A$2:$A$400,$P$141)/1000)</f>
        <v/>
      </c>
      <c r="F141" s="100" t="str">
        <f aca="false">IF($P$141="","",SUMIFS(Mastersheet!$G$2:$G$400,Mastersheet!$A$2:$A$400,$P$141)/1000)</f>
        <v/>
      </c>
      <c r="G141" s="100" t="str">
        <f aca="false">IF($P$141="","",SUMIFS(Mastersheet!$H$2:$H$400,Mastersheet!$A$2:$A$400,$P$141)/1000)</f>
        <v/>
      </c>
      <c r="H141" s="100" t="str">
        <f aca="false">IF($P$141="","",SUMIFS(Mastersheet!$I$2:$I$400,Mastersheet!$A$2:$A$400,$P$141)/1000)</f>
        <v/>
      </c>
      <c r="I141" s="102" t="str">
        <f aca="false">IF($P$141="","",SUMIFS(Mastersheet!$J$2:$J$400,Mastersheet!$A$2:$A$400,$P$141)/1000)</f>
        <v/>
      </c>
      <c r="J141" s="103" t="str">
        <f aca="false">IF($P$141="","",SUMIFS(Mastersheet!$K$2:$K$400,Mastersheet!$A$2:$A$400,$P$141)/1000)</f>
        <v/>
      </c>
      <c r="K141" s="103" t="str">
        <f aca="false">IF($P$141="","",SUMIFS(Mastersheet!$L$2:$L$400,Mastersheet!$A$2:$A$400,$P$141)/1000)</f>
        <v/>
      </c>
      <c r="L141" s="103" t="str">
        <f aca="false">IF($P$141="","",SUMIFS(Mastersheet!$M$2:$M$400,Mastersheet!$A$2:$A$400,$P$141)/1000)</f>
        <v/>
      </c>
      <c r="M141" s="103" t="str">
        <f aca="false">IF($P$141="","",SUMIFS(Mastersheet!$N$2:$N$400,Mastersheet!$A$2:$A$400,$P$141)/1000)</f>
        <v/>
      </c>
      <c r="P141" s="97"/>
      <c r="Q141" s="104" t="s">
        <v>415</v>
      </c>
      <c r="R141" s="104" t="s">
        <v>416</v>
      </c>
    </row>
    <row r="142" customFormat="false" ht="11.25" hidden="true" customHeight="true" outlineLevel="3" collapsed="false">
      <c r="C142" s="99"/>
      <c r="D142" s="99"/>
      <c r="E142" s="100" t="str">
        <f aca="false">IF($P$142="","",SUMIFS(Mastersheet!$F$2:$F$400,Mastersheet!$A$2:$A$400,$P$142)/1000)</f>
        <v/>
      </c>
      <c r="F142" s="100" t="str">
        <f aca="false">IF($P$142="","",SUMIFS(Mastersheet!$G$2:$G$400,Mastersheet!$A$2:$A$400,$P$142)/1000)</f>
        <v/>
      </c>
      <c r="G142" s="100" t="str">
        <f aca="false">IF($P$142="","",SUMIFS(Mastersheet!$H$2:$H$400,Mastersheet!$A$2:$A$400,$P$142)/1000)</f>
        <v/>
      </c>
      <c r="H142" s="100" t="str">
        <f aca="false">IF($P$142="","",SUMIFS(Mastersheet!$I$2:$I$400,Mastersheet!$A$2:$A$400,$P$142)/1000)</f>
        <v/>
      </c>
      <c r="I142" s="102" t="str">
        <f aca="false">IF($P$142="","",SUMIFS(Mastersheet!$J$2:$J$400,Mastersheet!$A$2:$A$400,$P$142)/1000)</f>
        <v/>
      </c>
      <c r="J142" s="103" t="str">
        <f aca="false">IF($P$142="","",SUMIFS(Mastersheet!$K$2:$K$400,Mastersheet!$A$2:$A$400,$P$142)/1000)</f>
        <v/>
      </c>
      <c r="K142" s="103" t="str">
        <f aca="false">IF($P$142="","",SUMIFS(Mastersheet!$L$2:$L$400,Mastersheet!$A$2:$A$400,$P$142)/1000)</f>
        <v/>
      </c>
      <c r="L142" s="103" t="str">
        <f aca="false">IF($P$142="","",SUMIFS(Mastersheet!$M$2:$M$400,Mastersheet!$A$2:$A$400,$P$142)/1000)</f>
        <v/>
      </c>
      <c r="M142" s="103" t="str">
        <f aca="false">IF($P$142="","",SUMIFS(Mastersheet!$N$2:$N$400,Mastersheet!$A$2:$A$400,$P$142)/1000)</f>
        <v/>
      </c>
      <c r="P142" s="97"/>
      <c r="Q142" s="104" t="s">
        <v>415</v>
      </c>
      <c r="R142" s="104" t="s">
        <v>416</v>
      </c>
    </row>
    <row r="143" customFormat="false" ht="11.25" hidden="true" customHeight="true" outlineLevel="3" collapsed="false">
      <c r="C143" s="99"/>
      <c r="D143" s="99"/>
      <c r="E143" s="100" t="str">
        <f aca="false">IF($P$143="","",SUMIFS(Mastersheet!$F$2:$F$400,Mastersheet!$A$2:$A$400,$P$143)/1000)</f>
        <v/>
      </c>
      <c r="F143" s="100" t="str">
        <f aca="false">IF($P$143="","",SUMIFS(Mastersheet!$G$2:$G$400,Mastersheet!$A$2:$A$400,$P$143)/1000)</f>
        <v/>
      </c>
      <c r="G143" s="100" t="str">
        <f aca="false">IF($P$143="","",SUMIFS(Mastersheet!$H$2:$H$400,Mastersheet!$A$2:$A$400,$P$143)/1000)</f>
        <v/>
      </c>
      <c r="H143" s="100" t="str">
        <f aca="false">IF($P$143="","",SUMIFS(Mastersheet!$I$2:$I$400,Mastersheet!$A$2:$A$400,$P$143)/1000)</f>
        <v/>
      </c>
      <c r="I143" s="102" t="str">
        <f aca="false">IF($P$143="","",SUMIFS(Mastersheet!$J$2:$J$400,Mastersheet!$A$2:$A$400,$P$143)/1000)</f>
        <v/>
      </c>
      <c r="J143" s="103" t="str">
        <f aca="false">IF($P$143="","",SUMIFS(Mastersheet!$K$2:$K$400,Mastersheet!$A$2:$A$400,$P$143)/1000)</f>
        <v/>
      </c>
      <c r="K143" s="103" t="str">
        <f aca="false">IF($P$143="","",SUMIFS(Mastersheet!$L$2:$L$400,Mastersheet!$A$2:$A$400,$P$143)/1000)</f>
        <v/>
      </c>
      <c r="L143" s="103" t="str">
        <f aca="false">IF($P$143="","",SUMIFS(Mastersheet!$M$2:$M$400,Mastersheet!$A$2:$A$400,$P$143)/1000)</f>
        <v/>
      </c>
      <c r="M143" s="103" t="str">
        <f aca="false">IF($P$143="","",SUMIFS(Mastersheet!$N$2:$N$400,Mastersheet!$A$2:$A$400,$P$143)/1000)</f>
        <v/>
      </c>
      <c r="P143" s="97"/>
      <c r="Q143" s="104" t="s">
        <v>415</v>
      </c>
      <c r="R143" s="104" t="s">
        <v>416</v>
      </c>
    </row>
    <row r="144" customFormat="false" ht="11.25" hidden="true" customHeight="true" outlineLevel="3" collapsed="false">
      <c r="C144" s="99"/>
      <c r="D144" s="99"/>
      <c r="E144" s="100" t="str">
        <f aca="false">IF($P$144="","",SUMIFS(Mastersheet!$F$2:$F$400,Mastersheet!$A$2:$A$400,$P$144)/1000)</f>
        <v/>
      </c>
      <c r="F144" s="100" t="str">
        <f aca="false">IF($P$144="","",SUMIFS(Mastersheet!$G$2:$G$400,Mastersheet!$A$2:$A$400,$P$144)/1000)</f>
        <v/>
      </c>
      <c r="G144" s="100" t="str">
        <f aca="false">IF($P$144="","",SUMIFS(Mastersheet!$H$2:$H$400,Mastersheet!$A$2:$A$400,$P$144)/1000)</f>
        <v/>
      </c>
      <c r="H144" s="100" t="str">
        <f aca="false">IF($P$144="","",SUMIFS(Mastersheet!$I$2:$I$400,Mastersheet!$A$2:$A$400,$P$144)/1000)</f>
        <v/>
      </c>
      <c r="I144" s="102" t="str">
        <f aca="false">IF($P$144="","",SUMIFS(Mastersheet!$J$2:$J$400,Mastersheet!$A$2:$A$400,$P$144)/1000)</f>
        <v/>
      </c>
      <c r="J144" s="103" t="str">
        <f aca="false">IF($P$144="","",SUMIFS(Mastersheet!$K$2:$K$400,Mastersheet!$A$2:$A$400,$P$144)/1000)</f>
        <v/>
      </c>
      <c r="K144" s="103" t="str">
        <f aca="false">IF($P$144="","",SUMIFS(Mastersheet!$L$2:$L$400,Mastersheet!$A$2:$A$400,$P$144)/1000)</f>
        <v/>
      </c>
      <c r="L144" s="103" t="str">
        <f aca="false">IF($P$144="","",SUMIFS(Mastersheet!$M$2:$M$400,Mastersheet!$A$2:$A$400,$P$144)/1000)</f>
        <v/>
      </c>
      <c r="M144" s="103" t="str">
        <f aca="false">IF($P$144="","",SUMIFS(Mastersheet!$N$2:$N$400,Mastersheet!$A$2:$A$400,$P$144)/1000)</f>
        <v/>
      </c>
      <c r="P144" s="97"/>
      <c r="Q144" s="104" t="s">
        <v>415</v>
      </c>
      <c r="R144" s="104" t="s">
        <v>416</v>
      </c>
    </row>
    <row r="145" customFormat="false" ht="11.25" hidden="true" customHeight="true" outlineLevel="3" collapsed="false">
      <c r="C145" s="99"/>
      <c r="D145" s="99"/>
      <c r="E145" s="100" t="str">
        <f aca="false">IF($P$145="","",SUMIFS(Mastersheet!$F$2:$F$400,Mastersheet!$A$2:$A$400,$P$145)/1000)</f>
        <v/>
      </c>
      <c r="F145" s="100" t="str">
        <f aca="false">IF($P$145="","",SUMIFS(Mastersheet!$G$2:$G$400,Mastersheet!$A$2:$A$400,$P$145)/1000)</f>
        <v/>
      </c>
      <c r="G145" s="100" t="str">
        <f aca="false">IF($P$145="","",SUMIFS(Mastersheet!$H$2:$H$400,Mastersheet!$A$2:$A$400,$P$145)/1000)</f>
        <v/>
      </c>
      <c r="H145" s="100" t="str">
        <f aca="false">IF($P$145="","",SUMIFS(Mastersheet!$I$2:$I$400,Mastersheet!$A$2:$A$400,$P$145)/1000)</f>
        <v/>
      </c>
      <c r="I145" s="102" t="str">
        <f aca="false">IF($P$145="","",SUMIFS(Mastersheet!$J$2:$J$400,Mastersheet!$A$2:$A$400,$P$145)/1000)</f>
        <v/>
      </c>
      <c r="J145" s="103" t="str">
        <f aca="false">IF($P$145="","",SUMIFS(Mastersheet!$K$2:$K$400,Mastersheet!$A$2:$A$400,$P$145)/1000)</f>
        <v/>
      </c>
      <c r="K145" s="103" t="str">
        <f aca="false">IF($P$145="","",SUMIFS(Mastersheet!$L$2:$L$400,Mastersheet!$A$2:$A$400,$P$145)/1000)</f>
        <v/>
      </c>
      <c r="L145" s="103" t="str">
        <f aca="false">IF($P$145="","",SUMIFS(Mastersheet!$M$2:$M$400,Mastersheet!$A$2:$A$400,$P$145)/1000)</f>
        <v/>
      </c>
      <c r="M145" s="103" t="str">
        <f aca="false">IF($P$145="","",SUMIFS(Mastersheet!$N$2:$N$400,Mastersheet!$A$2:$A$400,$P$145)/1000)</f>
        <v/>
      </c>
      <c r="P145" s="97"/>
      <c r="Q145" s="104" t="s">
        <v>415</v>
      </c>
      <c r="R145" s="104" t="s">
        <v>416</v>
      </c>
    </row>
    <row r="146" customFormat="false" ht="11.25" hidden="true" customHeight="true" outlineLevel="3" collapsed="false">
      <c r="C146" s="99"/>
      <c r="D146" s="99"/>
      <c r="E146" s="100" t="str">
        <f aca="false">IF($P$146="","",SUMIFS(Mastersheet!$F$2:$F$400,Mastersheet!$A$2:$A$400,$P$146)/1000)</f>
        <v/>
      </c>
      <c r="F146" s="100" t="str">
        <f aca="false">IF($P$146="","",SUMIFS(Mastersheet!$G$2:$G$400,Mastersheet!$A$2:$A$400,$P$146)/1000)</f>
        <v/>
      </c>
      <c r="G146" s="100" t="str">
        <f aca="false">IF($P$146="","",SUMIFS(Mastersheet!$H$2:$H$400,Mastersheet!$A$2:$A$400,$P$146)/1000)</f>
        <v/>
      </c>
      <c r="H146" s="100" t="str">
        <f aca="false">IF($P$146="","",SUMIFS(Mastersheet!$I$2:$I$400,Mastersheet!$A$2:$A$400,$P$146)/1000)</f>
        <v/>
      </c>
      <c r="I146" s="102" t="str">
        <f aca="false">IF($P$146="","",SUMIFS(Mastersheet!$J$2:$J$400,Mastersheet!$A$2:$A$400,$P$146)/1000)</f>
        <v/>
      </c>
      <c r="J146" s="103" t="str">
        <f aca="false">IF($P$146="","",SUMIFS(Mastersheet!$K$2:$K$400,Mastersheet!$A$2:$A$400,$P$146)/1000)</f>
        <v/>
      </c>
      <c r="K146" s="103" t="str">
        <f aca="false">IF($P$146="","",SUMIFS(Mastersheet!$L$2:$L$400,Mastersheet!$A$2:$A$400,$P$146)/1000)</f>
        <v/>
      </c>
      <c r="L146" s="103" t="str">
        <f aca="false">IF($P$146="","",SUMIFS(Mastersheet!$M$2:$M$400,Mastersheet!$A$2:$A$400,$P$146)/1000)</f>
        <v/>
      </c>
      <c r="M146" s="103" t="str">
        <f aca="false">IF($P$146="","",SUMIFS(Mastersheet!$N$2:$N$400,Mastersheet!$A$2:$A$400,$P$146)/1000)</f>
        <v/>
      </c>
      <c r="P146" s="97"/>
      <c r="Q146" s="104" t="s">
        <v>415</v>
      </c>
      <c r="R146" s="104" t="s">
        <v>416</v>
      </c>
    </row>
    <row r="147" customFormat="false" ht="11.25" hidden="false" customHeight="true" outlineLevel="2" collapsed="false">
      <c r="C147" s="51" t="s">
        <v>517</v>
      </c>
      <c r="D147" s="51" t="s">
        <v>518</v>
      </c>
      <c r="E147" s="159" t="n">
        <f aca="false">SUMIFS(Mastersheet!$F$2:$F$400,Mastersheet!$D$2:$D$400,$P147,Mastersheet!$C$2:$C$400,$Q147)/1000</f>
        <v>0</v>
      </c>
      <c r="F147" s="159" t="n">
        <f aca="false">SUMIFS(Mastersheet!$G$2:$G$400,Mastersheet!$D$2:$D$400,$P147,Mastersheet!$C$2:$C$400,$Q147)/1000</f>
        <v>0</v>
      </c>
      <c r="G147" s="159" t="n">
        <f aca="false">SUMIFS(Mastersheet!$H$2:$H$400,Mastersheet!$D$2:$D$400,$P147,Mastersheet!$C$2:$C$400,$Q147)/1000</f>
        <v>0</v>
      </c>
      <c r="H147" s="159" t="n">
        <f aca="false">SUMIFS(Mastersheet!$I$2:$I$400,Mastersheet!$D$2:$D$400,$P147,Mastersheet!$C$2:$C$400,$Q147)/1000</f>
        <v>0</v>
      </c>
      <c r="I147" s="160" t="n">
        <f aca="false">SUMIFS(Mastersheet!$J$2:$J$400,Mastersheet!$D$2:$D$400,$P147,Mastersheet!$C$2:$C$400,$Q147)/1000</f>
        <v>0</v>
      </c>
      <c r="J147" s="161" t="n">
        <f aca="false">SUMIFS(Mastersheet!$K$2:$K$400,Mastersheet!$D$2:$D$400,$P147,Mastersheet!$C$2:$C$400,$Q147)/1000</f>
        <v>0</v>
      </c>
      <c r="K147" s="161" t="n">
        <f aca="false">SUMIFS(Mastersheet!$L$2:$L$400,Mastersheet!$D$2:$D$400,$P147,Mastersheet!$C$2:$C$400,$Q147)/1000</f>
        <v>0</v>
      </c>
      <c r="L147" s="161" t="n">
        <f aca="false">SUMIFS(Mastersheet!$M$2:$M$400,Mastersheet!$D$2:$D$400,$P147,Mastersheet!$C$2:$C$400,$Q147)/1000</f>
        <v>0</v>
      </c>
      <c r="M147" s="161" t="n">
        <f aca="false">SUMIFS(Mastersheet!$N$2:$N$400,Mastersheet!$D$2:$D$400,$P147,Mastersheet!$C$2:$C$400,$Q147)/1000</f>
        <v>0</v>
      </c>
      <c r="P147" s="97" t="s">
        <v>519</v>
      </c>
      <c r="Q147" s="98" t="s">
        <v>511</v>
      </c>
      <c r="R147" s="98" t="s">
        <v>414</v>
      </c>
    </row>
    <row r="148" customFormat="false" ht="11.25" hidden="true" customHeight="true" outlineLevel="3" collapsed="false">
      <c r="C148" s="99"/>
      <c r="D148" s="99"/>
      <c r="E148" s="100" t="str">
        <f aca="false">IF($P$148="","",SUMIFS(Mastersheet!$F$2:$F$400,Mastersheet!$A$2:$A$400,$P$148)/1000)</f>
        <v/>
      </c>
      <c r="F148" s="100" t="str">
        <f aca="false">IF($P$148="","",SUMIFS(Mastersheet!$G$2:$G$400,Mastersheet!$A$2:$A$400,$P$148)/1000)</f>
        <v/>
      </c>
      <c r="G148" s="100" t="str">
        <f aca="false">IF($P$148="","",SUMIFS(Mastersheet!$H$2:$H$400,Mastersheet!$A$2:$A$400,$P$148)/1000)</f>
        <v/>
      </c>
      <c r="H148" s="100" t="str">
        <f aca="false">IF($P$148="","",SUMIFS(Mastersheet!$I$2:$I$400,Mastersheet!$A$2:$A$400,$P$148)/1000)</f>
        <v/>
      </c>
      <c r="I148" s="102" t="str">
        <f aca="false">IF($P$148="","",SUMIFS(Mastersheet!$J$2:$J$400,Mastersheet!$A$2:$A$400,$P$148)/1000)</f>
        <v/>
      </c>
      <c r="J148" s="103" t="str">
        <f aca="false">IF($P$148="","",SUMIFS(Mastersheet!$K$2:$K$400,Mastersheet!$A$2:$A$400,$P$148)/1000)</f>
        <v/>
      </c>
      <c r="K148" s="103" t="str">
        <f aca="false">IF($P$148="","",SUMIFS(Mastersheet!$L$2:$L$400,Mastersheet!$A$2:$A$400,$P$148)/1000)</f>
        <v/>
      </c>
      <c r="L148" s="103" t="str">
        <f aca="false">IF($P$148="","",SUMIFS(Mastersheet!$M$2:$M$400,Mastersheet!$A$2:$A$400,$P$148)/1000)</f>
        <v/>
      </c>
      <c r="M148" s="103" t="str">
        <f aca="false">IF($P$148="","",SUMIFS(Mastersheet!$N$2:$N$400,Mastersheet!$A$2:$A$400,$P$148)/1000)</f>
        <v/>
      </c>
      <c r="P148" s="97"/>
      <c r="Q148" s="104" t="s">
        <v>415</v>
      </c>
      <c r="R148" s="104" t="s">
        <v>416</v>
      </c>
    </row>
    <row r="149" customFormat="false" ht="11.25" hidden="true" customHeight="true" outlineLevel="3" collapsed="false">
      <c r="C149" s="99"/>
      <c r="D149" s="99"/>
      <c r="E149" s="100" t="str">
        <f aca="false">IF($P$149="","",SUMIFS(Mastersheet!$F$2:$F$400,Mastersheet!$A$2:$A$400,$P$149)/1000)</f>
        <v/>
      </c>
      <c r="F149" s="100" t="str">
        <f aca="false">IF($P$149="","",SUMIFS(Mastersheet!$G$2:$G$400,Mastersheet!$A$2:$A$400,$P$149)/1000)</f>
        <v/>
      </c>
      <c r="G149" s="100" t="str">
        <f aca="false">IF($P$149="","",SUMIFS(Mastersheet!$H$2:$H$400,Mastersheet!$A$2:$A$400,$P$149)/1000)</f>
        <v/>
      </c>
      <c r="H149" s="100" t="str">
        <f aca="false">IF($P$149="","",SUMIFS(Mastersheet!$I$2:$I$400,Mastersheet!$A$2:$A$400,$P$149)/1000)</f>
        <v/>
      </c>
      <c r="I149" s="102" t="str">
        <f aca="false">IF($P$149="","",SUMIFS(Mastersheet!$J$2:$J$400,Mastersheet!$A$2:$A$400,$P$149)/1000)</f>
        <v/>
      </c>
      <c r="J149" s="103" t="str">
        <f aca="false">IF($P$149="","",SUMIFS(Mastersheet!$K$2:$K$400,Mastersheet!$A$2:$A$400,$P$149)/1000)</f>
        <v/>
      </c>
      <c r="K149" s="103" t="str">
        <f aca="false">IF($P$149="","",SUMIFS(Mastersheet!$L$2:$L$400,Mastersheet!$A$2:$A$400,$P$149)/1000)</f>
        <v/>
      </c>
      <c r="L149" s="103" t="str">
        <f aca="false">IF($P$149="","",SUMIFS(Mastersheet!$M$2:$M$400,Mastersheet!$A$2:$A$400,$P$149)/1000)</f>
        <v/>
      </c>
      <c r="M149" s="103" t="str">
        <f aca="false">IF($P$149="","",SUMIFS(Mastersheet!$N$2:$N$400,Mastersheet!$A$2:$A$400,$P$149)/1000)</f>
        <v/>
      </c>
      <c r="P149" s="97"/>
      <c r="Q149" s="104" t="s">
        <v>415</v>
      </c>
      <c r="R149" s="104" t="s">
        <v>416</v>
      </c>
    </row>
    <row r="150" customFormat="false" ht="11.25" hidden="true" customHeight="true" outlineLevel="3" collapsed="false">
      <c r="C150" s="99"/>
      <c r="D150" s="99"/>
      <c r="E150" s="100" t="str">
        <f aca="false">IF($P$150="","",SUMIFS(Mastersheet!$F$2:$F$400,Mastersheet!$A$2:$A$400,$P$150)/1000)</f>
        <v/>
      </c>
      <c r="F150" s="100" t="str">
        <f aca="false">IF($P$150="","",SUMIFS(Mastersheet!$G$2:$G$400,Mastersheet!$A$2:$A$400,$P$150)/1000)</f>
        <v/>
      </c>
      <c r="G150" s="100" t="str">
        <f aca="false">IF($P$150="","",SUMIFS(Mastersheet!$H$2:$H$400,Mastersheet!$A$2:$A$400,$P$150)/1000)</f>
        <v/>
      </c>
      <c r="H150" s="100" t="str">
        <f aca="false">IF($P$150="","",SUMIFS(Mastersheet!$I$2:$I$400,Mastersheet!$A$2:$A$400,$P$150)/1000)</f>
        <v/>
      </c>
      <c r="I150" s="102" t="str">
        <f aca="false">IF($P$150="","",SUMIFS(Mastersheet!$J$2:$J$400,Mastersheet!$A$2:$A$400,$P$150)/1000)</f>
        <v/>
      </c>
      <c r="J150" s="103" t="str">
        <f aca="false">IF($P$150="","",SUMIFS(Mastersheet!$K$2:$K$400,Mastersheet!$A$2:$A$400,$P$150)/1000)</f>
        <v/>
      </c>
      <c r="K150" s="103" t="str">
        <f aca="false">IF($P$150="","",SUMIFS(Mastersheet!$L$2:$L$400,Mastersheet!$A$2:$A$400,$P$150)/1000)</f>
        <v/>
      </c>
      <c r="L150" s="103" t="str">
        <f aca="false">IF($P$150="","",SUMIFS(Mastersheet!$M$2:$M$400,Mastersheet!$A$2:$A$400,$P$150)/1000)</f>
        <v/>
      </c>
      <c r="M150" s="103" t="str">
        <f aca="false">IF($P$150="","",SUMIFS(Mastersheet!$N$2:$N$400,Mastersheet!$A$2:$A$400,$P$150)/1000)</f>
        <v/>
      </c>
      <c r="P150" s="97"/>
      <c r="Q150" s="104" t="s">
        <v>415</v>
      </c>
      <c r="R150" s="104" t="s">
        <v>416</v>
      </c>
    </row>
    <row r="151" customFormat="false" ht="11.25" hidden="true" customHeight="true" outlineLevel="3" collapsed="false">
      <c r="C151" s="99"/>
      <c r="D151" s="99"/>
      <c r="E151" s="100" t="str">
        <f aca="false">IF($P$151="","",SUMIFS(Mastersheet!$F$2:$F$400,Mastersheet!$A$2:$A$400,$P$151)/1000)</f>
        <v/>
      </c>
      <c r="F151" s="100" t="str">
        <f aca="false">IF($P$151="","",SUMIFS(Mastersheet!$G$2:$G$400,Mastersheet!$A$2:$A$400,$P$151)/1000)</f>
        <v/>
      </c>
      <c r="G151" s="100" t="str">
        <f aca="false">IF($P$151="","",SUMIFS(Mastersheet!$H$2:$H$400,Mastersheet!$A$2:$A$400,$P$151)/1000)</f>
        <v/>
      </c>
      <c r="H151" s="100" t="str">
        <f aca="false">IF($P$151="","",SUMIFS(Mastersheet!$I$2:$I$400,Mastersheet!$A$2:$A$400,$P$151)/1000)</f>
        <v/>
      </c>
      <c r="I151" s="102" t="str">
        <f aca="false">IF($P$151="","",SUMIFS(Mastersheet!$J$2:$J$400,Mastersheet!$A$2:$A$400,$P$151)/1000)</f>
        <v/>
      </c>
      <c r="J151" s="103" t="str">
        <f aca="false">IF($P$151="","",SUMIFS(Mastersheet!$K$2:$K$400,Mastersheet!$A$2:$A$400,$P$151)/1000)</f>
        <v/>
      </c>
      <c r="K151" s="103" t="str">
        <f aca="false">IF($P$151="","",SUMIFS(Mastersheet!$L$2:$L$400,Mastersheet!$A$2:$A$400,$P$151)/1000)</f>
        <v/>
      </c>
      <c r="L151" s="103" t="str">
        <f aca="false">IF($P$151="","",SUMIFS(Mastersheet!$M$2:$M$400,Mastersheet!$A$2:$A$400,$P$151)/1000)</f>
        <v/>
      </c>
      <c r="M151" s="103" t="str">
        <f aca="false">IF($P$151="","",SUMIFS(Mastersheet!$N$2:$N$400,Mastersheet!$A$2:$A$400,$P$151)/1000)</f>
        <v/>
      </c>
      <c r="P151" s="97"/>
      <c r="Q151" s="104" t="s">
        <v>415</v>
      </c>
      <c r="R151" s="104" t="s">
        <v>416</v>
      </c>
    </row>
    <row r="152" customFormat="false" ht="11.25" hidden="true" customHeight="true" outlineLevel="3" collapsed="false">
      <c r="C152" s="99"/>
      <c r="D152" s="99"/>
      <c r="E152" s="100" t="str">
        <f aca="false">IF($P$152="","",SUMIFS(Mastersheet!$F$2:$F$400,Mastersheet!$A$2:$A$400,$P$152)/1000)</f>
        <v/>
      </c>
      <c r="F152" s="100" t="str">
        <f aca="false">IF($P$152="","",SUMIFS(Mastersheet!$G$2:$G$400,Mastersheet!$A$2:$A$400,$P$152)/1000)</f>
        <v/>
      </c>
      <c r="G152" s="100" t="str">
        <f aca="false">IF($P$152="","",SUMIFS(Mastersheet!$H$2:$H$400,Mastersheet!$A$2:$A$400,$P$152)/1000)</f>
        <v/>
      </c>
      <c r="H152" s="100" t="str">
        <f aca="false">IF($P$152="","",SUMIFS(Mastersheet!$I$2:$I$400,Mastersheet!$A$2:$A$400,$P$152)/1000)</f>
        <v/>
      </c>
      <c r="I152" s="102" t="str">
        <f aca="false">IF($P$152="","",SUMIFS(Mastersheet!$J$2:$J$400,Mastersheet!$A$2:$A$400,$P$152)/1000)</f>
        <v/>
      </c>
      <c r="J152" s="103" t="str">
        <f aca="false">IF($P$152="","",SUMIFS(Mastersheet!$K$2:$K$400,Mastersheet!$A$2:$A$400,$P$152)/1000)</f>
        <v/>
      </c>
      <c r="K152" s="103" t="str">
        <f aca="false">IF($P$152="","",SUMIFS(Mastersheet!$L$2:$L$400,Mastersheet!$A$2:$A$400,$P$152)/1000)</f>
        <v/>
      </c>
      <c r="L152" s="103" t="str">
        <f aca="false">IF($P$152="","",SUMIFS(Mastersheet!$M$2:$M$400,Mastersheet!$A$2:$A$400,$P$152)/1000)</f>
        <v/>
      </c>
      <c r="M152" s="103" t="str">
        <f aca="false">IF($P$152="","",SUMIFS(Mastersheet!$N$2:$N$400,Mastersheet!$A$2:$A$400,$P$152)/1000)</f>
        <v/>
      </c>
      <c r="P152" s="97"/>
      <c r="Q152" s="104" t="s">
        <v>415</v>
      </c>
      <c r="R152" s="104" t="s">
        <v>416</v>
      </c>
    </row>
    <row r="153" customFormat="false" ht="11.25" hidden="true" customHeight="true" outlineLevel="3" collapsed="false">
      <c r="C153" s="99"/>
      <c r="D153" s="99"/>
      <c r="E153" s="100" t="str">
        <f aca="false">IF($P$153="","",SUMIFS(Mastersheet!$F$2:$F$400,Mastersheet!$A$2:$A$400,$P$153)/1000)</f>
        <v/>
      </c>
      <c r="F153" s="100" t="str">
        <f aca="false">IF($P$153="","",SUMIFS(Mastersheet!$G$2:$G$400,Mastersheet!$A$2:$A$400,$P$153)/1000)</f>
        <v/>
      </c>
      <c r="G153" s="100" t="str">
        <f aca="false">IF($P$153="","",SUMIFS(Mastersheet!$H$2:$H$400,Mastersheet!$A$2:$A$400,$P$153)/1000)</f>
        <v/>
      </c>
      <c r="H153" s="100" t="str">
        <f aca="false">IF($P$153="","",SUMIFS(Mastersheet!$I$2:$I$400,Mastersheet!$A$2:$A$400,$P$153)/1000)</f>
        <v/>
      </c>
      <c r="I153" s="102" t="str">
        <f aca="false">IF($P$153="","",SUMIFS(Mastersheet!$J$2:$J$400,Mastersheet!$A$2:$A$400,$P$153)/1000)</f>
        <v/>
      </c>
      <c r="J153" s="103" t="str">
        <f aca="false">IF($P$153="","",SUMIFS(Mastersheet!$K$2:$K$400,Mastersheet!$A$2:$A$400,$P$153)/1000)</f>
        <v/>
      </c>
      <c r="K153" s="103" t="str">
        <f aca="false">IF($P$153="","",SUMIFS(Mastersheet!$L$2:$L$400,Mastersheet!$A$2:$A$400,$P$153)/1000)</f>
        <v/>
      </c>
      <c r="L153" s="103" t="str">
        <f aca="false">IF($P$153="","",SUMIFS(Mastersheet!$M$2:$M$400,Mastersheet!$A$2:$A$400,$P$153)/1000)</f>
        <v/>
      </c>
      <c r="M153" s="103" t="str">
        <f aca="false">IF($P$153="","",SUMIFS(Mastersheet!$N$2:$N$400,Mastersheet!$A$2:$A$400,$P$153)/1000)</f>
        <v/>
      </c>
      <c r="P153" s="97"/>
      <c r="Q153" s="104" t="s">
        <v>415</v>
      </c>
      <c r="R153" s="104" t="s">
        <v>416</v>
      </c>
    </row>
    <row r="154" customFormat="false" ht="11.25" hidden="true" customHeight="true" outlineLevel="3" collapsed="false">
      <c r="C154" s="99"/>
      <c r="D154" s="99"/>
      <c r="E154" s="100" t="str">
        <f aca="false">IF($P$154="","",SUMIFS(Mastersheet!$F$2:$F$400,Mastersheet!$A$2:$A$400,$P$154)/1000)</f>
        <v/>
      </c>
      <c r="F154" s="100" t="str">
        <f aca="false">IF($P$154="","",SUMIFS(Mastersheet!$G$2:$G$400,Mastersheet!$A$2:$A$400,$P$154)/1000)</f>
        <v/>
      </c>
      <c r="G154" s="100" t="str">
        <f aca="false">IF($P$154="","",SUMIFS(Mastersheet!$H$2:$H$400,Mastersheet!$A$2:$A$400,$P$154)/1000)</f>
        <v/>
      </c>
      <c r="H154" s="100" t="str">
        <f aca="false">IF($P$154="","",SUMIFS(Mastersheet!$I$2:$I$400,Mastersheet!$A$2:$A$400,$P$154)/1000)</f>
        <v/>
      </c>
      <c r="I154" s="102" t="str">
        <f aca="false">IF($P$154="","",SUMIFS(Mastersheet!$J$2:$J$400,Mastersheet!$A$2:$A$400,$P$154)/1000)</f>
        <v/>
      </c>
      <c r="J154" s="103" t="str">
        <f aca="false">IF($P$154="","",SUMIFS(Mastersheet!$K$2:$K$400,Mastersheet!$A$2:$A$400,$P$154)/1000)</f>
        <v/>
      </c>
      <c r="K154" s="103" t="str">
        <f aca="false">IF($P$154="","",SUMIFS(Mastersheet!$L$2:$L$400,Mastersheet!$A$2:$A$400,$P$154)/1000)</f>
        <v/>
      </c>
      <c r="L154" s="103" t="str">
        <f aca="false">IF($P$154="","",SUMIFS(Mastersheet!$M$2:$M$400,Mastersheet!$A$2:$A$400,$P$154)/1000)</f>
        <v/>
      </c>
      <c r="M154" s="103" t="str">
        <f aca="false">IF($P$154="","",SUMIFS(Mastersheet!$N$2:$N$400,Mastersheet!$A$2:$A$400,$P$154)/1000)</f>
        <v/>
      </c>
      <c r="P154" s="97"/>
      <c r="Q154" s="104" t="s">
        <v>415</v>
      </c>
      <c r="R154" s="104" t="s">
        <v>416</v>
      </c>
    </row>
    <row r="155" customFormat="false" ht="11.25" hidden="true" customHeight="true" outlineLevel="3" collapsed="false">
      <c r="C155" s="99"/>
      <c r="D155" s="99"/>
      <c r="E155" s="100" t="str">
        <f aca="false">IF($P$155="","",SUMIFS(Mastersheet!$F$2:$F$400,Mastersheet!$A$2:$A$400,$P$155)/1000)</f>
        <v/>
      </c>
      <c r="F155" s="100" t="str">
        <f aca="false">IF($P$155="","",SUMIFS(Mastersheet!$G$2:$G$400,Mastersheet!$A$2:$A$400,$P$155)/1000)</f>
        <v/>
      </c>
      <c r="G155" s="100" t="str">
        <f aca="false">IF($P$155="","",SUMIFS(Mastersheet!$H$2:$H$400,Mastersheet!$A$2:$A$400,$P$155)/1000)</f>
        <v/>
      </c>
      <c r="H155" s="100" t="str">
        <f aca="false">IF($P$155="","",SUMIFS(Mastersheet!$I$2:$I$400,Mastersheet!$A$2:$A$400,$P$155)/1000)</f>
        <v/>
      </c>
      <c r="I155" s="102" t="str">
        <f aca="false">IF($P$155="","",SUMIFS(Mastersheet!$J$2:$J$400,Mastersheet!$A$2:$A$400,$P$155)/1000)</f>
        <v/>
      </c>
      <c r="J155" s="103" t="str">
        <f aca="false">IF($P$155="","",SUMIFS(Mastersheet!$K$2:$K$400,Mastersheet!$A$2:$A$400,$P$155)/1000)</f>
        <v/>
      </c>
      <c r="K155" s="103" t="str">
        <f aca="false">IF($P$155="","",SUMIFS(Mastersheet!$L$2:$L$400,Mastersheet!$A$2:$A$400,$P$155)/1000)</f>
        <v/>
      </c>
      <c r="L155" s="103" t="str">
        <f aca="false">IF($P$155="","",SUMIFS(Mastersheet!$M$2:$M$400,Mastersheet!$A$2:$A$400,$P$155)/1000)</f>
        <v/>
      </c>
      <c r="M155" s="103" t="str">
        <f aca="false">IF($P$155="","",SUMIFS(Mastersheet!$N$2:$N$400,Mastersheet!$A$2:$A$400,$P$155)/1000)</f>
        <v/>
      </c>
      <c r="P155" s="97"/>
      <c r="Q155" s="104" t="s">
        <v>415</v>
      </c>
      <c r="R155" s="104" t="s">
        <v>416</v>
      </c>
    </row>
    <row r="156" customFormat="false" ht="11.25" hidden="false" customHeight="true" outlineLevel="2" collapsed="false">
      <c r="C156" s="51" t="s">
        <v>520</v>
      </c>
      <c r="D156" s="51" t="s">
        <v>521</v>
      </c>
      <c r="E156" s="159" t="n">
        <f aca="false">SUMIFS(Mastersheet!$F$2:$F$400,Mastersheet!$D$2:$D$400,$P156,Mastersheet!$C$2:$C$400,$Q156)/1000</f>
        <v>0</v>
      </c>
      <c r="F156" s="159" t="n">
        <f aca="false">SUMIFS(Mastersheet!$G$2:$G$400,Mastersheet!$D$2:$D$400,$P156,Mastersheet!$C$2:$C$400,$Q156)/1000</f>
        <v>0</v>
      </c>
      <c r="G156" s="159" t="n">
        <f aca="false">SUMIFS(Mastersheet!$H$2:$H$400,Mastersheet!$D$2:$D$400,$P156,Mastersheet!$C$2:$C$400,$Q156)/1000</f>
        <v>0</v>
      </c>
      <c r="H156" s="159" t="n">
        <f aca="false">SUMIFS(Mastersheet!$I$2:$I$400,Mastersheet!$D$2:$D$400,$P156,Mastersheet!$C$2:$C$400,$Q156)/1000</f>
        <v>0</v>
      </c>
      <c r="I156" s="160" t="n">
        <f aca="false">SUMIFS(Mastersheet!$J$2:$J$400,Mastersheet!$D$2:$D$400,$P156,Mastersheet!$C$2:$C$400,$Q156)/1000</f>
        <v>0</v>
      </c>
      <c r="J156" s="161" t="n">
        <f aca="false">SUMIFS(Mastersheet!$K$2:$K$400,Mastersheet!$D$2:$D$400,$P156,Mastersheet!$C$2:$C$400,$Q156)/1000</f>
        <v>0</v>
      </c>
      <c r="K156" s="161" t="n">
        <f aca="false">SUMIFS(Mastersheet!$L$2:$L$400,Mastersheet!$D$2:$D$400,$P156,Mastersheet!$C$2:$C$400,$Q156)/1000</f>
        <v>0</v>
      </c>
      <c r="L156" s="161" t="n">
        <f aca="false">SUMIFS(Mastersheet!$M$2:$M$400,Mastersheet!$D$2:$D$400,$P156,Mastersheet!$C$2:$C$400,$Q156)/1000</f>
        <v>0</v>
      </c>
      <c r="M156" s="161" t="n">
        <f aca="false">SUMIFS(Mastersheet!$N$2:$N$400,Mastersheet!$D$2:$D$400,$P156,Mastersheet!$C$2:$C$400,$Q156)/1000</f>
        <v>0</v>
      </c>
      <c r="P156" s="97" t="s">
        <v>522</v>
      </c>
      <c r="Q156" s="98" t="s">
        <v>511</v>
      </c>
      <c r="R156" s="98" t="s">
        <v>414</v>
      </c>
    </row>
    <row r="157" customFormat="false" ht="11.25" hidden="true" customHeight="true" outlineLevel="3" collapsed="false">
      <c r="C157" s="99"/>
      <c r="D157" s="99"/>
      <c r="E157" s="100" t="str">
        <f aca="false">IF($P$157="","",SUMIFS(Mastersheet!$F$2:$F$400,Mastersheet!$A$2:$A$400,$P$157)/1000)</f>
        <v/>
      </c>
      <c r="F157" s="100" t="str">
        <f aca="false">IF($P$157="","",SUMIFS(Mastersheet!$G$2:$G$400,Mastersheet!$A$2:$A$400,$P$157)/1000)</f>
        <v/>
      </c>
      <c r="G157" s="100" t="str">
        <f aca="false">IF($P$157="","",SUMIFS(Mastersheet!$H$2:$H$400,Mastersheet!$A$2:$A$400,$P$157)/1000)</f>
        <v/>
      </c>
      <c r="H157" s="100" t="str">
        <f aca="false">IF($P$157="","",SUMIFS(Mastersheet!$I$2:$I$400,Mastersheet!$A$2:$A$400,$P$157)/1000)</f>
        <v/>
      </c>
      <c r="I157" s="102" t="str">
        <f aca="false">IF($P$157="","",SUMIFS(Mastersheet!$J$2:$J$400,Mastersheet!$A$2:$A$400,$P$157)/1000)</f>
        <v/>
      </c>
      <c r="J157" s="103" t="str">
        <f aca="false">IF($P$157="","",SUMIFS(Mastersheet!$K$2:$K$400,Mastersheet!$A$2:$A$400,$P$157)/1000)</f>
        <v/>
      </c>
      <c r="K157" s="103" t="str">
        <f aca="false">IF($P$157="","",SUMIFS(Mastersheet!$L$2:$L$400,Mastersheet!$A$2:$A$400,$P$157)/1000)</f>
        <v/>
      </c>
      <c r="L157" s="103" t="str">
        <f aca="false">IF($P$157="","",SUMIFS(Mastersheet!$M$2:$M$400,Mastersheet!$A$2:$A$400,$P$157)/1000)</f>
        <v/>
      </c>
      <c r="M157" s="103" t="str">
        <f aca="false">IF($P$157="","",SUMIFS(Mastersheet!$N$2:$N$400,Mastersheet!$A$2:$A$400,$P$157)/1000)</f>
        <v/>
      </c>
      <c r="P157" s="97"/>
      <c r="Q157" s="104" t="s">
        <v>415</v>
      </c>
      <c r="R157" s="104" t="s">
        <v>416</v>
      </c>
    </row>
    <row r="158" customFormat="false" ht="11.25" hidden="true" customHeight="true" outlineLevel="3" collapsed="false">
      <c r="C158" s="99"/>
      <c r="D158" s="99"/>
      <c r="E158" s="100" t="str">
        <f aca="false">IF($P$158="","",SUMIFS(Mastersheet!$F$2:$F$400,Mastersheet!$A$2:$A$400,$P$158)/1000)</f>
        <v/>
      </c>
      <c r="F158" s="100" t="str">
        <f aca="false">IF($P$158="","",SUMIFS(Mastersheet!$G$2:$G$400,Mastersheet!$A$2:$A$400,$P$158)/1000)</f>
        <v/>
      </c>
      <c r="G158" s="100" t="str">
        <f aca="false">IF($P$158="","",SUMIFS(Mastersheet!$H$2:$H$400,Mastersheet!$A$2:$A$400,$P$158)/1000)</f>
        <v/>
      </c>
      <c r="H158" s="100" t="str">
        <f aca="false">IF($P$158="","",SUMIFS(Mastersheet!$I$2:$I$400,Mastersheet!$A$2:$A$400,$P$158)/1000)</f>
        <v/>
      </c>
      <c r="I158" s="102" t="str">
        <f aca="false">IF($P$158="","",SUMIFS(Mastersheet!$J$2:$J$400,Mastersheet!$A$2:$A$400,$P$158)/1000)</f>
        <v/>
      </c>
      <c r="J158" s="103" t="str">
        <f aca="false">IF($P$158="","",SUMIFS(Mastersheet!$K$2:$K$400,Mastersheet!$A$2:$A$400,$P$158)/1000)</f>
        <v/>
      </c>
      <c r="K158" s="103" t="str">
        <f aca="false">IF($P$158="","",SUMIFS(Mastersheet!$L$2:$L$400,Mastersheet!$A$2:$A$400,$P$158)/1000)</f>
        <v/>
      </c>
      <c r="L158" s="103" t="str">
        <f aca="false">IF($P$158="","",SUMIFS(Mastersheet!$M$2:$M$400,Mastersheet!$A$2:$A$400,$P$158)/1000)</f>
        <v/>
      </c>
      <c r="M158" s="103" t="str">
        <f aca="false">IF($P$158="","",SUMIFS(Mastersheet!$N$2:$N$400,Mastersheet!$A$2:$A$400,$P$158)/1000)</f>
        <v/>
      </c>
      <c r="P158" s="97"/>
      <c r="Q158" s="104" t="s">
        <v>415</v>
      </c>
      <c r="R158" s="104" t="s">
        <v>416</v>
      </c>
    </row>
    <row r="159" customFormat="false" ht="11.25" hidden="true" customHeight="true" outlineLevel="3" collapsed="false">
      <c r="C159" s="99"/>
      <c r="D159" s="99"/>
      <c r="E159" s="100" t="str">
        <f aca="false">IF($P$159="","",SUMIFS(Mastersheet!$F$2:$F$400,Mastersheet!$A$2:$A$400,$P$159)/1000)</f>
        <v/>
      </c>
      <c r="F159" s="100" t="str">
        <f aca="false">IF($P$159="","",SUMIFS(Mastersheet!$G$2:$G$400,Mastersheet!$A$2:$A$400,$P$159)/1000)</f>
        <v/>
      </c>
      <c r="G159" s="100" t="str">
        <f aca="false">IF($P$159="","",SUMIFS(Mastersheet!$H$2:$H$400,Mastersheet!$A$2:$A$400,$P$159)/1000)</f>
        <v/>
      </c>
      <c r="H159" s="100" t="str">
        <f aca="false">IF($P$159="","",SUMIFS(Mastersheet!$I$2:$I$400,Mastersheet!$A$2:$A$400,$P$159)/1000)</f>
        <v/>
      </c>
      <c r="I159" s="102" t="str">
        <f aca="false">IF($P$159="","",SUMIFS(Mastersheet!$J$2:$J$400,Mastersheet!$A$2:$A$400,$P$159)/1000)</f>
        <v/>
      </c>
      <c r="J159" s="103" t="str">
        <f aca="false">IF($P$159="","",SUMIFS(Mastersheet!$K$2:$K$400,Mastersheet!$A$2:$A$400,$P$159)/1000)</f>
        <v/>
      </c>
      <c r="K159" s="103" t="str">
        <f aca="false">IF($P$159="","",SUMIFS(Mastersheet!$L$2:$L$400,Mastersheet!$A$2:$A$400,$P$159)/1000)</f>
        <v/>
      </c>
      <c r="L159" s="103" t="str">
        <f aca="false">IF($P$159="","",SUMIFS(Mastersheet!$M$2:$M$400,Mastersheet!$A$2:$A$400,$P$159)/1000)</f>
        <v/>
      </c>
      <c r="M159" s="103" t="str">
        <f aca="false">IF($P$159="","",SUMIFS(Mastersheet!$N$2:$N$400,Mastersheet!$A$2:$A$400,$P$159)/1000)</f>
        <v/>
      </c>
      <c r="P159" s="97"/>
      <c r="Q159" s="104" t="s">
        <v>415</v>
      </c>
      <c r="R159" s="104" t="s">
        <v>416</v>
      </c>
    </row>
    <row r="160" customFormat="false" ht="11.25" hidden="true" customHeight="true" outlineLevel="3" collapsed="false">
      <c r="C160" s="99"/>
      <c r="D160" s="99"/>
      <c r="E160" s="100" t="str">
        <f aca="false">IF($P$160="","",SUMIFS(Mastersheet!$F$2:$F$400,Mastersheet!$A$2:$A$400,$P$160)/1000)</f>
        <v/>
      </c>
      <c r="F160" s="100" t="str">
        <f aca="false">IF($P$160="","",SUMIFS(Mastersheet!$G$2:$G$400,Mastersheet!$A$2:$A$400,$P$160)/1000)</f>
        <v/>
      </c>
      <c r="G160" s="100" t="str">
        <f aca="false">IF($P$160="","",SUMIFS(Mastersheet!$H$2:$H$400,Mastersheet!$A$2:$A$400,$P$160)/1000)</f>
        <v/>
      </c>
      <c r="H160" s="100" t="str">
        <f aca="false">IF($P$160="","",SUMIFS(Mastersheet!$I$2:$I$400,Mastersheet!$A$2:$A$400,$P$160)/1000)</f>
        <v/>
      </c>
      <c r="I160" s="102" t="str">
        <f aca="false">IF($P$160="","",SUMIFS(Mastersheet!$J$2:$J$400,Mastersheet!$A$2:$A$400,$P$160)/1000)</f>
        <v/>
      </c>
      <c r="J160" s="103" t="str">
        <f aca="false">IF($P$160="","",SUMIFS(Mastersheet!$K$2:$K$400,Mastersheet!$A$2:$A$400,$P$160)/1000)</f>
        <v/>
      </c>
      <c r="K160" s="103" t="str">
        <f aca="false">IF($P$160="","",SUMIFS(Mastersheet!$L$2:$L$400,Mastersheet!$A$2:$A$400,$P$160)/1000)</f>
        <v/>
      </c>
      <c r="L160" s="103" t="str">
        <f aca="false">IF($P$160="","",SUMIFS(Mastersheet!$M$2:$M$400,Mastersheet!$A$2:$A$400,$P$160)/1000)</f>
        <v/>
      </c>
      <c r="M160" s="103" t="str">
        <f aca="false">IF($P$160="","",SUMIFS(Mastersheet!$N$2:$N$400,Mastersheet!$A$2:$A$400,$P$160)/1000)</f>
        <v/>
      </c>
      <c r="P160" s="97"/>
      <c r="Q160" s="104" t="s">
        <v>415</v>
      </c>
      <c r="R160" s="104" t="s">
        <v>416</v>
      </c>
    </row>
    <row r="161" customFormat="false" ht="11.25" hidden="true" customHeight="true" outlineLevel="3" collapsed="false">
      <c r="C161" s="99"/>
      <c r="D161" s="99"/>
      <c r="E161" s="100" t="str">
        <f aca="false">IF($P$161="","",SUMIFS(Mastersheet!$F$2:$F$400,Mastersheet!$A$2:$A$400,$P$161)/1000)</f>
        <v/>
      </c>
      <c r="F161" s="100" t="str">
        <f aca="false">IF($P$161="","",SUMIFS(Mastersheet!$G$2:$G$400,Mastersheet!$A$2:$A$400,$P$161)/1000)</f>
        <v/>
      </c>
      <c r="G161" s="100" t="str">
        <f aca="false">IF($P$161="","",SUMIFS(Mastersheet!$H$2:$H$400,Mastersheet!$A$2:$A$400,$P$161)/1000)</f>
        <v/>
      </c>
      <c r="H161" s="100" t="str">
        <f aca="false">IF($P$161="","",SUMIFS(Mastersheet!$I$2:$I$400,Mastersheet!$A$2:$A$400,$P$161)/1000)</f>
        <v/>
      </c>
      <c r="I161" s="102" t="str">
        <f aca="false">IF($P$161="","",SUMIFS(Mastersheet!$J$2:$J$400,Mastersheet!$A$2:$A$400,$P$161)/1000)</f>
        <v/>
      </c>
      <c r="J161" s="103" t="str">
        <f aca="false">IF($P$161="","",SUMIFS(Mastersheet!$K$2:$K$400,Mastersheet!$A$2:$A$400,$P$161)/1000)</f>
        <v/>
      </c>
      <c r="K161" s="103" t="str">
        <f aca="false">IF($P$161="","",SUMIFS(Mastersheet!$L$2:$L$400,Mastersheet!$A$2:$A$400,$P$161)/1000)</f>
        <v/>
      </c>
      <c r="L161" s="103" t="str">
        <f aca="false">IF($P$161="","",SUMIFS(Mastersheet!$M$2:$M$400,Mastersheet!$A$2:$A$400,$P$161)/1000)</f>
        <v/>
      </c>
      <c r="M161" s="103" t="str">
        <f aca="false">IF($P$161="","",SUMIFS(Mastersheet!$N$2:$N$400,Mastersheet!$A$2:$A$400,$P$161)/1000)</f>
        <v/>
      </c>
      <c r="P161" s="97"/>
      <c r="Q161" s="104" t="s">
        <v>415</v>
      </c>
      <c r="R161" s="104" t="s">
        <v>416</v>
      </c>
    </row>
    <row r="162" customFormat="false" ht="11.25" hidden="true" customHeight="true" outlineLevel="3" collapsed="false">
      <c r="C162" s="99"/>
      <c r="D162" s="99"/>
      <c r="E162" s="100" t="str">
        <f aca="false">IF($P$162="","",SUMIFS(Mastersheet!$F$2:$F$400,Mastersheet!$A$2:$A$400,$P$162)/1000)</f>
        <v/>
      </c>
      <c r="F162" s="100" t="str">
        <f aca="false">IF($P$162="","",SUMIFS(Mastersheet!$G$2:$G$400,Mastersheet!$A$2:$A$400,$P$162)/1000)</f>
        <v/>
      </c>
      <c r="G162" s="100" t="str">
        <f aca="false">IF($P$162="","",SUMIFS(Mastersheet!$H$2:$H$400,Mastersheet!$A$2:$A$400,$P$162)/1000)</f>
        <v/>
      </c>
      <c r="H162" s="100" t="str">
        <f aca="false">IF($P$162="","",SUMIFS(Mastersheet!$I$2:$I$400,Mastersheet!$A$2:$A$400,$P$162)/1000)</f>
        <v/>
      </c>
      <c r="I162" s="102" t="str">
        <f aca="false">IF($P$162="","",SUMIFS(Mastersheet!$J$2:$J$400,Mastersheet!$A$2:$A$400,$P$162)/1000)</f>
        <v/>
      </c>
      <c r="J162" s="103" t="str">
        <f aca="false">IF($P$162="","",SUMIFS(Mastersheet!$K$2:$K$400,Mastersheet!$A$2:$A$400,$P$162)/1000)</f>
        <v/>
      </c>
      <c r="K162" s="103" t="str">
        <f aca="false">IF($P$162="","",SUMIFS(Mastersheet!$L$2:$L$400,Mastersheet!$A$2:$A$400,$P$162)/1000)</f>
        <v/>
      </c>
      <c r="L162" s="103" t="str">
        <f aca="false">IF($P$162="","",SUMIFS(Mastersheet!$M$2:$M$400,Mastersheet!$A$2:$A$400,$P$162)/1000)</f>
        <v/>
      </c>
      <c r="M162" s="103" t="str">
        <f aca="false">IF($P$162="","",SUMIFS(Mastersheet!$N$2:$N$400,Mastersheet!$A$2:$A$400,$P$162)/1000)</f>
        <v/>
      </c>
      <c r="P162" s="97"/>
      <c r="Q162" s="104" t="s">
        <v>415</v>
      </c>
      <c r="R162" s="104" t="s">
        <v>416</v>
      </c>
    </row>
    <row r="163" customFormat="false" ht="11.25" hidden="true" customHeight="true" outlineLevel="3" collapsed="false">
      <c r="C163" s="99"/>
      <c r="D163" s="99"/>
      <c r="E163" s="100" t="str">
        <f aca="false">IF($P$163="","",SUMIFS(Mastersheet!$F$2:$F$400,Mastersheet!$A$2:$A$400,$P$163)/1000)</f>
        <v/>
      </c>
      <c r="F163" s="100" t="str">
        <f aca="false">IF($P$163="","",SUMIFS(Mastersheet!$G$2:$G$400,Mastersheet!$A$2:$A$400,$P$163)/1000)</f>
        <v/>
      </c>
      <c r="G163" s="100" t="str">
        <f aca="false">IF($P$163="","",SUMIFS(Mastersheet!$H$2:$H$400,Mastersheet!$A$2:$A$400,$P$163)/1000)</f>
        <v/>
      </c>
      <c r="H163" s="100" t="str">
        <f aca="false">IF($P$163="","",SUMIFS(Mastersheet!$I$2:$I$400,Mastersheet!$A$2:$A$400,$P$163)/1000)</f>
        <v/>
      </c>
      <c r="I163" s="102" t="str">
        <f aca="false">IF($P$163="","",SUMIFS(Mastersheet!$J$2:$J$400,Mastersheet!$A$2:$A$400,$P$163)/1000)</f>
        <v/>
      </c>
      <c r="J163" s="103" t="str">
        <f aca="false">IF($P$163="","",SUMIFS(Mastersheet!$K$2:$K$400,Mastersheet!$A$2:$A$400,$P$163)/1000)</f>
        <v/>
      </c>
      <c r="K163" s="103" t="str">
        <f aca="false">IF($P$163="","",SUMIFS(Mastersheet!$L$2:$L$400,Mastersheet!$A$2:$A$400,$P$163)/1000)</f>
        <v/>
      </c>
      <c r="L163" s="103" t="str">
        <f aca="false">IF($P$163="","",SUMIFS(Mastersheet!$M$2:$M$400,Mastersheet!$A$2:$A$400,$P$163)/1000)</f>
        <v/>
      </c>
      <c r="M163" s="103" t="str">
        <f aca="false">IF($P$163="","",SUMIFS(Mastersheet!$N$2:$N$400,Mastersheet!$A$2:$A$400,$P$163)/1000)</f>
        <v/>
      </c>
      <c r="P163" s="97"/>
      <c r="Q163" s="104" t="s">
        <v>415</v>
      </c>
      <c r="R163" s="104" t="s">
        <v>416</v>
      </c>
    </row>
    <row r="164" customFormat="false" ht="11.25" hidden="true" customHeight="true" outlineLevel="3" collapsed="false">
      <c r="C164" s="99"/>
      <c r="D164" s="99"/>
      <c r="E164" s="100" t="str">
        <f aca="false">IF($P$164="","",SUMIFS(Mastersheet!$F$2:$F$400,Mastersheet!$A$2:$A$400,$P$164)/1000)</f>
        <v/>
      </c>
      <c r="F164" s="100" t="str">
        <f aca="false">IF($P$164="","",SUMIFS(Mastersheet!$G$2:$G$400,Mastersheet!$A$2:$A$400,$P$164)/1000)</f>
        <v/>
      </c>
      <c r="G164" s="100" t="str">
        <f aca="false">IF($P$164="","",SUMIFS(Mastersheet!$H$2:$H$400,Mastersheet!$A$2:$A$400,$P$164)/1000)</f>
        <v/>
      </c>
      <c r="H164" s="100" t="str">
        <f aca="false">IF($P$164="","",SUMIFS(Mastersheet!$I$2:$I$400,Mastersheet!$A$2:$A$400,$P$164)/1000)</f>
        <v/>
      </c>
      <c r="I164" s="102" t="str">
        <f aca="false">IF($P$164="","",SUMIFS(Mastersheet!$J$2:$J$400,Mastersheet!$A$2:$A$400,$P$164)/1000)</f>
        <v/>
      </c>
      <c r="J164" s="103" t="str">
        <f aca="false">IF($P$164="","",SUMIFS(Mastersheet!$K$2:$K$400,Mastersheet!$A$2:$A$400,$P$164)/1000)</f>
        <v/>
      </c>
      <c r="K164" s="103" t="str">
        <f aca="false">IF($P$164="","",SUMIFS(Mastersheet!$L$2:$L$400,Mastersheet!$A$2:$A$400,$P$164)/1000)</f>
        <v/>
      </c>
      <c r="L164" s="103" t="str">
        <f aca="false">IF($P$164="","",SUMIFS(Mastersheet!$M$2:$M$400,Mastersheet!$A$2:$A$400,$P$164)/1000)</f>
        <v/>
      </c>
      <c r="M164" s="103" t="str">
        <f aca="false">IF($P$164="","",SUMIFS(Mastersheet!$N$2:$N$400,Mastersheet!$A$2:$A$400,$P$164)/1000)</f>
        <v/>
      </c>
      <c r="P164" s="97"/>
      <c r="Q164" s="104" t="s">
        <v>415</v>
      </c>
      <c r="R164" s="104" t="s">
        <v>416</v>
      </c>
    </row>
    <row r="165" customFormat="false" ht="11.25" hidden="false" customHeight="true" outlineLevel="2" collapsed="false">
      <c r="C165" s="51" t="s">
        <v>523</v>
      </c>
      <c r="D165" s="51" t="s">
        <v>524</v>
      </c>
      <c r="E165" s="159" t="n">
        <f aca="false">SUMIFS(Mastersheet!$F$2:$F$400,Mastersheet!$D$2:$D$400,$P165,Mastersheet!$C$2:$C$400,$Q165)/1000</f>
        <v>0</v>
      </c>
      <c r="F165" s="159" t="n">
        <f aca="false">SUMIFS(Mastersheet!$G$2:$G$400,Mastersheet!$D$2:$D$400,$P165,Mastersheet!$C$2:$C$400,$Q165)/1000</f>
        <v>0</v>
      </c>
      <c r="G165" s="159" t="n">
        <f aca="false">SUMIFS(Mastersheet!$H$2:$H$400,Mastersheet!$D$2:$D$400,$P165,Mastersheet!$C$2:$C$400,$Q165)/1000</f>
        <v>0</v>
      </c>
      <c r="H165" s="159" t="n">
        <f aca="false">SUMIFS(Mastersheet!$I$2:$I$400,Mastersheet!$D$2:$D$400,$P165,Mastersheet!$C$2:$C$400,$Q165)/1000</f>
        <v>0</v>
      </c>
      <c r="I165" s="160" t="n">
        <f aca="false">SUMIFS(Mastersheet!$J$2:$J$400,Mastersheet!$D$2:$D$400,$P165,Mastersheet!$C$2:$C$400,$Q165)/1000</f>
        <v>0</v>
      </c>
      <c r="J165" s="161" t="n">
        <f aca="false">SUMIFS(Mastersheet!$K$2:$K$400,Mastersheet!$D$2:$D$400,$P165,Mastersheet!$C$2:$C$400,$Q165)/1000</f>
        <v>0</v>
      </c>
      <c r="K165" s="161" t="n">
        <f aca="false">SUMIFS(Mastersheet!$L$2:$L$400,Mastersheet!$D$2:$D$400,$P165,Mastersheet!$C$2:$C$400,$Q165)/1000</f>
        <v>0</v>
      </c>
      <c r="L165" s="161" t="n">
        <f aca="false">SUMIFS(Mastersheet!$M$2:$M$400,Mastersheet!$D$2:$D$400,$P165,Mastersheet!$C$2:$C$400,$Q165)/1000</f>
        <v>0</v>
      </c>
      <c r="M165" s="161" t="n">
        <f aca="false">SUMIFS(Mastersheet!$N$2:$N$400,Mastersheet!$D$2:$D$400,$P165,Mastersheet!$C$2:$C$400,$Q165)/1000</f>
        <v>0</v>
      </c>
      <c r="P165" s="97" t="s">
        <v>525</v>
      </c>
      <c r="Q165" s="98" t="s">
        <v>511</v>
      </c>
      <c r="R165" s="98" t="s">
        <v>414</v>
      </c>
    </row>
    <row r="166" customFormat="false" ht="11.25" hidden="true" customHeight="true" outlineLevel="3" collapsed="false">
      <c r="C166" s="99"/>
      <c r="D166" s="99"/>
      <c r="E166" s="100" t="str">
        <f aca="false">IF($P$166="","",SUMIFS(Mastersheet!$F$2:$F$400,Mastersheet!$A$2:$A$400,$P$166)/1000)</f>
        <v/>
      </c>
      <c r="F166" s="100" t="str">
        <f aca="false">IF($P$166="","",SUMIFS(Mastersheet!$G$2:$G$400,Mastersheet!$A$2:$A$400,$P$166)/1000)</f>
        <v/>
      </c>
      <c r="G166" s="100" t="str">
        <f aca="false">IF($P$166="","",SUMIFS(Mastersheet!$H$2:$H$400,Mastersheet!$A$2:$A$400,$P$166)/1000)</f>
        <v/>
      </c>
      <c r="H166" s="100" t="str">
        <f aca="false">IF($P$166="","",SUMIFS(Mastersheet!$I$2:$I$400,Mastersheet!$A$2:$A$400,$P$166)/1000)</f>
        <v/>
      </c>
      <c r="I166" s="102" t="str">
        <f aca="false">IF($P$166="","",SUMIFS(Mastersheet!$J$2:$J$400,Mastersheet!$A$2:$A$400,$P$166)/1000)</f>
        <v/>
      </c>
      <c r="J166" s="103" t="str">
        <f aca="false">IF($P$166="","",SUMIFS(Mastersheet!$K$2:$K$400,Mastersheet!$A$2:$A$400,$P$166)/1000)</f>
        <v/>
      </c>
      <c r="K166" s="103" t="str">
        <f aca="false">IF($P$166="","",SUMIFS(Mastersheet!$L$2:$L$400,Mastersheet!$A$2:$A$400,$P$166)/1000)</f>
        <v/>
      </c>
      <c r="L166" s="103" t="str">
        <f aca="false">IF($P$166="","",SUMIFS(Mastersheet!$M$2:$M$400,Mastersheet!$A$2:$A$400,$P$166)/1000)</f>
        <v/>
      </c>
      <c r="M166" s="103" t="str">
        <f aca="false">IF($P$166="","",SUMIFS(Mastersheet!$N$2:$N$400,Mastersheet!$A$2:$A$400,$P$166)/1000)</f>
        <v/>
      </c>
      <c r="P166" s="97"/>
      <c r="Q166" s="104" t="s">
        <v>415</v>
      </c>
      <c r="R166" s="104" t="s">
        <v>416</v>
      </c>
    </row>
    <row r="167" customFormat="false" ht="11.25" hidden="true" customHeight="true" outlineLevel="3" collapsed="false">
      <c r="C167" s="99"/>
      <c r="D167" s="99"/>
      <c r="E167" s="100" t="str">
        <f aca="false">IF($P$167="","",SUMIFS(Mastersheet!$F$2:$F$400,Mastersheet!$A$2:$A$400,$P$167)/1000)</f>
        <v/>
      </c>
      <c r="F167" s="100" t="str">
        <f aca="false">IF($P$167="","",SUMIFS(Mastersheet!$G$2:$G$400,Mastersheet!$A$2:$A$400,$P$167)/1000)</f>
        <v/>
      </c>
      <c r="G167" s="100" t="str">
        <f aca="false">IF($P$167="","",SUMIFS(Mastersheet!$H$2:$H$400,Mastersheet!$A$2:$A$400,$P$167)/1000)</f>
        <v/>
      </c>
      <c r="H167" s="100" t="str">
        <f aca="false">IF($P$167="","",SUMIFS(Mastersheet!$I$2:$I$400,Mastersheet!$A$2:$A$400,$P$167)/1000)</f>
        <v/>
      </c>
      <c r="I167" s="102" t="str">
        <f aca="false">IF($P$167="","",SUMIFS(Mastersheet!$J$2:$J$400,Mastersheet!$A$2:$A$400,$P$167)/1000)</f>
        <v/>
      </c>
      <c r="J167" s="103" t="str">
        <f aca="false">IF($P$167="","",SUMIFS(Mastersheet!$K$2:$K$400,Mastersheet!$A$2:$A$400,$P$167)/1000)</f>
        <v/>
      </c>
      <c r="K167" s="103" t="str">
        <f aca="false">IF($P$167="","",SUMIFS(Mastersheet!$L$2:$L$400,Mastersheet!$A$2:$A$400,$P$167)/1000)</f>
        <v/>
      </c>
      <c r="L167" s="103" t="str">
        <f aca="false">IF($P$167="","",SUMIFS(Mastersheet!$M$2:$M$400,Mastersheet!$A$2:$A$400,$P$167)/1000)</f>
        <v/>
      </c>
      <c r="M167" s="103" t="str">
        <f aca="false">IF($P$167="","",SUMIFS(Mastersheet!$N$2:$N$400,Mastersheet!$A$2:$A$400,$P$167)/1000)</f>
        <v/>
      </c>
      <c r="P167" s="97"/>
      <c r="Q167" s="104" t="s">
        <v>415</v>
      </c>
      <c r="R167" s="104" t="s">
        <v>416</v>
      </c>
    </row>
    <row r="168" customFormat="false" ht="11.25" hidden="true" customHeight="true" outlineLevel="3" collapsed="false">
      <c r="C168" s="99"/>
      <c r="D168" s="99"/>
      <c r="E168" s="100" t="str">
        <f aca="false">IF($P$168="","",SUMIFS(Mastersheet!$F$2:$F$400,Mastersheet!$A$2:$A$400,$P$168)/1000)</f>
        <v/>
      </c>
      <c r="F168" s="100" t="str">
        <f aca="false">IF($P$168="","",SUMIFS(Mastersheet!$G$2:$G$400,Mastersheet!$A$2:$A$400,$P$168)/1000)</f>
        <v/>
      </c>
      <c r="G168" s="100" t="str">
        <f aca="false">IF($P$168="","",SUMIFS(Mastersheet!$H$2:$H$400,Mastersheet!$A$2:$A$400,$P$168)/1000)</f>
        <v/>
      </c>
      <c r="H168" s="100" t="str">
        <f aca="false">IF($P$168="","",SUMIFS(Mastersheet!$I$2:$I$400,Mastersheet!$A$2:$A$400,$P$168)/1000)</f>
        <v/>
      </c>
      <c r="I168" s="102" t="str">
        <f aca="false">IF($P$168="","",SUMIFS(Mastersheet!$J$2:$J$400,Mastersheet!$A$2:$A$400,$P$168)/1000)</f>
        <v/>
      </c>
      <c r="J168" s="103" t="str">
        <f aca="false">IF($P$168="","",SUMIFS(Mastersheet!$K$2:$K$400,Mastersheet!$A$2:$A$400,$P$168)/1000)</f>
        <v/>
      </c>
      <c r="K168" s="103" t="str">
        <f aca="false">IF($P$168="","",SUMIFS(Mastersheet!$L$2:$L$400,Mastersheet!$A$2:$A$400,$P$168)/1000)</f>
        <v/>
      </c>
      <c r="L168" s="103" t="str">
        <f aca="false">IF($P$168="","",SUMIFS(Mastersheet!$M$2:$M$400,Mastersheet!$A$2:$A$400,$P$168)/1000)</f>
        <v/>
      </c>
      <c r="M168" s="103" t="str">
        <f aca="false">IF($P$168="","",SUMIFS(Mastersheet!$N$2:$N$400,Mastersheet!$A$2:$A$400,$P$168)/1000)</f>
        <v/>
      </c>
      <c r="P168" s="97"/>
      <c r="Q168" s="104" t="s">
        <v>415</v>
      </c>
      <c r="R168" s="104" t="s">
        <v>416</v>
      </c>
    </row>
    <row r="169" customFormat="false" ht="11.25" hidden="true" customHeight="true" outlineLevel="3" collapsed="false">
      <c r="C169" s="99"/>
      <c r="D169" s="99"/>
      <c r="E169" s="100" t="str">
        <f aca="false">IF($P$169="","",SUMIFS(Mastersheet!$F$2:$F$400,Mastersheet!$A$2:$A$400,$P$169)/1000)</f>
        <v/>
      </c>
      <c r="F169" s="100" t="str">
        <f aca="false">IF($P$169="","",SUMIFS(Mastersheet!$G$2:$G$400,Mastersheet!$A$2:$A$400,$P$169)/1000)</f>
        <v/>
      </c>
      <c r="G169" s="100" t="str">
        <f aca="false">IF($P$169="","",SUMIFS(Mastersheet!$H$2:$H$400,Mastersheet!$A$2:$A$400,$P$169)/1000)</f>
        <v/>
      </c>
      <c r="H169" s="100" t="str">
        <f aca="false">IF($P$169="","",SUMIFS(Mastersheet!$I$2:$I$400,Mastersheet!$A$2:$A$400,$P$169)/1000)</f>
        <v/>
      </c>
      <c r="I169" s="102" t="str">
        <f aca="false">IF($P$169="","",SUMIFS(Mastersheet!$J$2:$J$400,Mastersheet!$A$2:$A$400,$P$169)/1000)</f>
        <v/>
      </c>
      <c r="J169" s="103" t="str">
        <f aca="false">IF($P$169="","",SUMIFS(Mastersheet!$K$2:$K$400,Mastersheet!$A$2:$A$400,$P$169)/1000)</f>
        <v/>
      </c>
      <c r="K169" s="103" t="str">
        <f aca="false">IF($P$169="","",SUMIFS(Mastersheet!$L$2:$L$400,Mastersheet!$A$2:$A$400,$P$169)/1000)</f>
        <v/>
      </c>
      <c r="L169" s="103" t="str">
        <f aca="false">IF($P$169="","",SUMIFS(Mastersheet!$M$2:$M$400,Mastersheet!$A$2:$A$400,$P$169)/1000)</f>
        <v/>
      </c>
      <c r="M169" s="103" t="str">
        <f aca="false">IF($P$169="","",SUMIFS(Mastersheet!$N$2:$N$400,Mastersheet!$A$2:$A$400,$P$169)/1000)</f>
        <v/>
      </c>
      <c r="P169" s="97"/>
      <c r="Q169" s="104" t="s">
        <v>415</v>
      </c>
      <c r="R169" s="104" t="s">
        <v>416</v>
      </c>
    </row>
    <row r="170" customFormat="false" ht="11.25" hidden="true" customHeight="true" outlineLevel="3" collapsed="false">
      <c r="C170" s="99"/>
      <c r="D170" s="99"/>
      <c r="E170" s="100" t="str">
        <f aca="false">IF($P$170="","",SUMIFS(Mastersheet!$F$2:$F$400,Mastersheet!$A$2:$A$400,$P$170)/1000)</f>
        <v/>
      </c>
      <c r="F170" s="100" t="str">
        <f aca="false">IF($P$170="","",SUMIFS(Mastersheet!$G$2:$G$400,Mastersheet!$A$2:$A$400,$P$170)/1000)</f>
        <v/>
      </c>
      <c r="G170" s="100" t="str">
        <f aca="false">IF($P$170="","",SUMIFS(Mastersheet!$H$2:$H$400,Mastersheet!$A$2:$A$400,$P$170)/1000)</f>
        <v/>
      </c>
      <c r="H170" s="100" t="str">
        <f aca="false">IF($P$170="","",SUMIFS(Mastersheet!$I$2:$I$400,Mastersheet!$A$2:$A$400,$P$170)/1000)</f>
        <v/>
      </c>
      <c r="I170" s="102" t="str">
        <f aca="false">IF($P$170="","",SUMIFS(Mastersheet!$J$2:$J$400,Mastersheet!$A$2:$A$400,$P$170)/1000)</f>
        <v/>
      </c>
      <c r="J170" s="103" t="str">
        <f aca="false">IF($P$170="","",SUMIFS(Mastersheet!$K$2:$K$400,Mastersheet!$A$2:$A$400,$P$170)/1000)</f>
        <v/>
      </c>
      <c r="K170" s="103" t="str">
        <f aca="false">IF($P$170="","",SUMIFS(Mastersheet!$L$2:$L$400,Mastersheet!$A$2:$A$400,$P$170)/1000)</f>
        <v/>
      </c>
      <c r="L170" s="103" t="str">
        <f aca="false">IF($P$170="","",SUMIFS(Mastersheet!$M$2:$M$400,Mastersheet!$A$2:$A$400,$P$170)/1000)</f>
        <v/>
      </c>
      <c r="M170" s="103" t="str">
        <f aca="false">IF($P$170="","",SUMIFS(Mastersheet!$N$2:$N$400,Mastersheet!$A$2:$A$400,$P$170)/1000)</f>
        <v/>
      </c>
      <c r="P170" s="97"/>
      <c r="Q170" s="104" t="s">
        <v>415</v>
      </c>
      <c r="R170" s="104" t="s">
        <v>416</v>
      </c>
    </row>
    <row r="171" customFormat="false" ht="11.25" hidden="true" customHeight="true" outlineLevel="3" collapsed="false">
      <c r="C171" s="99"/>
      <c r="D171" s="99"/>
      <c r="E171" s="100" t="str">
        <f aca="false">IF($P$171="","",SUMIFS(Mastersheet!$F$2:$F$400,Mastersheet!$A$2:$A$400,$P$171)/1000)</f>
        <v/>
      </c>
      <c r="F171" s="100" t="str">
        <f aca="false">IF($P$171="","",SUMIFS(Mastersheet!$G$2:$G$400,Mastersheet!$A$2:$A$400,$P$171)/1000)</f>
        <v/>
      </c>
      <c r="G171" s="100" t="str">
        <f aca="false">IF($P$171="","",SUMIFS(Mastersheet!$H$2:$H$400,Mastersheet!$A$2:$A$400,$P$171)/1000)</f>
        <v/>
      </c>
      <c r="H171" s="100" t="str">
        <f aca="false">IF($P$171="","",SUMIFS(Mastersheet!$I$2:$I$400,Mastersheet!$A$2:$A$400,$P$171)/1000)</f>
        <v/>
      </c>
      <c r="I171" s="102" t="str">
        <f aca="false">IF($P$171="","",SUMIFS(Mastersheet!$J$2:$J$400,Mastersheet!$A$2:$A$400,$P$171)/1000)</f>
        <v/>
      </c>
      <c r="J171" s="103" t="str">
        <f aca="false">IF($P$171="","",SUMIFS(Mastersheet!$K$2:$K$400,Mastersheet!$A$2:$A$400,$P$171)/1000)</f>
        <v/>
      </c>
      <c r="K171" s="103" t="str">
        <f aca="false">IF($P$171="","",SUMIFS(Mastersheet!$L$2:$L$400,Mastersheet!$A$2:$A$400,$P$171)/1000)</f>
        <v/>
      </c>
      <c r="L171" s="103" t="str">
        <f aca="false">IF($P$171="","",SUMIFS(Mastersheet!$M$2:$M$400,Mastersheet!$A$2:$A$400,$P$171)/1000)</f>
        <v/>
      </c>
      <c r="M171" s="103" t="str">
        <f aca="false">IF($P$171="","",SUMIFS(Mastersheet!$N$2:$N$400,Mastersheet!$A$2:$A$400,$P$171)/1000)</f>
        <v/>
      </c>
      <c r="P171" s="97"/>
      <c r="Q171" s="104" t="s">
        <v>415</v>
      </c>
      <c r="R171" s="104" t="s">
        <v>416</v>
      </c>
    </row>
    <row r="172" customFormat="false" ht="11.25" hidden="true" customHeight="true" outlineLevel="3" collapsed="false">
      <c r="C172" s="99"/>
      <c r="D172" s="99"/>
      <c r="E172" s="100" t="str">
        <f aca="false">IF($P$172="","",SUMIFS(Mastersheet!$F$2:$F$400,Mastersheet!$A$2:$A$400,$P$172)/1000)</f>
        <v/>
      </c>
      <c r="F172" s="100" t="str">
        <f aca="false">IF($P$172="","",SUMIFS(Mastersheet!$G$2:$G$400,Mastersheet!$A$2:$A$400,$P$172)/1000)</f>
        <v/>
      </c>
      <c r="G172" s="100" t="str">
        <f aca="false">IF($P$172="","",SUMIFS(Mastersheet!$H$2:$H$400,Mastersheet!$A$2:$A$400,$P$172)/1000)</f>
        <v/>
      </c>
      <c r="H172" s="100" t="str">
        <f aca="false">IF($P$172="","",SUMIFS(Mastersheet!$I$2:$I$400,Mastersheet!$A$2:$A$400,$P$172)/1000)</f>
        <v/>
      </c>
      <c r="I172" s="102" t="str">
        <f aca="false">IF($P$172="","",SUMIFS(Mastersheet!$J$2:$J$400,Mastersheet!$A$2:$A$400,$P$172)/1000)</f>
        <v/>
      </c>
      <c r="J172" s="103" t="str">
        <f aca="false">IF($P$172="","",SUMIFS(Mastersheet!$K$2:$K$400,Mastersheet!$A$2:$A$400,$P$172)/1000)</f>
        <v/>
      </c>
      <c r="K172" s="103" t="str">
        <f aca="false">IF($P$172="","",SUMIFS(Mastersheet!$L$2:$L$400,Mastersheet!$A$2:$A$400,$P$172)/1000)</f>
        <v/>
      </c>
      <c r="L172" s="103" t="str">
        <f aca="false">IF($P$172="","",SUMIFS(Mastersheet!$M$2:$M$400,Mastersheet!$A$2:$A$400,$P$172)/1000)</f>
        <v/>
      </c>
      <c r="M172" s="103" t="str">
        <f aca="false">IF($P$172="","",SUMIFS(Mastersheet!$N$2:$N$400,Mastersheet!$A$2:$A$400,$P$172)/1000)</f>
        <v/>
      </c>
      <c r="P172" s="97"/>
      <c r="Q172" s="104" t="s">
        <v>415</v>
      </c>
      <c r="R172" s="104" t="s">
        <v>416</v>
      </c>
    </row>
    <row r="173" customFormat="false" ht="11.25" hidden="true" customHeight="true" outlineLevel="3" collapsed="false">
      <c r="C173" s="99"/>
      <c r="D173" s="99"/>
      <c r="E173" s="100" t="str">
        <f aca="false">IF($P$173="","",SUMIFS(Mastersheet!$F$2:$F$400,Mastersheet!$A$2:$A$400,$P$173)/1000)</f>
        <v/>
      </c>
      <c r="F173" s="100" t="str">
        <f aca="false">IF($P$173="","",SUMIFS(Mastersheet!$G$2:$G$400,Mastersheet!$A$2:$A$400,$P$173)/1000)</f>
        <v/>
      </c>
      <c r="G173" s="100" t="str">
        <f aca="false">IF($P$173="","",SUMIFS(Mastersheet!$H$2:$H$400,Mastersheet!$A$2:$A$400,$P$173)/1000)</f>
        <v/>
      </c>
      <c r="H173" s="100" t="str">
        <f aca="false">IF($P$173="","",SUMIFS(Mastersheet!$I$2:$I$400,Mastersheet!$A$2:$A$400,$P$173)/1000)</f>
        <v/>
      </c>
      <c r="I173" s="102" t="str">
        <f aca="false">IF($P$173="","",SUMIFS(Mastersheet!$J$2:$J$400,Mastersheet!$A$2:$A$400,$P$173)/1000)</f>
        <v/>
      </c>
      <c r="J173" s="103" t="str">
        <f aca="false">IF($P$173="","",SUMIFS(Mastersheet!$K$2:$K$400,Mastersheet!$A$2:$A$400,$P$173)/1000)</f>
        <v/>
      </c>
      <c r="K173" s="103" t="str">
        <f aca="false">IF($P$173="","",SUMIFS(Mastersheet!$L$2:$L$400,Mastersheet!$A$2:$A$400,$P$173)/1000)</f>
        <v/>
      </c>
      <c r="L173" s="103" t="str">
        <f aca="false">IF($P$173="","",SUMIFS(Mastersheet!$M$2:$M$400,Mastersheet!$A$2:$A$400,$P$173)/1000)</f>
        <v/>
      </c>
      <c r="M173" s="103" t="str">
        <f aca="false">IF($P$173="","",SUMIFS(Mastersheet!$N$2:$N$400,Mastersheet!$A$2:$A$400,$P$173)/1000)</f>
        <v/>
      </c>
      <c r="P173" s="97"/>
      <c r="Q173" s="104" t="s">
        <v>415</v>
      </c>
      <c r="R173" s="104" t="s">
        <v>416</v>
      </c>
    </row>
    <row r="174" customFormat="false" ht="11.25" hidden="false" customHeight="true" outlineLevel="2" collapsed="false">
      <c r="C174" s="51" t="s">
        <v>234</v>
      </c>
      <c r="D174" s="51" t="s">
        <v>234</v>
      </c>
      <c r="E174" s="159"/>
      <c r="F174" s="159"/>
      <c r="G174" s="159"/>
      <c r="H174" s="159"/>
      <c r="I174" s="160"/>
      <c r="J174" s="161"/>
      <c r="K174" s="161"/>
      <c r="L174" s="161"/>
      <c r="M174" s="161"/>
      <c r="P174" s="105"/>
    </row>
    <row r="175" customFormat="false" ht="11.25" hidden="false" customHeight="true" outlineLevel="2" collapsed="false">
      <c r="C175" s="51" t="s">
        <v>235</v>
      </c>
      <c r="D175" s="51" t="s">
        <v>235</v>
      </c>
      <c r="E175" s="159"/>
      <c r="F175" s="159"/>
      <c r="G175" s="159"/>
      <c r="H175" s="159"/>
      <c r="I175" s="160"/>
      <c r="J175" s="161"/>
      <c r="K175" s="161"/>
      <c r="L175" s="161"/>
      <c r="M175" s="161"/>
      <c r="P175" s="105"/>
    </row>
    <row r="176" customFormat="false" ht="11.25" hidden="false" customHeight="true" outlineLevel="2" collapsed="false">
      <c r="C176" s="51" t="s">
        <v>236</v>
      </c>
      <c r="D176" s="51" t="s">
        <v>236</v>
      </c>
      <c r="E176" s="159"/>
      <c r="F176" s="159"/>
      <c r="G176" s="159"/>
      <c r="H176" s="159"/>
      <c r="I176" s="160"/>
      <c r="J176" s="161"/>
      <c r="K176" s="161"/>
      <c r="L176" s="161"/>
      <c r="M176" s="161"/>
      <c r="P176" s="105"/>
    </row>
    <row r="177" customFormat="false" ht="11.25" hidden="false" customHeight="true" outlineLevel="0" collapsed="false">
      <c r="C177" s="171" t="s">
        <v>526</v>
      </c>
      <c r="D177" s="171" t="s">
        <v>513</v>
      </c>
      <c r="E177" s="172" t="n">
        <f aca="false">SUMIF($R$120:$R$176,"&lt;&gt;KTO",E120:E176)</f>
        <v>0</v>
      </c>
      <c r="F177" s="172" t="n">
        <f aca="false">SUMIF($R$120:$R$176,"&lt;&gt;KTO",F120:F176)</f>
        <v>0</v>
      </c>
      <c r="G177" s="172" t="n">
        <f aca="false">SUMIF($R$120:$R$176,"&lt;&gt;KTO",G120:G176)</f>
        <v>0</v>
      </c>
      <c r="H177" s="172" t="n">
        <f aca="false">SUMIF($R$120:$R$176,"&lt;&gt;KTO",H120:H176)</f>
        <v>0</v>
      </c>
      <c r="I177" s="173" t="n">
        <f aca="false">SUMIF($R$120:$R$176,"&lt;&gt;KTO",I120:I176)</f>
        <v>0</v>
      </c>
      <c r="J177" s="174" t="n">
        <f aca="false">SUMIF($R$120:$R$176,"&lt;&gt;KTO",J120:J176)</f>
        <v>0</v>
      </c>
      <c r="K177" s="174" t="n">
        <f aca="false">SUMIF($R$120:$R$176,"&lt;&gt;KTO",K120:K176)</f>
        <v>0</v>
      </c>
      <c r="L177" s="174" t="n">
        <f aca="false">SUMIF($R$120:$R$176,"&lt;&gt;KTO",L120:L176)</f>
        <v>0</v>
      </c>
      <c r="M177" s="174" t="n">
        <f aca="false">SUMIF($R$120:$R$176,"&lt;&gt;KTO",M120:M176)</f>
        <v>0</v>
      </c>
    </row>
    <row r="178" customFormat="false" ht="11.25" hidden="false" customHeight="true" outlineLevel="0" collapsed="false">
      <c r="C178" s="175" t="s">
        <v>527</v>
      </c>
      <c r="D178" s="175" t="s">
        <v>528</v>
      </c>
      <c r="E178" s="175" t="n">
        <f aca="false">E177+E119</f>
        <v>0</v>
      </c>
      <c r="F178" s="175" t="n">
        <f aca="false">F177+F119</f>
        <v>0</v>
      </c>
      <c r="G178" s="175" t="n">
        <f aca="false">G177+G119</f>
        <v>0</v>
      </c>
      <c r="H178" s="175" t="n">
        <f aca="false">H177+H119</f>
        <v>0</v>
      </c>
      <c r="I178" s="176" t="n">
        <f aca="false">I177+I119</f>
        <v>0</v>
      </c>
      <c r="J178" s="177" t="n">
        <f aca="false">J177+J119</f>
        <v>0</v>
      </c>
      <c r="K178" s="177" t="n">
        <f aca="false">K177+K119</f>
        <v>0</v>
      </c>
      <c r="L178" s="177" t="n">
        <f aca="false">L177+L119</f>
        <v>0</v>
      </c>
      <c r="M178" s="177" t="n">
        <f aca="false">M177+M119</f>
        <v>0</v>
      </c>
    </row>
    <row r="179" customFormat="false" ht="11.25" hidden="false" customHeight="true" outlineLevel="0" collapsed="false">
      <c r="C179" s="178" t="s">
        <v>529</v>
      </c>
      <c r="D179" s="178" t="s">
        <v>530</v>
      </c>
      <c r="E179" s="178" t="n">
        <f aca="false">E178+E79</f>
        <v>0</v>
      </c>
      <c r="F179" s="178" t="n">
        <f aca="false">F178+F79</f>
        <v>0</v>
      </c>
      <c r="G179" s="178" t="n">
        <f aca="false">G178+G79</f>
        <v>0</v>
      </c>
      <c r="H179" s="178" t="n">
        <f aca="false">H178+H79</f>
        <v>0</v>
      </c>
      <c r="I179" s="179" t="n">
        <f aca="false">I178+I79</f>
        <v>0</v>
      </c>
      <c r="J179" s="180" t="n">
        <f aca="false">J178+J79</f>
        <v>0</v>
      </c>
      <c r="K179" s="180" t="n">
        <f aca="false">K178+K79</f>
        <v>0</v>
      </c>
      <c r="L179" s="180" t="n">
        <f aca="false">L178+L79</f>
        <v>0</v>
      </c>
      <c r="M179" s="180" t="n">
        <f aca="false">M178+M79</f>
        <v>0</v>
      </c>
    </row>
    <row r="180" customFormat="false" ht="11.25" hidden="false" customHeight="true" outlineLevel="1" collapsed="false">
      <c r="C180" s="51" t="s">
        <v>531</v>
      </c>
      <c r="D180" s="51" t="s">
        <v>532</v>
      </c>
      <c r="E180" s="159" t="n">
        <f aca="false">SUMIFS(Mastersheet!$F$2:$F$400,Mastersheet!$D$2:$D$400,$P180,Mastersheet!$C$2:$C$400,$Q180)/1000</f>
        <v>0</v>
      </c>
      <c r="F180" s="159" t="n">
        <f aca="false">SUMIFS(Mastersheet!$G$2:$G$400,Mastersheet!$D$2:$D$400,$P180,Mastersheet!$C$2:$C$400,$Q180)/1000</f>
        <v>0</v>
      </c>
      <c r="G180" s="159" t="n">
        <f aca="false">SUMIFS(Mastersheet!$H$2:$H$400,Mastersheet!$D$2:$D$400,$P180,Mastersheet!$C$2:$C$400,$Q180)/1000</f>
        <v>0</v>
      </c>
      <c r="H180" s="159" t="n">
        <f aca="false">SUMIFS(Mastersheet!$I$2:$I$400,Mastersheet!$D$2:$D$400,$P180,Mastersheet!$C$2:$C$400,$Q180)/1000</f>
        <v>0</v>
      </c>
      <c r="I180" s="160" t="n">
        <f aca="false">SUMIFS(Mastersheet!$J$2:$J$400,Mastersheet!$D$2:$D$400,$P180,Mastersheet!$C$2:$C$400,$Q180)/1000</f>
        <v>0</v>
      </c>
      <c r="J180" s="161" t="n">
        <f aca="false">SUMIFS(Mastersheet!$K$2:$K$400,Mastersheet!$D$2:$D$400,$P180,Mastersheet!$C$2:$C$400,$Q180)/1000</f>
        <v>0</v>
      </c>
      <c r="K180" s="161" t="n">
        <f aca="false">SUMIFS(Mastersheet!$L$2:$L$400,Mastersheet!$D$2:$D$400,$P180,Mastersheet!$C$2:$C$400,$Q180)/1000</f>
        <v>0</v>
      </c>
      <c r="L180" s="161" t="n">
        <f aca="false">SUMIFS(Mastersheet!$M$2:$M$400,Mastersheet!$D$2:$D$400,$P180,Mastersheet!$C$2:$C$400,$Q180)/1000</f>
        <v>0</v>
      </c>
      <c r="M180" s="161" t="n">
        <f aca="false">SUMIFS(Mastersheet!$N$2:$N$400,Mastersheet!$D$2:$D$400,$P180,Mastersheet!$C$2:$C$400,$Q180)/1000</f>
        <v>0</v>
      </c>
      <c r="P180" s="97" t="s">
        <v>531</v>
      </c>
      <c r="Q180" s="98" t="s">
        <v>533</v>
      </c>
      <c r="R180" s="98" t="s">
        <v>414</v>
      </c>
    </row>
    <row r="181" customFormat="false" ht="11.25" hidden="true" customHeight="true" outlineLevel="3" collapsed="false">
      <c r="C181" s="99"/>
      <c r="D181" s="99"/>
      <c r="E181" s="100" t="str">
        <f aca="false">IF($P$181="","",SUMIFS(Mastersheet!$F$2:$F$400,Mastersheet!$A$2:$A$400,$P$181)/1000)</f>
        <v/>
      </c>
      <c r="F181" s="100" t="str">
        <f aca="false">IF($P$181="","",SUMIFS(Mastersheet!$G$2:$G$400,Mastersheet!$A$2:$A$400,$P$181)/1000)</f>
        <v/>
      </c>
      <c r="G181" s="100" t="str">
        <f aca="false">IF($P$181="","",SUMIFS(Mastersheet!$H$2:$H$400,Mastersheet!$A$2:$A$400,$P$181)/1000)</f>
        <v/>
      </c>
      <c r="H181" s="100" t="str">
        <f aca="false">IF($P$181="","",SUMIFS(Mastersheet!$I$2:$I$400,Mastersheet!$A$2:$A$400,$P$181)/1000)</f>
        <v/>
      </c>
      <c r="I181" s="102" t="str">
        <f aca="false">IF($P$181="","",SUMIFS(Mastersheet!$J$2:$J$400,Mastersheet!$A$2:$A$400,$P$181)/1000)</f>
        <v/>
      </c>
      <c r="J181" s="103" t="str">
        <f aca="false">IF($P$181="","",SUMIFS(Mastersheet!$K$2:$K$400,Mastersheet!$A$2:$A$400,$P$181)/1000)</f>
        <v/>
      </c>
      <c r="K181" s="103" t="str">
        <f aca="false">IF($P$181="","",SUMIFS(Mastersheet!$L$2:$L$400,Mastersheet!$A$2:$A$400,$P$181)/1000)</f>
        <v/>
      </c>
      <c r="L181" s="103" t="str">
        <f aca="false">IF($P$181="","",SUMIFS(Mastersheet!$M$2:$M$400,Mastersheet!$A$2:$A$400,$P$181)/1000)</f>
        <v/>
      </c>
      <c r="M181" s="103" t="str">
        <f aca="false">IF($P$181="","",SUMIFS(Mastersheet!$N$2:$N$400,Mastersheet!$A$2:$A$400,$P$181)/1000)</f>
        <v/>
      </c>
      <c r="P181" s="97"/>
      <c r="Q181" s="104" t="s">
        <v>415</v>
      </c>
      <c r="R181" s="104" t="s">
        <v>416</v>
      </c>
    </row>
    <row r="182" customFormat="false" ht="11.25" hidden="true" customHeight="true" outlineLevel="3" collapsed="false">
      <c r="C182" s="99"/>
      <c r="D182" s="99"/>
      <c r="E182" s="100" t="str">
        <f aca="false">IF($P$182="","",SUMIFS(Mastersheet!$F$2:$F$400,Mastersheet!$A$2:$A$400,$P$182)/1000)</f>
        <v/>
      </c>
      <c r="F182" s="100" t="str">
        <f aca="false">IF($P$182="","",SUMIFS(Mastersheet!$G$2:$G$400,Mastersheet!$A$2:$A$400,$P$182)/1000)</f>
        <v/>
      </c>
      <c r="G182" s="100" t="str">
        <f aca="false">IF($P$182="","",SUMIFS(Mastersheet!$H$2:$H$400,Mastersheet!$A$2:$A$400,$P$182)/1000)</f>
        <v/>
      </c>
      <c r="H182" s="100" t="str">
        <f aca="false">IF($P$182="","",SUMIFS(Mastersheet!$I$2:$I$400,Mastersheet!$A$2:$A$400,$P$182)/1000)</f>
        <v/>
      </c>
      <c r="I182" s="102" t="str">
        <f aca="false">IF($P$182="","",SUMIFS(Mastersheet!$J$2:$J$400,Mastersheet!$A$2:$A$400,$P$182)/1000)</f>
        <v/>
      </c>
      <c r="J182" s="103" t="str">
        <f aca="false">IF($P$182="","",SUMIFS(Mastersheet!$K$2:$K$400,Mastersheet!$A$2:$A$400,$P$182)/1000)</f>
        <v/>
      </c>
      <c r="K182" s="103" t="str">
        <f aca="false">IF($P$182="","",SUMIFS(Mastersheet!$L$2:$L$400,Mastersheet!$A$2:$A$400,$P$182)/1000)</f>
        <v/>
      </c>
      <c r="L182" s="103" t="str">
        <f aca="false">IF($P$182="","",SUMIFS(Mastersheet!$M$2:$M$400,Mastersheet!$A$2:$A$400,$P$182)/1000)</f>
        <v/>
      </c>
      <c r="M182" s="103" t="str">
        <f aca="false">IF($P$182="","",SUMIFS(Mastersheet!$N$2:$N$400,Mastersheet!$A$2:$A$400,$P$182)/1000)</f>
        <v/>
      </c>
      <c r="P182" s="97"/>
      <c r="Q182" s="104" t="s">
        <v>415</v>
      </c>
      <c r="R182" s="104" t="s">
        <v>416</v>
      </c>
    </row>
    <row r="183" customFormat="false" ht="11.25" hidden="true" customHeight="true" outlineLevel="3" collapsed="false">
      <c r="C183" s="99"/>
      <c r="D183" s="99"/>
      <c r="E183" s="100" t="str">
        <f aca="false">IF($P$183="","",SUMIFS(Mastersheet!$F$2:$F$400,Mastersheet!$A$2:$A$400,$P$183)/1000)</f>
        <v/>
      </c>
      <c r="F183" s="100" t="str">
        <f aca="false">IF($P$183="","",SUMIFS(Mastersheet!$G$2:$G$400,Mastersheet!$A$2:$A$400,$P$183)/1000)</f>
        <v/>
      </c>
      <c r="G183" s="100" t="str">
        <f aca="false">IF($P$183="","",SUMIFS(Mastersheet!$H$2:$H$400,Mastersheet!$A$2:$A$400,$P$183)/1000)</f>
        <v/>
      </c>
      <c r="H183" s="100" t="str">
        <f aca="false">IF($P$183="","",SUMIFS(Mastersheet!$I$2:$I$400,Mastersheet!$A$2:$A$400,$P$183)/1000)</f>
        <v/>
      </c>
      <c r="I183" s="102" t="str">
        <f aca="false">IF($P$183="","",SUMIFS(Mastersheet!$J$2:$J$400,Mastersheet!$A$2:$A$400,$P$183)/1000)</f>
        <v/>
      </c>
      <c r="J183" s="103" t="str">
        <f aca="false">IF($P$183="","",SUMIFS(Mastersheet!$K$2:$K$400,Mastersheet!$A$2:$A$400,$P$183)/1000)</f>
        <v/>
      </c>
      <c r="K183" s="103" t="str">
        <f aca="false">IF($P$183="","",SUMIFS(Mastersheet!$L$2:$L$400,Mastersheet!$A$2:$A$400,$P$183)/1000)</f>
        <v/>
      </c>
      <c r="L183" s="103" t="str">
        <f aca="false">IF($P$183="","",SUMIFS(Mastersheet!$M$2:$M$400,Mastersheet!$A$2:$A$400,$P$183)/1000)</f>
        <v/>
      </c>
      <c r="M183" s="103" t="str">
        <f aca="false">IF($P$183="","",SUMIFS(Mastersheet!$N$2:$N$400,Mastersheet!$A$2:$A$400,$P$183)/1000)</f>
        <v/>
      </c>
      <c r="P183" s="97"/>
      <c r="Q183" s="104" t="s">
        <v>415</v>
      </c>
      <c r="R183" s="104" t="s">
        <v>416</v>
      </c>
    </row>
    <row r="184" customFormat="false" ht="11.25" hidden="true" customHeight="true" outlineLevel="3" collapsed="false">
      <c r="C184" s="99"/>
      <c r="D184" s="99"/>
      <c r="E184" s="100" t="str">
        <f aca="false">IF($P$184="","",SUMIFS(Mastersheet!$F$2:$F$400,Mastersheet!$A$2:$A$400,$P$184)/1000)</f>
        <v/>
      </c>
      <c r="F184" s="100" t="str">
        <f aca="false">IF($P$184="","",SUMIFS(Mastersheet!$G$2:$G$400,Mastersheet!$A$2:$A$400,$P$184)/1000)</f>
        <v/>
      </c>
      <c r="G184" s="100" t="str">
        <f aca="false">IF($P$184="","",SUMIFS(Mastersheet!$H$2:$H$400,Mastersheet!$A$2:$A$400,$P$184)/1000)</f>
        <v/>
      </c>
      <c r="H184" s="100" t="str">
        <f aca="false">IF($P$184="","",SUMIFS(Mastersheet!$I$2:$I$400,Mastersheet!$A$2:$A$400,$P$184)/1000)</f>
        <v/>
      </c>
      <c r="I184" s="102" t="str">
        <f aca="false">IF($P$184="","",SUMIFS(Mastersheet!$J$2:$J$400,Mastersheet!$A$2:$A$400,$P$184)/1000)</f>
        <v/>
      </c>
      <c r="J184" s="103" t="str">
        <f aca="false">IF($P$184="","",SUMIFS(Mastersheet!$K$2:$K$400,Mastersheet!$A$2:$A$400,$P$184)/1000)</f>
        <v/>
      </c>
      <c r="K184" s="103" t="str">
        <f aca="false">IF($P$184="","",SUMIFS(Mastersheet!$L$2:$L$400,Mastersheet!$A$2:$A$400,$P$184)/1000)</f>
        <v/>
      </c>
      <c r="L184" s="103" t="str">
        <f aca="false">IF($P$184="","",SUMIFS(Mastersheet!$M$2:$M$400,Mastersheet!$A$2:$A$400,$P$184)/1000)</f>
        <v/>
      </c>
      <c r="M184" s="103" t="str">
        <f aca="false">IF($P$184="","",SUMIFS(Mastersheet!$N$2:$N$400,Mastersheet!$A$2:$A$400,$P$184)/1000)</f>
        <v/>
      </c>
      <c r="P184" s="97"/>
      <c r="Q184" s="104" t="s">
        <v>415</v>
      </c>
      <c r="R184" s="104" t="s">
        <v>416</v>
      </c>
    </row>
    <row r="185" customFormat="false" ht="11.25" hidden="true" customHeight="true" outlineLevel="3" collapsed="false">
      <c r="C185" s="99"/>
      <c r="D185" s="99"/>
      <c r="E185" s="100" t="str">
        <f aca="false">IF($P$185="","",SUMIFS(Mastersheet!$F$2:$F$400,Mastersheet!$A$2:$A$400,$P$185)/1000)</f>
        <v/>
      </c>
      <c r="F185" s="100" t="str">
        <f aca="false">IF($P$185="","",SUMIFS(Mastersheet!$G$2:$G$400,Mastersheet!$A$2:$A$400,$P$185)/1000)</f>
        <v/>
      </c>
      <c r="G185" s="100" t="str">
        <f aca="false">IF($P$185="","",SUMIFS(Mastersheet!$H$2:$H$400,Mastersheet!$A$2:$A$400,$P$185)/1000)</f>
        <v/>
      </c>
      <c r="H185" s="100" t="str">
        <f aca="false">IF($P$185="","",SUMIFS(Mastersheet!$I$2:$I$400,Mastersheet!$A$2:$A$400,$P$185)/1000)</f>
        <v/>
      </c>
      <c r="I185" s="102" t="str">
        <f aca="false">IF($P$185="","",SUMIFS(Mastersheet!$J$2:$J$400,Mastersheet!$A$2:$A$400,$P$185)/1000)</f>
        <v/>
      </c>
      <c r="J185" s="103" t="str">
        <f aca="false">IF($P$185="","",SUMIFS(Mastersheet!$K$2:$K$400,Mastersheet!$A$2:$A$400,$P$185)/1000)</f>
        <v/>
      </c>
      <c r="K185" s="103" t="str">
        <f aca="false">IF($P$185="","",SUMIFS(Mastersheet!$L$2:$L$400,Mastersheet!$A$2:$A$400,$P$185)/1000)</f>
        <v/>
      </c>
      <c r="L185" s="103" t="str">
        <f aca="false">IF($P$185="","",SUMIFS(Mastersheet!$M$2:$M$400,Mastersheet!$A$2:$A$400,$P$185)/1000)</f>
        <v/>
      </c>
      <c r="M185" s="103" t="str">
        <f aca="false">IF($P$185="","",SUMIFS(Mastersheet!$N$2:$N$400,Mastersheet!$A$2:$A$400,$P$185)/1000)</f>
        <v/>
      </c>
      <c r="P185" s="97"/>
      <c r="Q185" s="104" t="s">
        <v>415</v>
      </c>
      <c r="R185" s="104" t="s">
        <v>416</v>
      </c>
    </row>
    <row r="186" customFormat="false" ht="11.25" hidden="true" customHeight="true" outlineLevel="3" collapsed="false">
      <c r="C186" s="99"/>
      <c r="D186" s="99"/>
      <c r="E186" s="100" t="str">
        <f aca="false">IF($P$186="","",SUMIFS(Mastersheet!$F$2:$F$400,Mastersheet!$A$2:$A$400,$P$186)/1000)</f>
        <v/>
      </c>
      <c r="F186" s="100" t="str">
        <f aca="false">IF($P$186="","",SUMIFS(Mastersheet!$G$2:$G$400,Mastersheet!$A$2:$A$400,$P$186)/1000)</f>
        <v/>
      </c>
      <c r="G186" s="100" t="str">
        <f aca="false">IF($P$186="","",SUMIFS(Mastersheet!$H$2:$H$400,Mastersheet!$A$2:$A$400,$P$186)/1000)</f>
        <v/>
      </c>
      <c r="H186" s="100" t="str">
        <f aca="false">IF($P$186="","",SUMIFS(Mastersheet!$I$2:$I$400,Mastersheet!$A$2:$A$400,$P$186)/1000)</f>
        <v/>
      </c>
      <c r="I186" s="102" t="str">
        <f aca="false">IF($P$186="","",SUMIFS(Mastersheet!$J$2:$J$400,Mastersheet!$A$2:$A$400,$P$186)/1000)</f>
        <v/>
      </c>
      <c r="J186" s="103" t="str">
        <f aca="false">IF($P$186="","",SUMIFS(Mastersheet!$K$2:$K$400,Mastersheet!$A$2:$A$400,$P$186)/1000)</f>
        <v/>
      </c>
      <c r="K186" s="103" t="str">
        <f aca="false">IF($P$186="","",SUMIFS(Mastersheet!$L$2:$L$400,Mastersheet!$A$2:$A$400,$P$186)/1000)</f>
        <v/>
      </c>
      <c r="L186" s="103" t="str">
        <f aca="false">IF($P$186="","",SUMIFS(Mastersheet!$M$2:$M$400,Mastersheet!$A$2:$A$400,$P$186)/1000)</f>
        <v/>
      </c>
      <c r="M186" s="103" t="str">
        <f aca="false">IF($P$186="","",SUMIFS(Mastersheet!$N$2:$N$400,Mastersheet!$A$2:$A$400,$P$186)/1000)</f>
        <v/>
      </c>
      <c r="P186" s="97"/>
      <c r="Q186" s="104" t="s">
        <v>415</v>
      </c>
      <c r="R186" s="104" t="s">
        <v>416</v>
      </c>
    </row>
    <row r="187" customFormat="false" ht="11.25" hidden="true" customHeight="true" outlineLevel="3" collapsed="false">
      <c r="C187" s="99"/>
      <c r="D187" s="99"/>
      <c r="E187" s="100" t="str">
        <f aca="false">IF($P$187="","",SUMIFS(Mastersheet!$F$2:$F$400,Mastersheet!$A$2:$A$400,$P$187)/1000)</f>
        <v/>
      </c>
      <c r="F187" s="100" t="str">
        <f aca="false">IF($P$187="","",SUMIFS(Mastersheet!$G$2:$G$400,Mastersheet!$A$2:$A$400,$P$187)/1000)</f>
        <v/>
      </c>
      <c r="G187" s="100" t="str">
        <f aca="false">IF($P$187="","",SUMIFS(Mastersheet!$H$2:$H$400,Mastersheet!$A$2:$A$400,$P$187)/1000)</f>
        <v/>
      </c>
      <c r="H187" s="100" t="str">
        <f aca="false">IF($P$187="","",SUMIFS(Mastersheet!$I$2:$I$400,Mastersheet!$A$2:$A$400,$P$187)/1000)</f>
        <v/>
      </c>
      <c r="I187" s="102" t="str">
        <f aca="false">IF($P$187="","",SUMIFS(Mastersheet!$J$2:$J$400,Mastersheet!$A$2:$A$400,$P$187)/1000)</f>
        <v/>
      </c>
      <c r="J187" s="103" t="str">
        <f aca="false">IF($P$187="","",SUMIFS(Mastersheet!$K$2:$K$400,Mastersheet!$A$2:$A$400,$P$187)/1000)</f>
        <v/>
      </c>
      <c r="K187" s="103" t="str">
        <f aca="false">IF($P$187="","",SUMIFS(Mastersheet!$L$2:$L$400,Mastersheet!$A$2:$A$400,$P$187)/1000)</f>
        <v/>
      </c>
      <c r="L187" s="103" t="str">
        <f aca="false">IF($P$187="","",SUMIFS(Mastersheet!$M$2:$M$400,Mastersheet!$A$2:$A$400,$P$187)/1000)</f>
        <v/>
      </c>
      <c r="M187" s="103" t="str">
        <f aca="false">IF($P$187="","",SUMIFS(Mastersheet!$N$2:$N$400,Mastersheet!$A$2:$A$400,$P$187)/1000)</f>
        <v/>
      </c>
      <c r="P187" s="97"/>
      <c r="Q187" s="104" t="s">
        <v>415</v>
      </c>
      <c r="R187" s="104" t="s">
        <v>416</v>
      </c>
    </row>
    <row r="188" customFormat="false" ht="11.25" hidden="true" customHeight="true" outlineLevel="3" collapsed="false">
      <c r="C188" s="99"/>
      <c r="D188" s="99"/>
      <c r="E188" s="100" t="str">
        <f aca="false">IF($P$188="","",SUMIFS(Mastersheet!$F$2:$F$400,Mastersheet!$A$2:$A$400,$P$188)/1000)</f>
        <v/>
      </c>
      <c r="F188" s="100" t="str">
        <f aca="false">IF($P$188="","",SUMIFS(Mastersheet!$G$2:$G$400,Mastersheet!$A$2:$A$400,$P$188)/1000)</f>
        <v/>
      </c>
      <c r="G188" s="100" t="str">
        <f aca="false">IF($P$188="","",SUMIFS(Mastersheet!$H$2:$H$400,Mastersheet!$A$2:$A$400,$P$188)/1000)</f>
        <v/>
      </c>
      <c r="H188" s="100" t="str">
        <f aca="false">IF($P$188="","",SUMIFS(Mastersheet!$I$2:$I$400,Mastersheet!$A$2:$A$400,$P$188)/1000)</f>
        <v/>
      </c>
      <c r="I188" s="102" t="str">
        <f aca="false">IF($P$188="","",SUMIFS(Mastersheet!$J$2:$J$400,Mastersheet!$A$2:$A$400,$P$188)/1000)</f>
        <v/>
      </c>
      <c r="J188" s="103" t="str">
        <f aca="false">IF($P$188="","",SUMIFS(Mastersheet!$K$2:$K$400,Mastersheet!$A$2:$A$400,$P$188)/1000)</f>
        <v/>
      </c>
      <c r="K188" s="103" t="str">
        <f aca="false">IF($P$188="","",SUMIFS(Mastersheet!$L$2:$L$400,Mastersheet!$A$2:$A$400,$P$188)/1000)</f>
        <v/>
      </c>
      <c r="L188" s="103" t="str">
        <f aca="false">IF($P$188="","",SUMIFS(Mastersheet!$M$2:$M$400,Mastersheet!$A$2:$A$400,$P$188)/1000)</f>
        <v/>
      </c>
      <c r="M188" s="103" t="str">
        <f aca="false">IF($P$188="","",SUMIFS(Mastersheet!$N$2:$N$400,Mastersheet!$A$2:$A$400,$P$188)/1000)</f>
        <v/>
      </c>
      <c r="P188" s="97"/>
      <c r="Q188" s="104" t="s">
        <v>415</v>
      </c>
      <c r="R188" s="104" t="s">
        <v>416</v>
      </c>
    </row>
    <row r="189" customFormat="false" ht="11.25" hidden="false" customHeight="true" outlineLevel="1" collapsed="false">
      <c r="C189" s="51" t="s">
        <v>534</v>
      </c>
      <c r="D189" s="51" t="s">
        <v>535</v>
      </c>
      <c r="E189" s="159" t="n">
        <f aca="false">SUMIFS(Mastersheet!$F$2:$F$400,Mastersheet!$D$2:$D$400,$P189,Mastersheet!$C$2:$C$400,$Q189)/1000</f>
        <v>0</v>
      </c>
      <c r="F189" s="159" t="n">
        <f aca="false">SUMIFS(Mastersheet!$G$2:$G$400,Mastersheet!$D$2:$D$400,$P189,Mastersheet!$C$2:$C$400,$Q189)/1000</f>
        <v>0</v>
      </c>
      <c r="G189" s="159" t="n">
        <f aca="false">SUMIFS(Mastersheet!$H$2:$H$400,Mastersheet!$D$2:$D$400,$P189,Mastersheet!$C$2:$C$400,$Q189)/1000</f>
        <v>0</v>
      </c>
      <c r="H189" s="159" t="n">
        <f aca="false">SUMIFS(Mastersheet!$I$2:$I$400,Mastersheet!$D$2:$D$400,$P189,Mastersheet!$C$2:$C$400,$Q189)/1000</f>
        <v>0</v>
      </c>
      <c r="I189" s="160" t="n">
        <f aca="false">SUMIFS(Mastersheet!$J$2:$J$400,Mastersheet!$D$2:$D$400,$P189,Mastersheet!$C$2:$C$400,$Q189)/1000</f>
        <v>0</v>
      </c>
      <c r="J189" s="161" t="n">
        <f aca="false">SUMIFS(Mastersheet!$K$2:$K$400,Mastersheet!$D$2:$D$400,$P189,Mastersheet!$C$2:$C$400,$Q189)/1000</f>
        <v>0</v>
      </c>
      <c r="K189" s="161" t="n">
        <f aca="false">SUMIFS(Mastersheet!$L$2:$L$400,Mastersheet!$D$2:$D$400,$P189,Mastersheet!$C$2:$C$400,$Q189)/1000</f>
        <v>0</v>
      </c>
      <c r="L189" s="161" t="n">
        <f aca="false">SUMIFS(Mastersheet!$M$2:$M$400,Mastersheet!$D$2:$D$400,$P189,Mastersheet!$C$2:$C$400,$Q189)/1000</f>
        <v>0</v>
      </c>
      <c r="M189" s="161" t="n">
        <f aca="false">SUMIFS(Mastersheet!$N$2:$N$400,Mastersheet!$D$2:$D$400,$P189,Mastersheet!$C$2:$C$400,$Q189)/1000</f>
        <v>0</v>
      </c>
      <c r="P189" s="97" t="s">
        <v>536</v>
      </c>
      <c r="Q189" s="98" t="s">
        <v>533</v>
      </c>
      <c r="R189" s="98" t="s">
        <v>414</v>
      </c>
    </row>
    <row r="190" customFormat="false" ht="11.25" hidden="true" customHeight="true" outlineLevel="3" collapsed="false">
      <c r="C190" s="99"/>
      <c r="D190" s="99"/>
      <c r="E190" s="100" t="str">
        <f aca="false">IF($P$190="","",SUMIFS(Mastersheet!$F$2:$F$400,Mastersheet!$A$2:$A$400,$P$190)/1000)</f>
        <v/>
      </c>
      <c r="F190" s="100" t="str">
        <f aca="false">IF($P$190="","",SUMIFS(Mastersheet!$G$2:$G$400,Mastersheet!$A$2:$A$400,$P$190)/1000)</f>
        <v/>
      </c>
      <c r="G190" s="100" t="str">
        <f aca="false">IF($P$190="","",SUMIFS(Mastersheet!$H$2:$H$400,Mastersheet!$A$2:$A$400,$P$190)/1000)</f>
        <v/>
      </c>
      <c r="H190" s="100" t="str">
        <f aca="false">IF($P$190="","",SUMIFS(Mastersheet!$I$2:$I$400,Mastersheet!$A$2:$A$400,$P$190)/1000)</f>
        <v/>
      </c>
      <c r="I190" s="102" t="str">
        <f aca="false">IF($P$190="","",SUMIFS(Mastersheet!$J$2:$J$400,Mastersheet!$A$2:$A$400,$P$190)/1000)</f>
        <v/>
      </c>
      <c r="J190" s="103" t="str">
        <f aca="false">IF($P$190="","",SUMIFS(Mastersheet!$K$2:$K$400,Mastersheet!$A$2:$A$400,$P$190)/1000)</f>
        <v/>
      </c>
      <c r="K190" s="103" t="str">
        <f aca="false">IF($P$190="","",SUMIFS(Mastersheet!$L$2:$L$400,Mastersheet!$A$2:$A$400,$P$190)/1000)</f>
        <v/>
      </c>
      <c r="L190" s="103" t="str">
        <f aca="false">IF($P$190="","",SUMIFS(Mastersheet!$M$2:$M$400,Mastersheet!$A$2:$A$400,$P$190)/1000)</f>
        <v/>
      </c>
      <c r="M190" s="103" t="str">
        <f aca="false">IF($P$190="","",SUMIFS(Mastersheet!$N$2:$N$400,Mastersheet!$A$2:$A$400,$P$190)/1000)</f>
        <v/>
      </c>
      <c r="P190" s="97"/>
      <c r="Q190" s="104" t="s">
        <v>415</v>
      </c>
      <c r="R190" s="104" t="s">
        <v>416</v>
      </c>
    </row>
    <row r="191" customFormat="false" ht="11.25" hidden="true" customHeight="true" outlineLevel="3" collapsed="false">
      <c r="C191" s="99"/>
      <c r="D191" s="99"/>
      <c r="E191" s="100" t="str">
        <f aca="false">IF($P$191="","",SUMIFS(Mastersheet!$F$2:$F$400,Mastersheet!$A$2:$A$400,$P$191)/1000)</f>
        <v/>
      </c>
      <c r="F191" s="100" t="str">
        <f aca="false">IF($P$191="","",SUMIFS(Mastersheet!$G$2:$G$400,Mastersheet!$A$2:$A$400,$P$191)/1000)</f>
        <v/>
      </c>
      <c r="G191" s="100" t="str">
        <f aca="false">IF($P$191="","",SUMIFS(Mastersheet!$H$2:$H$400,Mastersheet!$A$2:$A$400,$P$191)/1000)</f>
        <v/>
      </c>
      <c r="H191" s="100" t="str">
        <f aca="false">IF($P$191="","",SUMIFS(Mastersheet!$I$2:$I$400,Mastersheet!$A$2:$A$400,$P$191)/1000)</f>
        <v/>
      </c>
      <c r="I191" s="102" t="str">
        <f aca="false">IF($P$191="","",SUMIFS(Mastersheet!$J$2:$J$400,Mastersheet!$A$2:$A$400,$P$191)/1000)</f>
        <v/>
      </c>
      <c r="J191" s="103" t="str">
        <f aca="false">IF($P$191="","",SUMIFS(Mastersheet!$K$2:$K$400,Mastersheet!$A$2:$A$400,$P$191)/1000)</f>
        <v/>
      </c>
      <c r="K191" s="103" t="str">
        <f aca="false">IF($P$191="","",SUMIFS(Mastersheet!$L$2:$L$400,Mastersheet!$A$2:$A$400,$P$191)/1000)</f>
        <v/>
      </c>
      <c r="L191" s="103" t="str">
        <f aca="false">IF($P$191="","",SUMIFS(Mastersheet!$M$2:$M$400,Mastersheet!$A$2:$A$400,$P$191)/1000)</f>
        <v/>
      </c>
      <c r="M191" s="103" t="str">
        <f aca="false">IF($P$191="","",SUMIFS(Mastersheet!$N$2:$N$400,Mastersheet!$A$2:$A$400,$P$191)/1000)</f>
        <v/>
      </c>
      <c r="P191" s="97"/>
      <c r="Q191" s="104" t="s">
        <v>415</v>
      </c>
      <c r="R191" s="104" t="s">
        <v>416</v>
      </c>
    </row>
    <row r="192" customFormat="false" ht="11.25" hidden="true" customHeight="true" outlineLevel="3" collapsed="false">
      <c r="C192" s="99"/>
      <c r="D192" s="99"/>
      <c r="E192" s="100" t="str">
        <f aca="false">IF($P$192="","",SUMIFS(Mastersheet!$F$2:$F$400,Mastersheet!$A$2:$A$400,$P$192)/1000)</f>
        <v/>
      </c>
      <c r="F192" s="100" t="str">
        <f aca="false">IF($P$192="","",SUMIFS(Mastersheet!$G$2:$G$400,Mastersheet!$A$2:$A$400,$P$192)/1000)</f>
        <v/>
      </c>
      <c r="G192" s="100" t="str">
        <f aca="false">IF($P$192="","",SUMIFS(Mastersheet!$H$2:$H$400,Mastersheet!$A$2:$A$400,$P$192)/1000)</f>
        <v/>
      </c>
      <c r="H192" s="100" t="str">
        <f aca="false">IF($P$192="","",SUMIFS(Mastersheet!$I$2:$I$400,Mastersheet!$A$2:$A$400,$P$192)/1000)</f>
        <v/>
      </c>
      <c r="I192" s="102" t="str">
        <f aca="false">IF($P$192="","",SUMIFS(Mastersheet!$J$2:$J$400,Mastersheet!$A$2:$A$400,$P$192)/1000)</f>
        <v/>
      </c>
      <c r="J192" s="103" t="str">
        <f aca="false">IF($P$192="","",SUMIFS(Mastersheet!$K$2:$K$400,Mastersheet!$A$2:$A$400,$P$192)/1000)</f>
        <v/>
      </c>
      <c r="K192" s="103" t="str">
        <f aca="false">IF($P$192="","",SUMIFS(Mastersheet!$L$2:$L$400,Mastersheet!$A$2:$A$400,$P$192)/1000)</f>
        <v/>
      </c>
      <c r="L192" s="103" t="str">
        <f aca="false">IF($P$192="","",SUMIFS(Mastersheet!$M$2:$M$400,Mastersheet!$A$2:$A$400,$P$192)/1000)</f>
        <v/>
      </c>
      <c r="M192" s="103" t="str">
        <f aca="false">IF($P$192="","",SUMIFS(Mastersheet!$N$2:$N$400,Mastersheet!$A$2:$A$400,$P$192)/1000)</f>
        <v/>
      </c>
      <c r="P192" s="97"/>
      <c r="Q192" s="104" t="s">
        <v>415</v>
      </c>
      <c r="R192" s="104" t="s">
        <v>416</v>
      </c>
    </row>
    <row r="193" customFormat="false" ht="11.25" hidden="true" customHeight="true" outlineLevel="3" collapsed="false">
      <c r="C193" s="99"/>
      <c r="D193" s="99"/>
      <c r="E193" s="100" t="str">
        <f aca="false">IF($P$193="","",SUMIFS(Mastersheet!$F$2:$F$400,Mastersheet!$A$2:$A$400,$P$193)/1000)</f>
        <v/>
      </c>
      <c r="F193" s="100" t="str">
        <f aca="false">IF($P$193="","",SUMIFS(Mastersheet!$G$2:$G$400,Mastersheet!$A$2:$A$400,$P$193)/1000)</f>
        <v/>
      </c>
      <c r="G193" s="100" t="str">
        <f aca="false">IF($P$193="","",SUMIFS(Mastersheet!$H$2:$H$400,Mastersheet!$A$2:$A$400,$P$193)/1000)</f>
        <v/>
      </c>
      <c r="H193" s="100" t="str">
        <f aca="false">IF($P$193="","",SUMIFS(Mastersheet!$I$2:$I$400,Mastersheet!$A$2:$A$400,$P$193)/1000)</f>
        <v/>
      </c>
      <c r="I193" s="102" t="str">
        <f aca="false">IF($P$193="","",SUMIFS(Mastersheet!$J$2:$J$400,Mastersheet!$A$2:$A$400,$P$193)/1000)</f>
        <v/>
      </c>
      <c r="J193" s="103" t="str">
        <f aca="false">IF($P$193="","",SUMIFS(Mastersheet!$K$2:$K$400,Mastersheet!$A$2:$A$400,$P$193)/1000)</f>
        <v/>
      </c>
      <c r="K193" s="103" t="str">
        <f aca="false">IF($P$193="","",SUMIFS(Mastersheet!$L$2:$L$400,Mastersheet!$A$2:$A$400,$P$193)/1000)</f>
        <v/>
      </c>
      <c r="L193" s="103" t="str">
        <f aca="false">IF($P$193="","",SUMIFS(Mastersheet!$M$2:$M$400,Mastersheet!$A$2:$A$400,$P$193)/1000)</f>
        <v/>
      </c>
      <c r="M193" s="103" t="str">
        <f aca="false">IF($P$193="","",SUMIFS(Mastersheet!$N$2:$N$400,Mastersheet!$A$2:$A$400,$P$193)/1000)</f>
        <v/>
      </c>
      <c r="P193" s="97"/>
      <c r="Q193" s="104" t="s">
        <v>415</v>
      </c>
      <c r="R193" s="104" t="s">
        <v>416</v>
      </c>
    </row>
    <row r="194" customFormat="false" ht="11.25" hidden="true" customHeight="true" outlineLevel="3" collapsed="false">
      <c r="C194" s="99"/>
      <c r="D194" s="99"/>
      <c r="E194" s="100" t="str">
        <f aca="false">IF($P$194="","",SUMIFS(Mastersheet!$F$2:$F$400,Mastersheet!$A$2:$A$400,$P$194)/1000)</f>
        <v/>
      </c>
      <c r="F194" s="100" t="str">
        <f aca="false">IF($P$194="","",SUMIFS(Mastersheet!$G$2:$G$400,Mastersheet!$A$2:$A$400,$P$194)/1000)</f>
        <v/>
      </c>
      <c r="G194" s="100" t="str">
        <f aca="false">IF($P$194="","",SUMIFS(Mastersheet!$H$2:$H$400,Mastersheet!$A$2:$A$400,$P$194)/1000)</f>
        <v/>
      </c>
      <c r="H194" s="100" t="str">
        <f aca="false">IF($P$194="","",SUMIFS(Mastersheet!$I$2:$I$400,Mastersheet!$A$2:$A$400,$P$194)/1000)</f>
        <v/>
      </c>
      <c r="I194" s="102" t="str">
        <f aca="false">IF($P$194="","",SUMIFS(Mastersheet!$J$2:$J$400,Mastersheet!$A$2:$A$400,$P$194)/1000)</f>
        <v/>
      </c>
      <c r="J194" s="103" t="str">
        <f aca="false">IF($P$194="","",SUMIFS(Mastersheet!$K$2:$K$400,Mastersheet!$A$2:$A$400,$P$194)/1000)</f>
        <v/>
      </c>
      <c r="K194" s="103" t="str">
        <f aca="false">IF($P$194="","",SUMIFS(Mastersheet!$L$2:$L$400,Mastersheet!$A$2:$A$400,$P$194)/1000)</f>
        <v/>
      </c>
      <c r="L194" s="103" t="str">
        <f aca="false">IF($P$194="","",SUMIFS(Mastersheet!$M$2:$M$400,Mastersheet!$A$2:$A$400,$P$194)/1000)</f>
        <v/>
      </c>
      <c r="M194" s="103" t="str">
        <f aca="false">IF($P$194="","",SUMIFS(Mastersheet!$N$2:$N$400,Mastersheet!$A$2:$A$400,$P$194)/1000)</f>
        <v/>
      </c>
      <c r="P194" s="97"/>
      <c r="Q194" s="104" t="s">
        <v>415</v>
      </c>
      <c r="R194" s="104" t="s">
        <v>416</v>
      </c>
    </row>
    <row r="195" customFormat="false" ht="11.25" hidden="true" customHeight="true" outlineLevel="3" collapsed="false">
      <c r="C195" s="99"/>
      <c r="D195" s="99"/>
      <c r="E195" s="100" t="str">
        <f aca="false">IF($P$195="","",SUMIFS(Mastersheet!$F$2:$F$400,Mastersheet!$A$2:$A$400,$P$195)/1000)</f>
        <v/>
      </c>
      <c r="F195" s="100" t="str">
        <f aca="false">IF($P$195="","",SUMIFS(Mastersheet!$G$2:$G$400,Mastersheet!$A$2:$A$400,$P$195)/1000)</f>
        <v/>
      </c>
      <c r="G195" s="100" t="str">
        <f aca="false">IF($P$195="","",SUMIFS(Mastersheet!$H$2:$H$400,Mastersheet!$A$2:$A$400,$P$195)/1000)</f>
        <v/>
      </c>
      <c r="H195" s="100" t="str">
        <f aca="false">IF($P$195="","",SUMIFS(Mastersheet!$I$2:$I$400,Mastersheet!$A$2:$A$400,$P$195)/1000)</f>
        <v/>
      </c>
      <c r="I195" s="102" t="str">
        <f aca="false">IF($P$195="","",SUMIFS(Mastersheet!$J$2:$J$400,Mastersheet!$A$2:$A$400,$P$195)/1000)</f>
        <v/>
      </c>
      <c r="J195" s="103" t="str">
        <f aca="false">IF($P$195="","",SUMIFS(Mastersheet!$K$2:$K$400,Mastersheet!$A$2:$A$400,$P$195)/1000)</f>
        <v/>
      </c>
      <c r="K195" s="103" t="str">
        <f aca="false">IF($P$195="","",SUMIFS(Mastersheet!$L$2:$L$400,Mastersheet!$A$2:$A$400,$P$195)/1000)</f>
        <v/>
      </c>
      <c r="L195" s="103" t="str">
        <f aca="false">IF($P$195="","",SUMIFS(Mastersheet!$M$2:$M$400,Mastersheet!$A$2:$A$400,$P$195)/1000)</f>
        <v/>
      </c>
      <c r="M195" s="103" t="str">
        <f aca="false">IF($P$195="","",SUMIFS(Mastersheet!$N$2:$N$400,Mastersheet!$A$2:$A$400,$P$195)/1000)</f>
        <v/>
      </c>
      <c r="P195" s="97"/>
      <c r="Q195" s="104" t="s">
        <v>415</v>
      </c>
      <c r="R195" s="104" t="s">
        <v>416</v>
      </c>
    </row>
    <row r="196" customFormat="false" ht="11.25" hidden="true" customHeight="true" outlineLevel="3" collapsed="false">
      <c r="C196" s="99"/>
      <c r="D196" s="99"/>
      <c r="E196" s="100" t="str">
        <f aca="false">IF($P$196="","",SUMIFS(Mastersheet!$F$2:$F$400,Mastersheet!$A$2:$A$400,$P$196)/1000)</f>
        <v/>
      </c>
      <c r="F196" s="100" t="str">
        <f aca="false">IF($P$196="","",SUMIFS(Mastersheet!$G$2:$G$400,Mastersheet!$A$2:$A$400,$P$196)/1000)</f>
        <v/>
      </c>
      <c r="G196" s="100" t="str">
        <f aca="false">IF($P$196="","",SUMIFS(Mastersheet!$H$2:$H$400,Mastersheet!$A$2:$A$400,$P$196)/1000)</f>
        <v/>
      </c>
      <c r="H196" s="100" t="str">
        <f aca="false">IF($P$196="","",SUMIFS(Mastersheet!$I$2:$I$400,Mastersheet!$A$2:$A$400,$P$196)/1000)</f>
        <v/>
      </c>
      <c r="I196" s="102" t="str">
        <f aca="false">IF($P$196="","",SUMIFS(Mastersheet!$J$2:$J$400,Mastersheet!$A$2:$A$400,$P$196)/1000)</f>
        <v/>
      </c>
      <c r="J196" s="103" t="str">
        <f aca="false">IF($P$196="","",SUMIFS(Mastersheet!$K$2:$K$400,Mastersheet!$A$2:$A$400,$P$196)/1000)</f>
        <v/>
      </c>
      <c r="K196" s="103" t="str">
        <f aca="false">IF($P$196="","",SUMIFS(Mastersheet!$L$2:$L$400,Mastersheet!$A$2:$A$400,$P$196)/1000)</f>
        <v/>
      </c>
      <c r="L196" s="103" t="str">
        <f aca="false">IF($P$196="","",SUMIFS(Mastersheet!$M$2:$M$400,Mastersheet!$A$2:$A$400,$P$196)/1000)</f>
        <v/>
      </c>
      <c r="M196" s="103" t="str">
        <f aca="false">IF($P$196="","",SUMIFS(Mastersheet!$N$2:$N$400,Mastersheet!$A$2:$A$400,$P$196)/1000)</f>
        <v/>
      </c>
      <c r="P196" s="97"/>
      <c r="Q196" s="104" t="s">
        <v>415</v>
      </c>
      <c r="R196" s="104" t="s">
        <v>416</v>
      </c>
    </row>
    <row r="197" customFormat="false" ht="11.25" hidden="true" customHeight="true" outlineLevel="3" collapsed="false">
      <c r="C197" s="99"/>
      <c r="D197" s="99"/>
      <c r="E197" s="100" t="str">
        <f aca="false">IF($P$197="","",SUMIFS(Mastersheet!$F$2:$F$400,Mastersheet!$A$2:$A$400,$P$197)/1000)</f>
        <v/>
      </c>
      <c r="F197" s="100" t="str">
        <f aca="false">IF($P$197="","",SUMIFS(Mastersheet!$G$2:$G$400,Mastersheet!$A$2:$A$400,$P$197)/1000)</f>
        <v/>
      </c>
      <c r="G197" s="100" t="str">
        <f aca="false">IF($P$197="","",SUMIFS(Mastersheet!$H$2:$H$400,Mastersheet!$A$2:$A$400,$P$197)/1000)</f>
        <v/>
      </c>
      <c r="H197" s="100" t="str">
        <f aca="false">IF($P$197="","",SUMIFS(Mastersheet!$I$2:$I$400,Mastersheet!$A$2:$A$400,$P$197)/1000)</f>
        <v/>
      </c>
      <c r="I197" s="102" t="str">
        <f aca="false">IF($P$197="","",SUMIFS(Mastersheet!$J$2:$J$400,Mastersheet!$A$2:$A$400,$P$197)/1000)</f>
        <v/>
      </c>
      <c r="J197" s="103" t="str">
        <f aca="false">IF($P$197="","",SUMIFS(Mastersheet!$K$2:$K$400,Mastersheet!$A$2:$A$400,$P$197)/1000)</f>
        <v/>
      </c>
      <c r="K197" s="103" t="str">
        <f aca="false">IF($P$197="","",SUMIFS(Mastersheet!$L$2:$L$400,Mastersheet!$A$2:$A$400,$P$197)/1000)</f>
        <v/>
      </c>
      <c r="L197" s="103" t="str">
        <f aca="false">IF($P$197="","",SUMIFS(Mastersheet!$M$2:$M$400,Mastersheet!$A$2:$A$400,$P$197)/1000)</f>
        <v/>
      </c>
      <c r="M197" s="103" t="str">
        <f aca="false">IF($P$197="","",SUMIFS(Mastersheet!$N$2:$N$400,Mastersheet!$A$2:$A$400,$P$197)/1000)</f>
        <v/>
      </c>
      <c r="P197" s="97"/>
      <c r="Q197" s="104" t="s">
        <v>415</v>
      </c>
      <c r="R197" s="104" t="s">
        <v>416</v>
      </c>
    </row>
    <row r="198" customFormat="false" ht="11.25" hidden="false" customHeight="true" outlineLevel="1" collapsed="false">
      <c r="C198" s="51" t="s">
        <v>537</v>
      </c>
      <c r="D198" s="51" t="s">
        <v>538</v>
      </c>
      <c r="E198" s="159" t="n">
        <f aca="false">SUMIFS(Mastersheet!$F$2:$F$400,Mastersheet!$D$2:$D$400,$P198,Mastersheet!$C$2:$C$400,$Q198)/1000</f>
        <v>0</v>
      </c>
      <c r="F198" s="159" t="n">
        <f aca="false">SUMIFS(Mastersheet!$G$2:$G$400,Mastersheet!$D$2:$D$400,$P198,Mastersheet!$C$2:$C$400,$Q198)/1000</f>
        <v>0</v>
      </c>
      <c r="G198" s="159" t="n">
        <f aca="false">SUMIFS(Mastersheet!$H$2:$H$400,Mastersheet!$D$2:$D$400,$P198,Mastersheet!$C$2:$C$400,$Q198)/1000</f>
        <v>0</v>
      </c>
      <c r="H198" s="159" t="n">
        <f aca="false">SUMIFS(Mastersheet!$I$2:$I$400,Mastersheet!$D$2:$D$400,$P198,Mastersheet!$C$2:$C$400,$Q198)/1000</f>
        <v>0</v>
      </c>
      <c r="I198" s="160" t="n">
        <f aca="false">SUMIFS(Mastersheet!$J$2:$J$400,Mastersheet!$D$2:$D$400,$P198,Mastersheet!$C$2:$C$400,$Q198)/1000</f>
        <v>0</v>
      </c>
      <c r="J198" s="161" t="n">
        <f aca="false">SUMIFS(Mastersheet!$K$2:$K$400,Mastersheet!$D$2:$D$400,$P198,Mastersheet!$C$2:$C$400,$Q198)/1000</f>
        <v>0</v>
      </c>
      <c r="K198" s="161" t="n">
        <f aca="false">SUMIFS(Mastersheet!$L$2:$L$400,Mastersheet!$D$2:$D$400,$P198,Mastersheet!$C$2:$C$400,$Q198)/1000</f>
        <v>0</v>
      </c>
      <c r="L198" s="161" t="n">
        <f aca="false">SUMIFS(Mastersheet!$M$2:$M$400,Mastersheet!$D$2:$D$400,$P198,Mastersheet!$C$2:$C$400,$Q198)/1000</f>
        <v>0</v>
      </c>
      <c r="M198" s="161" t="n">
        <f aca="false">SUMIFS(Mastersheet!$N$2:$N$400,Mastersheet!$D$2:$D$400,$P198,Mastersheet!$C$2:$C$400,$Q198)/1000</f>
        <v>0</v>
      </c>
      <c r="P198" s="97" t="s">
        <v>539</v>
      </c>
      <c r="Q198" s="98" t="s">
        <v>533</v>
      </c>
      <c r="R198" s="98" t="s">
        <v>414</v>
      </c>
    </row>
    <row r="199" customFormat="false" ht="11.25" hidden="true" customHeight="true" outlineLevel="3" collapsed="false">
      <c r="C199" s="99"/>
      <c r="D199" s="99"/>
      <c r="E199" s="100" t="str">
        <f aca="false">IF($P$199="","",SUMIFS(Mastersheet!$F$2:$F$400,Mastersheet!$A$2:$A$400,$P$199)/1000)</f>
        <v/>
      </c>
      <c r="F199" s="100" t="str">
        <f aca="false">IF($P$199="","",SUMIFS(Mastersheet!$G$2:$G$400,Mastersheet!$A$2:$A$400,$P$199)/1000)</f>
        <v/>
      </c>
      <c r="G199" s="100" t="str">
        <f aca="false">IF($P$199="","",SUMIFS(Mastersheet!$H$2:$H$400,Mastersheet!$A$2:$A$400,$P$199)/1000)</f>
        <v/>
      </c>
      <c r="H199" s="100" t="str">
        <f aca="false">IF($P$199="","",SUMIFS(Mastersheet!$I$2:$I$400,Mastersheet!$A$2:$A$400,$P$199)/1000)</f>
        <v/>
      </c>
      <c r="I199" s="102" t="str">
        <f aca="false">IF($P$199="","",SUMIFS(Mastersheet!$J$2:$J$400,Mastersheet!$A$2:$A$400,$P$199)/1000)</f>
        <v/>
      </c>
      <c r="J199" s="103" t="str">
        <f aca="false">IF($P$199="","",SUMIFS(Mastersheet!$K$2:$K$400,Mastersheet!$A$2:$A$400,$P$199)/1000)</f>
        <v/>
      </c>
      <c r="K199" s="103" t="str">
        <f aca="false">IF($P$199="","",SUMIFS(Mastersheet!$L$2:$L$400,Mastersheet!$A$2:$A$400,$P$199)/1000)</f>
        <v/>
      </c>
      <c r="L199" s="103" t="str">
        <f aca="false">IF($P$199="","",SUMIFS(Mastersheet!$M$2:$M$400,Mastersheet!$A$2:$A$400,$P$199)/1000)</f>
        <v/>
      </c>
      <c r="M199" s="103" t="str">
        <f aca="false">IF($P$199="","",SUMIFS(Mastersheet!$N$2:$N$400,Mastersheet!$A$2:$A$400,$P$199)/1000)</f>
        <v/>
      </c>
      <c r="P199" s="97"/>
      <c r="Q199" s="104" t="s">
        <v>415</v>
      </c>
      <c r="R199" s="104" t="s">
        <v>416</v>
      </c>
    </row>
    <row r="200" customFormat="false" ht="11.25" hidden="true" customHeight="true" outlineLevel="3" collapsed="false">
      <c r="C200" s="99"/>
      <c r="D200" s="99"/>
      <c r="E200" s="100" t="str">
        <f aca="false">IF($P$200="","",SUMIFS(Mastersheet!$F$2:$F$400,Mastersheet!$A$2:$A$400,$P$200)/1000)</f>
        <v/>
      </c>
      <c r="F200" s="100" t="str">
        <f aca="false">IF($P$200="","",SUMIFS(Mastersheet!$G$2:$G$400,Mastersheet!$A$2:$A$400,$P$200)/1000)</f>
        <v/>
      </c>
      <c r="G200" s="100" t="str">
        <f aca="false">IF($P$200="","",SUMIFS(Mastersheet!$H$2:$H$400,Mastersheet!$A$2:$A$400,$P$200)/1000)</f>
        <v/>
      </c>
      <c r="H200" s="100" t="str">
        <f aca="false">IF($P$200="","",SUMIFS(Mastersheet!$I$2:$I$400,Mastersheet!$A$2:$A$400,$P$200)/1000)</f>
        <v/>
      </c>
      <c r="I200" s="102" t="str">
        <f aca="false">IF($P$200="","",SUMIFS(Mastersheet!$J$2:$J$400,Mastersheet!$A$2:$A$400,$P$200)/1000)</f>
        <v/>
      </c>
      <c r="J200" s="103" t="str">
        <f aca="false">IF($P$200="","",SUMIFS(Mastersheet!$K$2:$K$400,Mastersheet!$A$2:$A$400,$P$200)/1000)</f>
        <v/>
      </c>
      <c r="K200" s="103" t="str">
        <f aca="false">IF($P$200="","",SUMIFS(Mastersheet!$L$2:$L$400,Mastersheet!$A$2:$A$400,$P$200)/1000)</f>
        <v/>
      </c>
      <c r="L200" s="103" t="str">
        <f aca="false">IF($P$200="","",SUMIFS(Mastersheet!$M$2:$M$400,Mastersheet!$A$2:$A$400,$P$200)/1000)</f>
        <v/>
      </c>
      <c r="M200" s="103" t="str">
        <f aca="false">IF($P$200="","",SUMIFS(Mastersheet!$N$2:$N$400,Mastersheet!$A$2:$A$400,$P$200)/1000)</f>
        <v/>
      </c>
      <c r="P200" s="97"/>
      <c r="Q200" s="104" t="s">
        <v>415</v>
      </c>
      <c r="R200" s="104" t="s">
        <v>416</v>
      </c>
    </row>
    <row r="201" customFormat="false" ht="11.25" hidden="true" customHeight="true" outlineLevel="3" collapsed="false">
      <c r="C201" s="99"/>
      <c r="D201" s="99"/>
      <c r="E201" s="100" t="str">
        <f aca="false">IF($P$201="","",SUMIFS(Mastersheet!$F$2:$F$400,Mastersheet!$A$2:$A$400,$P$201)/1000)</f>
        <v/>
      </c>
      <c r="F201" s="100" t="str">
        <f aca="false">IF($P$201="","",SUMIFS(Mastersheet!$G$2:$G$400,Mastersheet!$A$2:$A$400,$P$201)/1000)</f>
        <v/>
      </c>
      <c r="G201" s="100" t="str">
        <f aca="false">IF($P$201="","",SUMIFS(Mastersheet!$H$2:$H$400,Mastersheet!$A$2:$A$400,$P$201)/1000)</f>
        <v/>
      </c>
      <c r="H201" s="100" t="str">
        <f aca="false">IF($P$201="","",SUMIFS(Mastersheet!$I$2:$I$400,Mastersheet!$A$2:$A$400,$P$201)/1000)</f>
        <v/>
      </c>
      <c r="I201" s="102" t="str">
        <f aca="false">IF($P$201="","",SUMIFS(Mastersheet!$J$2:$J$400,Mastersheet!$A$2:$A$400,$P$201)/1000)</f>
        <v/>
      </c>
      <c r="J201" s="103" t="str">
        <f aca="false">IF($P$201="","",SUMIFS(Mastersheet!$K$2:$K$400,Mastersheet!$A$2:$A$400,$P$201)/1000)</f>
        <v/>
      </c>
      <c r="K201" s="103" t="str">
        <f aca="false">IF($P$201="","",SUMIFS(Mastersheet!$L$2:$L$400,Mastersheet!$A$2:$A$400,$P$201)/1000)</f>
        <v/>
      </c>
      <c r="L201" s="103" t="str">
        <f aca="false">IF($P$201="","",SUMIFS(Mastersheet!$M$2:$M$400,Mastersheet!$A$2:$A$400,$P$201)/1000)</f>
        <v/>
      </c>
      <c r="M201" s="103" t="str">
        <f aca="false">IF($P$201="","",SUMIFS(Mastersheet!$N$2:$N$400,Mastersheet!$A$2:$A$400,$P$201)/1000)</f>
        <v/>
      </c>
      <c r="P201" s="97"/>
      <c r="Q201" s="104" t="s">
        <v>415</v>
      </c>
      <c r="R201" s="104" t="s">
        <v>416</v>
      </c>
    </row>
    <row r="202" customFormat="false" ht="11.25" hidden="true" customHeight="true" outlineLevel="3" collapsed="false">
      <c r="C202" s="99"/>
      <c r="D202" s="99"/>
      <c r="E202" s="100" t="str">
        <f aca="false">IF($P$202="","",SUMIFS(Mastersheet!$F$2:$F$400,Mastersheet!$A$2:$A$400,$P$202)/1000)</f>
        <v/>
      </c>
      <c r="F202" s="100" t="str">
        <f aca="false">IF($P$202="","",SUMIFS(Mastersheet!$G$2:$G$400,Mastersheet!$A$2:$A$400,$P$202)/1000)</f>
        <v/>
      </c>
      <c r="G202" s="100" t="str">
        <f aca="false">IF($P$202="","",SUMIFS(Mastersheet!$H$2:$H$400,Mastersheet!$A$2:$A$400,$P$202)/1000)</f>
        <v/>
      </c>
      <c r="H202" s="100" t="str">
        <f aca="false">IF($P$202="","",SUMIFS(Mastersheet!$I$2:$I$400,Mastersheet!$A$2:$A$400,$P$202)/1000)</f>
        <v/>
      </c>
      <c r="I202" s="102" t="str">
        <f aca="false">IF($P$202="","",SUMIFS(Mastersheet!$J$2:$J$400,Mastersheet!$A$2:$A$400,$P$202)/1000)</f>
        <v/>
      </c>
      <c r="J202" s="103" t="str">
        <f aca="false">IF($P$202="","",SUMIFS(Mastersheet!$K$2:$K$400,Mastersheet!$A$2:$A$400,$P$202)/1000)</f>
        <v/>
      </c>
      <c r="K202" s="103" t="str">
        <f aca="false">IF($P$202="","",SUMIFS(Mastersheet!$L$2:$L$400,Mastersheet!$A$2:$A$400,$P$202)/1000)</f>
        <v/>
      </c>
      <c r="L202" s="103" t="str">
        <f aca="false">IF($P$202="","",SUMIFS(Mastersheet!$M$2:$M$400,Mastersheet!$A$2:$A$400,$P$202)/1000)</f>
        <v/>
      </c>
      <c r="M202" s="103" t="str">
        <f aca="false">IF($P$202="","",SUMIFS(Mastersheet!$N$2:$N$400,Mastersheet!$A$2:$A$400,$P$202)/1000)</f>
        <v/>
      </c>
      <c r="P202" s="97"/>
      <c r="Q202" s="104" t="s">
        <v>415</v>
      </c>
      <c r="R202" s="104" t="s">
        <v>416</v>
      </c>
    </row>
    <row r="203" customFormat="false" ht="11.25" hidden="true" customHeight="true" outlineLevel="3" collapsed="false">
      <c r="C203" s="99"/>
      <c r="D203" s="99"/>
      <c r="E203" s="100" t="str">
        <f aca="false">IF($P$203="","",SUMIFS(Mastersheet!$F$2:$F$400,Mastersheet!$A$2:$A$400,$P$203)/1000)</f>
        <v/>
      </c>
      <c r="F203" s="100" t="str">
        <f aca="false">IF($P$203="","",SUMIFS(Mastersheet!$G$2:$G$400,Mastersheet!$A$2:$A$400,$P$203)/1000)</f>
        <v/>
      </c>
      <c r="G203" s="100" t="str">
        <f aca="false">IF($P$203="","",SUMIFS(Mastersheet!$H$2:$H$400,Mastersheet!$A$2:$A$400,$P$203)/1000)</f>
        <v/>
      </c>
      <c r="H203" s="100" t="str">
        <f aca="false">IF($P$203="","",SUMIFS(Mastersheet!$I$2:$I$400,Mastersheet!$A$2:$A$400,$P$203)/1000)</f>
        <v/>
      </c>
      <c r="I203" s="102" t="str">
        <f aca="false">IF($P$203="","",SUMIFS(Mastersheet!$J$2:$J$400,Mastersheet!$A$2:$A$400,$P$203)/1000)</f>
        <v/>
      </c>
      <c r="J203" s="103" t="str">
        <f aca="false">IF($P$203="","",SUMIFS(Mastersheet!$K$2:$K$400,Mastersheet!$A$2:$A$400,$P$203)/1000)</f>
        <v/>
      </c>
      <c r="K203" s="103" t="str">
        <f aca="false">IF($P$203="","",SUMIFS(Mastersheet!$L$2:$L$400,Mastersheet!$A$2:$A$400,$P$203)/1000)</f>
        <v/>
      </c>
      <c r="L203" s="103" t="str">
        <f aca="false">IF($P$203="","",SUMIFS(Mastersheet!$M$2:$M$400,Mastersheet!$A$2:$A$400,$P$203)/1000)</f>
        <v/>
      </c>
      <c r="M203" s="103" t="str">
        <f aca="false">IF($P$203="","",SUMIFS(Mastersheet!$N$2:$N$400,Mastersheet!$A$2:$A$400,$P$203)/1000)</f>
        <v/>
      </c>
      <c r="P203" s="97"/>
      <c r="Q203" s="104" t="s">
        <v>415</v>
      </c>
      <c r="R203" s="104" t="s">
        <v>416</v>
      </c>
    </row>
    <row r="204" customFormat="false" ht="11.25" hidden="true" customHeight="true" outlineLevel="3" collapsed="false">
      <c r="C204" s="99"/>
      <c r="D204" s="99"/>
      <c r="E204" s="100" t="str">
        <f aca="false">IF($P$204="","",SUMIFS(Mastersheet!$F$2:$F$400,Mastersheet!$A$2:$A$400,$P$204)/1000)</f>
        <v/>
      </c>
      <c r="F204" s="100" t="str">
        <f aca="false">IF($P$204="","",SUMIFS(Mastersheet!$G$2:$G$400,Mastersheet!$A$2:$A$400,$P$204)/1000)</f>
        <v/>
      </c>
      <c r="G204" s="100" t="str">
        <f aca="false">IF($P$204="","",SUMIFS(Mastersheet!$H$2:$H$400,Mastersheet!$A$2:$A$400,$P$204)/1000)</f>
        <v/>
      </c>
      <c r="H204" s="100" t="str">
        <f aca="false">IF($P$204="","",SUMIFS(Mastersheet!$I$2:$I$400,Mastersheet!$A$2:$A$400,$P$204)/1000)</f>
        <v/>
      </c>
      <c r="I204" s="102" t="str">
        <f aca="false">IF($P$204="","",SUMIFS(Mastersheet!$J$2:$J$400,Mastersheet!$A$2:$A$400,$P$204)/1000)</f>
        <v/>
      </c>
      <c r="J204" s="103" t="str">
        <f aca="false">IF($P$204="","",SUMIFS(Mastersheet!$K$2:$K$400,Mastersheet!$A$2:$A$400,$P$204)/1000)</f>
        <v/>
      </c>
      <c r="K204" s="103" t="str">
        <f aca="false">IF($P$204="","",SUMIFS(Mastersheet!$L$2:$L$400,Mastersheet!$A$2:$A$400,$P$204)/1000)</f>
        <v/>
      </c>
      <c r="L204" s="103" t="str">
        <f aca="false">IF($P$204="","",SUMIFS(Mastersheet!$M$2:$M$400,Mastersheet!$A$2:$A$400,$P$204)/1000)</f>
        <v/>
      </c>
      <c r="M204" s="103" t="str">
        <f aca="false">IF($P$204="","",SUMIFS(Mastersheet!$N$2:$N$400,Mastersheet!$A$2:$A$400,$P$204)/1000)</f>
        <v/>
      </c>
      <c r="P204" s="97"/>
      <c r="Q204" s="104" t="s">
        <v>415</v>
      </c>
      <c r="R204" s="104" t="s">
        <v>416</v>
      </c>
    </row>
    <row r="205" customFormat="false" ht="11.25" hidden="true" customHeight="true" outlineLevel="3" collapsed="false">
      <c r="C205" s="99"/>
      <c r="D205" s="99"/>
      <c r="E205" s="100" t="str">
        <f aca="false">IF($P$205="","",SUMIFS(Mastersheet!$F$2:$F$400,Mastersheet!$A$2:$A$400,$P$205)/1000)</f>
        <v/>
      </c>
      <c r="F205" s="100" t="str">
        <f aca="false">IF($P$205="","",SUMIFS(Mastersheet!$G$2:$G$400,Mastersheet!$A$2:$A$400,$P$205)/1000)</f>
        <v/>
      </c>
      <c r="G205" s="100" t="str">
        <f aca="false">IF($P$205="","",SUMIFS(Mastersheet!$H$2:$H$400,Mastersheet!$A$2:$A$400,$P$205)/1000)</f>
        <v/>
      </c>
      <c r="H205" s="100" t="str">
        <f aca="false">IF($P$205="","",SUMIFS(Mastersheet!$I$2:$I$400,Mastersheet!$A$2:$A$400,$P$205)/1000)</f>
        <v/>
      </c>
      <c r="I205" s="102" t="str">
        <f aca="false">IF($P$205="","",SUMIFS(Mastersheet!$J$2:$J$400,Mastersheet!$A$2:$A$400,$P$205)/1000)</f>
        <v/>
      </c>
      <c r="J205" s="103" t="str">
        <f aca="false">IF($P$205="","",SUMIFS(Mastersheet!$K$2:$K$400,Mastersheet!$A$2:$A$400,$P$205)/1000)</f>
        <v/>
      </c>
      <c r="K205" s="103" t="str">
        <f aca="false">IF($P$205="","",SUMIFS(Mastersheet!$L$2:$L$400,Mastersheet!$A$2:$A$400,$P$205)/1000)</f>
        <v/>
      </c>
      <c r="L205" s="103" t="str">
        <f aca="false">IF($P$205="","",SUMIFS(Mastersheet!$M$2:$M$400,Mastersheet!$A$2:$A$400,$P$205)/1000)</f>
        <v/>
      </c>
      <c r="M205" s="103" t="str">
        <f aca="false">IF($P$205="","",SUMIFS(Mastersheet!$N$2:$N$400,Mastersheet!$A$2:$A$400,$P$205)/1000)</f>
        <v/>
      </c>
      <c r="P205" s="97"/>
      <c r="Q205" s="104" t="s">
        <v>415</v>
      </c>
      <c r="R205" s="104" t="s">
        <v>416</v>
      </c>
    </row>
    <row r="206" customFormat="false" ht="11.25" hidden="true" customHeight="true" outlineLevel="3" collapsed="false">
      <c r="C206" s="99"/>
      <c r="D206" s="99"/>
      <c r="E206" s="100" t="str">
        <f aca="false">IF($P$206="","",SUMIFS(Mastersheet!$F$2:$F$400,Mastersheet!$A$2:$A$400,$P$206)/1000)</f>
        <v/>
      </c>
      <c r="F206" s="100" t="str">
        <f aca="false">IF($P$206="","",SUMIFS(Mastersheet!$G$2:$G$400,Mastersheet!$A$2:$A$400,$P$206)/1000)</f>
        <v/>
      </c>
      <c r="G206" s="100" t="str">
        <f aca="false">IF($P$206="","",SUMIFS(Mastersheet!$H$2:$H$400,Mastersheet!$A$2:$A$400,$P$206)/1000)</f>
        <v/>
      </c>
      <c r="H206" s="100" t="str">
        <f aca="false">IF($P$206="","",SUMIFS(Mastersheet!$I$2:$I$400,Mastersheet!$A$2:$A$400,$P$206)/1000)</f>
        <v/>
      </c>
      <c r="I206" s="102" t="str">
        <f aca="false">IF($P$206="","",SUMIFS(Mastersheet!$J$2:$J$400,Mastersheet!$A$2:$A$400,$P$206)/1000)</f>
        <v/>
      </c>
      <c r="J206" s="103" t="str">
        <f aca="false">IF($P$206="","",SUMIFS(Mastersheet!$K$2:$K$400,Mastersheet!$A$2:$A$400,$P$206)/1000)</f>
        <v/>
      </c>
      <c r="K206" s="103" t="str">
        <f aca="false">IF($P$206="","",SUMIFS(Mastersheet!$L$2:$L$400,Mastersheet!$A$2:$A$400,$P$206)/1000)</f>
        <v/>
      </c>
      <c r="L206" s="103" t="str">
        <f aca="false">IF($P$206="","",SUMIFS(Mastersheet!$M$2:$M$400,Mastersheet!$A$2:$A$400,$P$206)/1000)</f>
        <v/>
      </c>
      <c r="M206" s="103" t="str">
        <f aca="false">IF($P$206="","",SUMIFS(Mastersheet!$N$2:$N$400,Mastersheet!$A$2:$A$400,$P$206)/1000)</f>
        <v/>
      </c>
      <c r="P206" s="97"/>
      <c r="Q206" s="104" t="s">
        <v>415</v>
      </c>
      <c r="R206" s="104" t="s">
        <v>416</v>
      </c>
    </row>
    <row r="207" customFormat="false" ht="11.25" hidden="false" customHeight="true" outlineLevel="2" collapsed="false">
      <c r="C207" s="51" t="s">
        <v>234</v>
      </c>
      <c r="D207" s="51" t="s">
        <v>234</v>
      </c>
      <c r="E207" s="159"/>
      <c r="F207" s="159"/>
      <c r="G207" s="159"/>
      <c r="H207" s="159"/>
      <c r="I207" s="160"/>
      <c r="J207" s="161"/>
      <c r="K207" s="161"/>
      <c r="L207" s="161"/>
      <c r="M207" s="161"/>
      <c r="P207" s="105"/>
    </row>
    <row r="208" customFormat="false" ht="11.25" hidden="false" customHeight="true" outlineLevel="2" collapsed="false">
      <c r="C208" s="51" t="s">
        <v>235</v>
      </c>
      <c r="D208" s="51" t="s">
        <v>235</v>
      </c>
      <c r="E208" s="159"/>
      <c r="F208" s="159"/>
      <c r="G208" s="159"/>
      <c r="H208" s="159"/>
      <c r="I208" s="160"/>
      <c r="J208" s="161"/>
      <c r="K208" s="161"/>
      <c r="L208" s="161"/>
      <c r="M208" s="161"/>
      <c r="P208" s="105"/>
    </row>
    <row r="209" customFormat="false" ht="11.25" hidden="false" customHeight="true" outlineLevel="2" collapsed="false">
      <c r="C209" s="54" t="s">
        <v>236</v>
      </c>
      <c r="D209" s="54" t="s">
        <v>236</v>
      </c>
      <c r="E209" s="162"/>
      <c r="F209" s="162"/>
      <c r="G209" s="162"/>
      <c r="H209" s="162"/>
      <c r="I209" s="163"/>
      <c r="J209" s="164"/>
      <c r="K209" s="164"/>
      <c r="L209" s="164"/>
      <c r="M209" s="164"/>
      <c r="P209" s="105"/>
    </row>
    <row r="210" customFormat="false" ht="11.25" hidden="false" customHeight="true" outlineLevel="0" collapsed="false">
      <c r="C210" s="165" t="s">
        <v>540</v>
      </c>
      <c r="D210" s="165" t="s">
        <v>541</v>
      </c>
      <c r="E210" s="165" t="n">
        <f aca="false">SUMIF($R$180:$R$209,"&lt;&gt;KTO",E180:E209)</f>
        <v>0</v>
      </c>
      <c r="F210" s="165" t="n">
        <f aca="false">SUMIF($R$180:$R$209,"&lt;&gt;KTO",F180:F209)</f>
        <v>0</v>
      </c>
      <c r="G210" s="165" t="n">
        <f aca="false">SUMIF($R$180:$R$209,"&lt;&gt;KTO",G180:G209)</f>
        <v>0</v>
      </c>
      <c r="H210" s="165" t="n">
        <f aca="false">SUMIF($R$180:$R$209,"&lt;&gt;KTO",H180:H209)</f>
        <v>0</v>
      </c>
      <c r="I210" s="166" t="n">
        <f aca="false">SUMIF($R$180:$R$209,"&lt;&gt;KTO",I180:I209)</f>
        <v>0</v>
      </c>
      <c r="J210" s="167" t="n">
        <f aca="false">SUMIF($R$180:$R$209,"&lt;&gt;KTO",J180:J209)</f>
        <v>0</v>
      </c>
      <c r="K210" s="167" t="n">
        <f aca="false">SUMIF($R$180:$R$209,"&lt;&gt;KTO",K180:K209)</f>
        <v>0</v>
      </c>
      <c r="L210" s="167" t="n">
        <f aca="false">SUMIF($R$180:$R$209,"&lt;&gt;KTO",L180:L209)</f>
        <v>0</v>
      </c>
      <c r="M210" s="167" t="n">
        <f aca="false">SUMIF($R$180:$R$209,"&lt;&gt;KTO",M180:M209)</f>
        <v>0</v>
      </c>
    </row>
    <row r="211" customFormat="false" ht="11.25" hidden="false" customHeight="true" outlineLevel="0" collapsed="false">
      <c r="C211" s="51" t="s">
        <v>542</v>
      </c>
      <c r="D211" s="51" t="s">
        <v>543</v>
      </c>
      <c r="E211" s="159" t="n">
        <f aca="false">SUMIFS(Mastersheet!$F$2:$F$400,Mastersheet!$D$2:$D$400,$P211,Mastersheet!$C$2:$C$400,$Q211)/1000</f>
        <v>0</v>
      </c>
      <c r="F211" s="159" t="n">
        <f aca="false">SUMIFS(Mastersheet!$G$2:$G$400,Mastersheet!$D$2:$D$400,$P211,Mastersheet!$C$2:$C$400,$Q211)/1000</f>
        <v>0</v>
      </c>
      <c r="G211" s="159" t="n">
        <f aca="false">SUMIFS(Mastersheet!$H$2:$H$400,Mastersheet!$D$2:$D$400,$P211,Mastersheet!$C$2:$C$400,$Q211)/1000</f>
        <v>0</v>
      </c>
      <c r="H211" s="159" t="n">
        <f aca="false">SUMIFS(Mastersheet!$I$2:$I$400,Mastersheet!$D$2:$D$400,$P211,Mastersheet!$C$2:$C$400,$Q211)/1000</f>
        <v>0</v>
      </c>
      <c r="I211" s="160" t="n">
        <f aca="false">SUMIFS(Mastersheet!$J$2:$J$400,Mastersheet!$D$2:$D$400,$P211,Mastersheet!$C$2:$C$400,$Q211)/1000</f>
        <v>0</v>
      </c>
      <c r="J211" s="161" t="n">
        <f aca="false">SUMIFS(Mastersheet!$K$2:$K$400,Mastersheet!$D$2:$D$400,$P211,Mastersheet!$C$2:$C$400,$Q211)/1000</f>
        <v>0</v>
      </c>
      <c r="K211" s="161" t="n">
        <f aca="false">SUMIFS(Mastersheet!$L$2:$L$400,Mastersheet!$D$2:$D$400,$P211,Mastersheet!$C$2:$C$400,$Q211)/1000</f>
        <v>0</v>
      </c>
      <c r="L211" s="161" t="n">
        <f aca="false">SUMIFS(Mastersheet!$M$2:$M$400,Mastersheet!$D$2:$D$400,$P211,Mastersheet!$C$2:$C$400,$Q211)/1000</f>
        <v>0</v>
      </c>
      <c r="M211" s="161" t="n">
        <f aca="false">SUMIFS(Mastersheet!$N$2:$N$400,Mastersheet!$D$2:$D$400,$P211,Mastersheet!$C$2:$C$400,$Q211)/1000</f>
        <v>0</v>
      </c>
      <c r="P211" s="97" t="s">
        <v>542</v>
      </c>
      <c r="Q211" s="98" t="s">
        <v>544</v>
      </c>
      <c r="R211" s="98" t="s">
        <v>414</v>
      </c>
    </row>
    <row r="212" customFormat="false" ht="11.25" hidden="true" customHeight="true" outlineLevel="3" collapsed="false">
      <c r="C212" s="99"/>
      <c r="D212" s="99"/>
      <c r="E212" s="100" t="str">
        <f aca="false">IF($P$212="","",SUMIFS(Mastersheet!$F$2:$F$400,Mastersheet!$A$2:$A$400,$P$212)/1000)</f>
        <v/>
      </c>
      <c r="F212" s="100" t="str">
        <f aca="false">IF($P$212="","",SUMIFS(Mastersheet!$G$2:$G$400,Mastersheet!$A$2:$A$400,$P$212)/1000)</f>
        <v/>
      </c>
      <c r="G212" s="100" t="str">
        <f aca="false">IF($P$212="","",SUMIFS(Mastersheet!$H$2:$H$400,Mastersheet!$A$2:$A$400,$P$212)/1000)</f>
        <v/>
      </c>
      <c r="H212" s="100" t="str">
        <f aca="false">IF($P$212="","",SUMIFS(Mastersheet!$I$2:$I$400,Mastersheet!$A$2:$A$400,$P$212)/1000)</f>
        <v/>
      </c>
      <c r="I212" s="102" t="str">
        <f aca="false">IF($P$212="","",SUMIFS(Mastersheet!$J$2:$J$400,Mastersheet!$A$2:$A$400,$P$212)/1000)</f>
        <v/>
      </c>
      <c r="J212" s="103" t="str">
        <f aca="false">IF($P$212="","",SUMIFS(Mastersheet!$K$2:$K$400,Mastersheet!$A$2:$A$400,$P$212)/1000)</f>
        <v/>
      </c>
      <c r="K212" s="103" t="str">
        <f aca="false">IF($P$212="","",SUMIFS(Mastersheet!$L$2:$L$400,Mastersheet!$A$2:$A$400,$P$212)/1000)</f>
        <v/>
      </c>
      <c r="L212" s="103" t="str">
        <f aca="false">IF($P$212="","",SUMIFS(Mastersheet!$M$2:$M$400,Mastersheet!$A$2:$A$400,$P$212)/1000)</f>
        <v/>
      </c>
      <c r="M212" s="103" t="str">
        <f aca="false">IF($P$212="","",SUMIFS(Mastersheet!$N$2:$N$400,Mastersheet!$A$2:$A$400,$P$212)/1000)</f>
        <v/>
      </c>
      <c r="P212" s="97"/>
      <c r="Q212" s="104" t="s">
        <v>415</v>
      </c>
      <c r="R212" s="104" t="s">
        <v>416</v>
      </c>
    </row>
    <row r="213" customFormat="false" ht="11.25" hidden="true" customHeight="true" outlineLevel="3" collapsed="false">
      <c r="C213" s="99"/>
      <c r="D213" s="99"/>
      <c r="E213" s="100" t="str">
        <f aca="false">IF($P$213="","",SUMIFS(Mastersheet!$F$2:$F$400,Mastersheet!$A$2:$A$400,$P$213)/1000)</f>
        <v/>
      </c>
      <c r="F213" s="100" t="str">
        <f aca="false">IF($P$213="","",SUMIFS(Mastersheet!$G$2:$G$400,Mastersheet!$A$2:$A$400,$P$213)/1000)</f>
        <v/>
      </c>
      <c r="G213" s="100" t="str">
        <f aca="false">IF($P$213="","",SUMIFS(Mastersheet!$H$2:$H$400,Mastersheet!$A$2:$A$400,$P$213)/1000)</f>
        <v/>
      </c>
      <c r="H213" s="100" t="str">
        <f aca="false">IF($P$213="","",SUMIFS(Mastersheet!$I$2:$I$400,Mastersheet!$A$2:$A$400,$P$213)/1000)</f>
        <v/>
      </c>
      <c r="I213" s="102" t="str">
        <f aca="false">IF($P$213="","",SUMIFS(Mastersheet!$J$2:$J$400,Mastersheet!$A$2:$A$400,$P$213)/1000)</f>
        <v/>
      </c>
      <c r="J213" s="103" t="str">
        <f aca="false">IF($P$213="","",SUMIFS(Mastersheet!$K$2:$K$400,Mastersheet!$A$2:$A$400,$P$213)/1000)</f>
        <v/>
      </c>
      <c r="K213" s="103" t="str">
        <f aca="false">IF($P$213="","",SUMIFS(Mastersheet!$L$2:$L$400,Mastersheet!$A$2:$A$400,$P$213)/1000)</f>
        <v/>
      </c>
      <c r="L213" s="103" t="str">
        <f aca="false">IF($P$213="","",SUMIFS(Mastersheet!$M$2:$M$400,Mastersheet!$A$2:$A$400,$P$213)/1000)</f>
        <v/>
      </c>
      <c r="M213" s="103" t="str">
        <f aca="false">IF($P$213="","",SUMIFS(Mastersheet!$N$2:$N$400,Mastersheet!$A$2:$A$400,$P$213)/1000)</f>
        <v/>
      </c>
      <c r="P213" s="97"/>
      <c r="Q213" s="104" t="s">
        <v>415</v>
      </c>
      <c r="R213" s="104" t="s">
        <v>416</v>
      </c>
    </row>
    <row r="214" customFormat="false" ht="11.25" hidden="true" customHeight="true" outlineLevel="3" collapsed="false">
      <c r="C214" s="99"/>
      <c r="D214" s="99"/>
      <c r="E214" s="100" t="str">
        <f aca="false">IF($P$214="","",SUMIFS(Mastersheet!$F$2:$F$400,Mastersheet!$A$2:$A$400,$P$214)/1000)</f>
        <v/>
      </c>
      <c r="F214" s="100" t="str">
        <f aca="false">IF($P$214="","",SUMIFS(Mastersheet!$G$2:$G$400,Mastersheet!$A$2:$A$400,$P$214)/1000)</f>
        <v/>
      </c>
      <c r="G214" s="100" t="str">
        <f aca="false">IF($P$214="","",SUMIFS(Mastersheet!$H$2:$H$400,Mastersheet!$A$2:$A$400,$P$214)/1000)</f>
        <v/>
      </c>
      <c r="H214" s="100" t="str">
        <f aca="false">IF($P$214="","",SUMIFS(Mastersheet!$I$2:$I$400,Mastersheet!$A$2:$A$400,$P$214)/1000)</f>
        <v/>
      </c>
      <c r="I214" s="102" t="str">
        <f aca="false">IF($P$214="","",SUMIFS(Mastersheet!$J$2:$J$400,Mastersheet!$A$2:$A$400,$P$214)/1000)</f>
        <v/>
      </c>
      <c r="J214" s="103" t="str">
        <f aca="false">IF($P$214="","",SUMIFS(Mastersheet!$K$2:$K$400,Mastersheet!$A$2:$A$400,$P$214)/1000)</f>
        <v/>
      </c>
      <c r="K214" s="103" t="str">
        <f aca="false">IF($P$214="","",SUMIFS(Mastersheet!$L$2:$L$400,Mastersheet!$A$2:$A$400,$P$214)/1000)</f>
        <v/>
      </c>
      <c r="L214" s="103" t="str">
        <f aca="false">IF($P$214="","",SUMIFS(Mastersheet!$M$2:$M$400,Mastersheet!$A$2:$A$400,$P$214)/1000)</f>
        <v/>
      </c>
      <c r="M214" s="103" t="str">
        <f aca="false">IF($P$214="","",SUMIFS(Mastersheet!$N$2:$N$400,Mastersheet!$A$2:$A$400,$P$214)/1000)</f>
        <v/>
      </c>
      <c r="P214" s="97"/>
      <c r="Q214" s="104" t="s">
        <v>415</v>
      </c>
      <c r="R214" s="104" t="s">
        <v>416</v>
      </c>
    </row>
    <row r="215" customFormat="false" ht="11.25" hidden="true" customHeight="true" outlineLevel="3" collapsed="false">
      <c r="C215" s="99"/>
      <c r="D215" s="99"/>
      <c r="E215" s="100" t="str">
        <f aca="false">IF($P$215="","",SUMIFS(Mastersheet!$F$2:$F$400,Mastersheet!$A$2:$A$400,$P$215)/1000)</f>
        <v/>
      </c>
      <c r="F215" s="100" t="str">
        <f aca="false">IF($P$215="","",SUMIFS(Mastersheet!$G$2:$G$400,Mastersheet!$A$2:$A$400,$P$215)/1000)</f>
        <v/>
      </c>
      <c r="G215" s="100" t="str">
        <f aca="false">IF($P$215="","",SUMIFS(Mastersheet!$H$2:$H$400,Mastersheet!$A$2:$A$400,$P$215)/1000)</f>
        <v/>
      </c>
      <c r="H215" s="100" t="str">
        <f aca="false">IF($P$215="","",SUMIFS(Mastersheet!$I$2:$I$400,Mastersheet!$A$2:$A$400,$P$215)/1000)</f>
        <v/>
      </c>
      <c r="I215" s="102" t="str">
        <f aca="false">IF($P$215="","",SUMIFS(Mastersheet!$J$2:$J$400,Mastersheet!$A$2:$A$400,$P$215)/1000)</f>
        <v/>
      </c>
      <c r="J215" s="103" t="str">
        <f aca="false">IF($P$215="","",SUMIFS(Mastersheet!$K$2:$K$400,Mastersheet!$A$2:$A$400,$P$215)/1000)</f>
        <v/>
      </c>
      <c r="K215" s="103" t="str">
        <f aca="false">IF($P$215="","",SUMIFS(Mastersheet!$L$2:$L$400,Mastersheet!$A$2:$A$400,$P$215)/1000)</f>
        <v/>
      </c>
      <c r="L215" s="103" t="str">
        <f aca="false">IF($P$215="","",SUMIFS(Mastersheet!$M$2:$M$400,Mastersheet!$A$2:$A$400,$P$215)/1000)</f>
        <v/>
      </c>
      <c r="M215" s="103" t="str">
        <f aca="false">IF($P$215="","",SUMIFS(Mastersheet!$N$2:$N$400,Mastersheet!$A$2:$A$400,$P$215)/1000)</f>
        <v/>
      </c>
      <c r="P215" s="97"/>
      <c r="Q215" s="104" t="s">
        <v>415</v>
      </c>
      <c r="R215" s="104" t="s">
        <v>416</v>
      </c>
    </row>
    <row r="216" customFormat="false" ht="11.25" hidden="true" customHeight="true" outlineLevel="3" collapsed="false">
      <c r="C216" s="99"/>
      <c r="D216" s="99"/>
      <c r="E216" s="100" t="str">
        <f aca="false">IF($P$216="","",SUMIFS(Mastersheet!$F$2:$F$400,Mastersheet!$A$2:$A$400,$P$216)/1000)</f>
        <v/>
      </c>
      <c r="F216" s="100" t="str">
        <f aca="false">IF($P$216="","",SUMIFS(Mastersheet!$G$2:$G$400,Mastersheet!$A$2:$A$400,$P$216)/1000)</f>
        <v/>
      </c>
      <c r="G216" s="100" t="str">
        <f aca="false">IF($P$216="","",SUMIFS(Mastersheet!$H$2:$H$400,Mastersheet!$A$2:$A$400,$P$216)/1000)</f>
        <v/>
      </c>
      <c r="H216" s="100" t="str">
        <f aca="false">IF($P$216="","",SUMIFS(Mastersheet!$I$2:$I$400,Mastersheet!$A$2:$A$400,$P$216)/1000)</f>
        <v/>
      </c>
      <c r="I216" s="102" t="str">
        <f aca="false">IF($P$216="","",SUMIFS(Mastersheet!$J$2:$J$400,Mastersheet!$A$2:$A$400,$P$216)/1000)</f>
        <v/>
      </c>
      <c r="J216" s="103" t="str">
        <f aca="false">IF($P$216="","",SUMIFS(Mastersheet!$K$2:$K$400,Mastersheet!$A$2:$A$400,$P$216)/1000)</f>
        <v/>
      </c>
      <c r="K216" s="103" t="str">
        <f aca="false">IF($P$216="","",SUMIFS(Mastersheet!$L$2:$L$400,Mastersheet!$A$2:$A$400,$P$216)/1000)</f>
        <v/>
      </c>
      <c r="L216" s="103" t="str">
        <f aca="false">IF($P$216="","",SUMIFS(Mastersheet!$M$2:$M$400,Mastersheet!$A$2:$A$400,$P$216)/1000)</f>
        <v/>
      </c>
      <c r="M216" s="103" t="str">
        <f aca="false">IF($P$216="","",SUMIFS(Mastersheet!$N$2:$N$400,Mastersheet!$A$2:$A$400,$P$216)/1000)</f>
        <v/>
      </c>
      <c r="P216" s="97"/>
      <c r="Q216" s="104" t="s">
        <v>415</v>
      </c>
      <c r="R216" s="104" t="s">
        <v>416</v>
      </c>
    </row>
    <row r="217" customFormat="false" ht="11.25" hidden="true" customHeight="true" outlineLevel="3" collapsed="false">
      <c r="C217" s="99"/>
      <c r="D217" s="99"/>
      <c r="E217" s="100" t="str">
        <f aca="false">IF($P$217="","",SUMIFS(Mastersheet!$F$2:$F$400,Mastersheet!$A$2:$A$400,$P$217)/1000)</f>
        <v/>
      </c>
      <c r="F217" s="100" t="str">
        <f aca="false">IF($P$217="","",SUMIFS(Mastersheet!$G$2:$G$400,Mastersheet!$A$2:$A$400,$P$217)/1000)</f>
        <v/>
      </c>
      <c r="G217" s="100" t="str">
        <f aca="false">IF($P$217="","",SUMIFS(Mastersheet!$H$2:$H$400,Mastersheet!$A$2:$A$400,$P$217)/1000)</f>
        <v/>
      </c>
      <c r="H217" s="100" t="str">
        <f aca="false">IF($P$217="","",SUMIFS(Mastersheet!$I$2:$I$400,Mastersheet!$A$2:$A$400,$P$217)/1000)</f>
        <v/>
      </c>
      <c r="I217" s="102" t="str">
        <f aca="false">IF($P$217="","",SUMIFS(Mastersheet!$J$2:$J$400,Mastersheet!$A$2:$A$400,$P$217)/1000)</f>
        <v/>
      </c>
      <c r="J217" s="103" t="str">
        <f aca="false">IF($P$217="","",SUMIFS(Mastersheet!$K$2:$K$400,Mastersheet!$A$2:$A$400,$P$217)/1000)</f>
        <v/>
      </c>
      <c r="K217" s="103" t="str">
        <f aca="false">IF($P$217="","",SUMIFS(Mastersheet!$L$2:$L$400,Mastersheet!$A$2:$A$400,$P$217)/1000)</f>
        <v/>
      </c>
      <c r="L217" s="103" t="str">
        <f aca="false">IF($P$217="","",SUMIFS(Mastersheet!$M$2:$M$400,Mastersheet!$A$2:$A$400,$P$217)/1000)</f>
        <v/>
      </c>
      <c r="M217" s="103" t="str">
        <f aca="false">IF($P$217="","",SUMIFS(Mastersheet!$N$2:$N$400,Mastersheet!$A$2:$A$400,$P$217)/1000)</f>
        <v/>
      </c>
      <c r="P217" s="97"/>
      <c r="Q217" s="104" t="s">
        <v>415</v>
      </c>
      <c r="R217" s="104" t="s">
        <v>416</v>
      </c>
    </row>
    <row r="218" customFormat="false" ht="11.25" hidden="true" customHeight="true" outlineLevel="3" collapsed="false">
      <c r="C218" s="99"/>
      <c r="D218" s="99"/>
      <c r="E218" s="100" t="str">
        <f aca="false">IF($P$218="","",SUMIFS(Mastersheet!$F$2:$F$400,Mastersheet!$A$2:$A$400,$P$218)/1000)</f>
        <v/>
      </c>
      <c r="F218" s="100" t="str">
        <f aca="false">IF($P$218="","",SUMIFS(Mastersheet!$G$2:$G$400,Mastersheet!$A$2:$A$400,$P$218)/1000)</f>
        <v/>
      </c>
      <c r="G218" s="100" t="str">
        <f aca="false">IF($P$218="","",SUMIFS(Mastersheet!$H$2:$H$400,Mastersheet!$A$2:$A$400,$P$218)/1000)</f>
        <v/>
      </c>
      <c r="H218" s="100" t="str">
        <f aca="false">IF($P$218="","",SUMIFS(Mastersheet!$I$2:$I$400,Mastersheet!$A$2:$A$400,$P$218)/1000)</f>
        <v/>
      </c>
      <c r="I218" s="102" t="str">
        <f aca="false">IF($P$218="","",SUMIFS(Mastersheet!$J$2:$J$400,Mastersheet!$A$2:$A$400,$P$218)/1000)</f>
        <v/>
      </c>
      <c r="J218" s="103" t="str">
        <f aca="false">IF($P$218="","",SUMIFS(Mastersheet!$K$2:$K$400,Mastersheet!$A$2:$A$400,$P$218)/1000)</f>
        <v/>
      </c>
      <c r="K218" s="103" t="str">
        <f aca="false">IF($P$218="","",SUMIFS(Mastersheet!$L$2:$L$400,Mastersheet!$A$2:$A$400,$P$218)/1000)</f>
        <v/>
      </c>
      <c r="L218" s="103" t="str">
        <f aca="false">IF($P$218="","",SUMIFS(Mastersheet!$M$2:$M$400,Mastersheet!$A$2:$A$400,$P$218)/1000)</f>
        <v/>
      </c>
      <c r="M218" s="103" t="str">
        <f aca="false">IF($P$218="","",SUMIFS(Mastersheet!$N$2:$N$400,Mastersheet!$A$2:$A$400,$P$218)/1000)</f>
        <v/>
      </c>
      <c r="P218" s="97"/>
      <c r="Q218" s="104" t="s">
        <v>415</v>
      </c>
      <c r="R218" s="104" t="s">
        <v>416</v>
      </c>
    </row>
    <row r="219" customFormat="false" ht="11.25" hidden="true" customHeight="true" outlineLevel="3" collapsed="false">
      <c r="C219" s="99"/>
      <c r="D219" s="99"/>
      <c r="E219" s="100" t="str">
        <f aca="false">IF($P$219="","",SUMIFS(Mastersheet!$F$2:$F$400,Mastersheet!$A$2:$A$400,$P$219)/1000)</f>
        <v/>
      </c>
      <c r="F219" s="100" t="str">
        <f aca="false">IF($P$219="","",SUMIFS(Mastersheet!$G$2:$G$400,Mastersheet!$A$2:$A$400,$P$219)/1000)</f>
        <v/>
      </c>
      <c r="G219" s="100" t="str">
        <f aca="false">IF($P$219="","",SUMIFS(Mastersheet!$H$2:$H$400,Mastersheet!$A$2:$A$400,$P$219)/1000)</f>
        <v/>
      </c>
      <c r="H219" s="100" t="str">
        <f aca="false">IF($P$219="","",SUMIFS(Mastersheet!$I$2:$I$400,Mastersheet!$A$2:$A$400,$P$219)/1000)</f>
        <v/>
      </c>
      <c r="I219" s="102" t="str">
        <f aca="false">IF($P$219="","",SUMIFS(Mastersheet!$J$2:$J$400,Mastersheet!$A$2:$A$400,$P$219)/1000)</f>
        <v/>
      </c>
      <c r="J219" s="103" t="str">
        <f aca="false">IF($P$219="","",SUMIFS(Mastersheet!$K$2:$K$400,Mastersheet!$A$2:$A$400,$P$219)/1000)</f>
        <v/>
      </c>
      <c r="K219" s="103" t="str">
        <f aca="false">IF($P$219="","",SUMIFS(Mastersheet!$L$2:$L$400,Mastersheet!$A$2:$A$400,$P$219)/1000)</f>
        <v/>
      </c>
      <c r="L219" s="103" t="str">
        <f aca="false">IF($P$219="","",SUMIFS(Mastersheet!$M$2:$M$400,Mastersheet!$A$2:$A$400,$P$219)/1000)</f>
        <v/>
      </c>
      <c r="M219" s="103" t="str">
        <f aca="false">IF($P$219="","",SUMIFS(Mastersheet!$N$2:$N$400,Mastersheet!$A$2:$A$400,$P$219)/1000)</f>
        <v/>
      </c>
      <c r="P219" s="97"/>
      <c r="Q219" s="104" t="s">
        <v>415</v>
      </c>
      <c r="R219" s="104" t="s">
        <v>416</v>
      </c>
    </row>
    <row r="220" customFormat="false" ht="11.25" hidden="false" customHeight="true" outlineLevel="2" collapsed="false">
      <c r="C220" s="51" t="s">
        <v>234</v>
      </c>
      <c r="D220" s="51" t="s">
        <v>234</v>
      </c>
      <c r="E220" s="159"/>
      <c r="F220" s="159"/>
      <c r="G220" s="159"/>
      <c r="H220" s="159"/>
      <c r="I220" s="160"/>
      <c r="J220" s="161"/>
      <c r="K220" s="161"/>
      <c r="L220" s="161"/>
      <c r="M220" s="161"/>
      <c r="P220" s="105"/>
    </row>
    <row r="221" customFormat="false" ht="11.25" hidden="false" customHeight="true" outlineLevel="2" collapsed="false">
      <c r="C221" s="51" t="s">
        <v>235</v>
      </c>
      <c r="D221" s="51" t="s">
        <v>235</v>
      </c>
      <c r="E221" s="159"/>
      <c r="F221" s="159"/>
      <c r="G221" s="159"/>
      <c r="H221" s="159"/>
      <c r="I221" s="160"/>
      <c r="J221" s="161"/>
      <c r="K221" s="161"/>
      <c r="L221" s="161"/>
      <c r="M221" s="161"/>
      <c r="P221" s="105"/>
    </row>
    <row r="222" customFormat="false" ht="11.25" hidden="false" customHeight="true" outlineLevel="2" collapsed="false">
      <c r="C222" s="54" t="s">
        <v>236</v>
      </c>
      <c r="D222" s="54" t="s">
        <v>236</v>
      </c>
      <c r="E222" s="162"/>
      <c r="F222" s="162"/>
      <c r="G222" s="162"/>
      <c r="H222" s="162"/>
      <c r="I222" s="163"/>
      <c r="J222" s="164"/>
      <c r="K222" s="164"/>
      <c r="L222" s="164"/>
      <c r="M222" s="164"/>
      <c r="P222" s="105"/>
    </row>
    <row r="223" customFormat="false" ht="11.25" hidden="false" customHeight="true" outlineLevel="0" collapsed="false">
      <c r="C223" s="181" t="s">
        <v>545</v>
      </c>
      <c r="D223" s="181" t="s">
        <v>546</v>
      </c>
      <c r="E223" s="182" t="n">
        <f aca="false">SUMIF($R$211:$R$222,"&lt;&gt;KTO",E211:E222)+E210+E179+E39</f>
        <v>0</v>
      </c>
      <c r="F223" s="182" t="n">
        <f aca="false">SUMIF($R$211:$R$222,"&lt;&gt;KTO",F211:F222)+F210+F179+F39</f>
        <v>0</v>
      </c>
      <c r="G223" s="182" t="n">
        <f aca="false">SUMIF($R$211:$R$222,"&lt;&gt;KTO",G211:G222)+G210+G179+G39</f>
        <v>0</v>
      </c>
      <c r="H223" s="182" t="n">
        <f aca="false">SUMIF($R$211:$R$222,"&lt;&gt;KTO",H211:H222)+H210+H179+H39</f>
        <v>0</v>
      </c>
      <c r="I223" s="183" t="n">
        <f aca="false">SUMIF($R$211:$R$222,"&lt;&gt;KTO",I211:I222)+I210+I179+I39</f>
        <v>0</v>
      </c>
      <c r="J223" s="184" t="n">
        <f aca="false">SUMIF($R$211:$R$222,"&lt;&gt;KTO",J211:J222)+J210+J179+J39</f>
        <v>0</v>
      </c>
      <c r="K223" s="184" t="n">
        <f aca="false">SUMIF($R$211:$R$222,"&lt;&gt;KTO",K211:K222)+K210+K179+K39</f>
        <v>0</v>
      </c>
      <c r="L223" s="184" t="n">
        <f aca="false">SUMIF($R$211:$R$222,"&lt;&gt;KTO",L211:L222)+L210+L179+L39</f>
        <v>0</v>
      </c>
      <c r="M223" s="184" t="n">
        <f aca="false">SUMIF($R$211:$R$222,"&lt;&gt;KTO",M211:M222)+M210+M179+M39</f>
        <v>0</v>
      </c>
    </row>
    <row r="224" customFormat="false" ht="4.5" hidden="false" customHeight="true" outlineLevel="1" collapsed="false">
      <c r="C224" s="51"/>
      <c r="D224" s="51"/>
      <c r="E224" s="159"/>
      <c r="F224" s="159"/>
      <c r="G224" s="159"/>
      <c r="H224" s="159"/>
      <c r="I224" s="160"/>
      <c r="J224" s="161"/>
      <c r="K224" s="161"/>
      <c r="L224" s="161"/>
      <c r="M224" s="161"/>
    </row>
    <row r="225" customFormat="false" ht="11.25" hidden="false" customHeight="true" outlineLevel="1" collapsed="false">
      <c r="C225" s="132" t="s">
        <v>547</v>
      </c>
      <c r="D225" s="132" t="s">
        <v>548</v>
      </c>
      <c r="E225" s="159"/>
      <c r="F225" s="159"/>
      <c r="G225" s="159"/>
      <c r="H225" s="159"/>
      <c r="I225" s="160"/>
      <c r="J225" s="161"/>
      <c r="K225" s="161"/>
      <c r="L225" s="161"/>
      <c r="M225" s="161"/>
    </row>
    <row r="226" customFormat="false" ht="11.25" hidden="false" customHeight="true" outlineLevel="1" collapsed="false">
      <c r="C226" s="51" t="s">
        <v>549</v>
      </c>
      <c r="D226" s="51" t="s">
        <v>550</v>
      </c>
      <c r="E226" s="137"/>
      <c r="F226" s="159" t="n">
        <f aca="false">E231</f>
        <v>0</v>
      </c>
      <c r="G226" s="159" t="n">
        <f aca="false">F231</f>
        <v>0</v>
      </c>
      <c r="H226" s="159" t="n">
        <f aca="false">G231</f>
        <v>0</v>
      </c>
      <c r="I226" s="160" t="n">
        <f aca="false">H231</f>
        <v>0</v>
      </c>
      <c r="J226" s="161" t="n">
        <f aca="false">I231</f>
        <v>0</v>
      </c>
      <c r="K226" s="161" t="n">
        <f aca="false">J231</f>
        <v>0</v>
      </c>
      <c r="L226" s="161" t="n">
        <f aca="false">K231</f>
        <v>0</v>
      </c>
      <c r="M226" s="161" t="n">
        <f aca="false">L231</f>
        <v>0</v>
      </c>
      <c r="R226" s="185" t="s">
        <v>414</v>
      </c>
    </row>
    <row r="227" customFormat="false" ht="11.25" hidden="false" customHeight="true" outlineLevel="1" collapsed="false">
      <c r="C227" s="186" t="s">
        <v>551</v>
      </c>
      <c r="D227" s="186" t="s">
        <v>552</v>
      </c>
      <c r="E227" s="137"/>
      <c r="F227" s="159"/>
      <c r="G227" s="159"/>
      <c r="H227" s="159"/>
      <c r="I227" s="160"/>
      <c r="J227" s="161"/>
      <c r="K227" s="161"/>
      <c r="L227" s="161"/>
      <c r="M227" s="161"/>
      <c r="P227" s="187" t="s">
        <v>553</v>
      </c>
      <c r="R227" s="185" t="s">
        <v>414</v>
      </c>
    </row>
    <row r="228" customFormat="false" ht="11.25" hidden="false" customHeight="true" outlineLevel="1" collapsed="false">
      <c r="C228" s="186" t="s">
        <v>554</v>
      </c>
      <c r="D228" s="186" t="s">
        <v>555</v>
      </c>
      <c r="E228" s="137"/>
      <c r="F228" s="159"/>
      <c r="G228" s="159"/>
      <c r="H228" s="159"/>
      <c r="I228" s="160"/>
      <c r="J228" s="161"/>
      <c r="K228" s="161"/>
      <c r="L228" s="161"/>
      <c r="M228" s="161"/>
      <c r="P228" s="187" t="s">
        <v>553</v>
      </c>
      <c r="R228" s="185" t="s">
        <v>414</v>
      </c>
    </row>
    <row r="229" customFormat="false" ht="11.25" hidden="false" customHeight="true" outlineLevel="1" collapsed="false">
      <c r="C229" s="186" t="s">
        <v>556</v>
      </c>
      <c r="D229" s="186" t="s">
        <v>557</v>
      </c>
      <c r="E229" s="137"/>
      <c r="F229" s="159"/>
      <c r="G229" s="159"/>
      <c r="H229" s="159"/>
      <c r="I229" s="160"/>
      <c r="J229" s="161"/>
      <c r="K229" s="161"/>
      <c r="L229" s="161"/>
      <c r="M229" s="161"/>
      <c r="P229" s="187" t="s">
        <v>553</v>
      </c>
      <c r="R229" s="185" t="s">
        <v>414</v>
      </c>
    </row>
    <row r="230" customFormat="false" ht="11.25" hidden="false" customHeight="true" outlineLevel="1" collapsed="false">
      <c r="C230" s="188" t="s">
        <v>558</v>
      </c>
      <c r="D230" s="188" t="s">
        <v>559</v>
      </c>
      <c r="E230" s="189"/>
      <c r="F230" s="162" t="n">
        <f aca="false">'Lead PL'!F210</f>
        <v>0</v>
      </c>
      <c r="G230" s="162" t="n">
        <f aca="false">'Lead PL'!G210</f>
        <v>0</v>
      </c>
      <c r="H230" s="162" t="n">
        <f aca="false">'Lead PL'!H210</f>
        <v>0</v>
      </c>
      <c r="I230" s="163" t="n">
        <f aca="false">'Lead PL'!I210</f>
        <v>0</v>
      </c>
      <c r="J230" s="164" t="n">
        <f aca="false">'Lead PL'!J210</f>
        <v>0</v>
      </c>
      <c r="K230" s="164" t="n">
        <f aca="false">'Lead PL'!K210</f>
        <v>0</v>
      </c>
      <c r="L230" s="164" t="n">
        <f aca="false">'Lead PL'!L210</f>
        <v>0</v>
      </c>
      <c r="M230" s="164" t="n">
        <f aca="false">'Lead PL'!M210</f>
        <v>0</v>
      </c>
      <c r="R230" s="185" t="s">
        <v>414</v>
      </c>
    </row>
    <row r="231" customFormat="false" ht="11.25" hidden="false" customHeight="true" outlineLevel="1" collapsed="false">
      <c r="C231" s="181" t="s">
        <v>560</v>
      </c>
      <c r="D231" s="181" t="s">
        <v>561</v>
      </c>
      <c r="E231" s="182" t="n">
        <f aca="false">SUMIF($R$226:$R$230,"&lt;&gt;KTO",E226:E230)</f>
        <v>0</v>
      </c>
      <c r="F231" s="182" t="n">
        <f aca="false">SUMIF($R$226:$R$230,"&lt;&gt;KTO",F226:F230)</f>
        <v>0</v>
      </c>
      <c r="G231" s="182" t="n">
        <f aca="false">SUMIF($R$226:$R$230,"&lt;&gt;KTO",G226:G230)</f>
        <v>0</v>
      </c>
      <c r="H231" s="182" t="n">
        <f aca="false">SUMIF($R$226:$R$230,"&lt;&gt;KTO",H226:H230)</f>
        <v>0</v>
      </c>
      <c r="I231" s="183" t="n">
        <f aca="false">SUMIF($R$226:$R$230,"&lt;&gt;KTO",I226:I230)</f>
        <v>0</v>
      </c>
      <c r="J231" s="184" t="n">
        <f aca="false">SUMIF($R$226:$R$230,"&lt;&gt;KTO",J226:J230)</f>
        <v>0</v>
      </c>
      <c r="K231" s="184" t="n">
        <f aca="false">SUMIF($R$226:$R$230,"&lt;&gt;KTO",K226:K230)</f>
        <v>0</v>
      </c>
      <c r="L231" s="184" t="n">
        <f aca="false">SUMIF($R$226:$R$230,"&lt;&gt;KTO",L226:L230)</f>
        <v>0</v>
      </c>
      <c r="M231" s="184" t="n">
        <f aca="false">SUMIF($R$226:$R$230,"&lt;&gt;KTO",M226:M230)</f>
        <v>0</v>
      </c>
    </row>
    <row r="232" customFormat="false" ht="4.5" hidden="false" customHeight="true" outlineLevel="0" collapsed="false">
      <c r="C232" s="51"/>
      <c r="D232" s="51"/>
      <c r="E232" s="51"/>
      <c r="F232" s="159"/>
      <c r="G232" s="159"/>
      <c r="H232" s="159"/>
      <c r="I232" s="160"/>
      <c r="J232" s="161"/>
      <c r="K232" s="161"/>
      <c r="L232" s="161"/>
      <c r="M232" s="161"/>
    </row>
    <row r="233" customFormat="false" ht="11.25" hidden="false" customHeight="true" outlineLevel="0" collapsed="false">
      <c r="C233" s="54" t="str">
        <f aca="false">"Quelle: "&amp;Cockpit!$C$7</f>
        <v>Quelle: Datenraum/ eigene Analysen</v>
      </c>
      <c r="D233" s="54" t="str">
        <f aca="false">"Source: "&amp;Cockpit!$C$8</f>
        <v>Source: Virtual Data Room/ Company Information</v>
      </c>
      <c r="E233" s="54"/>
      <c r="F233" s="162"/>
      <c r="G233" s="162"/>
      <c r="H233" s="162"/>
      <c r="I233" s="190"/>
      <c r="J233" s="191"/>
      <c r="K233" s="191"/>
      <c r="L233" s="191"/>
      <c r="M233" s="191"/>
    </row>
    <row r="236" customFormat="false" ht="11.25" hidden="false" customHeight="true" outlineLevel="0" collapsed="false">
      <c r="C236" s="151" t="s">
        <v>548</v>
      </c>
      <c r="D236" s="151" t="s">
        <v>548</v>
      </c>
      <c r="E236" s="151"/>
      <c r="F236" s="152"/>
      <c r="G236" s="152"/>
      <c r="H236" s="152"/>
      <c r="I236" s="152"/>
      <c r="J236" s="152"/>
      <c r="K236" s="152"/>
      <c r="L236" s="152"/>
      <c r="M236" s="152"/>
    </row>
    <row r="237" customFormat="false" ht="11.25" hidden="false" customHeight="true" outlineLevel="0" collapsed="false">
      <c r="C237" s="153" t="s">
        <v>245</v>
      </c>
      <c r="D237" s="154" t="s">
        <v>245</v>
      </c>
      <c r="E237" s="155" t="n">
        <f aca="false">E231-E223</f>
        <v>0</v>
      </c>
      <c r="F237" s="155" t="n">
        <f aca="false">F231-F223</f>
        <v>0</v>
      </c>
      <c r="G237" s="155" t="n">
        <f aca="false">G231-G223</f>
        <v>0</v>
      </c>
      <c r="H237" s="155" t="n">
        <f aca="false">H231-H223</f>
        <v>0</v>
      </c>
      <c r="I237" s="155" t="n">
        <f aca="false">I231-I223</f>
        <v>0</v>
      </c>
      <c r="J237" s="155" t="n">
        <f aca="false">J231-J223</f>
        <v>0</v>
      </c>
      <c r="K237" s="155" t="n">
        <f aca="false">K231-K223</f>
        <v>0</v>
      </c>
      <c r="L237" s="155" t="n">
        <f aca="false">L231-L223</f>
        <v>0</v>
      </c>
      <c r="M237" s="155" t="n">
        <f aca="false">M231-M223</f>
        <v>0</v>
      </c>
    </row>
  </sheetData>
  <conditionalFormatting sqref="E69:M69">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6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EAED"/>
    <pageSetUpPr fitToPage="false"/>
  </sheetPr>
  <dimension ref="C1:Q79"/>
  <sheetViews>
    <sheetView showFormulas="false" showGridLines="true" showRowColHeaders="true" showZeros="true" rightToLeft="false" tabSelected="false" showOutlineSymbols="true" defaultGridColor="true" view="normal" topLeftCell="A24" colorId="64" zoomScale="100" zoomScaleNormal="100" zoomScalePageLayoutView="100" workbookViewId="0">
      <selection pane="topLeft" activeCell="P47" activeCellId="0" sqref="P47"/>
    </sheetView>
  </sheetViews>
  <sheetFormatPr defaultColWidth="11.43359375" defaultRowHeight="12" zeroHeight="false" outlineLevelRow="3" outlineLevelCol="2"/>
  <cols>
    <col collapsed="false" customWidth="false" hidden="false" outlineLevel="0" max="1" min="1" style="1" width="11.43"/>
    <col collapsed="false" customWidth="true" hidden="false" outlineLevel="2" max="2" min="2" style="1" width="0.86"/>
    <col collapsed="false" customWidth="true" hidden="false" outlineLevel="2" max="3" min="3" style="1" width="35.57"/>
    <col collapsed="false" customWidth="true" hidden="false" outlineLevel="0" max="4" min="4" style="1" width="35.57"/>
    <col collapsed="false" customWidth="true" hidden="false" outlineLevel="1" max="5" min="5" style="1" width="9.42"/>
    <col collapsed="false" customWidth="true" hidden="false" outlineLevel="0" max="6" min="6" style="1" width="9.42"/>
    <col collapsed="false" customWidth="true" hidden="false" outlineLevel="0" max="10" min="7" style="1" width="10.42"/>
    <col collapsed="false" customWidth="true" hidden="true" outlineLevel="1" max="14" min="11" style="1" width="9.42"/>
    <col collapsed="false" customWidth="true" hidden="true" outlineLevel="2" max="15" min="15" style="1" width="0.86"/>
    <col collapsed="true" customWidth="false" hidden="false" outlineLevel="0" max="16" min="16" style="1" width="11.43"/>
    <col collapsed="false" customWidth="false" hidden="false" outlineLevel="0" max="16384" min="17" style="1" width="11.43"/>
  </cols>
  <sheetData>
    <row r="1" customFormat="false" ht="12" hidden="true" customHeight="true" outlineLevel="3" collapsed="false"/>
    <row r="3" customFormat="false" ht="11.25" hidden="false" customHeight="true" outlineLevel="0" collapsed="false"/>
    <row r="4" customFormat="false" ht="11.25" hidden="true" customHeight="true" outlineLevel="3" collapsed="false">
      <c r="C4" s="36" t="str">
        <f aca="false">Cockpit!$C$4</f>
        <v>Template</v>
      </c>
      <c r="D4" s="36"/>
      <c r="E4" s="85" t="n">
        <f aca="false">Cockpit!C33</f>
        <v>44561</v>
      </c>
      <c r="F4" s="85" t="n">
        <f aca="false">Cockpit!D33</f>
        <v>44926</v>
      </c>
      <c r="G4" s="85" t="n">
        <f aca="false">Cockpit!E33</f>
        <v>45291</v>
      </c>
      <c r="H4" s="85" t="n">
        <f aca="false">Cockpit!F33</f>
        <v>45657</v>
      </c>
      <c r="I4" s="85" t="n">
        <f aca="false">Cockpit!G33</f>
        <v>45808</v>
      </c>
      <c r="J4" s="85" t="n">
        <f aca="false">Cockpit!H33</f>
        <v>45808</v>
      </c>
      <c r="K4" s="85" t="n">
        <f aca="false">Cockpit!I33</f>
        <v>46022</v>
      </c>
      <c r="L4" s="85" t="n">
        <f aca="false">Cockpit!J33</f>
        <v>46387</v>
      </c>
      <c r="M4" s="85" t="n">
        <f aca="false">Cockpit!K33</f>
        <v>46752</v>
      </c>
      <c r="N4" s="85" t="n">
        <f aca="false">Cockpit!L33</f>
        <v>47118</v>
      </c>
      <c r="P4" s="192" t="s">
        <v>562</v>
      </c>
    </row>
    <row r="5" customFormat="false" ht="11.25" hidden="true" customHeight="true" outlineLevel="3" collapsed="false">
      <c r="C5" s="36" t="str">
        <f aca="false">"in T"&amp;Cockpit!$C$5</f>
        <v>in TEUR</v>
      </c>
      <c r="D5" s="36"/>
      <c r="E5" s="85" t="s">
        <v>21</v>
      </c>
      <c r="F5" s="85" t="s">
        <v>21</v>
      </c>
      <c r="G5" s="85" t="s">
        <v>21</v>
      </c>
      <c r="H5" s="85" t="s">
        <v>21</v>
      </c>
      <c r="I5" s="85" t="str">
        <f aca="false">Cockpit!G34</f>
        <v>LTM</v>
      </c>
      <c r="J5" s="85" t="str">
        <f aca="false">Cockpit!H34</f>
        <v>YTD</v>
      </c>
      <c r="K5" s="85" t="str">
        <f aca="false">Cockpit!I34</f>
        <v>Plan</v>
      </c>
      <c r="L5" s="85" t="str">
        <f aca="false">Cockpit!J34</f>
        <v>Plan</v>
      </c>
      <c r="M5" s="85" t="str">
        <f aca="false">Cockpit!K34</f>
        <v>Plan</v>
      </c>
      <c r="N5" s="85" t="str">
        <f aca="false">Cockpit!L34</f>
        <v>Plan</v>
      </c>
    </row>
    <row r="6" customFormat="false" ht="11.25" hidden="false" customHeight="true" outlineLevel="0" collapsed="false">
      <c r="C6" s="10"/>
      <c r="D6" s="10" t="str">
        <f aca="false">Cockpit!$C$4</f>
        <v>Template</v>
      </c>
      <c r="E6" s="74" t="n">
        <f aca="false">Cockpit!C33</f>
        <v>44561</v>
      </c>
      <c r="F6" s="74" t="n">
        <f aca="false">Cockpit!D33</f>
        <v>44926</v>
      </c>
      <c r="G6" s="74" t="n">
        <f aca="false">Cockpit!E33</f>
        <v>45291</v>
      </c>
      <c r="H6" s="74" t="n">
        <f aca="false">Cockpit!F33</f>
        <v>45657</v>
      </c>
      <c r="I6" s="81" t="n">
        <f aca="false">Cockpit!G33</f>
        <v>45808</v>
      </c>
      <c r="J6" s="81" t="n">
        <f aca="false">Cockpit!H33</f>
        <v>45808</v>
      </c>
      <c r="K6" s="74" t="n">
        <f aca="false">Cockpit!I33</f>
        <v>46022</v>
      </c>
      <c r="L6" s="74" t="n">
        <f aca="false">Cockpit!J33</f>
        <v>46387</v>
      </c>
      <c r="M6" s="74" t="n">
        <f aca="false">Cockpit!K33</f>
        <v>46752</v>
      </c>
      <c r="N6" s="74" t="n">
        <f aca="false">Cockpit!L33</f>
        <v>47118</v>
      </c>
      <c r="P6" s="192" t="s">
        <v>562</v>
      </c>
      <c r="Q6" s="78"/>
    </row>
    <row r="7" customFormat="false" ht="11.25" hidden="false" customHeight="true" outlineLevel="0" collapsed="false">
      <c r="C7" s="10"/>
      <c r="D7" s="10" t="str">
        <f aca="false">"in k"&amp;Cockpit!$C$5</f>
        <v>in kEUR</v>
      </c>
      <c r="E7" s="74" t="str">
        <f aca="false">Cockpit!D34</f>
        <v>IST</v>
      </c>
      <c r="F7" s="74" t="str">
        <f aca="false">Cockpit!D34</f>
        <v>IST</v>
      </c>
      <c r="G7" s="74" t="str">
        <f aca="false">Cockpit!E34</f>
        <v>IST</v>
      </c>
      <c r="H7" s="74" t="str">
        <f aca="false">Cockpit!F34</f>
        <v>IST</v>
      </c>
      <c r="I7" s="74" t="str">
        <f aca="false">Cockpit!G34</f>
        <v>LTM</v>
      </c>
      <c r="J7" s="74" t="str">
        <f aca="false">Cockpit!H34</f>
        <v>YTD</v>
      </c>
      <c r="K7" s="74" t="str">
        <f aca="false">Cockpit!I34</f>
        <v>Plan</v>
      </c>
      <c r="L7" s="74" t="str">
        <f aca="false">Cockpit!J34</f>
        <v>Plan</v>
      </c>
      <c r="M7" s="74" t="str">
        <f aca="false">Cockpit!K34</f>
        <v>Plan</v>
      </c>
      <c r="N7" s="74" t="str">
        <f aca="false">Cockpit!L34</f>
        <v>Plan</v>
      </c>
    </row>
    <row r="8" customFormat="false" ht="4.5" hidden="false" customHeight="true" outlineLevel="0" collapsed="false">
      <c r="C8" s="86"/>
      <c r="D8" s="90"/>
      <c r="E8" s="86"/>
      <c r="F8" s="86"/>
      <c r="G8" s="86"/>
      <c r="H8" s="86"/>
      <c r="I8" s="86"/>
      <c r="J8" s="86"/>
      <c r="K8" s="86"/>
      <c r="L8" s="86"/>
      <c r="M8" s="86"/>
      <c r="N8" s="86"/>
    </row>
    <row r="9" customFormat="false" ht="11.25" hidden="false" customHeight="true" outlineLevel="0" collapsed="false">
      <c r="C9" s="132" t="str">
        <f aca="false">'Lead PL'!C146</f>
        <v>EBITDA</v>
      </c>
      <c r="D9" s="132" t="str">
        <f aca="false">'Lead PL'!D146</f>
        <v>EBITDA</v>
      </c>
      <c r="E9" s="193"/>
      <c r="F9" s="168" t="n">
        <f aca="false">'Lead PL'!F146</f>
        <v>0</v>
      </c>
      <c r="G9" s="168" t="n">
        <f aca="false">'Lead PL'!G146</f>
        <v>0</v>
      </c>
      <c r="H9" s="168" t="n">
        <f aca="false">'Lead PL'!H146</f>
        <v>0</v>
      </c>
      <c r="I9" s="194" t="n">
        <f aca="false">'Lead PL'!I146</f>
        <v>0</v>
      </c>
      <c r="J9" s="169" t="n">
        <f aca="false">'Lead PL'!J146</f>
        <v>0</v>
      </c>
      <c r="K9" s="170" t="n">
        <f aca="false">'Lead PL'!K146</f>
        <v>0</v>
      </c>
      <c r="L9" s="170" t="n">
        <f aca="false">'Lead PL'!L146</f>
        <v>0</v>
      </c>
      <c r="M9" s="170" t="n">
        <f aca="false">'Lead PL'!M146</f>
        <v>0</v>
      </c>
      <c r="N9" s="170" t="n">
        <f aca="false">'Lead PL'!N146</f>
        <v>0</v>
      </c>
    </row>
    <row r="10" customFormat="false" ht="11.25" hidden="false" customHeight="true" outlineLevel="0" collapsed="false">
      <c r="C10" s="195" t="str">
        <f aca="false">'Lead PL'!C192</f>
        <v>Ertragssteuern</v>
      </c>
      <c r="D10" s="195" t="str">
        <f aca="false">'Lead PL'!D192</f>
        <v>Income taxes</v>
      </c>
      <c r="E10" s="137"/>
      <c r="F10" s="159" t="n">
        <f aca="false">'Lead PL'!F192</f>
        <v>0</v>
      </c>
      <c r="G10" s="159" t="n">
        <f aca="false">'Lead PL'!G201</f>
        <v>0</v>
      </c>
      <c r="H10" s="159" t="n">
        <f aca="false">'Lead PL'!H201</f>
        <v>0</v>
      </c>
      <c r="I10" s="196" t="n">
        <f aca="false">'Lead PL'!I201</f>
        <v>0</v>
      </c>
      <c r="J10" s="160" t="n">
        <f aca="false">'Lead PL'!J201</f>
        <v>0</v>
      </c>
      <c r="K10" s="161" t="n">
        <f aca="false">'Lead PL'!K201</f>
        <v>0</v>
      </c>
      <c r="L10" s="161" t="n">
        <f aca="false">'Lead PL'!L201</f>
        <v>0</v>
      </c>
      <c r="M10" s="161" t="n">
        <f aca="false">'Lead PL'!M201</f>
        <v>0</v>
      </c>
      <c r="N10" s="161" t="n">
        <f aca="false">'Lead PL'!N201</f>
        <v>0</v>
      </c>
    </row>
    <row r="11" customFormat="false" ht="11.25" hidden="false" customHeight="true" outlineLevel="0" collapsed="false">
      <c r="C11" s="195" t="str">
        <f aca="false">'Lead PL'!C201</f>
        <v>Sonstige Steuern</v>
      </c>
      <c r="D11" s="195" t="str">
        <f aca="false">'Lead PL'!D201</f>
        <v>Other taxes</v>
      </c>
      <c r="E11" s="137"/>
      <c r="F11" s="159" t="n">
        <f aca="false">'Lead PL'!F201</f>
        <v>0</v>
      </c>
      <c r="G11" s="159" t="n">
        <f aca="false">'Lead PL'!G192</f>
        <v>0</v>
      </c>
      <c r="H11" s="159" t="n">
        <f aca="false">'Lead PL'!H192</f>
        <v>0</v>
      </c>
      <c r="I11" s="196" t="n">
        <f aca="false">'Lead PL'!I192</f>
        <v>0</v>
      </c>
      <c r="J11" s="160" t="n">
        <f aca="false">'Lead PL'!J192</f>
        <v>0</v>
      </c>
      <c r="K11" s="161" t="n">
        <f aca="false">'Lead PL'!K192</f>
        <v>0</v>
      </c>
      <c r="L11" s="161" t="n">
        <f aca="false">'Lead PL'!L192</f>
        <v>0</v>
      </c>
      <c r="M11" s="161" t="n">
        <f aca="false">'Lead PL'!M192</f>
        <v>0</v>
      </c>
      <c r="N11" s="161" t="n">
        <f aca="false">'Lead PL'!N192</f>
        <v>0</v>
      </c>
    </row>
    <row r="12" customFormat="false" ht="4.5" hidden="false" customHeight="true" outlineLevel="0" collapsed="false">
      <c r="C12" s="51"/>
      <c r="D12" s="51"/>
      <c r="E12" s="137"/>
      <c r="F12" s="168"/>
      <c r="G12" s="168"/>
      <c r="H12" s="159"/>
      <c r="I12" s="196"/>
      <c r="J12" s="160"/>
      <c r="K12" s="161"/>
      <c r="L12" s="161"/>
      <c r="M12" s="161"/>
      <c r="N12" s="161"/>
    </row>
    <row r="13" customFormat="false" ht="11.25" hidden="false" customHeight="true" outlineLevel="0" collapsed="false">
      <c r="C13" s="51" t="str">
        <f aca="false">"∆ "&amp;'Lead NA'!C40</f>
        <v>∆ Vorräte</v>
      </c>
      <c r="D13" s="51" t="str">
        <f aca="false">"∆ "&amp;'Lead NA'!D40</f>
        <v>∆ Inventories</v>
      </c>
      <c r="E13" s="137"/>
      <c r="F13" s="159" t="n">
        <f aca="false">-'Lead NA'!F40+'Lead NA'!E40</f>
        <v>0</v>
      </c>
      <c r="G13" s="159" t="n">
        <f aca="false">-'Lead NA'!G40+'Lead NA'!F40</f>
        <v>0</v>
      </c>
      <c r="H13" s="159" t="n">
        <f aca="false">-'Lead NA'!H40+'Lead NA'!G40</f>
        <v>0</v>
      </c>
      <c r="I13" s="196"/>
      <c r="J13" s="160" t="n">
        <f aca="false">-'Lead NA'!I40+'Lead NA'!H40</f>
        <v>0</v>
      </c>
      <c r="K13" s="161" t="n">
        <f aca="false">-'Lead NA'!J40+'Lead NA'!H40</f>
        <v>0</v>
      </c>
      <c r="L13" s="161" t="n">
        <f aca="false">-'Lead NA'!K40+'Lead NA'!J40</f>
        <v>0</v>
      </c>
      <c r="M13" s="161" t="n">
        <f aca="false">-'Lead NA'!L40+'Lead NA'!K40</f>
        <v>0</v>
      </c>
      <c r="N13" s="161" t="n">
        <f aca="false">-'Lead NA'!M40+'Lead NA'!L40</f>
        <v>0</v>
      </c>
    </row>
    <row r="14" customFormat="false" ht="11.25" hidden="false" customHeight="true" outlineLevel="0" collapsed="false">
      <c r="C14" s="51" t="str">
        <f aca="false">"∆ "&amp;'Lead NA'!C49</f>
        <v>∆ Forderungen aus LuL</v>
      </c>
      <c r="D14" s="51" t="str">
        <f aca="false">"∆ "&amp;'Lead NA'!D49</f>
        <v>∆ Trade receivables</v>
      </c>
      <c r="E14" s="137"/>
      <c r="F14" s="159" t="n">
        <f aca="false">-'Lead NA'!F49+'Lead NA'!E49</f>
        <v>0</v>
      </c>
      <c r="G14" s="159" t="n">
        <f aca="false">-'Lead NA'!G49+'Lead NA'!F49</f>
        <v>0</v>
      </c>
      <c r="H14" s="159" t="n">
        <f aca="false">-'Lead NA'!H49+'Lead NA'!G49</f>
        <v>0</v>
      </c>
      <c r="I14" s="196"/>
      <c r="J14" s="160" t="n">
        <f aca="false">-'Lead NA'!I49+'Lead NA'!H49</f>
        <v>0</v>
      </c>
      <c r="K14" s="161" t="n">
        <f aca="false">-'Lead NA'!J49+'Lead NA'!H49</f>
        <v>0</v>
      </c>
      <c r="L14" s="161" t="n">
        <f aca="false">-'Lead NA'!K49+'Lead NA'!J49</f>
        <v>0</v>
      </c>
      <c r="M14" s="161" t="n">
        <f aca="false">-'Lead NA'!L49+'Lead NA'!K49</f>
        <v>0</v>
      </c>
      <c r="N14" s="161" t="n">
        <f aca="false">-'Lead NA'!M49+'Lead NA'!L49</f>
        <v>0</v>
      </c>
    </row>
    <row r="15" customFormat="false" ht="11.25" hidden="false" customHeight="true" outlineLevel="0" collapsed="false">
      <c r="C15" s="51" t="str">
        <f aca="false">"∆ "&amp;'Lead NA'!C58</f>
        <v>∆ Verbindlichkeiten aus LuL</v>
      </c>
      <c r="D15" s="51" t="str">
        <f aca="false">"∆ "&amp;'Lead NA'!D58</f>
        <v>∆ Trade payables</v>
      </c>
      <c r="E15" s="137"/>
      <c r="F15" s="159" t="n">
        <f aca="false">-'Lead NA'!F58+'Lead NA'!E58</f>
        <v>0</v>
      </c>
      <c r="G15" s="159" t="n">
        <f aca="false">-'Lead NA'!G58+'Lead NA'!F58</f>
        <v>0</v>
      </c>
      <c r="H15" s="159" t="n">
        <f aca="false">-'Lead NA'!H58+'Lead NA'!G58</f>
        <v>0</v>
      </c>
      <c r="I15" s="196"/>
      <c r="J15" s="160" t="n">
        <f aca="false">-'Lead NA'!I58+'Lead NA'!H58</f>
        <v>0</v>
      </c>
      <c r="K15" s="161" t="n">
        <f aca="false">-'Lead NA'!J58+'Lead NA'!H58</f>
        <v>0</v>
      </c>
      <c r="L15" s="161" t="n">
        <f aca="false">-'Lead NA'!K58+'Lead NA'!J58</f>
        <v>0</v>
      </c>
      <c r="M15" s="161" t="n">
        <f aca="false">-'Lead NA'!L58+'Lead NA'!K58</f>
        <v>0</v>
      </c>
      <c r="N15" s="161" t="n">
        <f aca="false">-'Lead NA'!M58+'Lead NA'!L58</f>
        <v>0</v>
      </c>
    </row>
    <row r="16" customFormat="false" ht="11.25" hidden="false" customHeight="true" outlineLevel="0" collapsed="false">
      <c r="C16" s="51" t="str">
        <f aca="false">"∆ "&amp;'Lead NA'!C67</f>
        <v>∆ Erhaltene Anzahlungen</v>
      </c>
      <c r="D16" s="51" t="str">
        <f aca="false">"∆ "&amp;'Lead NA'!D67</f>
        <v>∆ Advance payments received</v>
      </c>
      <c r="E16" s="137"/>
      <c r="F16" s="159" t="n">
        <f aca="false">-'Lead NA'!F67+'Lead NA'!E67</f>
        <v>0</v>
      </c>
      <c r="G16" s="159" t="n">
        <f aca="false">-'Lead NA'!G67+'Lead NA'!F67</f>
        <v>0</v>
      </c>
      <c r="H16" s="159" t="n">
        <f aca="false">-'Lead NA'!H67+'Lead NA'!G67</f>
        <v>0</v>
      </c>
      <c r="I16" s="196"/>
      <c r="J16" s="160" t="n">
        <f aca="false">-'Lead NA'!I67+'Lead NA'!H67</f>
        <v>0</v>
      </c>
      <c r="K16" s="161"/>
      <c r="L16" s="161"/>
      <c r="M16" s="161"/>
      <c r="N16" s="161"/>
    </row>
    <row r="17" customFormat="false" ht="11.25" hidden="false" customHeight="true" outlineLevel="2" collapsed="false">
      <c r="C17" s="51" t="str">
        <f aca="false">"∆ "&amp;'Lead NA'!C76</f>
        <v>∆ Dummy 1</v>
      </c>
      <c r="D17" s="51" t="str">
        <f aca="false">"∆ "&amp;'Lead NA'!D76</f>
        <v>∆ Dummy 1</v>
      </c>
      <c r="E17" s="137"/>
      <c r="F17" s="159" t="n">
        <f aca="false">-'Lead NA'!F76+'Lead NA'!E76</f>
        <v>0</v>
      </c>
      <c r="G17" s="159" t="n">
        <f aca="false">-'Lead NA'!G76+'Lead NA'!F76</f>
        <v>0</v>
      </c>
      <c r="H17" s="159" t="n">
        <f aca="false">-'Lead NA'!H76+'Lead NA'!G76</f>
        <v>0</v>
      </c>
      <c r="I17" s="196"/>
      <c r="J17" s="160" t="n">
        <f aca="false">-'Lead NA'!I76+'Lead NA'!H76</f>
        <v>0</v>
      </c>
      <c r="K17" s="161" t="n">
        <f aca="false">-'Lead NA'!J76+'Lead NA'!H76</f>
        <v>0</v>
      </c>
      <c r="L17" s="161" t="n">
        <f aca="false">-'Lead NA'!K76+'Lead NA'!J76</f>
        <v>0</v>
      </c>
      <c r="M17" s="161" t="n">
        <f aca="false">-'Lead NA'!L76+'Lead NA'!K76</f>
        <v>0</v>
      </c>
      <c r="N17" s="161" t="n">
        <f aca="false">-'Lead NA'!M76+'Lead NA'!L76</f>
        <v>0</v>
      </c>
    </row>
    <row r="18" customFormat="false" ht="11.25" hidden="false" customHeight="true" outlineLevel="2" collapsed="false">
      <c r="C18" s="51" t="str">
        <f aca="false">"∆ "&amp;'Lead NA'!C77</f>
        <v>∆ Dummy 2</v>
      </c>
      <c r="D18" s="51" t="str">
        <f aca="false">"∆ "&amp;'Lead NA'!D77</f>
        <v>∆ Dummy 2</v>
      </c>
      <c r="E18" s="137"/>
      <c r="F18" s="159" t="n">
        <f aca="false">-'Lead NA'!F77+'Lead NA'!E77</f>
        <v>0</v>
      </c>
      <c r="G18" s="159" t="n">
        <f aca="false">-'Lead NA'!G77+'Lead NA'!F77</f>
        <v>0</v>
      </c>
      <c r="H18" s="159" t="n">
        <f aca="false">-'Lead NA'!H77+'Lead NA'!G77</f>
        <v>0</v>
      </c>
      <c r="I18" s="196"/>
      <c r="J18" s="160" t="n">
        <f aca="false">-'Lead NA'!I77+'Lead NA'!H77</f>
        <v>0</v>
      </c>
      <c r="K18" s="161" t="n">
        <f aca="false">-'Lead NA'!J77+'Lead NA'!H77</f>
        <v>0</v>
      </c>
      <c r="L18" s="161" t="n">
        <f aca="false">-'Lead NA'!K77+'Lead NA'!J77</f>
        <v>0</v>
      </c>
      <c r="M18" s="161" t="n">
        <f aca="false">-'Lead NA'!L77+'Lead NA'!K77</f>
        <v>0</v>
      </c>
      <c r="N18" s="161" t="n">
        <f aca="false">-'Lead NA'!M77+'Lead NA'!L77</f>
        <v>0</v>
      </c>
    </row>
    <row r="19" customFormat="false" ht="11.25" hidden="false" customHeight="true" outlineLevel="2" collapsed="false">
      <c r="C19" s="54" t="str">
        <f aca="false">"∆ "&amp;'Lead NA'!C78</f>
        <v>∆ Dummy 3</v>
      </c>
      <c r="D19" s="54" t="str">
        <f aca="false">"∆ "&amp;'Lead NA'!D78</f>
        <v>∆ Dummy 3</v>
      </c>
      <c r="E19" s="189"/>
      <c r="F19" s="162" t="n">
        <f aca="false">-'Lead NA'!F78+'Lead NA'!E78</f>
        <v>0</v>
      </c>
      <c r="G19" s="162" t="n">
        <f aca="false">-'Lead NA'!G78+'Lead NA'!F78</f>
        <v>0</v>
      </c>
      <c r="H19" s="162" t="n">
        <f aca="false">-'Lead NA'!H78+'Lead NA'!G78</f>
        <v>0</v>
      </c>
      <c r="I19" s="197"/>
      <c r="J19" s="163" t="n">
        <f aca="false">-'Lead NA'!I78+'Lead NA'!H78</f>
        <v>0</v>
      </c>
      <c r="K19" s="164" t="n">
        <f aca="false">-'Lead NA'!J78+'Lead NA'!H78</f>
        <v>0</v>
      </c>
      <c r="L19" s="164" t="n">
        <f aca="false">-'Lead NA'!K78+'Lead NA'!J78</f>
        <v>0</v>
      </c>
      <c r="M19" s="164" t="n">
        <f aca="false">-'Lead NA'!L78+'Lead NA'!K78</f>
        <v>0</v>
      </c>
      <c r="N19" s="164" t="n">
        <f aca="false">-'Lead NA'!M78+'Lead NA'!L78</f>
        <v>0</v>
      </c>
    </row>
    <row r="20" customFormat="false" ht="11.25" hidden="false" customHeight="true" outlineLevel="0" collapsed="false">
      <c r="C20" s="165" t="str">
        <f aca="false">"∆ "&amp;'Lead NA'!C79</f>
        <v>∆ Trade Working Capital</v>
      </c>
      <c r="D20" s="165" t="str">
        <f aca="false">"∆ "&amp;'Lead NA'!D79</f>
        <v>∆ Trade working capital</v>
      </c>
      <c r="E20" s="198"/>
      <c r="F20" s="165" t="n">
        <f aca="false">SUM(F13:F19)</f>
        <v>0</v>
      </c>
      <c r="G20" s="165" t="n">
        <f aca="false">SUM(G13:G19)</f>
        <v>0</v>
      </c>
      <c r="H20" s="165" t="n">
        <f aca="false">SUM(H13:H19)</f>
        <v>0</v>
      </c>
      <c r="I20" s="199" t="n">
        <f aca="false">SUM(I13:I19)</f>
        <v>0</v>
      </c>
      <c r="J20" s="166" t="n">
        <f aca="false">SUM(J13:J19)</f>
        <v>0</v>
      </c>
      <c r="K20" s="167" t="n">
        <f aca="false">SUM(K13:K19)</f>
        <v>0</v>
      </c>
      <c r="L20" s="167" t="n">
        <f aca="false">SUM(L13:L19)</f>
        <v>0</v>
      </c>
      <c r="M20" s="167" t="n">
        <f aca="false">SUM(M13:M19)</f>
        <v>0</v>
      </c>
      <c r="N20" s="167" t="n">
        <f aca="false">SUM(N13:N19)</f>
        <v>0</v>
      </c>
    </row>
    <row r="21" customFormat="false" ht="11.25" hidden="false" customHeight="true" outlineLevel="0" collapsed="false">
      <c r="C21" s="51" t="str">
        <f aca="false">"∆ "&amp;'Lead NA'!C80</f>
        <v>∆ Sonstige Vermögensgegenstände</v>
      </c>
      <c r="D21" s="51" t="str">
        <f aca="false">"∆ "&amp;'Lead NA'!D80</f>
        <v>∆ Other assets</v>
      </c>
      <c r="E21" s="137"/>
      <c r="F21" s="159" t="n">
        <f aca="false">-'Lead NA'!F80+'Lead NA'!E80</f>
        <v>0</v>
      </c>
      <c r="G21" s="159" t="n">
        <f aca="false">-'Lead NA'!G80+'Lead NA'!F80</f>
        <v>0</v>
      </c>
      <c r="H21" s="159" t="n">
        <f aca="false">-'Lead NA'!H80+'Lead NA'!G80</f>
        <v>0</v>
      </c>
      <c r="I21" s="196"/>
      <c r="J21" s="160" t="n">
        <f aca="false">-'Lead NA'!I80+'Lead NA'!H80</f>
        <v>0</v>
      </c>
      <c r="K21" s="161" t="n">
        <f aca="false">-'Lead NA'!J80+'Lead NA'!H80</f>
        <v>0</v>
      </c>
      <c r="L21" s="161" t="n">
        <f aca="false">-'Lead NA'!K80+'Lead NA'!J80</f>
        <v>0</v>
      </c>
      <c r="M21" s="161" t="n">
        <f aca="false">-'Lead NA'!L80+'Lead NA'!K80</f>
        <v>0</v>
      </c>
      <c r="N21" s="161" t="n">
        <f aca="false">-'Lead NA'!M80+'Lead NA'!L80</f>
        <v>0</v>
      </c>
    </row>
    <row r="22" customFormat="false" ht="11.25" hidden="false" customHeight="true" outlineLevel="0" collapsed="false">
      <c r="C22" s="51" t="str">
        <f aca="false">"∆ "&amp;'Lead NA'!C89</f>
        <v>∆ Aktive Rechnungsabgrenzungsposten</v>
      </c>
      <c r="D22" s="51" t="str">
        <f aca="false">"∆ "&amp;'Lead NA'!D89</f>
        <v>∆ Prepaid expenses</v>
      </c>
      <c r="E22" s="137"/>
      <c r="F22" s="159" t="n">
        <f aca="false">-'Lead NA'!F89+'Lead NA'!E89</f>
        <v>0</v>
      </c>
      <c r="G22" s="159" t="n">
        <f aca="false">-'Lead NA'!G89+'Lead NA'!F89</f>
        <v>0</v>
      </c>
      <c r="H22" s="159" t="n">
        <f aca="false">-'Lead NA'!H89+'Lead NA'!G89</f>
        <v>0</v>
      </c>
      <c r="I22" s="196"/>
      <c r="J22" s="160" t="n">
        <f aca="false">-'Lead NA'!I89+'Lead NA'!H89</f>
        <v>0</v>
      </c>
      <c r="K22" s="161" t="n">
        <f aca="false">-'Lead NA'!J89+'Lead NA'!H89</f>
        <v>0</v>
      </c>
      <c r="L22" s="161" t="n">
        <f aca="false">-'Lead NA'!K89+'Lead NA'!J89</f>
        <v>0</v>
      </c>
      <c r="M22" s="161" t="n">
        <f aca="false">-'Lead NA'!L89+'Lead NA'!K89</f>
        <v>0</v>
      </c>
      <c r="N22" s="161" t="n">
        <f aca="false">-'Lead NA'!M89+'Lead NA'!L89</f>
        <v>0</v>
      </c>
    </row>
    <row r="23" customFormat="false" ht="11.25" hidden="false" customHeight="true" outlineLevel="0" collapsed="false">
      <c r="C23" s="51" t="str">
        <f aca="false">"∆ "&amp;'Lead NA'!C98</f>
        <v>∆ Forderungen gegenüber verbundenen/beteiligten Unternehmen</v>
      </c>
      <c r="D23" s="51" t="str">
        <f aca="false">"∆ "&amp;'Lead NA'!D98</f>
        <v>∆ Receivables from affiliated/ participating companies</v>
      </c>
      <c r="E23" s="137"/>
      <c r="F23" s="159" t="n">
        <f aca="false">-'Lead NA'!F98+'Lead NA'!E98</f>
        <v>0</v>
      </c>
      <c r="G23" s="159" t="n">
        <f aca="false">-'Lead NA'!G98+'Lead NA'!F98</f>
        <v>0</v>
      </c>
      <c r="H23" s="159" t="n">
        <f aca="false">-'Lead NA'!H98+'Lead NA'!G98</f>
        <v>0</v>
      </c>
      <c r="I23" s="196"/>
      <c r="J23" s="160" t="n">
        <f aca="false">-'Lead NA'!I98+'Lead NA'!H98</f>
        <v>0</v>
      </c>
      <c r="K23" s="161"/>
      <c r="L23" s="161"/>
      <c r="M23" s="161"/>
      <c r="N23" s="161"/>
    </row>
    <row r="24" customFormat="false" ht="11.25" hidden="false" customHeight="true" outlineLevel="0" collapsed="false">
      <c r="C24" s="51" t="str">
        <f aca="false">"∆ "&amp;'Lead NA'!C107</f>
        <v>∆ Forderungen gegenüber Gesellschaftern</v>
      </c>
      <c r="D24" s="51" t="str">
        <f aca="false">"∆ "&amp;'Lead NA'!D107</f>
        <v>∆ Receivables from shareholders</v>
      </c>
      <c r="E24" s="137"/>
      <c r="F24" s="159" t="n">
        <f aca="false">-'Lead NA'!F107+'Lead NA'!E107</f>
        <v>0</v>
      </c>
      <c r="G24" s="159" t="n">
        <f aca="false">-'Lead NA'!G107+'Lead NA'!F107</f>
        <v>0</v>
      </c>
      <c r="H24" s="159" t="n">
        <f aca="false">-'Lead NA'!H107+'Lead NA'!G107</f>
        <v>0</v>
      </c>
      <c r="I24" s="196"/>
      <c r="J24" s="160" t="n">
        <f aca="false">-'Lead NA'!I107+'Lead NA'!H107</f>
        <v>0</v>
      </c>
      <c r="K24" s="161"/>
      <c r="L24" s="161"/>
      <c r="M24" s="161"/>
      <c r="N24" s="161"/>
    </row>
    <row r="25" customFormat="false" ht="11.25" hidden="false" customHeight="true" outlineLevel="2" collapsed="false">
      <c r="C25" s="51" t="str">
        <f aca="false">"∆ "&amp;'Lead NA'!C116</f>
        <v>∆ Dummy 1</v>
      </c>
      <c r="D25" s="51" t="str">
        <f aca="false">"∆ "&amp;'Lead NA'!D116</f>
        <v>∆ Dummy 1</v>
      </c>
      <c r="E25" s="137"/>
      <c r="F25" s="159" t="n">
        <f aca="false">-'Lead NA'!F116+'Lead NA'!E116</f>
        <v>0</v>
      </c>
      <c r="G25" s="159" t="n">
        <f aca="false">-'Lead NA'!G116+'Lead NA'!F116</f>
        <v>0</v>
      </c>
      <c r="H25" s="159" t="n">
        <f aca="false">-'Lead NA'!H116+'Lead NA'!G116</f>
        <v>0</v>
      </c>
      <c r="I25" s="196"/>
      <c r="J25" s="160" t="n">
        <f aca="false">-'Lead NA'!I116+'Lead NA'!H116</f>
        <v>0</v>
      </c>
      <c r="K25" s="161" t="n">
        <f aca="false">-'Lead NA'!J116+'Lead NA'!H116</f>
        <v>0</v>
      </c>
      <c r="L25" s="161" t="n">
        <f aca="false">-'Lead NA'!K116+'Lead NA'!J116</f>
        <v>0</v>
      </c>
      <c r="M25" s="161" t="n">
        <f aca="false">-'Lead NA'!L116+'Lead NA'!K116</f>
        <v>0</v>
      </c>
      <c r="N25" s="161" t="n">
        <f aca="false">-'Lead NA'!M116+'Lead NA'!L116</f>
        <v>0</v>
      </c>
    </row>
    <row r="26" customFormat="false" ht="11.25" hidden="false" customHeight="true" outlineLevel="2" collapsed="false">
      <c r="C26" s="51" t="str">
        <f aca="false">"∆ "&amp;'Lead NA'!C117</f>
        <v>∆ Dummy 2</v>
      </c>
      <c r="D26" s="51" t="str">
        <f aca="false">"∆ "&amp;'Lead NA'!D117</f>
        <v>∆ Dummy 2</v>
      </c>
      <c r="E26" s="137"/>
      <c r="F26" s="159" t="n">
        <f aca="false">-'Lead NA'!F117+'Lead NA'!E117</f>
        <v>0</v>
      </c>
      <c r="G26" s="159" t="n">
        <f aca="false">-'Lead NA'!G117+'Lead NA'!F117</f>
        <v>0</v>
      </c>
      <c r="H26" s="159" t="n">
        <f aca="false">-'Lead NA'!H117+'Lead NA'!G117</f>
        <v>0</v>
      </c>
      <c r="I26" s="196"/>
      <c r="J26" s="160" t="n">
        <f aca="false">-'Lead NA'!I117+'Lead NA'!H117</f>
        <v>0</v>
      </c>
      <c r="K26" s="161" t="n">
        <f aca="false">-'Lead NA'!J117+'Lead NA'!H117</f>
        <v>0</v>
      </c>
      <c r="L26" s="161" t="n">
        <f aca="false">-'Lead NA'!K117+'Lead NA'!J117</f>
        <v>0</v>
      </c>
      <c r="M26" s="161" t="n">
        <f aca="false">-'Lead NA'!L117+'Lead NA'!K117</f>
        <v>0</v>
      </c>
      <c r="N26" s="161" t="n">
        <f aca="false">-'Lead NA'!M117+'Lead NA'!L117</f>
        <v>0</v>
      </c>
    </row>
    <row r="27" customFormat="false" ht="11.25" hidden="false" customHeight="true" outlineLevel="2" collapsed="false">
      <c r="C27" s="51" t="str">
        <f aca="false">"∆ "&amp;'Lead NA'!C118</f>
        <v>∆ Dummy 3</v>
      </c>
      <c r="D27" s="51" t="str">
        <f aca="false">"∆ "&amp;'Lead NA'!D118</f>
        <v>∆ Dummy 3</v>
      </c>
      <c r="E27" s="137"/>
      <c r="F27" s="159" t="n">
        <f aca="false">-'Lead NA'!F118+'Lead NA'!E118</f>
        <v>0</v>
      </c>
      <c r="G27" s="159" t="n">
        <f aca="false">-'Lead NA'!G118+'Lead NA'!F118</f>
        <v>0</v>
      </c>
      <c r="H27" s="159" t="n">
        <f aca="false">-'Lead NA'!H118+'Lead NA'!G118</f>
        <v>0</v>
      </c>
      <c r="I27" s="196"/>
      <c r="J27" s="160" t="n">
        <f aca="false">-'Lead NA'!I118+'Lead NA'!H118</f>
        <v>0</v>
      </c>
      <c r="K27" s="161" t="n">
        <f aca="false">-'Lead NA'!J118+'Lead NA'!H118</f>
        <v>0</v>
      </c>
      <c r="L27" s="161" t="n">
        <f aca="false">-'Lead NA'!K118+'Lead NA'!J118</f>
        <v>0</v>
      </c>
      <c r="M27" s="161" t="n">
        <f aca="false">-'Lead NA'!L118+'Lead NA'!K118</f>
        <v>0</v>
      </c>
      <c r="N27" s="161" t="n">
        <f aca="false">-'Lead NA'!M118+'Lead NA'!L118</f>
        <v>0</v>
      </c>
    </row>
    <row r="28" customFormat="false" ht="11.25" hidden="false" customHeight="true" outlineLevel="0" collapsed="false">
      <c r="C28" s="51" t="str">
        <f aca="false">"∆ "&amp;'Lead NA'!C120</f>
        <v>∆ Sonstige Rückstellungen</v>
      </c>
      <c r="D28" s="51" t="str">
        <f aca="false">"∆ "&amp;'Lead NA'!D120</f>
        <v>∆ Other provisions</v>
      </c>
      <c r="E28" s="137"/>
      <c r="F28" s="159" t="n">
        <f aca="false">-'Lead NA'!F120+'Lead NA'!E120</f>
        <v>0</v>
      </c>
      <c r="G28" s="159" t="n">
        <f aca="false">-'Lead NA'!G120+'Lead NA'!F120</f>
        <v>0</v>
      </c>
      <c r="H28" s="159" t="n">
        <f aca="false">-'Lead NA'!H120+'Lead NA'!G120</f>
        <v>0</v>
      </c>
      <c r="I28" s="196"/>
      <c r="J28" s="160" t="n">
        <f aca="false">-'Lead NA'!I120+'Lead NA'!H120</f>
        <v>0</v>
      </c>
      <c r="K28" s="161" t="n">
        <f aca="false">-'Lead NA'!J120+'Lead NA'!H120</f>
        <v>0</v>
      </c>
      <c r="L28" s="161" t="n">
        <f aca="false">-'Lead NA'!K120+'Lead NA'!J120</f>
        <v>0</v>
      </c>
      <c r="M28" s="161" t="n">
        <f aca="false">-'Lead NA'!L120+'Lead NA'!K120</f>
        <v>0</v>
      </c>
      <c r="N28" s="161" t="n">
        <f aca="false">-'Lead NA'!M120+'Lead NA'!L120</f>
        <v>0</v>
      </c>
    </row>
    <row r="29" customFormat="false" ht="11.25" hidden="false" customHeight="true" outlineLevel="0" collapsed="false">
      <c r="C29" s="51" t="str">
        <f aca="false">"∆ "&amp;'Lead NA'!C129</f>
        <v>∆ Sonstige Verbindlichkeiten</v>
      </c>
      <c r="D29" s="51" t="str">
        <f aca="false">"∆ "&amp;'Lead NA'!D129</f>
        <v>∆ Other liabilities</v>
      </c>
      <c r="E29" s="137"/>
      <c r="F29" s="159" t="n">
        <f aca="false">-'Lead NA'!F129+'Lead NA'!E129</f>
        <v>0</v>
      </c>
      <c r="G29" s="159" t="n">
        <f aca="false">-'Lead NA'!G129+'Lead NA'!F129</f>
        <v>0</v>
      </c>
      <c r="H29" s="159" t="n">
        <f aca="false">-'Lead NA'!H129+'Lead NA'!G129</f>
        <v>0</v>
      </c>
      <c r="I29" s="196"/>
      <c r="J29" s="160" t="n">
        <f aca="false">-'Lead NA'!I129+'Lead NA'!H129</f>
        <v>0</v>
      </c>
      <c r="K29" s="161" t="n">
        <f aca="false">-'Lead NA'!J129+'Lead NA'!H129</f>
        <v>0</v>
      </c>
      <c r="L29" s="161" t="n">
        <f aca="false">-'Lead NA'!K129+'Lead NA'!J129</f>
        <v>0</v>
      </c>
      <c r="M29" s="161" t="n">
        <f aca="false">-'Lead NA'!L129+'Lead NA'!K129</f>
        <v>0</v>
      </c>
      <c r="N29" s="161" t="n">
        <f aca="false">-'Lead NA'!M129+'Lead NA'!L129</f>
        <v>0</v>
      </c>
    </row>
    <row r="30" customFormat="false" ht="11.25" hidden="false" customHeight="true" outlineLevel="0" collapsed="false">
      <c r="C30" s="51" t="str">
        <f aca="false">"∆ "&amp;'Lead NA'!C138</f>
        <v>∆ Steuerrückstellungen</v>
      </c>
      <c r="D30" s="51" t="str">
        <f aca="false">"∆ "&amp;'Lead NA'!D138</f>
        <v>∆ Tax provisions</v>
      </c>
      <c r="E30" s="137"/>
      <c r="F30" s="159" t="n">
        <f aca="false">-'Lead NA'!F138+'Lead NA'!E138</f>
        <v>0</v>
      </c>
      <c r="G30" s="159" t="n">
        <f aca="false">-'Lead NA'!G138+'Lead NA'!F138</f>
        <v>0</v>
      </c>
      <c r="H30" s="159" t="n">
        <f aca="false">-'Lead NA'!H138+'Lead NA'!G138</f>
        <v>0</v>
      </c>
      <c r="I30" s="196"/>
      <c r="J30" s="160" t="n">
        <f aca="false">-'Lead NA'!I138+'Lead NA'!H138</f>
        <v>0</v>
      </c>
      <c r="K30" s="161"/>
      <c r="L30" s="161"/>
      <c r="M30" s="161"/>
      <c r="N30" s="161"/>
    </row>
    <row r="31" customFormat="false" ht="11.25" hidden="false" customHeight="true" outlineLevel="2" collapsed="false">
      <c r="C31" s="51" t="str">
        <f aca="false">"∆ "&amp;'Lead NA'!C147</f>
        <v>∆ Verbindlichkeiten an verbundenen/beteiligten Unternehmen</v>
      </c>
      <c r="D31" s="51" t="str">
        <f aca="false">"∆ "&amp;'Lead NA'!D147</f>
        <v>∆ Liabilities to affiliated/ participating companies</v>
      </c>
      <c r="E31" s="137"/>
      <c r="F31" s="159" t="n">
        <f aca="false">-'Lead NA'!F147+'Lead NA'!E147</f>
        <v>0</v>
      </c>
      <c r="G31" s="159" t="n">
        <f aca="false">-'Lead NA'!G147+'Lead NA'!F147</f>
        <v>0</v>
      </c>
      <c r="H31" s="159" t="n">
        <f aca="false">-'Lead NA'!H147+'Lead NA'!G147</f>
        <v>0</v>
      </c>
      <c r="I31" s="196"/>
      <c r="J31" s="160" t="n">
        <f aca="false">-'Lead NA'!I147+'Lead NA'!H147</f>
        <v>0</v>
      </c>
      <c r="K31" s="161" t="n">
        <f aca="false">-'Lead NA'!J147+'Lead NA'!H147</f>
        <v>0</v>
      </c>
      <c r="L31" s="161" t="n">
        <f aca="false">-'Lead NA'!K147+'Lead NA'!J147</f>
        <v>0</v>
      </c>
      <c r="M31" s="161" t="n">
        <f aca="false">-'Lead NA'!L147+'Lead NA'!K147</f>
        <v>0</v>
      </c>
      <c r="N31" s="161" t="n">
        <f aca="false">-'Lead NA'!M147+'Lead NA'!L147</f>
        <v>0</v>
      </c>
    </row>
    <row r="32" customFormat="false" ht="11.25" hidden="false" customHeight="true" outlineLevel="2" collapsed="false">
      <c r="C32" s="51" t="str">
        <f aca="false">"∆ "&amp;'Lead NA'!C156</f>
        <v>∆ Verbindlichkeiten an Gesellschafter</v>
      </c>
      <c r="D32" s="51" t="str">
        <f aca="false">"∆ "&amp;'Lead NA'!D156</f>
        <v>∆ Liabilities to shareholders</v>
      </c>
      <c r="E32" s="137"/>
      <c r="F32" s="159" t="n">
        <f aca="false">-'Lead NA'!F156+'Lead NA'!E156</f>
        <v>0</v>
      </c>
      <c r="G32" s="159" t="n">
        <f aca="false">-'Lead NA'!G156+'Lead NA'!F156</f>
        <v>0</v>
      </c>
      <c r="H32" s="159" t="n">
        <f aca="false">-'Lead NA'!H156+'Lead NA'!G156</f>
        <v>0</v>
      </c>
      <c r="I32" s="196"/>
      <c r="J32" s="160" t="n">
        <f aca="false">-'Lead NA'!I156+'Lead NA'!H156</f>
        <v>0</v>
      </c>
      <c r="K32" s="161" t="n">
        <f aca="false">-'Lead NA'!J156+'Lead NA'!H156</f>
        <v>0</v>
      </c>
      <c r="L32" s="161" t="n">
        <f aca="false">-'Lead NA'!K156+'Lead NA'!J156</f>
        <v>0</v>
      </c>
      <c r="M32" s="161" t="n">
        <f aca="false">-'Lead NA'!L156+'Lead NA'!K156</f>
        <v>0</v>
      </c>
      <c r="N32" s="161" t="n">
        <f aca="false">-'Lead NA'!M156+'Lead NA'!L156</f>
        <v>0</v>
      </c>
    </row>
    <row r="33" customFormat="false" ht="11.25" hidden="false" customHeight="true" outlineLevel="2" collapsed="false">
      <c r="C33" s="51" t="str">
        <f aca="false">"∆ "&amp;'Lead NA'!C165</f>
        <v>∆ Passive Rechnungsabgrenzungsposten</v>
      </c>
      <c r="D33" s="51" t="str">
        <f aca="false">"∆ "&amp;'Lead NA'!D165</f>
        <v>∆ Deferred income</v>
      </c>
      <c r="E33" s="137"/>
      <c r="F33" s="159" t="n">
        <f aca="false">-'Lead NA'!F165+'Lead NA'!E165</f>
        <v>0</v>
      </c>
      <c r="G33" s="159" t="n">
        <f aca="false">-'Lead NA'!G165+'Lead NA'!F165</f>
        <v>0</v>
      </c>
      <c r="H33" s="159" t="n">
        <f aca="false">-'Lead NA'!H165+'Lead NA'!G165</f>
        <v>0</v>
      </c>
      <c r="I33" s="196"/>
      <c r="J33" s="160" t="n">
        <f aca="false">-'Lead NA'!I165+'Lead NA'!H165</f>
        <v>0</v>
      </c>
      <c r="K33" s="161"/>
      <c r="L33" s="161"/>
      <c r="M33" s="161"/>
      <c r="N33" s="161"/>
    </row>
    <row r="34" customFormat="false" ht="11.25" hidden="false" customHeight="true" outlineLevel="2" collapsed="false">
      <c r="C34" s="51" t="str">
        <f aca="false">"∆ "&amp;'Lead NA'!C174</f>
        <v>∆ Dummy 1</v>
      </c>
      <c r="D34" s="51" t="str">
        <f aca="false">"∆ "&amp;'Lead NA'!D174</f>
        <v>∆ Dummy 1</v>
      </c>
      <c r="E34" s="137"/>
      <c r="F34" s="159" t="n">
        <f aca="false">-'Lead NA'!F174+'Lead NA'!E174</f>
        <v>0</v>
      </c>
      <c r="G34" s="159" t="n">
        <f aca="false">-'Lead NA'!G174+'Lead NA'!F174</f>
        <v>0</v>
      </c>
      <c r="H34" s="159" t="n">
        <f aca="false">-'Lead NA'!H174+'Lead NA'!G174</f>
        <v>0</v>
      </c>
      <c r="I34" s="196"/>
      <c r="J34" s="160" t="n">
        <f aca="false">-'Lead NA'!I174+'Lead NA'!H174</f>
        <v>0</v>
      </c>
      <c r="K34" s="161"/>
      <c r="L34" s="161"/>
      <c r="M34" s="161"/>
      <c r="N34" s="161"/>
    </row>
    <row r="35" customFormat="false" ht="11.25" hidden="false" customHeight="true" outlineLevel="2" collapsed="false">
      <c r="C35" s="51" t="str">
        <f aca="false">"∆ "&amp;'Lead NA'!C175</f>
        <v>∆ Dummy 2</v>
      </c>
      <c r="D35" s="51" t="str">
        <f aca="false">"∆ "&amp;'Lead NA'!D175</f>
        <v>∆ Dummy 2</v>
      </c>
      <c r="E35" s="137"/>
      <c r="F35" s="159" t="n">
        <f aca="false">-'Lead NA'!F175+'Lead NA'!E175</f>
        <v>0</v>
      </c>
      <c r="G35" s="159" t="n">
        <f aca="false">-'Lead NA'!G175+'Lead NA'!F175</f>
        <v>0</v>
      </c>
      <c r="H35" s="159" t="n">
        <f aca="false">-'Lead NA'!H175+'Lead NA'!G175</f>
        <v>0</v>
      </c>
      <c r="I35" s="196"/>
      <c r="J35" s="160" t="n">
        <f aca="false">-'Lead NA'!I175+'Lead NA'!H175</f>
        <v>0</v>
      </c>
      <c r="K35" s="161"/>
      <c r="L35" s="161"/>
      <c r="M35" s="161"/>
      <c r="N35" s="161"/>
    </row>
    <row r="36" customFormat="false" ht="11.25" hidden="false" customHeight="true" outlineLevel="2" collapsed="false">
      <c r="C36" s="54" t="str">
        <f aca="false">"∆ "&amp;'Lead NA'!C176</f>
        <v>∆ Dummy 3</v>
      </c>
      <c r="D36" s="54" t="str">
        <f aca="false">"∆ "&amp;'Lead NA'!D176</f>
        <v>∆ Dummy 3</v>
      </c>
      <c r="E36" s="189"/>
      <c r="F36" s="162" t="n">
        <f aca="false">-'Lead NA'!F176+'Lead NA'!E176</f>
        <v>0</v>
      </c>
      <c r="G36" s="162" t="n">
        <f aca="false">-'Lead NA'!G176+'Lead NA'!F176</f>
        <v>0</v>
      </c>
      <c r="H36" s="162" t="n">
        <f aca="false">-'Lead NA'!H176+'Lead NA'!G176</f>
        <v>0</v>
      </c>
      <c r="I36" s="197"/>
      <c r="J36" s="163" t="n">
        <f aca="false">-'Lead NA'!I176+'Lead NA'!H176</f>
        <v>0</v>
      </c>
      <c r="K36" s="164" t="n">
        <f aca="false">-'Lead NA'!J176+'Lead NA'!H176</f>
        <v>0</v>
      </c>
      <c r="L36" s="164" t="n">
        <f aca="false">-'Lead NA'!K176+'Lead NA'!J176</f>
        <v>0</v>
      </c>
      <c r="M36" s="164" t="n">
        <f aca="false">-'Lead NA'!L176+'Lead NA'!K176</f>
        <v>0</v>
      </c>
      <c r="N36" s="164" t="n">
        <f aca="false">-'Lead NA'!M176+'Lead NA'!L176</f>
        <v>0</v>
      </c>
    </row>
    <row r="37" customFormat="false" ht="11.25" hidden="false" customHeight="true" outlineLevel="0" collapsed="false">
      <c r="C37" s="175" t="str">
        <f aca="false">"∆ "&amp;'Lead NA'!C178</f>
        <v>∆ Other Working Capital</v>
      </c>
      <c r="D37" s="175" t="str">
        <f aca="false">"∆ "&amp;'Lead NA'!D178</f>
        <v>∆ Other working capital</v>
      </c>
      <c r="E37" s="200"/>
      <c r="F37" s="175" t="n">
        <f aca="false">SUM(F21:F36)</f>
        <v>0</v>
      </c>
      <c r="G37" s="175" t="n">
        <f aca="false">SUM(G21:G36)</f>
        <v>0</v>
      </c>
      <c r="H37" s="175" t="n">
        <f aca="false">SUM(H21:H36)</f>
        <v>0</v>
      </c>
      <c r="I37" s="201" t="n">
        <f aca="false">SUM(I21:I36)</f>
        <v>0</v>
      </c>
      <c r="J37" s="176" t="n">
        <f aca="false">SUM(J21:J36)</f>
        <v>0</v>
      </c>
      <c r="K37" s="177" t="n">
        <f aca="false">SUM(K21:K36)</f>
        <v>0</v>
      </c>
      <c r="L37" s="177" t="n">
        <f aca="false">SUM(L21:L36)</f>
        <v>0</v>
      </c>
      <c r="M37" s="177" t="n">
        <f aca="false">SUM(M21:M36)</f>
        <v>0</v>
      </c>
      <c r="N37" s="177" t="n">
        <f aca="false">SUM(N21:N36)</f>
        <v>0</v>
      </c>
    </row>
    <row r="38" customFormat="false" ht="11.25" hidden="false" customHeight="true" outlineLevel="0" collapsed="false">
      <c r="C38" s="178" t="s">
        <v>563</v>
      </c>
      <c r="D38" s="178" t="s">
        <v>564</v>
      </c>
      <c r="E38" s="137"/>
      <c r="F38" s="178" t="n">
        <f aca="false">F9+SUM(F10:F11)+F20+F37</f>
        <v>0</v>
      </c>
      <c r="G38" s="178" t="n">
        <f aca="false">G9+SUM(G10:G11)+G20+G37</f>
        <v>0</v>
      </c>
      <c r="H38" s="178" t="n">
        <f aca="false">H9+SUM(H10:H11)+H20+H37</f>
        <v>0</v>
      </c>
      <c r="I38" s="202" t="n">
        <f aca="false">I9+SUM(I10:I11)+I20+I37</f>
        <v>0</v>
      </c>
      <c r="J38" s="179" t="n">
        <f aca="false">J9+SUM(J10:J11)+J20+J37</f>
        <v>0</v>
      </c>
      <c r="K38" s="180" t="n">
        <f aca="false">K9+SUM(K10:K11)+K20+K37</f>
        <v>0</v>
      </c>
      <c r="L38" s="180" t="n">
        <f aca="false">L9+SUM(L10:L11)+L20+L37</f>
        <v>0</v>
      </c>
      <c r="M38" s="180" t="n">
        <f aca="false">M9+SUM(M10:M11)+M20+M37</f>
        <v>0</v>
      </c>
      <c r="N38" s="180" t="n">
        <f aca="false">N9+SUM(N10:N11)+N20+N37</f>
        <v>0</v>
      </c>
    </row>
    <row r="39" customFormat="false" ht="4.5" hidden="false" customHeight="true" outlineLevel="0" collapsed="false">
      <c r="C39" s="51"/>
      <c r="D39" s="51"/>
      <c r="E39" s="137"/>
      <c r="F39" s="159"/>
      <c r="G39" s="159"/>
      <c r="H39" s="159"/>
      <c r="I39" s="196"/>
      <c r="J39" s="160"/>
      <c r="K39" s="161"/>
      <c r="L39" s="161"/>
      <c r="M39" s="161"/>
      <c r="N39" s="161"/>
    </row>
    <row r="40" customFormat="false" ht="11.25" hidden="false" customHeight="true" outlineLevel="0" collapsed="false">
      <c r="C40" s="51" t="s">
        <v>565</v>
      </c>
      <c r="D40" s="51" t="s">
        <v>566</v>
      </c>
      <c r="E40" s="137"/>
      <c r="F40" s="159" t="n">
        <f aca="false">-('Lead NA'!F39-'Lead NA'!E39)+'Lead PL'!F147</f>
        <v>0</v>
      </c>
      <c r="G40" s="159" t="n">
        <f aca="false">-('Lead NA'!G39-'Lead NA'!F39)+'Lead PL'!G147</f>
        <v>0</v>
      </c>
      <c r="H40" s="159" t="n">
        <f aca="false">-('Lead NA'!H39-'Lead NA'!G39)+'Lead PL'!H147</f>
        <v>0</v>
      </c>
      <c r="I40" s="196"/>
      <c r="J40" s="160" t="n">
        <f aca="false">-('Lead NA'!J39-'Lead NA'!H39)+'Lead PL'!J147</f>
        <v>0</v>
      </c>
      <c r="K40" s="161"/>
      <c r="L40" s="161"/>
      <c r="M40" s="161"/>
      <c r="N40" s="161"/>
      <c r="P40" s="1" t="s">
        <v>567</v>
      </c>
    </row>
    <row r="41" customFormat="false" ht="11.25" hidden="false" customHeight="true" outlineLevel="0" collapsed="false">
      <c r="C41" s="51" t="s">
        <v>568</v>
      </c>
      <c r="D41" s="51" t="s">
        <v>569</v>
      </c>
      <c r="E41" s="137"/>
      <c r="F41" s="159"/>
      <c r="G41" s="159"/>
      <c r="H41" s="159"/>
      <c r="I41" s="196"/>
      <c r="J41" s="160"/>
      <c r="K41" s="161"/>
      <c r="L41" s="161"/>
      <c r="M41" s="161"/>
      <c r="N41" s="161"/>
      <c r="P41" s="203" t="s">
        <v>570</v>
      </c>
    </row>
    <row r="42" customFormat="false" ht="11.25" hidden="false" customHeight="true" outlineLevel="2" collapsed="false">
      <c r="C42" s="51" t="s">
        <v>234</v>
      </c>
      <c r="D42" s="51" t="s">
        <v>234</v>
      </c>
      <c r="E42" s="137"/>
      <c r="F42" s="159"/>
      <c r="G42" s="159"/>
      <c r="H42" s="159"/>
      <c r="I42" s="196"/>
      <c r="J42" s="160"/>
      <c r="K42" s="161"/>
      <c r="L42" s="161"/>
      <c r="M42" s="161"/>
      <c r="N42" s="161"/>
      <c r="P42" s="203"/>
    </row>
    <row r="43" customFormat="false" ht="11.25" hidden="false" customHeight="true" outlineLevel="2" collapsed="false">
      <c r="C43" s="51" t="s">
        <v>235</v>
      </c>
      <c r="D43" s="51" t="s">
        <v>235</v>
      </c>
      <c r="E43" s="137"/>
      <c r="F43" s="159"/>
      <c r="G43" s="159"/>
      <c r="H43" s="159"/>
      <c r="I43" s="196"/>
      <c r="J43" s="160"/>
      <c r="K43" s="161"/>
      <c r="L43" s="161"/>
      <c r="M43" s="161"/>
      <c r="N43" s="161"/>
      <c r="P43" s="203"/>
    </row>
    <row r="44" customFormat="false" ht="11.25" hidden="false" customHeight="true" outlineLevel="2" collapsed="false">
      <c r="C44" s="54" t="s">
        <v>236</v>
      </c>
      <c r="D44" s="54" t="s">
        <v>236</v>
      </c>
      <c r="E44" s="189"/>
      <c r="F44" s="162"/>
      <c r="G44" s="162"/>
      <c r="H44" s="162"/>
      <c r="I44" s="197"/>
      <c r="J44" s="163"/>
      <c r="K44" s="164"/>
      <c r="L44" s="164"/>
      <c r="M44" s="164"/>
      <c r="N44" s="164"/>
      <c r="P44" s="203"/>
    </row>
    <row r="45" customFormat="false" ht="11.25" hidden="false" customHeight="true" outlineLevel="0" collapsed="false">
      <c r="C45" s="165" t="s">
        <v>571</v>
      </c>
      <c r="D45" s="165" t="s">
        <v>572</v>
      </c>
      <c r="E45" s="198"/>
      <c r="F45" s="165" t="n">
        <f aca="false">SUM(F40:F44)</f>
        <v>0</v>
      </c>
      <c r="G45" s="165" t="n">
        <f aca="false">SUM(G40:G44)</f>
        <v>0</v>
      </c>
      <c r="H45" s="165" t="n">
        <f aca="false">SUM(H40:H44)</f>
        <v>0</v>
      </c>
      <c r="I45" s="199" t="n">
        <f aca="false">SUM(I40:I44)</f>
        <v>0</v>
      </c>
      <c r="J45" s="166" t="n">
        <f aca="false">SUM(J40:J44)</f>
        <v>0</v>
      </c>
      <c r="K45" s="167" t="n">
        <f aca="false">SUM(K40:K44)</f>
        <v>0</v>
      </c>
      <c r="L45" s="167" t="n">
        <f aca="false">SUM(L40:L44)</f>
        <v>0</v>
      </c>
      <c r="M45" s="167" t="n">
        <f aca="false">SUM(M40:M44)</f>
        <v>0</v>
      </c>
      <c r="N45" s="167" t="n">
        <f aca="false">SUM(N40:N44)</f>
        <v>0</v>
      </c>
    </row>
    <row r="46" customFormat="false" ht="4.5" hidden="false" customHeight="true" outlineLevel="0" collapsed="false">
      <c r="C46" s="51"/>
      <c r="D46" s="51"/>
      <c r="E46" s="137"/>
      <c r="F46" s="159"/>
      <c r="G46" s="159"/>
      <c r="H46" s="159"/>
      <c r="I46" s="196"/>
      <c r="J46" s="160"/>
      <c r="K46" s="161"/>
      <c r="L46" s="161"/>
      <c r="M46" s="161"/>
      <c r="N46" s="161"/>
    </row>
    <row r="47" customFormat="false" ht="11.25" hidden="false" customHeight="true" outlineLevel="0" collapsed="false">
      <c r="C47" s="165" t="s">
        <v>573</v>
      </c>
      <c r="D47" s="165" t="s">
        <v>573</v>
      </c>
      <c r="E47" s="198"/>
      <c r="F47" s="165" t="n">
        <f aca="false">F38+F45</f>
        <v>0</v>
      </c>
      <c r="G47" s="165" t="n">
        <f aca="false">G38+G45</f>
        <v>0</v>
      </c>
      <c r="H47" s="165" t="n">
        <f aca="false">H38+H45</f>
        <v>0</v>
      </c>
      <c r="I47" s="199" t="n">
        <f aca="false">I38+I45</f>
        <v>0</v>
      </c>
      <c r="J47" s="166" t="n">
        <f aca="false">J38+J45</f>
        <v>0</v>
      </c>
      <c r="K47" s="161"/>
      <c r="L47" s="161"/>
      <c r="M47" s="161"/>
      <c r="N47" s="161"/>
    </row>
    <row r="48" customFormat="false" ht="4.5" hidden="false" customHeight="true" outlineLevel="0" collapsed="false">
      <c r="C48" s="51"/>
      <c r="D48" s="51"/>
      <c r="E48" s="137"/>
      <c r="F48" s="159"/>
      <c r="G48" s="159"/>
      <c r="H48" s="159"/>
      <c r="I48" s="196"/>
      <c r="J48" s="160"/>
      <c r="K48" s="161"/>
      <c r="L48" s="161"/>
      <c r="M48" s="161"/>
      <c r="N48" s="161"/>
    </row>
    <row r="49" customFormat="false" ht="11.25" hidden="false" customHeight="true" outlineLevel="0" collapsed="false">
      <c r="C49" s="51" t="str">
        <f aca="false">"∆ "&amp;'Lead NA'!C189</f>
        <v>∆ Verbindlichkeiten ggü.Kreditinstituten</v>
      </c>
      <c r="D49" s="51" t="str">
        <f aca="false">"∆ "&amp;'Lead NA'!D189</f>
        <v>∆ Liabilities to banks</v>
      </c>
      <c r="E49" s="137"/>
      <c r="F49" s="159" t="n">
        <f aca="false">-'Lead NA'!F189+'Lead NA'!E189</f>
        <v>0</v>
      </c>
      <c r="G49" s="159" t="n">
        <f aca="false">-'Lead NA'!G189+'Lead NA'!F189</f>
        <v>0</v>
      </c>
      <c r="H49" s="159" t="n">
        <f aca="false">-'Lead NA'!H189+'Lead NA'!G189</f>
        <v>0</v>
      </c>
      <c r="I49" s="196"/>
      <c r="J49" s="160" t="n">
        <f aca="false">-'Lead NA'!I189+'Lead NA'!H189</f>
        <v>0</v>
      </c>
      <c r="K49" s="161"/>
      <c r="L49" s="161"/>
      <c r="M49" s="161"/>
      <c r="N49" s="161"/>
      <c r="P49" s="1" t="s">
        <v>567</v>
      </c>
    </row>
    <row r="50" customFormat="false" ht="11.25" hidden="false" customHeight="true" outlineLevel="0" collapsed="false">
      <c r="C50" s="51" t="str">
        <f aca="false">"∆ "&amp;'Lead NA'!C198</f>
        <v>∆ Pensionsrückstellungen</v>
      </c>
      <c r="D50" s="51" t="str">
        <f aca="false">"∆ "&amp;'Lead NA'!D198</f>
        <v>∆ Pension provisions</v>
      </c>
      <c r="E50" s="137"/>
      <c r="F50" s="159" t="n">
        <f aca="false">-'Lead NA'!F198+'Lead NA'!E198</f>
        <v>0</v>
      </c>
      <c r="G50" s="159" t="n">
        <f aca="false">-'Lead NA'!G198+'Lead NA'!F198</f>
        <v>0</v>
      </c>
      <c r="H50" s="159" t="n">
        <f aca="false">-'Lead NA'!H198+'Lead NA'!G198</f>
        <v>0</v>
      </c>
      <c r="I50" s="196"/>
      <c r="J50" s="160" t="n">
        <f aca="false">-'Lead NA'!I198+'Lead NA'!H198</f>
        <v>0</v>
      </c>
      <c r="K50" s="161"/>
      <c r="L50" s="161"/>
      <c r="M50" s="161"/>
      <c r="N50" s="161"/>
    </row>
    <row r="51" customFormat="false" ht="11.25" hidden="false" customHeight="true" outlineLevel="0" collapsed="false">
      <c r="C51" s="51" t="str">
        <f aca="false">"∆ "&amp;'Lead NA'!C207</f>
        <v>∆ Dummy 1</v>
      </c>
      <c r="D51" s="51" t="str">
        <f aca="false">"∆ "&amp;'Lead NA'!D207</f>
        <v>∆ Dummy 1</v>
      </c>
      <c r="E51" s="137"/>
      <c r="F51" s="159" t="n">
        <f aca="false">-'Lead NA'!F207+'Lead NA'!E207</f>
        <v>0</v>
      </c>
      <c r="G51" s="159" t="n">
        <f aca="false">-'Lead NA'!G207+'Lead NA'!F207</f>
        <v>0</v>
      </c>
      <c r="H51" s="159" t="n">
        <f aca="false">-'Lead NA'!H207+'Lead NA'!G207</f>
        <v>0</v>
      </c>
      <c r="I51" s="196"/>
      <c r="J51" s="160" t="n">
        <f aca="false">-'Lead NA'!I207+'Lead NA'!H207</f>
        <v>0</v>
      </c>
      <c r="K51" s="161"/>
      <c r="L51" s="161"/>
      <c r="M51" s="161"/>
      <c r="N51" s="161"/>
    </row>
    <row r="52" customFormat="false" ht="11.25" hidden="false" customHeight="true" outlineLevel="0" collapsed="false">
      <c r="C52" s="51" t="str">
        <f aca="false">"∆ "&amp;'Lead NA'!C208</f>
        <v>∆ Dummy 2</v>
      </c>
      <c r="D52" s="51" t="str">
        <f aca="false">"∆ "&amp;'Lead NA'!D208</f>
        <v>∆ Dummy 2</v>
      </c>
      <c r="E52" s="137"/>
      <c r="F52" s="159" t="n">
        <f aca="false">-'Lead NA'!F208+'Lead NA'!E208</f>
        <v>0</v>
      </c>
      <c r="G52" s="159" t="n">
        <f aca="false">-'Lead NA'!G208+'Lead NA'!F208</f>
        <v>0</v>
      </c>
      <c r="H52" s="159" t="n">
        <f aca="false">-'Lead NA'!H208+'Lead NA'!G208</f>
        <v>0</v>
      </c>
      <c r="I52" s="196"/>
      <c r="J52" s="160" t="n">
        <f aca="false">-'Lead NA'!I208+'Lead NA'!H208</f>
        <v>0</v>
      </c>
      <c r="K52" s="161"/>
      <c r="L52" s="161"/>
      <c r="M52" s="161"/>
      <c r="N52" s="161"/>
    </row>
    <row r="53" customFormat="false" ht="11.25" hidden="false" customHeight="true" outlineLevel="0" collapsed="false">
      <c r="C53" s="51" t="str">
        <f aca="false">"∆ "&amp;'Lead NA'!C209</f>
        <v>∆ Dummy 3</v>
      </c>
      <c r="D53" s="51" t="str">
        <f aca="false">"∆ "&amp;'Lead NA'!D209</f>
        <v>∆ Dummy 3</v>
      </c>
      <c r="E53" s="137"/>
      <c r="F53" s="159" t="n">
        <f aca="false">-'Lead NA'!F209+'Lead NA'!E209</f>
        <v>0</v>
      </c>
      <c r="G53" s="159" t="n">
        <f aca="false">-'Lead NA'!G209+'Lead NA'!F209</f>
        <v>0</v>
      </c>
      <c r="H53" s="159" t="n">
        <f aca="false">-'Lead NA'!H209+'Lead NA'!G209</f>
        <v>0</v>
      </c>
      <c r="I53" s="196"/>
      <c r="J53" s="160" t="n">
        <f aca="false">-'Lead NA'!I209+'Lead NA'!H209</f>
        <v>0</v>
      </c>
      <c r="K53" s="161"/>
      <c r="L53" s="161"/>
      <c r="M53" s="161"/>
      <c r="N53" s="161"/>
    </row>
    <row r="54" customFormat="false" ht="11.25" hidden="false" customHeight="true" outlineLevel="0" collapsed="false">
      <c r="C54" s="51" t="s">
        <v>574</v>
      </c>
      <c r="D54" s="51" t="s">
        <v>575</v>
      </c>
      <c r="E54" s="137"/>
      <c r="F54" s="159"/>
      <c r="G54" s="159"/>
      <c r="H54" s="159"/>
      <c r="I54" s="196"/>
      <c r="J54" s="160"/>
      <c r="K54" s="161"/>
      <c r="L54" s="161"/>
      <c r="M54" s="161"/>
      <c r="N54" s="161"/>
    </row>
    <row r="55" customFormat="false" ht="11.25" hidden="false" customHeight="true" outlineLevel="0" collapsed="false">
      <c r="C55" s="51" t="str">
        <f aca="false">'Lead PL'!C190</f>
        <v>Finanzergebnis</v>
      </c>
      <c r="D55" s="51" t="str">
        <f aca="false">'Lead PL'!D190</f>
        <v>Financial result</v>
      </c>
      <c r="E55" s="137"/>
      <c r="F55" s="159" t="n">
        <f aca="false">'Lead PL'!F190</f>
        <v>0</v>
      </c>
      <c r="G55" s="159" t="n">
        <f aca="false">'Lead PL'!G190</f>
        <v>0</v>
      </c>
      <c r="H55" s="159" t="n">
        <f aca="false">'Lead PL'!H190</f>
        <v>0</v>
      </c>
      <c r="I55" s="196" t="n">
        <f aca="false">'Lead PL'!I190</f>
        <v>0</v>
      </c>
      <c r="J55" s="160" t="n">
        <f aca="false">'Lead PL'!J190</f>
        <v>0</v>
      </c>
      <c r="K55" s="161" t="n">
        <f aca="false">'Lead PL'!K190</f>
        <v>0</v>
      </c>
      <c r="L55" s="161" t="n">
        <f aca="false">'Lead PL'!L190</f>
        <v>0</v>
      </c>
      <c r="M55" s="161" t="n">
        <f aca="false">'Lead PL'!M190</f>
        <v>0</v>
      </c>
      <c r="N55" s="161" t="n">
        <f aca="false">'Lead PL'!N190</f>
        <v>0</v>
      </c>
    </row>
    <row r="56" customFormat="false" ht="11.25" hidden="false" customHeight="true" outlineLevel="0" collapsed="false">
      <c r="C56" s="54" t="s">
        <v>556</v>
      </c>
      <c r="D56" s="54" t="s">
        <v>557</v>
      </c>
      <c r="E56" s="189"/>
      <c r="F56" s="162" t="n">
        <f aca="false">'Lead NA'!F229</f>
        <v>0</v>
      </c>
      <c r="G56" s="162" t="n">
        <f aca="false">'Lead NA'!G229</f>
        <v>0</v>
      </c>
      <c r="H56" s="162" t="n">
        <f aca="false">'Lead NA'!H229</f>
        <v>0</v>
      </c>
      <c r="I56" s="204"/>
      <c r="J56" s="163" t="n">
        <f aca="false">'Lead NA'!I229</f>
        <v>0</v>
      </c>
      <c r="K56" s="164" t="n">
        <f aca="false">'Lead NA'!J229</f>
        <v>0</v>
      </c>
      <c r="L56" s="164" t="n">
        <f aca="false">'Lead NA'!K229</f>
        <v>0</v>
      </c>
      <c r="M56" s="164" t="n">
        <f aca="false">'Lead NA'!L229</f>
        <v>0</v>
      </c>
      <c r="N56" s="164" t="n">
        <f aca="false">'Lead NA'!M229</f>
        <v>0</v>
      </c>
    </row>
    <row r="57" customFormat="false" ht="11.25" hidden="false" customHeight="true" outlineLevel="0" collapsed="false">
      <c r="C57" s="165" t="s">
        <v>576</v>
      </c>
      <c r="D57" s="165" t="s">
        <v>577</v>
      </c>
      <c r="E57" s="198"/>
      <c r="F57" s="165" t="n">
        <f aca="false">SUM(F49:F56)</f>
        <v>0</v>
      </c>
      <c r="G57" s="165" t="n">
        <f aca="false">SUM(G49:G56)</f>
        <v>0</v>
      </c>
      <c r="H57" s="165" t="n">
        <f aca="false">SUM(H49:H56)</f>
        <v>0</v>
      </c>
      <c r="I57" s="199" t="n">
        <f aca="false">SUM(I49:I56)</f>
        <v>0</v>
      </c>
      <c r="J57" s="166" t="n">
        <f aca="false">SUM(J49:J56)</f>
        <v>0</v>
      </c>
      <c r="K57" s="167" t="n">
        <f aca="false">SUM(K49:K56)</f>
        <v>0</v>
      </c>
      <c r="L57" s="167" t="n">
        <f aca="false">SUM(L49:L56)</f>
        <v>0</v>
      </c>
      <c r="M57" s="167" t="n">
        <f aca="false">SUM(M49:M56)</f>
        <v>0</v>
      </c>
      <c r="N57" s="167" t="n">
        <f aca="false">SUM(N49:N56)</f>
        <v>0</v>
      </c>
    </row>
    <row r="58" customFormat="false" ht="4.5" hidden="false" customHeight="true" outlineLevel="0" collapsed="false">
      <c r="C58" s="178"/>
      <c r="D58" s="178"/>
      <c r="E58" s="137"/>
      <c r="F58" s="178"/>
      <c r="G58" s="178"/>
      <c r="H58" s="178"/>
      <c r="I58" s="202"/>
      <c r="J58" s="179"/>
      <c r="K58" s="180"/>
      <c r="L58" s="180"/>
      <c r="M58" s="180"/>
      <c r="N58" s="180"/>
    </row>
    <row r="59" customFormat="false" ht="4.5" hidden="false" customHeight="true" outlineLevel="0" collapsed="false">
      <c r="C59" s="54"/>
      <c r="D59" s="54"/>
      <c r="E59" s="189"/>
      <c r="F59" s="162"/>
      <c r="G59" s="162"/>
      <c r="H59" s="162"/>
      <c r="I59" s="197"/>
      <c r="J59" s="163"/>
      <c r="K59" s="164"/>
      <c r="L59" s="164"/>
      <c r="M59" s="164"/>
      <c r="N59" s="164"/>
    </row>
    <row r="60" customFormat="false" ht="11.25" hidden="false" customHeight="true" outlineLevel="0" collapsed="false">
      <c r="C60" s="171" t="s">
        <v>578</v>
      </c>
      <c r="D60" s="171" t="s">
        <v>579</v>
      </c>
      <c r="E60" s="189"/>
      <c r="F60" s="205" t="n">
        <f aca="false">F47+F57</f>
        <v>0</v>
      </c>
      <c r="G60" s="205" t="n">
        <f aca="false">G47+G57</f>
        <v>0</v>
      </c>
      <c r="H60" s="205" t="n">
        <f aca="false">H47+H57</f>
        <v>0</v>
      </c>
      <c r="I60" s="206" t="n">
        <f aca="false">I47+I57</f>
        <v>0</v>
      </c>
      <c r="J60" s="207" t="n">
        <f aca="false">J47+J57</f>
        <v>0</v>
      </c>
      <c r="K60" s="208" t="n">
        <f aca="false">SUM(K38,K45,K57)</f>
        <v>0</v>
      </c>
      <c r="L60" s="208" t="n">
        <f aca="false">SUM(L38,L45,L57)</f>
        <v>0</v>
      </c>
      <c r="M60" s="208" t="n">
        <f aca="false">SUM(M38,M45,M57)</f>
        <v>0</v>
      </c>
      <c r="N60" s="208" t="n">
        <f aca="false">SUM(N38,N45,N57)</f>
        <v>0</v>
      </c>
    </row>
    <row r="61" customFormat="false" ht="4.5" hidden="false" customHeight="true" outlineLevel="0" collapsed="false">
      <c r="C61" s="51"/>
      <c r="D61" s="51"/>
      <c r="E61" s="137"/>
      <c r="F61" s="159"/>
      <c r="G61" s="159"/>
      <c r="H61" s="159"/>
      <c r="I61" s="196"/>
      <c r="J61" s="160"/>
      <c r="K61" s="161"/>
      <c r="L61" s="161"/>
      <c r="M61" s="161"/>
      <c r="N61" s="161"/>
    </row>
    <row r="62" customFormat="false" ht="11.25" hidden="false" customHeight="true" outlineLevel="0" collapsed="false">
      <c r="C62" s="51" t="s">
        <v>580</v>
      </c>
      <c r="D62" s="51" t="s">
        <v>581</v>
      </c>
      <c r="E62" s="137"/>
      <c r="F62" s="159" t="n">
        <f aca="false">E64</f>
        <v>0</v>
      </c>
      <c r="G62" s="159" t="n">
        <f aca="false">F64</f>
        <v>0</v>
      </c>
      <c r="H62" s="159" t="n">
        <f aca="false">G64</f>
        <v>0</v>
      </c>
      <c r="I62" s="209"/>
      <c r="J62" s="160" t="n">
        <f aca="false">H64</f>
        <v>0</v>
      </c>
      <c r="K62" s="161" t="n">
        <f aca="false">H64</f>
        <v>0</v>
      </c>
      <c r="L62" s="161" t="n">
        <f aca="false">K64</f>
        <v>0</v>
      </c>
      <c r="M62" s="161" t="n">
        <f aca="false">L64</f>
        <v>0</v>
      </c>
      <c r="N62" s="161" t="n">
        <f aca="false">M64</f>
        <v>0</v>
      </c>
      <c r="P62" s="1" t="s">
        <v>567</v>
      </c>
    </row>
    <row r="63" customFormat="false" ht="11.25" hidden="false" customHeight="true" outlineLevel="0" collapsed="false">
      <c r="C63" s="54" t="str">
        <f aca="false">C60</f>
        <v>Veränderung Liquide Mittel</v>
      </c>
      <c r="D63" s="54" t="str">
        <f aca="false">D60</f>
        <v>Total change in cash</v>
      </c>
      <c r="E63" s="189"/>
      <c r="F63" s="162" t="n">
        <f aca="false">F60</f>
        <v>0</v>
      </c>
      <c r="G63" s="162" t="n">
        <f aca="false">G60</f>
        <v>0</v>
      </c>
      <c r="H63" s="162" t="n">
        <f aca="false">H60</f>
        <v>0</v>
      </c>
      <c r="I63" s="197" t="n">
        <f aca="false">I60</f>
        <v>0</v>
      </c>
      <c r="J63" s="163" t="n">
        <f aca="false">J60</f>
        <v>0</v>
      </c>
      <c r="K63" s="164" t="n">
        <f aca="false">K60</f>
        <v>0</v>
      </c>
      <c r="L63" s="164" t="n">
        <f aca="false">L60</f>
        <v>0</v>
      </c>
      <c r="M63" s="164" t="n">
        <f aca="false">M60</f>
        <v>0</v>
      </c>
      <c r="N63" s="164" t="n">
        <f aca="false">N60</f>
        <v>0</v>
      </c>
    </row>
    <row r="64" customFormat="false" ht="11.25" hidden="false" customHeight="true" outlineLevel="0" collapsed="false">
      <c r="C64" s="171" t="s">
        <v>582</v>
      </c>
      <c r="D64" s="171" t="s">
        <v>583</v>
      </c>
      <c r="E64" s="210" t="n">
        <f aca="false">'Lead NA'!E180</f>
        <v>0</v>
      </c>
      <c r="F64" s="205" t="n">
        <f aca="false">SUM(F62:F63)</f>
        <v>0</v>
      </c>
      <c r="G64" s="205" t="n">
        <f aca="false">SUM(G62:G63)</f>
        <v>0</v>
      </c>
      <c r="H64" s="205" t="n">
        <f aca="false">SUM(H62:H63)</f>
        <v>0</v>
      </c>
      <c r="I64" s="206" t="n">
        <f aca="false">SUM(I62:I63)</f>
        <v>0</v>
      </c>
      <c r="J64" s="207" t="n">
        <f aca="false">SUM(J62:J63)</f>
        <v>0</v>
      </c>
      <c r="K64" s="208" t="n">
        <f aca="false">SUM(K62:K63)</f>
        <v>0</v>
      </c>
      <c r="L64" s="208" t="n">
        <f aca="false">SUM(L62:L63)</f>
        <v>0</v>
      </c>
      <c r="M64" s="208" t="n">
        <f aca="false">SUM(M62:M63)</f>
        <v>0</v>
      </c>
      <c r="N64" s="208" t="n">
        <f aca="false">SUM(N62:N63)</f>
        <v>0</v>
      </c>
    </row>
    <row r="65" customFormat="false" ht="4.5" hidden="false" customHeight="true" outlineLevel="0" collapsed="false">
      <c r="C65" s="132"/>
      <c r="D65" s="132"/>
      <c r="E65" s="211"/>
      <c r="F65" s="211"/>
      <c r="G65" s="178"/>
      <c r="H65" s="178"/>
      <c r="I65" s="202"/>
      <c r="J65" s="179"/>
      <c r="K65" s="212"/>
      <c r="L65" s="212"/>
      <c r="M65" s="212"/>
      <c r="N65" s="212"/>
    </row>
    <row r="66" customFormat="false" ht="11.25" hidden="false" customHeight="true" outlineLevel="0" collapsed="false">
      <c r="C66" s="132" t="s">
        <v>584</v>
      </c>
      <c r="D66" s="132" t="s">
        <v>585</v>
      </c>
      <c r="E66" s="211"/>
      <c r="F66" s="211"/>
      <c r="G66" s="178"/>
      <c r="H66" s="178"/>
      <c r="I66" s="202"/>
      <c r="J66" s="179"/>
      <c r="K66" s="212"/>
      <c r="L66" s="212"/>
      <c r="M66" s="212"/>
      <c r="N66" s="212"/>
    </row>
    <row r="67" customFormat="false" ht="11.25" hidden="false" customHeight="true" outlineLevel="0" collapsed="false">
      <c r="C67" s="51" t="s">
        <v>586</v>
      </c>
      <c r="D67" s="51" t="s">
        <v>586</v>
      </c>
      <c r="E67" s="137"/>
      <c r="F67" s="213" t="str">
        <f aca="false">IFERROR(F38/F$9,"n/a")</f>
        <v>n/a</v>
      </c>
      <c r="G67" s="213" t="str">
        <f aca="false">IFERROR(G38/G$9,"n/a")</f>
        <v>n/a</v>
      </c>
      <c r="H67" s="213" t="str">
        <f aca="false">IFERROR(H38/H$9,"n/a")</f>
        <v>n/a</v>
      </c>
      <c r="I67" s="214" t="str">
        <f aca="false">IFERROR(I38/I$9,"n/a")</f>
        <v>n/a</v>
      </c>
      <c r="J67" s="215" t="str">
        <f aca="false">IFERROR(J38/J$9,"n/a")</f>
        <v>n/a</v>
      </c>
      <c r="K67" s="216" t="str">
        <f aca="false">IFERROR(K38/K$9,"n/a")</f>
        <v>n/a</v>
      </c>
      <c r="L67" s="216" t="str">
        <f aca="false">IFERROR(L38/L$9,"n/a")</f>
        <v>n/a</v>
      </c>
      <c r="M67" s="216" t="str">
        <f aca="false">IFERROR(M38/M$9,"n/a")</f>
        <v>n/a</v>
      </c>
      <c r="N67" s="216" t="str">
        <f aca="false">IFERROR(N38/N$9,"n/a")</f>
        <v>n/a</v>
      </c>
    </row>
    <row r="68" customFormat="false" ht="11.25" hidden="false" customHeight="true" outlineLevel="0" collapsed="false">
      <c r="C68" s="51" t="s">
        <v>587</v>
      </c>
      <c r="D68" s="51" t="s">
        <v>587</v>
      </c>
      <c r="E68" s="137"/>
      <c r="F68" s="213" t="str">
        <f aca="false">IFERROR((F38+F45)/F$9,"n/a")</f>
        <v>n/a</v>
      </c>
      <c r="G68" s="213" t="str">
        <f aca="false">IFERROR((G38+G45)/G$9,"n/a")</f>
        <v>n/a</v>
      </c>
      <c r="H68" s="213" t="str">
        <f aca="false">IFERROR((H38+H45)/H$9,"n/a")</f>
        <v>n/a</v>
      </c>
      <c r="I68" s="214" t="str">
        <f aca="false">IFERROR((I38+I45)/I$9,"n/a")</f>
        <v>n/a</v>
      </c>
      <c r="J68" s="215" t="str">
        <f aca="false">IFERROR((J38+J45)/J$9,"n/a")</f>
        <v>n/a</v>
      </c>
      <c r="K68" s="216" t="str">
        <f aca="false">IFERROR((K38+K45)/K$9,"n/a")</f>
        <v>n/a</v>
      </c>
      <c r="L68" s="216" t="str">
        <f aca="false">IFERROR((L38+L45)/L$9,"n/a")</f>
        <v>n/a</v>
      </c>
      <c r="M68" s="216" t="str">
        <f aca="false">IFERROR((M38+M45)/M$9,"n/a")</f>
        <v>n/a</v>
      </c>
      <c r="N68" s="216" t="str">
        <f aca="false">IFERROR((N38+N45)/N$9,"n/a")</f>
        <v>n/a</v>
      </c>
    </row>
    <row r="69" customFormat="false" ht="4.5" hidden="false" customHeight="true" outlineLevel="0" collapsed="false">
      <c r="C69" s="51"/>
      <c r="D69" s="51"/>
      <c r="E69" s="159"/>
      <c r="F69" s="159"/>
      <c r="G69" s="159"/>
      <c r="H69" s="159"/>
      <c r="I69" s="196"/>
      <c r="J69" s="160"/>
      <c r="K69" s="161"/>
      <c r="L69" s="161"/>
      <c r="M69" s="161"/>
      <c r="N69" s="161"/>
    </row>
    <row r="70" customFormat="false" ht="11.25" hidden="false" customHeight="true" outlineLevel="0" collapsed="false">
      <c r="C70" s="54" t="str">
        <f aca="false">"Quelle: "&amp;Cockpit!$C$7</f>
        <v>Quelle: Datenraum/ eigene Analysen</v>
      </c>
      <c r="D70" s="54" t="str">
        <f aca="false">"Source: "&amp;Cockpit!$C$8</f>
        <v>Source: Virtual Data Room/ Company Information</v>
      </c>
      <c r="E70" s="162"/>
      <c r="F70" s="162"/>
      <c r="G70" s="162"/>
      <c r="H70" s="162"/>
      <c r="I70" s="190"/>
      <c r="J70" s="190"/>
      <c r="K70" s="190"/>
      <c r="L70" s="190"/>
      <c r="M70" s="190"/>
      <c r="N70" s="190"/>
    </row>
    <row r="71" customFormat="false" ht="11.25" hidden="false" customHeight="true" outlineLevel="0" collapsed="false"/>
    <row r="72" customFormat="false" ht="11.25" hidden="false" customHeight="true" outlineLevel="0" collapsed="false"/>
    <row r="73" customFormat="false" ht="11.25" hidden="false" customHeight="true" outlineLevel="0" collapsed="false">
      <c r="E73" s="192" t="s">
        <v>588</v>
      </c>
      <c r="F73" s="192"/>
    </row>
    <row r="74" customFormat="false" ht="12" hidden="false" customHeight="true" outlineLevel="0" collapsed="false">
      <c r="C74" s="151" t="s">
        <v>589</v>
      </c>
      <c r="D74" s="151" t="s">
        <v>590</v>
      </c>
      <c r="E74" s="152" t="n">
        <f aca="false">'Lead NA'!E180</f>
        <v>0</v>
      </c>
      <c r="F74" s="152" t="n">
        <f aca="false">'Lead NA'!F180</f>
        <v>0</v>
      </c>
      <c r="G74" s="152" t="n">
        <f aca="false">'Lead NA'!G180</f>
        <v>0</v>
      </c>
      <c r="H74" s="152" t="n">
        <f aca="false">'Lead NA'!H180</f>
        <v>0</v>
      </c>
      <c r="I74" s="152" t="n">
        <f aca="false">'Lead NA'!I180</f>
        <v>0</v>
      </c>
      <c r="J74" s="152" t="n">
        <f aca="false">'Lead NA'!I180</f>
        <v>0</v>
      </c>
      <c r="K74" s="152" t="n">
        <f aca="false">'Lead NA'!J180</f>
        <v>0</v>
      </c>
      <c r="L74" s="152" t="n">
        <f aca="false">'Lead NA'!K180</f>
        <v>0</v>
      </c>
      <c r="M74" s="152" t="n">
        <f aca="false">'Lead NA'!L180</f>
        <v>0</v>
      </c>
      <c r="N74" s="152" t="n">
        <f aca="false">'Lead NA'!M180</f>
        <v>0</v>
      </c>
    </row>
    <row r="75" customFormat="false" ht="12" hidden="false" customHeight="true" outlineLevel="0" collapsed="false">
      <c r="C75" s="153" t="s">
        <v>245</v>
      </c>
      <c r="D75" s="154" t="s">
        <v>245</v>
      </c>
      <c r="E75" s="155" t="n">
        <f aca="false">E74-E64</f>
        <v>0</v>
      </c>
      <c r="F75" s="217" t="n">
        <f aca="false">F74-F64</f>
        <v>0</v>
      </c>
      <c r="G75" s="217" t="n">
        <f aca="false">G74-G64</f>
        <v>0</v>
      </c>
      <c r="H75" s="217" t="n">
        <f aca="false">H74-H64</f>
        <v>0</v>
      </c>
      <c r="I75" s="217" t="n">
        <f aca="false">I74-I64</f>
        <v>0</v>
      </c>
      <c r="J75" s="217" t="n">
        <f aca="false">J74-J64</f>
        <v>0</v>
      </c>
      <c r="K75" s="217" t="n">
        <f aca="false">K74-K64</f>
        <v>0</v>
      </c>
      <c r="L75" s="217" t="n">
        <f aca="false">L74-L64</f>
        <v>0</v>
      </c>
      <c r="M75" s="217" t="n">
        <f aca="false">M74-M64</f>
        <v>0</v>
      </c>
      <c r="N75" s="217" t="n">
        <f aca="false">N74-N64</f>
        <v>0</v>
      </c>
    </row>
    <row r="77" customFormat="false" ht="12" hidden="false" customHeight="true" outlineLevel="0" collapsed="false">
      <c r="C77" s="153" t="s">
        <v>591</v>
      </c>
      <c r="D77" s="153" t="s">
        <v>591</v>
      </c>
      <c r="E77" s="218"/>
      <c r="F77" s="155" t="n">
        <f aca="false">('Lead NA'!F79-'Lead NA'!E79)+F37</f>
        <v>0</v>
      </c>
      <c r="G77" s="155" t="n">
        <f aca="false">('Lead NA'!G79-'Lead NA'!F79)+G37</f>
        <v>0</v>
      </c>
      <c r="H77" s="155" t="n">
        <f aca="false">('Lead NA'!H79-'Lead NA'!G79)+H37</f>
        <v>0</v>
      </c>
      <c r="I77" s="155" t="n">
        <f aca="false">('Lead NA'!I79-'Lead NA'!H79)+I37</f>
        <v>0</v>
      </c>
    </row>
    <row r="79" customFormat="false" ht="12" hidden="false" customHeight="true" outlineLevel="0" collapsed="false">
      <c r="C79" s="153" t="s">
        <v>592</v>
      </c>
      <c r="D79" s="153" t="s">
        <v>592</v>
      </c>
      <c r="E79" s="218"/>
      <c r="F79" s="155" t="n">
        <f aca="false">('Lead NA'!F178-'Lead NA'!E178)+F37</f>
        <v>0</v>
      </c>
      <c r="G79" s="155" t="n">
        <f aca="false">('Lead NA'!G178-'Lead NA'!F178)+G37</f>
        <v>0</v>
      </c>
      <c r="H79" s="155" t="n">
        <f aca="false">('Lead NA'!H178-'Lead NA'!G178)+H37</f>
        <v>0</v>
      </c>
      <c r="I79" s="155" t="n">
        <f aca="false">('Lead NA'!I178-'Lead NA'!H178)+I37</f>
        <v>0</v>
      </c>
    </row>
  </sheetData>
  <conditionalFormatting sqref="E79:I79">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conditionalFormatting sqref="E77:I77">
    <cfRule type="cellIs" priority="5" operator="between" aboveAverage="0" equalAverage="0" bottom="0" percent="0" rank="0" text="" dxfId="2">
      <formula>-1</formula>
      <formula>1</formula>
    </cfRule>
    <cfRule type="cellIs" priority="6" operator="lessThan" aboveAverage="0" equalAverage="0" bottom="0" percent="0" rank="0" text="" dxfId="0">
      <formula>-1</formula>
    </cfRule>
    <cfRule type="cellIs" priority="7" operator="greaterThan" aboveAverage="0" equalAverage="0" bottom="0" percent="0" rank="0" text="" dxfId="0">
      <formula>1</formula>
    </cfRule>
  </conditionalFormatting>
  <conditionalFormatting sqref="E75:N75">
    <cfRule type="cellIs" priority="8" operator="between" aboveAverage="0" equalAverage="0" bottom="0" percent="0" rank="0" text="" dxfId="2">
      <formula>-1</formula>
      <formula>1</formula>
    </cfRule>
    <cfRule type="cellIs" priority="9" operator="lessThan" aboveAverage="0" equalAverage="0" bottom="0" percent="0" rank="0" text="" dxfId="0">
      <formula>-1</formula>
    </cfRule>
    <cfRule type="cellIs" priority="10"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59"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16" man="true" max="65535" min="0"/>
  </col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00390625" defaultRowHeight="12" zeroHeight="false" outlineLevelRow="0" outlineLevelCol="0"/>
  <cols>
    <col collapsed="false" customWidth="false" hidden="false" outlineLevel="0" max="16384" min="1" style="1" width="11"/>
  </cols>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AB54"/>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U55" activeCellId="0" sqref="U55"/>
    </sheetView>
  </sheetViews>
  <sheetFormatPr defaultColWidth="10.1484375" defaultRowHeight="11.25" zeroHeight="false" outlineLevelRow="3" outlineLevelCol="2"/>
  <cols>
    <col collapsed="false" customWidth="false" hidden="false" outlineLevel="0" max="1" min="1" style="1" width="10.14"/>
    <col collapsed="false" customWidth="true" hidden="false" outlineLevel="2" max="2" min="2" style="1" width="0.71"/>
    <col collapsed="false" customWidth="true" hidden="false" outlineLevel="2" max="3" min="3" style="1" width="35.57"/>
    <col collapsed="false" customWidth="true" hidden="false" outlineLevel="0" max="4" min="4" style="1" width="35.57"/>
    <col collapsed="false" customWidth="true" hidden="false" outlineLevel="0" max="5" min="5" style="1" width="4"/>
    <col collapsed="false" customWidth="true" hidden="false" outlineLevel="0" max="6" min="6" style="1" width="6.57"/>
    <col collapsed="false" customWidth="true" hidden="false" outlineLevel="0" max="7" min="7" style="1" width="1.42"/>
    <col collapsed="false" customWidth="true" hidden="false" outlineLevel="0" max="8" min="8" style="1" width="4"/>
    <col collapsed="false" customWidth="true" hidden="false" outlineLevel="0" max="9" min="9" style="1" width="6.57"/>
    <col collapsed="false" customWidth="true" hidden="false" outlineLevel="0" max="10" min="10" style="1" width="1.42"/>
    <col collapsed="false" customWidth="true" hidden="false" outlineLevel="0" max="11" min="11" style="1" width="4"/>
    <col collapsed="false" customWidth="true" hidden="false" outlineLevel="0" max="12" min="12" style="1" width="6.57"/>
    <col collapsed="false" customWidth="true" hidden="false" outlineLevel="0" max="13" min="13" style="1" width="1.42"/>
    <col collapsed="false" customWidth="true" hidden="false" outlineLevel="0" max="14" min="14" style="1" width="3.57"/>
    <col collapsed="false" customWidth="true" hidden="false" outlineLevel="0" max="15" min="15" style="1" width="6.57"/>
    <col collapsed="false" customWidth="true" hidden="false" outlineLevel="0" max="16" min="16" style="1" width="1.42"/>
    <col collapsed="false" customWidth="true" hidden="false" outlineLevel="0" max="17" min="17" style="1" width="4"/>
    <col collapsed="false" customWidth="true" hidden="false" outlineLevel="0" max="18" min="18" style="1" width="6.57"/>
    <col collapsed="false" customWidth="true" hidden="true" outlineLevel="2" max="19" min="19" style="1" width="0.71"/>
    <col collapsed="false" customWidth="false" hidden="false" outlineLevel="0" max="16384" min="20" style="1" width="10.14"/>
  </cols>
  <sheetData>
    <row r="1" customFormat="false" ht="11.25" hidden="true" customHeight="true" outlineLevel="3" collapsed="false"/>
    <row r="2" customFormat="false" ht="11.25" hidden="true" customHeight="true" outlineLevel="3" collapsed="false"/>
    <row r="3" customFormat="false" ht="11.25" hidden="false" customHeight="true" outlineLevel="0" collapsed="false">
      <c r="R3" s="219"/>
    </row>
    <row r="4" customFormat="false" ht="11.25" hidden="true" customHeight="true" outlineLevel="3" collapsed="false">
      <c r="C4" s="220" t="str">
        <f aca="false">Cockpit!$C$4</f>
        <v>Template</v>
      </c>
      <c r="D4" s="221"/>
      <c r="E4" s="222" t="n">
        <f aca="false">Cockpit!D33</f>
        <v>44926</v>
      </c>
      <c r="F4" s="222"/>
      <c r="G4" s="223"/>
      <c r="H4" s="222" t="n">
        <f aca="false">Cockpit!E33</f>
        <v>45291</v>
      </c>
      <c r="I4" s="222"/>
      <c r="J4" s="221"/>
      <c r="K4" s="222" t="n">
        <f aca="false">Cockpit!F33</f>
        <v>45657</v>
      </c>
      <c r="L4" s="222"/>
      <c r="M4" s="221"/>
      <c r="N4" s="224" t="n">
        <f aca="false">Cockpit!G33</f>
        <v>45808</v>
      </c>
      <c r="O4" s="224"/>
      <c r="P4" s="225"/>
      <c r="Q4" s="224" t="n">
        <f aca="false">Cockpit!H33</f>
        <v>45808</v>
      </c>
      <c r="R4" s="224"/>
    </row>
    <row r="5" customFormat="false" ht="11.25" hidden="true" customHeight="true" outlineLevel="3" collapsed="false">
      <c r="C5" s="220" t="str">
        <f aca="false">"in T"&amp;Cockpit!$C$5</f>
        <v>in TEUR</v>
      </c>
      <c r="D5" s="221"/>
      <c r="E5" s="221" t="s">
        <v>593</v>
      </c>
      <c r="F5" s="221" t="s">
        <v>21</v>
      </c>
      <c r="G5" s="221"/>
      <c r="H5" s="221" t="s">
        <v>593</v>
      </c>
      <c r="I5" s="221" t="s">
        <v>21</v>
      </c>
      <c r="J5" s="221"/>
      <c r="K5" s="221" t="s">
        <v>593</v>
      </c>
      <c r="L5" s="221" t="s">
        <v>21</v>
      </c>
      <c r="M5" s="221"/>
      <c r="N5" s="221" t="s">
        <v>593</v>
      </c>
      <c r="O5" s="221" t="s">
        <v>26</v>
      </c>
      <c r="P5" s="221"/>
      <c r="Q5" s="221" t="s">
        <v>593</v>
      </c>
      <c r="R5" s="221" t="s">
        <v>28</v>
      </c>
    </row>
    <row r="6" customFormat="false" ht="11.25" hidden="false" customHeight="true" outlineLevel="0" collapsed="false">
      <c r="B6" s="226"/>
      <c r="C6" s="227"/>
      <c r="D6" s="228" t="str">
        <f aca="false">Cockpit!$C$4</f>
        <v>Template</v>
      </c>
      <c r="E6" s="229" t="n">
        <f aca="false">Cockpit!D33</f>
        <v>44926</v>
      </c>
      <c r="F6" s="229"/>
      <c r="G6" s="223"/>
      <c r="H6" s="229" t="n">
        <f aca="false">Cockpit!E33</f>
        <v>45291</v>
      </c>
      <c r="I6" s="229"/>
      <c r="J6" s="221"/>
      <c r="K6" s="229" t="n">
        <f aca="false">Cockpit!F33</f>
        <v>45657</v>
      </c>
      <c r="L6" s="229"/>
      <c r="M6" s="221"/>
      <c r="N6" s="230" t="n">
        <f aca="false">Cockpit!G33</f>
        <v>45808</v>
      </c>
      <c r="O6" s="230"/>
      <c r="P6" s="225"/>
      <c r="Q6" s="230" t="n">
        <f aca="false">Cockpit!H33</f>
        <v>45808</v>
      </c>
      <c r="R6" s="230"/>
      <c r="S6" s="226"/>
    </row>
    <row r="7" customFormat="false" ht="11.25" hidden="false" customHeight="true" outlineLevel="0" collapsed="false">
      <c r="B7" s="231"/>
      <c r="C7" s="227"/>
      <c r="D7" s="228" t="str">
        <f aca="false">"in k"&amp;Cockpit!$C$5</f>
        <v>in kEUR</v>
      </c>
      <c r="E7" s="221" t="s">
        <v>593</v>
      </c>
      <c r="F7" s="221" t="s">
        <v>84</v>
      </c>
      <c r="G7" s="221"/>
      <c r="H7" s="221" t="s">
        <v>593</v>
      </c>
      <c r="I7" s="221" t="s">
        <v>84</v>
      </c>
      <c r="J7" s="221"/>
      <c r="K7" s="221" t="s">
        <v>593</v>
      </c>
      <c r="L7" s="221" t="s">
        <v>84</v>
      </c>
      <c r="M7" s="221"/>
      <c r="N7" s="221" t="s">
        <v>593</v>
      </c>
      <c r="O7" s="221" t="s">
        <v>26</v>
      </c>
      <c r="P7" s="221"/>
      <c r="Q7" s="221" t="s">
        <v>593</v>
      </c>
      <c r="R7" s="221" t="s">
        <v>28</v>
      </c>
      <c r="S7" s="231"/>
      <c r="T7" s="83"/>
    </row>
    <row r="8" customFormat="false" ht="4.5" hidden="false" customHeight="true" outlineLevel="0" collapsed="false">
      <c r="B8" s="226"/>
      <c r="C8" s="86"/>
      <c r="D8" s="86"/>
      <c r="E8" s="86"/>
      <c r="F8" s="232"/>
      <c r="G8" s="232"/>
      <c r="H8" s="232"/>
      <c r="I8" s="86"/>
      <c r="J8" s="86"/>
      <c r="K8" s="86"/>
      <c r="L8" s="86"/>
      <c r="M8" s="86"/>
      <c r="N8" s="86"/>
      <c r="O8" s="86"/>
      <c r="P8" s="86"/>
      <c r="Q8" s="86"/>
      <c r="R8" s="86"/>
      <c r="S8" s="226"/>
    </row>
    <row r="9" customFormat="false" ht="12" hidden="false" customHeight="true" outlineLevel="0" collapsed="false">
      <c r="B9" s="226"/>
      <c r="C9" s="233" t="s">
        <v>594</v>
      </c>
      <c r="D9" s="233" t="s">
        <v>595</v>
      </c>
      <c r="E9" s="86"/>
      <c r="F9" s="232"/>
      <c r="G9" s="232"/>
      <c r="H9" s="232"/>
      <c r="I9" s="86"/>
      <c r="J9" s="86"/>
      <c r="K9" s="86"/>
      <c r="L9" s="86"/>
      <c r="M9" s="86"/>
      <c r="N9" s="86"/>
      <c r="O9" s="86"/>
      <c r="P9" s="86"/>
      <c r="Q9" s="86"/>
      <c r="R9" s="86"/>
      <c r="S9" s="226"/>
    </row>
    <row r="10" customFormat="false" ht="11.25" hidden="false" customHeight="true" outlineLevel="0" collapsed="false">
      <c r="B10" s="234"/>
      <c r="C10" s="91" t="s">
        <v>596</v>
      </c>
      <c r="D10" s="91" t="s">
        <v>253</v>
      </c>
      <c r="E10" s="235"/>
      <c r="F10" s="232"/>
      <c r="G10" s="92"/>
      <c r="H10" s="236"/>
      <c r="I10" s="232"/>
      <c r="J10" s="92"/>
      <c r="K10" s="237" t="n">
        <v>1</v>
      </c>
      <c r="L10" s="238"/>
      <c r="M10" s="92"/>
      <c r="N10" s="239"/>
      <c r="O10" s="240"/>
      <c r="P10" s="241"/>
      <c r="Q10" s="242"/>
      <c r="R10" s="243"/>
      <c r="S10" s="234"/>
      <c r="T10" s="35" t="s">
        <v>597</v>
      </c>
      <c r="U10" s="35"/>
      <c r="V10" s="35"/>
      <c r="W10" s="35"/>
      <c r="X10" s="35"/>
      <c r="Y10" s="35"/>
      <c r="Z10" s="35"/>
      <c r="AA10" s="35"/>
      <c r="AB10" s="35"/>
    </row>
    <row r="11" customFormat="false" ht="10.5" hidden="false" customHeight="true" outlineLevel="0" collapsed="false">
      <c r="A11" s="244"/>
      <c r="B11" s="234"/>
      <c r="C11" s="91" t="s">
        <v>598</v>
      </c>
      <c r="D11" s="91" t="s">
        <v>254</v>
      </c>
      <c r="E11" s="235"/>
      <c r="F11" s="232"/>
      <c r="G11" s="92"/>
      <c r="H11" s="236"/>
      <c r="I11" s="232"/>
      <c r="J11" s="92"/>
      <c r="K11" s="237" t="n">
        <v>2</v>
      </c>
      <c r="L11" s="238"/>
      <c r="M11" s="92"/>
      <c r="N11" s="239"/>
      <c r="O11" s="240"/>
      <c r="P11" s="241"/>
      <c r="Q11" s="245"/>
      <c r="R11" s="243"/>
      <c r="S11" s="234"/>
      <c r="T11" s="35" t="s">
        <v>599</v>
      </c>
      <c r="U11" s="246"/>
      <c r="V11" s="35"/>
      <c r="W11" s="35"/>
      <c r="X11" s="35"/>
      <c r="Y11" s="35"/>
      <c r="Z11" s="35"/>
      <c r="AA11" s="35"/>
      <c r="AB11" s="35"/>
    </row>
    <row r="12" customFormat="false" ht="10.5" hidden="false" customHeight="true" outlineLevel="0" collapsed="false">
      <c r="A12" s="244"/>
      <c r="B12" s="234"/>
      <c r="C12" s="91" t="s">
        <v>600</v>
      </c>
      <c r="D12" s="91" t="s">
        <v>255</v>
      </c>
      <c r="E12" s="235"/>
      <c r="F12" s="232"/>
      <c r="G12" s="92"/>
      <c r="H12" s="236"/>
      <c r="I12" s="232"/>
      <c r="J12" s="92"/>
      <c r="K12" s="237" t="n">
        <v>3</v>
      </c>
      <c r="L12" s="238"/>
      <c r="M12" s="92"/>
      <c r="N12" s="239"/>
      <c r="O12" s="240"/>
      <c r="P12" s="241"/>
      <c r="Q12" s="245"/>
      <c r="R12" s="243"/>
      <c r="S12" s="234"/>
    </row>
    <row r="13" customFormat="false" ht="11.25" hidden="false" customHeight="true" outlineLevel="0" collapsed="false">
      <c r="B13" s="234"/>
      <c r="C13" s="91" t="s">
        <v>601</v>
      </c>
      <c r="D13" s="91" t="s">
        <v>256</v>
      </c>
      <c r="E13" s="235"/>
      <c r="F13" s="92"/>
      <c r="G13" s="92"/>
      <c r="H13" s="236"/>
      <c r="I13" s="92"/>
      <c r="J13" s="92"/>
      <c r="K13" s="237" t="n">
        <v>4</v>
      </c>
      <c r="L13" s="238"/>
      <c r="M13" s="92"/>
      <c r="N13" s="239"/>
      <c r="O13" s="240"/>
      <c r="P13" s="241"/>
      <c r="Q13" s="245"/>
      <c r="R13" s="243"/>
      <c r="S13" s="234"/>
    </row>
    <row r="14" customFormat="false" ht="10.5" hidden="false" customHeight="true" outlineLevel="0" collapsed="false">
      <c r="A14" s="244"/>
      <c r="B14" s="234"/>
      <c r="C14" s="91" t="s">
        <v>602</v>
      </c>
      <c r="D14" s="91" t="s">
        <v>257</v>
      </c>
      <c r="E14" s="235"/>
      <c r="F14" s="92"/>
      <c r="G14" s="92"/>
      <c r="H14" s="236"/>
      <c r="I14" s="92"/>
      <c r="J14" s="92"/>
      <c r="K14" s="237" t="n">
        <v>5</v>
      </c>
      <c r="L14" s="238"/>
      <c r="M14" s="92"/>
      <c r="N14" s="239"/>
      <c r="O14" s="240"/>
      <c r="P14" s="241"/>
      <c r="Q14" s="245"/>
      <c r="R14" s="243"/>
      <c r="S14" s="234"/>
      <c r="U14" s="247"/>
    </row>
    <row r="15" customFormat="false" ht="10.5" hidden="false" customHeight="true" outlineLevel="0" collapsed="false">
      <c r="A15" s="244"/>
      <c r="B15" s="234"/>
      <c r="C15" s="91" t="s">
        <v>603</v>
      </c>
      <c r="D15" s="91" t="s">
        <v>604</v>
      </c>
      <c r="E15" s="235"/>
      <c r="F15" s="232"/>
      <c r="G15" s="92"/>
      <c r="H15" s="236"/>
      <c r="I15" s="232"/>
      <c r="J15" s="92"/>
      <c r="K15" s="237" t="n">
        <v>6</v>
      </c>
      <c r="L15" s="238"/>
      <c r="M15" s="92"/>
      <c r="N15" s="239"/>
      <c r="O15" s="240"/>
      <c r="P15" s="241"/>
      <c r="Q15" s="248"/>
      <c r="R15" s="94"/>
      <c r="S15" s="234"/>
      <c r="U15" s="247"/>
    </row>
    <row r="16" customFormat="false" ht="11.25" hidden="false" customHeight="true" outlineLevel="0" collapsed="false">
      <c r="B16" s="234"/>
      <c r="C16" s="91" t="s">
        <v>605</v>
      </c>
      <c r="D16" s="91" t="s">
        <v>606</v>
      </c>
      <c r="E16" s="235"/>
      <c r="F16" s="92"/>
      <c r="G16" s="92"/>
      <c r="H16" s="236"/>
      <c r="I16" s="92"/>
      <c r="J16" s="92"/>
      <c r="K16" s="237" t="n">
        <v>7</v>
      </c>
      <c r="L16" s="238"/>
      <c r="M16" s="92"/>
      <c r="N16" s="239"/>
      <c r="O16" s="240"/>
      <c r="P16" s="241"/>
      <c r="Q16" s="248"/>
      <c r="R16" s="94"/>
      <c r="S16" s="234"/>
    </row>
    <row r="17" customFormat="false" ht="10.5" hidden="false" customHeight="true" outlineLevel="0" collapsed="false">
      <c r="A17" s="244"/>
      <c r="B17" s="234"/>
      <c r="C17" s="91" t="s">
        <v>607</v>
      </c>
      <c r="D17" s="91" t="s">
        <v>608</v>
      </c>
      <c r="E17" s="235"/>
      <c r="F17" s="232"/>
      <c r="G17" s="92"/>
      <c r="H17" s="236"/>
      <c r="I17" s="232"/>
      <c r="J17" s="92"/>
      <c r="K17" s="237" t="n">
        <v>8</v>
      </c>
      <c r="L17" s="238"/>
      <c r="M17" s="92"/>
      <c r="N17" s="239"/>
      <c r="O17" s="240"/>
      <c r="P17" s="241"/>
      <c r="Q17" s="248"/>
      <c r="R17" s="94"/>
      <c r="S17" s="234"/>
      <c r="U17" s="247"/>
    </row>
    <row r="18" customFormat="false" ht="10.5" hidden="false" customHeight="true" outlineLevel="0" collapsed="false">
      <c r="A18" s="244"/>
      <c r="B18" s="234"/>
      <c r="C18" s="91" t="s">
        <v>609</v>
      </c>
      <c r="D18" s="91" t="s">
        <v>610</v>
      </c>
      <c r="E18" s="235"/>
      <c r="F18" s="92"/>
      <c r="G18" s="92"/>
      <c r="H18" s="236"/>
      <c r="I18" s="92"/>
      <c r="J18" s="92"/>
      <c r="K18" s="237" t="n">
        <v>9</v>
      </c>
      <c r="L18" s="238"/>
      <c r="M18" s="92"/>
      <c r="N18" s="239"/>
      <c r="O18" s="240"/>
      <c r="P18" s="249"/>
      <c r="Q18" s="248"/>
      <c r="R18" s="94"/>
      <c r="S18" s="234"/>
      <c r="U18" s="247"/>
    </row>
    <row r="19" customFormat="false" ht="10.5" hidden="false" customHeight="true" outlineLevel="0" collapsed="false">
      <c r="A19" s="244"/>
      <c r="B19" s="234"/>
      <c r="C19" s="91" t="s">
        <v>611</v>
      </c>
      <c r="D19" s="91" t="s">
        <v>612</v>
      </c>
      <c r="E19" s="235"/>
      <c r="F19" s="92"/>
      <c r="G19" s="92"/>
      <c r="H19" s="236"/>
      <c r="I19" s="92"/>
      <c r="J19" s="92"/>
      <c r="K19" s="237" t="n">
        <v>10</v>
      </c>
      <c r="L19" s="238"/>
      <c r="M19" s="92"/>
      <c r="N19" s="239"/>
      <c r="O19" s="240"/>
      <c r="P19" s="241"/>
      <c r="Q19" s="248"/>
      <c r="R19" s="94"/>
      <c r="S19" s="234"/>
      <c r="U19" s="247"/>
    </row>
    <row r="20" customFormat="false" ht="10.5" hidden="true" customHeight="true" outlineLevel="1" collapsed="false">
      <c r="A20" s="244"/>
      <c r="B20" s="234"/>
      <c r="C20" s="91" t="s">
        <v>613</v>
      </c>
      <c r="D20" s="91" t="s">
        <v>614</v>
      </c>
      <c r="E20" s="235"/>
      <c r="F20" s="92"/>
      <c r="G20" s="92"/>
      <c r="H20" s="236"/>
      <c r="I20" s="232"/>
      <c r="J20" s="92"/>
      <c r="K20" s="92"/>
      <c r="L20" s="92"/>
      <c r="M20" s="92"/>
      <c r="N20" s="239"/>
      <c r="O20" s="240"/>
      <c r="P20" s="249"/>
      <c r="Q20" s="248"/>
      <c r="R20" s="94"/>
      <c r="S20" s="234"/>
      <c r="U20" s="247"/>
    </row>
    <row r="21" customFormat="false" ht="10.5" hidden="true" customHeight="true" outlineLevel="1" collapsed="false">
      <c r="A21" s="244"/>
      <c r="B21" s="234"/>
      <c r="C21" s="91" t="s">
        <v>615</v>
      </c>
      <c r="D21" s="91" t="s">
        <v>616</v>
      </c>
      <c r="E21" s="235"/>
      <c r="F21" s="232"/>
      <c r="G21" s="92"/>
      <c r="H21" s="236"/>
      <c r="I21" s="232"/>
      <c r="J21" s="92"/>
      <c r="K21" s="92"/>
      <c r="L21" s="92"/>
      <c r="M21" s="92"/>
      <c r="N21" s="239"/>
      <c r="O21" s="240"/>
      <c r="P21" s="249"/>
      <c r="Q21" s="248"/>
      <c r="R21" s="94"/>
      <c r="S21" s="234"/>
      <c r="U21" s="247"/>
    </row>
    <row r="22" customFormat="false" ht="10.5" hidden="true" customHeight="true" outlineLevel="1" collapsed="false">
      <c r="A22" s="244"/>
      <c r="B22" s="234"/>
      <c r="C22" s="91" t="s">
        <v>617</v>
      </c>
      <c r="D22" s="91" t="s">
        <v>618</v>
      </c>
      <c r="E22" s="235"/>
      <c r="F22" s="232"/>
      <c r="G22" s="92"/>
      <c r="H22" s="236"/>
      <c r="I22" s="92"/>
      <c r="J22" s="92"/>
      <c r="K22" s="92"/>
      <c r="L22" s="92"/>
      <c r="M22" s="92"/>
      <c r="N22" s="239"/>
      <c r="O22" s="240"/>
      <c r="P22" s="241"/>
      <c r="Q22" s="248"/>
      <c r="R22" s="94"/>
      <c r="S22" s="234"/>
      <c r="U22" s="247"/>
    </row>
    <row r="23" customFormat="false" ht="11.25" hidden="true" customHeight="true" outlineLevel="1" collapsed="false">
      <c r="B23" s="234"/>
      <c r="C23" s="91" t="s">
        <v>619</v>
      </c>
      <c r="D23" s="91" t="s">
        <v>620</v>
      </c>
      <c r="E23" s="235"/>
      <c r="F23" s="232"/>
      <c r="G23" s="92"/>
      <c r="H23" s="236"/>
      <c r="I23" s="232"/>
      <c r="J23" s="92"/>
      <c r="K23" s="92"/>
      <c r="L23" s="92"/>
      <c r="M23" s="92"/>
      <c r="N23" s="239"/>
      <c r="O23" s="240"/>
      <c r="P23" s="241"/>
      <c r="Q23" s="248"/>
      <c r="R23" s="94"/>
      <c r="S23" s="234"/>
    </row>
    <row r="24" customFormat="false" ht="10.5" hidden="true" customHeight="true" outlineLevel="1" collapsed="false">
      <c r="A24" s="244"/>
      <c r="B24" s="234"/>
      <c r="C24" s="91" t="s">
        <v>621</v>
      </c>
      <c r="D24" s="91" t="s">
        <v>622</v>
      </c>
      <c r="E24" s="235"/>
      <c r="F24" s="92"/>
      <c r="G24" s="92"/>
      <c r="H24" s="236"/>
      <c r="I24" s="232"/>
      <c r="J24" s="92"/>
      <c r="K24" s="92"/>
      <c r="L24" s="92"/>
      <c r="M24" s="92"/>
      <c r="N24" s="239"/>
      <c r="O24" s="240"/>
      <c r="P24" s="241"/>
      <c r="Q24" s="248"/>
      <c r="R24" s="94"/>
      <c r="S24" s="234"/>
      <c r="U24" s="247"/>
    </row>
    <row r="25" customFormat="false" ht="10.5" hidden="true" customHeight="true" outlineLevel="1" collapsed="false">
      <c r="A25" s="244"/>
      <c r="B25" s="234"/>
      <c r="C25" s="91" t="s">
        <v>623</v>
      </c>
      <c r="D25" s="91" t="s">
        <v>624</v>
      </c>
      <c r="E25" s="235"/>
      <c r="F25" s="92"/>
      <c r="G25" s="92"/>
      <c r="H25" s="236"/>
      <c r="I25" s="92"/>
      <c r="J25" s="92"/>
      <c r="K25" s="92"/>
      <c r="L25" s="92"/>
      <c r="M25" s="92"/>
      <c r="N25" s="239"/>
      <c r="O25" s="240"/>
      <c r="P25" s="241"/>
      <c r="Q25" s="248"/>
      <c r="R25" s="94"/>
      <c r="S25" s="234"/>
      <c r="U25" s="247"/>
    </row>
    <row r="26" customFormat="false" ht="11.25" hidden="true" customHeight="true" outlineLevel="1" collapsed="false">
      <c r="B26" s="234"/>
      <c r="C26" s="91" t="s">
        <v>625</v>
      </c>
      <c r="D26" s="91" t="s">
        <v>626</v>
      </c>
      <c r="E26" s="235"/>
      <c r="F26" s="232"/>
      <c r="G26" s="92"/>
      <c r="H26" s="236"/>
      <c r="I26" s="92"/>
      <c r="J26" s="92"/>
      <c r="K26" s="92"/>
      <c r="L26" s="92"/>
      <c r="M26" s="92"/>
      <c r="N26" s="239"/>
      <c r="O26" s="240"/>
      <c r="P26" s="241"/>
      <c r="Q26" s="248"/>
      <c r="R26" s="94"/>
      <c r="S26" s="234"/>
    </row>
    <row r="27" customFormat="false" ht="11.25" hidden="true" customHeight="true" outlineLevel="1" collapsed="false">
      <c r="B27" s="234"/>
      <c r="C27" s="91" t="s">
        <v>627</v>
      </c>
      <c r="D27" s="91" t="s">
        <v>628</v>
      </c>
      <c r="E27" s="235"/>
      <c r="F27" s="250"/>
      <c r="G27" s="92"/>
      <c r="H27" s="236"/>
      <c r="I27" s="232"/>
      <c r="J27" s="92"/>
      <c r="K27" s="92"/>
      <c r="L27" s="92"/>
      <c r="M27" s="92"/>
      <c r="N27" s="239"/>
      <c r="O27" s="240"/>
      <c r="P27" s="241"/>
      <c r="Q27" s="251"/>
      <c r="R27" s="94"/>
      <c r="S27" s="234"/>
    </row>
    <row r="28" customFormat="false" ht="11.25" hidden="true" customHeight="true" outlineLevel="1" collapsed="false">
      <c r="B28" s="234"/>
      <c r="C28" s="91" t="s">
        <v>629</v>
      </c>
      <c r="D28" s="91" t="s">
        <v>630</v>
      </c>
      <c r="E28" s="235"/>
      <c r="F28" s="250"/>
      <c r="G28" s="92"/>
      <c r="H28" s="236"/>
      <c r="I28" s="232"/>
      <c r="J28" s="92"/>
      <c r="K28" s="92"/>
      <c r="L28" s="92"/>
      <c r="M28" s="92"/>
      <c r="N28" s="239"/>
      <c r="O28" s="240"/>
      <c r="P28" s="241"/>
      <c r="Q28" s="251"/>
      <c r="R28" s="94"/>
      <c r="S28" s="234"/>
    </row>
    <row r="29" customFormat="false" ht="11.25" hidden="true" customHeight="true" outlineLevel="1" collapsed="false">
      <c r="B29" s="234"/>
      <c r="C29" s="91" t="s">
        <v>631</v>
      </c>
      <c r="D29" s="91" t="s">
        <v>632</v>
      </c>
      <c r="E29" s="235"/>
      <c r="F29" s="250"/>
      <c r="G29" s="92"/>
      <c r="H29" s="236"/>
      <c r="I29" s="232"/>
      <c r="J29" s="92"/>
      <c r="K29" s="92"/>
      <c r="L29" s="92"/>
      <c r="M29" s="92"/>
      <c r="N29" s="239"/>
      <c r="O29" s="240"/>
      <c r="P29" s="241"/>
      <c r="Q29" s="251"/>
      <c r="R29" s="94"/>
      <c r="S29" s="234"/>
    </row>
    <row r="30" customFormat="false" ht="11.25" hidden="false" customHeight="true" outlineLevel="0" collapsed="false">
      <c r="B30" s="234"/>
      <c r="C30" s="252" t="s">
        <v>633</v>
      </c>
      <c r="D30" s="252" t="s">
        <v>634</v>
      </c>
      <c r="E30" s="253"/>
      <c r="F30" s="254" t="n">
        <f aca="false">SUM(F10:F29)</f>
        <v>0</v>
      </c>
      <c r="G30" s="255"/>
      <c r="H30" s="254"/>
      <c r="I30" s="254" t="n">
        <f aca="false">SUM(I10:I29)</f>
        <v>0</v>
      </c>
      <c r="J30" s="256"/>
      <c r="K30" s="255"/>
      <c r="L30" s="254" t="n">
        <f aca="false">SUM(L10:L29)</f>
        <v>0</v>
      </c>
      <c r="M30" s="255"/>
      <c r="N30" s="257"/>
      <c r="O30" s="258" t="n">
        <f aca="false">SUM(O10:O29)</f>
        <v>0</v>
      </c>
      <c r="P30" s="259"/>
      <c r="Q30" s="260"/>
      <c r="R30" s="261" t="n">
        <f aca="false">SUM(R10:R29)</f>
        <v>0</v>
      </c>
      <c r="S30" s="234"/>
    </row>
    <row r="31" customFormat="false" ht="11.25" hidden="false" customHeight="true" outlineLevel="0" collapsed="false">
      <c r="B31" s="234"/>
      <c r="C31" s="91" t="s">
        <v>635</v>
      </c>
      <c r="D31" s="91" t="s">
        <v>636</v>
      </c>
      <c r="E31" s="91"/>
      <c r="F31" s="92" t="n">
        <f aca="false">F32-F30</f>
        <v>0</v>
      </c>
      <c r="G31" s="92"/>
      <c r="H31" s="92"/>
      <c r="I31" s="92" t="n">
        <f aca="false">I32-I30</f>
        <v>0</v>
      </c>
      <c r="J31" s="92"/>
      <c r="K31" s="92"/>
      <c r="L31" s="92" t="n">
        <f aca="false">L32-L30</f>
        <v>0</v>
      </c>
      <c r="M31" s="92"/>
      <c r="N31" s="262"/>
      <c r="O31" s="240" t="n">
        <f aca="false">O32-O30</f>
        <v>0</v>
      </c>
      <c r="P31" s="92"/>
      <c r="Q31" s="263"/>
      <c r="R31" s="263" t="n">
        <f aca="false">R32-R30</f>
        <v>0</v>
      </c>
      <c r="S31" s="234"/>
    </row>
    <row r="32" customFormat="false" ht="11.25" hidden="false" customHeight="true" outlineLevel="0" collapsed="false">
      <c r="B32" s="234"/>
      <c r="C32" s="264" t="s">
        <v>637</v>
      </c>
      <c r="D32" s="264" t="s">
        <v>262</v>
      </c>
      <c r="E32" s="264"/>
      <c r="F32" s="265" t="n">
        <f aca="false">'Lead PL'!F39</f>
        <v>0</v>
      </c>
      <c r="G32" s="265"/>
      <c r="H32" s="265"/>
      <c r="I32" s="265" t="n">
        <f aca="false">'Lead PL'!G39</f>
        <v>0</v>
      </c>
      <c r="J32" s="265"/>
      <c r="K32" s="265"/>
      <c r="L32" s="265" t="n">
        <f aca="false">'Lead PL'!H39</f>
        <v>0</v>
      </c>
      <c r="M32" s="265"/>
      <c r="N32" s="266"/>
      <c r="O32" s="266" t="n">
        <f aca="false">'Lead PL'!I39</f>
        <v>0</v>
      </c>
      <c r="P32" s="267"/>
      <c r="Q32" s="268"/>
      <c r="R32" s="268" t="n">
        <f aca="false">'Lead PL'!J39</f>
        <v>0</v>
      </c>
      <c r="S32" s="234"/>
    </row>
    <row r="33" customFormat="false" ht="4.5" hidden="false" customHeight="true" outlineLevel="0" collapsed="false">
      <c r="B33" s="234"/>
      <c r="C33" s="91"/>
      <c r="D33" s="91"/>
      <c r="E33" s="91"/>
      <c r="F33" s="92"/>
      <c r="G33" s="92"/>
      <c r="H33" s="92"/>
      <c r="I33" s="92"/>
      <c r="J33" s="92"/>
      <c r="K33" s="92"/>
      <c r="L33" s="92"/>
      <c r="M33" s="92"/>
      <c r="N33" s="240"/>
      <c r="O33" s="240"/>
      <c r="P33" s="249"/>
      <c r="Q33" s="94"/>
      <c r="R33" s="94"/>
      <c r="S33" s="234"/>
    </row>
    <row r="34" customFormat="false" ht="11.25" hidden="false" customHeight="true" outlineLevel="0" collapsed="false">
      <c r="B34" s="234"/>
      <c r="C34" s="91" t="s">
        <v>638</v>
      </c>
      <c r="D34" s="91" t="s">
        <v>639</v>
      </c>
      <c r="E34" s="91"/>
      <c r="F34" s="269"/>
      <c r="G34" s="270"/>
      <c r="H34" s="92"/>
      <c r="I34" s="269"/>
      <c r="J34" s="92"/>
      <c r="K34" s="92"/>
      <c r="L34" s="270" t="e">
        <f aca="false">L10/L32</f>
        <v>#DIV/0!</v>
      </c>
      <c r="M34" s="92"/>
      <c r="N34" s="240"/>
      <c r="O34" s="269"/>
      <c r="P34" s="249"/>
      <c r="Q34" s="94"/>
      <c r="R34" s="269"/>
      <c r="S34" s="234"/>
      <c r="T34" s="35" t="s">
        <v>640</v>
      </c>
      <c r="U34" s="35"/>
      <c r="V34" s="35"/>
      <c r="W34" s="35"/>
      <c r="X34" s="35"/>
    </row>
    <row r="35" customFormat="false" ht="11.25" hidden="false" customHeight="true" outlineLevel="0" collapsed="false">
      <c r="B35" s="234"/>
      <c r="C35" s="91" t="s">
        <v>641</v>
      </c>
      <c r="D35" s="91" t="s">
        <v>642</v>
      </c>
      <c r="E35" s="91"/>
      <c r="F35" s="269"/>
      <c r="G35" s="92"/>
      <c r="H35" s="92"/>
      <c r="I35" s="269"/>
      <c r="J35" s="92"/>
      <c r="K35" s="92"/>
      <c r="L35" s="270" t="e">
        <f aca="false">(L14+L10+L13+L12+L11)/L32</f>
        <v>#DIV/0!</v>
      </c>
      <c r="M35" s="92"/>
      <c r="N35" s="240"/>
      <c r="O35" s="269"/>
      <c r="P35" s="249"/>
      <c r="Q35" s="94"/>
      <c r="R35" s="269"/>
      <c r="S35" s="234"/>
    </row>
    <row r="36" customFormat="false" ht="11.25" hidden="false" customHeight="true" outlineLevel="0" collapsed="false">
      <c r="B36" s="234"/>
      <c r="C36" s="91" t="s">
        <v>643</v>
      </c>
      <c r="D36" s="91" t="s">
        <v>644</v>
      </c>
      <c r="E36" s="91"/>
      <c r="F36" s="269"/>
      <c r="G36" s="92"/>
      <c r="H36" s="92"/>
      <c r="I36" s="269"/>
      <c r="J36" s="92"/>
      <c r="K36" s="92"/>
      <c r="L36" s="270" t="e">
        <f aca="false">(L13+L12+L19+L11+L10+L15+L17+L16+L14+L18)/L32</f>
        <v>#DIV/0!</v>
      </c>
      <c r="M36" s="92"/>
      <c r="N36" s="240"/>
      <c r="O36" s="269"/>
      <c r="P36" s="249"/>
      <c r="Q36" s="94"/>
      <c r="R36" s="269"/>
      <c r="S36" s="234"/>
    </row>
    <row r="37" customFormat="false" ht="4.5" hidden="false" customHeight="true" outlineLevel="0" collapsed="false">
      <c r="B37" s="234"/>
      <c r="C37" s="91"/>
      <c r="D37" s="91"/>
      <c r="E37" s="91"/>
      <c r="F37" s="92"/>
      <c r="G37" s="92"/>
      <c r="H37" s="92"/>
      <c r="I37" s="92"/>
      <c r="J37" s="92"/>
      <c r="K37" s="92"/>
      <c r="L37" s="92"/>
      <c r="M37" s="92"/>
      <c r="N37" s="240"/>
      <c r="O37" s="240"/>
      <c r="P37" s="249"/>
      <c r="Q37" s="94"/>
      <c r="R37" s="94"/>
      <c r="S37" s="234"/>
    </row>
    <row r="38" customFormat="false" ht="11.25" hidden="false" customHeight="true" outlineLevel="0" collapsed="false">
      <c r="B38" s="234"/>
      <c r="C38" s="91" t="s">
        <v>645</v>
      </c>
      <c r="D38" s="91" t="s">
        <v>646</v>
      </c>
      <c r="E38" s="91"/>
      <c r="F38" s="92"/>
      <c r="G38" s="92"/>
      <c r="H38" s="92"/>
      <c r="I38" s="92"/>
      <c r="J38" s="92"/>
      <c r="K38" s="92"/>
      <c r="L38" s="92"/>
      <c r="M38" s="92"/>
      <c r="N38" s="240"/>
      <c r="O38" s="240"/>
      <c r="P38" s="249"/>
      <c r="Q38" s="94"/>
      <c r="R38" s="94"/>
      <c r="S38" s="234"/>
    </row>
    <row r="39" customFormat="false" ht="4.5" hidden="false" customHeight="true" outlineLevel="0" collapsed="false">
      <c r="B39" s="234"/>
      <c r="C39" s="91"/>
      <c r="D39" s="91"/>
      <c r="E39" s="91"/>
      <c r="F39" s="92"/>
      <c r="G39" s="92"/>
      <c r="H39" s="92"/>
      <c r="I39" s="92"/>
      <c r="J39" s="92"/>
      <c r="K39" s="92"/>
      <c r="L39" s="92"/>
      <c r="M39" s="92"/>
      <c r="N39" s="240"/>
      <c r="O39" s="240"/>
      <c r="P39" s="249"/>
      <c r="Q39" s="94"/>
      <c r="R39" s="94"/>
      <c r="S39" s="234"/>
    </row>
    <row r="40" customFormat="false" ht="11.25" hidden="false" customHeight="true" outlineLevel="0" collapsed="false">
      <c r="B40" s="234"/>
      <c r="C40" s="54" t="str">
        <f aca="false">"Quelle: "&amp;Cockpit!$C$7</f>
        <v>Quelle: Datenraum/ eigene Analysen</v>
      </c>
      <c r="D40" s="54" t="str">
        <f aca="false">"Source: "&amp;Cockpit!$C$8</f>
        <v>Source: Virtual Data Room/ Company Information</v>
      </c>
      <c r="E40" s="271"/>
      <c r="F40" s="55"/>
      <c r="G40" s="55"/>
      <c r="H40" s="55"/>
      <c r="I40" s="55"/>
      <c r="J40" s="55"/>
      <c r="K40" s="55"/>
      <c r="L40" s="55"/>
      <c r="M40" s="55"/>
      <c r="N40" s="55"/>
      <c r="O40" s="55"/>
      <c r="P40" s="55"/>
      <c r="Q40" s="55"/>
      <c r="R40" s="56"/>
      <c r="S40" s="234"/>
    </row>
    <row r="41" customFormat="false" ht="11.25" hidden="false" customHeight="true" outlineLevel="0" collapsed="false">
      <c r="B41" s="234"/>
      <c r="S41" s="234"/>
    </row>
    <row r="42" customFormat="false" ht="11.25" hidden="false" customHeight="true" outlineLevel="0" collapsed="false">
      <c r="C42" s="151" t="s">
        <v>647</v>
      </c>
      <c r="D42" s="151" t="s">
        <v>648</v>
      </c>
      <c r="E42" s="152"/>
      <c r="F42" s="152" t="n">
        <f aca="false">'Lead PL'!F39</f>
        <v>0</v>
      </c>
      <c r="G42" s="152"/>
      <c r="H42" s="152"/>
      <c r="I42" s="152" t="n">
        <f aca="false">'Lead PL'!G39</f>
        <v>0</v>
      </c>
      <c r="J42" s="152"/>
      <c r="K42" s="152"/>
      <c r="L42" s="152" t="n">
        <f aca="false">'Lead PL'!H39</f>
        <v>0</v>
      </c>
      <c r="M42" s="152"/>
      <c r="N42" s="152"/>
      <c r="O42" s="152" t="n">
        <f aca="false">'Lead PL'!I39</f>
        <v>0</v>
      </c>
      <c r="P42" s="152"/>
      <c r="Q42" s="152"/>
      <c r="R42" s="152" t="n">
        <f aca="false">'Lead PL'!J39</f>
        <v>0</v>
      </c>
    </row>
    <row r="43" customFormat="false" ht="11.25" hidden="false" customHeight="true" outlineLevel="0" collapsed="false">
      <c r="C43" s="153" t="s">
        <v>245</v>
      </c>
      <c r="D43" s="154" t="s">
        <v>245</v>
      </c>
      <c r="E43" s="155"/>
      <c r="F43" s="155" t="n">
        <f aca="false">F32-F42</f>
        <v>0</v>
      </c>
      <c r="G43" s="155"/>
      <c r="H43" s="155"/>
      <c r="I43" s="155" t="n">
        <f aca="false">I32-I42</f>
        <v>0</v>
      </c>
      <c r="J43" s="155"/>
      <c r="K43" s="155"/>
      <c r="L43" s="155" t="n">
        <f aca="false">L32-L42</f>
        <v>0</v>
      </c>
      <c r="M43" s="155"/>
      <c r="N43" s="155"/>
      <c r="O43" s="155" t="n">
        <f aca="false">O32-O42</f>
        <v>0</v>
      </c>
      <c r="P43" s="155"/>
      <c r="Q43" s="155"/>
      <c r="R43" s="155" t="n">
        <f aca="false">R32-R42</f>
        <v>0</v>
      </c>
    </row>
    <row r="44" customFormat="false" ht="11.25" hidden="false" customHeight="true" outlineLevel="0" collapsed="false">
      <c r="F44" s="234"/>
      <c r="G44" s="272"/>
      <c r="H44" s="272"/>
      <c r="I44" s="234"/>
      <c r="L44" s="234"/>
      <c r="M44" s="234"/>
    </row>
    <row r="45" customFormat="false" ht="11.25" hidden="false" customHeight="true" outlineLevel="0" collapsed="false">
      <c r="F45" s="234"/>
      <c r="I45" s="234"/>
      <c r="L45" s="234"/>
      <c r="M45" s="234"/>
    </row>
    <row r="46" customFormat="false" ht="11.25" hidden="false" customHeight="true" outlineLevel="0" collapsed="false">
      <c r="F46" s="234"/>
      <c r="I46" s="234"/>
      <c r="L46" s="234"/>
      <c r="M46" s="234"/>
    </row>
    <row r="47" customFormat="false" ht="11.25" hidden="false" customHeight="true" outlineLevel="0" collapsed="false">
      <c r="F47" s="234"/>
      <c r="I47" s="234"/>
      <c r="L47" s="234"/>
      <c r="M47" s="234"/>
    </row>
    <row r="48" customFormat="false" ht="11.25" hidden="false" customHeight="true" outlineLevel="0" collapsed="false">
      <c r="F48" s="234"/>
      <c r="I48" s="234"/>
      <c r="L48" s="234"/>
      <c r="M48" s="234"/>
    </row>
    <row r="49" customFormat="false" ht="11.25" hidden="false" customHeight="true" outlineLevel="0" collapsed="false">
      <c r="F49" s="234"/>
      <c r="I49" s="234"/>
      <c r="L49" s="234"/>
      <c r="M49" s="234"/>
    </row>
    <row r="50" customFormat="false" ht="11.25" hidden="false" customHeight="true" outlineLevel="0" collapsed="false">
      <c r="F50" s="234"/>
      <c r="I50" s="234"/>
      <c r="L50" s="234"/>
      <c r="M50" s="234"/>
    </row>
    <row r="51" customFormat="false" ht="11.25" hidden="false" customHeight="true" outlineLevel="0" collapsed="false">
      <c r="F51" s="234"/>
      <c r="I51" s="234"/>
      <c r="L51" s="234"/>
      <c r="M51" s="234"/>
    </row>
    <row r="52" customFormat="false" ht="11.25" hidden="false" customHeight="true" outlineLevel="0" collapsed="false">
      <c r="F52" s="234"/>
      <c r="I52" s="234"/>
      <c r="L52" s="234"/>
      <c r="M52" s="234"/>
    </row>
    <row r="53" customFormat="false" ht="11.25" hidden="false" customHeight="true" outlineLevel="0" collapsed="false">
      <c r="F53" s="234"/>
      <c r="I53" s="234"/>
      <c r="L53" s="234"/>
      <c r="M53" s="234"/>
    </row>
    <row r="54" customFormat="false" ht="11.25" hidden="false" customHeight="true" outlineLevel="0" collapsed="false">
      <c r="F54" s="234"/>
      <c r="I54" s="234"/>
      <c r="L54" s="234"/>
      <c r="M54" s="234"/>
    </row>
  </sheetData>
  <mergeCells count="10">
    <mergeCell ref="E4:F4"/>
    <mergeCell ref="H4:I4"/>
    <mergeCell ref="K4:L4"/>
    <mergeCell ref="N4:O4"/>
    <mergeCell ref="Q4:R4"/>
    <mergeCell ref="E6:F6"/>
    <mergeCell ref="H6:I6"/>
    <mergeCell ref="K6:L6"/>
    <mergeCell ref="N6:O6"/>
    <mergeCell ref="Q6:R6"/>
  </mergeCells>
  <conditionalFormatting sqref="E43:R43">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conditionalFormatting sqref="L8:M9">
    <cfRule type="top10" priority="5" aboveAverage="0" equalAverage="0" bottom="0" percent="0" rank="10" text="" dxfId="0"/>
  </conditionalFormatting>
  <conditionalFormatting sqref="A11:A12 A14:A15 A17:A22 A24:A25">
    <cfRule type="duplicateValues" priority="6" aboveAverage="0" equalAverage="0" bottom="0" percent="0" rank="0" text="" dxfId="0"/>
  </conditionalFormatting>
  <conditionalFormatting sqref="A1:A3 A6:A10 A13 A16 A23 A26:A1048576">
    <cfRule type="duplicateValues" priority="7" aboveAverage="0" equalAverage="0" bottom="0" percent="0" rank="0" text="" dxfId="0"/>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W46"/>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X47" activeCellId="0" sqref="X47"/>
    </sheetView>
  </sheetViews>
  <sheetFormatPr defaultColWidth="11.2890625" defaultRowHeight="11.25" zeroHeight="false" outlineLevelRow="3" outlineLevelCol="2"/>
  <cols>
    <col collapsed="false" customWidth="false" hidden="false" outlineLevel="0" max="1" min="1" style="1" width="11.29"/>
    <col collapsed="false" customWidth="true" hidden="false" outlineLevel="2" max="2" min="2" style="1" width="0.86"/>
    <col collapsed="false" customWidth="true" hidden="false" outlineLevel="0" max="3" min="3" style="1" width="35.57"/>
    <col collapsed="false" customWidth="true" hidden="true" outlineLevel="1" max="4" min="4" style="1" width="35.57"/>
    <col collapsed="false" customWidth="true" hidden="true" outlineLevel="1" max="5" min="5" style="1" width="9.42"/>
    <col collapsed="false" customWidth="true" hidden="false" outlineLevel="0" max="10" min="6" style="1" width="9.42"/>
    <col collapsed="false" customWidth="true" hidden="true" outlineLevel="1" max="14" min="11" style="1" width="9.42"/>
    <col collapsed="false" customWidth="true" hidden="false" outlineLevel="0" max="15" min="15" style="1" width="0.86"/>
    <col collapsed="false" customWidth="true" hidden="true" outlineLevel="1" max="17" min="16" style="1" width="8.42"/>
    <col collapsed="false" customWidth="true" hidden="true" outlineLevel="2" max="18" min="18" style="1" width="0.86"/>
    <col collapsed="true" customWidth="false" hidden="false" outlineLevel="0" max="19" min="19" style="1" width="11.29"/>
    <col collapsed="false" customWidth="false" hidden="false" outlineLevel="0" max="16384" min="20" style="1" width="11.29"/>
  </cols>
  <sheetData>
    <row r="1" customFormat="false" ht="11.25" hidden="true" customHeight="true" outlineLevel="3" collapsed="false">
      <c r="C1" s="31" t="s">
        <v>405</v>
      </c>
      <c r="D1" s="31" t="s">
        <v>405</v>
      </c>
      <c r="E1" s="31"/>
      <c r="F1" s="12" t="n">
        <f aca="false">IFERROR(F4,F6)</f>
        <v>44926</v>
      </c>
      <c r="G1" s="12" t="n">
        <f aca="false">IFERROR(G4,G6)</f>
        <v>45291</v>
      </c>
      <c r="H1" s="12" t="n">
        <f aca="false">IFERROR(H4,H6)</f>
        <v>45657</v>
      </c>
      <c r="I1" s="12" t="n">
        <f aca="false">IFERROR(I4,I6)</f>
        <v>45808</v>
      </c>
      <c r="J1" s="12" t="n">
        <f aca="false">IFERROR(J4,J6)</f>
        <v>45808</v>
      </c>
      <c r="K1" s="12" t="n">
        <f aca="false">IFERROR(K4,K6)</f>
        <v>46022</v>
      </c>
      <c r="L1" s="12" t="n">
        <f aca="false">IFERROR(L4,L6)</f>
        <v>46387</v>
      </c>
      <c r="M1" s="12" t="n">
        <f aca="false">IFERROR(M4,M6)</f>
        <v>46752</v>
      </c>
      <c r="N1" s="12" t="n">
        <f aca="false">IFERROR(N4,N6)</f>
        <v>47118</v>
      </c>
    </row>
    <row r="4" customFormat="false" ht="11.25" hidden="false" customHeight="true" outlineLevel="0" collapsed="false">
      <c r="C4" s="10" t="str">
        <f aca="false">Cockpit!$C$4</f>
        <v>Template</v>
      </c>
      <c r="D4" s="10"/>
      <c r="E4" s="10"/>
      <c r="F4" s="85" t="n">
        <f aca="false">'Lead PL'!F4</f>
        <v>44926</v>
      </c>
      <c r="G4" s="85" t="n">
        <f aca="false">'Lead PL'!G4</f>
        <v>45291</v>
      </c>
      <c r="H4" s="85" t="n">
        <f aca="false">'Lead PL'!H4</f>
        <v>45657</v>
      </c>
      <c r="I4" s="85" t="n">
        <f aca="false">'Lead PL'!I4</f>
        <v>45808</v>
      </c>
      <c r="J4" s="85" t="n">
        <f aca="false">'Lead PL'!J4</f>
        <v>45808</v>
      </c>
      <c r="K4" s="85" t="n">
        <f aca="false">'Lead PL'!K4</f>
        <v>46022</v>
      </c>
      <c r="L4" s="85" t="n">
        <f aca="false">'Lead PL'!L4</f>
        <v>46387</v>
      </c>
      <c r="M4" s="85" t="n">
        <f aca="false">'Lead PL'!M4</f>
        <v>46752</v>
      </c>
      <c r="N4" s="85" t="n">
        <f aca="false">'Lead PL'!N4</f>
        <v>47118</v>
      </c>
      <c r="O4" s="57"/>
      <c r="P4" s="74" t="str">
        <f aca="false">'Lead PL'!P4</f>
        <v>CAGR</v>
      </c>
      <c r="Q4" s="74" t="str">
        <f aca="false">'Lead PL'!Q4</f>
        <v>CAGR</v>
      </c>
    </row>
    <row r="5" customFormat="false" ht="11.25" hidden="false" customHeight="true" outlineLevel="0" collapsed="false">
      <c r="C5" s="10" t="str">
        <f aca="false">"in T"&amp;Cockpit!$C$5</f>
        <v>in TEUR</v>
      </c>
      <c r="D5" s="10"/>
      <c r="E5" s="10"/>
      <c r="F5" s="85" t="str">
        <f aca="false">'Lead PL'!F5</f>
        <v>IST</v>
      </c>
      <c r="G5" s="85" t="str">
        <f aca="false">'Lead PL'!G5</f>
        <v>IST</v>
      </c>
      <c r="H5" s="85" t="str">
        <f aca="false">'Lead PL'!H5</f>
        <v>IST</v>
      </c>
      <c r="I5" s="85" t="str">
        <f aca="false">'Lead PL'!I5</f>
        <v>LTM</v>
      </c>
      <c r="J5" s="85" t="str">
        <f aca="false">'Lead PL'!J5</f>
        <v>YTD</v>
      </c>
      <c r="K5" s="85" t="str">
        <f aca="false">'Lead PL'!K5</f>
        <v>Plan</v>
      </c>
      <c r="L5" s="85" t="str">
        <f aca="false">'Lead PL'!L5</f>
        <v>Plan</v>
      </c>
      <c r="M5" s="85" t="str">
        <f aca="false">'Lead PL'!M5</f>
        <v>Plan</v>
      </c>
      <c r="N5" s="85" t="str">
        <f aca="false">'Lead PL'!N5</f>
        <v>Plan</v>
      </c>
      <c r="O5" s="57"/>
      <c r="P5" s="74" t="str">
        <f aca="false">'Lead PL'!P5</f>
        <v>IST</v>
      </c>
      <c r="Q5" s="74" t="str">
        <f aca="false">'Lead PL'!Q5</f>
        <v>Plan</v>
      </c>
    </row>
    <row r="6" customFormat="false" ht="11.25" hidden="true" customHeight="true" outlineLevel="1" collapsed="false">
      <c r="C6" s="88"/>
      <c r="D6" s="10" t="str">
        <f aca="false">Cockpit!$C$4</f>
        <v>Template</v>
      </c>
      <c r="E6" s="10"/>
      <c r="F6" s="74" t="n">
        <f aca="false">'Lead PL'!F6</f>
        <v>44926</v>
      </c>
      <c r="G6" s="74" t="n">
        <f aca="false">'Lead PL'!G6</f>
        <v>45291</v>
      </c>
      <c r="H6" s="74" t="n">
        <f aca="false">'Lead PL'!H6</f>
        <v>45657</v>
      </c>
      <c r="I6" s="74" t="n">
        <f aca="false">'Lead PL'!I6</f>
        <v>45808</v>
      </c>
      <c r="J6" s="74" t="n">
        <f aca="false">'Lead PL'!J6</f>
        <v>45808</v>
      </c>
      <c r="K6" s="74" t="n">
        <f aca="false">'Lead PL'!K6</f>
        <v>46022</v>
      </c>
      <c r="L6" s="74" t="n">
        <f aca="false">'Lead PL'!L6</f>
        <v>46387</v>
      </c>
      <c r="M6" s="74" t="n">
        <f aca="false">'Lead PL'!M6</f>
        <v>46752</v>
      </c>
      <c r="N6" s="74" t="n">
        <f aca="false">'Lead PL'!N6</f>
        <v>47118</v>
      </c>
      <c r="O6" s="57"/>
      <c r="P6" s="74" t="str">
        <f aca="false">'Lead PL'!P6</f>
        <v>CAGR</v>
      </c>
      <c r="Q6" s="74" t="str">
        <f aca="false">'Lead PL'!Q6</f>
        <v>CAGR</v>
      </c>
    </row>
    <row r="7" customFormat="false" ht="11.25" hidden="true" customHeight="true" outlineLevel="1" collapsed="false">
      <c r="C7" s="88"/>
      <c r="D7" s="10" t="str">
        <f aca="false">"in k"&amp;Cockpit!$C$5</f>
        <v>in kEUR</v>
      </c>
      <c r="E7" s="10"/>
      <c r="F7" s="74" t="str">
        <f aca="false">'Lead PL'!F7</f>
        <v>IST</v>
      </c>
      <c r="G7" s="74" t="str">
        <f aca="false">'Lead PL'!G7</f>
        <v>IST</v>
      </c>
      <c r="H7" s="74" t="str">
        <f aca="false">'Lead PL'!H7</f>
        <v>IST</v>
      </c>
      <c r="I7" s="74" t="str">
        <f aca="false">'Lead PL'!I7</f>
        <v>LTM</v>
      </c>
      <c r="J7" s="74" t="str">
        <f aca="false">'Lead PL'!J7</f>
        <v>YTD</v>
      </c>
      <c r="K7" s="74" t="str">
        <f aca="false">'Lead PL'!K7</f>
        <v>Plan</v>
      </c>
      <c r="L7" s="74" t="str">
        <f aca="false">'Lead PL'!L7</f>
        <v>Plan</v>
      </c>
      <c r="M7" s="74" t="str">
        <f aca="false">'Lead PL'!M7</f>
        <v>Plan</v>
      </c>
      <c r="N7" s="74" t="str">
        <f aca="false">'Lead PL'!N7</f>
        <v>Plan</v>
      </c>
      <c r="O7" s="57"/>
      <c r="P7" s="74" t="str">
        <f aca="false">'Lead PL'!P7</f>
        <v>IST</v>
      </c>
      <c r="Q7" s="74" t="str">
        <f aca="false">'Lead PL'!Q7</f>
        <v>Plan</v>
      </c>
    </row>
    <row r="8" customFormat="false" ht="4.5" hidden="false" customHeight="true" outlineLevel="0" collapsed="false">
      <c r="C8" s="86"/>
      <c r="D8" s="90"/>
      <c r="E8" s="90"/>
      <c r="F8" s="86"/>
      <c r="G8" s="86"/>
      <c r="H8" s="86"/>
      <c r="I8" s="86"/>
      <c r="J8" s="86"/>
      <c r="K8" s="86"/>
      <c r="L8" s="86"/>
      <c r="M8" s="86"/>
      <c r="N8" s="86"/>
      <c r="O8" s="57"/>
      <c r="P8" s="86"/>
      <c r="Q8" s="86"/>
    </row>
    <row r="9" customFormat="false" ht="11.25" hidden="false" customHeight="true" outlineLevel="0" collapsed="false">
      <c r="C9" s="51" t="s">
        <v>234</v>
      </c>
      <c r="D9" s="51" t="s">
        <v>234</v>
      </c>
      <c r="E9" s="51"/>
      <c r="F9" s="159"/>
      <c r="G9" s="159"/>
      <c r="H9" s="159"/>
      <c r="I9" s="196"/>
      <c r="J9" s="160"/>
      <c r="K9" s="161"/>
      <c r="L9" s="161"/>
      <c r="M9" s="161"/>
      <c r="N9" s="161"/>
      <c r="O9" s="57"/>
      <c r="P9" s="57" t="str">
        <f aca="false">IFERROR(((H9/F9)^(1/(($H$1-$F$1)/365)))-1,"n/a")</f>
        <v>n/a</v>
      </c>
      <c r="Q9" s="57" t="str">
        <f aca="false">IFERROR(((N9/H9)^(1/(($N$1-$H$1)/365)))-1,"n/a")</f>
        <v>n/a</v>
      </c>
    </row>
    <row r="10" customFormat="false" ht="11.25" hidden="false" customHeight="true" outlineLevel="0" collapsed="false">
      <c r="C10" s="51" t="s">
        <v>235</v>
      </c>
      <c r="D10" s="51" t="s">
        <v>235</v>
      </c>
      <c r="E10" s="51"/>
      <c r="F10" s="159"/>
      <c r="G10" s="159"/>
      <c r="H10" s="159"/>
      <c r="I10" s="196"/>
      <c r="J10" s="160"/>
      <c r="K10" s="161"/>
      <c r="L10" s="161"/>
      <c r="M10" s="161"/>
      <c r="N10" s="161"/>
      <c r="O10" s="57"/>
      <c r="P10" s="57" t="str">
        <f aca="false">IFERROR(((H10/F10)^(1/(($H$1-$F$1)/365)))-1,"n/a")</f>
        <v>n/a</v>
      </c>
      <c r="Q10" s="57" t="str">
        <f aca="false">IFERROR(((N10/H10)^(1/(($N$1-$H$1)/365)))-1,"n/a")</f>
        <v>n/a</v>
      </c>
    </row>
    <row r="11" customFormat="false" ht="11.25" hidden="false" customHeight="true" outlineLevel="0" collapsed="false">
      <c r="C11" s="54" t="s">
        <v>236</v>
      </c>
      <c r="D11" s="54" t="s">
        <v>236</v>
      </c>
      <c r="E11" s="54"/>
      <c r="F11" s="162"/>
      <c r="G11" s="162"/>
      <c r="H11" s="162"/>
      <c r="I11" s="197"/>
      <c r="J11" s="163"/>
      <c r="K11" s="164"/>
      <c r="L11" s="164"/>
      <c r="M11" s="164"/>
      <c r="N11" s="164"/>
      <c r="O11" s="57"/>
      <c r="P11" s="55" t="str">
        <f aca="false">IFERROR(((H11/F11)^(1/(($H$1-$F$1)/365)))-1,"n/a")</f>
        <v>n/a</v>
      </c>
      <c r="Q11" s="55" t="str">
        <f aca="false">IFERROR(((N11/H11)^(1/(($N$1-$H$1)/365)))-1,"n/a")</f>
        <v>n/a</v>
      </c>
    </row>
    <row r="12" customFormat="false" ht="11.25" hidden="false" customHeight="true" outlineLevel="0" collapsed="false">
      <c r="C12" s="165" t="s">
        <v>649</v>
      </c>
      <c r="D12" s="165" t="s">
        <v>650</v>
      </c>
      <c r="E12" s="165"/>
      <c r="F12" s="165" t="n">
        <f aca="false">SUM(F9:F11)</f>
        <v>0</v>
      </c>
      <c r="G12" s="165" t="n">
        <f aca="false">SUM(G9:G11)</f>
        <v>0</v>
      </c>
      <c r="H12" s="165" t="n">
        <f aca="false">SUM(H9:H11)</f>
        <v>0</v>
      </c>
      <c r="I12" s="199" t="n">
        <f aca="false">SUM(I9:I11)</f>
        <v>0</v>
      </c>
      <c r="J12" s="166" t="n">
        <f aca="false">SUM(J9:J11)</f>
        <v>0</v>
      </c>
      <c r="K12" s="167" t="n">
        <f aca="false">SUM(K9:K11)</f>
        <v>0</v>
      </c>
      <c r="L12" s="167" t="n">
        <f aca="false">SUM(L9:L11)</f>
        <v>0</v>
      </c>
      <c r="M12" s="167" t="n">
        <f aca="false">SUM(M9:M11)</f>
        <v>0</v>
      </c>
      <c r="N12" s="167" t="n">
        <f aca="false">SUM(N9:N11)</f>
        <v>0</v>
      </c>
      <c r="O12" s="132"/>
      <c r="P12" s="273" t="str">
        <f aca="false">IFERROR(((H12/F12)^(1/(($H$1-$F$1)/365)))-1,"n/a")</f>
        <v>n/a</v>
      </c>
      <c r="Q12" s="273" t="str">
        <f aca="false">IFERROR(((N12/H12)^(1/(($N$1-$H$1)/365)))-1,"n/a")</f>
        <v>n/a</v>
      </c>
    </row>
    <row r="13" customFormat="false" ht="4.5" hidden="false" customHeight="true" outlineLevel="0" collapsed="false">
      <c r="C13" s="51"/>
      <c r="D13" s="51"/>
      <c r="E13" s="51"/>
      <c r="F13" s="159"/>
      <c r="G13" s="159"/>
      <c r="H13" s="159"/>
      <c r="I13" s="196"/>
      <c r="J13" s="160"/>
      <c r="K13" s="161"/>
      <c r="L13" s="161"/>
      <c r="M13" s="161"/>
      <c r="N13" s="161"/>
      <c r="O13" s="57"/>
      <c r="P13" s="57"/>
      <c r="Q13" s="57"/>
    </row>
    <row r="14" customFormat="false" ht="11.25" hidden="false" customHeight="true" outlineLevel="0" collapsed="false">
      <c r="C14" s="51" t="s">
        <v>234</v>
      </c>
      <c r="D14" s="51" t="s">
        <v>234</v>
      </c>
      <c r="E14" s="51"/>
      <c r="F14" s="159"/>
      <c r="G14" s="159"/>
      <c r="H14" s="159"/>
      <c r="I14" s="196"/>
      <c r="J14" s="160"/>
      <c r="K14" s="161"/>
      <c r="L14" s="161"/>
      <c r="M14" s="161"/>
      <c r="N14" s="161"/>
      <c r="O14" s="57"/>
      <c r="P14" s="57" t="str">
        <f aca="false">IFERROR(((H14/F14)^(1/(($H$1-$F$1)/365)))-1,"n/a")</f>
        <v>n/a</v>
      </c>
      <c r="Q14" s="57" t="str">
        <f aca="false">IFERROR(((N14/H14)^(1/(($N$1-$H$1)/365)))-1,"n/a")</f>
        <v>n/a</v>
      </c>
    </row>
    <row r="15" customFormat="false" ht="11.25" hidden="false" customHeight="true" outlineLevel="0" collapsed="false">
      <c r="C15" s="51" t="s">
        <v>235</v>
      </c>
      <c r="D15" s="51" t="s">
        <v>235</v>
      </c>
      <c r="E15" s="51"/>
      <c r="F15" s="159"/>
      <c r="G15" s="159"/>
      <c r="H15" s="159"/>
      <c r="I15" s="196"/>
      <c r="J15" s="160"/>
      <c r="K15" s="161"/>
      <c r="L15" s="161"/>
      <c r="M15" s="161"/>
      <c r="N15" s="161"/>
      <c r="O15" s="57"/>
      <c r="P15" s="57" t="str">
        <f aca="false">IFERROR(((H15/F15)^(1/(($H$1-$F$1)/365)))-1,"n/a")</f>
        <v>n/a</v>
      </c>
      <c r="Q15" s="57" t="str">
        <f aca="false">IFERROR(((N15/H15)^(1/(($N$1-$H$1)/365)))-1,"n/a")</f>
        <v>n/a</v>
      </c>
    </row>
    <row r="16" customFormat="false" ht="11.25" hidden="false" customHeight="true" outlineLevel="0" collapsed="false">
      <c r="C16" s="51" t="s">
        <v>236</v>
      </c>
      <c r="D16" s="51" t="s">
        <v>236</v>
      </c>
      <c r="E16" s="51"/>
      <c r="F16" s="159"/>
      <c r="G16" s="159"/>
      <c r="H16" s="159"/>
      <c r="I16" s="196"/>
      <c r="J16" s="160"/>
      <c r="K16" s="161"/>
      <c r="L16" s="161"/>
      <c r="M16" s="161"/>
      <c r="N16" s="161"/>
      <c r="O16" s="57"/>
      <c r="P16" s="57" t="str">
        <f aca="false">IFERROR(((H16/F16)^(1/(($H$1-$F$1)/365)))-1,"n/a")</f>
        <v>n/a</v>
      </c>
      <c r="Q16" s="57" t="str">
        <f aca="false">IFERROR(((N16/H16)^(1/(($N$1-$H$1)/365)))-1,"n/a")</f>
        <v>n/a</v>
      </c>
    </row>
    <row r="17" customFormat="false" ht="11.25" hidden="false" customHeight="true" outlineLevel="0" collapsed="false">
      <c r="C17" s="165" t="s">
        <v>651</v>
      </c>
      <c r="D17" s="165" t="s">
        <v>652</v>
      </c>
      <c r="E17" s="165"/>
      <c r="F17" s="165" t="n">
        <f aca="false">SUM(F14:F16)</f>
        <v>0</v>
      </c>
      <c r="G17" s="165" t="n">
        <f aca="false">SUM(G14:G16)</f>
        <v>0</v>
      </c>
      <c r="H17" s="165" t="n">
        <f aca="false">SUM(H14:H16)</f>
        <v>0</v>
      </c>
      <c r="I17" s="199" t="n">
        <f aca="false">SUM(I14:I16)</f>
        <v>0</v>
      </c>
      <c r="J17" s="166" t="n">
        <f aca="false">SUM(J14:J16)</f>
        <v>0</v>
      </c>
      <c r="K17" s="167" t="n">
        <f aca="false">SUM(K14:K16)</f>
        <v>0</v>
      </c>
      <c r="L17" s="167" t="n">
        <f aca="false">SUM(L14:L16)</f>
        <v>0</v>
      </c>
      <c r="M17" s="167" t="n">
        <f aca="false">SUM(M14:M16)</f>
        <v>0</v>
      </c>
      <c r="N17" s="167" t="n">
        <f aca="false">SUM(N14:N16)</f>
        <v>0</v>
      </c>
      <c r="O17" s="132"/>
      <c r="P17" s="273" t="str">
        <f aca="false">IFERROR(((H17/F17)^(1/(($H$1-$F$1)/365)))-1,"n/a")</f>
        <v>n/a</v>
      </c>
      <c r="Q17" s="273" t="str">
        <f aca="false">IFERROR(((N17/H17)^(1/(($N$1-$H$1)/365)))-1,"n/a")</f>
        <v>n/a</v>
      </c>
    </row>
    <row r="18" customFormat="false" ht="4.5" hidden="false" customHeight="true" outlineLevel="0" collapsed="false">
      <c r="C18" s="205"/>
      <c r="D18" s="205"/>
      <c r="E18" s="205"/>
      <c r="F18" s="205"/>
      <c r="G18" s="205"/>
      <c r="H18" s="205"/>
      <c r="I18" s="206"/>
      <c r="J18" s="207"/>
      <c r="K18" s="274"/>
      <c r="L18" s="274"/>
      <c r="M18" s="274"/>
      <c r="N18" s="274"/>
      <c r="O18" s="132"/>
      <c r="P18" s="275"/>
      <c r="Q18" s="275"/>
    </row>
    <row r="19" customFormat="false" ht="11.25" hidden="false" customHeight="true" outlineLevel="0" collapsed="false">
      <c r="C19" s="171" t="str">
        <f aca="false">'Lead PL'!C53</f>
        <v>Personalaufwand</v>
      </c>
      <c r="D19" s="171" t="str">
        <f aca="false">'Lead PL'!D53</f>
        <v>Personnel expenses</v>
      </c>
      <c r="E19" s="171"/>
      <c r="F19" s="205" t="n">
        <f aca="false">F17+F12</f>
        <v>0</v>
      </c>
      <c r="G19" s="205" t="n">
        <f aca="false">G17+G12</f>
        <v>0</v>
      </c>
      <c r="H19" s="205" t="n">
        <f aca="false">H17+H12</f>
        <v>0</v>
      </c>
      <c r="I19" s="206" t="n">
        <f aca="false">I17+I12</f>
        <v>0</v>
      </c>
      <c r="J19" s="207" t="n">
        <f aca="false">J17+J12</f>
        <v>0</v>
      </c>
      <c r="K19" s="274" t="n">
        <f aca="false">K17+K12</f>
        <v>0</v>
      </c>
      <c r="L19" s="274" t="n">
        <f aca="false">L17+L12</f>
        <v>0</v>
      </c>
      <c r="M19" s="274" t="n">
        <f aca="false">M17+M12</f>
        <v>0</v>
      </c>
      <c r="N19" s="274" t="n">
        <f aca="false">N17+N12</f>
        <v>0</v>
      </c>
      <c r="O19" s="132"/>
      <c r="P19" s="276" t="str">
        <f aca="false">IFERROR(((H19/F19)^(1/(($H$1-$F$1)/365)))-1,"n/a")</f>
        <v>n/a</v>
      </c>
      <c r="Q19" s="276" t="str">
        <f aca="false">IFERROR(((N19/H19)^(1/(($N$1-$H$1)/365)))-1,"n/a")</f>
        <v>n/a</v>
      </c>
    </row>
    <row r="20" customFormat="false" ht="4.5" hidden="false" customHeight="true" outlineLevel="0" collapsed="false">
      <c r="C20" s="51"/>
      <c r="D20" s="51"/>
      <c r="E20" s="51"/>
      <c r="F20" s="159"/>
      <c r="G20" s="159"/>
      <c r="H20" s="159"/>
      <c r="I20" s="196"/>
      <c r="J20" s="160"/>
      <c r="K20" s="161"/>
      <c r="L20" s="161"/>
      <c r="M20" s="161"/>
      <c r="N20" s="161"/>
      <c r="O20" s="57"/>
      <c r="P20" s="57"/>
      <c r="Q20" s="57"/>
    </row>
    <row r="21" customFormat="false" ht="11.25" hidden="true" customHeight="true" outlineLevel="2" collapsed="false">
      <c r="C21" s="51" t="str">
        <f aca="false">'Lead PL'!C39</f>
        <v>Gesamtleistung</v>
      </c>
      <c r="D21" s="51" t="str">
        <f aca="false">'Lead PL'!D39</f>
        <v>Total output</v>
      </c>
      <c r="E21" s="51"/>
      <c r="F21" s="159" t="n">
        <f aca="false">'Lead PL'!F39</f>
        <v>0</v>
      </c>
      <c r="G21" s="159" t="n">
        <f aca="false">'Lead PL'!G39</f>
        <v>0</v>
      </c>
      <c r="H21" s="159" t="n">
        <f aca="false">'Lead PL'!H39</f>
        <v>0</v>
      </c>
      <c r="I21" s="196" t="n">
        <f aca="false">'Lead PL'!I39</f>
        <v>0</v>
      </c>
      <c r="J21" s="160" t="n">
        <f aca="false">'Lead PL'!J39</f>
        <v>0</v>
      </c>
      <c r="K21" s="161" t="n">
        <f aca="false">'Lead PL'!K39</f>
        <v>0</v>
      </c>
      <c r="L21" s="161" t="n">
        <f aca="false">'Lead PL'!L39</f>
        <v>0</v>
      </c>
      <c r="M21" s="161" t="n">
        <f aca="false">'Lead PL'!M39</f>
        <v>0</v>
      </c>
      <c r="N21" s="161" t="n">
        <f aca="false">'Lead PL'!N39</f>
        <v>0</v>
      </c>
      <c r="O21" s="57"/>
      <c r="P21" s="57"/>
      <c r="Q21" s="57"/>
    </row>
    <row r="22" customFormat="false" ht="11.25" hidden="true" customHeight="true" outlineLevel="2" collapsed="false">
      <c r="C22" s="51"/>
      <c r="D22" s="51"/>
      <c r="E22" s="51"/>
      <c r="F22" s="159"/>
      <c r="G22" s="159"/>
      <c r="H22" s="159"/>
      <c r="I22" s="196"/>
      <c r="J22" s="160"/>
      <c r="K22" s="161"/>
      <c r="L22" s="161"/>
      <c r="M22" s="161"/>
      <c r="N22" s="161"/>
      <c r="O22" s="57"/>
      <c r="P22" s="57"/>
      <c r="Q22" s="57"/>
    </row>
    <row r="23" customFormat="false" ht="11.25" hidden="false" customHeight="true" outlineLevel="0" collapsed="false">
      <c r="C23" s="132" t="str">
        <f aca="false">"in % der "&amp;C21</f>
        <v>in % der Gesamtleistung</v>
      </c>
      <c r="D23" s="132" t="str">
        <f aca="false">"in % of "&amp;D21</f>
        <v>in % of Total output</v>
      </c>
      <c r="E23" s="132"/>
      <c r="F23" s="159"/>
      <c r="G23" s="159"/>
      <c r="H23" s="159"/>
      <c r="I23" s="196"/>
      <c r="J23" s="160"/>
      <c r="K23" s="161"/>
      <c r="L23" s="161"/>
      <c r="M23" s="161"/>
      <c r="N23" s="161"/>
      <c r="O23" s="57"/>
      <c r="P23" s="57"/>
      <c r="Q23" s="57"/>
    </row>
    <row r="24" customFormat="false" ht="11.25" hidden="false" customHeight="true" outlineLevel="0" collapsed="false">
      <c r="C24" s="51" t="str">
        <f aca="false">C12</f>
        <v>Löhne und Gehälter</v>
      </c>
      <c r="D24" s="51" t="str">
        <f aca="false">D12</f>
        <v>Wages and salaries</v>
      </c>
      <c r="E24" s="51"/>
      <c r="F24" s="57" t="str">
        <f aca="false">IFERROR(F12/F$21,"n/a")</f>
        <v>n/a</v>
      </c>
      <c r="G24" s="57" t="str">
        <f aca="false">IFERROR(G12/G$21,"n/a")</f>
        <v>n/a</v>
      </c>
      <c r="H24" s="57" t="str">
        <f aca="false">IFERROR(H12/H$21,"n/a")</f>
        <v>n/a</v>
      </c>
      <c r="I24" s="141" t="str">
        <f aca="false">IFERROR(I12/I$21,"n/a")</f>
        <v>n/a</v>
      </c>
      <c r="J24" s="142" t="str">
        <f aca="false">IFERROR(J12/J$21,"n/a")</f>
        <v>n/a</v>
      </c>
      <c r="K24" s="139" t="str">
        <f aca="false">IFERROR(K12/K$21,"n/a")</f>
        <v>n/a</v>
      </c>
      <c r="L24" s="139" t="str">
        <f aca="false">IFERROR(L12/L$21,"n/a")</f>
        <v>n/a</v>
      </c>
      <c r="M24" s="139" t="str">
        <f aca="false">IFERROR(M12/M$21,"n/a")</f>
        <v>n/a</v>
      </c>
      <c r="N24" s="139" t="str">
        <f aca="false">IFERROR(N12/N$21,"n/a")</f>
        <v>n/a</v>
      </c>
      <c r="O24" s="57"/>
      <c r="P24" s="57"/>
      <c r="Q24" s="57"/>
    </row>
    <row r="25" customFormat="false" ht="11.25" hidden="false" customHeight="true" outlineLevel="0" collapsed="false">
      <c r="C25" s="51" t="str">
        <f aca="false">C17</f>
        <v>Sozialabgaben</v>
      </c>
      <c r="D25" s="51" t="str">
        <f aca="false">D17</f>
        <v>Social security</v>
      </c>
      <c r="E25" s="51"/>
      <c r="F25" s="57" t="str">
        <f aca="false">IFERROR(F17/F$21,"n/a")</f>
        <v>n/a</v>
      </c>
      <c r="G25" s="57" t="str">
        <f aca="false">IFERROR(G17/G$21,"n/a")</f>
        <v>n/a</v>
      </c>
      <c r="H25" s="57" t="str">
        <f aca="false">IFERROR(H17/H$21,"n/a")</f>
        <v>n/a</v>
      </c>
      <c r="I25" s="141" t="str">
        <f aca="false">IFERROR(I17/I$21,"n/a")</f>
        <v>n/a</v>
      </c>
      <c r="J25" s="142" t="str">
        <f aca="false">IFERROR(J17/J$21,"n/a")</f>
        <v>n/a</v>
      </c>
      <c r="K25" s="139" t="str">
        <f aca="false">IFERROR(K17/K$21,"n/a")</f>
        <v>n/a</v>
      </c>
      <c r="L25" s="139" t="str">
        <f aca="false">IFERROR(L17/L$21,"n/a")</f>
        <v>n/a</v>
      </c>
      <c r="M25" s="139" t="str">
        <f aca="false">IFERROR(M17/M$21,"n/a")</f>
        <v>n/a</v>
      </c>
      <c r="N25" s="139" t="str">
        <f aca="false">IFERROR(N17/N$21,"n/a")</f>
        <v>n/a</v>
      </c>
      <c r="O25" s="57"/>
      <c r="P25" s="57"/>
      <c r="Q25" s="57"/>
    </row>
    <row r="26" s="277" customFormat="true" ht="11.25" hidden="false" customHeight="true" outlineLevel="0" collapsed="false">
      <c r="B26" s="1"/>
      <c r="C26" s="132" t="str">
        <f aca="false">C19</f>
        <v>Personalaufwand</v>
      </c>
      <c r="D26" s="132" t="str">
        <f aca="false">D19</f>
        <v>Personnel expenses</v>
      </c>
      <c r="E26" s="132"/>
      <c r="F26" s="144" t="str">
        <f aca="false">IFERROR(F19/F$21,"n/a")</f>
        <v>n/a</v>
      </c>
      <c r="G26" s="144" t="str">
        <f aca="false">IFERROR(G19/G$21,"n/a")</f>
        <v>n/a</v>
      </c>
      <c r="H26" s="144" t="str">
        <f aca="false">IFERROR(H19/H$21,"n/a")</f>
        <v>n/a</v>
      </c>
      <c r="I26" s="145" t="str">
        <f aca="false">IFERROR(I19/I$21,"n/a")</f>
        <v>n/a</v>
      </c>
      <c r="J26" s="146" t="str">
        <f aca="false">IFERROR(J19/J$21,"n/a")</f>
        <v>n/a</v>
      </c>
      <c r="K26" s="147" t="str">
        <f aca="false">IFERROR(K19/K$21,"n/a")</f>
        <v>n/a</v>
      </c>
      <c r="L26" s="147" t="str">
        <f aca="false">IFERROR(L19/L$21,"n/a")</f>
        <v>n/a</v>
      </c>
      <c r="M26" s="147" t="str">
        <f aca="false">IFERROR(M19/M$21,"n/a")</f>
        <v>n/a</v>
      </c>
      <c r="N26" s="147" t="str">
        <f aca="false">IFERROR(N19/N$21,"n/a")</f>
        <v>n/a</v>
      </c>
      <c r="O26" s="57"/>
      <c r="P26" s="57"/>
      <c r="Q26" s="57"/>
      <c r="R26" s="1"/>
    </row>
    <row r="27" customFormat="false" ht="11.25" hidden="false" customHeight="true" outlineLevel="0" collapsed="false">
      <c r="C27" s="278"/>
      <c r="D27" s="278"/>
      <c r="E27" s="278"/>
      <c r="F27" s="159"/>
      <c r="G27" s="159"/>
      <c r="H27" s="159"/>
      <c r="I27" s="196"/>
      <c r="J27" s="160"/>
      <c r="K27" s="161"/>
      <c r="L27" s="161"/>
      <c r="M27" s="161"/>
      <c r="N27" s="161"/>
      <c r="O27" s="57"/>
      <c r="P27" s="57"/>
      <c r="Q27" s="57"/>
    </row>
    <row r="28" customFormat="false" ht="11.25" hidden="false" customHeight="true" outlineLevel="0" collapsed="false">
      <c r="C28" s="132" t="s">
        <v>653</v>
      </c>
      <c r="D28" s="132" t="s">
        <v>654</v>
      </c>
      <c r="E28" s="132"/>
      <c r="F28" s="57"/>
      <c r="G28" s="57"/>
      <c r="H28" s="57"/>
      <c r="I28" s="141"/>
      <c r="J28" s="142"/>
      <c r="K28" s="139"/>
      <c r="L28" s="139"/>
      <c r="M28" s="139"/>
      <c r="N28" s="139"/>
      <c r="O28" s="57"/>
      <c r="P28" s="57"/>
      <c r="Q28" s="57"/>
      <c r="S28" s="35" t="s">
        <v>655</v>
      </c>
      <c r="T28" s="35"/>
      <c r="U28" s="35"/>
    </row>
    <row r="29" customFormat="false" ht="11.25" hidden="false" customHeight="true" outlineLevel="0" collapsed="false">
      <c r="C29" s="51" t="str">
        <f aca="false">C9</f>
        <v>Dummy 1</v>
      </c>
      <c r="D29" s="51" t="str">
        <f aca="false">D9</f>
        <v>Dummy 1</v>
      </c>
      <c r="E29" s="51"/>
      <c r="F29" s="159"/>
      <c r="G29" s="159"/>
      <c r="H29" s="159"/>
      <c r="I29" s="196"/>
      <c r="J29" s="160"/>
      <c r="K29" s="161"/>
      <c r="L29" s="161"/>
      <c r="M29" s="161"/>
      <c r="N29" s="161"/>
      <c r="O29" s="57"/>
      <c r="P29" s="57"/>
      <c r="Q29" s="57"/>
    </row>
    <row r="30" customFormat="false" ht="11.25" hidden="false" customHeight="true" outlineLevel="0" collapsed="false">
      <c r="C30" s="51" t="str">
        <f aca="false">C10</f>
        <v>Dummy 2</v>
      </c>
      <c r="D30" s="51" t="str">
        <f aca="false">D10</f>
        <v>Dummy 2</v>
      </c>
      <c r="E30" s="51"/>
      <c r="F30" s="159"/>
      <c r="G30" s="159"/>
      <c r="H30" s="159"/>
      <c r="I30" s="196"/>
      <c r="J30" s="160"/>
      <c r="K30" s="161"/>
      <c r="L30" s="161"/>
      <c r="M30" s="161"/>
      <c r="N30" s="161"/>
      <c r="O30" s="57"/>
      <c r="P30" s="57"/>
      <c r="Q30" s="57"/>
    </row>
    <row r="31" customFormat="false" ht="11.25" hidden="false" customHeight="true" outlineLevel="0" collapsed="false">
      <c r="C31" s="51" t="str">
        <f aca="false">C11</f>
        <v>Dummy 3</v>
      </c>
      <c r="D31" s="51" t="str">
        <f aca="false">D11</f>
        <v>Dummy 3</v>
      </c>
      <c r="E31" s="51"/>
      <c r="F31" s="159"/>
      <c r="G31" s="159"/>
      <c r="H31" s="159"/>
      <c r="I31" s="196"/>
      <c r="J31" s="160"/>
      <c r="K31" s="161"/>
      <c r="L31" s="161"/>
      <c r="M31" s="161"/>
      <c r="N31" s="161"/>
      <c r="O31" s="57"/>
      <c r="P31" s="57"/>
      <c r="Q31" s="57"/>
    </row>
    <row r="32" customFormat="false" ht="11.25" hidden="false" customHeight="true" outlineLevel="0" collapsed="false">
      <c r="C32" s="132" t="s">
        <v>656</v>
      </c>
      <c r="D32" s="132" t="s">
        <v>657</v>
      </c>
      <c r="E32" s="132"/>
      <c r="F32" s="168" t="n">
        <f aca="false">SUM(F29:F31)</f>
        <v>0</v>
      </c>
      <c r="G32" s="168" t="n">
        <f aca="false">SUM(G29:G31)</f>
        <v>0</v>
      </c>
      <c r="H32" s="168" t="n">
        <f aca="false">SUM(H29:H31)</f>
        <v>0</v>
      </c>
      <c r="I32" s="194" t="n">
        <f aca="false">SUM(I29:I31)</f>
        <v>0</v>
      </c>
      <c r="J32" s="169" t="n">
        <f aca="false">SUM(J29:J31)</f>
        <v>0</v>
      </c>
      <c r="K32" s="170" t="n">
        <f aca="false">SUM(K29:K31)</f>
        <v>0</v>
      </c>
      <c r="L32" s="170" t="n">
        <f aca="false">SUM(L29:L31)</f>
        <v>0</v>
      </c>
      <c r="M32" s="170" t="n">
        <f aca="false">SUM(M29:M31)</f>
        <v>0</v>
      </c>
      <c r="N32" s="170" t="n">
        <f aca="false">SUM(N29:N31)</f>
        <v>0</v>
      </c>
      <c r="O32" s="57"/>
      <c r="P32" s="57"/>
      <c r="Q32" s="57"/>
    </row>
    <row r="33" customFormat="false" ht="11.25" hidden="false" customHeight="true" outlineLevel="0" collapsed="false">
      <c r="C33" s="278"/>
      <c r="D33" s="278"/>
      <c r="E33" s="278"/>
      <c r="F33" s="159"/>
      <c r="G33" s="159"/>
      <c r="H33" s="159"/>
      <c r="I33" s="196"/>
      <c r="J33" s="160"/>
      <c r="K33" s="161"/>
      <c r="L33" s="161"/>
      <c r="M33" s="161"/>
      <c r="N33" s="161"/>
      <c r="O33" s="57"/>
      <c r="P33" s="57"/>
      <c r="Q33" s="57"/>
    </row>
    <row r="34" customFormat="false" ht="11.25" hidden="false" customHeight="true" outlineLevel="0" collapsed="false">
      <c r="C34" s="132" t="s">
        <v>658</v>
      </c>
      <c r="D34" s="132" t="s">
        <v>659</v>
      </c>
      <c r="E34" s="132"/>
      <c r="F34" s="57"/>
      <c r="G34" s="57"/>
      <c r="H34" s="57"/>
      <c r="I34" s="141"/>
      <c r="J34" s="142"/>
      <c r="K34" s="139"/>
      <c r="L34" s="139"/>
      <c r="M34" s="139"/>
      <c r="N34" s="139"/>
      <c r="O34" s="57"/>
      <c r="P34" s="57"/>
      <c r="Q34" s="57"/>
      <c r="S34" s="35" t="s">
        <v>660</v>
      </c>
      <c r="T34" s="35"/>
      <c r="U34" s="35"/>
      <c r="V34" s="35"/>
      <c r="W34" s="35"/>
    </row>
    <row r="35" customFormat="false" ht="11.25" hidden="false" customHeight="true" outlineLevel="0" collapsed="false">
      <c r="C35" s="51" t="str">
        <f aca="false">C9</f>
        <v>Dummy 1</v>
      </c>
      <c r="D35" s="51" t="str">
        <f aca="false">D9</f>
        <v>Dummy 1</v>
      </c>
      <c r="E35" s="51"/>
      <c r="F35" s="159" t="str">
        <f aca="false">IFERROR((F9+F14)/F29,"n/a")</f>
        <v>n/a</v>
      </c>
      <c r="G35" s="159" t="str">
        <f aca="false">IFERROR((G9+G14)/G29,"n/a")</f>
        <v>n/a</v>
      </c>
      <c r="H35" s="159" t="str">
        <f aca="false">IFERROR((H9+H14)/H29,"n/a")</f>
        <v>n/a</v>
      </c>
      <c r="I35" s="196" t="str">
        <f aca="false">IFERROR((I9+I14)/I29,"n/a")</f>
        <v>n/a</v>
      </c>
      <c r="J35" s="160" t="str">
        <f aca="false">IFERROR((J9+J14)/J29,"n/a")</f>
        <v>n/a</v>
      </c>
      <c r="K35" s="161" t="str">
        <f aca="false">IFERROR((K9+K14)/K29,"n/a")</f>
        <v>n/a</v>
      </c>
      <c r="L35" s="161" t="str">
        <f aca="false">IFERROR((L9+L14)/L29,"n/a")</f>
        <v>n/a</v>
      </c>
      <c r="M35" s="161" t="str">
        <f aca="false">IFERROR((M9+M14)/M29,"n/a")</f>
        <v>n/a</v>
      </c>
      <c r="N35" s="161" t="str">
        <f aca="false">IFERROR((N9+N14)/N29,"n/a")</f>
        <v>n/a</v>
      </c>
      <c r="O35" s="57"/>
      <c r="P35" s="57"/>
      <c r="Q35" s="57"/>
    </row>
    <row r="36" customFormat="false" ht="11.25" hidden="false" customHeight="true" outlineLevel="0" collapsed="false">
      <c r="C36" s="51" t="str">
        <f aca="false">C10</f>
        <v>Dummy 2</v>
      </c>
      <c r="D36" s="51" t="str">
        <f aca="false">D10</f>
        <v>Dummy 2</v>
      </c>
      <c r="E36" s="51"/>
      <c r="F36" s="159" t="str">
        <f aca="false">IFERROR((F10+F15)/F30,"n/a")</f>
        <v>n/a</v>
      </c>
      <c r="G36" s="159" t="str">
        <f aca="false">IFERROR((G10+G15)/G30,"n/a")</f>
        <v>n/a</v>
      </c>
      <c r="H36" s="159" t="str">
        <f aca="false">IFERROR((H10+H15)/H30,"n/a")</f>
        <v>n/a</v>
      </c>
      <c r="I36" s="196" t="str">
        <f aca="false">IFERROR((I10+I15)/I30,"n/a")</f>
        <v>n/a</v>
      </c>
      <c r="J36" s="160" t="str">
        <f aca="false">IFERROR((J10+J15)/J30,"n/a")</f>
        <v>n/a</v>
      </c>
      <c r="K36" s="161" t="str">
        <f aca="false">IFERROR((K10+K15)/K30,"n/a")</f>
        <v>n/a</v>
      </c>
      <c r="L36" s="161" t="str">
        <f aca="false">IFERROR((L10+L15)/L30,"n/a")</f>
        <v>n/a</v>
      </c>
      <c r="M36" s="161" t="str">
        <f aca="false">IFERROR((M10+M15)/M30,"n/a")</f>
        <v>n/a</v>
      </c>
      <c r="N36" s="161" t="str">
        <f aca="false">IFERROR((N10+N15)/N30,"n/a")</f>
        <v>n/a</v>
      </c>
      <c r="O36" s="57"/>
      <c r="P36" s="57"/>
      <c r="Q36" s="57"/>
    </row>
    <row r="37" customFormat="false" ht="11.25" hidden="false" customHeight="true" outlineLevel="0" collapsed="false">
      <c r="C37" s="51" t="str">
        <f aca="false">C11</f>
        <v>Dummy 3</v>
      </c>
      <c r="D37" s="51" t="str">
        <f aca="false">D11</f>
        <v>Dummy 3</v>
      </c>
      <c r="E37" s="51"/>
      <c r="F37" s="159" t="str">
        <f aca="false">IFERROR((F11+F16)/F31,"n/a")</f>
        <v>n/a</v>
      </c>
      <c r="G37" s="159" t="str">
        <f aca="false">IFERROR((G11+G16)/G31,"n/a")</f>
        <v>n/a</v>
      </c>
      <c r="H37" s="159" t="str">
        <f aca="false">IFERROR((H11+H16)/H31,"n/a")</f>
        <v>n/a</v>
      </c>
      <c r="I37" s="196" t="str">
        <f aca="false">IFERROR((I11+I16)/I31,"n/a")</f>
        <v>n/a</v>
      </c>
      <c r="J37" s="160" t="str">
        <f aca="false">IFERROR((J11+J16)/J31,"n/a")</f>
        <v>n/a</v>
      </c>
      <c r="K37" s="161" t="str">
        <f aca="false">IFERROR((K11+K16)/K31,"n/a")</f>
        <v>n/a</v>
      </c>
      <c r="L37" s="161" t="str">
        <f aca="false">IFERROR((L11+L16)/L31,"n/a")</f>
        <v>n/a</v>
      </c>
      <c r="M37" s="161" t="str">
        <f aca="false">IFERROR((M11+M16)/M31,"n/a")</f>
        <v>n/a</v>
      </c>
      <c r="N37" s="161" t="str">
        <f aca="false">IFERROR((N11+N16)/N31,"n/a")</f>
        <v>n/a</v>
      </c>
      <c r="O37" s="57"/>
      <c r="P37" s="57"/>
      <c r="Q37" s="57"/>
    </row>
    <row r="38" s="277" customFormat="true" ht="11.25" hidden="false" customHeight="true" outlineLevel="0" collapsed="false">
      <c r="B38" s="1"/>
      <c r="C38" s="132" t="s">
        <v>661</v>
      </c>
      <c r="D38" s="132" t="s">
        <v>662</v>
      </c>
      <c r="E38" s="132"/>
      <c r="F38" s="168" t="str">
        <f aca="false">IFERROR((F12+F17)/F32,"n/a")</f>
        <v>n/a</v>
      </c>
      <c r="G38" s="168" t="str">
        <f aca="false">IFERROR((G12+G17)/G32,"n/a")</f>
        <v>n/a</v>
      </c>
      <c r="H38" s="168" t="str">
        <f aca="false">IFERROR((H12+H17)/H32,"n/a")</f>
        <v>n/a</v>
      </c>
      <c r="I38" s="194" t="str">
        <f aca="false">IFERROR((I12+I17)/I32,"n/a")</f>
        <v>n/a</v>
      </c>
      <c r="J38" s="169" t="str">
        <f aca="false">IFERROR((J12+J17)/J32,"n/a")</f>
        <v>n/a</v>
      </c>
      <c r="K38" s="170" t="str">
        <f aca="false">IFERROR((K12+K17)/K32,"n/a")</f>
        <v>n/a</v>
      </c>
      <c r="L38" s="170" t="str">
        <f aca="false">IFERROR((L12+L17)/L32,"n/a")</f>
        <v>n/a</v>
      </c>
      <c r="M38" s="170" t="str">
        <f aca="false">IFERROR((M12+M17)/M32,"n/a")</f>
        <v>n/a</v>
      </c>
      <c r="N38" s="170" t="str">
        <f aca="false">IFERROR((N12+N17)/N32,"n/a")</f>
        <v>n/a</v>
      </c>
      <c r="O38" s="57"/>
      <c r="P38" s="57"/>
      <c r="Q38" s="57"/>
      <c r="R38" s="1"/>
    </row>
    <row r="39" customFormat="false" ht="11.25" hidden="false" customHeight="true" outlineLevel="0" collapsed="false">
      <c r="C39" s="278"/>
      <c r="D39" s="278"/>
      <c r="E39" s="278"/>
      <c r="F39" s="159"/>
      <c r="G39" s="159"/>
      <c r="H39" s="159"/>
      <c r="I39" s="196"/>
      <c r="J39" s="160"/>
      <c r="K39" s="161"/>
      <c r="L39" s="161"/>
      <c r="M39" s="161"/>
      <c r="N39" s="161"/>
      <c r="O39" s="57"/>
      <c r="P39" s="57"/>
      <c r="Q39" s="57"/>
    </row>
    <row r="40" s="277" customFormat="true" ht="11.25" hidden="false" customHeight="true" outlineLevel="0" collapsed="false">
      <c r="B40" s="1"/>
      <c r="C40" s="132" t="s">
        <v>663</v>
      </c>
      <c r="D40" s="132" t="s">
        <v>664</v>
      </c>
      <c r="E40" s="132"/>
      <c r="F40" s="144" t="str">
        <f aca="false">IFERROR(F17/F$12,"n/a")</f>
        <v>n/a</v>
      </c>
      <c r="G40" s="144" t="str">
        <f aca="false">IFERROR(G17/G$12,"n/a")</f>
        <v>n/a</v>
      </c>
      <c r="H40" s="144" t="str">
        <f aca="false">IFERROR(H17/H$12,"n/a")</f>
        <v>n/a</v>
      </c>
      <c r="I40" s="145" t="str">
        <f aca="false">IFERROR(I17/I$12,"n/a")</f>
        <v>n/a</v>
      </c>
      <c r="J40" s="146" t="str">
        <f aca="false">IFERROR(J17/J$12,"n/a")</f>
        <v>n/a</v>
      </c>
      <c r="K40" s="147" t="str">
        <f aca="false">IFERROR(K17/K$12,"n/a")</f>
        <v>n/a</v>
      </c>
      <c r="L40" s="147" t="str">
        <f aca="false">IFERROR(L17/L$12,"n/a")</f>
        <v>n/a</v>
      </c>
      <c r="M40" s="147" t="str">
        <f aca="false">IFERROR(M17/M$12,"n/a")</f>
        <v>n/a</v>
      </c>
      <c r="N40" s="147" t="str">
        <f aca="false">IFERROR(N17/N$12,"n/a")</f>
        <v>n/a</v>
      </c>
      <c r="O40" s="57"/>
      <c r="P40" s="57"/>
      <c r="Q40" s="57"/>
      <c r="R40" s="1"/>
    </row>
    <row r="41" customFormat="false" ht="4.5" hidden="false" customHeight="true" outlineLevel="0" collapsed="false">
      <c r="C41" s="51"/>
      <c r="D41" s="51"/>
      <c r="E41" s="51"/>
      <c r="F41" s="57"/>
      <c r="G41" s="57"/>
      <c r="H41" s="57"/>
      <c r="I41" s="141"/>
      <c r="J41" s="142"/>
      <c r="K41" s="139"/>
      <c r="L41" s="139"/>
      <c r="M41" s="139"/>
      <c r="N41" s="139"/>
      <c r="O41" s="57"/>
      <c r="P41" s="57"/>
      <c r="Q41" s="57"/>
    </row>
    <row r="42" customFormat="false" ht="11.25" hidden="false" customHeight="true" outlineLevel="0" collapsed="false">
      <c r="C42" s="54" t="str">
        <f aca="false">"Quelle: "&amp;Cockpit!$C$7</f>
        <v>Quelle: Datenraum/ eigene Analysen</v>
      </c>
      <c r="D42" s="54" t="str">
        <f aca="false">"Source: "&amp;Cockpit!$C$8</f>
        <v>Source: Virtual Data Room/ Company Information</v>
      </c>
      <c r="E42" s="54"/>
      <c r="F42" s="55"/>
      <c r="G42" s="55"/>
      <c r="H42" s="55"/>
      <c r="I42" s="56"/>
      <c r="J42" s="56"/>
      <c r="K42" s="279"/>
      <c r="L42" s="279"/>
      <c r="M42" s="279"/>
      <c r="N42" s="279"/>
      <c r="O42" s="57"/>
      <c r="P42" s="55"/>
      <c r="Q42" s="55"/>
    </row>
    <row r="45" customFormat="false" ht="11.25" hidden="false" customHeight="true" outlineLevel="0" collapsed="false">
      <c r="C45" s="151" t="s">
        <v>665</v>
      </c>
      <c r="D45" s="151" t="s">
        <v>666</v>
      </c>
      <c r="E45" s="151"/>
      <c r="F45" s="152" t="n">
        <f aca="false">'Lead PL'!F62</f>
        <v>0</v>
      </c>
      <c r="G45" s="152" t="n">
        <f aca="false">'Lead PL'!G62</f>
        <v>0</v>
      </c>
      <c r="H45" s="152" t="n">
        <f aca="false">'Lead PL'!H62</f>
        <v>0</v>
      </c>
      <c r="I45" s="152" t="n">
        <f aca="false">'Lead PL'!I62</f>
        <v>0</v>
      </c>
      <c r="J45" s="152" t="n">
        <f aca="false">'Lead PL'!J62</f>
        <v>0</v>
      </c>
      <c r="K45" s="152" t="n">
        <f aca="false">'Lead PL'!K62</f>
        <v>0</v>
      </c>
      <c r="L45" s="152" t="n">
        <f aca="false">'Lead PL'!L62</f>
        <v>0</v>
      </c>
      <c r="M45" s="152" t="n">
        <f aca="false">'Lead PL'!M62</f>
        <v>0</v>
      </c>
      <c r="N45" s="152" t="n">
        <f aca="false">'Lead PL'!N62</f>
        <v>0</v>
      </c>
    </row>
    <row r="46" customFormat="false" ht="11.25" hidden="false" customHeight="true" outlineLevel="0" collapsed="false">
      <c r="C46" s="153" t="s">
        <v>245</v>
      </c>
      <c r="D46" s="154" t="s">
        <v>245</v>
      </c>
      <c r="E46" s="153"/>
      <c r="F46" s="218" t="n">
        <f aca="false">F45-F19</f>
        <v>0</v>
      </c>
      <c r="G46" s="218" t="n">
        <f aca="false">G45-G19</f>
        <v>0</v>
      </c>
      <c r="H46" s="218" t="n">
        <f aca="false">H45-H19</f>
        <v>0</v>
      </c>
      <c r="I46" s="218" t="n">
        <f aca="false">I45-I19</f>
        <v>0</v>
      </c>
      <c r="J46" s="218" t="n">
        <f aca="false">J45-J19</f>
        <v>0</v>
      </c>
      <c r="K46" s="218" t="n">
        <f aca="false">K45-K19</f>
        <v>0</v>
      </c>
      <c r="L46" s="218" t="n">
        <f aca="false">L45-L19</f>
        <v>0</v>
      </c>
      <c r="M46" s="218" t="n">
        <f aca="false">M45-M19</f>
        <v>0</v>
      </c>
      <c r="N46" s="218" t="n">
        <f aca="false">N45-N19</f>
        <v>0</v>
      </c>
    </row>
  </sheetData>
  <conditionalFormatting sqref="F46:N46">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5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B1:S55"/>
  <sheetViews>
    <sheetView showFormulas="false" showGridLines="true" showRowColHeaders="true" showZeros="true" rightToLeft="false" tabSelected="false" showOutlineSymbols="true" defaultGridColor="true" view="normal" topLeftCell="A7" colorId="64" zoomScale="100" zoomScaleNormal="100" zoomScalePageLayoutView="100" workbookViewId="0">
      <selection pane="topLeft" activeCell="H51" activeCellId="0" sqref="H51"/>
    </sheetView>
  </sheetViews>
  <sheetFormatPr defaultColWidth="11.2890625" defaultRowHeight="11.25" zeroHeight="false" outlineLevelRow="3" outlineLevelCol="2"/>
  <cols>
    <col collapsed="false" customWidth="false" hidden="false" outlineLevel="0" max="1" min="1" style="1" width="11.29"/>
    <col collapsed="false" customWidth="true" hidden="true" outlineLevel="2" max="2" min="2" style="1" width="0.86"/>
    <col collapsed="false" customWidth="true" hidden="true" outlineLevel="2" max="3" min="3" style="1" width="35.57"/>
    <col collapsed="false" customWidth="true" hidden="false" outlineLevel="0" max="4" min="4" style="1" width="35.57"/>
    <col collapsed="false" customWidth="true" hidden="false" outlineLevel="0" max="5" min="5" style="1" width="9"/>
    <col collapsed="false" customWidth="true" hidden="false" outlineLevel="0" max="10" min="6" style="1" width="9.42"/>
    <col collapsed="false" customWidth="true" hidden="true" outlineLevel="1" max="14" min="11" style="1" width="9.42"/>
    <col collapsed="false" customWidth="true" hidden="false" outlineLevel="0" max="15" min="15" style="1" width="0.86"/>
    <col collapsed="false" customWidth="true" hidden="true" outlineLevel="1" max="17" min="16" style="1" width="8.42"/>
    <col collapsed="false" customWidth="true" hidden="true" outlineLevel="2" max="18" min="18" style="1" width="0.86"/>
    <col collapsed="true" customWidth="false" hidden="false" outlineLevel="0" max="19" min="19" style="1" width="11.29"/>
    <col collapsed="false" customWidth="false" hidden="false" outlineLevel="0" max="16384" min="20" style="1" width="11.29"/>
  </cols>
  <sheetData>
    <row r="1" customFormat="false" ht="11.25" hidden="true" customHeight="true" outlineLevel="3" collapsed="false">
      <c r="C1" s="31" t="s">
        <v>405</v>
      </c>
      <c r="D1" s="31" t="s">
        <v>405</v>
      </c>
      <c r="E1" s="12"/>
      <c r="F1" s="12" t="n">
        <f aca="false">IFERROR(F4,F6)</f>
        <v>44926</v>
      </c>
      <c r="G1" s="12" t="n">
        <f aca="false">IFERROR(G4,G6)</f>
        <v>45291</v>
      </c>
      <c r="H1" s="12" t="n">
        <f aca="false">IFERROR(H4,H6)</f>
        <v>45657</v>
      </c>
      <c r="I1" s="12" t="n">
        <f aca="false">IFERROR(I4,I6)</f>
        <v>45808</v>
      </c>
      <c r="J1" s="12" t="n">
        <f aca="false">IFERROR(J4,J6)</f>
        <v>45808</v>
      </c>
      <c r="K1" s="12" t="n">
        <f aca="false">IFERROR(K4,K6)</f>
        <v>46022</v>
      </c>
      <c r="L1" s="12" t="n">
        <f aca="false">IFERROR(L4,L6)</f>
        <v>46387</v>
      </c>
      <c r="M1" s="12" t="n">
        <f aca="false">IFERROR(M4,M6)</f>
        <v>46752</v>
      </c>
      <c r="N1" s="12" t="n">
        <f aca="false">IFERROR(N4,N6)</f>
        <v>47118</v>
      </c>
    </row>
    <row r="2" customFormat="false" ht="11.25" hidden="false" customHeight="true" outlineLevel="0" collapsed="false">
      <c r="E2" s="192" t="s">
        <v>667</v>
      </c>
    </row>
    <row r="4" customFormat="false" ht="11.25" hidden="true" customHeight="true" outlineLevel="3" collapsed="false">
      <c r="C4" s="10" t="str">
        <f aca="false">Cockpit!$C$4</f>
        <v>Template</v>
      </c>
      <c r="D4" s="10"/>
      <c r="E4" s="85" t="s">
        <v>668</v>
      </c>
      <c r="F4" s="85" t="n">
        <f aca="false">'Lead PL'!F4</f>
        <v>44926</v>
      </c>
      <c r="G4" s="85" t="n">
        <f aca="false">'Lead PL'!G4</f>
        <v>45291</v>
      </c>
      <c r="H4" s="85" t="n">
        <f aca="false">'Lead PL'!H4</f>
        <v>45657</v>
      </c>
      <c r="I4" s="85" t="n">
        <f aca="false">'Lead PL'!I4</f>
        <v>45808</v>
      </c>
      <c r="J4" s="85" t="n">
        <f aca="false">'Lead PL'!J4</f>
        <v>45808</v>
      </c>
      <c r="K4" s="85" t="n">
        <f aca="false">'Lead PL'!K4</f>
        <v>46022</v>
      </c>
      <c r="L4" s="85" t="n">
        <f aca="false">'Lead PL'!L4</f>
        <v>46387</v>
      </c>
      <c r="M4" s="85" t="n">
        <f aca="false">'Lead PL'!M4</f>
        <v>46752</v>
      </c>
      <c r="N4" s="85" t="n">
        <f aca="false">'Lead PL'!N4</f>
        <v>47118</v>
      </c>
      <c r="O4" s="57"/>
      <c r="P4" s="74" t="str">
        <f aca="false">'Lead PL'!P4</f>
        <v>CAGR</v>
      </c>
      <c r="Q4" s="74" t="str">
        <f aca="false">'Lead PL'!Q4</f>
        <v>CAGR</v>
      </c>
    </row>
    <row r="5" customFormat="false" ht="11.25" hidden="true" customHeight="true" outlineLevel="3" collapsed="false">
      <c r="C5" s="10" t="str">
        <f aca="false">"in T"&amp;Cockpit!$C$5</f>
        <v>in TEUR</v>
      </c>
      <c r="D5" s="10"/>
      <c r="E5" s="85"/>
      <c r="F5" s="85" t="str">
        <f aca="false">'Lead PL'!F5</f>
        <v>IST</v>
      </c>
      <c r="G5" s="85" t="str">
        <f aca="false">'Lead PL'!G5</f>
        <v>IST</v>
      </c>
      <c r="H5" s="85" t="str">
        <f aca="false">'Lead PL'!H5</f>
        <v>IST</v>
      </c>
      <c r="I5" s="85" t="str">
        <f aca="false">'Lead PL'!I5</f>
        <v>LTM</v>
      </c>
      <c r="J5" s="85" t="str">
        <f aca="false">'Lead PL'!J5</f>
        <v>YTD</v>
      </c>
      <c r="K5" s="85" t="str">
        <f aca="false">'Lead PL'!K5</f>
        <v>Plan</v>
      </c>
      <c r="L5" s="85" t="str">
        <f aca="false">'Lead PL'!L5</f>
        <v>Plan</v>
      </c>
      <c r="M5" s="85" t="str">
        <f aca="false">'Lead PL'!M5</f>
        <v>Plan</v>
      </c>
      <c r="N5" s="85" t="str">
        <f aca="false">'Lead PL'!N5</f>
        <v>Plan</v>
      </c>
      <c r="O5" s="57"/>
      <c r="P5" s="74" t="str">
        <f aca="false">'Lead PL'!P5</f>
        <v>IST</v>
      </c>
      <c r="Q5" s="74" t="str">
        <f aca="false">'Lead PL'!Q5</f>
        <v>Plan</v>
      </c>
    </row>
    <row r="6" customFormat="false" ht="11.25" hidden="false" customHeight="true" outlineLevel="0" collapsed="false">
      <c r="C6" s="88"/>
      <c r="D6" s="10" t="str">
        <f aca="false">Cockpit!$C$4</f>
        <v>Template</v>
      </c>
      <c r="E6" s="74" t="s">
        <v>669</v>
      </c>
      <c r="F6" s="74" t="n">
        <f aca="false">'Lead PL'!F6</f>
        <v>44926</v>
      </c>
      <c r="G6" s="74" t="n">
        <f aca="false">'Lead PL'!G6</f>
        <v>45291</v>
      </c>
      <c r="H6" s="74" t="n">
        <f aca="false">'Lead PL'!H6</f>
        <v>45657</v>
      </c>
      <c r="I6" s="74" t="n">
        <f aca="false">'Lead PL'!I6</f>
        <v>45808</v>
      </c>
      <c r="J6" s="74" t="n">
        <f aca="false">'Lead PL'!J6</f>
        <v>45808</v>
      </c>
      <c r="K6" s="74" t="n">
        <f aca="false">'Lead PL'!K6</f>
        <v>46022</v>
      </c>
      <c r="L6" s="74" t="n">
        <f aca="false">'Lead PL'!L6</f>
        <v>46387</v>
      </c>
      <c r="M6" s="74" t="n">
        <f aca="false">'Lead PL'!M6</f>
        <v>46752</v>
      </c>
      <c r="N6" s="74" t="n">
        <f aca="false">'Lead PL'!N6</f>
        <v>47118</v>
      </c>
      <c r="O6" s="57"/>
      <c r="P6" s="74" t="str">
        <f aca="false">'Lead PL'!P6</f>
        <v>CAGR</v>
      </c>
      <c r="Q6" s="74" t="str">
        <f aca="false">'Lead PL'!Q6</f>
        <v>CAGR</v>
      </c>
    </row>
    <row r="7" customFormat="false" ht="11.25" hidden="false" customHeight="true" outlineLevel="0" collapsed="false">
      <c r="C7" s="88"/>
      <c r="D7" s="10" t="str">
        <f aca="false">"in k"&amp;Cockpit!$C$5</f>
        <v>in kEUR</v>
      </c>
      <c r="E7" s="74" t="s">
        <v>670</v>
      </c>
      <c r="F7" s="74" t="str">
        <f aca="false">'Lead PL'!F7</f>
        <v>IST</v>
      </c>
      <c r="G7" s="74" t="str">
        <f aca="false">'Lead PL'!G7</f>
        <v>IST</v>
      </c>
      <c r="H7" s="74" t="str">
        <f aca="false">'Lead PL'!H7</f>
        <v>IST</v>
      </c>
      <c r="I7" s="74" t="str">
        <f aca="false">'Lead PL'!I7</f>
        <v>LTM</v>
      </c>
      <c r="J7" s="74" t="str">
        <f aca="false">'Lead PL'!J7</f>
        <v>YTD</v>
      </c>
      <c r="K7" s="74" t="str">
        <f aca="false">'Lead PL'!K7</f>
        <v>Plan</v>
      </c>
      <c r="L7" s="74" t="str">
        <f aca="false">'Lead PL'!L7</f>
        <v>Plan</v>
      </c>
      <c r="M7" s="74" t="str">
        <f aca="false">'Lead PL'!M7</f>
        <v>Plan</v>
      </c>
      <c r="N7" s="74" t="str">
        <f aca="false">'Lead PL'!N7</f>
        <v>Plan</v>
      </c>
      <c r="O7" s="57"/>
      <c r="P7" s="74" t="str">
        <f aca="false">'Lead PL'!P7</f>
        <v>IST</v>
      </c>
      <c r="Q7" s="74" t="str">
        <f aca="false">'Lead PL'!Q7</f>
        <v>Plan</v>
      </c>
    </row>
    <row r="8" customFormat="false" ht="4.5" hidden="false" customHeight="true" outlineLevel="0" collapsed="false">
      <c r="C8" s="86"/>
      <c r="D8" s="90"/>
      <c r="E8" s="86"/>
      <c r="F8" s="86"/>
      <c r="G8" s="86"/>
      <c r="H8" s="86"/>
      <c r="I8" s="86"/>
      <c r="J8" s="86"/>
      <c r="K8" s="86"/>
      <c r="L8" s="86"/>
      <c r="M8" s="86"/>
      <c r="N8" s="86"/>
      <c r="O8" s="57"/>
      <c r="P8" s="86"/>
      <c r="Q8" s="86"/>
    </row>
    <row r="9" customFormat="false" ht="11.25" hidden="false" customHeight="true" outlineLevel="0" collapsed="false">
      <c r="C9" s="51" t="s">
        <v>234</v>
      </c>
      <c r="D9" s="51" t="s">
        <v>234</v>
      </c>
      <c r="E9" s="51"/>
      <c r="F9" s="159"/>
      <c r="G9" s="159"/>
      <c r="H9" s="159"/>
      <c r="I9" s="196"/>
      <c r="J9" s="160"/>
      <c r="K9" s="161"/>
      <c r="L9" s="161"/>
      <c r="M9" s="161"/>
      <c r="N9" s="161"/>
      <c r="O9" s="57"/>
      <c r="P9" s="57" t="str">
        <f aca="false">IFERROR(((H9/F9)^(1/(($H$1-$F$1)/365)))-1,"n/a")</f>
        <v>n/a</v>
      </c>
      <c r="Q9" s="57" t="str">
        <f aca="false">IFERROR(((N9/H9)^(1/(($N$1-$H$1)/365)))-1,"n/a")</f>
        <v>n/a</v>
      </c>
    </row>
    <row r="10" customFormat="false" ht="11.25" hidden="false" customHeight="true" outlineLevel="0" collapsed="false">
      <c r="C10" s="51" t="s">
        <v>235</v>
      </c>
      <c r="D10" s="51" t="s">
        <v>235</v>
      </c>
      <c r="E10" s="51"/>
      <c r="F10" s="159"/>
      <c r="G10" s="159"/>
      <c r="H10" s="159"/>
      <c r="I10" s="196"/>
      <c r="J10" s="160"/>
      <c r="K10" s="161"/>
      <c r="L10" s="161"/>
      <c r="M10" s="161"/>
      <c r="N10" s="161"/>
      <c r="O10" s="57"/>
      <c r="P10" s="57" t="str">
        <f aca="false">IFERROR(((H10/F10)^(1/(($H$1-$F$1)/365)))-1,"n/a")</f>
        <v>n/a</v>
      </c>
      <c r="Q10" s="57" t="str">
        <f aca="false">IFERROR(((N10/H10)^(1/(($N$1-$H$1)/365)))-1,"n/a")</f>
        <v>n/a</v>
      </c>
    </row>
    <row r="11" customFormat="false" ht="11.25" hidden="false" customHeight="true" outlineLevel="0" collapsed="false">
      <c r="C11" s="51" t="s">
        <v>236</v>
      </c>
      <c r="D11" s="51" t="s">
        <v>236</v>
      </c>
      <c r="E11" s="51"/>
      <c r="F11" s="159"/>
      <c r="G11" s="159"/>
      <c r="H11" s="159"/>
      <c r="I11" s="196"/>
      <c r="J11" s="160"/>
      <c r="K11" s="161"/>
      <c r="L11" s="161"/>
      <c r="M11" s="161"/>
      <c r="N11" s="161"/>
      <c r="O11" s="57"/>
      <c r="P11" s="57" t="str">
        <f aca="false">IFERROR(((H11/F11)^(1/(($H$1-$F$1)/365)))-1,"n/a")</f>
        <v>n/a</v>
      </c>
      <c r="Q11" s="57" t="str">
        <f aca="false">IFERROR(((N11/H11)^(1/(($N$1-$H$1)/365)))-1,"n/a")</f>
        <v>n/a</v>
      </c>
      <c r="S11" s="280" t="s">
        <v>429</v>
      </c>
    </row>
    <row r="12" customFormat="false" ht="11.25" hidden="false" customHeight="true" outlineLevel="0" collapsed="false">
      <c r="C12" s="51" t="s">
        <v>237</v>
      </c>
      <c r="D12" s="51" t="s">
        <v>237</v>
      </c>
      <c r="E12" s="51"/>
      <c r="F12" s="159"/>
      <c r="G12" s="159"/>
      <c r="H12" s="159"/>
      <c r="I12" s="196"/>
      <c r="J12" s="160"/>
      <c r="K12" s="161"/>
      <c r="L12" s="161"/>
      <c r="M12" s="161"/>
      <c r="N12" s="161"/>
      <c r="O12" s="57"/>
      <c r="P12" s="57" t="str">
        <f aca="false">IFERROR(((H12/F12)^(1/(($H$1-$F$1)/365)))-1,"n/a")</f>
        <v>n/a</v>
      </c>
      <c r="Q12" s="57" t="str">
        <f aca="false">IFERROR(((N12/H12)^(1/(($N$1-$H$1)/365)))-1,"n/a")</f>
        <v>n/a</v>
      </c>
      <c r="S12" s="280" t="s">
        <v>671</v>
      </c>
    </row>
    <row r="13" customFormat="false" ht="11.25" hidden="false" customHeight="true" outlineLevel="0" collapsed="false">
      <c r="C13" s="51" t="s">
        <v>672</v>
      </c>
      <c r="D13" s="51" t="s">
        <v>672</v>
      </c>
      <c r="E13" s="51"/>
      <c r="F13" s="159"/>
      <c r="G13" s="159"/>
      <c r="H13" s="159"/>
      <c r="I13" s="196"/>
      <c r="J13" s="160"/>
      <c r="K13" s="161"/>
      <c r="L13" s="161"/>
      <c r="M13" s="161"/>
      <c r="N13" s="161"/>
      <c r="O13" s="57"/>
      <c r="P13" s="57" t="str">
        <f aca="false">IFERROR(((H13/F13)^(1/(($H$1-$F$1)/365)))-1,"n/a")</f>
        <v>n/a</v>
      </c>
      <c r="Q13" s="57" t="str">
        <f aca="false">IFERROR(((N13/H13)^(1/(($N$1-$H$1)/365)))-1,"n/a")</f>
        <v>n/a</v>
      </c>
      <c r="S13" s="280" t="s">
        <v>431</v>
      </c>
    </row>
    <row r="14" customFormat="false" ht="11.25" hidden="false" customHeight="true" outlineLevel="0" collapsed="false">
      <c r="C14" s="51" t="s">
        <v>673</v>
      </c>
      <c r="D14" s="51" t="s">
        <v>673</v>
      </c>
      <c r="E14" s="51"/>
      <c r="F14" s="159"/>
      <c r="G14" s="159"/>
      <c r="H14" s="159"/>
      <c r="I14" s="196"/>
      <c r="J14" s="160"/>
      <c r="K14" s="161"/>
      <c r="L14" s="161"/>
      <c r="M14" s="161"/>
      <c r="N14" s="161"/>
      <c r="O14" s="57"/>
      <c r="P14" s="57" t="str">
        <f aca="false">IFERROR(((H14/F14)^(1/(($H$1-$F$1)/365)))-1,"n/a")</f>
        <v>n/a</v>
      </c>
      <c r="Q14" s="57" t="str">
        <f aca="false">IFERROR(((N14/H14)^(1/(($N$1-$H$1)/365)))-1,"n/a")</f>
        <v>n/a</v>
      </c>
      <c r="S14" s="280" t="s">
        <v>437</v>
      </c>
    </row>
    <row r="15" customFormat="false" ht="11.25" hidden="false" customHeight="true" outlineLevel="0" collapsed="false">
      <c r="C15" s="51" t="s">
        <v>674</v>
      </c>
      <c r="D15" s="51" t="s">
        <v>674</v>
      </c>
      <c r="E15" s="51"/>
      <c r="F15" s="159"/>
      <c r="G15" s="159"/>
      <c r="H15" s="159"/>
      <c r="I15" s="196"/>
      <c r="J15" s="160"/>
      <c r="K15" s="161"/>
      <c r="L15" s="161"/>
      <c r="M15" s="161"/>
      <c r="N15" s="161"/>
      <c r="O15" s="57"/>
      <c r="P15" s="57" t="str">
        <f aca="false">IFERROR(((H15/F15)^(1/(($H$1-$F$1)/365)))-1,"n/a")</f>
        <v>n/a</v>
      </c>
      <c r="Q15" s="57" t="str">
        <f aca="false">IFERROR(((N15/H15)^(1/(($N$1-$H$1)/365)))-1,"n/a")</f>
        <v>n/a</v>
      </c>
      <c r="S15" s="280" t="s">
        <v>442</v>
      </c>
    </row>
    <row r="16" customFormat="false" ht="11.25" hidden="false" customHeight="true" outlineLevel="0" collapsed="false">
      <c r="C16" s="51" t="s">
        <v>675</v>
      </c>
      <c r="D16" s="51" t="s">
        <v>675</v>
      </c>
      <c r="E16" s="51"/>
      <c r="F16" s="159"/>
      <c r="G16" s="159"/>
      <c r="H16" s="159"/>
      <c r="I16" s="196"/>
      <c r="J16" s="160"/>
      <c r="K16" s="161"/>
      <c r="L16" s="161"/>
      <c r="M16" s="161"/>
      <c r="N16" s="161"/>
      <c r="O16" s="57"/>
      <c r="P16" s="57" t="str">
        <f aca="false">IFERROR(((H16/F16)^(1/(($H$1-$F$1)/365)))-1,"n/a")</f>
        <v>n/a</v>
      </c>
      <c r="Q16" s="57" t="str">
        <f aca="false">IFERROR(((N16/H16)^(1/(($N$1-$H$1)/365)))-1,"n/a")</f>
        <v>n/a</v>
      </c>
      <c r="S16" s="280" t="s">
        <v>676</v>
      </c>
    </row>
    <row r="17" customFormat="false" ht="11.25" hidden="false" customHeight="true" outlineLevel="0" collapsed="false">
      <c r="C17" s="51" t="s">
        <v>677</v>
      </c>
      <c r="D17" s="51" t="s">
        <v>677</v>
      </c>
      <c r="E17" s="51"/>
      <c r="F17" s="159"/>
      <c r="G17" s="159"/>
      <c r="H17" s="159"/>
      <c r="I17" s="196"/>
      <c r="J17" s="160"/>
      <c r="K17" s="161"/>
      <c r="L17" s="161"/>
      <c r="M17" s="161"/>
      <c r="N17" s="161"/>
      <c r="O17" s="57"/>
      <c r="P17" s="57" t="str">
        <f aca="false">IFERROR(((H17/F17)^(1/(($H$1-$F$1)/365)))-1,"n/a")</f>
        <v>n/a</v>
      </c>
      <c r="Q17" s="57" t="str">
        <f aca="false">IFERROR(((N17/H17)^(1/(($N$1-$H$1)/365)))-1,"n/a")</f>
        <v>n/a</v>
      </c>
      <c r="S17" s="280" t="s">
        <v>678</v>
      </c>
    </row>
    <row r="18" customFormat="false" ht="11.25" hidden="false" customHeight="true" outlineLevel="0" collapsed="false">
      <c r="C18" s="51" t="s">
        <v>679</v>
      </c>
      <c r="D18" s="51" t="s">
        <v>679</v>
      </c>
      <c r="E18" s="51"/>
      <c r="F18" s="159"/>
      <c r="G18" s="159"/>
      <c r="H18" s="159"/>
      <c r="I18" s="196"/>
      <c r="J18" s="160"/>
      <c r="K18" s="161"/>
      <c r="L18" s="161"/>
      <c r="M18" s="161"/>
      <c r="N18" s="161"/>
      <c r="O18" s="57"/>
      <c r="P18" s="57" t="str">
        <f aca="false">IFERROR(((H18/F18)^(1/(($H$1-$F$1)/365)))-1,"n/a")</f>
        <v>n/a</v>
      </c>
      <c r="Q18" s="57" t="str">
        <f aca="false">IFERROR(((N18/H18)^(1/(($N$1-$H$1)/365)))-1,"n/a")</f>
        <v>n/a</v>
      </c>
      <c r="S18" s="281"/>
    </row>
    <row r="19" customFormat="false" ht="11.25" hidden="false" customHeight="true" outlineLevel="0" collapsed="false">
      <c r="C19" s="51" t="s">
        <v>680</v>
      </c>
      <c r="D19" s="51" t="s">
        <v>680</v>
      </c>
      <c r="E19" s="51"/>
      <c r="F19" s="159"/>
      <c r="G19" s="159"/>
      <c r="H19" s="159"/>
      <c r="I19" s="196"/>
      <c r="J19" s="160"/>
      <c r="K19" s="161"/>
      <c r="L19" s="161"/>
      <c r="M19" s="161"/>
      <c r="N19" s="161"/>
      <c r="O19" s="57"/>
      <c r="P19" s="57" t="str">
        <f aca="false">IFERROR(((H19/F19)^(1/(($H$1-$F$1)/365)))-1,"n/a")</f>
        <v>n/a</v>
      </c>
      <c r="Q19" s="57" t="str">
        <f aca="false">IFERROR(((N19/H19)^(1/(($N$1-$H$1)/365)))-1,"n/a")</f>
        <v>n/a</v>
      </c>
    </row>
    <row r="20" customFormat="false" ht="11.25" hidden="false" customHeight="true" outlineLevel="0" collapsed="false">
      <c r="C20" s="51" t="s">
        <v>681</v>
      </c>
      <c r="D20" s="51" t="s">
        <v>681</v>
      </c>
      <c r="E20" s="51"/>
      <c r="F20" s="159"/>
      <c r="G20" s="159"/>
      <c r="H20" s="159"/>
      <c r="I20" s="196"/>
      <c r="J20" s="160"/>
      <c r="K20" s="161"/>
      <c r="L20" s="161"/>
      <c r="M20" s="161"/>
      <c r="N20" s="161"/>
      <c r="O20" s="57"/>
      <c r="P20" s="57" t="str">
        <f aca="false">IFERROR(((H20/F20)^(1/(($H$1-$F$1)/365)))-1,"n/a")</f>
        <v>n/a</v>
      </c>
      <c r="Q20" s="57" t="str">
        <f aca="false">IFERROR(((N20/H20)^(1/(($N$1-$H$1)/365)))-1,"n/a")</f>
        <v>n/a</v>
      </c>
    </row>
    <row r="21" customFormat="false" ht="11.25" hidden="false" customHeight="true" outlineLevel="0" collapsed="false">
      <c r="C21" s="51" t="s">
        <v>682</v>
      </c>
      <c r="D21" s="51" t="s">
        <v>682</v>
      </c>
      <c r="E21" s="51"/>
      <c r="F21" s="159"/>
      <c r="G21" s="159"/>
      <c r="H21" s="159"/>
      <c r="I21" s="196"/>
      <c r="J21" s="160"/>
      <c r="K21" s="161"/>
      <c r="L21" s="161"/>
      <c r="M21" s="161"/>
      <c r="N21" s="161"/>
      <c r="O21" s="57"/>
      <c r="P21" s="57" t="str">
        <f aca="false">IFERROR(((H21/F21)^(1/(($H$1-$F$1)/365)))-1,"n/a")</f>
        <v>n/a</v>
      </c>
      <c r="Q21" s="57" t="str">
        <f aca="false">IFERROR(((N21/H21)^(1/(($N$1-$H$1)/365)))-1,"n/a")</f>
        <v>n/a</v>
      </c>
    </row>
    <row r="22" customFormat="false" ht="11.25" hidden="false" customHeight="true" outlineLevel="0" collapsed="false">
      <c r="C22" s="181" t="s">
        <v>446</v>
      </c>
      <c r="D22" s="181" t="s">
        <v>683</v>
      </c>
      <c r="E22" s="181"/>
      <c r="F22" s="182" t="n">
        <f aca="false">SUM(F9:F21)</f>
        <v>0</v>
      </c>
      <c r="G22" s="182" t="n">
        <f aca="false">SUM(G9:G21)</f>
        <v>0</v>
      </c>
      <c r="H22" s="182" t="n">
        <f aca="false">SUM(H9:H21)</f>
        <v>0</v>
      </c>
      <c r="I22" s="282" t="n">
        <f aca="false">SUM(I9:I21)</f>
        <v>0</v>
      </c>
      <c r="J22" s="183" t="n">
        <f aca="false">SUM(J9:J21)</f>
        <v>0</v>
      </c>
      <c r="K22" s="184" t="n">
        <f aca="false">SUM(K9:K21)</f>
        <v>0</v>
      </c>
      <c r="L22" s="184" t="n">
        <f aca="false">SUM(L9:L21)</f>
        <v>0</v>
      </c>
      <c r="M22" s="184" t="n">
        <f aca="false">SUM(M9:M21)</f>
        <v>0</v>
      </c>
      <c r="N22" s="184" t="n">
        <f aca="false">SUM(N9:N21)</f>
        <v>0</v>
      </c>
      <c r="O22" s="57"/>
      <c r="P22" s="283" t="str">
        <f aca="false">IFERROR(((H22/F22)^(1/(($H$1-$F$1)/365)))-1,"n/a")</f>
        <v>n/a</v>
      </c>
      <c r="Q22" s="283" t="str">
        <f aca="false">IFERROR(((N22/H22)^(1/(($N$1-$H$1)/365)))-1,"n/a")</f>
        <v>n/a</v>
      </c>
    </row>
    <row r="23" customFormat="false" ht="4.5" hidden="false" customHeight="true" outlineLevel="0" collapsed="false">
      <c r="C23" s="51"/>
      <c r="D23" s="51"/>
      <c r="E23" s="51"/>
      <c r="F23" s="159"/>
      <c r="G23" s="159"/>
      <c r="H23" s="159"/>
      <c r="I23" s="196"/>
      <c r="J23" s="160"/>
      <c r="K23" s="161"/>
      <c r="L23" s="161"/>
      <c r="M23" s="161"/>
      <c r="N23" s="161"/>
      <c r="O23" s="57"/>
      <c r="P23" s="57"/>
      <c r="Q23" s="57"/>
    </row>
    <row r="24" customFormat="false" ht="11.25" hidden="true" customHeight="true" outlineLevel="2" collapsed="false">
      <c r="C24" s="51" t="str">
        <f aca="false">'Lead PL'!C39</f>
        <v>Gesamtleistung</v>
      </c>
      <c r="D24" s="51" t="str">
        <f aca="false">'Lead PL'!D39</f>
        <v>Total output</v>
      </c>
      <c r="E24" s="51"/>
      <c r="F24" s="159" t="n">
        <f aca="false">'Lead PL'!F39</f>
        <v>0</v>
      </c>
      <c r="G24" s="159" t="n">
        <f aca="false">'Lead PL'!G39</f>
        <v>0</v>
      </c>
      <c r="H24" s="159" t="n">
        <f aca="false">'Lead PL'!H39</f>
        <v>0</v>
      </c>
      <c r="I24" s="196" t="n">
        <f aca="false">'Lead PL'!I39</f>
        <v>0</v>
      </c>
      <c r="J24" s="160" t="n">
        <f aca="false">'Lead PL'!J39</f>
        <v>0</v>
      </c>
      <c r="K24" s="161" t="n">
        <f aca="false">'Lead PL'!K39</f>
        <v>0</v>
      </c>
      <c r="L24" s="161" t="n">
        <f aca="false">'Lead PL'!L39</f>
        <v>0</v>
      </c>
      <c r="M24" s="161" t="n">
        <f aca="false">'Lead PL'!M39</f>
        <v>0</v>
      </c>
      <c r="N24" s="161" t="n">
        <f aca="false">'Lead PL'!N39</f>
        <v>0</v>
      </c>
      <c r="O24" s="57"/>
      <c r="P24" s="57"/>
      <c r="Q24" s="57"/>
    </row>
    <row r="25" customFormat="false" ht="4.5" hidden="true" customHeight="true" outlineLevel="2" collapsed="false">
      <c r="C25" s="51"/>
      <c r="D25" s="51"/>
      <c r="E25" s="51"/>
      <c r="F25" s="159"/>
      <c r="G25" s="159"/>
      <c r="H25" s="159"/>
      <c r="I25" s="196"/>
      <c r="J25" s="160"/>
      <c r="K25" s="161"/>
      <c r="L25" s="161"/>
      <c r="M25" s="161"/>
      <c r="N25" s="161"/>
      <c r="O25" s="57"/>
      <c r="P25" s="57"/>
      <c r="Q25" s="57"/>
    </row>
    <row r="26" customFormat="false" ht="11.25" hidden="false" customHeight="true" outlineLevel="0" collapsed="false">
      <c r="C26" s="51" t="s">
        <v>684</v>
      </c>
      <c r="D26" s="51" t="s">
        <v>685</v>
      </c>
      <c r="E26" s="51" t="s">
        <v>686</v>
      </c>
      <c r="F26" s="159" t="n">
        <f aca="false">SUMIF($E$9:$E$22,$E26,F$9:F$22)</f>
        <v>0</v>
      </c>
      <c r="G26" s="159" t="n">
        <f aca="false">SUMIF($E$9:$E$22,$E26,G$9:G$22)</f>
        <v>0</v>
      </c>
      <c r="H26" s="159" t="n">
        <f aca="false">SUMIF($E$9:$E$22,$E26,H$9:H$22)</f>
        <v>0</v>
      </c>
      <c r="I26" s="196" t="n">
        <f aca="false">SUMIF($E$9:$E$22,$E26,I$9:I$22)</f>
        <v>0</v>
      </c>
      <c r="J26" s="160" t="n">
        <f aca="false">SUMIF($E$9:$E$22,$E26,J$9:J$22)</f>
        <v>0</v>
      </c>
      <c r="K26" s="161" t="n">
        <f aca="false">SUMIF($E$9:$E$22,$E26,K$9:K$22)</f>
        <v>0</v>
      </c>
      <c r="L26" s="161" t="n">
        <f aca="false">SUMIF($E$9:$E$22,$E26,L$9:L$22)</f>
        <v>0</v>
      </c>
      <c r="M26" s="161" t="n">
        <f aca="false">SUMIF($E$9:$E$22,$E26,M$9:M$22)</f>
        <v>0</v>
      </c>
      <c r="N26" s="161" t="n">
        <f aca="false">SUMIF($E$9:$E$22,$E26,N$9:N$22)</f>
        <v>0</v>
      </c>
      <c r="O26" s="57"/>
      <c r="P26" s="57"/>
      <c r="Q26" s="57"/>
      <c r="S26" s="35" t="s">
        <v>687</v>
      </c>
    </row>
    <row r="27" customFormat="false" ht="11.25" hidden="false" customHeight="true" outlineLevel="0" collapsed="false">
      <c r="C27" s="51" t="s">
        <v>688</v>
      </c>
      <c r="D27" s="51" t="s">
        <v>689</v>
      </c>
      <c r="E27" s="51" t="s">
        <v>690</v>
      </c>
      <c r="F27" s="159" t="n">
        <f aca="false">SUMIF($E$9:$E$22,$E27,F$9:F$22)</f>
        <v>0</v>
      </c>
      <c r="G27" s="159" t="n">
        <f aca="false">SUMIF($E$9:$E$22,$E27,G$9:G$22)</f>
        <v>0</v>
      </c>
      <c r="H27" s="159" t="n">
        <f aca="false">SUMIF($E$9:$E$22,$E27,H$9:H$22)</f>
        <v>0</v>
      </c>
      <c r="I27" s="196" t="n">
        <f aca="false">SUMIF($E$9:$E$22,$E27,I$9:I$22)</f>
        <v>0</v>
      </c>
      <c r="J27" s="160" t="n">
        <f aca="false">SUMIF($E$9:$E$22,$E27,J$9:J$22)</f>
        <v>0</v>
      </c>
      <c r="K27" s="161" t="n">
        <f aca="false">SUMIF($E$9:$E$22,$E27,K$9:K$22)</f>
        <v>0</v>
      </c>
      <c r="L27" s="161" t="n">
        <f aca="false">SUMIF($E$9:$E$22,$E27,L$9:L$22)</f>
        <v>0</v>
      </c>
      <c r="M27" s="161" t="n">
        <f aca="false">SUMIF($E$9:$E$22,$E27,M$9:M$22)</f>
        <v>0</v>
      </c>
      <c r="N27" s="161" t="n">
        <f aca="false">SUMIF($E$9:$E$22,$E27,N$9:N$22)</f>
        <v>0</v>
      </c>
      <c r="O27" s="57"/>
      <c r="P27" s="57"/>
      <c r="Q27" s="57"/>
      <c r="S27" s="35" t="s">
        <v>687</v>
      </c>
    </row>
    <row r="28" customFormat="false" ht="4.5" hidden="false" customHeight="true" outlineLevel="0" collapsed="false">
      <c r="C28" s="51"/>
      <c r="D28" s="51"/>
      <c r="E28" s="51"/>
      <c r="F28" s="159"/>
      <c r="G28" s="159"/>
      <c r="H28" s="159"/>
      <c r="I28" s="196"/>
      <c r="J28" s="160"/>
      <c r="K28" s="161"/>
      <c r="L28" s="161"/>
      <c r="M28" s="161"/>
      <c r="N28" s="161"/>
      <c r="O28" s="57"/>
      <c r="P28" s="57"/>
      <c r="Q28" s="57"/>
    </row>
    <row r="29" customFormat="false" ht="11.25" hidden="false" customHeight="true" outlineLevel="0" collapsed="false">
      <c r="C29" s="132" t="str">
        <f aca="false">"in % der "&amp;C24</f>
        <v>in % der Gesamtleistung</v>
      </c>
      <c r="D29" s="132" t="str">
        <f aca="false">"in % of "&amp;D24</f>
        <v>in % of Total output</v>
      </c>
      <c r="E29" s="132"/>
      <c r="F29" s="57"/>
      <c r="G29" s="57"/>
      <c r="H29" s="57"/>
      <c r="I29" s="141"/>
      <c r="J29" s="142"/>
      <c r="K29" s="139"/>
      <c r="L29" s="139"/>
      <c r="M29" s="139"/>
      <c r="N29" s="139"/>
      <c r="O29" s="57"/>
      <c r="P29" s="57"/>
      <c r="Q29" s="57"/>
    </row>
    <row r="30" customFormat="false" ht="11.25" hidden="false" customHeight="true" outlineLevel="0" collapsed="false">
      <c r="C30" s="51" t="str">
        <f aca="false">C9</f>
        <v>Dummy 1</v>
      </c>
      <c r="D30" s="51" t="str">
        <f aca="false">D9</f>
        <v>Dummy 1</v>
      </c>
      <c r="E30" s="51"/>
      <c r="F30" s="57" t="str">
        <f aca="false">IFERROR(F9/F$24,"n/a")</f>
        <v>n/a</v>
      </c>
      <c r="G30" s="57" t="str">
        <f aca="false">IFERROR(G9/G$24,"n/a")</f>
        <v>n/a</v>
      </c>
      <c r="H30" s="57" t="str">
        <f aca="false">IFERROR(H9/H$24,"n/a")</f>
        <v>n/a</v>
      </c>
      <c r="I30" s="141" t="str">
        <f aca="false">IFERROR(I9/I$24,"n/a")</f>
        <v>n/a</v>
      </c>
      <c r="J30" s="142" t="str">
        <f aca="false">IFERROR(J9/J$24,"n/a")</f>
        <v>n/a</v>
      </c>
      <c r="K30" s="139" t="str">
        <f aca="false">IFERROR(K9/K$24,"n/a")</f>
        <v>n/a</v>
      </c>
      <c r="L30" s="139" t="str">
        <f aca="false">IFERROR(L9/L$24,"n/a")</f>
        <v>n/a</v>
      </c>
      <c r="M30" s="139" t="str">
        <f aca="false">IFERROR(M9/M$24,"n/a")</f>
        <v>n/a</v>
      </c>
      <c r="N30" s="139" t="str">
        <f aca="false">IFERROR(N9/N$24,"n/a")</f>
        <v>n/a</v>
      </c>
      <c r="O30" s="57"/>
      <c r="P30" s="57"/>
      <c r="Q30" s="57"/>
    </row>
    <row r="31" customFormat="false" ht="11.25" hidden="false" customHeight="true" outlineLevel="0" collapsed="false">
      <c r="C31" s="51" t="str">
        <f aca="false">C10</f>
        <v>Dummy 2</v>
      </c>
      <c r="D31" s="51" t="str">
        <f aca="false">D10</f>
        <v>Dummy 2</v>
      </c>
      <c r="E31" s="51"/>
      <c r="F31" s="57" t="str">
        <f aca="false">IFERROR(F10/F$24,"n/a")</f>
        <v>n/a</v>
      </c>
      <c r="G31" s="57" t="str">
        <f aca="false">IFERROR(G10/G$24,"n/a")</f>
        <v>n/a</v>
      </c>
      <c r="H31" s="57" t="str">
        <f aca="false">IFERROR(H10/H$24,"n/a")</f>
        <v>n/a</v>
      </c>
      <c r="I31" s="141" t="str">
        <f aca="false">IFERROR(I10/I$24,"n/a")</f>
        <v>n/a</v>
      </c>
      <c r="J31" s="142" t="str">
        <f aca="false">IFERROR(J10/J$24,"n/a")</f>
        <v>n/a</v>
      </c>
      <c r="K31" s="139" t="str">
        <f aca="false">IFERROR(K10/K$24,"n/a")</f>
        <v>n/a</v>
      </c>
      <c r="L31" s="139" t="str">
        <f aca="false">IFERROR(L10/L$24,"n/a")</f>
        <v>n/a</v>
      </c>
      <c r="M31" s="139" t="str">
        <f aca="false">IFERROR(M10/M$24,"n/a")</f>
        <v>n/a</v>
      </c>
      <c r="N31" s="139" t="str">
        <f aca="false">IFERROR(N10/N$24,"n/a")</f>
        <v>n/a</v>
      </c>
      <c r="O31" s="57"/>
      <c r="P31" s="57"/>
      <c r="Q31" s="57"/>
    </row>
    <row r="32" customFormat="false" ht="11.25" hidden="false" customHeight="true" outlineLevel="0" collapsed="false">
      <c r="C32" s="51" t="str">
        <f aca="false">C11</f>
        <v>Dummy 3</v>
      </c>
      <c r="D32" s="51" t="str">
        <f aca="false">D11</f>
        <v>Dummy 3</v>
      </c>
      <c r="E32" s="51"/>
      <c r="F32" s="57" t="str">
        <f aca="false">IFERROR(F11/F$24,"n/a")</f>
        <v>n/a</v>
      </c>
      <c r="G32" s="57" t="str">
        <f aca="false">IFERROR(G11/G$24,"n/a")</f>
        <v>n/a</v>
      </c>
      <c r="H32" s="57" t="str">
        <f aca="false">IFERROR(H11/H$24,"n/a")</f>
        <v>n/a</v>
      </c>
      <c r="I32" s="141" t="str">
        <f aca="false">IFERROR(I11/I$24,"n/a")</f>
        <v>n/a</v>
      </c>
      <c r="J32" s="142" t="str">
        <f aca="false">IFERROR(J11/J$24,"n/a")</f>
        <v>n/a</v>
      </c>
      <c r="K32" s="139" t="str">
        <f aca="false">IFERROR(K11/K$24,"n/a")</f>
        <v>n/a</v>
      </c>
      <c r="L32" s="139" t="str">
        <f aca="false">IFERROR(L11/L$24,"n/a")</f>
        <v>n/a</v>
      </c>
      <c r="M32" s="139" t="str">
        <f aca="false">IFERROR(M11/M$24,"n/a")</f>
        <v>n/a</v>
      </c>
      <c r="N32" s="139" t="str">
        <f aca="false">IFERROR(N11/N$24,"n/a")</f>
        <v>n/a</v>
      </c>
      <c r="O32" s="57"/>
      <c r="P32" s="57"/>
      <c r="Q32" s="57"/>
    </row>
    <row r="33" customFormat="false" ht="11.25" hidden="false" customHeight="true" outlineLevel="0" collapsed="false">
      <c r="C33" s="51" t="str">
        <f aca="false">C12</f>
        <v>Dummy 4</v>
      </c>
      <c r="D33" s="51" t="str">
        <f aca="false">D12</f>
        <v>Dummy 4</v>
      </c>
      <c r="E33" s="51"/>
      <c r="F33" s="57" t="str">
        <f aca="false">IFERROR(F12/F$24,"n/a")</f>
        <v>n/a</v>
      </c>
      <c r="G33" s="57" t="str">
        <f aca="false">IFERROR(G12/G$24,"n/a")</f>
        <v>n/a</v>
      </c>
      <c r="H33" s="57" t="str">
        <f aca="false">IFERROR(H12/H$24,"n/a")</f>
        <v>n/a</v>
      </c>
      <c r="I33" s="141" t="str">
        <f aca="false">IFERROR(I12/I$24,"n/a")</f>
        <v>n/a</v>
      </c>
      <c r="J33" s="142" t="str">
        <f aca="false">IFERROR(J12/J$24,"n/a")</f>
        <v>n/a</v>
      </c>
      <c r="K33" s="139" t="str">
        <f aca="false">IFERROR(K12/K$24,"n/a")</f>
        <v>n/a</v>
      </c>
      <c r="L33" s="139" t="str">
        <f aca="false">IFERROR(L12/L$24,"n/a")</f>
        <v>n/a</v>
      </c>
      <c r="M33" s="139" t="str">
        <f aca="false">IFERROR(M12/M$24,"n/a")</f>
        <v>n/a</v>
      </c>
      <c r="N33" s="139" t="str">
        <f aca="false">IFERROR(N12/N$24,"n/a")</f>
        <v>n/a</v>
      </c>
      <c r="O33" s="57"/>
      <c r="P33" s="57"/>
      <c r="Q33" s="57"/>
    </row>
    <row r="34" customFormat="false" ht="11.25" hidden="false" customHeight="true" outlineLevel="0" collapsed="false">
      <c r="C34" s="51" t="str">
        <f aca="false">C13</f>
        <v>Dummy 5</v>
      </c>
      <c r="D34" s="51" t="str">
        <f aca="false">D13</f>
        <v>Dummy 5</v>
      </c>
      <c r="E34" s="51"/>
      <c r="F34" s="57" t="str">
        <f aca="false">IFERROR(F13/F$24,"n/a")</f>
        <v>n/a</v>
      </c>
      <c r="G34" s="57" t="str">
        <f aca="false">IFERROR(G13/G$24,"n/a")</f>
        <v>n/a</v>
      </c>
      <c r="H34" s="57" t="str">
        <f aca="false">IFERROR(H13/H$24,"n/a")</f>
        <v>n/a</v>
      </c>
      <c r="I34" s="141" t="str">
        <f aca="false">IFERROR(I13/I$24,"n/a")</f>
        <v>n/a</v>
      </c>
      <c r="J34" s="142" t="str">
        <f aca="false">IFERROR(J13/J$24,"n/a")</f>
        <v>n/a</v>
      </c>
      <c r="K34" s="139" t="str">
        <f aca="false">IFERROR(K13/K$24,"n/a")</f>
        <v>n/a</v>
      </c>
      <c r="L34" s="139" t="str">
        <f aca="false">IFERROR(L13/L$24,"n/a")</f>
        <v>n/a</v>
      </c>
      <c r="M34" s="139" t="str">
        <f aca="false">IFERROR(M13/M$24,"n/a")</f>
        <v>n/a</v>
      </c>
      <c r="N34" s="139" t="str">
        <f aca="false">IFERROR(N13/N$24,"n/a")</f>
        <v>n/a</v>
      </c>
      <c r="O34" s="57"/>
      <c r="P34" s="57"/>
      <c r="Q34" s="57"/>
    </row>
    <row r="35" customFormat="false" ht="11.25" hidden="false" customHeight="true" outlineLevel="0" collapsed="false">
      <c r="C35" s="51" t="str">
        <f aca="false">C14</f>
        <v>Dummy 6</v>
      </c>
      <c r="D35" s="51" t="str">
        <f aca="false">D14</f>
        <v>Dummy 6</v>
      </c>
      <c r="E35" s="51"/>
      <c r="F35" s="57" t="str">
        <f aca="false">IFERROR(F14/F$24,"n/a")</f>
        <v>n/a</v>
      </c>
      <c r="G35" s="57" t="str">
        <f aca="false">IFERROR(G14/G$24,"n/a")</f>
        <v>n/a</v>
      </c>
      <c r="H35" s="57" t="str">
        <f aca="false">IFERROR(H14/H$24,"n/a")</f>
        <v>n/a</v>
      </c>
      <c r="I35" s="141" t="str">
        <f aca="false">IFERROR(I14/I$24,"n/a")</f>
        <v>n/a</v>
      </c>
      <c r="J35" s="142" t="str">
        <f aca="false">IFERROR(J14/J$24,"n/a")</f>
        <v>n/a</v>
      </c>
      <c r="K35" s="139" t="str">
        <f aca="false">IFERROR(K14/K$24,"n/a")</f>
        <v>n/a</v>
      </c>
      <c r="L35" s="139" t="str">
        <f aca="false">IFERROR(L14/L$24,"n/a")</f>
        <v>n/a</v>
      </c>
      <c r="M35" s="139" t="str">
        <f aca="false">IFERROR(M14/M$24,"n/a")</f>
        <v>n/a</v>
      </c>
      <c r="N35" s="139" t="str">
        <f aca="false">IFERROR(N14/N$24,"n/a")</f>
        <v>n/a</v>
      </c>
      <c r="O35" s="57"/>
      <c r="P35" s="57"/>
      <c r="Q35" s="57"/>
    </row>
    <row r="36" customFormat="false" ht="11.25" hidden="false" customHeight="true" outlineLevel="0" collapsed="false">
      <c r="C36" s="51" t="str">
        <f aca="false">C15</f>
        <v>Dummy 7</v>
      </c>
      <c r="D36" s="51" t="str">
        <f aca="false">D15</f>
        <v>Dummy 7</v>
      </c>
      <c r="E36" s="51"/>
      <c r="F36" s="57" t="str">
        <f aca="false">IFERROR(F15/F$24,"n/a")</f>
        <v>n/a</v>
      </c>
      <c r="G36" s="57" t="str">
        <f aca="false">IFERROR(G15/G$24,"n/a")</f>
        <v>n/a</v>
      </c>
      <c r="H36" s="57" t="str">
        <f aca="false">IFERROR(H15/H$24,"n/a")</f>
        <v>n/a</v>
      </c>
      <c r="I36" s="141" t="str">
        <f aca="false">IFERROR(I15/I$24,"n/a")</f>
        <v>n/a</v>
      </c>
      <c r="J36" s="142" t="str">
        <f aca="false">IFERROR(J15/J$24,"n/a")</f>
        <v>n/a</v>
      </c>
      <c r="K36" s="139" t="str">
        <f aca="false">IFERROR(K15/K$24,"n/a")</f>
        <v>n/a</v>
      </c>
      <c r="L36" s="139" t="str">
        <f aca="false">IFERROR(L15/L$24,"n/a")</f>
        <v>n/a</v>
      </c>
      <c r="M36" s="139" t="str">
        <f aca="false">IFERROR(M15/M$24,"n/a")</f>
        <v>n/a</v>
      </c>
      <c r="N36" s="139" t="str">
        <f aca="false">IFERROR(N15/N$24,"n/a")</f>
        <v>n/a</v>
      </c>
      <c r="O36" s="57"/>
      <c r="P36" s="57"/>
      <c r="Q36" s="57"/>
    </row>
    <row r="37" customFormat="false" ht="11.25" hidden="false" customHeight="true" outlineLevel="0" collapsed="false">
      <c r="C37" s="51" t="str">
        <f aca="false">C16</f>
        <v>Dummy 8</v>
      </c>
      <c r="D37" s="51" t="str">
        <f aca="false">D16</f>
        <v>Dummy 8</v>
      </c>
      <c r="E37" s="51"/>
      <c r="F37" s="57" t="str">
        <f aca="false">IFERROR(F16/F$24,"n/a")</f>
        <v>n/a</v>
      </c>
      <c r="G37" s="57" t="str">
        <f aca="false">IFERROR(G16/G$24,"n/a")</f>
        <v>n/a</v>
      </c>
      <c r="H37" s="57" t="str">
        <f aca="false">IFERROR(H16/H$24,"n/a")</f>
        <v>n/a</v>
      </c>
      <c r="I37" s="141" t="str">
        <f aca="false">IFERROR(I16/I$24,"n/a")</f>
        <v>n/a</v>
      </c>
      <c r="J37" s="142" t="str">
        <f aca="false">IFERROR(J16/J$24,"n/a")</f>
        <v>n/a</v>
      </c>
      <c r="K37" s="139" t="str">
        <f aca="false">IFERROR(K16/K$24,"n/a")</f>
        <v>n/a</v>
      </c>
      <c r="L37" s="139" t="str">
        <f aca="false">IFERROR(L16/L$24,"n/a")</f>
        <v>n/a</v>
      </c>
      <c r="M37" s="139" t="str">
        <f aca="false">IFERROR(M16/M$24,"n/a")</f>
        <v>n/a</v>
      </c>
      <c r="N37" s="139" t="str">
        <f aca="false">IFERROR(N16/N$24,"n/a")</f>
        <v>n/a</v>
      </c>
      <c r="O37" s="57"/>
      <c r="P37" s="57"/>
      <c r="Q37" s="57"/>
    </row>
    <row r="38" customFormat="false" ht="11.25" hidden="false" customHeight="true" outlineLevel="0" collapsed="false">
      <c r="C38" s="51" t="str">
        <f aca="false">C17</f>
        <v>Dummy 9</v>
      </c>
      <c r="D38" s="51" t="str">
        <f aca="false">D17</f>
        <v>Dummy 9</v>
      </c>
      <c r="E38" s="51"/>
      <c r="F38" s="57" t="str">
        <f aca="false">IFERROR(F17/F$24,"n/a")</f>
        <v>n/a</v>
      </c>
      <c r="G38" s="57" t="str">
        <f aca="false">IFERROR(G17/G$24,"n/a")</f>
        <v>n/a</v>
      </c>
      <c r="H38" s="57" t="str">
        <f aca="false">IFERROR(H17/H$24,"n/a")</f>
        <v>n/a</v>
      </c>
      <c r="I38" s="141" t="str">
        <f aca="false">IFERROR(I17/I$24,"n/a")</f>
        <v>n/a</v>
      </c>
      <c r="J38" s="142" t="str">
        <f aca="false">IFERROR(J17/J$24,"n/a")</f>
        <v>n/a</v>
      </c>
      <c r="K38" s="139" t="str">
        <f aca="false">IFERROR(K17/K$24,"n/a")</f>
        <v>n/a</v>
      </c>
      <c r="L38" s="139" t="str">
        <f aca="false">IFERROR(L17/L$24,"n/a")</f>
        <v>n/a</v>
      </c>
      <c r="M38" s="139" t="str">
        <f aca="false">IFERROR(M17/M$24,"n/a")</f>
        <v>n/a</v>
      </c>
      <c r="N38" s="139" t="str">
        <f aca="false">IFERROR(N17/N$24,"n/a")</f>
        <v>n/a</v>
      </c>
      <c r="O38" s="57"/>
      <c r="P38" s="57"/>
      <c r="Q38" s="57"/>
    </row>
    <row r="39" customFormat="false" ht="11.25" hidden="false" customHeight="true" outlineLevel="0" collapsed="false">
      <c r="C39" s="51" t="str">
        <f aca="false">C18</f>
        <v>Dummy 10</v>
      </c>
      <c r="D39" s="51" t="str">
        <f aca="false">D18</f>
        <v>Dummy 10</v>
      </c>
      <c r="E39" s="51"/>
      <c r="F39" s="57" t="str">
        <f aca="false">IFERROR(F18/F$24,"n/a")</f>
        <v>n/a</v>
      </c>
      <c r="G39" s="57" t="str">
        <f aca="false">IFERROR(G18/G$24,"n/a")</f>
        <v>n/a</v>
      </c>
      <c r="H39" s="57" t="str">
        <f aca="false">IFERROR(H18/H$24,"n/a")</f>
        <v>n/a</v>
      </c>
      <c r="I39" s="141" t="str">
        <f aca="false">IFERROR(I18/I$24,"n/a")</f>
        <v>n/a</v>
      </c>
      <c r="J39" s="142" t="str">
        <f aca="false">IFERROR(J18/J$24,"n/a")</f>
        <v>n/a</v>
      </c>
      <c r="K39" s="139" t="str">
        <f aca="false">IFERROR(K18/K$24,"n/a")</f>
        <v>n/a</v>
      </c>
      <c r="L39" s="139" t="str">
        <f aca="false">IFERROR(L18/L$24,"n/a")</f>
        <v>n/a</v>
      </c>
      <c r="M39" s="139" t="str">
        <f aca="false">IFERROR(M18/M$24,"n/a")</f>
        <v>n/a</v>
      </c>
      <c r="N39" s="139" t="str">
        <f aca="false">IFERROR(N18/N$24,"n/a")</f>
        <v>n/a</v>
      </c>
      <c r="O39" s="57"/>
      <c r="P39" s="57"/>
      <c r="Q39" s="57"/>
    </row>
    <row r="40" customFormat="false" ht="11.25" hidden="false" customHeight="true" outlineLevel="0" collapsed="false">
      <c r="C40" s="51" t="str">
        <f aca="false">C19</f>
        <v>Dummy 11</v>
      </c>
      <c r="D40" s="51" t="str">
        <f aca="false">D19</f>
        <v>Dummy 11</v>
      </c>
      <c r="E40" s="51"/>
      <c r="F40" s="57" t="str">
        <f aca="false">IFERROR(F19/F$24,"n/a")</f>
        <v>n/a</v>
      </c>
      <c r="G40" s="57" t="str">
        <f aca="false">IFERROR(G19/G$24,"n/a")</f>
        <v>n/a</v>
      </c>
      <c r="H40" s="57" t="str">
        <f aca="false">IFERROR(H19/H$24,"n/a")</f>
        <v>n/a</v>
      </c>
      <c r="I40" s="141" t="str">
        <f aca="false">IFERROR(I19/I$24,"n/a")</f>
        <v>n/a</v>
      </c>
      <c r="J40" s="142" t="str">
        <f aca="false">IFERROR(J19/J$24,"n/a")</f>
        <v>n/a</v>
      </c>
      <c r="K40" s="139" t="str">
        <f aca="false">IFERROR(K19/K$24,"n/a")</f>
        <v>n/a</v>
      </c>
      <c r="L40" s="139" t="str">
        <f aca="false">IFERROR(L19/L$24,"n/a")</f>
        <v>n/a</v>
      </c>
      <c r="M40" s="139" t="str">
        <f aca="false">IFERROR(M19/M$24,"n/a")</f>
        <v>n/a</v>
      </c>
      <c r="N40" s="139" t="str">
        <f aca="false">IFERROR(N19/N$24,"n/a")</f>
        <v>n/a</v>
      </c>
      <c r="O40" s="57"/>
      <c r="P40" s="57"/>
      <c r="Q40" s="57"/>
    </row>
    <row r="41" customFormat="false" ht="11.25" hidden="false" customHeight="true" outlineLevel="0" collapsed="false">
      <c r="C41" s="51" t="str">
        <f aca="false">C20</f>
        <v>Dummy 12</v>
      </c>
      <c r="D41" s="51" t="str">
        <f aca="false">D20</f>
        <v>Dummy 12</v>
      </c>
      <c r="E41" s="51"/>
      <c r="F41" s="57" t="str">
        <f aca="false">IFERROR(F20/F$24,"n/a")</f>
        <v>n/a</v>
      </c>
      <c r="G41" s="57" t="str">
        <f aca="false">IFERROR(G20/G$24,"n/a")</f>
        <v>n/a</v>
      </c>
      <c r="H41" s="57" t="str">
        <f aca="false">IFERROR(H20/H$24,"n/a")</f>
        <v>n/a</v>
      </c>
      <c r="I41" s="141" t="str">
        <f aca="false">IFERROR(I20/I$24,"n/a")</f>
        <v>n/a</v>
      </c>
      <c r="J41" s="142" t="str">
        <f aca="false">IFERROR(J20/J$24,"n/a")</f>
        <v>n/a</v>
      </c>
      <c r="K41" s="139" t="str">
        <f aca="false">IFERROR(K20/K$24,"n/a")</f>
        <v>n/a</v>
      </c>
      <c r="L41" s="139" t="str">
        <f aca="false">IFERROR(L20/L$24,"n/a")</f>
        <v>n/a</v>
      </c>
      <c r="M41" s="139" t="str">
        <f aca="false">IFERROR(M20/M$24,"n/a")</f>
        <v>n/a</v>
      </c>
      <c r="N41" s="139" t="str">
        <f aca="false">IFERROR(N20/N$24,"n/a")</f>
        <v>n/a</v>
      </c>
      <c r="O41" s="57"/>
      <c r="P41" s="57"/>
      <c r="Q41" s="57"/>
    </row>
    <row r="42" customFormat="false" ht="11.25" hidden="false" customHeight="true" outlineLevel="0" collapsed="false">
      <c r="C42" s="51" t="str">
        <f aca="false">C21</f>
        <v>Dummy 13</v>
      </c>
      <c r="D42" s="51" t="str">
        <f aca="false">D21</f>
        <v>Dummy 13</v>
      </c>
      <c r="E42" s="51"/>
      <c r="F42" s="57" t="str">
        <f aca="false">IFERROR(F21/F$24,"n/a")</f>
        <v>n/a</v>
      </c>
      <c r="G42" s="57" t="str">
        <f aca="false">IFERROR(G21/G$24,"n/a")</f>
        <v>n/a</v>
      </c>
      <c r="H42" s="57" t="str">
        <f aca="false">IFERROR(H21/H$24,"n/a")</f>
        <v>n/a</v>
      </c>
      <c r="I42" s="141" t="str">
        <f aca="false">IFERROR(I21/I$24,"n/a")</f>
        <v>n/a</v>
      </c>
      <c r="J42" s="142" t="str">
        <f aca="false">IFERROR(J21/J$24,"n/a")</f>
        <v>n/a</v>
      </c>
      <c r="K42" s="139" t="str">
        <f aca="false">IFERROR(K21/K$24,"n/a")</f>
        <v>n/a</v>
      </c>
      <c r="L42" s="139" t="str">
        <f aca="false">IFERROR(L21/L$24,"n/a")</f>
        <v>n/a</v>
      </c>
      <c r="M42" s="139" t="str">
        <f aca="false">IFERROR(M21/M$24,"n/a")</f>
        <v>n/a</v>
      </c>
      <c r="N42" s="139" t="str">
        <f aca="false">IFERROR(N21/N$24,"n/a")</f>
        <v>n/a</v>
      </c>
      <c r="O42" s="57"/>
      <c r="P42" s="57"/>
      <c r="Q42" s="57"/>
    </row>
    <row r="43" s="277" customFormat="true" ht="11.25" hidden="false" customHeight="true" outlineLevel="0" collapsed="false">
      <c r="B43" s="1"/>
      <c r="C43" s="132" t="str">
        <f aca="false">C22</f>
        <v>Sonstige betriebliche Aufwendungen</v>
      </c>
      <c r="D43" s="132" t="str">
        <f aca="false">D22</f>
        <v>Total other operating expenses</v>
      </c>
      <c r="E43" s="132"/>
      <c r="F43" s="144" t="str">
        <f aca="false">IFERROR(F22/F$24,"n/a")</f>
        <v>n/a</v>
      </c>
      <c r="G43" s="144" t="str">
        <f aca="false">IFERROR(G22/G$24,"n/a")</f>
        <v>n/a</v>
      </c>
      <c r="H43" s="144" t="str">
        <f aca="false">IFERROR(H22/H$24,"n/a")</f>
        <v>n/a</v>
      </c>
      <c r="I43" s="145" t="str">
        <f aca="false">IFERROR(I22/I$24,"n/a")</f>
        <v>n/a</v>
      </c>
      <c r="J43" s="146" t="str">
        <f aca="false">IFERROR(J22/J$24,"n/a")</f>
        <v>n/a</v>
      </c>
      <c r="K43" s="147" t="str">
        <f aca="false">IFERROR(K22/K$24,"n/a")</f>
        <v>n/a</v>
      </c>
      <c r="L43" s="147" t="str">
        <f aca="false">IFERROR(L22/L$24,"n/a")</f>
        <v>n/a</v>
      </c>
      <c r="M43" s="147" t="str">
        <f aca="false">IFERROR(M22/M$24,"n/a")</f>
        <v>n/a</v>
      </c>
      <c r="N43" s="147" t="str">
        <f aca="false">IFERROR(N22/N$24,"n/a")</f>
        <v>n/a</v>
      </c>
      <c r="O43" s="57"/>
      <c r="P43" s="57"/>
      <c r="Q43" s="57"/>
      <c r="R43" s="1"/>
    </row>
    <row r="44" s="277" customFormat="true" ht="4.5" hidden="false" customHeight="true" outlineLevel="0" collapsed="false">
      <c r="B44" s="1"/>
      <c r="C44" s="132"/>
      <c r="D44" s="132"/>
      <c r="E44" s="132"/>
      <c r="F44" s="144"/>
      <c r="G44" s="144"/>
      <c r="H44" s="144"/>
      <c r="I44" s="145"/>
      <c r="J44" s="146"/>
      <c r="K44" s="147"/>
      <c r="L44" s="147"/>
      <c r="M44" s="147"/>
      <c r="N44" s="147"/>
      <c r="O44" s="57"/>
      <c r="P44" s="57"/>
      <c r="Q44" s="57"/>
      <c r="R44" s="1"/>
    </row>
    <row r="45" customFormat="false" ht="11.25" hidden="false" customHeight="true" outlineLevel="0" collapsed="false">
      <c r="C45" s="51" t="s">
        <v>691</v>
      </c>
      <c r="D45" s="51" t="s">
        <v>692</v>
      </c>
      <c r="E45" s="51"/>
      <c r="F45" s="57" t="str">
        <f aca="false">IFERROR(F26/F$24,"n/a")</f>
        <v>n/a</v>
      </c>
      <c r="G45" s="57" t="str">
        <f aca="false">IFERROR(G26/G$24,"n/a")</f>
        <v>n/a</v>
      </c>
      <c r="H45" s="57" t="str">
        <f aca="false">IFERROR(H26/H$24,"n/a")</f>
        <v>n/a</v>
      </c>
      <c r="I45" s="141" t="str">
        <f aca="false">IFERROR(I26/I$24,"n/a")</f>
        <v>n/a</v>
      </c>
      <c r="J45" s="142" t="str">
        <f aca="false">IFERROR(J26/J$24,"n/a")</f>
        <v>n/a</v>
      </c>
      <c r="K45" s="139" t="str">
        <f aca="false">IFERROR(K26/K$24,"n/a")</f>
        <v>n/a</v>
      </c>
      <c r="L45" s="139" t="str">
        <f aca="false">IFERROR(L26/L$24,"n/a")</f>
        <v>n/a</v>
      </c>
      <c r="M45" s="139" t="str">
        <f aca="false">IFERROR(M26/M$24,"n/a")</f>
        <v>n/a</v>
      </c>
      <c r="N45" s="139" t="str">
        <f aca="false">IFERROR(N26/N$24,"n/a")</f>
        <v>n/a</v>
      </c>
      <c r="O45" s="57"/>
      <c r="P45" s="57"/>
      <c r="Q45" s="57"/>
    </row>
    <row r="46" customFormat="false" ht="11.25" hidden="false" customHeight="true" outlineLevel="0" collapsed="false">
      <c r="C46" s="51" t="s">
        <v>693</v>
      </c>
      <c r="D46" s="51" t="s">
        <v>694</v>
      </c>
      <c r="E46" s="51"/>
      <c r="F46" s="57" t="str">
        <f aca="false">IFERROR(F27/F$24,"n/a")</f>
        <v>n/a</v>
      </c>
      <c r="G46" s="57" t="str">
        <f aca="false">IFERROR(G27/G$24,"n/a")</f>
        <v>n/a</v>
      </c>
      <c r="H46" s="57" t="str">
        <f aca="false">IFERROR(H27/H$24,"n/a")</f>
        <v>n/a</v>
      </c>
      <c r="I46" s="141" t="str">
        <f aca="false">IFERROR(I27/I$24,"n/a")</f>
        <v>n/a</v>
      </c>
      <c r="J46" s="142" t="str">
        <f aca="false">IFERROR(J27/J$24,"n/a")</f>
        <v>n/a</v>
      </c>
      <c r="K46" s="139" t="str">
        <f aca="false">IFERROR(K27/K$24,"n/a")</f>
        <v>n/a</v>
      </c>
      <c r="L46" s="139" t="str">
        <f aca="false">IFERROR(L27/L$24,"n/a")</f>
        <v>n/a</v>
      </c>
      <c r="M46" s="139" t="str">
        <f aca="false">IFERROR(M27/M$24,"n/a")</f>
        <v>n/a</v>
      </c>
      <c r="N46" s="139" t="str">
        <f aca="false">IFERROR(N27/N$24,"n/a")</f>
        <v>n/a</v>
      </c>
      <c r="O46" s="57"/>
      <c r="P46" s="57"/>
      <c r="Q46" s="57"/>
    </row>
    <row r="47" customFormat="false" ht="4.5" hidden="false" customHeight="true" outlineLevel="0" collapsed="false">
      <c r="C47" s="51"/>
      <c r="D47" s="51"/>
      <c r="E47" s="51"/>
      <c r="F47" s="57"/>
      <c r="G47" s="57"/>
      <c r="H47" s="57"/>
      <c r="I47" s="284"/>
      <c r="J47" s="142"/>
      <c r="K47" s="139"/>
      <c r="L47" s="139"/>
      <c r="M47" s="139"/>
      <c r="N47" s="139"/>
      <c r="O47" s="57"/>
      <c r="P47" s="57"/>
      <c r="Q47" s="57"/>
    </row>
    <row r="48" customFormat="false" ht="11.25" hidden="false" customHeight="true" outlineLevel="0" collapsed="false">
      <c r="C48" s="54" t="str">
        <f aca="false">"Quelle: "&amp;Cockpit!$C$7</f>
        <v>Quelle: Datenraum/ eigene Analysen</v>
      </c>
      <c r="D48" s="54" t="str">
        <f aca="false">"Source: "&amp;Cockpit!$C$8</f>
        <v>Source: Virtual Data Room/ Company Information</v>
      </c>
      <c r="E48" s="54"/>
      <c r="F48" s="55"/>
      <c r="G48" s="55"/>
      <c r="H48" s="55"/>
      <c r="I48" s="56"/>
      <c r="J48" s="56"/>
      <c r="K48" s="279"/>
      <c r="L48" s="279"/>
      <c r="M48" s="279"/>
      <c r="N48" s="279"/>
      <c r="O48" s="57"/>
      <c r="P48" s="279"/>
      <c r="Q48" s="279"/>
    </row>
    <row r="51" customFormat="false" ht="11.25" hidden="false" customHeight="true" outlineLevel="0" collapsed="false">
      <c r="C51" s="151" t="s">
        <v>695</v>
      </c>
      <c r="D51" s="151" t="s">
        <v>696</v>
      </c>
      <c r="E51" s="151"/>
      <c r="F51" s="152" t="n">
        <f aca="false">'Lead PL'!F125</f>
        <v>0</v>
      </c>
      <c r="G51" s="152" t="n">
        <f aca="false">'Lead PL'!G125</f>
        <v>0</v>
      </c>
      <c r="H51" s="152" t="n">
        <f aca="false">'Lead PL'!H125</f>
        <v>0</v>
      </c>
      <c r="I51" s="152" t="n">
        <f aca="false">'Lead PL'!I125</f>
        <v>0</v>
      </c>
      <c r="J51" s="152" t="n">
        <f aca="false">'Lead PL'!J125</f>
        <v>0</v>
      </c>
      <c r="K51" s="152" t="n">
        <f aca="false">'Lead PL'!K125</f>
        <v>0</v>
      </c>
      <c r="L51" s="152" t="n">
        <f aca="false">'Lead PL'!L125</f>
        <v>0</v>
      </c>
      <c r="M51" s="152" t="n">
        <f aca="false">'Lead PL'!M125</f>
        <v>0</v>
      </c>
      <c r="N51" s="152" t="n">
        <f aca="false">'Lead PL'!N125</f>
        <v>0</v>
      </c>
    </row>
    <row r="52" customFormat="false" ht="11.25" hidden="false" customHeight="true" outlineLevel="0" collapsed="false">
      <c r="C52" s="153" t="s">
        <v>245</v>
      </c>
      <c r="D52" s="154" t="s">
        <v>245</v>
      </c>
      <c r="E52" s="153"/>
      <c r="F52" s="285" t="n">
        <f aca="false">F51-F22</f>
        <v>0</v>
      </c>
      <c r="G52" s="285" t="n">
        <f aca="false">G51-G22</f>
        <v>0</v>
      </c>
      <c r="H52" s="285" t="n">
        <f aca="false">H51-H22</f>
        <v>0</v>
      </c>
      <c r="I52" s="285" t="n">
        <f aca="false">I51-I22</f>
        <v>0</v>
      </c>
      <c r="J52" s="285" t="n">
        <f aca="false">J51-J22</f>
        <v>0</v>
      </c>
      <c r="K52" s="285" t="n">
        <f aca="false">K51-K22</f>
        <v>0</v>
      </c>
      <c r="L52" s="285" t="n">
        <f aca="false">L51-L22</f>
        <v>0</v>
      </c>
      <c r="M52" s="285" t="n">
        <f aca="false">M51-M22</f>
        <v>0</v>
      </c>
      <c r="N52" s="285" t="n">
        <f aca="false">N51-N22</f>
        <v>0</v>
      </c>
    </row>
    <row r="54" customFormat="false" ht="11.25" hidden="false" customHeight="true" outlineLevel="0" collapsed="false">
      <c r="C54" s="151" t="s">
        <v>697</v>
      </c>
      <c r="D54" s="151" t="s">
        <v>698</v>
      </c>
      <c r="E54" s="151"/>
      <c r="F54" s="152"/>
      <c r="G54" s="152"/>
      <c r="H54" s="152"/>
      <c r="I54" s="152"/>
      <c r="J54" s="152"/>
      <c r="K54" s="152"/>
      <c r="L54" s="152"/>
      <c r="M54" s="152"/>
      <c r="N54" s="152"/>
    </row>
    <row r="55" customFormat="false" ht="11.25" hidden="false" customHeight="true" outlineLevel="0" collapsed="false">
      <c r="C55" s="153" t="s">
        <v>245</v>
      </c>
      <c r="D55" s="154" t="s">
        <v>245</v>
      </c>
      <c r="E55" s="153"/>
      <c r="F55" s="285" t="n">
        <f aca="false">SUM(F26:F27)-F22</f>
        <v>0</v>
      </c>
      <c r="G55" s="285" t="n">
        <f aca="false">SUM(G26:G27)-G22</f>
        <v>0</v>
      </c>
      <c r="H55" s="285" t="n">
        <f aca="false">SUM(H26:H27)-H22</f>
        <v>0</v>
      </c>
      <c r="I55" s="285" t="n">
        <f aca="false">SUM(I26:I27)-I22</f>
        <v>0</v>
      </c>
      <c r="J55" s="285" t="n">
        <f aca="false">SUM(J26:J27)-J22</f>
        <v>0</v>
      </c>
      <c r="K55" s="285" t="n">
        <f aca="false">SUM(K26:K27)-K22</f>
        <v>0</v>
      </c>
      <c r="L55" s="285" t="n">
        <f aca="false">SUM(L26:L27)-L22</f>
        <v>0</v>
      </c>
      <c r="M55" s="285" t="n">
        <f aca="false">SUM(M26:M27)-M22</f>
        <v>0</v>
      </c>
      <c r="N55" s="285" t="n">
        <f aca="false">SUM(N26:N27)-N22</f>
        <v>0</v>
      </c>
    </row>
  </sheetData>
  <conditionalFormatting sqref="F55:N55">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conditionalFormatting sqref="F52:N52">
    <cfRule type="cellIs" priority="5" operator="between" aboveAverage="0" equalAverage="0" bottom="0" percent="0" rank="0" text="" dxfId="2">
      <formula>-1</formula>
      <formula>1</formula>
    </cfRule>
    <cfRule type="cellIs" priority="6" operator="lessThan" aboveAverage="0" equalAverage="0" bottom="0" percent="0" rank="0" text="" dxfId="0">
      <formula>-1</formula>
    </cfRule>
    <cfRule type="cellIs" priority="7" operator="greaterThan" aboveAverage="0" equalAverage="0" bottom="0" percent="0" rank="0" text="" dxfId="0">
      <formula>1</formula>
    </cfRule>
  </conditionalFormatting>
  <dataValidations count="1">
    <dataValidation allowBlank="true" errorStyle="stop" operator="between" showDropDown="false" showErrorMessage="true" showInputMessage="true" sqref="E9:E21 E26:E27" type="list">
      <formula1>"fixed,variable,fix,variabel"</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5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EAED"/>
    <pageSetUpPr fitToPage="false"/>
  </sheetPr>
  <dimension ref="C1:P103"/>
  <sheetViews>
    <sheetView showFormulas="false" showGridLines="true" showRowColHeaders="true" showZeros="true" rightToLeft="false" tabSelected="false" showOutlineSymbols="true" defaultGridColor="true" view="normal" topLeftCell="A52" colorId="64" zoomScale="100" zoomScaleNormal="100" zoomScalePageLayoutView="100" workbookViewId="0">
      <selection pane="topLeft" activeCell="C57" activeCellId="0" sqref="C57"/>
    </sheetView>
  </sheetViews>
  <sheetFormatPr defaultColWidth="11.43359375" defaultRowHeight="12" zeroHeight="false" outlineLevelRow="3" outlineLevelCol="2"/>
  <cols>
    <col collapsed="false" customWidth="false" hidden="false" outlineLevel="0" max="1" min="1" style="1" width="11.43"/>
    <col collapsed="false" customWidth="true" hidden="false" outlineLevel="2" max="2" min="2" style="1" width="0.86"/>
    <col collapsed="false" customWidth="true" hidden="false" outlineLevel="2" max="3" min="3" style="1" width="29.14"/>
    <col collapsed="false" customWidth="true" hidden="false" outlineLevel="0" max="4" min="4" style="1" width="29.14"/>
    <col collapsed="false" customWidth="true" hidden="false" outlineLevel="0" max="8" min="5" style="1" width="8.42"/>
    <col collapsed="false" customWidth="true" hidden="false" outlineLevel="0" max="9" min="9" style="1" width="0.86"/>
    <col collapsed="false" customWidth="true" hidden="false" outlineLevel="0" max="11" min="10" style="1" width="8.42"/>
    <col collapsed="false" customWidth="true" hidden="false" outlineLevel="0" max="12" min="12" style="286" width="8.42"/>
    <col collapsed="false" customWidth="true" hidden="false" outlineLevel="0" max="13" min="13" style="1" width="8.42"/>
    <col collapsed="false" customWidth="true" hidden="true" outlineLevel="2" max="14" min="14" style="1" width="0.86"/>
    <col collapsed="false" customWidth="false" hidden="false" outlineLevel="0" max="15" min="15" style="1" width="11.43"/>
    <col collapsed="false" customWidth="true" hidden="false" outlineLevel="0" max="16" min="16" style="1" width="69"/>
    <col collapsed="false" customWidth="false" hidden="false" outlineLevel="0" max="16384" min="17" style="1" width="11.43"/>
  </cols>
  <sheetData>
    <row r="1" customFormat="false" ht="12" hidden="false" customHeight="true" outlineLevel="3" collapsed="false"/>
    <row r="3" customFormat="false" ht="11.25" hidden="false" customHeight="true" outlineLevel="0" collapsed="false"/>
    <row r="4" customFormat="false" ht="11.25" hidden="false" customHeight="true" outlineLevel="0" collapsed="false"/>
    <row r="5" customFormat="false" ht="11.25" hidden="false" customHeight="true" outlineLevel="3" collapsed="false">
      <c r="C5" s="287" t="str">
        <f aca="false">Cockpit!$C$4</f>
        <v>Template</v>
      </c>
      <c r="D5" s="288"/>
      <c r="E5" s="289" t="n">
        <f aca="false">'Lead PL'!H6</f>
        <v>45657</v>
      </c>
      <c r="F5" s="289"/>
      <c r="G5" s="289"/>
      <c r="H5" s="289"/>
      <c r="I5" s="290"/>
      <c r="J5" s="289" t="n">
        <f aca="false">'Lead PL'!K6</f>
        <v>46022</v>
      </c>
      <c r="K5" s="289"/>
      <c r="L5" s="289"/>
      <c r="M5" s="289"/>
    </row>
    <row r="6" customFormat="false" ht="11.25" hidden="false" customHeight="true" outlineLevel="3" collapsed="false">
      <c r="C6" s="287"/>
      <c r="D6" s="288"/>
      <c r="E6" s="221" t="str">
        <f aca="false">Cockpit!$C$24</f>
        <v>YTD</v>
      </c>
      <c r="F6" s="221" t="str">
        <f aca="false">Cockpit!$C$25</f>
        <v>YTG</v>
      </c>
      <c r="G6" s="221" t="str">
        <f aca="false">Cockpit!$C$19</f>
        <v>IST</v>
      </c>
      <c r="H6" s="221" t="s">
        <v>699</v>
      </c>
      <c r="I6" s="221"/>
      <c r="J6" s="221" t="str">
        <f aca="false">Cockpit!$C$24</f>
        <v>YTD</v>
      </c>
      <c r="K6" s="221" t="str">
        <f aca="false">F6</f>
        <v>YTG</v>
      </c>
      <c r="L6" s="221" t="str">
        <f aca="false">Cockpit!$I$34</f>
        <v>Plan</v>
      </c>
      <c r="M6" s="221" t="s">
        <v>699</v>
      </c>
    </row>
    <row r="7" customFormat="false" ht="11.25" hidden="false" customHeight="true" outlineLevel="3" collapsed="false">
      <c r="C7" s="36" t="str">
        <f aca="false">"in T"&amp;Cockpit!$C$5</f>
        <v>in TEUR</v>
      </c>
      <c r="D7" s="288"/>
      <c r="E7" s="225" t="n">
        <f aca="false">EDATE(J7,-12)</f>
        <v>45443</v>
      </c>
      <c r="F7" s="225" t="n">
        <f aca="false">EDATE(K7,-12)</f>
        <v>45443</v>
      </c>
      <c r="G7" s="221" t="n">
        <f aca="false">F7</f>
        <v>45443</v>
      </c>
      <c r="H7" s="291" t="s">
        <v>700</v>
      </c>
      <c r="I7" s="290"/>
      <c r="J7" s="225" t="n">
        <f aca="false">'Lead PL'!J4</f>
        <v>45808</v>
      </c>
      <c r="K7" s="225" t="n">
        <f aca="false">$J7</f>
        <v>45808</v>
      </c>
      <c r="L7" s="221" t="n">
        <f aca="false">K7</f>
        <v>45808</v>
      </c>
      <c r="M7" s="291" t="s">
        <v>700</v>
      </c>
    </row>
    <row r="8" customFormat="false" ht="11.25" hidden="false" customHeight="true" outlineLevel="0" collapsed="false">
      <c r="C8" s="287"/>
      <c r="D8" s="287" t="str">
        <f aca="false">Cockpit!$C$4</f>
        <v>Template</v>
      </c>
      <c r="E8" s="292" t="n">
        <f aca="false">'Lead PL'!H6</f>
        <v>45657</v>
      </c>
      <c r="F8" s="292"/>
      <c r="G8" s="292"/>
      <c r="H8" s="292"/>
      <c r="I8" s="227"/>
      <c r="J8" s="292" t="n">
        <f aca="false">'Lead PL'!K6</f>
        <v>46022</v>
      </c>
      <c r="K8" s="292"/>
      <c r="L8" s="292"/>
      <c r="M8" s="292"/>
    </row>
    <row r="9" customFormat="false" ht="11.25" hidden="false" customHeight="true" outlineLevel="0" collapsed="false">
      <c r="C9" s="287"/>
      <c r="D9" s="287"/>
      <c r="E9" s="227" t="str">
        <f aca="false">Cockpit!$C$24</f>
        <v>YTD</v>
      </c>
      <c r="F9" s="227" t="str">
        <f aca="false">Cockpit!$C$25</f>
        <v>YTG</v>
      </c>
      <c r="G9" s="227" t="str">
        <f aca="false">Cockpit!$C$19</f>
        <v>IST</v>
      </c>
      <c r="H9" s="227" t="s">
        <v>699</v>
      </c>
      <c r="I9" s="227"/>
      <c r="J9" s="227" t="str">
        <f aca="false">Cockpit!$C$24</f>
        <v>YTD</v>
      </c>
      <c r="K9" s="227" t="str">
        <f aca="false">F9</f>
        <v>YTG</v>
      </c>
      <c r="L9" s="227" t="str">
        <f aca="false">Cockpit!$I$34</f>
        <v>Plan</v>
      </c>
      <c r="M9" s="227" t="s">
        <v>699</v>
      </c>
    </row>
    <row r="10" customFormat="false" ht="11.25" hidden="false" customHeight="true" outlineLevel="0" collapsed="false">
      <c r="C10" s="287"/>
      <c r="D10" s="10" t="str">
        <f aca="false">"in k"&amp;Cockpit!$C$5</f>
        <v>in kEUR</v>
      </c>
      <c r="E10" s="293" t="n">
        <f aca="false">EDATE(J10,-12)</f>
        <v>45443</v>
      </c>
      <c r="F10" s="293" t="n">
        <f aca="false">EDATE(K10,-12)</f>
        <v>45443</v>
      </c>
      <c r="G10" s="227" t="n">
        <f aca="false">F10</f>
        <v>45443</v>
      </c>
      <c r="H10" s="291" t="s">
        <v>701</v>
      </c>
      <c r="I10" s="291"/>
      <c r="J10" s="293" t="n">
        <f aca="false">'Lead PL'!J6</f>
        <v>45808</v>
      </c>
      <c r="K10" s="293" t="n">
        <f aca="false">$J10</f>
        <v>45808</v>
      </c>
      <c r="L10" s="227" t="n">
        <f aca="false">K10</f>
        <v>45808</v>
      </c>
      <c r="M10" s="291" t="s">
        <v>701</v>
      </c>
      <c r="P10" s="89" t="s">
        <v>409</v>
      </c>
    </row>
    <row r="11" customFormat="false" ht="4.5" hidden="false" customHeight="true" outlineLevel="0" collapsed="false">
      <c r="C11" s="294"/>
      <c r="D11" s="294"/>
      <c r="E11" s="157"/>
      <c r="F11" s="157"/>
      <c r="G11" s="86"/>
      <c r="H11" s="295"/>
      <c r="I11" s="295"/>
      <c r="J11" s="157"/>
      <c r="K11" s="157"/>
      <c r="L11" s="157"/>
      <c r="M11" s="295"/>
    </row>
    <row r="12" customFormat="false" ht="11.25" hidden="false" customHeight="true" outlineLevel="0" collapsed="false">
      <c r="C12" s="51" t="str">
        <f aca="false">'Lead PL'!C9</f>
        <v>Umsatzerlöse</v>
      </c>
      <c r="D12" s="51" t="str">
        <f aca="false">'Lead PL'!D9</f>
        <v>Revenues</v>
      </c>
      <c r="E12" s="160"/>
      <c r="F12" s="196" t="n">
        <f aca="false">G12-E12</f>
        <v>0</v>
      </c>
      <c r="G12" s="159"/>
      <c r="H12" s="57" t="str">
        <f aca="false">IFERROR(E12/G12,"n/a")</f>
        <v>n/a</v>
      </c>
      <c r="I12" s="159"/>
      <c r="J12" s="160"/>
      <c r="K12" s="196" t="n">
        <f aca="false">L12-J12</f>
        <v>0</v>
      </c>
      <c r="L12" s="161"/>
      <c r="M12" s="57" t="str">
        <f aca="false">IFERROR(J12/L12,"n/a")</f>
        <v>n/a</v>
      </c>
      <c r="P12" s="105" t="s">
        <v>269</v>
      </c>
    </row>
    <row r="13" customFormat="false" ht="11.25" hidden="false" customHeight="true" outlineLevel="2" collapsed="false">
      <c r="C13" s="51" t="str">
        <f aca="false">'Lead PL'!C18</f>
        <v>Bestandsveränderung</v>
      </c>
      <c r="D13" s="51" t="str">
        <f aca="false">'Lead PL'!D18</f>
        <v>Change in inventory</v>
      </c>
      <c r="E13" s="160"/>
      <c r="F13" s="196" t="n">
        <f aca="false">G13-E13</f>
        <v>0</v>
      </c>
      <c r="G13" s="159"/>
      <c r="H13" s="57" t="str">
        <f aca="false">IFERROR(E13/G13,"n/a")</f>
        <v>n/a</v>
      </c>
      <c r="I13" s="159"/>
      <c r="J13" s="160"/>
      <c r="K13" s="196" t="n">
        <f aca="false">L13-J13</f>
        <v>0</v>
      </c>
      <c r="L13" s="161"/>
      <c r="M13" s="57" t="str">
        <f aca="false">IFERROR(J13/L13,"n/a")</f>
        <v>n/a</v>
      </c>
      <c r="P13" s="105" t="s">
        <v>273</v>
      </c>
    </row>
    <row r="14" customFormat="false" ht="11.25" hidden="false" customHeight="true" outlineLevel="2" collapsed="false">
      <c r="C14" s="51" t="str">
        <f aca="false">'Lead PL'!C27</f>
        <v>Aktivierte Eigenleistungen</v>
      </c>
      <c r="D14" s="51" t="str">
        <f aca="false">'Lead PL'!D27</f>
        <v>Own work capitalized</v>
      </c>
      <c r="E14" s="160"/>
      <c r="F14" s="196" t="n">
        <f aca="false">G14-E14</f>
        <v>0</v>
      </c>
      <c r="G14" s="159"/>
      <c r="H14" s="57" t="str">
        <f aca="false">IFERROR(E14/G14,"n/a")</f>
        <v>n/a</v>
      </c>
      <c r="I14" s="159"/>
      <c r="J14" s="160"/>
      <c r="K14" s="196" t="n">
        <f aca="false">L14-J14</f>
        <v>0</v>
      </c>
      <c r="L14" s="161"/>
      <c r="M14" s="57" t="str">
        <f aca="false">IFERROR(J14/L14,"n/a")</f>
        <v>n/a</v>
      </c>
      <c r="P14" s="105" t="s">
        <v>275</v>
      </c>
    </row>
    <row r="15" customFormat="false" ht="11.25" hidden="false" customHeight="true" outlineLevel="2" collapsed="false">
      <c r="C15" s="51" t="str">
        <f aca="false">'Lead PL'!C36</f>
        <v>Dummy 1</v>
      </c>
      <c r="D15" s="51" t="str">
        <f aca="false">'Lead PL'!D36</f>
        <v>Dummy 1</v>
      </c>
      <c r="E15" s="160"/>
      <c r="F15" s="196" t="n">
        <f aca="false">G15-E15</f>
        <v>0</v>
      </c>
      <c r="G15" s="159"/>
      <c r="H15" s="57" t="str">
        <f aca="false">IFERROR(E15/G15,"n/a")</f>
        <v>n/a</v>
      </c>
      <c r="I15" s="159"/>
      <c r="J15" s="160"/>
      <c r="K15" s="196" t="n">
        <f aca="false">L15-J15</f>
        <v>0</v>
      </c>
      <c r="L15" s="161"/>
      <c r="M15" s="57" t="str">
        <f aca="false">IFERROR(J15/L15,"n/a")</f>
        <v>n/a</v>
      </c>
      <c r="P15" s="105"/>
    </row>
    <row r="16" customFormat="false" ht="11.25" hidden="false" customHeight="true" outlineLevel="2" collapsed="false">
      <c r="C16" s="51" t="str">
        <f aca="false">'Lead PL'!C37</f>
        <v>Dummy 2</v>
      </c>
      <c r="D16" s="51" t="str">
        <f aca="false">'Lead PL'!D37</f>
        <v>Dummy 2</v>
      </c>
      <c r="E16" s="160"/>
      <c r="F16" s="196" t="n">
        <f aca="false">G16-E16</f>
        <v>0</v>
      </c>
      <c r="G16" s="159"/>
      <c r="H16" s="57" t="str">
        <f aca="false">IFERROR(E16/G16,"n/a")</f>
        <v>n/a</v>
      </c>
      <c r="I16" s="159"/>
      <c r="J16" s="160"/>
      <c r="K16" s="196" t="n">
        <f aca="false">L16-J16</f>
        <v>0</v>
      </c>
      <c r="L16" s="161"/>
      <c r="M16" s="57" t="str">
        <f aca="false">IFERROR(J16/L16,"n/a")</f>
        <v>n/a</v>
      </c>
      <c r="P16" s="105"/>
    </row>
    <row r="17" customFormat="false" ht="11.25" hidden="false" customHeight="true" outlineLevel="2" collapsed="false">
      <c r="C17" s="54" t="str">
        <f aca="false">'Lead PL'!C38</f>
        <v>Dummy 3</v>
      </c>
      <c r="D17" s="51" t="str">
        <f aca="false">'Lead PL'!D38</f>
        <v>Dummy 3</v>
      </c>
      <c r="E17" s="160"/>
      <c r="F17" s="196" t="n">
        <f aca="false">G17-E17</f>
        <v>0</v>
      </c>
      <c r="G17" s="159"/>
      <c r="H17" s="57" t="str">
        <f aca="false">IFERROR(E17/G17,"n/a")</f>
        <v>n/a</v>
      </c>
      <c r="I17" s="159"/>
      <c r="J17" s="160"/>
      <c r="K17" s="196" t="n">
        <f aca="false">L17-J17</f>
        <v>0</v>
      </c>
      <c r="L17" s="161"/>
      <c r="M17" s="57" t="str">
        <f aca="false">IFERROR(J17/L17,"n/a")</f>
        <v>n/a</v>
      </c>
      <c r="P17" s="105"/>
    </row>
    <row r="18" customFormat="false" ht="11.25" hidden="false" customHeight="true" outlineLevel="0" collapsed="false">
      <c r="C18" s="296" t="str">
        <f aca="false">'Lead PL'!C39</f>
        <v>Gesamtleistung</v>
      </c>
      <c r="D18" s="296" t="str">
        <f aca="false">'Lead PL'!D39</f>
        <v>Total output</v>
      </c>
      <c r="E18" s="166" t="n">
        <f aca="false">SUM(E12:E17)</f>
        <v>0</v>
      </c>
      <c r="F18" s="199" t="n">
        <f aca="false">G18-E18</f>
        <v>0</v>
      </c>
      <c r="G18" s="165" t="n">
        <f aca="false">SUM(G12:G17)</f>
        <v>0</v>
      </c>
      <c r="H18" s="273" t="str">
        <f aca="false">IFERROR(E18/G18,"n/a")</f>
        <v>n/a</v>
      </c>
      <c r="I18" s="297"/>
      <c r="J18" s="166" t="n">
        <f aca="false">SUM(J12:J17)</f>
        <v>0</v>
      </c>
      <c r="K18" s="199" t="n">
        <f aca="false">L18-J18</f>
        <v>0</v>
      </c>
      <c r="L18" s="167" t="n">
        <f aca="false">SUM(L12:L17)</f>
        <v>0</v>
      </c>
      <c r="M18" s="273" t="str">
        <f aca="false">IFERROR(J18/L18,"n/a")</f>
        <v>n/a</v>
      </c>
    </row>
    <row r="19" customFormat="false" ht="11.25" hidden="false" customHeight="true" outlineLevel="0" collapsed="false">
      <c r="C19" s="51" t="str">
        <f aca="false">'Lead PL'!C40</f>
        <v>Materialaufwand</v>
      </c>
      <c r="D19" s="51" t="str">
        <f aca="false">'Lead PL'!D40</f>
        <v>Cost of materials</v>
      </c>
      <c r="E19" s="160"/>
      <c r="F19" s="196" t="n">
        <f aca="false">G19-E19</f>
        <v>0</v>
      </c>
      <c r="G19" s="159"/>
      <c r="H19" s="57" t="str">
        <f aca="false">IFERROR(E19/G19,"n/a")</f>
        <v>n/a</v>
      </c>
      <c r="I19" s="159"/>
      <c r="J19" s="160"/>
      <c r="K19" s="196" t="n">
        <f aca="false">L19-J19</f>
        <v>0</v>
      </c>
      <c r="L19" s="161"/>
      <c r="M19" s="57" t="str">
        <f aca="false">IFERROR(J19/L19,"n/a")</f>
        <v>n/a</v>
      </c>
      <c r="P19" s="105" t="s">
        <v>289</v>
      </c>
    </row>
    <row r="20" customFormat="false" ht="11.25" hidden="false" customHeight="true" outlineLevel="2" collapsed="false">
      <c r="C20" s="51" t="str">
        <f aca="false">'Lead PL'!C49</f>
        <v>Dummy 1</v>
      </c>
      <c r="D20" s="51" t="str">
        <f aca="false">'Lead PL'!D49</f>
        <v>Dummy 1</v>
      </c>
      <c r="E20" s="160"/>
      <c r="F20" s="196" t="n">
        <f aca="false">G20-E20</f>
        <v>0</v>
      </c>
      <c r="G20" s="159"/>
      <c r="H20" s="57" t="str">
        <f aca="false">IFERROR(E20/G20,"n/a")</f>
        <v>n/a</v>
      </c>
      <c r="I20" s="159"/>
      <c r="J20" s="160"/>
      <c r="K20" s="196" t="n">
        <f aca="false">L20-J20</f>
        <v>0</v>
      </c>
      <c r="L20" s="161"/>
      <c r="M20" s="57" t="str">
        <f aca="false">IFERROR(J20/L20,"n/a")</f>
        <v>n/a</v>
      </c>
      <c r="P20" s="105"/>
    </row>
    <row r="21" customFormat="false" ht="11.25" hidden="false" customHeight="true" outlineLevel="2" collapsed="false">
      <c r="C21" s="51" t="str">
        <f aca="false">'Lead PL'!C50</f>
        <v>Dummy 2</v>
      </c>
      <c r="D21" s="51" t="str">
        <f aca="false">'Lead PL'!D50</f>
        <v>Dummy 2</v>
      </c>
      <c r="E21" s="160"/>
      <c r="F21" s="196" t="n">
        <f aca="false">G21-E21</f>
        <v>0</v>
      </c>
      <c r="G21" s="159"/>
      <c r="H21" s="57" t="str">
        <f aca="false">IFERROR(E21/G21,"n/a")</f>
        <v>n/a</v>
      </c>
      <c r="I21" s="159"/>
      <c r="J21" s="160"/>
      <c r="K21" s="196" t="n">
        <f aca="false">L21-J21</f>
        <v>0</v>
      </c>
      <c r="L21" s="161"/>
      <c r="M21" s="57" t="str">
        <f aca="false">IFERROR(J21/L21,"n/a")</f>
        <v>n/a</v>
      </c>
      <c r="P21" s="105"/>
    </row>
    <row r="22" customFormat="false" ht="11.25" hidden="false" customHeight="true" outlineLevel="2" collapsed="false">
      <c r="C22" s="54" t="str">
        <f aca="false">'Lead PL'!C51</f>
        <v>Dummy 3</v>
      </c>
      <c r="D22" s="54" t="str">
        <f aca="false">'Lead PL'!D51</f>
        <v>Dummy 3</v>
      </c>
      <c r="E22" s="163"/>
      <c r="F22" s="197" t="n">
        <f aca="false">G22-E22</f>
        <v>0</v>
      </c>
      <c r="G22" s="162"/>
      <c r="H22" s="55" t="str">
        <f aca="false">IFERROR(E22/G22,"n/a")</f>
        <v>n/a</v>
      </c>
      <c r="I22" s="162"/>
      <c r="J22" s="163"/>
      <c r="K22" s="197" t="n">
        <f aca="false">L22-J22</f>
        <v>0</v>
      </c>
      <c r="L22" s="164"/>
      <c r="M22" s="55" t="str">
        <f aca="false">IFERROR(J22/L22,"n/a")</f>
        <v>n/a</v>
      </c>
      <c r="P22" s="105"/>
    </row>
    <row r="23" customFormat="false" ht="11.25" hidden="false" customHeight="true" outlineLevel="0" collapsed="false">
      <c r="C23" s="296" t="str">
        <f aca="false">'Lead PL'!C52</f>
        <v>Rohergebnis</v>
      </c>
      <c r="D23" s="296" t="str">
        <f aca="false">'Lead PL'!D52</f>
        <v>Gross profit</v>
      </c>
      <c r="E23" s="166" t="n">
        <f aca="false">SUM(E18:E22)</f>
        <v>0</v>
      </c>
      <c r="F23" s="199" t="n">
        <f aca="false">G23-E23</f>
        <v>0</v>
      </c>
      <c r="G23" s="165" t="n">
        <f aca="false">SUM(G18:G22)</f>
        <v>0</v>
      </c>
      <c r="H23" s="273" t="str">
        <f aca="false">IFERROR(E23/G23,"n/a")</f>
        <v>n/a</v>
      </c>
      <c r="I23" s="297"/>
      <c r="J23" s="166" t="n">
        <f aca="false">SUM(J18:J22)</f>
        <v>0</v>
      </c>
      <c r="K23" s="199" t="n">
        <f aca="false">L23-J23</f>
        <v>0</v>
      </c>
      <c r="L23" s="167" t="n">
        <f aca="false">SUM(L18:L22)</f>
        <v>0</v>
      </c>
      <c r="M23" s="273" t="str">
        <f aca="false">IFERROR(J23/L23,"n/a")</f>
        <v>n/a</v>
      </c>
    </row>
    <row r="24" customFormat="false" ht="11.25" hidden="false" customHeight="true" outlineLevel="0" collapsed="false">
      <c r="C24" s="51" t="str">
        <f aca="false">'Lead PL'!C53</f>
        <v>Personalaufwand</v>
      </c>
      <c r="D24" s="51" t="str">
        <f aca="false">'Lead PL'!D53</f>
        <v>Personnel expenses</v>
      </c>
      <c r="E24" s="160"/>
      <c r="F24" s="196" t="n">
        <f aca="false">G24-E24</f>
        <v>0</v>
      </c>
      <c r="G24" s="159"/>
      <c r="H24" s="57" t="str">
        <f aca="false">IFERROR(E24/G24,"n/a")</f>
        <v>n/a</v>
      </c>
      <c r="I24" s="159"/>
      <c r="J24" s="160"/>
      <c r="K24" s="196" t="n">
        <f aca="false">L24-J24</f>
        <v>0</v>
      </c>
      <c r="L24" s="161"/>
      <c r="M24" s="57" t="str">
        <f aca="false">IFERROR(J24/L24,"n/a")</f>
        <v>n/a</v>
      </c>
      <c r="P24" s="105" t="s">
        <v>291</v>
      </c>
    </row>
    <row r="25" customFormat="false" ht="11.25" hidden="false" customHeight="true" outlineLevel="0" collapsed="false">
      <c r="C25" s="51" t="str">
        <f aca="false">'Lead PL'!C62</f>
        <v>Raumkosten</v>
      </c>
      <c r="D25" s="51" t="str">
        <f aca="false">'Lead PL'!D62</f>
        <v>Premise costs</v>
      </c>
      <c r="E25" s="160"/>
      <c r="F25" s="196" t="n">
        <f aca="false">G25-E25</f>
        <v>0</v>
      </c>
      <c r="G25" s="159"/>
      <c r="H25" s="57" t="str">
        <f aca="false">IFERROR(E25/G25,"n/a")</f>
        <v>n/a</v>
      </c>
      <c r="I25" s="159"/>
      <c r="J25" s="160"/>
      <c r="K25" s="196" t="n">
        <f aca="false">L25-J25</f>
        <v>0</v>
      </c>
      <c r="L25" s="161"/>
      <c r="M25" s="57" t="str">
        <f aca="false">IFERROR(J25/L25,"n/a")</f>
        <v>n/a</v>
      </c>
      <c r="P25" s="105" t="s">
        <v>397</v>
      </c>
    </row>
    <row r="26" customFormat="false" ht="11.25" hidden="false" customHeight="true" outlineLevel="0" collapsed="false">
      <c r="C26" s="51" t="str">
        <f aca="false">'Lead PL'!C71</f>
        <v>Reparaturen und Instandhaltungen</v>
      </c>
      <c r="D26" s="51" t="str">
        <f aca="false">'Lead PL'!D71</f>
        <v>Repair and maintenance</v>
      </c>
      <c r="E26" s="160"/>
      <c r="F26" s="196" t="n">
        <f aca="false">G26-E26</f>
        <v>0</v>
      </c>
      <c r="G26" s="159"/>
      <c r="H26" s="57" t="str">
        <f aca="false">IFERROR(E26/G26,"n/a")</f>
        <v>n/a</v>
      </c>
      <c r="I26" s="159"/>
      <c r="J26" s="160"/>
      <c r="K26" s="196" t="n">
        <f aca="false">L26-J26</f>
        <v>0</v>
      </c>
      <c r="L26" s="161"/>
      <c r="M26" s="57" t="str">
        <f aca="false">IFERROR(J26/L26,"n/a")</f>
        <v>n/a</v>
      </c>
      <c r="P26" s="105" t="s">
        <v>398</v>
      </c>
    </row>
    <row r="27" customFormat="false" ht="11.25" hidden="false" customHeight="true" outlineLevel="0" collapsed="false">
      <c r="C27" s="51" t="str">
        <f aca="false">'Lead PL'!C80</f>
        <v>Vertriebskosten</v>
      </c>
      <c r="D27" s="51" t="str">
        <f aca="false">'Lead PL'!D80</f>
        <v>Sales costs</v>
      </c>
      <c r="E27" s="160"/>
      <c r="F27" s="196" t="n">
        <f aca="false">G27-E27</f>
        <v>0</v>
      </c>
      <c r="G27" s="159"/>
      <c r="H27" s="57" t="str">
        <f aca="false">IFERROR(E27/G27,"n/a")</f>
        <v>n/a</v>
      </c>
      <c r="I27" s="159"/>
      <c r="J27" s="160"/>
      <c r="K27" s="196" t="n">
        <f aca="false">L27-J27</f>
        <v>0</v>
      </c>
      <c r="L27" s="161"/>
      <c r="M27" s="57" t="str">
        <f aca="false">IFERROR(J27/L27,"n/a")</f>
        <v>n/a</v>
      </c>
      <c r="P27" s="105" t="s">
        <v>399</v>
      </c>
    </row>
    <row r="28" customFormat="false" ht="11.25" hidden="false" customHeight="true" outlineLevel="0" collapsed="false">
      <c r="C28" s="51" t="str">
        <f aca="false">'Lead PL'!C89</f>
        <v>Kosten der Warenabgabe</v>
      </c>
      <c r="D28" s="51" t="str">
        <f aca="false">'Lead PL'!D89</f>
        <v>Delivery costs</v>
      </c>
      <c r="E28" s="160"/>
      <c r="F28" s="196" t="n">
        <f aca="false">G28-E28</f>
        <v>0</v>
      </c>
      <c r="G28" s="159"/>
      <c r="H28" s="57" t="str">
        <f aca="false">IFERROR(E28/G28,"n/a")</f>
        <v>n/a</v>
      </c>
      <c r="I28" s="159"/>
      <c r="J28" s="160"/>
      <c r="K28" s="196" t="n">
        <f aca="false">L28-J28</f>
        <v>0</v>
      </c>
      <c r="L28" s="161"/>
      <c r="M28" s="57" t="str">
        <f aca="false">IFERROR(J28/L28,"n/a")</f>
        <v>n/a</v>
      </c>
      <c r="P28" s="105" t="s">
        <v>400</v>
      </c>
    </row>
    <row r="29" customFormat="false" ht="11.25" hidden="false" customHeight="true" outlineLevel="0" collapsed="false">
      <c r="C29" s="51" t="str">
        <f aca="false">'Lead PL'!C98</f>
        <v>Fahrzeugkosten</v>
      </c>
      <c r="D29" s="51" t="str">
        <f aca="false">'Lead PL'!D98</f>
        <v>Vehicle costs</v>
      </c>
      <c r="E29" s="160"/>
      <c r="F29" s="196" t="n">
        <f aca="false">G29-E29</f>
        <v>0</v>
      </c>
      <c r="G29" s="159"/>
      <c r="H29" s="57" t="str">
        <f aca="false">IFERROR(E29/G29,"n/a")</f>
        <v>n/a</v>
      </c>
      <c r="I29" s="159"/>
      <c r="J29" s="160"/>
      <c r="K29" s="196" t="n">
        <f aca="false">L29-J29</f>
        <v>0</v>
      </c>
      <c r="L29" s="161"/>
      <c r="M29" s="57" t="str">
        <f aca="false">IFERROR(J29/L29,"n/a")</f>
        <v>n/a</v>
      </c>
      <c r="P29" s="105" t="s">
        <v>401</v>
      </c>
    </row>
    <row r="30" customFormat="false" ht="11.25" hidden="false" customHeight="true" outlineLevel="0" collapsed="false">
      <c r="C30" s="51" t="str">
        <f aca="false">'Lead PL'!C107</f>
        <v>Versicherung, Beiträge und Abgaben</v>
      </c>
      <c r="D30" s="51" t="str">
        <f aca="false">'Lead PL'!D107</f>
        <v>Insurance, contributions and levies expenses</v>
      </c>
      <c r="E30" s="160"/>
      <c r="F30" s="196" t="n">
        <f aca="false">G30-E30</f>
        <v>0</v>
      </c>
      <c r="G30" s="159"/>
      <c r="H30" s="57" t="str">
        <f aca="false">IFERROR(E30/G30,"n/a")</f>
        <v>n/a</v>
      </c>
      <c r="I30" s="159"/>
      <c r="J30" s="160"/>
      <c r="K30" s="196" t="n">
        <f aca="false">L30-J30</f>
        <v>0</v>
      </c>
      <c r="L30" s="161"/>
      <c r="M30" s="57" t="str">
        <f aca="false">IFERROR(J30/L30,"n/a")</f>
        <v>n/a</v>
      </c>
      <c r="P30" s="105" t="s">
        <v>402</v>
      </c>
    </row>
    <row r="31" customFormat="false" ht="11.25" hidden="false" customHeight="true" outlineLevel="0" collapsed="false">
      <c r="C31" s="51" t="str">
        <f aca="false">'Lead PL'!C116</f>
        <v>Werbe- und Reisekosten</v>
      </c>
      <c r="D31" s="51" t="str">
        <f aca="false">'Lead PL'!D116</f>
        <v>Advertising and travel expenses</v>
      </c>
      <c r="E31" s="160"/>
      <c r="F31" s="196" t="n">
        <f aca="false">G31-E31</f>
        <v>0</v>
      </c>
      <c r="G31" s="159"/>
      <c r="H31" s="57" t="str">
        <f aca="false">IFERROR(E31/G31,"n/a")</f>
        <v>n/a</v>
      </c>
      <c r="I31" s="159"/>
      <c r="J31" s="160"/>
      <c r="K31" s="196" t="n">
        <f aca="false">L31-J31</f>
        <v>0</v>
      </c>
      <c r="L31" s="161"/>
      <c r="M31" s="57" t="str">
        <f aca="false">IFERROR(J31/L31,"n/a")</f>
        <v>n/a</v>
      </c>
      <c r="P31" s="105" t="s">
        <v>403</v>
      </c>
    </row>
    <row r="32" customFormat="false" ht="11.25" hidden="false" customHeight="true" outlineLevel="0" collapsed="false">
      <c r="C32" s="51" t="str">
        <f aca="false">'Lead PL'!C125</f>
        <v>Sonstige betriebliche Erträge</v>
      </c>
      <c r="D32" s="51" t="str">
        <f aca="false">'Lead PL'!D125</f>
        <v>Other operating income</v>
      </c>
      <c r="E32" s="160"/>
      <c r="F32" s="196" t="n">
        <f aca="false">G32-E32</f>
        <v>0</v>
      </c>
      <c r="G32" s="159"/>
      <c r="H32" s="57" t="str">
        <f aca="false">IFERROR(E32/G32,"n/a")</f>
        <v>n/a</v>
      </c>
      <c r="I32" s="159"/>
      <c r="J32" s="160"/>
      <c r="K32" s="196" t="n">
        <f aca="false">L32-J32</f>
        <v>0</v>
      </c>
      <c r="L32" s="161"/>
      <c r="M32" s="57" t="str">
        <f aca="false">IFERROR(J32/L32,"n/a")</f>
        <v>n/a</v>
      </c>
      <c r="P32" s="105" t="s">
        <v>283</v>
      </c>
    </row>
    <row r="33" customFormat="false" ht="11.25" hidden="false" customHeight="true" outlineLevel="0" collapsed="false">
      <c r="C33" s="51" t="str">
        <f aca="false">'Lead PL'!C134</f>
        <v>Sonstige betriebliche Aufwendungen</v>
      </c>
      <c r="D33" s="51" t="str">
        <f aca="false">'Lead PL'!D134</f>
        <v>Other operating expenses</v>
      </c>
      <c r="E33" s="160"/>
      <c r="F33" s="196" t="n">
        <f aca="false">G33-E33</f>
        <v>0</v>
      </c>
      <c r="G33" s="159"/>
      <c r="H33" s="57" t="str">
        <f aca="false">IFERROR(E33/G33,"n/a")</f>
        <v>n/a</v>
      </c>
      <c r="I33" s="159"/>
      <c r="J33" s="160"/>
      <c r="K33" s="196" t="n">
        <f aca="false">L33-J33</f>
        <v>0</v>
      </c>
      <c r="L33" s="161"/>
      <c r="M33" s="57" t="str">
        <f aca="false">IFERROR(J33/L33,"n/a")</f>
        <v>n/a</v>
      </c>
      <c r="P33" s="105" t="s">
        <v>303</v>
      </c>
    </row>
    <row r="34" customFormat="false" ht="11.25" hidden="false" customHeight="true" outlineLevel="2" collapsed="false">
      <c r="C34" s="51" t="str">
        <f aca="false">'Lead PL'!C143</f>
        <v>Dummy 1</v>
      </c>
      <c r="D34" s="51" t="str">
        <f aca="false">'Lead PL'!D143</f>
        <v>Dummy 1</v>
      </c>
      <c r="E34" s="160"/>
      <c r="F34" s="196" t="n">
        <f aca="false">G34-E34</f>
        <v>0</v>
      </c>
      <c r="G34" s="159"/>
      <c r="H34" s="57" t="str">
        <f aca="false">IFERROR(E34/G34,"n/a")</f>
        <v>n/a</v>
      </c>
      <c r="I34" s="159"/>
      <c r="J34" s="160"/>
      <c r="K34" s="196" t="n">
        <f aca="false">L34-J34</f>
        <v>0</v>
      </c>
      <c r="L34" s="161"/>
      <c r="M34" s="57" t="str">
        <f aca="false">IFERROR(J34/L34,"n/a")</f>
        <v>n/a</v>
      </c>
      <c r="P34" s="105"/>
    </row>
    <row r="35" customFormat="false" ht="11.25" hidden="false" customHeight="true" outlineLevel="2" collapsed="false">
      <c r="C35" s="51" t="str">
        <f aca="false">'Lead PL'!C144</f>
        <v>Dummy 2</v>
      </c>
      <c r="D35" s="51" t="str">
        <f aca="false">'Lead PL'!D144</f>
        <v>Dummy 2</v>
      </c>
      <c r="E35" s="160"/>
      <c r="F35" s="196" t="n">
        <f aca="false">G35-E35</f>
        <v>0</v>
      </c>
      <c r="G35" s="159"/>
      <c r="H35" s="57" t="str">
        <f aca="false">IFERROR(E35/G35,"n/a")</f>
        <v>n/a</v>
      </c>
      <c r="I35" s="159"/>
      <c r="J35" s="160"/>
      <c r="K35" s="196" t="n">
        <f aca="false">L35-J35</f>
        <v>0</v>
      </c>
      <c r="L35" s="161"/>
      <c r="M35" s="57" t="str">
        <f aca="false">IFERROR(J35/L35,"n/a")</f>
        <v>n/a</v>
      </c>
      <c r="P35" s="105"/>
    </row>
    <row r="36" customFormat="false" ht="11.25" hidden="false" customHeight="true" outlineLevel="2" collapsed="false">
      <c r="C36" s="51" t="str">
        <f aca="false">'Lead PL'!C145</f>
        <v>Dummy 3</v>
      </c>
      <c r="D36" s="51" t="str">
        <f aca="false">'Lead PL'!D145</f>
        <v>Dummy 3</v>
      </c>
      <c r="E36" s="160"/>
      <c r="F36" s="196" t="n">
        <f aca="false">G36-E36</f>
        <v>0</v>
      </c>
      <c r="G36" s="159"/>
      <c r="H36" s="57" t="str">
        <f aca="false">IFERROR(E36/G36,"n/a")</f>
        <v>n/a</v>
      </c>
      <c r="I36" s="159"/>
      <c r="J36" s="160"/>
      <c r="K36" s="196" t="n">
        <f aca="false">L36-J36</f>
        <v>0</v>
      </c>
      <c r="L36" s="161"/>
      <c r="M36" s="57" t="str">
        <f aca="false">IFERROR(J36/L36,"n/a")</f>
        <v>n/a</v>
      </c>
      <c r="P36" s="105"/>
    </row>
    <row r="37" customFormat="false" ht="11.25" hidden="false" customHeight="true" outlineLevel="0" collapsed="false">
      <c r="C37" s="296" t="str">
        <f aca="false">'Lead PL'!C146</f>
        <v>EBITDA</v>
      </c>
      <c r="D37" s="296" t="str">
        <f aca="false">'Lead PL'!D146</f>
        <v>EBITDA</v>
      </c>
      <c r="E37" s="166" t="n">
        <f aca="false">SUM(E23:E36)</f>
        <v>0</v>
      </c>
      <c r="F37" s="199" t="n">
        <f aca="false">G37-E37</f>
        <v>0</v>
      </c>
      <c r="G37" s="165" t="n">
        <f aca="false">SUM(G23:G36)</f>
        <v>0</v>
      </c>
      <c r="H37" s="273" t="str">
        <f aca="false">IFERROR(E37/G37,"n/a")</f>
        <v>n/a</v>
      </c>
      <c r="I37" s="297"/>
      <c r="J37" s="166" t="n">
        <f aca="false">SUM(J23:J36)</f>
        <v>0</v>
      </c>
      <c r="K37" s="199" t="n">
        <f aca="false">L37-J37</f>
        <v>0</v>
      </c>
      <c r="L37" s="167" t="n">
        <f aca="false">SUM(L23:L36)</f>
        <v>0</v>
      </c>
      <c r="M37" s="273" t="str">
        <f aca="false">IFERROR(J37/L37,"n/a")</f>
        <v>n/a</v>
      </c>
    </row>
    <row r="38" customFormat="false" ht="11.25" hidden="false" customHeight="true" outlineLevel="0" collapsed="false">
      <c r="C38" s="51" t="str">
        <f aca="false">'Lead PL'!C147</f>
        <v>Abschreibungen</v>
      </c>
      <c r="D38" s="51" t="str">
        <f aca="false">'Lead PL'!D147</f>
        <v>Depreciation</v>
      </c>
      <c r="E38" s="160"/>
      <c r="F38" s="196" t="n">
        <f aca="false">G38-E38</f>
        <v>0</v>
      </c>
      <c r="G38" s="159"/>
      <c r="H38" s="57" t="str">
        <f aca="false">IFERROR(E38/G38,"n/a")</f>
        <v>n/a</v>
      </c>
      <c r="I38" s="159"/>
      <c r="J38" s="160"/>
      <c r="K38" s="196" t="n">
        <f aca="false">L38-J38</f>
        <v>0</v>
      </c>
      <c r="L38" s="161"/>
      <c r="M38" s="57" t="str">
        <f aca="false">IFERROR(J38/L38,"n/a")</f>
        <v>n/a</v>
      </c>
      <c r="P38" s="105" t="s">
        <v>293</v>
      </c>
    </row>
    <row r="39" customFormat="false" ht="11.25" hidden="false" customHeight="true" outlineLevel="2" collapsed="false">
      <c r="C39" s="51" t="str">
        <f aca="false">'Lead PL'!C156</f>
        <v>Dummy 1</v>
      </c>
      <c r="D39" s="51" t="str">
        <f aca="false">'Lead PL'!D156</f>
        <v>Dummy 1</v>
      </c>
      <c r="E39" s="160"/>
      <c r="F39" s="196" t="n">
        <f aca="false">G39-E39</f>
        <v>0</v>
      </c>
      <c r="G39" s="159"/>
      <c r="H39" s="57" t="str">
        <f aca="false">IFERROR(E39/G39,"n/a")</f>
        <v>n/a</v>
      </c>
      <c r="I39" s="159"/>
      <c r="J39" s="160"/>
      <c r="K39" s="196" t="n">
        <f aca="false">L39-J39</f>
        <v>0</v>
      </c>
      <c r="L39" s="161"/>
      <c r="M39" s="57" t="str">
        <f aca="false">IFERROR(J39/L39,"n/a")</f>
        <v>n/a</v>
      </c>
      <c r="P39" s="105"/>
    </row>
    <row r="40" customFormat="false" ht="11.25" hidden="false" customHeight="true" outlineLevel="2" collapsed="false">
      <c r="C40" s="51" t="str">
        <f aca="false">'Lead PL'!C157</f>
        <v>Dummy 2</v>
      </c>
      <c r="D40" s="51" t="str">
        <f aca="false">'Lead PL'!D157</f>
        <v>Dummy 2</v>
      </c>
      <c r="E40" s="160"/>
      <c r="F40" s="196" t="n">
        <f aca="false">G40-E40</f>
        <v>0</v>
      </c>
      <c r="G40" s="159"/>
      <c r="H40" s="57" t="str">
        <f aca="false">IFERROR(E40/G40,"n/a")</f>
        <v>n/a</v>
      </c>
      <c r="I40" s="159"/>
      <c r="J40" s="160"/>
      <c r="K40" s="196" t="n">
        <f aca="false">L40-J40</f>
        <v>0</v>
      </c>
      <c r="L40" s="161"/>
      <c r="M40" s="57" t="str">
        <f aca="false">IFERROR(J40/L40,"n/a")</f>
        <v>n/a</v>
      </c>
      <c r="P40" s="105"/>
    </row>
    <row r="41" customFormat="false" ht="11.25" hidden="false" customHeight="true" outlineLevel="2" collapsed="false">
      <c r="C41" s="54" t="str">
        <f aca="false">'Lead PL'!C158</f>
        <v>Dummy 3</v>
      </c>
      <c r="D41" s="54" t="str">
        <f aca="false">'Lead PL'!D158</f>
        <v>Dummy 3</v>
      </c>
      <c r="E41" s="163"/>
      <c r="F41" s="197" t="n">
        <f aca="false">G41-E41</f>
        <v>0</v>
      </c>
      <c r="G41" s="162"/>
      <c r="H41" s="55" t="str">
        <f aca="false">IFERROR(E41/G41,"n/a")</f>
        <v>n/a</v>
      </c>
      <c r="I41" s="162"/>
      <c r="J41" s="163"/>
      <c r="K41" s="197" t="n">
        <f aca="false">L41-J41</f>
        <v>0</v>
      </c>
      <c r="L41" s="164"/>
      <c r="M41" s="55" t="str">
        <f aca="false">IFERROR(J41/L41,"n/a")</f>
        <v>n/a</v>
      </c>
      <c r="P41" s="105"/>
    </row>
    <row r="42" customFormat="false" ht="11.25" hidden="false" customHeight="true" outlineLevel="0" collapsed="false">
      <c r="C42" s="296" t="str">
        <f aca="false">'Lead PL'!C159</f>
        <v>EBIT</v>
      </c>
      <c r="D42" s="296" t="str">
        <f aca="false">'Lead PL'!D159</f>
        <v>EBIT</v>
      </c>
      <c r="E42" s="166" t="n">
        <f aca="false">SUM(E37:E41)</f>
        <v>0</v>
      </c>
      <c r="F42" s="199" t="n">
        <f aca="false">G42-E42</f>
        <v>0</v>
      </c>
      <c r="G42" s="165" t="n">
        <f aca="false">SUM(G37:G41)</f>
        <v>0</v>
      </c>
      <c r="H42" s="273" t="str">
        <f aca="false">IFERROR(E42/G42,"n/a")</f>
        <v>n/a</v>
      </c>
      <c r="I42" s="297"/>
      <c r="J42" s="166" t="n">
        <f aca="false">SUM(J37:J41)</f>
        <v>0</v>
      </c>
      <c r="K42" s="199" t="n">
        <f aca="false">L42-J42</f>
        <v>0</v>
      </c>
      <c r="L42" s="167" t="n">
        <f aca="false">SUM(L37:L41)</f>
        <v>0</v>
      </c>
      <c r="M42" s="273" t="str">
        <f aca="false">IFERROR(J42/L42,"n/a")</f>
        <v>n/a</v>
      </c>
    </row>
    <row r="43" customFormat="false" ht="11.25" hidden="false" customHeight="true" outlineLevel="1" collapsed="false">
      <c r="C43" s="186" t="str">
        <f aca="false">'Lead PL'!C160</f>
        <v>Beteiligungsergebnis</v>
      </c>
      <c r="D43" s="51" t="str">
        <f aca="false">'Lead PL'!D160</f>
        <v>Investment income</v>
      </c>
      <c r="E43" s="160"/>
      <c r="F43" s="196" t="n">
        <f aca="false">G43-E43</f>
        <v>0</v>
      </c>
      <c r="G43" s="159"/>
      <c r="H43" s="57" t="str">
        <f aca="false">IFERROR(E43/G43,"n/a")</f>
        <v>n/a</v>
      </c>
      <c r="I43" s="159"/>
      <c r="J43" s="160"/>
      <c r="K43" s="196" t="n">
        <f aca="false">L43-J43</f>
        <v>0</v>
      </c>
      <c r="L43" s="161"/>
      <c r="M43" s="57" t="str">
        <f aca="false">IFERROR(J43/L43,"n/a")</f>
        <v>n/a</v>
      </c>
      <c r="P43" s="105" t="s">
        <v>277</v>
      </c>
    </row>
    <row r="44" customFormat="false" ht="11.25" hidden="false" customHeight="true" outlineLevel="1" collapsed="false">
      <c r="C44" s="186" t="str">
        <f aca="false">'Lead PL'!C169</f>
        <v>Zinserträge</v>
      </c>
      <c r="D44" s="51" t="str">
        <f aca="false">'Lead PL'!D169</f>
        <v>Interest income</v>
      </c>
      <c r="E44" s="160"/>
      <c r="F44" s="196" t="n">
        <f aca="false">G44-E44</f>
        <v>0</v>
      </c>
      <c r="G44" s="159"/>
      <c r="H44" s="57" t="str">
        <f aca="false">IFERROR(E44/G44,"n/a")</f>
        <v>n/a</v>
      </c>
      <c r="I44" s="159"/>
      <c r="J44" s="160"/>
      <c r="K44" s="196" t="n">
        <f aca="false">L44-J44</f>
        <v>0</v>
      </c>
      <c r="L44" s="161"/>
      <c r="M44" s="57" t="str">
        <f aca="false">IFERROR(J44/L44,"n/a")</f>
        <v>n/a</v>
      </c>
      <c r="P44" s="105" t="s">
        <v>281</v>
      </c>
    </row>
    <row r="45" customFormat="false" ht="11.25" hidden="false" customHeight="true" outlineLevel="1" collapsed="false">
      <c r="C45" s="186" t="str">
        <f aca="false">'Lead PL'!C178</f>
        <v>Zinsaufwendungen</v>
      </c>
      <c r="D45" s="51" t="str">
        <f aca="false">'Lead PL'!D178</f>
        <v>Interest expenses</v>
      </c>
      <c r="E45" s="160"/>
      <c r="F45" s="196" t="n">
        <f aca="false">G45-E45</f>
        <v>0</v>
      </c>
      <c r="G45" s="159"/>
      <c r="H45" s="57" t="str">
        <f aca="false">IFERROR(E45/G45,"n/a")</f>
        <v>n/a</v>
      </c>
      <c r="I45" s="159"/>
      <c r="J45" s="160"/>
      <c r="K45" s="196" t="n">
        <f aca="false">L45-J45</f>
        <v>0</v>
      </c>
      <c r="L45" s="161"/>
      <c r="M45" s="57" t="str">
        <f aca="false">IFERROR(J45/L45,"n/a")</f>
        <v>n/a</v>
      </c>
      <c r="P45" s="105" t="s">
        <v>295</v>
      </c>
    </row>
    <row r="46" customFormat="false" ht="10.5" hidden="false" customHeight="true" outlineLevel="2" collapsed="false">
      <c r="C46" s="186" t="str">
        <f aca="false">'Lead PL'!C187</f>
        <v>Dummy 1</v>
      </c>
      <c r="D46" s="51" t="str">
        <f aca="false">'Lead PL'!D187</f>
        <v>Dummy 1</v>
      </c>
      <c r="E46" s="160"/>
      <c r="F46" s="196" t="n">
        <f aca="false">G46-E46</f>
        <v>0</v>
      </c>
      <c r="G46" s="159"/>
      <c r="H46" s="57" t="str">
        <f aca="false">IFERROR(E46/G46,"n/a")</f>
        <v>n/a</v>
      </c>
      <c r="I46" s="159"/>
      <c r="J46" s="160"/>
      <c r="K46" s="196" t="n">
        <f aca="false">L46-J46</f>
        <v>0</v>
      </c>
      <c r="L46" s="161"/>
      <c r="M46" s="57" t="str">
        <f aca="false">IFERROR(J46/L46,"n/a")</f>
        <v>n/a</v>
      </c>
      <c r="P46" s="105"/>
    </row>
    <row r="47" customFormat="false" ht="11.25" hidden="false" customHeight="true" outlineLevel="2" collapsed="false">
      <c r="C47" s="186" t="str">
        <f aca="false">'Lead PL'!C188</f>
        <v>Dummy 2</v>
      </c>
      <c r="D47" s="51" t="str">
        <f aca="false">'Lead PL'!D188</f>
        <v>Dummy 2</v>
      </c>
      <c r="E47" s="160"/>
      <c r="F47" s="196" t="n">
        <f aca="false">G47-E47</f>
        <v>0</v>
      </c>
      <c r="G47" s="159"/>
      <c r="H47" s="57" t="str">
        <f aca="false">IFERROR(E47/G47,"n/a")</f>
        <v>n/a</v>
      </c>
      <c r="I47" s="159"/>
      <c r="J47" s="160"/>
      <c r="K47" s="196" t="n">
        <f aca="false">L47-J47</f>
        <v>0</v>
      </c>
      <c r="L47" s="161"/>
      <c r="M47" s="57" t="str">
        <f aca="false">IFERROR(J47/L47,"n/a")</f>
        <v>n/a</v>
      </c>
      <c r="P47" s="105"/>
    </row>
    <row r="48" customFormat="false" ht="11.25" hidden="false" customHeight="true" outlineLevel="2" collapsed="false">
      <c r="C48" s="186" t="str">
        <f aca="false">'Lead PL'!C189</f>
        <v>Dummy 3</v>
      </c>
      <c r="D48" s="51" t="str">
        <f aca="false">'Lead PL'!D189</f>
        <v>Dummy 3</v>
      </c>
      <c r="E48" s="160"/>
      <c r="F48" s="196" t="n">
        <f aca="false">G48-E48</f>
        <v>0</v>
      </c>
      <c r="G48" s="159"/>
      <c r="H48" s="57" t="str">
        <f aca="false">IFERROR(E48/G48,"n/a")</f>
        <v>n/a</v>
      </c>
      <c r="I48" s="159"/>
      <c r="J48" s="160"/>
      <c r="K48" s="196" t="n">
        <f aca="false">L48-J48</f>
        <v>0</v>
      </c>
      <c r="L48" s="161"/>
      <c r="M48" s="57" t="str">
        <f aca="false">IFERROR(J48/L48,"n/a")</f>
        <v>n/a</v>
      </c>
      <c r="P48" s="105"/>
    </row>
    <row r="49" customFormat="false" ht="11.25" hidden="false" customHeight="true" outlineLevel="0" collapsed="false">
      <c r="C49" s="54" t="str">
        <f aca="false">'Lead PL'!C190</f>
        <v>Finanzergebnis</v>
      </c>
      <c r="D49" s="54" t="str">
        <f aca="false">'Lead PL'!D190</f>
        <v>Financial result</v>
      </c>
      <c r="E49" s="163" t="n">
        <f aca="false">SUM(E43:E48)</f>
        <v>0</v>
      </c>
      <c r="F49" s="197" t="n">
        <f aca="false">G49-E49</f>
        <v>0</v>
      </c>
      <c r="G49" s="162" t="n">
        <f aca="false">SUM(G43:G48)</f>
        <v>0</v>
      </c>
      <c r="H49" s="55" t="str">
        <f aca="false">IFERROR(E49/G49,"n/a")</f>
        <v>n/a</v>
      </c>
      <c r="I49" s="162"/>
      <c r="J49" s="163" t="n">
        <f aca="false">SUM(J43:J48)</f>
        <v>0</v>
      </c>
      <c r="K49" s="197" t="n">
        <f aca="false">L49-J49</f>
        <v>0</v>
      </c>
      <c r="L49" s="164" t="n">
        <f aca="false">SUM(L43:L48)</f>
        <v>0</v>
      </c>
      <c r="M49" s="55" t="str">
        <f aca="false">IFERROR(J49/L49,"n/a")</f>
        <v>n/a</v>
      </c>
    </row>
    <row r="50" customFormat="false" ht="11.25" hidden="false" customHeight="true" outlineLevel="0" collapsed="false">
      <c r="C50" s="296" t="str">
        <f aca="false">'Lead PL'!C191</f>
        <v>EBT</v>
      </c>
      <c r="D50" s="296" t="str">
        <f aca="false">'Lead PL'!D191</f>
        <v>EBT</v>
      </c>
      <c r="E50" s="166" t="n">
        <f aca="false">E49+E42</f>
        <v>0</v>
      </c>
      <c r="F50" s="199" t="n">
        <f aca="false">G50-E50</f>
        <v>0</v>
      </c>
      <c r="G50" s="165" t="n">
        <f aca="false">G49+G42</f>
        <v>0</v>
      </c>
      <c r="H50" s="273" t="str">
        <f aca="false">IFERROR(E50/G50,"n/a")</f>
        <v>n/a</v>
      </c>
      <c r="I50" s="297"/>
      <c r="J50" s="166" t="n">
        <f aca="false">J49+J42</f>
        <v>0</v>
      </c>
      <c r="K50" s="199" t="n">
        <f aca="false">L50-J50</f>
        <v>0</v>
      </c>
      <c r="L50" s="167" t="n">
        <f aca="false">L49+L42</f>
        <v>0</v>
      </c>
      <c r="M50" s="273" t="str">
        <f aca="false">IFERROR(J50/L50,"n/a")</f>
        <v>n/a</v>
      </c>
    </row>
    <row r="51" customFormat="false" ht="11.25" hidden="false" customHeight="true" outlineLevel="0" collapsed="false">
      <c r="C51" s="51" t="str">
        <f aca="false">'Lead PL'!C192</f>
        <v>Ertragssteuern</v>
      </c>
      <c r="D51" s="51" t="str">
        <f aca="false">'Lead PL'!D192</f>
        <v>Income taxes</v>
      </c>
      <c r="E51" s="160"/>
      <c r="F51" s="196" t="n">
        <f aca="false">G51-E51</f>
        <v>0</v>
      </c>
      <c r="G51" s="159"/>
      <c r="H51" s="57" t="str">
        <f aca="false">IFERROR(E51/G51,"n/a")</f>
        <v>n/a</v>
      </c>
      <c r="I51" s="159"/>
      <c r="J51" s="160"/>
      <c r="K51" s="196" t="n">
        <f aca="false">L51-J51</f>
        <v>0</v>
      </c>
      <c r="L51" s="161"/>
      <c r="M51" s="57" t="str">
        <f aca="false">IFERROR(J51/L51,"n/a")</f>
        <v>n/a</v>
      </c>
      <c r="P51" s="105" t="s">
        <v>299</v>
      </c>
    </row>
    <row r="52" customFormat="false" ht="11.25" hidden="false" customHeight="true" outlineLevel="0" collapsed="false">
      <c r="C52" s="54" t="str">
        <f aca="false">'Lead PL'!C201</f>
        <v>Sonstige Steuern</v>
      </c>
      <c r="D52" s="54" t="str">
        <f aca="false">'Lead PL'!D201</f>
        <v>Other taxes</v>
      </c>
      <c r="E52" s="163"/>
      <c r="F52" s="197" t="n">
        <f aca="false">G52-E52</f>
        <v>0</v>
      </c>
      <c r="G52" s="162"/>
      <c r="H52" s="55" t="str">
        <f aca="false">IFERROR(E52/G52,"n/a")</f>
        <v>n/a</v>
      </c>
      <c r="I52" s="162"/>
      <c r="J52" s="163"/>
      <c r="K52" s="197" t="n">
        <f aca="false">L52-J52</f>
        <v>0</v>
      </c>
      <c r="L52" s="164"/>
      <c r="M52" s="55" t="str">
        <f aca="false">IFERROR(J52/L52,"n/a")</f>
        <v>n/a</v>
      </c>
      <c r="P52" s="105" t="s">
        <v>301</v>
      </c>
    </row>
    <row r="53" customFormat="false" ht="11.25" hidden="false" customHeight="true" outlineLevel="0" collapsed="false">
      <c r="C53" s="181" t="str">
        <f aca="false">'Lead PL'!C210</f>
        <v>Jahresüberschuss</v>
      </c>
      <c r="D53" s="181" t="str">
        <f aca="false">'Lead PL'!D210</f>
        <v>Profit / Loss</v>
      </c>
      <c r="E53" s="176" t="n">
        <f aca="false">SUM(E50:E52)</f>
        <v>0</v>
      </c>
      <c r="F53" s="201" t="n">
        <f aca="false">G53-E53</f>
        <v>0</v>
      </c>
      <c r="G53" s="175" t="n">
        <f aca="false">SUM(G50:G52)</f>
        <v>0</v>
      </c>
      <c r="H53" s="283" t="str">
        <f aca="false">IFERROR(E53/G53,"n/a")</f>
        <v>n/a</v>
      </c>
      <c r="I53" s="298"/>
      <c r="J53" s="176" t="n">
        <f aca="false">SUM(J50:J52)</f>
        <v>0</v>
      </c>
      <c r="K53" s="201" t="n">
        <f aca="false">L53-J53</f>
        <v>0</v>
      </c>
      <c r="L53" s="177" t="n">
        <f aca="false">SUM(L50:L52)</f>
        <v>0</v>
      </c>
      <c r="M53" s="283" t="str">
        <f aca="false">IFERROR(J53/L53,"n/a")</f>
        <v>n/a</v>
      </c>
    </row>
    <row r="54" customFormat="false" ht="4.5" hidden="false" customHeight="true" outlineLevel="0" collapsed="false">
      <c r="C54" s="51"/>
      <c r="D54" s="51"/>
      <c r="E54" s="160"/>
      <c r="F54" s="196"/>
      <c r="G54" s="159"/>
      <c r="H54" s="159"/>
      <c r="I54" s="159"/>
      <c r="J54" s="160"/>
      <c r="K54" s="196"/>
      <c r="L54" s="161"/>
      <c r="M54" s="299"/>
    </row>
    <row r="55" customFormat="false" ht="11.25" hidden="false" customHeight="true" outlineLevel="0" collapsed="false">
      <c r="C55" s="132" t="str">
        <f aca="false">"In % der "&amp;C18</f>
        <v>In % der Gesamtleistung</v>
      </c>
      <c r="D55" s="132" t="str">
        <f aca="false">"In % of "&amp;D18</f>
        <v>In % of Total output</v>
      </c>
      <c r="E55" s="160"/>
      <c r="F55" s="196"/>
      <c r="G55" s="159"/>
      <c r="H55" s="159"/>
      <c r="I55" s="159"/>
      <c r="J55" s="160"/>
      <c r="K55" s="196"/>
      <c r="L55" s="139"/>
      <c r="M55" s="299"/>
    </row>
    <row r="56" customFormat="false" ht="11.25" hidden="false" customHeight="true" outlineLevel="0" collapsed="false">
      <c r="C56" s="51" t="str">
        <f aca="false">C12</f>
        <v>Umsatzerlöse</v>
      </c>
      <c r="D56" s="51" t="str">
        <f aca="false">D12</f>
        <v>Revenues</v>
      </c>
      <c r="E56" s="142" t="str">
        <f aca="false">IFERROR(E12/E$18,"n/a")</f>
        <v>n/a</v>
      </c>
      <c r="F56" s="141" t="str">
        <f aca="false">IFERROR(F12/F$18,"n/a")</f>
        <v>n/a</v>
      </c>
      <c r="G56" s="57" t="str">
        <f aca="false">IFERROR(G12/G$18,"n/a")</f>
        <v>n/a</v>
      </c>
      <c r="H56" s="57"/>
      <c r="I56" s="57"/>
      <c r="J56" s="142" t="str">
        <f aca="false">IFERROR(J12/J$18,"n/a")</f>
        <v>n/a</v>
      </c>
      <c r="K56" s="141" t="str">
        <f aca="false">IFERROR(K12/K$18,"n/a")</f>
        <v>n/a</v>
      </c>
      <c r="L56" s="139" t="str">
        <f aca="false">IFERROR(L12/L$18,"n/a")</f>
        <v>n/a</v>
      </c>
      <c r="M56" s="299"/>
    </row>
    <row r="57" customFormat="false" ht="11.25" hidden="false" customHeight="true" outlineLevel="2" collapsed="false">
      <c r="C57" s="51" t="str">
        <f aca="false">C13</f>
        <v>Bestandsveränderung</v>
      </c>
      <c r="D57" s="51" t="str">
        <f aca="false">D13</f>
        <v>Change in inventory</v>
      </c>
      <c r="E57" s="142" t="str">
        <f aca="false">IFERROR(E13/E$18,"n/a")</f>
        <v>n/a</v>
      </c>
      <c r="F57" s="141" t="str">
        <f aca="false">IFERROR(F13/F$18,"n/a")</f>
        <v>n/a</v>
      </c>
      <c r="G57" s="57" t="str">
        <f aca="false">IFERROR(G13/G$18,"n/a")</f>
        <v>n/a</v>
      </c>
      <c r="H57" s="57"/>
      <c r="I57" s="57"/>
      <c r="J57" s="142" t="str">
        <f aca="false">IFERROR(J13/J$18,"n/a")</f>
        <v>n/a</v>
      </c>
      <c r="K57" s="141" t="str">
        <f aca="false">IFERROR(K13/K$18,"n/a")</f>
        <v>n/a</v>
      </c>
      <c r="L57" s="139" t="str">
        <f aca="false">IFERROR(L13/L$18,"n/a")</f>
        <v>n/a</v>
      </c>
      <c r="M57" s="299"/>
    </row>
    <row r="58" customFormat="false" ht="11.25" hidden="false" customHeight="true" outlineLevel="2" collapsed="false">
      <c r="C58" s="51" t="str">
        <f aca="false">C14</f>
        <v>Aktivierte Eigenleistungen</v>
      </c>
      <c r="D58" s="51" t="str">
        <f aca="false">D14</f>
        <v>Own work capitalized</v>
      </c>
      <c r="E58" s="142" t="str">
        <f aca="false">IFERROR(E15/E$18,"n/a")</f>
        <v>n/a</v>
      </c>
      <c r="F58" s="141" t="str">
        <f aca="false">IFERROR(F15/F$18,"n/a")</f>
        <v>n/a</v>
      </c>
      <c r="G58" s="57" t="str">
        <f aca="false">IFERROR(G15/G$18,"n/a")</f>
        <v>n/a</v>
      </c>
      <c r="H58" s="57"/>
      <c r="I58" s="57"/>
      <c r="J58" s="142" t="str">
        <f aca="false">IFERROR(J15/J$18,"n/a")</f>
        <v>n/a</v>
      </c>
      <c r="K58" s="141" t="str">
        <f aca="false">IFERROR(K15/K$18,"n/a")</f>
        <v>n/a</v>
      </c>
      <c r="L58" s="139" t="str">
        <f aca="false">IFERROR(L15/L$18,"n/a")</f>
        <v>n/a</v>
      </c>
      <c r="M58" s="299"/>
    </row>
    <row r="59" customFormat="false" ht="11.25" hidden="false" customHeight="true" outlineLevel="2" collapsed="false">
      <c r="C59" s="51" t="str">
        <f aca="false">C16</f>
        <v>Dummy 2</v>
      </c>
      <c r="D59" s="51" t="str">
        <f aca="false">D16</f>
        <v>Dummy 2</v>
      </c>
      <c r="E59" s="142" t="str">
        <f aca="false">IFERROR(E16/E$18,"n/a")</f>
        <v>n/a</v>
      </c>
      <c r="F59" s="141" t="str">
        <f aca="false">IFERROR(F16/F$18,"n/a")</f>
        <v>n/a</v>
      </c>
      <c r="G59" s="57" t="str">
        <f aca="false">IFERROR(G16/G$18,"n/a")</f>
        <v>n/a</v>
      </c>
      <c r="H59" s="57"/>
      <c r="I59" s="57"/>
      <c r="J59" s="142" t="str">
        <f aca="false">IFERROR(J16/J$18,"n/a")</f>
        <v>n/a</v>
      </c>
      <c r="K59" s="141" t="str">
        <f aca="false">IFERROR(K16/K$18,"n/a")</f>
        <v>n/a</v>
      </c>
      <c r="L59" s="139" t="str">
        <f aca="false">IFERROR(L16/L$18,"n/a")</f>
        <v>n/a</v>
      </c>
      <c r="M59" s="299"/>
    </row>
    <row r="60" customFormat="false" ht="11.25" hidden="false" customHeight="true" outlineLevel="2" collapsed="false">
      <c r="C60" s="51" t="str">
        <f aca="false">C17</f>
        <v>Dummy 3</v>
      </c>
      <c r="D60" s="51" t="str">
        <f aca="false">D17</f>
        <v>Dummy 3</v>
      </c>
      <c r="E60" s="142" t="str">
        <f aca="false">IFERROR(E17/E$18,"n/a")</f>
        <v>n/a</v>
      </c>
      <c r="F60" s="141" t="str">
        <f aca="false">IFERROR(F17/F$18,"n/a")</f>
        <v>n/a</v>
      </c>
      <c r="G60" s="57" t="str">
        <f aca="false">IFERROR(G17/G$18,"n/a")</f>
        <v>n/a</v>
      </c>
      <c r="H60" s="57"/>
      <c r="I60" s="57"/>
      <c r="J60" s="142" t="str">
        <f aca="false">IFERROR(J17/J$18,"n/a")</f>
        <v>n/a</v>
      </c>
      <c r="K60" s="141" t="str">
        <f aca="false">IFERROR(K17/K$18,"n/a")</f>
        <v>n/a</v>
      </c>
      <c r="L60" s="139" t="str">
        <f aca="false">IFERROR(L17/L$18,"n/a")</f>
        <v>n/a</v>
      </c>
      <c r="M60" s="299"/>
    </row>
    <row r="61" customFormat="false" ht="11.25" hidden="false" customHeight="true" outlineLevel="0" collapsed="false">
      <c r="C61" s="132" t="str">
        <f aca="false">C18</f>
        <v>Gesamtleistung</v>
      </c>
      <c r="D61" s="132" t="str">
        <f aca="false">D18</f>
        <v>Total output</v>
      </c>
      <c r="E61" s="146" t="str">
        <f aca="false">IFERROR(E18/E$18,"n/a")</f>
        <v>n/a</v>
      </c>
      <c r="F61" s="145" t="str">
        <f aca="false">IFERROR(F18/F$18,"n/a")</f>
        <v>n/a</v>
      </c>
      <c r="G61" s="144" t="str">
        <f aca="false">IFERROR(G18/G$18,"n/a")</f>
        <v>n/a</v>
      </c>
      <c r="H61" s="57"/>
      <c r="I61" s="57"/>
      <c r="J61" s="146" t="str">
        <f aca="false">IFERROR(J18/J$18,"n/a")</f>
        <v>n/a</v>
      </c>
      <c r="K61" s="145" t="str">
        <f aca="false">IFERROR(K18/K$18,"n/a")</f>
        <v>n/a</v>
      </c>
      <c r="L61" s="147" t="str">
        <f aca="false">IFERROR(L18/L$18,"n/a")</f>
        <v>n/a</v>
      </c>
      <c r="M61" s="299"/>
    </row>
    <row r="62" customFormat="false" ht="11.25" hidden="false" customHeight="true" outlineLevel="0" collapsed="false">
      <c r="C62" s="51" t="str">
        <f aca="false">C19</f>
        <v>Materialaufwand</v>
      </c>
      <c r="D62" s="51" t="str">
        <f aca="false">D19</f>
        <v>Cost of materials</v>
      </c>
      <c r="E62" s="142" t="str">
        <f aca="false">IFERROR(E19/E$18,"n/a")</f>
        <v>n/a</v>
      </c>
      <c r="F62" s="141" t="str">
        <f aca="false">IFERROR(F19/F$18,"n/a")</f>
        <v>n/a</v>
      </c>
      <c r="G62" s="57" t="str">
        <f aca="false">IFERROR(G19/G$18,"n/a")</f>
        <v>n/a</v>
      </c>
      <c r="H62" s="57"/>
      <c r="I62" s="57"/>
      <c r="J62" s="142" t="str">
        <f aca="false">IFERROR(J19/J$18,"n/a")</f>
        <v>n/a</v>
      </c>
      <c r="K62" s="141" t="str">
        <f aca="false">IFERROR(K19/K$18,"n/a")</f>
        <v>n/a</v>
      </c>
      <c r="L62" s="139" t="str">
        <f aca="false">IFERROR(L19/L$18,"n/a")</f>
        <v>n/a</v>
      </c>
      <c r="M62" s="299"/>
    </row>
    <row r="63" customFormat="false" ht="11.25" hidden="false" customHeight="true" outlineLevel="2" collapsed="false">
      <c r="C63" s="51" t="str">
        <f aca="false">C20</f>
        <v>Dummy 1</v>
      </c>
      <c r="D63" s="51" t="str">
        <f aca="false">D20</f>
        <v>Dummy 1</v>
      </c>
      <c r="E63" s="142" t="str">
        <f aca="false">IFERROR(E20/E$18,"n/a")</f>
        <v>n/a</v>
      </c>
      <c r="F63" s="141" t="str">
        <f aca="false">IFERROR(F20/F$18,"n/a")</f>
        <v>n/a</v>
      </c>
      <c r="G63" s="57" t="str">
        <f aca="false">IFERROR(G20/G$18,"n/a")</f>
        <v>n/a</v>
      </c>
      <c r="H63" s="57"/>
      <c r="I63" s="57"/>
      <c r="J63" s="142" t="str">
        <f aca="false">IFERROR(J20/J$18,"n/a")</f>
        <v>n/a</v>
      </c>
      <c r="K63" s="141" t="str">
        <f aca="false">IFERROR(K20/K$18,"n/a")</f>
        <v>n/a</v>
      </c>
      <c r="L63" s="139" t="str">
        <f aca="false">IFERROR(L20/L$18,"n/a")</f>
        <v>n/a</v>
      </c>
      <c r="M63" s="299"/>
    </row>
    <row r="64" customFormat="false" ht="11.25" hidden="false" customHeight="true" outlineLevel="2" collapsed="false">
      <c r="C64" s="51" t="str">
        <f aca="false">C21</f>
        <v>Dummy 2</v>
      </c>
      <c r="D64" s="51" t="str">
        <f aca="false">D21</f>
        <v>Dummy 2</v>
      </c>
      <c r="E64" s="142" t="str">
        <f aca="false">IFERROR(E21/E$18,"n/a")</f>
        <v>n/a</v>
      </c>
      <c r="F64" s="141" t="str">
        <f aca="false">IFERROR(F21/F$18,"n/a")</f>
        <v>n/a</v>
      </c>
      <c r="G64" s="57" t="str">
        <f aca="false">IFERROR(G21/G$18,"n/a")</f>
        <v>n/a</v>
      </c>
      <c r="H64" s="57"/>
      <c r="I64" s="57"/>
      <c r="J64" s="142" t="str">
        <f aca="false">IFERROR(J21/J$18,"n/a")</f>
        <v>n/a</v>
      </c>
      <c r="K64" s="141" t="str">
        <f aca="false">IFERROR(K21/K$18,"n/a")</f>
        <v>n/a</v>
      </c>
      <c r="L64" s="139" t="str">
        <f aca="false">IFERROR(L21/L$18,"n/a")</f>
        <v>n/a</v>
      </c>
      <c r="M64" s="299"/>
    </row>
    <row r="65" customFormat="false" ht="11.25" hidden="false" customHeight="true" outlineLevel="2" collapsed="false">
      <c r="C65" s="51" t="str">
        <f aca="false">C22</f>
        <v>Dummy 3</v>
      </c>
      <c r="D65" s="51" t="str">
        <f aca="false">D22</f>
        <v>Dummy 3</v>
      </c>
      <c r="E65" s="142" t="str">
        <f aca="false">IFERROR(E22/E$18,"n/a")</f>
        <v>n/a</v>
      </c>
      <c r="F65" s="141" t="str">
        <f aca="false">IFERROR(F22/F$18,"n/a")</f>
        <v>n/a</v>
      </c>
      <c r="G65" s="57" t="str">
        <f aca="false">IFERROR(G22/G$18,"n/a")</f>
        <v>n/a</v>
      </c>
      <c r="H65" s="57"/>
      <c r="I65" s="57"/>
      <c r="J65" s="142" t="str">
        <f aca="false">IFERROR(J22/J$18,"n/a")</f>
        <v>n/a</v>
      </c>
      <c r="K65" s="141" t="str">
        <f aca="false">IFERROR(K22/K$18,"n/a")</f>
        <v>n/a</v>
      </c>
      <c r="L65" s="139" t="str">
        <f aca="false">IFERROR(L22/L$18,"n/a")</f>
        <v>n/a</v>
      </c>
      <c r="M65" s="299"/>
    </row>
    <row r="66" customFormat="false" ht="11.25" hidden="false" customHeight="true" outlineLevel="0" collapsed="false">
      <c r="C66" s="132" t="str">
        <f aca="false">C23</f>
        <v>Rohergebnis</v>
      </c>
      <c r="D66" s="132" t="str">
        <f aca="false">D23</f>
        <v>Gross profit</v>
      </c>
      <c r="E66" s="146" t="str">
        <f aca="false">IFERROR(E23/E$18,"n/a")</f>
        <v>n/a</v>
      </c>
      <c r="F66" s="145" t="str">
        <f aca="false">IFERROR(F23/F$18,"n/a")</f>
        <v>n/a</v>
      </c>
      <c r="G66" s="144" t="str">
        <f aca="false">IFERROR(G23/G$18,"n/a")</f>
        <v>n/a</v>
      </c>
      <c r="H66" s="57"/>
      <c r="I66" s="57"/>
      <c r="J66" s="146" t="str">
        <f aca="false">IFERROR(J23/J$18,"n/a")</f>
        <v>n/a</v>
      </c>
      <c r="K66" s="145" t="str">
        <f aca="false">IFERROR(K23/K$18,"n/a")</f>
        <v>n/a</v>
      </c>
      <c r="L66" s="147" t="str">
        <f aca="false">IFERROR(L23/L$18,"n/a")</f>
        <v>n/a</v>
      </c>
      <c r="M66" s="299"/>
    </row>
    <row r="67" customFormat="false" ht="11.25" hidden="false" customHeight="true" outlineLevel="0" collapsed="false">
      <c r="C67" s="51" t="str">
        <f aca="false">C24</f>
        <v>Personalaufwand</v>
      </c>
      <c r="D67" s="51" t="str">
        <f aca="false">D24</f>
        <v>Personnel expenses</v>
      </c>
      <c r="E67" s="142" t="str">
        <f aca="false">IFERROR(E24/E$18,"n/a")</f>
        <v>n/a</v>
      </c>
      <c r="F67" s="141" t="str">
        <f aca="false">IFERROR(F24/F$18,"n/a")</f>
        <v>n/a</v>
      </c>
      <c r="G67" s="57" t="str">
        <f aca="false">IFERROR(G24/G$18,"n/a")</f>
        <v>n/a</v>
      </c>
      <c r="H67" s="57"/>
      <c r="I67" s="57"/>
      <c r="J67" s="142" t="str">
        <f aca="false">IFERROR(J24/J$18,"n/a")</f>
        <v>n/a</v>
      </c>
      <c r="K67" s="141" t="str">
        <f aca="false">IFERROR(K24/K$18,"n/a")</f>
        <v>n/a</v>
      </c>
      <c r="L67" s="139" t="str">
        <f aca="false">IFERROR(L24/L$18,"n/a")</f>
        <v>n/a</v>
      </c>
      <c r="M67" s="299"/>
    </row>
    <row r="68" customFormat="false" ht="11.25" hidden="false" customHeight="true" outlineLevel="0" collapsed="false">
      <c r="C68" s="51" t="str">
        <f aca="false">C25</f>
        <v>Raumkosten</v>
      </c>
      <c r="D68" s="51" t="str">
        <f aca="false">D25</f>
        <v>Premise costs</v>
      </c>
      <c r="E68" s="142" t="str">
        <f aca="false">IFERROR(E25/E$18,"n/a")</f>
        <v>n/a</v>
      </c>
      <c r="F68" s="141" t="str">
        <f aca="false">IFERROR(F25/F$18,"n/a")</f>
        <v>n/a</v>
      </c>
      <c r="G68" s="57" t="str">
        <f aca="false">IFERROR(G25/G$18,"n/a")</f>
        <v>n/a</v>
      </c>
      <c r="H68" s="57"/>
      <c r="I68" s="57"/>
      <c r="J68" s="142" t="str">
        <f aca="false">IFERROR(J25/J$18,"n/a")</f>
        <v>n/a</v>
      </c>
      <c r="K68" s="141" t="str">
        <f aca="false">IFERROR(K25/K$18,"n/a")</f>
        <v>n/a</v>
      </c>
      <c r="L68" s="139" t="str">
        <f aca="false">IFERROR(L25/L$18,"n/a")</f>
        <v>n/a</v>
      </c>
      <c r="M68" s="299"/>
    </row>
    <row r="69" customFormat="false" ht="11.25" hidden="false" customHeight="true" outlineLevel="0" collapsed="false">
      <c r="C69" s="51" t="str">
        <f aca="false">C26</f>
        <v>Reparaturen und Instandhaltungen</v>
      </c>
      <c r="D69" s="51" t="str">
        <f aca="false">D26</f>
        <v>Repair and maintenance</v>
      </c>
      <c r="E69" s="142" t="str">
        <f aca="false">IFERROR(E26/E$18,"n/a")</f>
        <v>n/a</v>
      </c>
      <c r="F69" s="141" t="str">
        <f aca="false">IFERROR(F26/F$18,"n/a")</f>
        <v>n/a</v>
      </c>
      <c r="G69" s="57" t="str">
        <f aca="false">IFERROR(G26/G$18,"n/a")</f>
        <v>n/a</v>
      </c>
      <c r="H69" s="57"/>
      <c r="I69" s="57"/>
      <c r="J69" s="142" t="str">
        <f aca="false">IFERROR(J26/J$18,"n/a")</f>
        <v>n/a</v>
      </c>
      <c r="K69" s="141" t="str">
        <f aca="false">IFERROR(K26/K$18,"n/a")</f>
        <v>n/a</v>
      </c>
      <c r="L69" s="139" t="str">
        <f aca="false">IFERROR(L26/L$18,"n/a")</f>
        <v>n/a</v>
      </c>
      <c r="M69" s="299"/>
    </row>
    <row r="70" customFormat="false" ht="11.25" hidden="false" customHeight="true" outlineLevel="2" collapsed="false">
      <c r="C70" s="51" t="str">
        <f aca="false">C27</f>
        <v>Vertriebskosten</v>
      </c>
      <c r="D70" s="51" t="str">
        <f aca="false">D27</f>
        <v>Sales costs</v>
      </c>
      <c r="E70" s="142" t="str">
        <f aca="false">IFERROR(E27/E$18,"n/a")</f>
        <v>n/a</v>
      </c>
      <c r="F70" s="141" t="str">
        <f aca="false">IFERROR(F27/F$18,"n/a")</f>
        <v>n/a</v>
      </c>
      <c r="G70" s="57" t="str">
        <f aca="false">IFERROR(G27/G$18,"n/a")</f>
        <v>n/a</v>
      </c>
      <c r="H70" s="57"/>
      <c r="I70" s="57"/>
      <c r="J70" s="142" t="str">
        <f aca="false">IFERROR(J27/J$18,"n/a")</f>
        <v>n/a</v>
      </c>
      <c r="K70" s="141" t="str">
        <f aca="false">IFERROR(K27/K$18,"n/a")</f>
        <v>n/a</v>
      </c>
      <c r="L70" s="139" t="str">
        <f aca="false">IFERROR(L27/L$18,"n/a")</f>
        <v>n/a</v>
      </c>
      <c r="M70" s="299"/>
    </row>
    <row r="71" customFormat="false" ht="11.25" hidden="false" customHeight="true" outlineLevel="2" collapsed="false">
      <c r="C71" s="51" t="str">
        <f aca="false">C28</f>
        <v>Kosten der Warenabgabe</v>
      </c>
      <c r="D71" s="51" t="str">
        <f aca="false">D28</f>
        <v>Delivery costs</v>
      </c>
      <c r="E71" s="142" t="str">
        <f aca="false">IFERROR(E28/E$18,"n/a")</f>
        <v>n/a</v>
      </c>
      <c r="F71" s="141" t="str">
        <f aca="false">IFERROR(F28/F$18,"n/a")</f>
        <v>n/a</v>
      </c>
      <c r="G71" s="57" t="str">
        <f aca="false">IFERROR(G28/G$18,"n/a")</f>
        <v>n/a</v>
      </c>
      <c r="H71" s="57"/>
      <c r="I71" s="57"/>
      <c r="J71" s="142" t="str">
        <f aca="false">IFERROR(J28/J$18,"n/a")</f>
        <v>n/a</v>
      </c>
      <c r="K71" s="141" t="str">
        <f aca="false">IFERROR(K28/K$18,"n/a")</f>
        <v>n/a</v>
      </c>
      <c r="L71" s="139" t="str">
        <f aca="false">IFERROR(L28/L$18,"n/a")</f>
        <v>n/a</v>
      </c>
      <c r="M71" s="299"/>
    </row>
    <row r="72" customFormat="false" ht="11.25" hidden="false" customHeight="true" outlineLevel="2" collapsed="false">
      <c r="C72" s="51" t="str">
        <f aca="false">C29</f>
        <v>Fahrzeugkosten</v>
      </c>
      <c r="D72" s="51" t="str">
        <f aca="false">D29</f>
        <v>Vehicle costs</v>
      </c>
      <c r="E72" s="142" t="str">
        <f aca="false">IFERROR(E29/E$18,"n/a")</f>
        <v>n/a</v>
      </c>
      <c r="F72" s="141" t="str">
        <f aca="false">IFERROR(F29/F$18,"n/a")</f>
        <v>n/a</v>
      </c>
      <c r="G72" s="57" t="str">
        <f aca="false">IFERROR(G29/G$18,"n/a")</f>
        <v>n/a</v>
      </c>
      <c r="H72" s="57"/>
      <c r="I72" s="57"/>
      <c r="J72" s="142" t="str">
        <f aca="false">IFERROR(J29/J$18,"n/a")</f>
        <v>n/a</v>
      </c>
      <c r="K72" s="141" t="str">
        <f aca="false">IFERROR(K29/K$18,"n/a")</f>
        <v>n/a</v>
      </c>
      <c r="L72" s="139" t="str">
        <f aca="false">IFERROR(L29/L$18,"n/a")</f>
        <v>n/a</v>
      </c>
      <c r="M72" s="299"/>
    </row>
    <row r="73" customFormat="false" ht="11.25" hidden="false" customHeight="true" outlineLevel="2" collapsed="false">
      <c r="C73" s="51" t="str">
        <f aca="false">C30</f>
        <v>Versicherung, Beiträge und Abgaben</v>
      </c>
      <c r="D73" s="51" t="str">
        <f aca="false">D30</f>
        <v>Insurance, contributions and levies expenses</v>
      </c>
      <c r="E73" s="142" t="str">
        <f aca="false">IFERROR(E30/E$18,"n/a")</f>
        <v>n/a</v>
      </c>
      <c r="F73" s="141" t="str">
        <f aca="false">IFERROR(F30/F$18,"n/a")</f>
        <v>n/a</v>
      </c>
      <c r="G73" s="57" t="str">
        <f aca="false">IFERROR(G30/G$18,"n/a")</f>
        <v>n/a</v>
      </c>
      <c r="H73" s="57"/>
      <c r="I73" s="57"/>
      <c r="J73" s="142" t="str">
        <f aca="false">IFERROR(J30/J$18,"n/a")</f>
        <v>n/a</v>
      </c>
      <c r="K73" s="141" t="str">
        <f aca="false">IFERROR(K30/K$18,"n/a")</f>
        <v>n/a</v>
      </c>
      <c r="L73" s="139" t="str">
        <f aca="false">IFERROR(L30/L$18,"n/a")</f>
        <v>n/a</v>
      </c>
      <c r="M73" s="299"/>
    </row>
    <row r="74" customFormat="false" ht="11.25" hidden="false" customHeight="true" outlineLevel="2" collapsed="false">
      <c r="C74" s="51" t="str">
        <f aca="false">C31</f>
        <v>Werbe- und Reisekosten</v>
      </c>
      <c r="D74" s="51" t="str">
        <f aca="false">D31</f>
        <v>Advertising and travel expenses</v>
      </c>
      <c r="E74" s="142" t="str">
        <f aca="false">IFERROR(E31/E$18,"n/a")</f>
        <v>n/a</v>
      </c>
      <c r="F74" s="141" t="str">
        <f aca="false">IFERROR(F31/F$18,"n/a")</f>
        <v>n/a</v>
      </c>
      <c r="G74" s="57" t="str">
        <f aca="false">IFERROR(G31/G$18,"n/a")</f>
        <v>n/a</v>
      </c>
      <c r="H74" s="57"/>
      <c r="I74" s="57"/>
      <c r="J74" s="142" t="str">
        <f aca="false">IFERROR(J31/J$18,"n/a")</f>
        <v>n/a</v>
      </c>
      <c r="K74" s="141" t="str">
        <f aca="false">IFERROR(K31/K$18,"n/a")</f>
        <v>n/a</v>
      </c>
      <c r="L74" s="139" t="str">
        <f aca="false">IFERROR(L31/L$18,"n/a")</f>
        <v>n/a</v>
      </c>
      <c r="M74" s="299"/>
    </row>
    <row r="75" customFormat="false" ht="11.25" hidden="false" customHeight="true" outlineLevel="2" collapsed="false">
      <c r="C75" s="51" t="str">
        <f aca="false">C32</f>
        <v>Sonstige betriebliche Erträge</v>
      </c>
      <c r="D75" s="51" t="str">
        <f aca="false">D32</f>
        <v>Other operating income</v>
      </c>
      <c r="E75" s="142" t="str">
        <f aca="false">IFERROR(E32/E$18,"n/a")</f>
        <v>n/a</v>
      </c>
      <c r="F75" s="141" t="str">
        <f aca="false">IFERROR(F32/F$18,"n/a")</f>
        <v>n/a</v>
      </c>
      <c r="G75" s="57" t="str">
        <f aca="false">IFERROR(G32/G$18,"n/a")</f>
        <v>n/a</v>
      </c>
      <c r="H75" s="57"/>
      <c r="I75" s="57"/>
      <c r="J75" s="142" t="str">
        <f aca="false">IFERROR(J32/J$18,"n/a")</f>
        <v>n/a</v>
      </c>
      <c r="K75" s="141" t="str">
        <f aca="false">IFERROR(K32/K$18,"n/a")</f>
        <v>n/a</v>
      </c>
      <c r="L75" s="139" t="str">
        <f aca="false">IFERROR(L32/L$18,"n/a")</f>
        <v>n/a</v>
      </c>
      <c r="M75" s="299"/>
    </row>
    <row r="76" customFormat="false" ht="11.25" hidden="false" customHeight="true" outlineLevel="2" collapsed="false">
      <c r="C76" s="51" t="str">
        <f aca="false">C33</f>
        <v>Sonstige betriebliche Aufwendungen</v>
      </c>
      <c r="D76" s="51" t="str">
        <f aca="false">D33</f>
        <v>Other operating expenses</v>
      </c>
      <c r="E76" s="142" t="str">
        <f aca="false">IFERROR(E33/E$18,"n/a")</f>
        <v>n/a</v>
      </c>
      <c r="F76" s="141" t="str">
        <f aca="false">IFERROR(F33/F$18,"n/a")</f>
        <v>n/a</v>
      </c>
      <c r="G76" s="57" t="str">
        <f aca="false">IFERROR(G33/G$18,"n/a")</f>
        <v>n/a</v>
      </c>
      <c r="H76" s="57"/>
      <c r="I76" s="57"/>
      <c r="J76" s="142" t="str">
        <f aca="false">IFERROR(J33/J$18,"n/a")</f>
        <v>n/a</v>
      </c>
      <c r="K76" s="141" t="str">
        <f aca="false">IFERROR(K33/K$18,"n/a")</f>
        <v>n/a</v>
      </c>
      <c r="L76" s="139" t="str">
        <f aca="false">IFERROR(L33/L$18,"n/a")</f>
        <v>n/a</v>
      </c>
      <c r="M76" s="299"/>
    </row>
    <row r="77" customFormat="false" ht="11.25" hidden="false" customHeight="true" outlineLevel="2" collapsed="false">
      <c r="C77" s="51" t="str">
        <f aca="false">C34</f>
        <v>Dummy 1</v>
      </c>
      <c r="D77" s="51" t="str">
        <f aca="false">D34</f>
        <v>Dummy 1</v>
      </c>
      <c r="E77" s="142" t="str">
        <f aca="false">IFERROR(E34/E$18,"n/a")</f>
        <v>n/a</v>
      </c>
      <c r="F77" s="141" t="str">
        <f aca="false">IFERROR(F34/F$18,"n/a")</f>
        <v>n/a</v>
      </c>
      <c r="G77" s="57" t="str">
        <f aca="false">IFERROR(G34/G$18,"n/a")</f>
        <v>n/a</v>
      </c>
      <c r="H77" s="57"/>
      <c r="I77" s="57"/>
      <c r="J77" s="142" t="str">
        <f aca="false">IFERROR(J34/J$18,"n/a")</f>
        <v>n/a</v>
      </c>
      <c r="K77" s="141" t="str">
        <f aca="false">IFERROR(K34/K$18,"n/a")</f>
        <v>n/a</v>
      </c>
      <c r="L77" s="139" t="str">
        <f aca="false">IFERROR(L34/L$18,"n/a")</f>
        <v>n/a</v>
      </c>
      <c r="M77" s="299"/>
    </row>
    <row r="78" customFormat="false" ht="11.25" hidden="false" customHeight="true" outlineLevel="2" collapsed="false">
      <c r="C78" s="51" t="str">
        <f aca="false">C35</f>
        <v>Dummy 2</v>
      </c>
      <c r="D78" s="51" t="str">
        <f aca="false">D35</f>
        <v>Dummy 2</v>
      </c>
      <c r="E78" s="142" t="str">
        <f aca="false">IFERROR(E35/E$18,"n/a")</f>
        <v>n/a</v>
      </c>
      <c r="F78" s="141" t="str">
        <f aca="false">IFERROR(F35/F$18,"n/a")</f>
        <v>n/a</v>
      </c>
      <c r="G78" s="57" t="str">
        <f aca="false">IFERROR(G35/G$18,"n/a")</f>
        <v>n/a</v>
      </c>
      <c r="H78" s="57"/>
      <c r="I78" s="57"/>
      <c r="J78" s="142" t="str">
        <f aca="false">IFERROR(J35/J$18,"n/a")</f>
        <v>n/a</v>
      </c>
      <c r="K78" s="141" t="str">
        <f aca="false">IFERROR(K35/K$18,"n/a")</f>
        <v>n/a</v>
      </c>
      <c r="L78" s="139" t="str">
        <f aca="false">IFERROR(L35/L$18,"n/a")</f>
        <v>n/a</v>
      </c>
      <c r="M78" s="299"/>
    </row>
    <row r="79" customFormat="false" ht="11.25" hidden="false" customHeight="true" outlineLevel="2" collapsed="false">
      <c r="C79" s="51" t="str">
        <f aca="false">C36</f>
        <v>Dummy 3</v>
      </c>
      <c r="D79" s="51" t="str">
        <f aca="false">D36</f>
        <v>Dummy 3</v>
      </c>
      <c r="E79" s="142" t="str">
        <f aca="false">IFERROR(E36/E$18,"n/a")</f>
        <v>n/a</v>
      </c>
      <c r="F79" s="141" t="str">
        <f aca="false">IFERROR(F36/F$18,"n/a")</f>
        <v>n/a</v>
      </c>
      <c r="G79" s="57" t="str">
        <f aca="false">IFERROR(G36/G$18,"n/a")</f>
        <v>n/a</v>
      </c>
      <c r="H79" s="57"/>
      <c r="I79" s="57"/>
      <c r="J79" s="142" t="str">
        <f aca="false">IFERROR(J36/J$18,"n/a")</f>
        <v>n/a</v>
      </c>
      <c r="K79" s="141" t="str">
        <f aca="false">IFERROR(K36/K$18,"n/a")</f>
        <v>n/a</v>
      </c>
      <c r="L79" s="139" t="str">
        <f aca="false">IFERROR(L36/L$18,"n/a")</f>
        <v>n/a</v>
      </c>
      <c r="M79" s="299"/>
    </row>
    <row r="80" customFormat="false" ht="11.25" hidden="false" customHeight="true" outlineLevel="0" collapsed="false">
      <c r="C80" s="132" t="str">
        <f aca="false">C37</f>
        <v>EBITDA</v>
      </c>
      <c r="D80" s="132" t="str">
        <f aca="false">D37</f>
        <v>EBITDA</v>
      </c>
      <c r="E80" s="146" t="str">
        <f aca="false">IFERROR(E37/E$18,"n/a")</f>
        <v>n/a</v>
      </c>
      <c r="F80" s="145" t="str">
        <f aca="false">IFERROR(F37/F$18,"n/a")</f>
        <v>n/a</v>
      </c>
      <c r="G80" s="144" t="str">
        <f aca="false">IFERROR(G37/G$18,"n/a")</f>
        <v>n/a</v>
      </c>
      <c r="H80" s="57"/>
      <c r="I80" s="57"/>
      <c r="J80" s="146" t="str">
        <f aca="false">IFERROR(J37/J$18,"n/a")</f>
        <v>n/a</v>
      </c>
      <c r="K80" s="145" t="str">
        <f aca="false">IFERROR(K37/K$18,"n/a")</f>
        <v>n/a</v>
      </c>
      <c r="L80" s="147" t="str">
        <f aca="false">IFERROR(L37/L$18,"n/a")</f>
        <v>n/a</v>
      </c>
      <c r="M80" s="299"/>
    </row>
    <row r="81" customFormat="false" ht="11.25" hidden="false" customHeight="true" outlineLevel="0" collapsed="false">
      <c r="C81" s="51" t="str">
        <f aca="false">C38</f>
        <v>Abschreibungen</v>
      </c>
      <c r="D81" s="51" t="str">
        <f aca="false">D38</f>
        <v>Depreciation</v>
      </c>
      <c r="E81" s="142" t="str">
        <f aca="false">IFERROR(E38/E$18,"n/a")</f>
        <v>n/a</v>
      </c>
      <c r="F81" s="141" t="str">
        <f aca="false">IFERROR(F38/F$18,"n/a")</f>
        <v>n/a</v>
      </c>
      <c r="G81" s="57" t="str">
        <f aca="false">IFERROR(G38/G$18,"n/a")</f>
        <v>n/a</v>
      </c>
      <c r="H81" s="57"/>
      <c r="I81" s="57"/>
      <c r="J81" s="142" t="str">
        <f aca="false">IFERROR(J38/J$18,"n/a")</f>
        <v>n/a</v>
      </c>
      <c r="K81" s="141" t="str">
        <f aca="false">IFERROR(K38/K$18,"n/a")</f>
        <v>n/a</v>
      </c>
      <c r="L81" s="139" t="str">
        <f aca="false">IFERROR(L38/L$18,"n/a")</f>
        <v>n/a</v>
      </c>
      <c r="M81" s="299"/>
    </row>
    <row r="82" customFormat="false" ht="11.25" hidden="false" customHeight="true" outlineLevel="2" collapsed="false">
      <c r="C82" s="51" t="str">
        <f aca="false">C39</f>
        <v>Dummy 1</v>
      </c>
      <c r="D82" s="51" t="str">
        <f aca="false">D39</f>
        <v>Dummy 1</v>
      </c>
      <c r="E82" s="142" t="str">
        <f aca="false">IFERROR(E39/E$18,"n/a")</f>
        <v>n/a</v>
      </c>
      <c r="F82" s="141" t="str">
        <f aca="false">IFERROR(F39/F$18,"n/a")</f>
        <v>n/a</v>
      </c>
      <c r="G82" s="57" t="str">
        <f aca="false">IFERROR(G39/G$18,"n/a")</f>
        <v>n/a</v>
      </c>
      <c r="H82" s="57"/>
      <c r="I82" s="57"/>
      <c r="J82" s="142" t="str">
        <f aca="false">IFERROR(J39/J$18,"n/a")</f>
        <v>n/a</v>
      </c>
      <c r="K82" s="141" t="str">
        <f aca="false">IFERROR(K39/K$18,"n/a")</f>
        <v>n/a</v>
      </c>
      <c r="L82" s="139" t="str">
        <f aca="false">IFERROR(L39/L$18,"n/a")</f>
        <v>n/a</v>
      </c>
      <c r="M82" s="299"/>
    </row>
    <row r="83" customFormat="false" ht="11.25" hidden="false" customHeight="true" outlineLevel="2" collapsed="false">
      <c r="C83" s="51" t="str">
        <f aca="false">C40</f>
        <v>Dummy 2</v>
      </c>
      <c r="D83" s="51" t="str">
        <f aca="false">D40</f>
        <v>Dummy 2</v>
      </c>
      <c r="E83" s="142" t="str">
        <f aca="false">IFERROR(E40/E$18,"n/a")</f>
        <v>n/a</v>
      </c>
      <c r="F83" s="141" t="str">
        <f aca="false">IFERROR(F40/F$18,"n/a")</f>
        <v>n/a</v>
      </c>
      <c r="G83" s="57" t="str">
        <f aca="false">IFERROR(G40/G$18,"n/a")</f>
        <v>n/a</v>
      </c>
      <c r="H83" s="57"/>
      <c r="I83" s="57"/>
      <c r="J83" s="142" t="str">
        <f aca="false">IFERROR(J40/J$18,"n/a")</f>
        <v>n/a</v>
      </c>
      <c r="K83" s="141" t="str">
        <f aca="false">IFERROR(K40/K$18,"n/a")</f>
        <v>n/a</v>
      </c>
      <c r="L83" s="139" t="str">
        <f aca="false">IFERROR(L40/L$18,"n/a")</f>
        <v>n/a</v>
      </c>
      <c r="M83" s="299"/>
    </row>
    <row r="84" customFormat="false" ht="11.25" hidden="false" customHeight="true" outlineLevel="2" collapsed="false">
      <c r="C84" s="51" t="str">
        <f aca="false">C41</f>
        <v>Dummy 3</v>
      </c>
      <c r="D84" s="51" t="str">
        <f aca="false">D41</f>
        <v>Dummy 3</v>
      </c>
      <c r="E84" s="142" t="str">
        <f aca="false">IFERROR(E41/E$18,"n/a")</f>
        <v>n/a</v>
      </c>
      <c r="F84" s="141" t="str">
        <f aca="false">IFERROR(F41/F$18,"n/a")</f>
        <v>n/a</v>
      </c>
      <c r="G84" s="57" t="str">
        <f aca="false">IFERROR(G41/G$18,"n/a")</f>
        <v>n/a</v>
      </c>
      <c r="H84" s="57"/>
      <c r="I84" s="57"/>
      <c r="J84" s="142" t="str">
        <f aca="false">IFERROR(J41/J$18,"n/a")</f>
        <v>n/a</v>
      </c>
      <c r="K84" s="141" t="str">
        <f aca="false">IFERROR(K41/K$18,"n/a")</f>
        <v>n/a</v>
      </c>
      <c r="L84" s="139" t="str">
        <f aca="false">IFERROR(L41/L$18,"n/a")</f>
        <v>n/a</v>
      </c>
      <c r="M84" s="299"/>
    </row>
    <row r="85" customFormat="false" ht="11.25" hidden="false" customHeight="true" outlineLevel="0" collapsed="false">
      <c r="C85" s="132" t="str">
        <f aca="false">C42</f>
        <v>EBIT</v>
      </c>
      <c r="D85" s="132" t="str">
        <f aca="false">D42</f>
        <v>EBIT</v>
      </c>
      <c r="E85" s="146" t="str">
        <f aca="false">IFERROR(E42/E$18,"n/a")</f>
        <v>n/a</v>
      </c>
      <c r="F85" s="145" t="str">
        <f aca="false">IFERROR(F42/F$18,"n/a")</f>
        <v>n/a</v>
      </c>
      <c r="G85" s="144" t="str">
        <f aca="false">IFERROR(G42/G$18,"n/a")</f>
        <v>n/a</v>
      </c>
      <c r="H85" s="57"/>
      <c r="I85" s="57"/>
      <c r="J85" s="146" t="str">
        <f aca="false">IFERROR(J42/J$18,"n/a")</f>
        <v>n/a</v>
      </c>
      <c r="K85" s="145" t="str">
        <f aca="false">IFERROR(K42/K$18,"n/a")</f>
        <v>n/a</v>
      </c>
      <c r="L85" s="147" t="str">
        <f aca="false">IFERROR(L42/L$18,"n/a")</f>
        <v>n/a</v>
      </c>
      <c r="M85" s="299"/>
    </row>
    <row r="86" customFormat="false" ht="11.25" hidden="false" customHeight="true" outlineLevel="1" collapsed="false">
      <c r="C86" s="51" t="str">
        <f aca="false">C43</f>
        <v>Beteiligungsergebnis</v>
      </c>
      <c r="D86" s="51" t="str">
        <f aca="false">D43</f>
        <v>Investment income</v>
      </c>
      <c r="E86" s="142" t="str">
        <f aca="false">IFERROR(E43/E$18,"n/a")</f>
        <v>n/a</v>
      </c>
      <c r="F86" s="141" t="str">
        <f aca="false">IFERROR(F43/F$18,"n/a")</f>
        <v>n/a</v>
      </c>
      <c r="G86" s="57" t="str">
        <f aca="false">IFERROR(G43/G$18,"n/a")</f>
        <v>n/a</v>
      </c>
      <c r="H86" s="57"/>
      <c r="I86" s="57"/>
      <c r="J86" s="142" t="str">
        <f aca="false">IFERROR(J43/J$18,"n/a")</f>
        <v>n/a</v>
      </c>
      <c r="K86" s="141" t="str">
        <f aca="false">IFERROR(K43/K$18,"n/a")</f>
        <v>n/a</v>
      </c>
      <c r="L86" s="139" t="str">
        <f aca="false">IFERROR(L43/L$18,"n/a")</f>
        <v>n/a</v>
      </c>
      <c r="M86" s="299"/>
    </row>
    <row r="87" customFormat="false" ht="11.25" hidden="false" customHeight="true" outlineLevel="1" collapsed="false">
      <c r="C87" s="51" t="str">
        <f aca="false">C44</f>
        <v>Zinserträge</v>
      </c>
      <c r="D87" s="51" t="str">
        <f aca="false">D44</f>
        <v>Interest income</v>
      </c>
      <c r="E87" s="142" t="str">
        <f aca="false">IFERROR(E44/E$18,"n/a")</f>
        <v>n/a</v>
      </c>
      <c r="F87" s="141" t="str">
        <f aca="false">IFERROR(F44/F$18,"n/a")</f>
        <v>n/a</v>
      </c>
      <c r="G87" s="57" t="str">
        <f aca="false">IFERROR(G44/G$18,"n/a")</f>
        <v>n/a</v>
      </c>
      <c r="H87" s="57"/>
      <c r="I87" s="57"/>
      <c r="J87" s="142" t="str">
        <f aca="false">IFERROR(J44/J$18,"n/a")</f>
        <v>n/a</v>
      </c>
      <c r="K87" s="141" t="str">
        <f aca="false">IFERROR(K44/K$18,"n/a")</f>
        <v>n/a</v>
      </c>
      <c r="L87" s="139" t="str">
        <f aca="false">IFERROR(L44/L$18,"n/a")</f>
        <v>n/a</v>
      </c>
      <c r="M87" s="299"/>
    </row>
    <row r="88" customFormat="false" ht="11.25" hidden="false" customHeight="true" outlineLevel="1" collapsed="false">
      <c r="C88" s="51" t="str">
        <f aca="false">C45</f>
        <v>Zinsaufwendungen</v>
      </c>
      <c r="D88" s="51" t="str">
        <f aca="false">D45</f>
        <v>Interest expenses</v>
      </c>
      <c r="E88" s="142" t="str">
        <f aca="false">IFERROR(E45/E$18,"n/a")</f>
        <v>n/a</v>
      </c>
      <c r="F88" s="141" t="str">
        <f aca="false">IFERROR(F45/F$18,"n/a")</f>
        <v>n/a</v>
      </c>
      <c r="G88" s="57" t="str">
        <f aca="false">IFERROR(G45/G$18,"n/a")</f>
        <v>n/a</v>
      </c>
      <c r="H88" s="57"/>
      <c r="I88" s="57"/>
      <c r="J88" s="142" t="str">
        <f aca="false">IFERROR(J45/J$18,"n/a")</f>
        <v>n/a</v>
      </c>
      <c r="K88" s="141" t="str">
        <f aca="false">IFERROR(K45/K$18,"n/a")</f>
        <v>n/a</v>
      </c>
      <c r="L88" s="139" t="str">
        <f aca="false">IFERROR(L45/L$18,"n/a")</f>
        <v>n/a</v>
      </c>
      <c r="M88" s="299"/>
    </row>
    <row r="89" customFormat="false" ht="11.25" hidden="false" customHeight="true" outlineLevel="2" collapsed="false">
      <c r="C89" s="51" t="str">
        <f aca="false">C46</f>
        <v>Dummy 1</v>
      </c>
      <c r="D89" s="51" t="str">
        <f aca="false">D46</f>
        <v>Dummy 1</v>
      </c>
      <c r="E89" s="142" t="str">
        <f aca="false">IFERROR(E46/E$18,"n/a")</f>
        <v>n/a</v>
      </c>
      <c r="F89" s="141" t="str">
        <f aca="false">IFERROR(F46/F$18,"n/a")</f>
        <v>n/a</v>
      </c>
      <c r="G89" s="57" t="str">
        <f aca="false">IFERROR(G46/G$18,"n/a")</f>
        <v>n/a</v>
      </c>
      <c r="H89" s="57"/>
      <c r="I89" s="57"/>
      <c r="J89" s="142" t="str">
        <f aca="false">IFERROR(J46/J$18,"n/a")</f>
        <v>n/a</v>
      </c>
      <c r="K89" s="141" t="str">
        <f aca="false">IFERROR(K46/K$18,"n/a")</f>
        <v>n/a</v>
      </c>
      <c r="L89" s="139" t="str">
        <f aca="false">IFERROR(L46/L$18,"n/a")</f>
        <v>n/a</v>
      </c>
      <c r="M89" s="299"/>
    </row>
    <row r="90" customFormat="false" ht="11.25" hidden="false" customHeight="true" outlineLevel="2" collapsed="false">
      <c r="C90" s="51" t="str">
        <f aca="false">C47</f>
        <v>Dummy 2</v>
      </c>
      <c r="D90" s="51" t="str">
        <f aca="false">D47</f>
        <v>Dummy 2</v>
      </c>
      <c r="E90" s="142" t="str">
        <f aca="false">IFERROR(E47/E$18,"n/a")</f>
        <v>n/a</v>
      </c>
      <c r="F90" s="141" t="str">
        <f aca="false">IFERROR(F47/F$18,"n/a")</f>
        <v>n/a</v>
      </c>
      <c r="G90" s="57" t="str">
        <f aca="false">IFERROR(G47/G$18,"n/a")</f>
        <v>n/a</v>
      </c>
      <c r="H90" s="57"/>
      <c r="I90" s="57"/>
      <c r="J90" s="142" t="str">
        <f aca="false">IFERROR(J47/J$18,"n/a")</f>
        <v>n/a</v>
      </c>
      <c r="K90" s="141" t="str">
        <f aca="false">IFERROR(K47/K$18,"n/a")</f>
        <v>n/a</v>
      </c>
      <c r="L90" s="139" t="str">
        <f aca="false">IFERROR(L47/L$18,"n/a")</f>
        <v>n/a</v>
      </c>
      <c r="M90" s="299"/>
    </row>
    <row r="91" customFormat="false" ht="11.25" hidden="false" customHeight="true" outlineLevel="2" collapsed="false">
      <c r="C91" s="51" t="str">
        <f aca="false">C48</f>
        <v>Dummy 3</v>
      </c>
      <c r="D91" s="51" t="str">
        <f aca="false">D48</f>
        <v>Dummy 3</v>
      </c>
      <c r="E91" s="142" t="str">
        <f aca="false">IFERROR(E48/E$18,"n/a")</f>
        <v>n/a</v>
      </c>
      <c r="F91" s="141" t="str">
        <f aca="false">IFERROR(F48/F$18,"n/a")</f>
        <v>n/a</v>
      </c>
      <c r="G91" s="57" t="str">
        <f aca="false">IFERROR(G48/G$18,"n/a")</f>
        <v>n/a</v>
      </c>
      <c r="H91" s="57"/>
      <c r="I91" s="57"/>
      <c r="J91" s="142" t="str">
        <f aca="false">IFERROR(J48/J$18,"n/a")</f>
        <v>n/a</v>
      </c>
      <c r="K91" s="141" t="str">
        <f aca="false">IFERROR(K48/K$18,"n/a")</f>
        <v>n/a</v>
      </c>
      <c r="L91" s="139" t="str">
        <f aca="false">IFERROR(L48/L$18,"n/a")</f>
        <v>n/a</v>
      </c>
      <c r="M91" s="299"/>
    </row>
    <row r="92" customFormat="false" ht="11.25" hidden="false" customHeight="true" outlineLevel="0" collapsed="false">
      <c r="C92" s="51" t="str">
        <f aca="false">C49</f>
        <v>Finanzergebnis</v>
      </c>
      <c r="D92" s="51" t="str">
        <f aca="false">D49</f>
        <v>Financial result</v>
      </c>
      <c r="E92" s="142" t="str">
        <f aca="false">IFERROR(E49/E$18,"n/a")</f>
        <v>n/a</v>
      </c>
      <c r="F92" s="141" t="str">
        <f aca="false">IFERROR(F49/F$18,"n/a")</f>
        <v>n/a</v>
      </c>
      <c r="G92" s="57" t="str">
        <f aca="false">IFERROR(G49/G$18,"n/a")</f>
        <v>n/a</v>
      </c>
      <c r="H92" s="57"/>
      <c r="I92" s="57"/>
      <c r="J92" s="142" t="str">
        <f aca="false">IFERROR(J49/J$18,"n/a")</f>
        <v>n/a</v>
      </c>
      <c r="K92" s="141" t="str">
        <f aca="false">IFERROR(K49/K$18,"n/a")</f>
        <v>n/a</v>
      </c>
      <c r="L92" s="139" t="str">
        <f aca="false">IFERROR(L49/L$18,"n/a")</f>
        <v>n/a</v>
      </c>
      <c r="M92" s="299"/>
    </row>
    <row r="93" customFormat="false" ht="11.25" hidden="false" customHeight="true" outlineLevel="0" collapsed="false">
      <c r="C93" s="132" t="str">
        <f aca="false">C50</f>
        <v>EBT</v>
      </c>
      <c r="D93" s="132" t="str">
        <f aca="false">D50</f>
        <v>EBT</v>
      </c>
      <c r="E93" s="146" t="str">
        <f aca="false">IFERROR(E50/E$18,"n/a")</f>
        <v>n/a</v>
      </c>
      <c r="F93" s="145" t="str">
        <f aca="false">IFERROR(F50/F$18,"n/a")</f>
        <v>n/a</v>
      </c>
      <c r="G93" s="144" t="str">
        <f aca="false">IFERROR(G50/G$18,"n/a")</f>
        <v>n/a</v>
      </c>
      <c r="H93" s="57"/>
      <c r="I93" s="57"/>
      <c r="J93" s="146" t="str">
        <f aca="false">IFERROR(J50/J$18,"n/a")</f>
        <v>n/a</v>
      </c>
      <c r="K93" s="145" t="str">
        <f aca="false">IFERROR(K50/K$18,"n/a")</f>
        <v>n/a</v>
      </c>
      <c r="L93" s="147" t="str">
        <f aca="false">IFERROR(L50/L$18,"n/a")</f>
        <v>n/a</v>
      </c>
      <c r="M93" s="299"/>
    </row>
    <row r="94" customFormat="false" ht="11.25" hidden="false" customHeight="true" outlineLevel="0" collapsed="false">
      <c r="C94" s="51" t="str">
        <f aca="false">C51</f>
        <v>Ertragssteuern</v>
      </c>
      <c r="D94" s="51" t="str">
        <f aca="false">D51</f>
        <v>Income taxes</v>
      </c>
      <c r="E94" s="142" t="str">
        <f aca="false">IFERROR(E51/E$18,"n/a")</f>
        <v>n/a</v>
      </c>
      <c r="F94" s="141" t="str">
        <f aca="false">IFERROR(F51/F$18,"n/a")</f>
        <v>n/a</v>
      </c>
      <c r="G94" s="57" t="str">
        <f aca="false">IFERROR(G51/G$18,"n/a")</f>
        <v>n/a</v>
      </c>
      <c r="H94" s="57"/>
      <c r="I94" s="57"/>
      <c r="J94" s="142" t="str">
        <f aca="false">IFERROR(J51/J$18,"n/a")</f>
        <v>n/a</v>
      </c>
      <c r="K94" s="141" t="str">
        <f aca="false">IFERROR(K51/K$18,"n/a")</f>
        <v>n/a</v>
      </c>
      <c r="L94" s="139" t="str">
        <f aca="false">IFERROR(L51/L$18,"n/a")</f>
        <v>n/a</v>
      </c>
      <c r="M94" s="299"/>
    </row>
    <row r="95" customFormat="false" ht="11.25" hidden="false" customHeight="true" outlineLevel="0" collapsed="false">
      <c r="C95" s="51" t="str">
        <f aca="false">C52</f>
        <v>Sonstige Steuern</v>
      </c>
      <c r="D95" s="51" t="str">
        <f aca="false">D52</f>
        <v>Other taxes</v>
      </c>
      <c r="E95" s="142" t="str">
        <f aca="false">IFERROR(E52/E$18,"n/a")</f>
        <v>n/a</v>
      </c>
      <c r="F95" s="141" t="str">
        <f aca="false">IFERROR(F52/F$18,"n/a")</f>
        <v>n/a</v>
      </c>
      <c r="G95" s="57" t="str">
        <f aca="false">IFERROR(G52/G$18,"n/a")</f>
        <v>n/a</v>
      </c>
      <c r="H95" s="57"/>
      <c r="I95" s="57"/>
      <c r="J95" s="142" t="str">
        <f aca="false">IFERROR(J52/J$18,"n/a")</f>
        <v>n/a</v>
      </c>
      <c r="K95" s="141" t="str">
        <f aca="false">IFERROR(K52/K$18,"n/a")</f>
        <v>n/a</v>
      </c>
      <c r="L95" s="139" t="str">
        <f aca="false">IFERROR(L52/L$18,"n/a")</f>
        <v>n/a</v>
      </c>
      <c r="M95" s="299"/>
    </row>
    <row r="96" customFormat="false" ht="11.25" hidden="false" customHeight="true" outlineLevel="0" collapsed="false">
      <c r="C96" s="132" t="str">
        <f aca="false">C53</f>
        <v>Jahresüberschuss</v>
      </c>
      <c r="D96" s="132" t="str">
        <f aca="false">D53</f>
        <v>Profit / Loss</v>
      </c>
      <c r="E96" s="146" t="str">
        <f aca="false">IFERROR(E53/E$18,"n/a")</f>
        <v>n/a</v>
      </c>
      <c r="F96" s="145" t="str">
        <f aca="false">IFERROR(F53/F$18,"n/a")</f>
        <v>n/a</v>
      </c>
      <c r="G96" s="144" t="str">
        <f aca="false">IFERROR(G53/G$18,"n/a")</f>
        <v>n/a</v>
      </c>
      <c r="H96" s="57"/>
      <c r="I96" s="57"/>
      <c r="J96" s="146" t="str">
        <f aca="false">IFERROR(J53/J$18,"n/a")</f>
        <v>n/a</v>
      </c>
      <c r="K96" s="145" t="str">
        <f aca="false">IFERROR(K53/K$18,"n/a")</f>
        <v>n/a</v>
      </c>
      <c r="L96" s="147" t="str">
        <f aca="false">IFERROR(L53/L$18,"n/a")</f>
        <v>n/a</v>
      </c>
      <c r="M96" s="299"/>
    </row>
    <row r="97" customFormat="false" ht="4.5" hidden="false" customHeight="true" outlineLevel="0" collapsed="false">
      <c r="C97" s="51"/>
      <c r="D97" s="51"/>
      <c r="E97" s="160"/>
      <c r="F97" s="196"/>
      <c r="G97" s="57"/>
      <c r="H97" s="57"/>
      <c r="I97" s="57"/>
      <c r="J97" s="160"/>
      <c r="K97" s="196"/>
      <c r="L97" s="161"/>
      <c r="M97" s="299"/>
    </row>
    <row r="98" customFormat="false" ht="11.25" hidden="false" customHeight="true" outlineLevel="0" collapsed="false">
      <c r="C98" s="54" t="str">
        <f aca="false">"Quelle: "&amp;Cockpit!$C$7</f>
        <v>Quelle: Datenraum/ eigene Analysen</v>
      </c>
      <c r="D98" s="54" t="str">
        <f aca="false">"Source: "&amp;Cockpit!$C$8</f>
        <v>Source: Virtual Data Room/ Company Information</v>
      </c>
      <c r="E98" s="190"/>
      <c r="F98" s="190"/>
      <c r="G98" s="55"/>
      <c r="H98" s="55"/>
      <c r="I98" s="55"/>
      <c r="J98" s="190"/>
      <c r="K98" s="190"/>
      <c r="L98" s="191"/>
      <c r="M98" s="300"/>
    </row>
    <row r="99" customFormat="false" ht="11.25" hidden="false" customHeight="true" outlineLevel="0" collapsed="false">
      <c r="C99" s="301"/>
      <c r="D99" s="301"/>
      <c r="E99" s="301"/>
      <c r="F99" s="301"/>
      <c r="G99" s="301"/>
      <c r="H99" s="301"/>
      <c r="I99" s="301"/>
      <c r="J99" s="301"/>
      <c r="K99" s="301"/>
      <c r="L99" s="302"/>
      <c r="M99" s="301"/>
    </row>
    <row r="100" customFormat="false" ht="11.25" hidden="false" customHeight="true" outlineLevel="0" collapsed="false">
      <c r="C100" s="301"/>
      <c r="D100" s="301"/>
      <c r="E100" s="301"/>
      <c r="F100" s="301"/>
      <c r="G100" s="301"/>
      <c r="H100" s="301"/>
      <c r="I100" s="301"/>
      <c r="J100" s="301"/>
      <c r="K100" s="301"/>
      <c r="L100" s="302"/>
      <c r="M100" s="301"/>
    </row>
    <row r="101" customFormat="false" ht="12" hidden="false" customHeight="true" outlineLevel="0" collapsed="false">
      <c r="C101" s="301"/>
      <c r="D101" s="301"/>
      <c r="E101" s="301"/>
      <c r="F101" s="301"/>
      <c r="G101" s="301"/>
      <c r="H101" s="301"/>
      <c r="I101" s="301"/>
      <c r="J101" s="301"/>
      <c r="K101" s="301"/>
      <c r="L101" s="302"/>
      <c r="M101" s="301"/>
    </row>
    <row r="102" customFormat="false" ht="12" hidden="false" customHeight="true" outlineLevel="0" collapsed="false">
      <c r="C102" s="151" t="s">
        <v>702</v>
      </c>
      <c r="D102" s="151" t="s">
        <v>703</v>
      </c>
      <c r="E102" s="152"/>
      <c r="F102" s="301"/>
      <c r="G102" s="152" t="n">
        <f aca="false">'Lead PL'!H210</f>
        <v>0</v>
      </c>
      <c r="H102" s="301"/>
      <c r="I102" s="301"/>
      <c r="J102" s="152" t="n">
        <f aca="false">'Lead PL'!J210</f>
        <v>0</v>
      </c>
      <c r="K102" s="301"/>
      <c r="L102" s="152" t="n">
        <f aca="false">'Lead PL'!K210</f>
        <v>0</v>
      </c>
      <c r="M102" s="301"/>
    </row>
    <row r="103" customFormat="false" ht="12" hidden="false" customHeight="true" outlineLevel="0" collapsed="false">
      <c r="C103" s="153" t="s">
        <v>245</v>
      </c>
      <c r="D103" s="154" t="s">
        <v>245</v>
      </c>
      <c r="E103" s="218"/>
      <c r="F103" s="303"/>
      <c r="G103" s="217" t="n">
        <f aca="false">G102-G53</f>
        <v>0</v>
      </c>
      <c r="H103" s="303"/>
      <c r="I103" s="303"/>
      <c r="J103" s="218" t="n">
        <f aca="false">J102-J53</f>
        <v>0</v>
      </c>
      <c r="K103" s="303"/>
      <c r="L103" s="218" t="n">
        <f aca="false">L102-L53</f>
        <v>0</v>
      </c>
    </row>
  </sheetData>
  <mergeCells count="4">
    <mergeCell ref="E5:H5"/>
    <mergeCell ref="J5:M5"/>
    <mergeCell ref="E8:H8"/>
    <mergeCell ref="J8:M8"/>
  </mergeCells>
  <conditionalFormatting sqref="L103">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conditionalFormatting sqref="J103">
    <cfRule type="cellIs" priority="5" operator="between" aboveAverage="0" equalAverage="0" bottom="0" percent="0" rank="0" text="" dxfId="2">
      <formula>-1</formula>
      <formula>1</formula>
    </cfRule>
    <cfRule type="cellIs" priority="6" operator="lessThan" aboveAverage="0" equalAverage="0" bottom="0" percent="0" rank="0" text="" dxfId="0">
      <formula>-1</formula>
    </cfRule>
    <cfRule type="cellIs" priority="7" operator="greaterThan" aboveAverage="0" equalAverage="0" bottom="0" percent="0" rank="0" text="" dxfId="0">
      <formula>1</formula>
    </cfRule>
  </conditionalFormatting>
  <conditionalFormatting sqref="G103">
    <cfRule type="cellIs" priority="8" operator="between" aboveAverage="0" equalAverage="0" bottom="0" percent="0" rank="0" text="" dxfId="2">
      <formula>-1</formula>
      <formula>1</formula>
    </cfRule>
    <cfRule type="cellIs" priority="9" operator="lessThan" aboveAverage="0" equalAverage="0" bottom="0" percent="0" rank="0" text="" dxfId="0">
      <formula>-1</formula>
    </cfRule>
    <cfRule type="cellIs" priority="10" operator="greaterThan" aboveAverage="0" equalAverage="0" bottom="0" percent="0" rank="0" text="" dxfId="0">
      <formula>1</formula>
    </cfRule>
  </conditionalFormatting>
  <conditionalFormatting sqref="E103">
    <cfRule type="cellIs" priority="11" operator="between" aboveAverage="0" equalAverage="0" bottom="0" percent="0" rank="0" text="" dxfId="2">
      <formula>-1</formula>
      <formula>1</formula>
    </cfRule>
    <cfRule type="cellIs" priority="12" operator="lessThan" aboveAverage="0" equalAverage="0" bottom="0" percent="0" rank="0" text="" dxfId="0">
      <formula>-1</formula>
    </cfRule>
    <cfRule type="cellIs" priority="13"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1:Q50"/>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Q13" activeCellId="0" sqref="Q13"/>
    </sheetView>
  </sheetViews>
  <sheetFormatPr defaultColWidth="11.2890625" defaultRowHeight="11.25" zeroHeight="false" outlineLevelRow="3" outlineLevelCol="2"/>
  <cols>
    <col collapsed="false" customWidth="false" hidden="false" outlineLevel="0" max="1" min="1" style="1" width="11.29"/>
    <col collapsed="false" customWidth="true" hidden="false" outlineLevel="2" max="2" min="2" style="1" width="0.86"/>
    <col collapsed="false" customWidth="true" hidden="false" outlineLevel="2" max="3" min="3" style="1" width="35.57"/>
    <col collapsed="false" customWidth="true" hidden="false" outlineLevel="0" max="4" min="4" style="1" width="35.57"/>
    <col collapsed="false" customWidth="true" hidden="false" outlineLevel="0" max="5" min="5" style="304" width="4"/>
    <col collapsed="false" customWidth="true" hidden="false" outlineLevel="0" max="10" min="6" style="1" width="9.42"/>
    <col collapsed="false" customWidth="true" hidden="false" outlineLevel="1" max="14" min="11" style="1" width="9.42"/>
    <col collapsed="false" customWidth="true" hidden="false" outlineLevel="2" max="15" min="15" style="1" width="0.86"/>
    <col collapsed="false" customWidth="false" hidden="false" outlineLevel="0" max="16" min="16" style="1" width="11.29"/>
    <col collapsed="false" customWidth="true" hidden="false" outlineLevel="0" max="17" min="17" style="305" width="29.29"/>
    <col collapsed="false" customWidth="false" hidden="false" outlineLevel="0" max="16384" min="18" style="1" width="11.29"/>
  </cols>
  <sheetData>
    <row r="1" customFormat="false" ht="11.25" hidden="true" customHeight="true" outlineLevel="3" collapsed="false"/>
    <row r="3" customFormat="false" ht="11.25" hidden="false" customHeight="true" outlineLevel="0" collapsed="false">
      <c r="E3" s="306" t="s">
        <v>704</v>
      </c>
    </row>
    <row r="4" customFormat="false" ht="11.25" hidden="true" customHeight="true" outlineLevel="3" collapsed="false">
      <c r="C4" s="220" t="str">
        <f aca="false">Cockpit!$C$4</f>
        <v>Template</v>
      </c>
      <c r="D4" s="221"/>
      <c r="E4" s="221"/>
      <c r="F4" s="221" t="n">
        <f aca="false">'Lead PL'!F4</f>
        <v>44926</v>
      </c>
      <c r="G4" s="221" t="n">
        <f aca="false">'Lead PL'!G4</f>
        <v>45291</v>
      </c>
      <c r="H4" s="221" t="n">
        <f aca="false">'Lead PL'!H4</f>
        <v>45657</v>
      </c>
      <c r="I4" s="225" t="n">
        <f aca="false">'Lead PL'!I4</f>
        <v>45808</v>
      </c>
      <c r="J4" s="225" t="n">
        <f aca="false">'Lead PL'!J4</f>
        <v>45808</v>
      </c>
      <c r="K4" s="221" t="n">
        <f aca="false">'Lead PL'!K4</f>
        <v>46022</v>
      </c>
      <c r="L4" s="221" t="n">
        <f aca="false">'Lead PL'!L4</f>
        <v>46387</v>
      </c>
      <c r="M4" s="221" t="n">
        <f aca="false">'Lead PL'!M4</f>
        <v>46752</v>
      </c>
      <c r="N4" s="221" t="n">
        <f aca="false">'Lead PL'!N4</f>
        <v>47118</v>
      </c>
    </row>
    <row r="5" customFormat="false" ht="11.25" hidden="true" customHeight="true" outlineLevel="3" collapsed="false">
      <c r="C5" s="220" t="str">
        <f aca="false">"in T"&amp;Cockpit!$C$5</f>
        <v>in TEUR</v>
      </c>
      <c r="D5" s="221"/>
      <c r="E5" s="228" t="s">
        <v>705</v>
      </c>
      <c r="F5" s="221" t="str">
        <f aca="false">'Lead PL'!F5</f>
        <v>IST</v>
      </c>
      <c r="G5" s="221" t="str">
        <f aca="false">'Lead PL'!G5</f>
        <v>IST</v>
      </c>
      <c r="H5" s="221" t="str">
        <f aca="false">'Lead PL'!H5</f>
        <v>IST</v>
      </c>
      <c r="I5" s="221" t="str">
        <f aca="false">'Lead PL'!I5</f>
        <v>LTM</v>
      </c>
      <c r="J5" s="221" t="str">
        <f aca="false">'Lead PL'!J5</f>
        <v>YTD</v>
      </c>
      <c r="K5" s="221" t="str">
        <f aca="false">'Lead PL'!K5</f>
        <v>Plan</v>
      </c>
      <c r="L5" s="221" t="str">
        <f aca="false">'Lead PL'!L5</f>
        <v>Plan</v>
      </c>
      <c r="M5" s="221" t="str">
        <f aca="false">'Lead PL'!M5</f>
        <v>Plan</v>
      </c>
      <c r="N5" s="221" t="str">
        <f aca="false">'Lead PL'!N5</f>
        <v>Plan</v>
      </c>
    </row>
    <row r="6" customFormat="false" ht="11.25" hidden="false" customHeight="true" outlineLevel="0" collapsed="false">
      <c r="C6" s="227"/>
      <c r="D6" s="228" t="str">
        <f aca="false">Cockpit!$C$4</f>
        <v>Template</v>
      </c>
      <c r="E6" s="228"/>
      <c r="F6" s="227" t="n">
        <f aca="false">'Lead PL'!F6</f>
        <v>44926</v>
      </c>
      <c r="G6" s="227" t="n">
        <f aca="false">'Lead PL'!G6</f>
        <v>45291</v>
      </c>
      <c r="H6" s="227" t="n">
        <f aca="false">'Lead PL'!H6</f>
        <v>45657</v>
      </c>
      <c r="I6" s="293" t="n">
        <f aca="false">'Lead PL'!I6</f>
        <v>45808</v>
      </c>
      <c r="J6" s="293" t="n">
        <f aca="false">'Lead PL'!J6</f>
        <v>45808</v>
      </c>
      <c r="K6" s="227" t="n">
        <f aca="false">'Lead PL'!K6</f>
        <v>46022</v>
      </c>
      <c r="L6" s="227" t="n">
        <f aca="false">'Lead PL'!L6</f>
        <v>46387</v>
      </c>
      <c r="M6" s="227" t="n">
        <f aca="false">'Lead PL'!M6</f>
        <v>46752</v>
      </c>
      <c r="N6" s="227" t="n">
        <f aca="false">'Lead PL'!N6</f>
        <v>47118</v>
      </c>
    </row>
    <row r="7" customFormat="false" ht="11.25" hidden="false" customHeight="true" outlineLevel="0" collapsed="false">
      <c r="C7" s="227"/>
      <c r="D7" s="228" t="str">
        <f aca="false">"in k"&amp;Cockpit!$C$5</f>
        <v>in kEUR</v>
      </c>
      <c r="E7" s="228" t="s">
        <v>705</v>
      </c>
      <c r="F7" s="227" t="str">
        <f aca="false">'Lead PL'!F7</f>
        <v>IST</v>
      </c>
      <c r="G7" s="227" t="str">
        <f aca="false">'Lead PL'!G7</f>
        <v>IST</v>
      </c>
      <c r="H7" s="227" t="str">
        <f aca="false">'Lead PL'!H7</f>
        <v>IST</v>
      </c>
      <c r="I7" s="227" t="str">
        <f aca="false">'Lead PL'!I7</f>
        <v>LTM</v>
      </c>
      <c r="J7" s="227" t="str">
        <f aca="false">'Lead PL'!J7</f>
        <v>YTD</v>
      </c>
      <c r="K7" s="227" t="str">
        <f aca="false">'Lead PL'!K7</f>
        <v>Plan</v>
      </c>
      <c r="L7" s="227" t="str">
        <f aca="false">'Lead PL'!L7</f>
        <v>Plan</v>
      </c>
      <c r="M7" s="227" t="str">
        <f aca="false">'Lead PL'!M7</f>
        <v>Plan</v>
      </c>
      <c r="N7" s="227" t="str">
        <f aca="false">'Lead PL'!N7</f>
        <v>Plan</v>
      </c>
      <c r="Q7" s="89" t="s">
        <v>409</v>
      </c>
    </row>
    <row r="8" customFormat="false" ht="4.5" hidden="false" customHeight="true" outlineLevel="0" collapsed="false">
      <c r="C8" s="300"/>
      <c r="D8" s="299"/>
      <c r="E8" s="299"/>
      <c r="F8" s="299"/>
      <c r="G8" s="299"/>
      <c r="H8" s="299"/>
      <c r="I8" s="307"/>
      <c r="J8" s="307"/>
      <c r="K8" s="308"/>
      <c r="L8" s="308"/>
      <c r="M8" s="308"/>
      <c r="N8" s="308"/>
    </row>
    <row r="9" customFormat="false" ht="11.25" hidden="false" customHeight="true" outlineLevel="0" collapsed="false">
      <c r="C9" s="171" t="s">
        <v>706</v>
      </c>
      <c r="D9" s="181" t="s">
        <v>706</v>
      </c>
      <c r="E9" s="181"/>
      <c r="F9" s="182" t="n">
        <f aca="false">'Lead PL'!F146</f>
        <v>0</v>
      </c>
      <c r="G9" s="182" t="n">
        <f aca="false">'Lead PL'!G146</f>
        <v>0</v>
      </c>
      <c r="H9" s="182" t="n">
        <f aca="false">'Lead PL'!H146</f>
        <v>0</v>
      </c>
      <c r="I9" s="282" t="n">
        <f aca="false">'Lead PL'!I146</f>
        <v>0</v>
      </c>
      <c r="J9" s="183" t="n">
        <f aca="false">'Lead PL'!J146</f>
        <v>0</v>
      </c>
      <c r="K9" s="184" t="n">
        <f aca="false">'Lead PL'!K146</f>
        <v>0</v>
      </c>
      <c r="L9" s="184" t="n">
        <f aca="false">'Lead PL'!L146</f>
        <v>0</v>
      </c>
      <c r="M9" s="184" t="n">
        <f aca="false">'Lead PL'!M146</f>
        <v>0</v>
      </c>
      <c r="N9" s="184" t="n">
        <f aca="false">'Lead PL'!N146</f>
        <v>0</v>
      </c>
    </row>
    <row r="10" customFormat="false" ht="11.25" hidden="false" customHeight="true" outlineLevel="0" collapsed="false">
      <c r="C10" s="299"/>
      <c r="D10" s="299"/>
      <c r="E10" s="299"/>
      <c r="F10" s="299"/>
      <c r="G10" s="299"/>
      <c r="H10" s="299"/>
      <c r="I10" s="196"/>
      <c r="J10" s="160"/>
      <c r="K10" s="161"/>
      <c r="L10" s="161"/>
      <c r="M10" s="161"/>
      <c r="N10" s="161"/>
    </row>
    <row r="11" customFormat="false" ht="11.25" hidden="false" customHeight="true" outlineLevel="0" collapsed="false">
      <c r="C11" s="132" t="s">
        <v>707</v>
      </c>
      <c r="D11" s="132" t="s">
        <v>708</v>
      </c>
      <c r="E11" s="309"/>
      <c r="F11" s="159"/>
      <c r="G11" s="159"/>
      <c r="H11" s="159"/>
      <c r="I11" s="196"/>
      <c r="J11" s="160"/>
      <c r="K11" s="161"/>
      <c r="L11" s="161"/>
      <c r="M11" s="161"/>
      <c r="N11" s="161"/>
    </row>
    <row r="12" customFormat="false" ht="11.25" hidden="false" customHeight="true" outlineLevel="0" collapsed="false">
      <c r="C12" s="51" t="s">
        <v>234</v>
      </c>
      <c r="D12" s="51" t="s">
        <v>234</v>
      </c>
      <c r="E12" s="310" t="n">
        <v>1</v>
      </c>
      <c r="F12" s="159"/>
      <c r="G12" s="159"/>
      <c r="H12" s="159"/>
      <c r="I12" s="196"/>
      <c r="J12" s="160"/>
      <c r="K12" s="161"/>
      <c r="L12" s="161"/>
      <c r="M12" s="161"/>
      <c r="N12" s="161"/>
    </row>
    <row r="13" customFormat="false" ht="11.25" hidden="false" customHeight="true" outlineLevel="0" collapsed="false">
      <c r="C13" s="51" t="s">
        <v>235</v>
      </c>
      <c r="D13" s="51" t="s">
        <v>235</v>
      </c>
      <c r="E13" s="310" t="n">
        <v>2</v>
      </c>
      <c r="F13" s="159"/>
      <c r="G13" s="159"/>
      <c r="H13" s="159"/>
      <c r="I13" s="196"/>
      <c r="J13" s="160"/>
      <c r="K13" s="161"/>
      <c r="L13" s="161"/>
      <c r="M13" s="161"/>
      <c r="N13" s="161"/>
    </row>
    <row r="14" customFormat="false" ht="11.25" hidden="false" customHeight="true" outlineLevel="0" collapsed="false">
      <c r="C14" s="54" t="s">
        <v>236</v>
      </c>
      <c r="D14" s="54" t="s">
        <v>236</v>
      </c>
      <c r="E14" s="311" t="n">
        <v>3</v>
      </c>
      <c r="F14" s="162"/>
      <c r="G14" s="162"/>
      <c r="H14" s="162"/>
      <c r="I14" s="197"/>
      <c r="J14" s="163"/>
      <c r="K14" s="164"/>
      <c r="L14" s="164"/>
      <c r="M14" s="164"/>
      <c r="N14" s="164"/>
    </row>
    <row r="15" customFormat="false" ht="11.25" hidden="false" customHeight="true" outlineLevel="0" collapsed="false">
      <c r="C15" s="181" t="str">
        <f aca="false">C11</f>
        <v>Normalisierungsanpassungen Management</v>
      </c>
      <c r="D15" s="181" t="str">
        <f aca="false">D11</f>
        <v>Mgmt normalization adjustments</v>
      </c>
      <c r="E15" s="181"/>
      <c r="F15" s="175" t="n">
        <f aca="false">SUM(F12:F14)</f>
        <v>0</v>
      </c>
      <c r="G15" s="175" t="n">
        <f aca="false">SUM(G12:G14)</f>
        <v>0</v>
      </c>
      <c r="H15" s="175" t="n">
        <f aca="false">SUM(H12:H14)</f>
        <v>0</v>
      </c>
      <c r="I15" s="201" t="n">
        <f aca="false">SUM(I12:I14)</f>
        <v>0</v>
      </c>
      <c r="J15" s="176" t="n">
        <f aca="false">SUM(J12:J14)</f>
        <v>0</v>
      </c>
      <c r="K15" s="177" t="n">
        <f aca="false">SUM(K12:K14)</f>
        <v>0</v>
      </c>
      <c r="L15" s="177" t="n">
        <f aca="false">SUM(L12:L14)</f>
        <v>0</v>
      </c>
      <c r="M15" s="177" t="n">
        <f aca="false">SUM(M12:M14)</f>
        <v>0</v>
      </c>
      <c r="N15" s="177" t="n">
        <f aca="false">SUM(N12:N14)</f>
        <v>0</v>
      </c>
    </row>
    <row r="16" customFormat="false" ht="11.25" hidden="false" customHeight="true" outlineLevel="0" collapsed="false">
      <c r="C16" s="171" t="s">
        <v>709</v>
      </c>
      <c r="D16" s="171" t="s">
        <v>710</v>
      </c>
      <c r="E16" s="171"/>
      <c r="F16" s="210" t="n">
        <f aca="false">F15+F9</f>
        <v>0</v>
      </c>
      <c r="G16" s="210" t="n">
        <f aca="false">G15+G9</f>
        <v>0</v>
      </c>
      <c r="H16" s="210" t="n">
        <f aca="false">H15+H9</f>
        <v>0</v>
      </c>
      <c r="I16" s="312" t="n">
        <f aca="false">I15+I9</f>
        <v>0</v>
      </c>
      <c r="J16" s="313" t="n">
        <f aca="false">J15+J9</f>
        <v>0</v>
      </c>
      <c r="K16" s="208" t="n">
        <f aca="false">K15+K9</f>
        <v>0</v>
      </c>
      <c r="L16" s="208" t="n">
        <f aca="false">L15+L9</f>
        <v>0</v>
      </c>
      <c r="M16" s="208" t="n">
        <f aca="false">M15+M9</f>
        <v>0</v>
      </c>
      <c r="N16" s="208" t="n">
        <f aca="false">N15+N9</f>
        <v>0</v>
      </c>
    </row>
    <row r="17" customFormat="false" ht="4.5" hidden="false" customHeight="true" outlineLevel="1" collapsed="false">
      <c r="C17" s="51"/>
      <c r="D17" s="51"/>
      <c r="E17" s="310"/>
      <c r="F17" s="159"/>
      <c r="G17" s="159"/>
      <c r="H17" s="159"/>
      <c r="I17" s="196"/>
      <c r="J17" s="160"/>
      <c r="K17" s="161"/>
      <c r="L17" s="161"/>
      <c r="M17" s="161"/>
      <c r="N17" s="161"/>
    </row>
    <row r="18" customFormat="false" ht="11.25" hidden="false" customHeight="true" outlineLevel="2" collapsed="false">
      <c r="C18" s="132" t="s">
        <v>711</v>
      </c>
      <c r="D18" s="132" t="s">
        <v>712</v>
      </c>
      <c r="E18" s="309"/>
      <c r="F18" s="159"/>
      <c r="G18" s="159"/>
      <c r="H18" s="159"/>
      <c r="I18" s="196"/>
      <c r="J18" s="160"/>
      <c r="K18" s="161"/>
      <c r="L18" s="161"/>
      <c r="M18" s="161"/>
      <c r="N18" s="161"/>
    </row>
    <row r="19" customFormat="false" ht="11.25" hidden="false" customHeight="true" outlineLevel="2" collapsed="false">
      <c r="C19" s="51" t="s">
        <v>234</v>
      </c>
      <c r="D19" s="51" t="s">
        <v>234</v>
      </c>
      <c r="E19" s="310" t="n">
        <v>4</v>
      </c>
      <c r="F19" s="159"/>
      <c r="G19" s="159"/>
      <c r="H19" s="159"/>
      <c r="I19" s="196"/>
      <c r="J19" s="160"/>
      <c r="K19" s="161"/>
      <c r="L19" s="161"/>
      <c r="M19" s="161"/>
      <c r="N19" s="161"/>
      <c r="Q19" s="314" t="s">
        <v>266</v>
      </c>
    </row>
    <row r="20" customFormat="false" ht="11.25" hidden="false" customHeight="true" outlineLevel="2" collapsed="false">
      <c r="C20" s="51" t="s">
        <v>235</v>
      </c>
      <c r="D20" s="51" t="s">
        <v>235</v>
      </c>
      <c r="E20" s="310" t="n">
        <v>5</v>
      </c>
      <c r="F20" s="159"/>
      <c r="G20" s="159"/>
      <c r="H20" s="159"/>
      <c r="I20" s="196"/>
      <c r="J20" s="160"/>
      <c r="K20" s="161"/>
      <c r="L20" s="161"/>
      <c r="M20" s="161"/>
      <c r="N20" s="161"/>
      <c r="Q20" s="314" t="s">
        <v>268</v>
      </c>
    </row>
    <row r="21" customFormat="false" ht="11.25" hidden="false" customHeight="true" outlineLevel="2" collapsed="false">
      <c r="C21" s="54" t="s">
        <v>236</v>
      </c>
      <c r="D21" s="54" t="s">
        <v>236</v>
      </c>
      <c r="E21" s="311" t="n">
        <v>6</v>
      </c>
      <c r="F21" s="162"/>
      <c r="G21" s="162"/>
      <c r="H21" s="162"/>
      <c r="I21" s="197"/>
      <c r="J21" s="163"/>
      <c r="K21" s="164"/>
      <c r="L21" s="164"/>
      <c r="M21" s="164"/>
      <c r="N21" s="164"/>
      <c r="Q21" s="314" t="s">
        <v>270</v>
      </c>
    </row>
    <row r="22" customFormat="false" ht="11.25" hidden="false" customHeight="true" outlineLevel="2" collapsed="false">
      <c r="C22" s="181" t="str">
        <f aca="false">C18</f>
        <v>Normalisierungsanpassungen BT</v>
      </c>
      <c r="D22" s="181" t="str">
        <f aca="false">D18</f>
        <v>BT normalization adjustments</v>
      </c>
      <c r="E22" s="181"/>
      <c r="F22" s="175" t="n">
        <f aca="false">SUM(F19:F21)</f>
        <v>0</v>
      </c>
      <c r="G22" s="175" t="n">
        <f aca="false">SUM(G19:G21)</f>
        <v>0</v>
      </c>
      <c r="H22" s="175" t="n">
        <f aca="false">SUM(H19:H21)</f>
        <v>0</v>
      </c>
      <c r="I22" s="201" t="n">
        <f aca="false">SUM(I19:I21)</f>
        <v>0</v>
      </c>
      <c r="J22" s="176" t="n">
        <f aca="false">SUM(J19:J21)</f>
        <v>0</v>
      </c>
      <c r="K22" s="177" t="n">
        <f aca="false">SUM(K19:K21)</f>
        <v>0</v>
      </c>
      <c r="L22" s="177" t="n">
        <f aca="false">SUM(L19:L21)</f>
        <v>0</v>
      </c>
      <c r="M22" s="177" t="n">
        <f aca="false">SUM(M19:M21)</f>
        <v>0</v>
      </c>
      <c r="N22" s="177" t="n">
        <f aca="false">SUM(N19:N21)</f>
        <v>0</v>
      </c>
    </row>
    <row r="23" customFormat="false" ht="11.25" hidden="false" customHeight="true" outlineLevel="2" collapsed="false">
      <c r="C23" s="171" t="s">
        <v>713</v>
      </c>
      <c r="D23" s="171" t="s">
        <v>714</v>
      </c>
      <c r="E23" s="171"/>
      <c r="F23" s="210" t="n">
        <f aca="false">F22+F16</f>
        <v>0</v>
      </c>
      <c r="G23" s="210" t="n">
        <f aca="false">G22+G16</f>
        <v>0</v>
      </c>
      <c r="H23" s="210" t="n">
        <f aca="false">H22+H16</f>
        <v>0</v>
      </c>
      <c r="I23" s="312" t="n">
        <f aca="false">I22+I16</f>
        <v>0</v>
      </c>
      <c r="J23" s="313" t="n">
        <f aca="false">J22+J16</f>
        <v>0</v>
      </c>
      <c r="K23" s="208" t="n">
        <f aca="false">K22+K16</f>
        <v>0</v>
      </c>
      <c r="L23" s="208" t="n">
        <f aca="false">L22+L16</f>
        <v>0</v>
      </c>
      <c r="M23" s="208" t="n">
        <f aca="false">M22+M16</f>
        <v>0</v>
      </c>
      <c r="N23" s="208" t="n">
        <f aca="false">N22+N16</f>
        <v>0</v>
      </c>
    </row>
    <row r="24" customFormat="false" ht="4.5" hidden="false" customHeight="true" outlineLevel="1" collapsed="false">
      <c r="C24" s="132"/>
      <c r="D24" s="132"/>
      <c r="E24" s="315"/>
      <c r="F24" s="211"/>
      <c r="G24" s="211"/>
      <c r="H24" s="211"/>
      <c r="I24" s="316"/>
      <c r="J24" s="317"/>
      <c r="K24" s="212"/>
      <c r="L24" s="212"/>
      <c r="M24" s="212"/>
      <c r="N24" s="212"/>
    </row>
    <row r="25" customFormat="false" ht="11.25" hidden="false" customHeight="true" outlineLevel="2" collapsed="false">
      <c r="C25" s="132" t="s">
        <v>715</v>
      </c>
      <c r="D25" s="132" t="s">
        <v>716</v>
      </c>
      <c r="E25" s="309"/>
      <c r="F25" s="159"/>
      <c r="G25" s="159"/>
      <c r="H25" s="159"/>
      <c r="I25" s="196"/>
      <c r="J25" s="160"/>
      <c r="K25" s="161"/>
      <c r="L25" s="161"/>
      <c r="M25" s="161"/>
      <c r="N25" s="161"/>
    </row>
    <row r="26" customFormat="false" ht="11.25" hidden="false" customHeight="true" outlineLevel="2" collapsed="false">
      <c r="C26" s="51" t="s">
        <v>234</v>
      </c>
      <c r="D26" s="51" t="s">
        <v>234</v>
      </c>
      <c r="E26" s="310" t="n">
        <v>7</v>
      </c>
      <c r="F26" s="159"/>
      <c r="G26" s="159"/>
      <c r="H26" s="159"/>
      <c r="I26" s="196"/>
      <c r="J26" s="160"/>
      <c r="K26" s="161"/>
      <c r="L26" s="161"/>
      <c r="M26" s="161"/>
      <c r="N26" s="161"/>
      <c r="Q26" s="314" t="s">
        <v>278</v>
      </c>
    </row>
    <row r="27" customFormat="false" ht="11.25" hidden="false" customHeight="true" outlineLevel="2" collapsed="false">
      <c r="C27" s="51" t="s">
        <v>235</v>
      </c>
      <c r="D27" s="51" t="s">
        <v>235</v>
      </c>
      <c r="E27" s="310" t="n">
        <v>8</v>
      </c>
      <c r="F27" s="159"/>
      <c r="G27" s="159"/>
      <c r="H27" s="159"/>
      <c r="I27" s="196"/>
      <c r="J27" s="160"/>
      <c r="K27" s="161"/>
      <c r="L27" s="161"/>
      <c r="M27" s="161"/>
      <c r="N27" s="161"/>
      <c r="Q27" s="314" t="s">
        <v>280</v>
      </c>
    </row>
    <row r="28" customFormat="false" ht="11.25" hidden="false" customHeight="true" outlineLevel="2" collapsed="false">
      <c r="C28" s="54" t="s">
        <v>236</v>
      </c>
      <c r="D28" s="54" t="s">
        <v>236</v>
      </c>
      <c r="E28" s="311" t="n">
        <v>9</v>
      </c>
      <c r="F28" s="162"/>
      <c r="G28" s="162"/>
      <c r="H28" s="162"/>
      <c r="I28" s="197"/>
      <c r="J28" s="163"/>
      <c r="K28" s="164"/>
      <c r="L28" s="164"/>
      <c r="M28" s="164"/>
      <c r="N28" s="164"/>
      <c r="Q28" s="314" t="s">
        <v>282</v>
      </c>
    </row>
    <row r="29" customFormat="false" ht="11.25" hidden="false" customHeight="true" outlineLevel="2" collapsed="false">
      <c r="C29" s="181" t="s">
        <v>715</v>
      </c>
      <c r="D29" s="181" t="str">
        <f aca="false">D25</f>
        <v>BT pro forma adjustments</v>
      </c>
      <c r="E29" s="181"/>
      <c r="F29" s="175" t="n">
        <f aca="false">SUM(F26:F28)</f>
        <v>0</v>
      </c>
      <c r="G29" s="175" t="n">
        <f aca="false">SUM(G26:G28)</f>
        <v>0</v>
      </c>
      <c r="H29" s="175" t="n">
        <f aca="false">SUM(H26:H28)</f>
        <v>0</v>
      </c>
      <c r="I29" s="201" t="n">
        <f aca="false">SUM(I26:I28)</f>
        <v>0</v>
      </c>
      <c r="J29" s="176" t="n">
        <f aca="false">SUM(J26:J28)</f>
        <v>0</v>
      </c>
      <c r="K29" s="177" t="n">
        <f aca="false">SUM(K26:K28)</f>
        <v>0</v>
      </c>
      <c r="L29" s="177" t="n">
        <f aca="false">SUM(L26:L28)</f>
        <v>0</v>
      </c>
      <c r="M29" s="177" t="n">
        <f aca="false">SUM(M26:M28)</f>
        <v>0</v>
      </c>
      <c r="N29" s="177" t="n">
        <f aca="false">SUM(N26:N28)</f>
        <v>0</v>
      </c>
    </row>
    <row r="30" customFormat="false" ht="11.25" hidden="false" customHeight="true" outlineLevel="2" collapsed="false">
      <c r="C30" s="171" t="s">
        <v>717</v>
      </c>
      <c r="D30" s="171" t="s">
        <v>718</v>
      </c>
      <c r="E30" s="171"/>
      <c r="F30" s="210" t="n">
        <f aca="false">F29+F23</f>
        <v>0</v>
      </c>
      <c r="G30" s="210" t="n">
        <f aca="false">G29+G23</f>
        <v>0</v>
      </c>
      <c r="H30" s="210" t="n">
        <f aca="false">H29+H23</f>
        <v>0</v>
      </c>
      <c r="I30" s="312" t="n">
        <f aca="false">I29+I23</f>
        <v>0</v>
      </c>
      <c r="J30" s="313" t="n">
        <f aca="false">J29+J23</f>
        <v>0</v>
      </c>
      <c r="K30" s="208" t="n">
        <f aca="false">K29+K23</f>
        <v>0</v>
      </c>
      <c r="L30" s="208" t="n">
        <f aca="false">L29+L23</f>
        <v>0</v>
      </c>
      <c r="M30" s="208" t="n">
        <f aca="false">M29+M23</f>
        <v>0</v>
      </c>
      <c r="N30" s="208" t="n">
        <f aca="false">N29+N23</f>
        <v>0</v>
      </c>
    </row>
    <row r="31" customFormat="false" ht="4.5" hidden="false" customHeight="true" outlineLevel="0" collapsed="false">
      <c r="C31" s="51"/>
      <c r="D31" s="51"/>
      <c r="E31" s="318"/>
      <c r="F31" s="159"/>
      <c r="G31" s="159"/>
      <c r="H31" s="159"/>
      <c r="I31" s="196"/>
      <c r="J31" s="160"/>
      <c r="K31" s="161"/>
      <c r="L31" s="161"/>
      <c r="M31" s="161"/>
      <c r="N31" s="161"/>
    </row>
    <row r="32" customFormat="false" ht="11.25" hidden="true" customHeight="true" outlineLevel="1" collapsed="false">
      <c r="C32" s="51" t="str">
        <f aca="false">'Lead PL'!C39</f>
        <v>Gesamtleistung</v>
      </c>
      <c r="D32" s="51" t="str">
        <f aca="false">'Lead PL'!D39</f>
        <v>Total output</v>
      </c>
      <c r="E32" s="51"/>
      <c r="F32" s="159" t="n">
        <f aca="false">'Lead PL'!F39</f>
        <v>0</v>
      </c>
      <c r="G32" s="159" t="n">
        <f aca="false">'Lead PL'!G39</f>
        <v>0</v>
      </c>
      <c r="H32" s="159" t="n">
        <f aca="false">'Lead PL'!H39</f>
        <v>0</v>
      </c>
      <c r="I32" s="196" t="n">
        <f aca="false">'Lead PL'!I39</f>
        <v>0</v>
      </c>
      <c r="J32" s="160" t="n">
        <f aca="false">'Lead PL'!J39</f>
        <v>0</v>
      </c>
      <c r="K32" s="161" t="n">
        <f aca="false">'Lead PL'!K39</f>
        <v>0</v>
      </c>
      <c r="L32" s="161" t="n">
        <f aca="false">'Lead PL'!L39</f>
        <v>0</v>
      </c>
      <c r="M32" s="161" t="n">
        <f aca="false">'Lead PL'!M39</f>
        <v>0</v>
      </c>
      <c r="N32" s="161" t="n">
        <f aca="false">'Lead PL'!N39</f>
        <v>0</v>
      </c>
    </row>
    <row r="33" customFormat="false" ht="4.5" hidden="false" customHeight="true" outlineLevel="0" collapsed="false">
      <c r="C33" s="51"/>
      <c r="D33" s="51"/>
      <c r="E33" s="318"/>
      <c r="F33" s="159"/>
      <c r="G33" s="159"/>
      <c r="H33" s="159"/>
      <c r="I33" s="196"/>
      <c r="J33" s="160"/>
      <c r="K33" s="161"/>
      <c r="L33" s="161"/>
      <c r="M33" s="161"/>
      <c r="N33" s="161"/>
    </row>
    <row r="34" customFormat="false" ht="11.25" hidden="false" customHeight="true" outlineLevel="1" collapsed="false">
      <c r="C34" s="132" t="s">
        <v>719</v>
      </c>
      <c r="D34" s="132" t="s">
        <v>719</v>
      </c>
      <c r="E34" s="318"/>
      <c r="F34" s="159"/>
      <c r="G34" s="159"/>
      <c r="H34" s="159"/>
      <c r="I34" s="196"/>
      <c r="J34" s="160"/>
      <c r="K34" s="161"/>
      <c r="L34" s="161"/>
      <c r="M34" s="161"/>
      <c r="N34" s="161"/>
    </row>
    <row r="35" customFormat="false" ht="11.25" hidden="false" customHeight="true" outlineLevel="1" collapsed="false">
      <c r="C35" s="51" t="s">
        <v>234</v>
      </c>
      <c r="D35" s="51" t="s">
        <v>234</v>
      </c>
      <c r="E35" s="318"/>
      <c r="F35" s="159"/>
      <c r="G35" s="159"/>
      <c r="H35" s="159"/>
      <c r="I35" s="196"/>
      <c r="J35" s="160"/>
      <c r="K35" s="161"/>
      <c r="L35" s="161"/>
      <c r="M35" s="161"/>
      <c r="N35" s="161"/>
      <c r="Q35" s="314" t="s">
        <v>286</v>
      </c>
    </row>
    <row r="36" customFormat="false" ht="11.25" hidden="false" customHeight="true" outlineLevel="1" collapsed="false">
      <c r="C36" s="51" t="s">
        <v>235</v>
      </c>
      <c r="D36" s="51" t="s">
        <v>235</v>
      </c>
      <c r="E36" s="318"/>
      <c r="F36" s="159"/>
      <c r="G36" s="159"/>
      <c r="H36" s="159"/>
      <c r="I36" s="196"/>
      <c r="J36" s="160"/>
      <c r="K36" s="161"/>
      <c r="L36" s="161"/>
      <c r="M36" s="161"/>
      <c r="N36" s="161"/>
      <c r="Q36" s="314" t="s">
        <v>288</v>
      </c>
    </row>
    <row r="37" customFormat="false" ht="11.25" hidden="false" customHeight="true" outlineLevel="1" collapsed="false">
      <c r="C37" s="51" t="s">
        <v>236</v>
      </c>
      <c r="D37" s="51" t="s">
        <v>236</v>
      </c>
      <c r="E37" s="318"/>
      <c r="F37" s="159"/>
      <c r="G37" s="159"/>
      <c r="H37" s="159"/>
      <c r="I37" s="196"/>
      <c r="J37" s="160"/>
      <c r="K37" s="161"/>
      <c r="L37" s="161"/>
      <c r="M37" s="161"/>
      <c r="N37" s="161"/>
      <c r="Q37" s="314" t="s">
        <v>290</v>
      </c>
    </row>
    <row r="38" s="1" customFormat="true" ht="11.25" hidden="false" customHeight="true" outlineLevel="1" collapsed="false">
      <c r="C38" s="181" t="s">
        <v>720</v>
      </c>
      <c r="D38" s="181" t="s">
        <v>720</v>
      </c>
      <c r="E38" s="319"/>
      <c r="F38" s="182" t="n">
        <f aca="false">SUM(F35:F37)</f>
        <v>0</v>
      </c>
      <c r="G38" s="182" t="n">
        <f aca="false">SUM(G35:G37)</f>
        <v>0</v>
      </c>
      <c r="H38" s="182" t="n">
        <f aca="false">SUM(H35:H37)</f>
        <v>0</v>
      </c>
      <c r="I38" s="282" t="n">
        <f aca="false">SUM(I35:I37)</f>
        <v>0</v>
      </c>
      <c r="J38" s="183" t="n">
        <f aca="false">SUM(J35:J37)</f>
        <v>0</v>
      </c>
      <c r="K38" s="184" t="n">
        <f aca="false">SUM(K35:K37)</f>
        <v>0</v>
      </c>
      <c r="L38" s="184" t="n">
        <f aca="false">SUM(L35:L37)</f>
        <v>0</v>
      </c>
      <c r="M38" s="184" t="n">
        <f aca="false">SUM(M35:M37)</f>
        <v>0</v>
      </c>
      <c r="N38" s="184" t="n">
        <f aca="false">SUM(N35:N37)</f>
        <v>0</v>
      </c>
    </row>
    <row r="39" customFormat="false" ht="11.25" hidden="false" customHeight="true" outlineLevel="1" collapsed="false">
      <c r="C39" s="51"/>
      <c r="D39" s="51"/>
      <c r="E39" s="318"/>
      <c r="F39" s="159"/>
      <c r="G39" s="159"/>
      <c r="H39" s="159"/>
      <c r="I39" s="196"/>
      <c r="J39" s="160"/>
      <c r="K39" s="161"/>
      <c r="L39" s="161"/>
      <c r="M39" s="161"/>
      <c r="N39" s="161"/>
    </row>
    <row r="40" customFormat="false" ht="11.25" hidden="false" customHeight="true" outlineLevel="0" collapsed="false">
      <c r="C40" s="132" t="str">
        <f aca="false">"in % der "&amp;C32</f>
        <v>in % der Gesamtleistung</v>
      </c>
      <c r="D40" s="132" t="str">
        <f aca="false">"in % of "&amp;D32</f>
        <v>in % of Total output</v>
      </c>
      <c r="E40" s="320"/>
      <c r="F40" s="57"/>
      <c r="G40" s="57"/>
      <c r="H40" s="57"/>
      <c r="I40" s="141"/>
      <c r="J40" s="142"/>
      <c r="K40" s="139"/>
      <c r="L40" s="139"/>
      <c r="M40" s="139"/>
      <c r="N40" s="139"/>
    </row>
    <row r="41" customFormat="false" ht="11.25" hidden="false" customHeight="true" outlineLevel="0" collapsed="false">
      <c r="C41" s="51" t="str">
        <f aca="false">C9</f>
        <v>Reported EBITDA</v>
      </c>
      <c r="D41" s="51" t="str">
        <f aca="false">D9</f>
        <v>Reported EBITDA</v>
      </c>
      <c r="E41" s="51"/>
      <c r="F41" s="57" t="str">
        <f aca="false">IFERROR(F9/F$32,"n/a")</f>
        <v>n/a</v>
      </c>
      <c r="G41" s="57" t="str">
        <f aca="false">IFERROR(G9/G$32,"n/a")</f>
        <v>n/a</v>
      </c>
      <c r="H41" s="57" t="str">
        <f aca="false">IFERROR(H9/H$32,"n/a")</f>
        <v>n/a</v>
      </c>
      <c r="I41" s="141" t="str">
        <f aca="false">IFERROR(I9/I$32,"n/a")</f>
        <v>n/a</v>
      </c>
      <c r="J41" s="142" t="str">
        <f aca="false">IFERROR(J9/J$32,"n/a")</f>
        <v>n/a</v>
      </c>
      <c r="K41" s="139" t="str">
        <f aca="false">IFERROR(K9/K$32,"n/a")</f>
        <v>n/a</v>
      </c>
      <c r="L41" s="139" t="str">
        <f aca="false">IFERROR(L9/L$32,"n/a")</f>
        <v>n/a</v>
      </c>
      <c r="M41" s="139" t="str">
        <f aca="false">IFERROR(M9/M$32,"n/a")</f>
        <v>n/a</v>
      </c>
      <c r="N41" s="139" t="str">
        <f aca="false">IFERROR(N9/N$32,"n/a")</f>
        <v>n/a</v>
      </c>
    </row>
    <row r="42" customFormat="false" ht="11.25" hidden="false" customHeight="true" outlineLevel="0" collapsed="false">
      <c r="C42" s="51" t="str">
        <f aca="false">C16</f>
        <v>Management normalisiertes EBITDA</v>
      </c>
      <c r="D42" s="51" t="str">
        <f aca="false">D16</f>
        <v>Management normalized EBITDA</v>
      </c>
      <c r="E42" s="51"/>
      <c r="F42" s="57" t="str">
        <f aca="false">IFERROR(F16/F$32,"n/a")</f>
        <v>n/a</v>
      </c>
      <c r="G42" s="57" t="str">
        <f aca="false">IFERROR(G16/G$32,"n/a")</f>
        <v>n/a</v>
      </c>
      <c r="H42" s="57" t="str">
        <f aca="false">IFERROR(H16/H$32,"n/a")</f>
        <v>n/a</v>
      </c>
      <c r="I42" s="141" t="str">
        <f aca="false">IFERROR(I16/I$32,"n/a")</f>
        <v>n/a</v>
      </c>
      <c r="J42" s="142" t="str">
        <f aca="false">IFERROR(J16/J$32,"n/a")</f>
        <v>n/a</v>
      </c>
      <c r="K42" s="139" t="str">
        <f aca="false">IFERROR(K16/K$32,"n/a")</f>
        <v>n/a</v>
      </c>
      <c r="L42" s="139" t="str">
        <f aca="false">IFERROR(L16/L$32,"n/a")</f>
        <v>n/a</v>
      </c>
      <c r="M42" s="139" t="str">
        <f aca="false">IFERROR(M16/M$32,"n/a")</f>
        <v>n/a</v>
      </c>
      <c r="N42" s="139" t="str">
        <f aca="false">IFERROR(N16/N$32,"n/a")</f>
        <v>n/a</v>
      </c>
    </row>
    <row r="43" customFormat="false" ht="11.25" hidden="false" customHeight="true" outlineLevel="0" collapsed="false">
      <c r="C43" s="51" t="str">
        <f aca="false">C23</f>
        <v>BT normalisiertes EBITDA I</v>
      </c>
      <c r="D43" s="51" t="str">
        <f aca="false">D23</f>
        <v>BT normalized EBITDA I</v>
      </c>
      <c r="E43" s="51"/>
      <c r="F43" s="57" t="str">
        <f aca="false">IFERROR(F23/F$32,"n/a")</f>
        <v>n/a</v>
      </c>
      <c r="G43" s="57" t="str">
        <f aca="false">IFERROR(G23/G$32,"n/a")</f>
        <v>n/a</v>
      </c>
      <c r="H43" s="57" t="str">
        <f aca="false">IFERROR(H23/H$32,"n/a")</f>
        <v>n/a</v>
      </c>
      <c r="I43" s="141" t="str">
        <f aca="false">IFERROR(I23/I$32,"n/a")</f>
        <v>n/a</v>
      </c>
      <c r="J43" s="142" t="str">
        <f aca="false">IFERROR(J23/J$32,"n/a")</f>
        <v>n/a</v>
      </c>
      <c r="K43" s="139" t="str">
        <f aca="false">IFERROR(K23/K$32,"n/a")</f>
        <v>n/a</v>
      </c>
      <c r="L43" s="139" t="str">
        <f aca="false">IFERROR(L23/L$32,"n/a")</f>
        <v>n/a</v>
      </c>
      <c r="M43" s="139" t="str">
        <f aca="false">IFERROR(M23/M$32,"n/a")</f>
        <v>n/a</v>
      </c>
      <c r="N43" s="139" t="str">
        <f aca="false">IFERROR(N23/N$32,"n/a")</f>
        <v>n/a</v>
      </c>
    </row>
    <row r="44" customFormat="false" ht="11.25" hidden="false" customHeight="true" outlineLevel="0" collapsed="false">
      <c r="C44" s="51" t="str">
        <f aca="false">C30</f>
        <v>BT normalisiertes EBITDA II</v>
      </c>
      <c r="D44" s="51" t="str">
        <f aca="false">D30</f>
        <v>BT normalized EBITDA II</v>
      </c>
      <c r="E44" s="51"/>
      <c r="F44" s="57" t="str">
        <f aca="false">IFERROR(F30/F$32,"n/a")</f>
        <v>n/a</v>
      </c>
      <c r="G44" s="57" t="str">
        <f aca="false">IFERROR(G30/G$32,"n/a")</f>
        <v>n/a</v>
      </c>
      <c r="H44" s="57" t="str">
        <f aca="false">IFERROR(H30/H$32,"n/a")</f>
        <v>n/a</v>
      </c>
      <c r="I44" s="141" t="str">
        <f aca="false">IFERROR(I30/I$32,"n/a")</f>
        <v>n/a</v>
      </c>
      <c r="J44" s="142" t="str">
        <f aca="false">IFERROR(J30/J$32,"n/a")</f>
        <v>n/a</v>
      </c>
      <c r="K44" s="139" t="str">
        <f aca="false">IFERROR(K30/K$32,"n/a")</f>
        <v>n/a</v>
      </c>
      <c r="L44" s="139" t="str">
        <f aca="false">IFERROR(L30/L$32,"n/a")</f>
        <v>n/a</v>
      </c>
      <c r="M44" s="139" t="str">
        <f aca="false">IFERROR(M30/M$32,"n/a")</f>
        <v>n/a</v>
      </c>
      <c r="N44" s="139" t="str">
        <f aca="false">IFERROR(N30/N$32,"n/a")</f>
        <v>n/a</v>
      </c>
    </row>
    <row r="45" customFormat="false" ht="4.5" hidden="false" customHeight="true" outlineLevel="0" collapsed="false">
      <c r="C45" s="51"/>
      <c r="D45" s="51"/>
      <c r="E45" s="51"/>
      <c r="F45" s="57"/>
      <c r="G45" s="57"/>
      <c r="H45" s="57"/>
      <c r="I45" s="141"/>
      <c r="J45" s="142"/>
      <c r="K45" s="139"/>
      <c r="L45" s="139"/>
      <c r="M45" s="139"/>
      <c r="N45" s="139"/>
    </row>
    <row r="46" customFormat="false" ht="11.25" hidden="false" customHeight="true" outlineLevel="0" collapsed="false">
      <c r="C46" s="54" t="str">
        <f aca="false">"Quelle: "&amp;Cockpit!$C$7</f>
        <v>Quelle: Datenraum/ eigene Analysen</v>
      </c>
      <c r="D46" s="54" t="str">
        <f aca="false">"Source: "&amp;Cockpit!$C$8</f>
        <v>Source: Virtual Data Room/ Company Information</v>
      </c>
      <c r="E46" s="54"/>
      <c r="F46" s="55"/>
      <c r="G46" s="55"/>
      <c r="H46" s="55"/>
      <c r="I46" s="56"/>
      <c r="J46" s="56"/>
      <c r="K46" s="279"/>
      <c r="L46" s="279"/>
      <c r="M46" s="279"/>
      <c r="N46" s="279"/>
    </row>
    <row r="49" customFormat="false" ht="11.25" hidden="false" customHeight="true" outlineLevel="0" collapsed="false">
      <c r="C49" s="151" t="s">
        <v>721</v>
      </c>
      <c r="D49" s="151" t="s">
        <v>721</v>
      </c>
      <c r="E49" s="321"/>
      <c r="F49" s="152" t="n">
        <f aca="false">'Lead PL'!F146</f>
        <v>0</v>
      </c>
      <c r="G49" s="152" t="n">
        <f aca="false">'Lead PL'!G146</f>
        <v>0</v>
      </c>
      <c r="H49" s="152" t="n">
        <f aca="false">'Lead PL'!H146</f>
        <v>0</v>
      </c>
      <c r="I49" s="152" t="n">
        <f aca="false">'Lead PL'!I146</f>
        <v>0</v>
      </c>
      <c r="J49" s="152" t="n">
        <f aca="false">'Lead PL'!J146</f>
        <v>0</v>
      </c>
      <c r="K49" s="152" t="n">
        <f aca="false">'Lead PL'!K146</f>
        <v>0</v>
      </c>
      <c r="L49" s="152" t="n">
        <f aca="false">'Lead PL'!L146</f>
        <v>0</v>
      </c>
      <c r="M49" s="152" t="n">
        <f aca="false">'Lead PL'!M146</f>
        <v>0</v>
      </c>
      <c r="N49" s="152" t="n">
        <f aca="false">'Lead PL'!N146</f>
        <v>0</v>
      </c>
    </row>
    <row r="50" customFormat="false" ht="11.25" hidden="false" customHeight="true" outlineLevel="0" collapsed="false">
      <c r="C50" s="153" t="s">
        <v>245</v>
      </c>
      <c r="D50" s="154" t="s">
        <v>245</v>
      </c>
      <c r="E50" s="322"/>
      <c r="F50" s="218" t="n">
        <f aca="false">F49-F9</f>
        <v>0</v>
      </c>
      <c r="G50" s="218" t="n">
        <f aca="false">G49-G9</f>
        <v>0</v>
      </c>
      <c r="H50" s="218" t="n">
        <f aca="false">H49-H9</f>
        <v>0</v>
      </c>
      <c r="I50" s="218" t="n">
        <f aca="false">I49-I9</f>
        <v>0</v>
      </c>
      <c r="J50" s="218" t="n">
        <f aca="false">J49-J9</f>
        <v>0</v>
      </c>
      <c r="K50" s="218" t="n">
        <f aca="false">K49-K9</f>
        <v>0</v>
      </c>
      <c r="L50" s="218" t="n">
        <f aca="false">L49-L9</f>
        <v>0</v>
      </c>
      <c r="M50" s="218" t="n">
        <f aca="false">M49-M9</f>
        <v>0</v>
      </c>
      <c r="N50" s="218" t="n">
        <f aca="false">N49-N9</f>
        <v>0</v>
      </c>
    </row>
  </sheetData>
  <conditionalFormatting sqref="F50:N50">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57"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00390625" defaultRowHeight="12" zeroHeight="false" outlineLevelRow="0" outlineLevelCol="0"/>
  <cols>
    <col collapsed="false" customWidth="false" hidden="false" outlineLevel="0" max="16384" min="1" style="1" width="11"/>
  </cols>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1:I36"/>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F6" activeCellId="0" sqref="F6"/>
    </sheetView>
  </sheetViews>
  <sheetFormatPr defaultColWidth="11.2890625" defaultRowHeight="12" zeroHeight="false" outlineLevelRow="3" outlineLevelCol="2"/>
  <cols>
    <col collapsed="false" customWidth="false" hidden="false" outlineLevel="0" max="1" min="1" style="1" width="11.29"/>
    <col collapsed="false" customWidth="true" hidden="false" outlineLevel="2" max="2" min="2" style="1" width="0.86"/>
    <col collapsed="false" customWidth="true" hidden="false" outlineLevel="2" max="3" min="3" style="1" width="35.57"/>
    <col collapsed="false" customWidth="true" hidden="false" outlineLevel="0" max="4" min="4" style="1" width="35.57"/>
    <col collapsed="false" customWidth="true" hidden="false" outlineLevel="0" max="9" min="5" style="1" width="10.42"/>
    <col collapsed="false" customWidth="true" hidden="true" outlineLevel="2" max="10" min="10" style="1" width="0.86"/>
    <col collapsed="false" customWidth="false" hidden="false" outlineLevel="0" max="16384" min="11" style="1" width="11.29"/>
  </cols>
  <sheetData>
    <row r="1" customFormat="false" ht="12" hidden="true" customHeight="true" outlineLevel="3" collapsed="false"/>
    <row r="4" customFormat="false" ht="11.25" hidden="true" customHeight="true" outlineLevel="3" collapsed="false">
      <c r="C4" s="220" t="str">
        <f aca="false">Cockpit!$C$4</f>
        <v>Template</v>
      </c>
      <c r="D4" s="221"/>
      <c r="E4" s="221"/>
      <c r="F4" s="225" t="n">
        <f aca="false">Cockpit!D39</f>
        <v>44926</v>
      </c>
      <c r="G4" s="225" t="n">
        <f aca="false">Cockpit!E39</f>
        <v>45291</v>
      </c>
      <c r="H4" s="225" t="n">
        <f aca="false">Cockpit!F39</f>
        <v>45657</v>
      </c>
      <c r="I4" s="225" t="n">
        <f aca="false">Cockpit!G39</f>
        <v>45808</v>
      </c>
    </row>
    <row r="5" customFormat="false" ht="11.25" hidden="true" customHeight="true" outlineLevel="3" collapsed="false">
      <c r="C5" s="220" t="str">
        <f aca="false">"in T"&amp;Cockpit!$C$5</f>
        <v>in TEUR</v>
      </c>
      <c r="D5" s="221"/>
      <c r="E5" s="221"/>
      <c r="F5" s="225" t="s">
        <v>21</v>
      </c>
      <c r="G5" s="225" t="s">
        <v>21</v>
      </c>
      <c r="H5" s="225" t="s">
        <v>21</v>
      </c>
      <c r="I5" s="225" t="s">
        <v>21</v>
      </c>
    </row>
    <row r="6" customFormat="false" ht="11.25" hidden="false" customHeight="true" outlineLevel="0" collapsed="false">
      <c r="C6" s="227"/>
      <c r="D6" s="228" t="str">
        <f aca="false">Cockpit!$C$4</f>
        <v>Template</v>
      </c>
      <c r="E6" s="228"/>
      <c r="F6" s="293" t="n">
        <f aca="false">Cockpit!D39</f>
        <v>44926</v>
      </c>
      <c r="G6" s="293" t="n">
        <f aca="false">Cockpit!E39</f>
        <v>45291</v>
      </c>
      <c r="H6" s="293" t="n">
        <f aca="false">Cockpit!F39</f>
        <v>45657</v>
      </c>
      <c r="I6" s="293" t="n">
        <f aca="false">Cockpit!G39</f>
        <v>45808</v>
      </c>
    </row>
    <row r="7" customFormat="false" ht="11.25" hidden="false" customHeight="true" outlineLevel="0" collapsed="false">
      <c r="C7" s="227"/>
      <c r="D7" s="228" t="str">
        <f aca="false">"in k"&amp;Cockpit!$C$5</f>
        <v>in kEUR</v>
      </c>
      <c r="E7" s="228"/>
      <c r="F7" s="293" t="str">
        <f aca="false">Cockpit!D40</f>
        <v>IST</v>
      </c>
      <c r="G7" s="293" t="str">
        <f aca="false">Cockpit!E40</f>
        <v>IST</v>
      </c>
      <c r="H7" s="293" t="str">
        <f aca="false">Cockpit!F40</f>
        <v>IST</v>
      </c>
      <c r="I7" s="293" t="str">
        <f aca="false">Cockpit!G40</f>
        <v>IST</v>
      </c>
    </row>
    <row r="8" customFormat="false" ht="4.5" hidden="false" customHeight="true" outlineLevel="0" collapsed="false">
      <c r="C8" s="157"/>
      <c r="D8" s="158"/>
      <c r="E8" s="158"/>
      <c r="F8" s="157"/>
      <c r="G8" s="157"/>
      <c r="H8" s="157"/>
      <c r="I8" s="157"/>
    </row>
    <row r="9" customFormat="false" ht="11.25" hidden="false" customHeight="true" outlineLevel="0" collapsed="false">
      <c r="C9" s="51" t="s">
        <v>722</v>
      </c>
      <c r="D9" s="51" t="s">
        <v>723</v>
      </c>
      <c r="E9" s="51"/>
      <c r="F9" s="159"/>
      <c r="G9" s="159"/>
      <c r="H9" s="159"/>
      <c r="I9" s="160"/>
    </row>
    <row r="10" customFormat="false" ht="11.25" hidden="false" customHeight="true" outlineLevel="0" collapsed="false">
      <c r="C10" s="51" t="s">
        <v>724</v>
      </c>
      <c r="D10" s="51" t="s">
        <v>725</v>
      </c>
      <c r="E10" s="51"/>
      <c r="F10" s="159"/>
      <c r="G10" s="159"/>
      <c r="H10" s="159"/>
      <c r="I10" s="160"/>
    </row>
    <row r="11" customFormat="false" ht="11.25" hidden="false" customHeight="true" outlineLevel="0" collapsed="false">
      <c r="C11" s="51" t="s">
        <v>726</v>
      </c>
      <c r="D11" s="51" t="s">
        <v>727</v>
      </c>
      <c r="E11" s="51"/>
      <c r="F11" s="159"/>
      <c r="G11" s="159"/>
      <c r="H11" s="159"/>
      <c r="I11" s="160"/>
    </row>
    <row r="12" customFormat="false" ht="11.25" hidden="false" customHeight="true" outlineLevel="0" collapsed="false">
      <c r="C12" s="51" t="s">
        <v>728</v>
      </c>
      <c r="D12" s="51" t="s">
        <v>729</v>
      </c>
      <c r="E12" s="51"/>
      <c r="F12" s="159"/>
      <c r="G12" s="159"/>
      <c r="H12" s="159"/>
      <c r="I12" s="160"/>
    </row>
    <row r="13" customFormat="false" ht="11.25" hidden="false" customHeight="true" outlineLevel="0" collapsed="false">
      <c r="C13" s="54" t="s">
        <v>730</v>
      </c>
      <c r="D13" s="54" t="s">
        <v>731</v>
      </c>
      <c r="E13" s="54"/>
      <c r="F13" s="162"/>
      <c r="G13" s="162"/>
      <c r="H13" s="162"/>
      <c r="I13" s="163"/>
    </row>
    <row r="14" customFormat="false" ht="11.25" hidden="false" customHeight="true" outlineLevel="0" collapsed="false">
      <c r="C14" s="132" t="s">
        <v>732</v>
      </c>
      <c r="D14" s="132" t="s">
        <v>733</v>
      </c>
      <c r="E14" s="132"/>
      <c r="F14" s="178" t="n">
        <f aca="false">SUM(F9:F13)</f>
        <v>0</v>
      </c>
      <c r="G14" s="178" t="n">
        <f aca="false">SUM(G9:G13)</f>
        <v>0</v>
      </c>
      <c r="H14" s="178" t="n">
        <f aca="false">SUM(H9:H13)</f>
        <v>0</v>
      </c>
      <c r="I14" s="179" t="n">
        <f aca="false">SUM(I9:I13)</f>
        <v>0</v>
      </c>
    </row>
    <row r="15" customFormat="false" ht="4.5" hidden="false" customHeight="true" outlineLevel="0" collapsed="false">
      <c r="C15" s="132"/>
      <c r="D15" s="132"/>
      <c r="E15" s="132"/>
      <c r="F15" s="178"/>
      <c r="G15" s="178"/>
      <c r="H15" s="178"/>
      <c r="I15" s="179"/>
    </row>
    <row r="16" customFormat="false" ht="11.25" hidden="false" customHeight="true" outlineLevel="1" collapsed="false">
      <c r="C16" s="132" t="s">
        <v>734</v>
      </c>
      <c r="D16" s="132" t="s">
        <v>735</v>
      </c>
      <c r="E16" s="132"/>
      <c r="F16" s="178"/>
      <c r="G16" s="178"/>
      <c r="H16" s="178"/>
      <c r="I16" s="179"/>
    </row>
    <row r="17" customFormat="false" ht="11.25" hidden="false" customHeight="true" outlineLevel="1" collapsed="false">
      <c r="C17" s="51" t="s">
        <v>736</v>
      </c>
      <c r="D17" s="51" t="s">
        <v>737</v>
      </c>
      <c r="E17" s="51"/>
      <c r="F17" s="159"/>
      <c r="G17" s="159"/>
      <c r="H17" s="159"/>
      <c r="I17" s="160"/>
    </row>
    <row r="18" customFormat="false" ht="11.25" hidden="false" customHeight="true" outlineLevel="1" collapsed="false">
      <c r="C18" s="54" t="s">
        <v>738</v>
      </c>
      <c r="D18" s="54" t="s">
        <v>739</v>
      </c>
      <c r="E18" s="54"/>
      <c r="F18" s="162"/>
      <c r="G18" s="162"/>
      <c r="H18" s="162"/>
      <c r="I18" s="163"/>
    </row>
    <row r="19" customFormat="false" ht="11.25" hidden="false" customHeight="true" outlineLevel="1" collapsed="false">
      <c r="C19" s="171" t="str">
        <f aca="false">'Lead NA'!C49</f>
        <v>Forderungen aus LuL</v>
      </c>
      <c r="D19" s="171" t="str">
        <f aca="false">'Lead NA'!D49</f>
        <v>Trade receivables</v>
      </c>
      <c r="E19" s="171"/>
      <c r="F19" s="210" t="n">
        <f aca="false">SUM(F14:F18)</f>
        <v>0</v>
      </c>
      <c r="G19" s="210" t="n">
        <f aca="false">SUM(G14:G18)</f>
        <v>0</v>
      </c>
      <c r="H19" s="210" t="n">
        <f aca="false">SUM(H14:H18)</f>
        <v>0</v>
      </c>
      <c r="I19" s="313" t="n">
        <f aca="false">SUM(I14:I18)</f>
        <v>0</v>
      </c>
    </row>
    <row r="20" customFormat="false" ht="4.5" hidden="false" customHeight="true" outlineLevel="1" collapsed="false">
      <c r="C20" s="51"/>
      <c r="D20" s="51"/>
      <c r="E20" s="51"/>
      <c r="F20" s="159"/>
      <c r="G20" s="159"/>
      <c r="H20" s="159"/>
      <c r="I20" s="160"/>
    </row>
    <row r="21" customFormat="false" ht="11.25" hidden="false" customHeight="true" outlineLevel="0" collapsed="false">
      <c r="C21" s="132" t="s">
        <v>740</v>
      </c>
      <c r="D21" s="132" t="s">
        <v>741</v>
      </c>
      <c r="E21" s="132"/>
      <c r="F21" s="159"/>
      <c r="G21" s="159"/>
      <c r="H21" s="159"/>
      <c r="I21" s="160"/>
    </row>
    <row r="22" customFormat="false" ht="11.25" hidden="false" customHeight="true" outlineLevel="0" collapsed="false">
      <c r="C22" s="51" t="s">
        <v>722</v>
      </c>
      <c r="D22" s="51" t="s">
        <v>723</v>
      </c>
      <c r="E22" s="51"/>
      <c r="F22" s="57" t="str">
        <f aca="false">IFERROR(F9/F$19,"n/a")</f>
        <v>n/a</v>
      </c>
      <c r="G22" s="57" t="str">
        <f aca="false">IFERROR(G9/G$19,"n/a")</f>
        <v>n/a</v>
      </c>
      <c r="H22" s="57" t="str">
        <f aca="false">IFERROR(H9/H$19,"n/a")</f>
        <v>n/a</v>
      </c>
      <c r="I22" s="142" t="str">
        <f aca="false">IFERROR(I9/I$19,"n/a")</f>
        <v>n/a</v>
      </c>
    </row>
    <row r="23" customFormat="false" ht="11.25" hidden="false" customHeight="true" outlineLevel="0" collapsed="false">
      <c r="C23" s="51" t="s">
        <v>724</v>
      </c>
      <c r="D23" s="51" t="s">
        <v>725</v>
      </c>
      <c r="E23" s="51"/>
      <c r="F23" s="57" t="str">
        <f aca="false">IFERROR(F10/F$19,"n/a")</f>
        <v>n/a</v>
      </c>
      <c r="G23" s="57" t="str">
        <f aca="false">IFERROR(G10/G$19,"n/a")</f>
        <v>n/a</v>
      </c>
      <c r="H23" s="57" t="str">
        <f aca="false">IFERROR(H10/H$19,"n/a")</f>
        <v>n/a</v>
      </c>
      <c r="I23" s="142" t="str">
        <f aca="false">IFERROR(I10/I$19,"n/a")</f>
        <v>n/a</v>
      </c>
    </row>
    <row r="24" customFormat="false" ht="11.25" hidden="false" customHeight="true" outlineLevel="0" collapsed="false">
      <c r="C24" s="51" t="s">
        <v>726</v>
      </c>
      <c r="D24" s="51" t="s">
        <v>727</v>
      </c>
      <c r="E24" s="51"/>
      <c r="F24" s="57" t="str">
        <f aca="false">IFERROR(F11/F$19,"n/a")</f>
        <v>n/a</v>
      </c>
      <c r="G24" s="57" t="str">
        <f aca="false">IFERROR(G11/G$19,"n/a")</f>
        <v>n/a</v>
      </c>
      <c r="H24" s="57" t="str">
        <f aca="false">IFERROR(H11/H$19,"n/a")</f>
        <v>n/a</v>
      </c>
      <c r="I24" s="142" t="str">
        <f aca="false">IFERROR(I11/I$19,"n/a")</f>
        <v>n/a</v>
      </c>
    </row>
    <row r="25" customFormat="false" ht="11.25" hidden="false" customHeight="true" outlineLevel="0" collapsed="false">
      <c r="C25" s="51" t="s">
        <v>728</v>
      </c>
      <c r="D25" s="51" t="s">
        <v>729</v>
      </c>
      <c r="E25" s="51"/>
      <c r="F25" s="57" t="str">
        <f aca="false">IFERROR(F12/F$19,"n/a")</f>
        <v>n/a</v>
      </c>
      <c r="G25" s="57" t="str">
        <f aca="false">IFERROR(G12/G$19,"n/a")</f>
        <v>n/a</v>
      </c>
      <c r="H25" s="57" t="str">
        <f aca="false">IFERROR(H12/H$19,"n/a")</f>
        <v>n/a</v>
      </c>
      <c r="I25" s="142" t="str">
        <f aca="false">IFERROR(I12/I$19,"n/a")</f>
        <v>n/a</v>
      </c>
    </row>
    <row r="26" customFormat="false" ht="11.25" hidden="false" customHeight="true" outlineLevel="0" collapsed="false">
      <c r="C26" s="54" t="s">
        <v>730</v>
      </c>
      <c r="D26" s="54" t="s">
        <v>731</v>
      </c>
      <c r="E26" s="54"/>
      <c r="F26" s="55" t="str">
        <f aca="false">IFERROR(F13/F$19,"n/a")</f>
        <v>n/a</v>
      </c>
      <c r="G26" s="55" t="str">
        <f aca="false">IFERROR(G13/G$19,"n/a")</f>
        <v>n/a</v>
      </c>
      <c r="H26" s="55" t="str">
        <f aca="false">IFERROR(H13/H$19,"n/a")</f>
        <v>n/a</v>
      </c>
      <c r="I26" s="323" t="str">
        <f aca="false">IFERROR(I13/I$19,"n/a")</f>
        <v>n/a</v>
      </c>
    </row>
    <row r="27" customFormat="false" ht="11.25" hidden="false" customHeight="true" outlineLevel="0" collapsed="false">
      <c r="C27" s="132" t="s">
        <v>732</v>
      </c>
      <c r="D27" s="132" t="s">
        <v>733</v>
      </c>
      <c r="E27" s="132"/>
      <c r="F27" s="324" t="str">
        <f aca="false">IFERROR(F14/F$19,"n/a")</f>
        <v>n/a</v>
      </c>
      <c r="G27" s="324" t="str">
        <f aca="false">IFERROR(G14/G$19,"n/a")</f>
        <v>n/a</v>
      </c>
      <c r="H27" s="324" t="str">
        <f aca="false">IFERROR(H14/H$19,"n/a")</f>
        <v>n/a</v>
      </c>
      <c r="I27" s="325" t="str">
        <f aca="false">IFERROR(I14/I$19,"n/a")</f>
        <v>n/a</v>
      </c>
    </row>
    <row r="28" customFormat="false" ht="4.5" hidden="false" customHeight="true" outlineLevel="0" collapsed="false">
      <c r="C28" s="51"/>
      <c r="D28" s="51"/>
      <c r="E28" s="51"/>
      <c r="F28" s="159"/>
      <c r="G28" s="159"/>
      <c r="H28" s="159"/>
      <c r="I28" s="160"/>
    </row>
    <row r="29" customFormat="false" ht="11.25" hidden="false" customHeight="true" outlineLevel="1" collapsed="false">
      <c r="C29" s="51" t="s">
        <v>736</v>
      </c>
      <c r="D29" s="51" t="s">
        <v>737</v>
      </c>
      <c r="E29" s="51"/>
      <c r="F29" s="57" t="str">
        <f aca="false">IFERROR(F17/F$19,"n/a")</f>
        <v>n/a</v>
      </c>
      <c r="G29" s="57" t="str">
        <f aca="false">IFERROR(G17/G$19,"n/a")</f>
        <v>n/a</v>
      </c>
      <c r="H29" s="57" t="str">
        <f aca="false">IFERROR(H17/H$19,"n/a")</f>
        <v>n/a</v>
      </c>
      <c r="I29" s="142" t="str">
        <f aca="false">IFERROR(I17/I$19,"n/a")</f>
        <v>n/a</v>
      </c>
    </row>
    <row r="30" customFormat="false" ht="11.25" hidden="false" customHeight="true" outlineLevel="1" collapsed="false">
      <c r="C30" s="51" t="s">
        <v>738</v>
      </c>
      <c r="D30" s="51" t="s">
        <v>739</v>
      </c>
      <c r="E30" s="51"/>
      <c r="F30" s="57" t="str">
        <f aca="false">IFERROR(F18/F$19,"n/a")</f>
        <v>n/a</v>
      </c>
      <c r="G30" s="57" t="str">
        <f aca="false">IFERROR(G18/G$19,"n/a")</f>
        <v>n/a</v>
      </c>
      <c r="H30" s="57" t="str">
        <f aca="false">IFERROR(H18/H$19,"n/a")</f>
        <v>n/a</v>
      </c>
      <c r="I30" s="142" t="str">
        <f aca="false">IFERROR(I18/I$19,"n/a")</f>
        <v>n/a</v>
      </c>
    </row>
    <row r="31" customFormat="false" ht="4.5" hidden="false" customHeight="true" outlineLevel="1" collapsed="false">
      <c r="C31" s="51"/>
      <c r="D31" s="51"/>
      <c r="E31" s="51"/>
      <c r="F31" s="159"/>
      <c r="G31" s="159"/>
      <c r="H31" s="159"/>
      <c r="I31" s="160"/>
    </row>
    <row r="32" customFormat="false" ht="11.25" hidden="false" customHeight="true" outlineLevel="0" collapsed="false">
      <c r="C32" s="54" t="str">
        <f aca="false">"Quelle: "&amp;Cockpit!$C$7</f>
        <v>Quelle: Datenraum/ eigene Analysen</v>
      </c>
      <c r="D32" s="54" t="str">
        <f aca="false">"Source: "&amp;Cockpit!$C$8</f>
        <v>Source: Virtual Data Room/ Company Information</v>
      </c>
      <c r="E32" s="54"/>
      <c r="F32" s="162"/>
      <c r="G32" s="162"/>
      <c r="H32" s="162"/>
      <c r="I32" s="326"/>
    </row>
    <row r="35" customFormat="false" ht="12" hidden="false" customHeight="true" outlineLevel="0" collapsed="false">
      <c r="C35" s="151" t="s">
        <v>742</v>
      </c>
      <c r="D35" s="151" t="s">
        <v>743</v>
      </c>
      <c r="E35" s="151"/>
      <c r="F35" s="152" t="n">
        <f aca="false">'Lead NA'!F49</f>
        <v>0</v>
      </c>
      <c r="G35" s="152" t="n">
        <f aca="false">'Lead NA'!G49</f>
        <v>0</v>
      </c>
      <c r="H35" s="152" t="n">
        <f aca="false">'Lead NA'!H49</f>
        <v>0</v>
      </c>
      <c r="I35" s="152" t="n">
        <f aca="false">'Lead NA'!I49</f>
        <v>0</v>
      </c>
    </row>
    <row r="36" customFormat="false" ht="12" hidden="false" customHeight="true" outlineLevel="0" collapsed="false">
      <c r="C36" s="153" t="s">
        <v>245</v>
      </c>
      <c r="D36" s="154" t="s">
        <v>245</v>
      </c>
      <c r="E36" s="153"/>
      <c r="F36" s="155" t="n">
        <f aca="false">F35-F19</f>
        <v>0</v>
      </c>
      <c r="G36" s="155" t="n">
        <f aca="false">G35-G19</f>
        <v>0</v>
      </c>
      <c r="H36" s="155" t="n">
        <f aca="false">H35-H19</f>
        <v>0</v>
      </c>
      <c r="I36" s="155" t="n">
        <f aca="false">I35-I19</f>
        <v>0</v>
      </c>
    </row>
  </sheetData>
  <conditionalFormatting sqref="F36:I36">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6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1:I34"/>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I35" activeCellId="0" sqref="I35"/>
    </sheetView>
  </sheetViews>
  <sheetFormatPr defaultColWidth="11.2890625" defaultRowHeight="12" zeroHeight="false" outlineLevelRow="3" outlineLevelCol="2"/>
  <cols>
    <col collapsed="false" customWidth="false" hidden="false" outlineLevel="0" max="1" min="1" style="1" width="11.29"/>
    <col collapsed="false" customWidth="true" hidden="true" outlineLevel="2" max="2" min="2" style="1" width="0.86"/>
    <col collapsed="false" customWidth="true" hidden="true" outlineLevel="2" max="3" min="3" style="1" width="35.57"/>
    <col collapsed="false" customWidth="true" hidden="false" outlineLevel="0" max="4" min="4" style="1" width="35.57"/>
    <col collapsed="false" customWidth="true" hidden="false" outlineLevel="0" max="9" min="5" style="1" width="10.42"/>
    <col collapsed="false" customWidth="true" hidden="true" outlineLevel="2" max="10" min="10" style="1" width="0.86"/>
    <col collapsed="false" customWidth="false" hidden="false" outlineLevel="0" max="16384" min="11" style="1" width="11.29"/>
  </cols>
  <sheetData>
    <row r="1" customFormat="false" ht="12" hidden="true" customHeight="true" outlineLevel="3" collapsed="false"/>
    <row r="4" customFormat="false" ht="11.25" hidden="true" customHeight="true" outlineLevel="3" collapsed="false">
      <c r="C4" s="220" t="str">
        <f aca="false">Cockpit!$C$4</f>
        <v>Template</v>
      </c>
      <c r="D4" s="221"/>
      <c r="E4" s="221"/>
      <c r="F4" s="225" t="n">
        <f aca="false">Cockpit!D39</f>
        <v>44926</v>
      </c>
      <c r="G4" s="225" t="n">
        <f aca="false">Cockpit!E39</f>
        <v>45291</v>
      </c>
      <c r="H4" s="225" t="n">
        <f aca="false">Cockpit!F39</f>
        <v>45657</v>
      </c>
      <c r="I4" s="225" t="n">
        <f aca="false">Cockpit!G39</f>
        <v>45808</v>
      </c>
    </row>
    <row r="5" customFormat="false" ht="11.25" hidden="true" customHeight="true" outlineLevel="3" collapsed="false">
      <c r="C5" s="220" t="str">
        <f aca="false">"in T"&amp;Cockpit!$C$5</f>
        <v>in TEUR</v>
      </c>
      <c r="D5" s="221"/>
      <c r="E5" s="221"/>
      <c r="F5" s="225" t="s">
        <v>21</v>
      </c>
      <c r="G5" s="225" t="s">
        <v>21</v>
      </c>
      <c r="H5" s="225" t="s">
        <v>21</v>
      </c>
      <c r="I5" s="225" t="s">
        <v>21</v>
      </c>
    </row>
    <row r="6" customFormat="false" ht="11.25" hidden="false" customHeight="true" outlineLevel="0" collapsed="false">
      <c r="C6" s="227"/>
      <c r="D6" s="228" t="str">
        <f aca="false">Cockpit!$C$4</f>
        <v>Template</v>
      </c>
      <c r="E6" s="228"/>
      <c r="F6" s="293" t="n">
        <f aca="false">Cockpit!D39</f>
        <v>44926</v>
      </c>
      <c r="G6" s="293" t="n">
        <f aca="false">Cockpit!E39</f>
        <v>45291</v>
      </c>
      <c r="H6" s="293" t="n">
        <f aca="false">Cockpit!F39</f>
        <v>45657</v>
      </c>
      <c r="I6" s="293" t="n">
        <f aca="false">Cockpit!G39</f>
        <v>45808</v>
      </c>
    </row>
    <row r="7" customFormat="false" ht="11.25" hidden="false" customHeight="true" outlineLevel="0" collapsed="false">
      <c r="C7" s="227"/>
      <c r="D7" s="228" t="str">
        <f aca="false">"in k"&amp;Cockpit!$C$5</f>
        <v>in kEUR</v>
      </c>
      <c r="E7" s="228"/>
      <c r="F7" s="293" t="str">
        <f aca="false">Cockpit!D40</f>
        <v>IST</v>
      </c>
      <c r="G7" s="293" t="str">
        <f aca="false">Cockpit!E40</f>
        <v>IST</v>
      </c>
      <c r="H7" s="293" t="str">
        <f aca="false">Cockpit!F40</f>
        <v>IST</v>
      </c>
      <c r="I7" s="293" t="str">
        <f aca="false">Cockpit!G40</f>
        <v>IST</v>
      </c>
    </row>
    <row r="8" customFormat="false" ht="4.5" hidden="false" customHeight="true" outlineLevel="0" collapsed="false">
      <c r="C8" s="157"/>
      <c r="D8" s="158"/>
      <c r="E8" s="158"/>
      <c r="F8" s="157"/>
      <c r="G8" s="157"/>
      <c r="H8" s="157"/>
      <c r="I8" s="157"/>
    </row>
    <row r="9" customFormat="false" ht="11.25" hidden="false" customHeight="true" outlineLevel="0" collapsed="false">
      <c r="C9" s="51" t="s">
        <v>722</v>
      </c>
      <c r="D9" s="51" t="s">
        <v>723</v>
      </c>
      <c r="E9" s="51"/>
      <c r="F9" s="159"/>
      <c r="G9" s="159"/>
      <c r="H9" s="159"/>
      <c r="I9" s="160"/>
    </row>
    <row r="10" customFormat="false" ht="11.25" hidden="false" customHeight="true" outlineLevel="0" collapsed="false">
      <c r="C10" s="51" t="s">
        <v>724</v>
      </c>
      <c r="D10" s="51" t="s">
        <v>725</v>
      </c>
      <c r="E10" s="51"/>
      <c r="F10" s="159"/>
      <c r="G10" s="159"/>
      <c r="H10" s="159"/>
      <c r="I10" s="160"/>
    </row>
    <row r="11" customFormat="false" ht="11.25" hidden="false" customHeight="true" outlineLevel="0" collapsed="false">
      <c r="C11" s="51" t="s">
        <v>726</v>
      </c>
      <c r="D11" s="51" t="s">
        <v>727</v>
      </c>
      <c r="E11" s="51"/>
      <c r="F11" s="159"/>
      <c r="G11" s="159"/>
      <c r="H11" s="159"/>
      <c r="I11" s="160"/>
    </row>
    <row r="12" customFormat="false" ht="11.25" hidden="false" customHeight="true" outlineLevel="0" collapsed="false">
      <c r="C12" s="51" t="s">
        <v>728</v>
      </c>
      <c r="D12" s="51" t="s">
        <v>729</v>
      </c>
      <c r="E12" s="51"/>
      <c r="F12" s="159"/>
      <c r="G12" s="159"/>
      <c r="H12" s="159"/>
      <c r="I12" s="160"/>
    </row>
    <row r="13" customFormat="false" ht="11.25" hidden="false" customHeight="true" outlineLevel="0" collapsed="false">
      <c r="C13" s="54" t="s">
        <v>730</v>
      </c>
      <c r="D13" s="54" t="s">
        <v>731</v>
      </c>
      <c r="E13" s="54"/>
      <c r="F13" s="162"/>
      <c r="G13" s="162"/>
      <c r="H13" s="162"/>
      <c r="I13" s="163"/>
    </row>
    <row r="14" customFormat="false" ht="11.25" hidden="false" customHeight="true" outlineLevel="0" collapsed="false">
      <c r="C14" s="181" t="str">
        <f aca="false">'Lead NA'!C58</f>
        <v>Verbindlichkeiten aus LuL</v>
      </c>
      <c r="D14" s="181" t="str">
        <f aca="false">'Lead NA'!D58</f>
        <v>Trade payables</v>
      </c>
      <c r="E14" s="181"/>
      <c r="F14" s="182" t="n">
        <f aca="false">SUM(F9:F13)</f>
        <v>0</v>
      </c>
      <c r="G14" s="182" t="n">
        <f aca="false">SUM(G9:G13)</f>
        <v>0</v>
      </c>
      <c r="H14" s="182" t="n">
        <f aca="false">SUM(H9:H13)</f>
        <v>0</v>
      </c>
      <c r="I14" s="183" t="n">
        <f aca="false">SUM(I9:I13)</f>
        <v>0</v>
      </c>
    </row>
    <row r="15" customFormat="false" ht="4.5" hidden="false" customHeight="true" outlineLevel="0" collapsed="false">
      <c r="C15" s="51"/>
      <c r="D15" s="51"/>
      <c r="E15" s="51"/>
      <c r="F15" s="159"/>
      <c r="G15" s="159"/>
      <c r="H15" s="159"/>
      <c r="I15" s="160"/>
    </row>
    <row r="16" customFormat="false" ht="11.25" hidden="false" customHeight="true" outlineLevel="0" collapsed="false">
      <c r="C16" s="132" t="s">
        <v>740</v>
      </c>
      <c r="D16" s="132" t="s">
        <v>741</v>
      </c>
      <c r="E16" s="132"/>
      <c r="F16" s="159"/>
      <c r="G16" s="159"/>
      <c r="H16" s="159"/>
      <c r="I16" s="160"/>
    </row>
    <row r="17" customFormat="false" ht="11.25" hidden="false" customHeight="true" outlineLevel="0" collapsed="false">
      <c r="C17" s="51" t="s">
        <v>722</v>
      </c>
      <c r="D17" s="51" t="s">
        <v>723</v>
      </c>
      <c r="E17" s="51"/>
      <c r="F17" s="57" t="str">
        <f aca="false">IFERROR(F9/F$14,"n/a")</f>
        <v>n/a</v>
      </c>
      <c r="G17" s="57" t="str">
        <f aca="false">IFERROR(G9/G$14,"n/a")</f>
        <v>n/a</v>
      </c>
      <c r="H17" s="57" t="str">
        <f aca="false">IFERROR(H9/H$14,"n/a")</f>
        <v>n/a</v>
      </c>
      <c r="I17" s="142" t="str">
        <f aca="false">IFERROR(I9/I$14,"n/a")</f>
        <v>n/a</v>
      </c>
    </row>
    <row r="18" customFormat="false" ht="11.25" hidden="false" customHeight="true" outlineLevel="0" collapsed="false">
      <c r="C18" s="51" t="s">
        <v>724</v>
      </c>
      <c r="D18" s="51" t="s">
        <v>725</v>
      </c>
      <c r="E18" s="51"/>
      <c r="F18" s="57" t="str">
        <f aca="false">IFERROR(F10/F$14,"n/a")</f>
        <v>n/a</v>
      </c>
      <c r="G18" s="57" t="str">
        <f aca="false">IFERROR(G10/G$14,"n/a")</f>
        <v>n/a</v>
      </c>
      <c r="H18" s="57" t="str">
        <f aca="false">IFERROR(H10/H$14,"n/a")</f>
        <v>n/a</v>
      </c>
      <c r="I18" s="142" t="str">
        <f aca="false">IFERROR(I10/I$14,"n/a")</f>
        <v>n/a</v>
      </c>
    </row>
    <row r="19" customFormat="false" ht="11.25" hidden="false" customHeight="true" outlineLevel="0" collapsed="false">
      <c r="C19" s="51" t="s">
        <v>726</v>
      </c>
      <c r="D19" s="51" t="s">
        <v>727</v>
      </c>
      <c r="E19" s="51"/>
      <c r="F19" s="57" t="str">
        <f aca="false">IFERROR(F11/F$14,"n/a")</f>
        <v>n/a</v>
      </c>
      <c r="G19" s="57" t="str">
        <f aca="false">IFERROR(G11/G$14,"n/a")</f>
        <v>n/a</v>
      </c>
      <c r="H19" s="57" t="str">
        <f aca="false">IFERROR(H11/H$14,"n/a")</f>
        <v>n/a</v>
      </c>
      <c r="I19" s="142" t="str">
        <f aca="false">IFERROR(I11/I$14,"n/a")</f>
        <v>n/a</v>
      </c>
    </row>
    <row r="20" customFormat="false" ht="11.25" hidden="false" customHeight="true" outlineLevel="0" collapsed="false">
      <c r="C20" s="51" t="s">
        <v>728</v>
      </c>
      <c r="D20" s="51" t="s">
        <v>729</v>
      </c>
      <c r="E20" s="51"/>
      <c r="F20" s="57" t="str">
        <f aca="false">IFERROR(F12/F$14,"n/a")</f>
        <v>n/a</v>
      </c>
      <c r="G20" s="57" t="str">
        <f aca="false">IFERROR(G12/G$14,"n/a")</f>
        <v>n/a</v>
      </c>
      <c r="H20" s="57" t="str">
        <f aca="false">IFERROR(H12/H$14,"n/a")</f>
        <v>n/a</v>
      </c>
      <c r="I20" s="142" t="str">
        <f aca="false">IFERROR(I12/I$14,"n/a")</f>
        <v>n/a</v>
      </c>
    </row>
    <row r="21" customFormat="false" ht="11.25" hidden="false" customHeight="true" outlineLevel="0" collapsed="false">
      <c r="C21" s="51" t="s">
        <v>730</v>
      </c>
      <c r="D21" s="51" t="s">
        <v>731</v>
      </c>
      <c r="E21" s="51"/>
      <c r="F21" s="57" t="str">
        <f aca="false">IFERROR(F13/F$14,"n/a")</f>
        <v>n/a</v>
      </c>
      <c r="G21" s="57" t="str">
        <f aca="false">IFERROR(G13/G$14,"n/a")</f>
        <v>n/a</v>
      </c>
      <c r="H21" s="57" t="str">
        <f aca="false">IFERROR(H13/H$14,"n/a")</f>
        <v>n/a</v>
      </c>
      <c r="I21" s="142" t="str">
        <f aca="false">IFERROR(I13/I$14,"n/a")</f>
        <v>n/a</v>
      </c>
    </row>
    <row r="22" customFormat="false" ht="4.5" hidden="true" customHeight="true" outlineLevel="1" collapsed="false">
      <c r="C22" s="51"/>
      <c r="D22" s="51"/>
      <c r="E22" s="51"/>
      <c r="F22" s="159"/>
      <c r="G22" s="159"/>
      <c r="H22" s="159"/>
      <c r="I22" s="160"/>
    </row>
    <row r="23" customFormat="false" ht="11.25" hidden="true" customHeight="true" outlineLevel="1" collapsed="false">
      <c r="C23" s="132" t="s">
        <v>711</v>
      </c>
      <c r="D23" s="132" t="s">
        <v>712</v>
      </c>
      <c r="E23" s="132"/>
      <c r="F23" s="159"/>
      <c r="G23" s="159"/>
      <c r="H23" s="159"/>
      <c r="I23" s="160"/>
    </row>
    <row r="24" customFormat="false" ht="11.25" hidden="true" customHeight="true" outlineLevel="1" collapsed="false">
      <c r="C24" s="51" t="s">
        <v>234</v>
      </c>
      <c r="D24" s="51" t="s">
        <v>234</v>
      </c>
      <c r="E24" s="51"/>
      <c r="F24" s="159"/>
      <c r="G24" s="159"/>
      <c r="H24" s="159"/>
      <c r="I24" s="160"/>
    </row>
    <row r="25" customFormat="false" ht="11.25" hidden="true" customHeight="true" outlineLevel="1" collapsed="false">
      <c r="C25" s="51" t="s">
        <v>235</v>
      </c>
      <c r="D25" s="51" t="s">
        <v>235</v>
      </c>
      <c r="E25" s="51"/>
      <c r="F25" s="159"/>
      <c r="G25" s="159"/>
      <c r="H25" s="159"/>
      <c r="I25" s="160"/>
    </row>
    <row r="26" customFormat="false" ht="11.25" hidden="true" customHeight="true" outlineLevel="1" collapsed="false">
      <c r="C26" s="54" t="s">
        <v>236</v>
      </c>
      <c r="D26" s="54" t="s">
        <v>236</v>
      </c>
      <c r="E26" s="54"/>
      <c r="F26" s="162"/>
      <c r="G26" s="162"/>
      <c r="H26" s="162"/>
      <c r="I26" s="163"/>
    </row>
    <row r="27" customFormat="false" ht="11.25" hidden="true" customHeight="true" outlineLevel="1" collapsed="false">
      <c r="C27" s="181" t="str">
        <f aca="false">C23</f>
        <v>Normalisierungsanpassungen BT</v>
      </c>
      <c r="D27" s="181" t="str">
        <f aca="false">D23</f>
        <v>BT normalization adjustments</v>
      </c>
      <c r="E27" s="181"/>
      <c r="F27" s="175" t="n">
        <f aca="false">+SUM(F24:F26)</f>
        <v>0</v>
      </c>
      <c r="G27" s="175" t="n">
        <f aca="false">+SUM(G24:G26)</f>
        <v>0</v>
      </c>
      <c r="H27" s="175" t="n">
        <f aca="false">+SUM(H24:H26)</f>
        <v>0</v>
      </c>
      <c r="I27" s="183" t="n">
        <f aca="false">+SUM(I24:I26)</f>
        <v>0</v>
      </c>
    </row>
    <row r="28" customFormat="false" ht="11.25" hidden="true" customHeight="true" outlineLevel="1" collapsed="false">
      <c r="C28" s="171" t="s">
        <v>744</v>
      </c>
      <c r="D28" s="171" t="s">
        <v>745</v>
      </c>
      <c r="E28" s="171"/>
      <c r="F28" s="210" t="n">
        <f aca="false">+F27+F14</f>
        <v>0</v>
      </c>
      <c r="G28" s="210" t="n">
        <f aca="false">+G27+G14</f>
        <v>0</v>
      </c>
      <c r="H28" s="210" t="n">
        <f aca="false">+H27+H14</f>
        <v>0</v>
      </c>
      <c r="I28" s="313" t="n">
        <f aca="false">+I27+I14</f>
        <v>0</v>
      </c>
    </row>
    <row r="29" customFormat="false" ht="4.5" hidden="false" customHeight="true" outlineLevel="0" collapsed="false">
      <c r="C29" s="51"/>
      <c r="D29" s="51"/>
      <c r="E29" s="51"/>
      <c r="F29" s="159"/>
      <c r="G29" s="159"/>
      <c r="H29" s="159"/>
      <c r="I29" s="160"/>
    </row>
    <row r="30" customFormat="false" ht="11.25" hidden="false" customHeight="true" outlineLevel="0" collapsed="false">
      <c r="C30" s="54" t="str">
        <f aca="false">"Quelle: "&amp;Cockpit!$C$7</f>
        <v>Quelle: Datenraum/ eigene Analysen</v>
      </c>
      <c r="D30" s="54" t="str">
        <f aca="false">"Source: "&amp;Cockpit!$C$8</f>
        <v>Source: Virtual Data Room/ Company Information</v>
      </c>
      <c r="E30" s="54"/>
      <c r="F30" s="162"/>
      <c r="G30" s="162"/>
      <c r="H30" s="162"/>
      <c r="I30" s="326"/>
    </row>
    <row r="33" customFormat="false" ht="12" hidden="false" customHeight="true" outlineLevel="0" collapsed="false">
      <c r="C33" s="151" t="s">
        <v>746</v>
      </c>
      <c r="D33" s="151" t="s">
        <v>747</v>
      </c>
      <c r="E33" s="151"/>
      <c r="F33" s="152" t="n">
        <f aca="false">'Lead NA'!F58</f>
        <v>0</v>
      </c>
      <c r="G33" s="152" t="n">
        <f aca="false">'Lead NA'!G58</f>
        <v>0</v>
      </c>
      <c r="H33" s="152" t="n">
        <f aca="false">'Lead NA'!H58</f>
        <v>0</v>
      </c>
      <c r="I33" s="152" t="n">
        <f aca="false">'Lead NA'!I58</f>
        <v>0</v>
      </c>
    </row>
    <row r="34" customFormat="false" ht="12" hidden="false" customHeight="true" outlineLevel="0" collapsed="false">
      <c r="C34" s="153" t="s">
        <v>245</v>
      </c>
      <c r="D34" s="154" t="s">
        <v>245</v>
      </c>
      <c r="E34" s="153"/>
      <c r="F34" s="155" t="n">
        <f aca="false">F33-F14</f>
        <v>0</v>
      </c>
      <c r="G34" s="155" t="n">
        <f aca="false">G33-G14</f>
        <v>0</v>
      </c>
      <c r="H34" s="155" t="n">
        <f aca="false">H33-H14</f>
        <v>0</v>
      </c>
      <c r="I34" s="155" t="n">
        <f aca="false">I33-I14</f>
        <v>0</v>
      </c>
    </row>
  </sheetData>
  <conditionalFormatting sqref="F34:I34">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62"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10"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1:AA85"/>
  <sheetViews>
    <sheetView showFormulas="false" showGridLines="true" showRowColHeaders="true" showZeros="true" rightToLeft="false" tabSelected="false" showOutlineSymbols="true" defaultGridColor="true" view="normal" topLeftCell="A30" colorId="64" zoomScale="85" zoomScaleNormal="85" zoomScalePageLayoutView="100" workbookViewId="0">
      <selection pane="topLeft" activeCell="P48" activeCellId="0" sqref="P48"/>
    </sheetView>
  </sheetViews>
  <sheetFormatPr defaultColWidth="11.2890625" defaultRowHeight="12" zeroHeight="false" outlineLevelRow="4" outlineLevelCol="2"/>
  <cols>
    <col collapsed="false" customWidth="false" hidden="false" outlineLevel="0" max="1" min="1" style="1" width="11.29"/>
    <col collapsed="false" customWidth="true" hidden="false" outlineLevel="2" max="2" min="2" style="1" width="0.86"/>
    <col collapsed="false" customWidth="true" hidden="false" outlineLevel="0" max="3" min="3" style="1" width="40.57"/>
    <col collapsed="false" customWidth="true" hidden="true" outlineLevel="1" max="4" min="4" style="1" width="40.57"/>
    <col collapsed="false" customWidth="true" hidden="true" outlineLevel="1" max="5" min="5" style="1" width="10.42"/>
    <col collapsed="false" customWidth="true" hidden="false" outlineLevel="0" max="9" min="6" style="1" width="10.42"/>
    <col collapsed="false" customWidth="true" hidden="true" outlineLevel="1" max="13" min="10" style="1" width="10.42"/>
    <col collapsed="false" customWidth="true" hidden="true" outlineLevel="2" max="14" min="14" style="1" width="0.86"/>
    <col collapsed="true" customWidth="false" hidden="false" outlineLevel="0" max="15" min="15" style="1" width="11.29"/>
    <col collapsed="false" customWidth="true" hidden="false" outlineLevel="0" max="16" min="16" style="1" width="38.86"/>
    <col collapsed="false" customWidth="false" hidden="false" outlineLevel="0" max="16384" min="17" style="1" width="11.29"/>
  </cols>
  <sheetData>
    <row r="1" customFormat="false" ht="12" hidden="true" customHeight="true" outlineLevel="3" collapsed="false"/>
    <row r="3" customFormat="false" ht="11.25" hidden="false" customHeight="true" outlineLevel="0" collapsed="false"/>
    <row r="4" customFormat="false" ht="11.25" hidden="false" customHeight="true" outlineLevel="1" collapsed="false">
      <c r="C4" s="220" t="str">
        <f aca="false">Cockpit!$C$4</f>
        <v>Template</v>
      </c>
      <c r="D4" s="221"/>
      <c r="E4" s="225" t="n">
        <f aca="false">Cockpit!C39</f>
        <v>44561</v>
      </c>
      <c r="F4" s="225" t="n">
        <f aca="false">Cockpit!D39</f>
        <v>44926</v>
      </c>
      <c r="G4" s="225" t="n">
        <f aca="false">Cockpit!E39</f>
        <v>45291</v>
      </c>
      <c r="H4" s="225" t="n">
        <f aca="false">Cockpit!F39</f>
        <v>45657</v>
      </c>
      <c r="I4" s="225" t="n">
        <f aca="false">Cockpit!G39</f>
        <v>45808</v>
      </c>
      <c r="J4" s="225" t="n">
        <f aca="false">Cockpit!H39</f>
        <v>46022</v>
      </c>
      <c r="K4" s="225" t="n">
        <f aca="false">Cockpit!I39</f>
        <v>46387</v>
      </c>
      <c r="L4" s="225" t="n">
        <f aca="false">Cockpit!J39</f>
        <v>46752</v>
      </c>
      <c r="M4" s="225" t="n">
        <f aca="false">Cockpit!K39</f>
        <v>47118</v>
      </c>
    </row>
    <row r="5" customFormat="false" ht="11.25" hidden="false" customHeight="true" outlineLevel="1" collapsed="false">
      <c r="C5" s="220" t="str">
        <f aca="false">"in T"&amp;Cockpit!$C$5</f>
        <v>in TEUR</v>
      </c>
      <c r="D5" s="221"/>
      <c r="E5" s="225" t="s">
        <v>21</v>
      </c>
      <c r="F5" s="225" t="s">
        <v>21</v>
      </c>
      <c r="G5" s="225" t="s">
        <v>21</v>
      </c>
      <c r="H5" s="225" t="s">
        <v>21</v>
      </c>
      <c r="I5" s="225" t="s">
        <v>21</v>
      </c>
      <c r="J5" s="225" t="str">
        <f aca="false">Cockpit!H40</f>
        <v>Plan</v>
      </c>
      <c r="K5" s="225" t="str">
        <f aca="false">Cockpit!I40</f>
        <v>Plan</v>
      </c>
      <c r="L5" s="225" t="str">
        <f aca="false">Cockpit!J40</f>
        <v>Plan</v>
      </c>
      <c r="M5" s="225" t="str">
        <f aca="false">Cockpit!K40</f>
        <v>Plan</v>
      </c>
    </row>
    <row r="6" customFormat="false" ht="11.25" hidden="true" customHeight="true" outlineLevel="0" collapsed="false">
      <c r="C6" s="227"/>
      <c r="D6" s="228" t="str">
        <f aca="false">Cockpit!$C$4</f>
        <v>Template</v>
      </c>
      <c r="E6" s="293" t="n">
        <f aca="false">Cockpit!C39</f>
        <v>44561</v>
      </c>
      <c r="F6" s="293" t="n">
        <f aca="false">Cockpit!D39</f>
        <v>44926</v>
      </c>
      <c r="G6" s="293" t="n">
        <f aca="false">Cockpit!E39</f>
        <v>45291</v>
      </c>
      <c r="H6" s="293" t="n">
        <f aca="false">Cockpit!F39</f>
        <v>45657</v>
      </c>
      <c r="I6" s="293" t="n">
        <f aca="false">Cockpit!G39</f>
        <v>45808</v>
      </c>
      <c r="J6" s="293" t="n">
        <f aca="false">Cockpit!H39</f>
        <v>46022</v>
      </c>
      <c r="K6" s="293" t="n">
        <f aca="false">Cockpit!I39</f>
        <v>46387</v>
      </c>
      <c r="L6" s="293" t="n">
        <f aca="false">Cockpit!J39</f>
        <v>46752</v>
      </c>
      <c r="M6" s="293" t="n">
        <f aca="false">Cockpit!K39</f>
        <v>47118</v>
      </c>
    </row>
    <row r="7" customFormat="false" ht="11.25" hidden="true" customHeight="true" outlineLevel="0" collapsed="false">
      <c r="C7" s="227"/>
      <c r="D7" s="228" t="str">
        <f aca="false">"in k"&amp;Cockpit!$C$5</f>
        <v>in kEUR</v>
      </c>
      <c r="E7" s="293" t="str">
        <f aca="false">F7</f>
        <v>IST</v>
      </c>
      <c r="F7" s="293" t="str">
        <f aca="false">Cockpit!D40</f>
        <v>IST</v>
      </c>
      <c r="G7" s="293" t="str">
        <f aca="false">Cockpit!E40</f>
        <v>IST</v>
      </c>
      <c r="H7" s="293" t="str">
        <f aca="false">Cockpit!F40</f>
        <v>IST</v>
      </c>
      <c r="I7" s="293" t="str">
        <f aca="false">Cockpit!G40</f>
        <v>IST</v>
      </c>
      <c r="J7" s="293" t="str">
        <f aca="false">Cockpit!H40</f>
        <v>Plan</v>
      </c>
      <c r="K7" s="293" t="str">
        <f aca="false">Cockpit!I40</f>
        <v>Plan</v>
      </c>
      <c r="L7" s="293" t="str">
        <f aca="false">Cockpit!J40</f>
        <v>Plan</v>
      </c>
      <c r="M7" s="293" t="str">
        <f aca="false">Cockpit!K40</f>
        <v>Plan</v>
      </c>
      <c r="P7" s="89" t="s">
        <v>409</v>
      </c>
    </row>
    <row r="8" customFormat="false" ht="4.5" hidden="false" customHeight="true" outlineLevel="0" collapsed="false">
      <c r="C8" s="157"/>
      <c r="D8" s="158"/>
      <c r="E8" s="157"/>
      <c r="F8" s="157"/>
      <c r="G8" s="157"/>
      <c r="H8" s="157"/>
      <c r="I8" s="157"/>
      <c r="J8" s="157"/>
      <c r="K8" s="157"/>
      <c r="L8" s="157"/>
      <c r="M8" s="157"/>
    </row>
    <row r="9" customFormat="false" ht="11.25" hidden="false" customHeight="true" outlineLevel="1" collapsed="false">
      <c r="C9" s="51" t="str">
        <f aca="false">'Lead NA'!C40</f>
        <v>Vorräte</v>
      </c>
      <c r="D9" s="51" t="str">
        <f aca="false">'Lead NA'!D40</f>
        <v>Inventories</v>
      </c>
      <c r="E9" s="327" t="n">
        <f aca="false">'Lead NA'!E40</f>
        <v>0</v>
      </c>
      <c r="F9" s="327" t="n">
        <f aca="false">'Lead NA'!F40</f>
        <v>0</v>
      </c>
      <c r="G9" s="327" t="n">
        <f aca="false">'Lead NA'!G40</f>
        <v>0</v>
      </c>
      <c r="H9" s="327" t="n">
        <f aca="false">'Lead NA'!H40</f>
        <v>0</v>
      </c>
      <c r="I9" s="328" t="n">
        <f aca="false">'Lead NA'!I40</f>
        <v>0</v>
      </c>
      <c r="J9" s="329" t="n">
        <f aca="false">'Lead NA'!J40</f>
        <v>0</v>
      </c>
      <c r="K9" s="329" t="n">
        <f aca="false">'Lead NA'!K40</f>
        <v>0</v>
      </c>
      <c r="L9" s="329" t="n">
        <f aca="false">'Lead NA'!L40</f>
        <v>0</v>
      </c>
      <c r="M9" s="329" t="n">
        <f aca="false">'Lead NA'!M40</f>
        <v>0</v>
      </c>
    </row>
    <row r="10" customFormat="false" ht="11.25" hidden="false" customHeight="true" outlineLevel="1" collapsed="false">
      <c r="C10" s="51" t="str">
        <f aca="false">'Lead NA'!C49</f>
        <v>Forderungen aus LuL</v>
      </c>
      <c r="D10" s="51" t="str">
        <f aca="false">'Lead NA'!D49</f>
        <v>Trade receivables</v>
      </c>
      <c r="E10" s="327" t="n">
        <f aca="false">'Lead NA'!E49</f>
        <v>0</v>
      </c>
      <c r="F10" s="327" t="n">
        <f aca="false">'Lead NA'!F49</f>
        <v>0</v>
      </c>
      <c r="G10" s="327" t="n">
        <f aca="false">'Lead NA'!G49</f>
        <v>0</v>
      </c>
      <c r="H10" s="327" t="n">
        <f aca="false">'Lead NA'!H49</f>
        <v>0</v>
      </c>
      <c r="I10" s="328" t="n">
        <f aca="false">'Lead NA'!I49</f>
        <v>0</v>
      </c>
      <c r="J10" s="329" t="n">
        <f aca="false">'Lead NA'!J49</f>
        <v>0</v>
      </c>
      <c r="K10" s="329" t="n">
        <f aca="false">'Lead NA'!K49</f>
        <v>0</v>
      </c>
      <c r="L10" s="329" t="n">
        <f aca="false">'Lead NA'!L49</f>
        <v>0</v>
      </c>
      <c r="M10" s="329" t="n">
        <f aca="false">'Lead NA'!M49</f>
        <v>0</v>
      </c>
    </row>
    <row r="11" customFormat="false" ht="11.25" hidden="false" customHeight="true" outlineLevel="1" collapsed="false">
      <c r="C11" s="51" t="str">
        <f aca="false">'Lead NA'!C58</f>
        <v>Verbindlichkeiten aus LuL</v>
      </c>
      <c r="D11" s="51" t="str">
        <f aca="false">'Lead NA'!D58</f>
        <v>Trade payables</v>
      </c>
      <c r="E11" s="327" t="n">
        <f aca="false">'Lead NA'!E58</f>
        <v>0</v>
      </c>
      <c r="F11" s="327" t="n">
        <f aca="false">'Lead NA'!F58</f>
        <v>0</v>
      </c>
      <c r="G11" s="327" t="n">
        <f aca="false">'Lead NA'!G58</f>
        <v>0</v>
      </c>
      <c r="H11" s="327" t="n">
        <f aca="false">'Lead NA'!H58</f>
        <v>0</v>
      </c>
      <c r="I11" s="328" t="n">
        <f aca="false">'Lead NA'!I58</f>
        <v>0</v>
      </c>
      <c r="J11" s="329" t="n">
        <f aca="false">'Lead NA'!J58</f>
        <v>0</v>
      </c>
      <c r="K11" s="329" t="n">
        <f aca="false">'Lead NA'!K58</f>
        <v>0</v>
      </c>
      <c r="L11" s="329" t="n">
        <f aca="false">'Lead NA'!L58</f>
        <v>0</v>
      </c>
      <c r="M11" s="329" t="n">
        <f aca="false">'Lead NA'!M58</f>
        <v>0</v>
      </c>
      <c r="O11" s="203"/>
    </row>
    <row r="12" customFormat="false" ht="11.25" hidden="false" customHeight="true" outlineLevel="1" collapsed="false">
      <c r="C12" s="51" t="str">
        <f aca="false">'Lead NA'!C67</f>
        <v>Erhaltene Anzahlungen</v>
      </c>
      <c r="D12" s="51" t="str">
        <f aca="false">'Lead NA'!D67</f>
        <v>Advance payments received</v>
      </c>
      <c r="E12" s="327" t="n">
        <f aca="false">'Lead NA'!E67</f>
        <v>0</v>
      </c>
      <c r="F12" s="327" t="n">
        <f aca="false">'Lead NA'!F67</f>
        <v>0</v>
      </c>
      <c r="G12" s="327" t="n">
        <f aca="false">'Lead NA'!G67</f>
        <v>0</v>
      </c>
      <c r="H12" s="327" t="n">
        <f aca="false">'Lead NA'!H67</f>
        <v>0</v>
      </c>
      <c r="I12" s="328" t="n">
        <f aca="false">'Lead NA'!I67</f>
        <v>0</v>
      </c>
      <c r="J12" s="329" t="n">
        <f aca="false">'Lead NA'!J67</f>
        <v>0</v>
      </c>
      <c r="K12" s="329" t="n">
        <f aca="false">'Lead NA'!K67</f>
        <v>0</v>
      </c>
      <c r="L12" s="329" t="n">
        <f aca="false">'Lead NA'!L67</f>
        <v>0</v>
      </c>
      <c r="M12" s="329" t="n">
        <f aca="false">'Lead NA'!M67</f>
        <v>0</v>
      </c>
    </row>
    <row r="13" customFormat="false" ht="11.25" hidden="true" customHeight="true" outlineLevel="4" collapsed="false">
      <c r="C13" s="51" t="str">
        <f aca="false">'Lead NA'!C76</f>
        <v>Dummy 1</v>
      </c>
      <c r="D13" s="51" t="str">
        <f aca="false">'Lead NA'!D76</f>
        <v>Dummy 1</v>
      </c>
      <c r="E13" s="327" t="n">
        <f aca="false">'Lead NA'!E76</f>
        <v>0</v>
      </c>
      <c r="F13" s="327" t="n">
        <f aca="false">'Lead NA'!F76</f>
        <v>0</v>
      </c>
      <c r="G13" s="327" t="n">
        <f aca="false">'Lead NA'!G76</f>
        <v>0</v>
      </c>
      <c r="H13" s="327" t="n">
        <f aca="false">'Lead NA'!H76</f>
        <v>0</v>
      </c>
      <c r="I13" s="328" t="n">
        <f aca="false">'Lead NA'!I76</f>
        <v>0</v>
      </c>
      <c r="J13" s="329" t="n">
        <f aca="false">'Lead NA'!J76</f>
        <v>0</v>
      </c>
      <c r="K13" s="329" t="n">
        <f aca="false">'Lead NA'!K76</f>
        <v>0</v>
      </c>
      <c r="L13" s="329" t="n">
        <f aca="false">'Lead NA'!L76</f>
        <v>0</v>
      </c>
      <c r="M13" s="329" t="n">
        <f aca="false">'Lead NA'!M76</f>
        <v>0</v>
      </c>
    </row>
    <row r="14" customFormat="false" ht="11.25" hidden="true" customHeight="true" outlineLevel="4" collapsed="false">
      <c r="C14" s="51" t="str">
        <f aca="false">'Lead NA'!C77</f>
        <v>Dummy 2</v>
      </c>
      <c r="D14" s="51" t="str">
        <f aca="false">'Lead NA'!D77</f>
        <v>Dummy 2</v>
      </c>
      <c r="E14" s="327" t="n">
        <f aca="false">'Lead NA'!E77</f>
        <v>0</v>
      </c>
      <c r="F14" s="327" t="n">
        <f aca="false">'Lead NA'!F77</f>
        <v>0</v>
      </c>
      <c r="G14" s="327" t="n">
        <f aca="false">'Lead NA'!G77</f>
        <v>0</v>
      </c>
      <c r="H14" s="327" t="n">
        <f aca="false">'Lead NA'!H77</f>
        <v>0</v>
      </c>
      <c r="I14" s="328" t="n">
        <f aca="false">'Lead NA'!I77</f>
        <v>0</v>
      </c>
      <c r="J14" s="329" t="n">
        <f aca="false">'Lead NA'!J77</f>
        <v>0</v>
      </c>
      <c r="K14" s="329" t="n">
        <f aca="false">'Lead NA'!K77</f>
        <v>0</v>
      </c>
      <c r="L14" s="329" t="n">
        <f aca="false">'Lead NA'!L77</f>
        <v>0</v>
      </c>
      <c r="M14" s="329" t="n">
        <f aca="false">'Lead NA'!M77</f>
        <v>0</v>
      </c>
    </row>
    <row r="15" customFormat="false" ht="11.25" hidden="true" customHeight="true" outlineLevel="4" collapsed="false">
      <c r="C15" s="51" t="str">
        <f aca="false">'Lead NA'!C78</f>
        <v>Dummy 3</v>
      </c>
      <c r="D15" s="51" t="str">
        <f aca="false">'Lead NA'!D78</f>
        <v>Dummy 3</v>
      </c>
      <c r="E15" s="327" t="n">
        <f aca="false">'Lead NA'!E78</f>
        <v>0</v>
      </c>
      <c r="F15" s="327" t="n">
        <f aca="false">'Lead NA'!F78</f>
        <v>0</v>
      </c>
      <c r="G15" s="327" t="n">
        <f aca="false">'Lead NA'!G78</f>
        <v>0</v>
      </c>
      <c r="H15" s="327" t="n">
        <f aca="false">'Lead NA'!H78</f>
        <v>0</v>
      </c>
      <c r="I15" s="328" t="n">
        <f aca="false">'Lead NA'!I78</f>
        <v>0</v>
      </c>
      <c r="J15" s="329" t="n">
        <f aca="false">'Lead NA'!J78</f>
        <v>0</v>
      </c>
      <c r="K15" s="329" t="n">
        <f aca="false">'Lead NA'!K78</f>
        <v>0</v>
      </c>
      <c r="L15" s="329" t="n">
        <f aca="false">'Lead NA'!L78</f>
        <v>0</v>
      </c>
      <c r="M15" s="329" t="n">
        <f aca="false">'Lead NA'!M78</f>
        <v>0</v>
      </c>
    </row>
    <row r="16" customFormat="false" ht="11.25" hidden="false" customHeight="true" outlineLevel="0" collapsed="false">
      <c r="C16" s="181" t="s">
        <v>748</v>
      </c>
      <c r="D16" s="181" t="s">
        <v>748</v>
      </c>
      <c r="E16" s="330" t="n">
        <f aca="false">SUM(E9:E15)</f>
        <v>0</v>
      </c>
      <c r="F16" s="330" t="n">
        <f aca="false">SUM(F9:F15)</f>
        <v>0</v>
      </c>
      <c r="G16" s="330" t="n">
        <f aca="false">SUM(G9:G15)</f>
        <v>0</v>
      </c>
      <c r="H16" s="330" t="n">
        <f aca="false">SUM(H9:H15)</f>
        <v>0</v>
      </c>
      <c r="I16" s="331" t="n">
        <f aca="false">SUM(I9:I15)</f>
        <v>0</v>
      </c>
      <c r="J16" s="332" t="n">
        <f aca="false">SUM(J9:J15)</f>
        <v>0</v>
      </c>
      <c r="K16" s="332" t="n">
        <f aca="false">SUM(K9:K15)</f>
        <v>0</v>
      </c>
      <c r="L16" s="332" t="n">
        <f aca="false">SUM(L9:L15)</f>
        <v>0</v>
      </c>
      <c r="M16" s="332" t="n">
        <f aca="false">SUM(M9:M15)</f>
        <v>0</v>
      </c>
    </row>
    <row r="17" customFormat="false" ht="4.5" hidden="false" customHeight="true" outlineLevel="0" collapsed="false">
      <c r="C17" s="51"/>
      <c r="D17" s="51"/>
      <c r="E17" s="327"/>
      <c r="F17" s="327"/>
      <c r="G17" s="327"/>
      <c r="H17" s="327"/>
      <c r="I17" s="328"/>
      <c r="J17" s="329"/>
      <c r="K17" s="329"/>
      <c r="L17" s="329"/>
      <c r="M17" s="329"/>
    </row>
    <row r="18" customFormat="false" ht="11.25" hidden="false" customHeight="true" outlineLevel="1" collapsed="false">
      <c r="C18" s="51" t="str">
        <f aca="false">'Lead NA'!C80</f>
        <v>Sonstige Vermögensgegenstände</v>
      </c>
      <c r="D18" s="51" t="str">
        <f aca="false">'Lead NA'!D80</f>
        <v>Other assets</v>
      </c>
      <c r="E18" s="327" t="n">
        <f aca="false">'Lead NA'!E80</f>
        <v>0</v>
      </c>
      <c r="F18" s="159" t="n">
        <f aca="false">'Lead NA'!F80</f>
        <v>0</v>
      </c>
      <c r="G18" s="159" t="n">
        <f aca="false">'Lead NA'!G80</f>
        <v>0</v>
      </c>
      <c r="H18" s="159" t="n">
        <f aca="false">'Lead NA'!H80</f>
        <v>0</v>
      </c>
      <c r="I18" s="160" t="n">
        <f aca="false">'Lead NA'!I80</f>
        <v>0</v>
      </c>
      <c r="J18" s="161" t="n">
        <f aca="false">'Lead NA'!J80</f>
        <v>0</v>
      </c>
      <c r="K18" s="161" t="n">
        <f aca="false">'Lead NA'!K80</f>
        <v>0</v>
      </c>
      <c r="L18" s="161" t="n">
        <f aca="false">'Lead NA'!L80</f>
        <v>0</v>
      </c>
      <c r="M18" s="161" t="n">
        <f aca="false">'Lead NA'!M80</f>
        <v>0</v>
      </c>
    </row>
    <row r="19" customFormat="false" ht="11.25" hidden="false" customHeight="true" outlineLevel="1" collapsed="false">
      <c r="C19" s="51" t="str">
        <f aca="false">'Lead NA'!C89</f>
        <v>Aktive Rechnungsabgrenzungsposten</v>
      </c>
      <c r="D19" s="51" t="str">
        <f aca="false">'Lead NA'!D89</f>
        <v>Prepaid expenses</v>
      </c>
      <c r="E19" s="159" t="n">
        <f aca="false">'Lead NA'!E89</f>
        <v>0</v>
      </c>
      <c r="F19" s="159" t="n">
        <f aca="false">'Lead NA'!F89</f>
        <v>0</v>
      </c>
      <c r="G19" s="159" t="n">
        <f aca="false">'Lead NA'!G89</f>
        <v>0</v>
      </c>
      <c r="H19" s="159" t="n">
        <f aca="false">'Lead NA'!H89</f>
        <v>0</v>
      </c>
      <c r="I19" s="160" t="n">
        <f aca="false">'Lead NA'!I89</f>
        <v>0</v>
      </c>
      <c r="J19" s="161" t="n">
        <f aca="false">'Lead NA'!J89</f>
        <v>0</v>
      </c>
      <c r="K19" s="161" t="n">
        <f aca="false">'Lead NA'!K89</f>
        <v>0</v>
      </c>
      <c r="L19" s="161" t="n">
        <f aca="false">'Lead NA'!L89</f>
        <v>0</v>
      </c>
      <c r="M19" s="161" t="n">
        <f aca="false">'Lead NA'!M89</f>
        <v>0</v>
      </c>
    </row>
    <row r="20" customFormat="false" ht="11.25" hidden="false" customHeight="true" outlineLevel="1" collapsed="false">
      <c r="C20" s="51" t="str">
        <f aca="false">'Lead NA'!C98</f>
        <v>Forderungen gegenüber verbundenen/beteiligten Unternehmen</v>
      </c>
      <c r="D20" s="51" t="str">
        <f aca="false">'Lead NA'!D98</f>
        <v>Receivables from affiliated/ participating companies</v>
      </c>
      <c r="E20" s="159" t="n">
        <f aca="false">'Lead NA'!E98</f>
        <v>0</v>
      </c>
      <c r="F20" s="159" t="n">
        <f aca="false">'Lead NA'!F98</f>
        <v>0</v>
      </c>
      <c r="G20" s="159" t="n">
        <f aca="false">'Lead NA'!G98</f>
        <v>0</v>
      </c>
      <c r="H20" s="159" t="n">
        <f aca="false">'Lead NA'!H98</f>
        <v>0</v>
      </c>
      <c r="I20" s="160" t="n">
        <f aca="false">'Lead NA'!I98</f>
        <v>0</v>
      </c>
      <c r="J20" s="161" t="n">
        <f aca="false">'Lead NA'!J98</f>
        <v>0</v>
      </c>
      <c r="K20" s="161" t="n">
        <f aca="false">'Lead NA'!K98</f>
        <v>0</v>
      </c>
      <c r="L20" s="161" t="n">
        <f aca="false">'Lead NA'!L98</f>
        <v>0</v>
      </c>
      <c r="M20" s="161" t="n">
        <f aca="false">'Lead NA'!M98</f>
        <v>0</v>
      </c>
    </row>
    <row r="21" customFormat="false" ht="11.25" hidden="false" customHeight="true" outlineLevel="1" collapsed="false">
      <c r="C21" s="51" t="str">
        <f aca="false">'Lead NA'!C107</f>
        <v>Forderungen gegenüber Gesellschaftern</v>
      </c>
      <c r="D21" s="51" t="str">
        <f aca="false">'Lead NA'!D107</f>
        <v>Receivables from shareholders</v>
      </c>
      <c r="E21" s="159" t="n">
        <f aca="false">'Lead NA'!E107</f>
        <v>0</v>
      </c>
      <c r="F21" s="159" t="n">
        <f aca="false">'Lead NA'!F107</f>
        <v>0</v>
      </c>
      <c r="G21" s="159" t="n">
        <f aca="false">'Lead NA'!G107</f>
        <v>0</v>
      </c>
      <c r="H21" s="159" t="n">
        <f aca="false">'Lead NA'!H107</f>
        <v>0</v>
      </c>
      <c r="I21" s="160" t="n">
        <f aca="false">'Lead NA'!I107</f>
        <v>0</v>
      </c>
      <c r="J21" s="161" t="n">
        <f aca="false">'Lead NA'!J107</f>
        <v>0</v>
      </c>
      <c r="K21" s="161" t="n">
        <f aca="false">'Lead NA'!K107</f>
        <v>0</v>
      </c>
      <c r="L21" s="161" t="n">
        <f aca="false">'Lead NA'!L107</f>
        <v>0</v>
      </c>
      <c r="M21" s="161" t="n">
        <f aca="false">'Lead NA'!M107</f>
        <v>0</v>
      </c>
    </row>
    <row r="22" customFormat="false" ht="11.25" hidden="true" customHeight="true" outlineLevel="2" collapsed="false">
      <c r="C22" s="51" t="str">
        <f aca="false">'Lead NA'!C116</f>
        <v>Dummy 1</v>
      </c>
      <c r="D22" s="51" t="str">
        <f aca="false">'Lead NA'!D116</f>
        <v>Dummy 1</v>
      </c>
      <c r="E22" s="159" t="n">
        <f aca="false">'Lead NA'!E116</f>
        <v>0</v>
      </c>
      <c r="F22" s="159" t="n">
        <f aca="false">'Lead NA'!F116</f>
        <v>0</v>
      </c>
      <c r="G22" s="159" t="n">
        <f aca="false">'Lead NA'!G116</f>
        <v>0</v>
      </c>
      <c r="H22" s="159" t="n">
        <f aca="false">'Lead NA'!H116</f>
        <v>0</v>
      </c>
      <c r="I22" s="160" t="n">
        <f aca="false">'Lead NA'!I116</f>
        <v>0</v>
      </c>
      <c r="J22" s="161" t="n">
        <f aca="false">'Lead NA'!J116</f>
        <v>0</v>
      </c>
      <c r="K22" s="161" t="n">
        <f aca="false">'Lead NA'!K116</f>
        <v>0</v>
      </c>
      <c r="L22" s="161" t="n">
        <f aca="false">'Lead NA'!L116</f>
        <v>0</v>
      </c>
      <c r="M22" s="161" t="n">
        <f aca="false">'Lead NA'!M116</f>
        <v>0</v>
      </c>
    </row>
    <row r="23" customFormat="false" ht="11.25" hidden="true" customHeight="true" outlineLevel="2" collapsed="false">
      <c r="C23" s="51" t="str">
        <f aca="false">'Lead NA'!C117</f>
        <v>Dummy 2</v>
      </c>
      <c r="D23" s="51" t="str">
        <f aca="false">'Lead NA'!D117</f>
        <v>Dummy 2</v>
      </c>
      <c r="E23" s="159" t="n">
        <f aca="false">'Lead NA'!E117</f>
        <v>0</v>
      </c>
      <c r="F23" s="159" t="n">
        <f aca="false">'Lead NA'!F117</f>
        <v>0</v>
      </c>
      <c r="G23" s="159" t="n">
        <f aca="false">'Lead NA'!G117</f>
        <v>0</v>
      </c>
      <c r="H23" s="159" t="n">
        <f aca="false">'Lead NA'!H117</f>
        <v>0</v>
      </c>
      <c r="I23" s="160" t="n">
        <f aca="false">'Lead NA'!I117</f>
        <v>0</v>
      </c>
      <c r="J23" s="161" t="n">
        <f aca="false">'Lead NA'!J117</f>
        <v>0</v>
      </c>
      <c r="K23" s="161" t="n">
        <f aca="false">'Lead NA'!K117</f>
        <v>0</v>
      </c>
      <c r="L23" s="161" t="n">
        <f aca="false">'Lead NA'!L117</f>
        <v>0</v>
      </c>
      <c r="M23" s="161" t="n">
        <f aca="false">'Lead NA'!M117</f>
        <v>0</v>
      </c>
    </row>
    <row r="24" customFormat="false" ht="11.25" hidden="true" customHeight="true" outlineLevel="2" collapsed="false">
      <c r="C24" s="51" t="str">
        <f aca="false">'Lead NA'!C118</f>
        <v>Dummy 3</v>
      </c>
      <c r="D24" s="51" t="str">
        <f aca="false">'Lead NA'!D118</f>
        <v>Dummy 3</v>
      </c>
      <c r="E24" s="159" t="n">
        <f aca="false">'Lead NA'!E118</f>
        <v>0</v>
      </c>
      <c r="F24" s="159" t="n">
        <f aca="false">'Lead NA'!F118</f>
        <v>0</v>
      </c>
      <c r="G24" s="159" t="n">
        <f aca="false">'Lead NA'!G118</f>
        <v>0</v>
      </c>
      <c r="H24" s="159" t="n">
        <f aca="false">'Lead NA'!H118</f>
        <v>0</v>
      </c>
      <c r="I24" s="160" t="n">
        <f aca="false">'Lead NA'!I118</f>
        <v>0</v>
      </c>
      <c r="J24" s="161" t="n">
        <f aca="false">'Lead NA'!J118</f>
        <v>0</v>
      </c>
      <c r="K24" s="161" t="n">
        <f aca="false">'Lead NA'!K118</f>
        <v>0</v>
      </c>
      <c r="L24" s="161" t="n">
        <f aca="false">'Lead NA'!L118</f>
        <v>0</v>
      </c>
      <c r="M24" s="161" t="n">
        <f aca="false">'Lead NA'!M118</f>
        <v>0</v>
      </c>
    </row>
    <row r="25" customFormat="false" ht="11.25" hidden="false" customHeight="true" outlineLevel="1" collapsed="true">
      <c r="C25" s="132" t="str">
        <f aca="false">'Lead NA'!C119</f>
        <v>Sonstige Aktiva</v>
      </c>
      <c r="D25" s="132" t="str">
        <f aca="false">'Lead NA'!D119</f>
        <v>Other assets (subtotal)</v>
      </c>
      <c r="E25" s="168" t="n">
        <f aca="false">SUM(E18:E24)</f>
        <v>0</v>
      </c>
      <c r="F25" s="168" t="n">
        <f aca="false">SUM(F18:F24)</f>
        <v>0</v>
      </c>
      <c r="G25" s="168" t="n">
        <f aca="false">SUM(G18:G24)</f>
        <v>0</v>
      </c>
      <c r="H25" s="168" t="n">
        <f aca="false">SUM(H18:H24)</f>
        <v>0</v>
      </c>
      <c r="I25" s="169" t="n">
        <f aca="false">SUM(I18:I24)</f>
        <v>0</v>
      </c>
      <c r="J25" s="170" t="n">
        <f aca="false">SUM(J18:J24)</f>
        <v>0</v>
      </c>
      <c r="K25" s="170" t="n">
        <f aca="false">SUM(K18:K24)</f>
        <v>0</v>
      </c>
      <c r="L25" s="170" t="n">
        <f aca="false">SUM(L18:L24)</f>
        <v>0</v>
      </c>
      <c r="M25" s="170" t="n">
        <f aca="false">SUM(M18:M24)</f>
        <v>0</v>
      </c>
    </row>
    <row r="26" customFormat="false" ht="11.25" hidden="false" customHeight="true" outlineLevel="1" collapsed="false">
      <c r="C26" s="51" t="str">
        <f aca="false">'Lead NA'!C120</f>
        <v>Sonstige Rückstellungen</v>
      </c>
      <c r="D26" s="51" t="str">
        <f aca="false">'Lead NA'!D120</f>
        <v>Other provisions</v>
      </c>
      <c r="E26" s="159" t="n">
        <f aca="false">'Lead NA'!E120</f>
        <v>0</v>
      </c>
      <c r="F26" s="159" t="n">
        <f aca="false">'Lead NA'!F120</f>
        <v>0</v>
      </c>
      <c r="G26" s="159" t="n">
        <f aca="false">'Lead NA'!G120</f>
        <v>0</v>
      </c>
      <c r="H26" s="159" t="n">
        <f aca="false">'Lead NA'!H120</f>
        <v>0</v>
      </c>
      <c r="I26" s="160" t="n">
        <f aca="false">'Lead NA'!I120</f>
        <v>0</v>
      </c>
      <c r="J26" s="161" t="n">
        <f aca="false">'Lead NA'!J120</f>
        <v>0</v>
      </c>
      <c r="K26" s="161" t="n">
        <f aca="false">'Lead NA'!K120</f>
        <v>0</v>
      </c>
      <c r="L26" s="161" t="n">
        <f aca="false">'Lead NA'!L120</f>
        <v>0</v>
      </c>
      <c r="M26" s="161" t="n">
        <f aca="false">'Lead NA'!M120</f>
        <v>0</v>
      </c>
    </row>
    <row r="27" customFormat="false" ht="11.25" hidden="false" customHeight="true" outlineLevel="1" collapsed="false">
      <c r="C27" s="51" t="str">
        <f aca="false">'Lead NA'!C129</f>
        <v>Sonstige Verbindlichkeiten</v>
      </c>
      <c r="D27" s="51" t="str">
        <f aca="false">'Lead NA'!D129</f>
        <v>Other liabilities</v>
      </c>
      <c r="E27" s="159" t="n">
        <f aca="false">'Lead NA'!E129</f>
        <v>0</v>
      </c>
      <c r="F27" s="159" t="n">
        <f aca="false">'Lead NA'!F129</f>
        <v>0</v>
      </c>
      <c r="G27" s="159" t="n">
        <f aca="false">'Lead NA'!G129</f>
        <v>0</v>
      </c>
      <c r="H27" s="159" t="n">
        <f aca="false">'Lead NA'!H129</f>
        <v>0</v>
      </c>
      <c r="I27" s="160" t="n">
        <f aca="false">'Lead NA'!I129</f>
        <v>0</v>
      </c>
      <c r="J27" s="161" t="n">
        <f aca="false">'Lead NA'!J129</f>
        <v>0</v>
      </c>
      <c r="K27" s="161" t="n">
        <f aca="false">'Lead NA'!K129</f>
        <v>0</v>
      </c>
      <c r="L27" s="161" t="n">
        <f aca="false">'Lead NA'!L129</f>
        <v>0</v>
      </c>
      <c r="M27" s="161" t="n">
        <f aca="false">'Lead NA'!M129</f>
        <v>0</v>
      </c>
    </row>
    <row r="28" customFormat="false" ht="11.25" hidden="false" customHeight="true" outlineLevel="1" collapsed="false">
      <c r="C28" s="51" t="str">
        <f aca="false">'Lead NA'!C138</f>
        <v>Steuerrückstellungen</v>
      </c>
      <c r="D28" s="51" t="str">
        <f aca="false">'Lead NA'!D138</f>
        <v>Tax provisions</v>
      </c>
      <c r="E28" s="159" t="n">
        <f aca="false">'Lead NA'!E138</f>
        <v>0</v>
      </c>
      <c r="F28" s="159" t="n">
        <f aca="false">'Lead NA'!F138</f>
        <v>0</v>
      </c>
      <c r="G28" s="159" t="n">
        <f aca="false">'Lead NA'!G138</f>
        <v>0</v>
      </c>
      <c r="H28" s="159" t="n">
        <f aca="false">'Lead NA'!H138</f>
        <v>0</v>
      </c>
      <c r="I28" s="160" t="n">
        <f aca="false">'Lead NA'!I138</f>
        <v>0</v>
      </c>
      <c r="J28" s="161" t="n">
        <f aca="false">'Lead NA'!J138</f>
        <v>0</v>
      </c>
      <c r="K28" s="161" t="n">
        <f aca="false">'Lead NA'!K138</f>
        <v>0</v>
      </c>
      <c r="L28" s="161" t="n">
        <f aca="false">'Lead NA'!L138</f>
        <v>0</v>
      </c>
      <c r="M28" s="161" t="n">
        <f aca="false">'Lead NA'!M138</f>
        <v>0</v>
      </c>
    </row>
    <row r="29" customFormat="false" ht="11.25" hidden="false" customHeight="true" outlineLevel="1" collapsed="false">
      <c r="C29" s="51" t="str">
        <f aca="false">'Lead NA'!C147</f>
        <v>Verbindlichkeiten an verbundenen/beteiligten Unternehmen</v>
      </c>
      <c r="D29" s="51" t="str">
        <f aca="false">'Lead NA'!D147</f>
        <v>Liabilities to affiliated/ participating companies</v>
      </c>
      <c r="E29" s="159" t="n">
        <f aca="false">'Lead NA'!E147</f>
        <v>0</v>
      </c>
      <c r="F29" s="159" t="n">
        <f aca="false">'Lead NA'!F147</f>
        <v>0</v>
      </c>
      <c r="G29" s="159" t="n">
        <f aca="false">'Lead NA'!G147</f>
        <v>0</v>
      </c>
      <c r="H29" s="159" t="n">
        <f aca="false">'Lead NA'!H147</f>
        <v>0</v>
      </c>
      <c r="I29" s="160" t="n">
        <f aca="false">'Lead NA'!I147</f>
        <v>0</v>
      </c>
      <c r="J29" s="161" t="n">
        <f aca="false">'Lead NA'!J147</f>
        <v>0</v>
      </c>
      <c r="K29" s="161" t="n">
        <f aca="false">'Lead NA'!K147</f>
        <v>0</v>
      </c>
      <c r="L29" s="161" t="n">
        <f aca="false">'Lead NA'!L147</f>
        <v>0</v>
      </c>
      <c r="M29" s="161" t="n">
        <f aca="false">'Lead NA'!M147</f>
        <v>0</v>
      </c>
    </row>
    <row r="30" customFormat="false" ht="11.25" hidden="false" customHeight="true" outlineLevel="1" collapsed="false">
      <c r="C30" s="51" t="str">
        <f aca="false">'Lead NA'!C156</f>
        <v>Verbindlichkeiten an Gesellschafter</v>
      </c>
      <c r="D30" s="51" t="str">
        <f aca="false">'Lead NA'!D156</f>
        <v>Liabilities to shareholders</v>
      </c>
      <c r="E30" s="159" t="n">
        <f aca="false">'Lead NA'!E156</f>
        <v>0</v>
      </c>
      <c r="F30" s="159" t="n">
        <f aca="false">'Lead NA'!F156</f>
        <v>0</v>
      </c>
      <c r="G30" s="159" t="n">
        <f aca="false">'Lead NA'!G156</f>
        <v>0</v>
      </c>
      <c r="H30" s="159" t="n">
        <f aca="false">'Lead NA'!H156</f>
        <v>0</v>
      </c>
      <c r="I30" s="160" t="n">
        <f aca="false">'Lead NA'!I156</f>
        <v>0</v>
      </c>
      <c r="J30" s="161" t="n">
        <f aca="false">'Lead NA'!J156</f>
        <v>0</v>
      </c>
      <c r="K30" s="161" t="n">
        <f aca="false">'Lead NA'!K156</f>
        <v>0</v>
      </c>
      <c r="L30" s="161" t="n">
        <f aca="false">'Lead NA'!L156</f>
        <v>0</v>
      </c>
      <c r="M30" s="161" t="n">
        <f aca="false">'Lead NA'!M156</f>
        <v>0</v>
      </c>
    </row>
    <row r="31" customFormat="false" ht="11.25" hidden="false" customHeight="true" outlineLevel="1" collapsed="false">
      <c r="C31" s="51" t="str">
        <f aca="false">'Lead NA'!C165</f>
        <v>Passive Rechnungsabgrenzungsposten</v>
      </c>
      <c r="D31" s="51" t="str">
        <f aca="false">'Lead NA'!D165</f>
        <v>Deferred income</v>
      </c>
      <c r="E31" s="159" t="n">
        <f aca="false">'Lead NA'!E165</f>
        <v>0</v>
      </c>
      <c r="F31" s="159" t="n">
        <f aca="false">'Lead NA'!F165</f>
        <v>0</v>
      </c>
      <c r="G31" s="159" t="n">
        <f aca="false">'Lead NA'!G165</f>
        <v>0</v>
      </c>
      <c r="H31" s="159" t="n">
        <f aca="false">'Lead NA'!H165</f>
        <v>0</v>
      </c>
      <c r="I31" s="160" t="n">
        <f aca="false">'Lead NA'!I165</f>
        <v>0</v>
      </c>
      <c r="J31" s="161" t="n">
        <f aca="false">'Lead NA'!J165</f>
        <v>0</v>
      </c>
      <c r="K31" s="161" t="n">
        <f aca="false">'Lead NA'!K165</f>
        <v>0</v>
      </c>
      <c r="L31" s="161" t="n">
        <f aca="false">'Lead NA'!L165</f>
        <v>0</v>
      </c>
      <c r="M31" s="161" t="n">
        <f aca="false">'Lead NA'!M165</f>
        <v>0</v>
      </c>
    </row>
    <row r="32" customFormat="false" ht="11.25" hidden="true" customHeight="true" outlineLevel="2" collapsed="false">
      <c r="C32" s="51" t="str">
        <f aca="false">'Lead NA'!C174</f>
        <v>Dummy 1</v>
      </c>
      <c r="D32" s="51" t="str">
        <f aca="false">'Lead NA'!D174</f>
        <v>Dummy 1</v>
      </c>
      <c r="E32" s="159" t="n">
        <f aca="false">'Lead NA'!E174</f>
        <v>0</v>
      </c>
      <c r="F32" s="159" t="n">
        <f aca="false">'Lead NA'!F174</f>
        <v>0</v>
      </c>
      <c r="G32" s="159" t="n">
        <f aca="false">'Lead NA'!G174</f>
        <v>0</v>
      </c>
      <c r="H32" s="159" t="n">
        <f aca="false">'Lead NA'!H174</f>
        <v>0</v>
      </c>
      <c r="I32" s="160" t="n">
        <f aca="false">'Lead NA'!I174</f>
        <v>0</v>
      </c>
      <c r="J32" s="161" t="n">
        <f aca="false">'Lead NA'!J174</f>
        <v>0</v>
      </c>
      <c r="K32" s="161" t="n">
        <f aca="false">'Lead NA'!K174</f>
        <v>0</v>
      </c>
      <c r="L32" s="161" t="n">
        <f aca="false">'Lead NA'!L174</f>
        <v>0</v>
      </c>
      <c r="M32" s="161" t="n">
        <f aca="false">'Lead NA'!M174</f>
        <v>0</v>
      </c>
    </row>
    <row r="33" customFormat="false" ht="11.25" hidden="true" customHeight="true" outlineLevel="2" collapsed="false">
      <c r="C33" s="51" t="str">
        <f aca="false">'Lead NA'!C175</f>
        <v>Dummy 2</v>
      </c>
      <c r="D33" s="51" t="str">
        <f aca="false">'Lead NA'!D175</f>
        <v>Dummy 2</v>
      </c>
      <c r="E33" s="159" t="n">
        <f aca="false">'Lead NA'!E175</f>
        <v>0</v>
      </c>
      <c r="F33" s="159" t="n">
        <f aca="false">'Lead NA'!F175</f>
        <v>0</v>
      </c>
      <c r="G33" s="159" t="n">
        <f aca="false">'Lead NA'!G175</f>
        <v>0</v>
      </c>
      <c r="H33" s="159" t="n">
        <f aca="false">'Lead NA'!H175</f>
        <v>0</v>
      </c>
      <c r="I33" s="160" t="n">
        <f aca="false">'Lead NA'!I175</f>
        <v>0</v>
      </c>
      <c r="J33" s="161" t="n">
        <f aca="false">'Lead NA'!J175</f>
        <v>0</v>
      </c>
      <c r="K33" s="161" t="n">
        <f aca="false">'Lead NA'!K175</f>
        <v>0</v>
      </c>
      <c r="L33" s="161" t="n">
        <f aca="false">'Lead NA'!L175</f>
        <v>0</v>
      </c>
      <c r="M33" s="161" t="n">
        <f aca="false">'Lead NA'!M175</f>
        <v>0</v>
      </c>
    </row>
    <row r="34" customFormat="false" ht="11.25" hidden="true" customHeight="true" outlineLevel="2" collapsed="false">
      <c r="C34" s="51" t="str">
        <f aca="false">'Lead NA'!C176</f>
        <v>Dummy 3</v>
      </c>
      <c r="D34" s="51" t="str">
        <f aca="false">'Lead NA'!D176</f>
        <v>Dummy 3</v>
      </c>
      <c r="E34" s="159" t="n">
        <f aca="false">'Lead NA'!E176</f>
        <v>0</v>
      </c>
      <c r="F34" s="159" t="n">
        <f aca="false">'Lead NA'!F176</f>
        <v>0</v>
      </c>
      <c r="G34" s="159" t="n">
        <f aca="false">'Lead NA'!G176</f>
        <v>0</v>
      </c>
      <c r="H34" s="159" t="n">
        <f aca="false">'Lead NA'!H176</f>
        <v>0</v>
      </c>
      <c r="I34" s="160" t="n">
        <f aca="false">'Lead NA'!I176</f>
        <v>0</v>
      </c>
      <c r="J34" s="161" t="n">
        <f aca="false">'Lead NA'!J176</f>
        <v>0</v>
      </c>
      <c r="K34" s="161" t="n">
        <f aca="false">'Lead NA'!K176</f>
        <v>0</v>
      </c>
      <c r="L34" s="161" t="n">
        <f aca="false">'Lead NA'!L176</f>
        <v>0</v>
      </c>
      <c r="M34" s="161" t="n">
        <f aca="false">'Lead NA'!M176</f>
        <v>0</v>
      </c>
    </row>
    <row r="35" customFormat="false" ht="11.25" hidden="false" customHeight="true" outlineLevel="1" collapsed="true">
      <c r="C35" s="171" t="str">
        <f aca="false">'Lead NA'!C177</f>
        <v>Sonstige Passiva</v>
      </c>
      <c r="D35" s="171" t="str">
        <f aca="false">'Lead NA'!D177</f>
        <v>Other liabilities</v>
      </c>
      <c r="E35" s="172" t="n">
        <f aca="false">SUM(E26:E34)</f>
        <v>0</v>
      </c>
      <c r="F35" s="172" t="n">
        <f aca="false">SUM(F26:F34)</f>
        <v>0</v>
      </c>
      <c r="G35" s="172" t="n">
        <f aca="false">SUM(G26:G34)</f>
        <v>0</v>
      </c>
      <c r="H35" s="172" t="n">
        <f aca="false">SUM(H26:H34)</f>
        <v>0</v>
      </c>
      <c r="I35" s="173" t="n">
        <f aca="false">SUM(I26:I34)</f>
        <v>0</v>
      </c>
      <c r="J35" s="174" t="n">
        <f aca="false">SUM(J26:J34)</f>
        <v>0</v>
      </c>
      <c r="K35" s="174" t="n">
        <f aca="false">SUM(K26:K34)</f>
        <v>0</v>
      </c>
      <c r="L35" s="174" t="n">
        <f aca="false">SUM(L26:L34)</f>
        <v>0</v>
      </c>
      <c r="M35" s="174" t="n">
        <f aca="false">SUM(M26:M34)</f>
        <v>0</v>
      </c>
    </row>
    <row r="36" customFormat="false" ht="11.25" hidden="false" customHeight="true" outlineLevel="0" collapsed="false">
      <c r="C36" s="175" t="str">
        <f aca="false">'Lead NA'!C178 &amp; " - as reported"</f>
        <v>Other Working Capital - as reported</v>
      </c>
      <c r="D36" s="175" t="str">
        <f aca="false">'Lead NA'!D178 &amp; " - as reported"</f>
        <v>Other working capital - as reported</v>
      </c>
      <c r="E36" s="175" t="n">
        <f aca="false">E35+E25</f>
        <v>0</v>
      </c>
      <c r="F36" s="175" t="n">
        <f aca="false">F35+F25</f>
        <v>0</v>
      </c>
      <c r="G36" s="175" t="n">
        <f aca="false">G35+G25</f>
        <v>0</v>
      </c>
      <c r="H36" s="175" t="n">
        <f aca="false">H35+H25</f>
        <v>0</v>
      </c>
      <c r="I36" s="176" t="n">
        <f aca="false">I35+I25</f>
        <v>0</v>
      </c>
      <c r="J36" s="177" t="n">
        <f aca="false">J35+J25</f>
        <v>0</v>
      </c>
      <c r="K36" s="177" t="n">
        <f aca="false">K35+K25</f>
        <v>0</v>
      </c>
      <c r="L36" s="177" t="n">
        <f aca="false">L35+L25</f>
        <v>0</v>
      </c>
      <c r="M36" s="177" t="n">
        <f aca="false">M35+M25</f>
        <v>0</v>
      </c>
    </row>
    <row r="37" customFormat="false" ht="11.25" hidden="false" customHeight="true" outlineLevel="0" collapsed="false">
      <c r="C37" s="178" t="str">
        <f aca="false">'Lead NA'!C179 &amp; " - as reported"</f>
        <v>Net Working Capital - as reported</v>
      </c>
      <c r="D37" s="178" t="str">
        <f aca="false">'Lead NA'!D179 &amp; " - as reported"</f>
        <v>Net working capital - as reported</v>
      </c>
      <c r="E37" s="178" t="n">
        <f aca="false">E36+E16</f>
        <v>0</v>
      </c>
      <c r="F37" s="178" t="n">
        <f aca="false">F36+F16</f>
        <v>0</v>
      </c>
      <c r="G37" s="178" t="n">
        <f aca="false">G36+G16</f>
        <v>0</v>
      </c>
      <c r="H37" s="178" t="n">
        <f aca="false">H36+H16</f>
        <v>0</v>
      </c>
      <c r="I37" s="179" t="n">
        <f aca="false">I36+I16</f>
        <v>0</v>
      </c>
      <c r="J37" s="180" t="n">
        <f aca="false">J36+J16</f>
        <v>0</v>
      </c>
      <c r="K37" s="180" t="n">
        <f aca="false">K36+K16</f>
        <v>0</v>
      </c>
      <c r="L37" s="180" t="n">
        <f aca="false">L36+L16</f>
        <v>0</v>
      </c>
      <c r="M37" s="180" t="n">
        <f aca="false">M36+M16</f>
        <v>0</v>
      </c>
    </row>
    <row r="38" customFormat="false" ht="4.5" hidden="false" customHeight="true" outlineLevel="0" collapsed="false">
      <c r="C38" s="51"/>
      <c r="D38" s="51"/>
      <c r="E38" s="327"/>
      <c r="F38" s="327"/>
      <c r="G38" s="327"/>
      <c r="H38" s="327"/>
      <c r="I38" s="328"/>
      <c r="J38" s="329"/>
      <c r="K38" s="329"/>
      <c r="L38" s="329"/>
      <c r="M38" s="329"/>
    </row>
    <row r="39" customFormat="false" ht="11.25" hidden="false" customHeight="true" outlineLevel="0" collapsed="false">
      <c r="C39" s="132" t="s">
        <v>749</v>
      </c>
      <c r="D39" s="333" t="s">
        <v>750</v>
      </c>
      <c r="E39" s="327"/>
      <c r="F39" s="327"/>
      <c r="G39" s="327"/>
      <c r="H39" s="327"/>
      <c r="I39" s="328"/>
      <c r="J39" s="329"/>
      <c r="K39" s="329"/>
      <c r="L39" s="329"/>
      <c r="M39" s="329"/>
    </row>
    <row r="40" customFormat="false" ht="4.5" hidden="true" customHeight="true" outlineLevel="1" collapsed="false">
      <c r="C40" s="132"/>
      <c r="D40" s="333"/>
      <c r="E40" s="327"/>
      <c r="F40" s="327"/>
      <c r="G40" s="327"/>
      <c r="H40" s="327"/>
      <c r="I40" s="328"/>
      <c r="J40" s="329"/>
      <c r="K40" s="329"/>
      <c r="L40" s="329"/>
      <c r="M40" s="329"/>
    </row>
    <row r="41" customFormat="false" ht="11.25" hidden="true" customHeight="true" outlineLevel="1" collapsed="false">
      <c r="C41" s="132" t="s">
        <v>751</v>
      </c>
      <c r="D41" s="333" t="s">
        <v>752</v>
      </c>
      <c r="E41" s="327"/>
      <c r="F41" s="327"/>
      <c r="G41" s="327"/>
      <c r="H41" s="327"/>
      <c r="I41" s="328"/>
      <c r="J41" s="329"/>
      <c r="K41" s="329"/>
      <c r="L41" s="329"/>
      <c r="M41" s="329"/>
    </row>
    <row r="42" customFormat="false" ht="11.25" hidden="true" customHeight="true" outlineLevel="1" collapsed="false">
      <c r="C42" s="91" t="s">
        <v>234</v>
      </c>
      <c r="D42" s="91" t="s">
        <v>234</v>
      </c>
      <c r="E42" s="327"/>
      <c r="F42" s="327"/>
      <c r="G42" s="327"/>
      <c r="H42" s="327"/>
      <c r="I42" s="328"/>
      <c r="J42" s="329"/>
      <c r="K42" s="329"/>
      <c r="L42" s="329"/>
      <c r="M42" s="329"/>
      <c r="P42" s="314" t="s">
        <v>320</v>
      </c>
    </row>
    <row r="43" customFormat="false" ht="11.25" hidden="true" customHeight="true" outlineLevel="1" collapsed="false">
      <c r="C43" s="91" t="s">
        <v>235</v>
      </c>
      <c r="D43" s="91" t="s">
        <v>235</v>
      </c>
      <c r="E43" s="327"/>
      <c r="F43" s="327"/>
      <c r="G43" s="327"/>
      <c r="H43" s="327"/>
      <c r="I43" s="328"/>
      <c r="J43" s="329"/>
      <c r="K43" s="329"/>
      <c r="L43" s="329"/>
      <c r="M43" s="329"/>
      <c r="P43" s="314" t="s">
        <v>322</v>
      </c>
    </row>
    <row r="44" customFormat="false" ht="11.25" hidden="true" customHeight="true" outlineLevel="1" collapsed="false">
      <c r="C44" s="91" t="s">
        <v>236</v>
      </c>
      <c r="D44" s="91" t="s">
        <v>236</v>
      </c>
      <c r="E44" s="327"/>
      <c r="F44" s="327"/>
      <c r="G44" s="327"/>
      <c r="H44" s="327"/>
      <c r="I44" s="328"/>
      <c r="J44" s="329"/>
      <c r="K44" s="329"/>
      <c r="L44" s="329"/>
      <c r="M44" s="329"/>
      <c r="P44" s="314" t="s">
        <v>324</v>
      </c>
    </row>
    <row r="45" customFormat="false" ht="11.25" hidden="true" customHeight="true" outlineLevel="1" collapsed="false">
      <c r="C45" s="91" t="s">
        <v>237</v>
      </c>
      <c r="D45" s="91" t="s">
        <v>237</v>
      </c>
      <c r="E45" s="327"/>
      <c r="F45" s="327"/>
      <c r="G45" s="327"/>
      <c r="H45" s="327"/>
      <c r="I45" s="328"/>
      <c r="J45" s="329"/>
      <c r="K45" s="329"/>
      <c r="L45" s="329"/>
      <c r="M45" s="329"/>
      <c r="P45" s="314" t="s">
        <v>326</v>
      </c>
    </row>
    <row r="46" customFormat="false" ht="11.25" hidden="true" customHeight="true" outlineLevel="1" collapsed="false">
      <c r="C46" s="91" t="s">
        <v>672</v>
      </c>
      <c r="D46" s="91" t="s">
        <v>672</v>
      </c>
      <c r="E46" s="327"/>
      <c r="F46" s="327"/>
      <c r="G46" s="327"/>
      <c r="H46" s="327"/>
      <c r="I46" s="328"/>
      <c r="J46" s="329"/>
      <c r="K46" s="329"/>
      <c r="L46" s="329"/>
      <c r="M46" s="329"/>
      <c r="P46" s="314" t="s">
        <v>328</v>
      </c>
    </row>
    <row r="47" customFormat="false" ht="11.25" hidden="true" customHeight="true" outlineLevel="1" collapsed="false">
      <c r="C47" s="91" t="s">
        <v>673</v>
      </c>
      <c r="D47" s="91" t="s">
        <v>673</v>
      </c>
      <c r="E47" s="327"/>
      <c r="F47" s="327"/>
      <c r="G47" s="327"/>
      <c r="H47" s="327"/>
      <c r="I47" s="328"/>
      <c r="J47" s="329"/>
      <c r="K47" s="329"/>
      <c r="L47" s="329"/>
      <c r="M47" s="329"/>
      <c r="P47" s="314" t="s">
        <v>330</v>
      </c>
    </row>
    <row r="48" customFormat="false" ht="11.25" hidden="false" customHeight="true" outlineLevel="0" collapsed="false">
      <c r="C48" s="181" t="s">
        <v>753</v>
      </c>
      <c r="D48" s="181" t="str">
        <f aca="false">D41 &amp; " - total"</f>
        <v>Reclassification to net debt - total</v>
      </c>
      <c r="E48" s="330" t="n">
        <f aca="false">SUM(E42:E47)</f>
        <v>0</v>
      </c>
      <c r="F48" s="330" t="n">
        <f aca="false">SUM(F42:F47)</f>
        <v>0</v>
      </c>
      <c r="G48" s="330" t="n">
        <f aca="false">SUM(G42:G47)</f>
        <v>0</v>
      </c>
      <c r="H48" s="330" t="n">
        <f aca="false">SUM(H42:H47)</f>
        <v>0</v>
      </c>
      <c r="I48" s="331" t="n">
        <f aca="false">SUM(I42:I47)</f>
        <v>0</v>
      </c>
      <c r="J48" s="332" t="n">
        <f aca="false">SUM(J42:J47)</f>
        <v>0</v>
      </c>
      <c r="K48" s="332" t="n">
        <f aca="false">SUM(K42:K47)</f>
        <v>0</v>
      </c>
      <c r="L48" s="332" t="n">
        <f aca="false">SUM(L42:L47)</f>
        <v>0</v>
      </c>
      <c r="M48" s="332" t="n">
        <f aca="false">SUM(M42:M47)</f>
        <v>0</v>
      </c>
    </row>
    <row r="49" customFormat="false" ht="4.5" hidden="true" customHeight="true" outlineLevel="1" collapsed="false">
      <c r="C49" s="132"/>
      <c r="D49" s="333"/>
      <c r="E49" s="327"/>
      <c r="F49" s="327"/>
      <c r="G49" s="327"/>
      <c r="H49" s="327"/>
      <c r="I49" s="328"/>
      <c r="J49" s="329"/>
      <c r="K49" s="329"/>
      <c r="L49" s="329"/>
      <c r="M49" s="329"/>
    </row>
    <row r="50" customFormat="false" ht="11.25" hidden="true" customHeight="true" outlineLevel="1" collapsed="false">
      <c r="C50" s="132" t="s">
        <v>754</v>
      </c>
      <c r="D50" s="333" t="s">
        <v>755</v>
      </c>
      <c r="E50" s="327"/>
      <c r="F50" s="327"/>
      <c r="G50" s="327"/>
      <c r="H50" s="327"/>
      <c r="I50" s="328"/>
      <c r="J50" s="329"/>
      <c r="K50" s="329"/>
      <c r="L50" s="329"/>
      <c r="M50" s="329"/>
    </row>
    <row r="51" customFormat="false" ht="12" hidden="true" customHeight="true" outlineLevel="1" collapsed="false">
      <c r="C51" s="91" t="s">
        <v>234</v>
      </c>
      <c r="D51" s="91" t="s">
        <v>234</v>
      </c>
      <c r="E51" s="327"/>
      <c r="F51" s="327"/>
      <c r="G51" s="327"/>
      <c r="H51" s="327"/>
      <c r="I51" s="328"/>
      <c r="J51" s="329"/>
      <c r="K51" s="329"/>
      <c r="L51" s="329"/>
      <c r="M51" s="329"/>
      <c r="P51" s="314" t="s">
        <v>296</v>
      </c>
    </row>
    <row r="52" customFormat="false" ht="12" hidden="true" customHeight="true" outlineLevel="1" collapsed="false">
      <c r="C52" s="91" t="s">
        <v>235</v>
      </c>
      <c r="D52" s="91" t="s">
        <v>235</v>
      </c>
      <c r="E52" s="327"/>
      <c r="F52" s="327"/>
      <c r="G52" s="327"/>
      <c r="H52" s="327"/>
      <c r="I52" s="328"/>
      <c r="J52" s="329"/>
      <c r="K52" s="329"/>
      <c r="L52" s="329"/>
      <c r="M52" s="329"/>
      <c r="P52" s="314" t="s">
        <v>298</v>
      </c>
    </row>
    <row r="53" customFormat="false" ht="12" hidden="true" customHeight="true" outlineLevel="1" collapsed="false">
      <c r="C53" s="91" t="s">
        <v>236</v>
      </c>
      <c r="D53" s="91" t="s">
        <v>236</v>
      </c>
      <c r="E53" s="327"/>
      <c r="F53" s="327"/>
      <c r="G53" s="327"/>
      <c r="H53" s="327"/>
      <c r="I53" s="328"/>
      <c r="J53" s="329"/>
      <c r="K53" s="329"/>
      <c r="L53" s="329"/>
      <c r="M53" s="329"/>
      <c r="P53" s="314" t="s">
        <v>300</v>
      </c>
    </row>
    <row r="54" customFormat="false" ht="12" hidden="true" customHeight="true" outlineLevel="1" collapsed="false">
      <c r="C54" s="91" t="s">
        <v>237</v>
      </c>
      <c r="D54" s="91" t="s">
        <v>237</v>
      </c>
      <c r="E54" s="327"/>
      <c r="F54" s="327"/>
      <c r="G54" s="327"/>
      <c r="H54" s="327"/>
      <c r="I54" s="328"/>
      <c r="J54" s="329"/>
      <c r="K54" s="329"/>
      <c r="L54" s="329"/>
      <c r="M54" s="329"/>
      <c r="P54" s="314" t="s">
        <v>314</v>
      </c>
    </row>
    <row r="55" customFormat="false" ht="12" hidden="false" customHeight="true" outlineLevel="0" collapsed="false">
      <c r="C55" s="181" t="str">
        <f aca="false">C50 &amp; " - gesamt"</f>
        <v>Umgliederung aus NWC - gesamt</v>
      </c>
      <c r="D55" s="181" t="str">
        <f aca="false">D50 &amp; " - total"</f>
        <v>Reclassification out of NWC - total</v>
      </c>
      <c r="E55" s="330" t="n">
        <f aca="false">SUM(E51:E54)</f>
        <v>0</v>
      </c>
      <c r="F55" s="330" t="n">
        <f aca="false">SUM(F51:F54)</f>
        <v>0</v>
      </c>
      <c r="G55" s="330" t="n">
        <f aca="false">SUM(G51:G54)</f>
        <v>0</v>
      </c>
      <c r="H55" s="330" t="n">
        <f aca="false">SUM(H51:H54)</f>
        <v>0</v>
      </c>
      <c r="I55" s="331" t="n">
        <f aca="false">SUM(I51:I54)</f>
        <v>0</v>
      </c>
      <c r="J55" s="332" t="n">
        <f aca="false">SUM(J51:J54)</f>
        <v>0</v>
      </c>
      <c r="K55" s="332" t="n">
        <f aca="false">SUM(K51:K54)</f>
        <v>0</v>
      </c>
      <c r="L55" s="332" t="n">
        <f aca="false">SUM(L51:L54)</f>
        <v>0</v>
      </c>
      <c r="M55" s="332" t="n">
        <f aca="false">SUM(M51:M54)</f>
        <v>0</v>
      </c>
    </row>
    <row r="56" customFormat="false" ht="4.5" hidden="false" customHeight="true" outlineLevel="0" collapsed="false">
      <c r="C56" s="91"/>
      <c r="D56" s="91"/>
      <c r="E56" s="327"/>
      <c r="F56" s="327"/>
      <c r="G56" s="327"/>
      <c r="H56" s="327"/>
      <c r="I56" s="328"/>
      <c r="J56" s="329"/>
      <c r="K56" s="329"/>
      <c r="L56" s="329"/>
      <c r="M56" s="329"/>
    </row>
    <row r="57" customFormat="false" ht="12" hidden="false" customHeight="true" outlineLevel="0" collapsed="false">
      <c r="C57" s="181" t="s">
        <v>756</v>
      </c>
      <c r="D57" s="181" t="s">
        <v>757</v>
      </c>
      <c r="E57" s="319" t="n">
        <f aca="false">E48+E55</f>
        <v>0</v>
      </c>
      <c r="F57" s="319" t="n">
        <f aca="false">F48+F55</f>
        <v>0</v>
      </c>
      <c r="G57" s="319" t="n">
        <f aca="false">G48+G55</f>
        <v>0</v>
      </c>
      <c r="H57" s="319" t="n">
        <f aca="false">H48+H55</f>
        <v>0</v>
      </c>
      <c r="I57" s="334" t="n">
        <f aca="false">I48+I55</f>
        <v>0</v>
      </c>
      <c r="J57" s="335" t="n">
        <f aca="false">J48+J55</f>
        <v>0</v>
      </c>
      <c r="K57" s="335" t="n">
        <f aca="false">K48+K55</f>
        <v>0</v>
      </c>
      <c r="L57" s="335" t="n">
        <f aca="false">L48+L55</f>
        <v>0</v>
      </c>
      <c r="M57" s="335" t="n">
        <f aca="false">M48+M55</f>
        <v>0</v>
      </c>
    </row>
    <row r="58" customFormat="false" ht="12" hidden="false" customHeight="true" outlineLevel="0" collapsed="false">
      <c r="C58" s="181" t="s">
        <v>758</v>
      </c>
      <c r="D58" s="181" t="s">
        <v>759</v>
      </c>
      <c r="E58" s="319" t="n">
        <f aca="false">E16+E57</f>
        <v>0</v>
      </c>
      <c r="F58" s="319" t="n">
        <f aca="false">F16+F57</f>
        <v>0</v>
      </c>
      <c r="G58" s="319" t="n">
        <f aca="false">G16+G57</f>
        <v>0</v>
      </c>
      <c r="H58" s="319" t="n">
        <f aca="false">H16+H57</f>
        <v>0</v>
      </c>
      <c r="I58" s="334" t="n">
        <f aca="false">I16+I57</f>
        <v>0</v>
      </c>
      <c r="J58" s="335" t="n">
        <f aca="false">J16+J57</f>
        <v>0</v>
      </c>
      <c r="K58" s="335" t="n">
        <f aca="false">K16+K57</f>
        <v>0</v>
      </c>
      <c r="L58" s="335" t="n">
        <f aca="false">L16+L57</f>
        <v>0</v>
      </c>
      <c r="M58" s="335" t="n">
        <f aca="false">M16+M57</f>
        <v>0</v>
      </c>
    </row>
    <row r="59" customFormat="false" ht="12" hidden="false" customHeight="true" outlineLevel="1" collapsed="false">
      <c r="C59" s="51"/>
      <c r="D59" s="51"/>
      <c r="E59" s="327"/>
      <c r="F59" s="327"/>
      <c r="G59" s="327"/>
      <c r="H59" s="327"/>
      <c r="I59" s="328"/>
      <c r="J59" s="329"/>
      <c r="K59" s="329"/>
      <c r="L59" s="329"/>
      <c r="M59" s="329"/>
    </row>
    <row r="60" customFormat="false" ht="12" hidden="false" customHeight="true" outlineLevel="1" collapsed="false">
      <c r="C60" s="132" t="s">
        <v>719</v>
      </c>
      <c r="D60" s="132" t="s">
        <v>719</v>
      </c>
      <c r="E60" s="327"/>
      <c r="F60" s="327"/>
      <c r="G60" s="327"/>
      <c r="H60" s="327"/>
      <c r="I60" s="328"/>
      <c r="J60" s="329"/>
      <c r="K60" s="329"/>
      <c r="L60" s="329"/>
      <c r="M60" s="329"/>
    </row>
    <row r="61" customFormat="false" ht="12" hidden="false" customHeight="true" outlineLevel="1" collapsed="false">
      <c r="C61" s="91" t="s">
        <v>234</v>
      </c>
      <c r="D61" s="91" t="s">
        <v>234</v>
      </c>
      <c r="E61" s="327"/>
      <c r="F61" s="327"/>
      <c r="G61" s="327"/>
      <c r="H61" s="327"/>
      <c r="I61" s="328"/>
      <c r="J61" s="329"/>
      <c r="K61" s="329"/>
      <c r="L61" s="329"/>
      <c r="M61" s="329"/>
      <c r="P61" s="314" t="s">
        <v>332</v>
      </c>
    </row>
    <row r="62" customFormat="false" ht="12" hidden="false" customHeight="true" outlineLevel="1" collapsed="false">
      <c r="C62" s="91" t="s">
        <v>235</v>
      </c>
      <c r="D62" s="91" t="s">
        <v>235</v>
      </c>
      <c r="E62" s="327"/>
      <c r="F62" s="327"/>
      <c r="G62" s="327"/>
      <c r="H62" s="327"/>
      <c r="I62" s="328"/>
      <c r="J62" s="329"/>
      <c r="K62" s="329"/>
      <c r="L62" s="329"/>
      <c r="M62" s="329"/>
      <c r="P62" s="314" t="s">
        <v>334</v>
      </c>
    </row>
    <row r="63" customFormat="false" ht="12" hidden="false" customHeight="true" outlineLevel="1" collapsed="false">
      <c r="C63" s="91" t="s">
        <v>236</v>
      </c>
      <c r="D63" s="91" t="s">
        <v>236</v>
      </c>
      <c r="E63" s="327"/>
      <c r="F63" s="327"/>
      <c r="G63" s="327"/>
      <c r="H63" s="327"/>
      <c r="I63" s="328"/>
      <c r="J63" s="329"/>
      <c r="K63" s="329"/>
      <c r="L63" s="329"/>
      <c r="M63" s="329"/>
      <c r="P63" s="314" t="s">
        <v>336</v>
      </c>
    </row>
    <row r="64" customFormat="false" ht="12" hidden="false" customHeight="true" outlineLevel="0" collapsed="false">
      <c r="C64" s="181" t="s">
        <v>720</v>
      </c>
      <c r="D64" s="181" t="s">
        <v>720</v>
      </c>
      <c r="E64" s="319" t="n">
        <f aca="false">SUM(E61:E63)</f>
        <v>0</v>
      </c>
      <c r="F64" s="319" t="n">
        <f aca="false">SUM(F61:F63)</f>
        <v>0</v>
      </c>
      <c r="G64" s="319" t="n">
        <f aca="false">SUM(G61:G63)</f>
        <v>0</v>
      </c>
      <c r="H64" s="319" t="n">
        <f aca="false">SUM(H61:H63)</f>
        <v>0</v>
      </c>
      <c r="I64" s="334" t="n">
        <f aca="false">SUM(I61:I63)</f>
        <v>0</v>
      </c>
      <c r="J64" s="335" t="n">
        <f aca="false">SUM(J61:J63)</f>
        <v>0</v>
      </c>
      <c r="K64" s="335" t="n">
        <f aca="false">SUM(K61:K63)</f>
        <v>0</v>
      </c>
      <c r="L64" s="335" t="n">
        <f aca="false">SUM(L61:L63)</f>
        <v>0</v>
      </c>
      <c r="M64" s="335" t="n">
        <f aca="false">SUM(M61:M63)</f>
        <v>0</v>
      </c>
    </row>
    <row r="65" customFormat="false" ht="12" hidden="false" customHeight="true" outlineLevel="1" collapsed="false">
      <c r="C65" s="51"/>
      <c r="D65" s="51"/>
      <c r="E65" s="327"/>
      <c r="F65" s="327"/>
      <c r="G65" s="327"/>
      <c r="H65" s="327"/>
      <c r="I65" s="328"/>
      <c r="J65" s="329"/>
      <c r="K65" s="329"/>
      <c r="L65" s="329"/>
      <c r="M65" s="329"/>
    </row>
    <row r="66" customFormat="false" ht="12" hidden="true" customHeight="true" outlineLevel="2" collapsed="false">
      <c r="C66" s="51" t="s">
        <v>410</v>
      </c>
      <c r="D66" s="51" t="s">
        <v>760</v>
      </c>
      <c r="E66" s="327" t="n">
        <f aca="false">'Lead PL'!E9</f>
        <v>0</v>
      </c>
      <c r="F66" s="327" t="n">
        <f aca="false">'Lead PL'!F9</f>
        <v>0</v>
      </c>
      <c r="G66" s="327" t="n">
        <f aca="false">'Lead PL'!G9</f>
        <v>0</v>
      </c>
      <c r="H66" s="327" t="n">
        <f aca="false">'Lead PL'!H9</f>
        <v>0</v>
      </c>
      <c r="I66" s="328" t="n">
        <f aca="false">'Lead PL'!I9</f>
        <v>0</v>
      </c>
      <c r="J66" s="329" t="n">
        <f aca="false">'Lead PL'!K9</f>
        <v>0</v>
      </c>
      <c r="K66" s="329" t="n">
        <f aca="false">'Lead PL'!L9</f>
        <v>0</v>
      </c>
      <c r="L66" s="329" t="n">
        <f aca="false">'Lead PL'!M9</f>
        <v>0</v>
      </c>
      <c r="M66" s="329" t="n">
        <f aca="false">'Lead PL'!N9</f>
        <v>0</v>
      </c>
    </row>
    <row r="67" customFormat="false" ht="12" hidden="true" customHeight="true" outlineLevel="2" collapsed="false">
      <c r="C67" s="51" t="s">
        <v>423</v>
      </c>
      <c r="D67" s="51" t="s">
        <v>761</v>
      </c>
      <c r="E67" s="327" t="n">
        <f aca="false">'Lead PL'!E40</f>
        <v>0</v>
      </c>
      <c r="F67" s="327" t="n">
        <f aca="false">'Lead PL'!F40</f>
        <v>0</v>
      </c>
      <c r="G67" s="327" t="n">
        <f aca="false">'Lead PL'!G40</f>
        <v>0</v>
      </c>
      <c r="H67" s="327" t="n">
        <f aca="false">'Lead PL'!H40</f>
        <v>0</v>
      </c>
      <c r="I67" s="328" t="n">
        <f aca="false">'Lead PL'!I40</f>
        <v>0</v>
      </c>
      <c r="J67" s="329" t="n">
        <f aca="false">'Lead PL'!K40</f>
        <v>0</v>
      </c>
      <c r="K67" s="329" t="n">
        <f aca="false">'Lead PL'!L40</f>
        <v>0</v>
      </c>
      <c r="L67" s="329" t="n">
        <f aca="false">'Lead PL'!M40</f>
        <v>0</v>
      </c>
      <c r="M67" s="329" t="n">
        <f aca="false">'Lead PL'!N40</f>
        <v>0</v>
      </c>
    </row>
    <row r="68" customFormat="false" ht="12" hidden="true" customHeight="true" outlineLevel="2" collapsed="false">
      <c r="C68" s="51" t="s">
        <v>762</v>
      </c>
      <c r="D68" s="51" t="s">
        <v>763</v>
      </c>
      <c r="E68" s="327" t="n">
        <v>365</v>
      </c>
      <c r="F68" s="327" t="n">
        <v>365</v>
      </c>
      <c r="G68" s="327" t="n">
        <v>365</v>
      </c>
      <c r="H68" s="327" t="n">
        <v>365</v>
      </c>
      <c r="I68" s="328" t="n">
        <f aca="false">Cockpit!C22-Cockpit!C21</f>
        <v>150</v>
      </c>
      <c r="J68" s="329" t="n">
        <v>365</v>
      </c>
      <c r="K68" s="329" t="n">
        <v>365</v>
      </c>
      <c r="L68" s="329" t="n">
        <v>365</v>
      </c>
      <c r="M68" s="329" t="n">
        <v>365</v>
      </c>
    </row>
    <row r="69" customFormat="false" ht="4.5" hidden="false" customHeight="true" outlineLevel="1" collapsed="true">
      <c r="C69" s="51"/>
      <c r="D69" s="51"/>
      <c r="E69" s="327"/>
      <c r="F69" s="327"/>
      <c r="G69" s="327"/>
      <c r="H69" s="327"/>
      <c r="I69" s="328"/>
      <c r="J69" s="329"/>
      <c r="K69" s="329"/>
      <c r="L69" s="329"/>
      <c r="M69" s="329"/>
    </row>
    <row r="70" customFormat="false" ht="12" hidden="false" customHeight="true" outlineLevel="1" collapsed="false">
      <c r="C70" s="51" t="s">
        <v>764</v>
      </c>
      <c r="D70" s="51" t="s">
        <v>248</v>
      </c>
      <c r="E70" s="159" t="str">
        <f aca="false">IFERROR(-AVERAGE(E9:E9)/E67*E68,"n/a")</f>
        <v>n/a</v>
      </c>
      <c r="F70" s="159" t="str">
        <f aca="false">IFERROR(-AVERAGE(F9:F9)/F67*F68,"n/a")</f>
        <v>n/a</v>
      </c>
      <c r="G70" s="159" t="str">
        <f aca="false">IFERROR(-AVERAGE(G9:G9)/G67*G68,"n/a")</f>
        <v>n/a</v>
      </c>
      <c r="H70" s="159" t="str">
        <f aca="false">IFERROR(-AVERAGE(H9:H9)/H67*H68,"n/a")</f>
        <v>n/a</v>
      </c>
      <c r="I70" s="160" t="str">
        <f aca="false">IFERROR(-AVERAGE(I9:I9)/I67*I68,"n/a")</f>
        <v>n/a</v>
      </c>
      <c r="J70" s="161" t="str">
        <f aca="false">IFERROR(-AVERAGE(J9:J9)/J67*J68,"n/a")</f>
        <v>n/a</v>
      </c>
      <c r="K70" s="161" t="str">
        <f aca="false">IFERROR(-AVERAGE(K9:K9)/K67*K68,"n/a")</f>
        <v>n/a</v>
      </c>
      <c r="L70" s="161" t="str">
        <f aca="false">IFERROR(-AVERAGE(L9:L9)/L67*L68,"n/a")</f>
        <v>n/a</v>
      </c>
      <c r="M70" s="161" t="str">
        <f aca="false">IFERROR(-AVERAGE(M9:M9)/M67*M68,"n/a")</f>
        <v>n/a</v>
      </c>
    </row>
    <row r="71" customFormat="false" ht="12" hidden="false" customHeight="true" outlineLevel="1" collapsed="false">
      <c r="C71" s="51" t="s">
        <v>765</v>
      </c>
      <c r="D71" s="51" t="s">
        <v>249</v>
      </c>
      <c r="E71" s="159" t="str">
        <f aca="false">IFERROR(-AVERAGE(E10:E10)/-E66*E68,"n/a")</f>
        <v>n/a</v>
      </c>
      <c r="F71" s="159" t="str">
        <f aca="false">IFERROR(-AVERAGE(F10:F10)/-F66*F68,"n/a")</f>
        <v>n/a</v>
      </c>
      <c r="G71" s="159" t="str">
        <f aca="false">IFERROR(-AVERAGE(G10:G10)/-G66*G$68,"n/a")</f>
        <v>n/a</v>
      </c>
      <c r="H71" s="159" t="str">
        <f aca="false">IFERROR(-AVERAGE(H10:H10)/-H66*H$68,"n/a")</f>
        <v>n/a</v>
      </c>
      <c r="I71" s="160" t="str">
        <f aca="false">IFERROR(-AVERAGE(I10:I10)/-I66*I$68,"n/a")</f>
        <v>n/a</v>
      </c>
      <c r="J71" s="161" t="str">
        <f aca="false">IFERROR(-AVERAGE(J10:J10)/-J66*J$68,"n/a")</f>
        <v>n/a</v>
      </c>
      <c r="K71" s="161" t="str">
        <f aca="false">IFERROR(-AVERAGE(K10:K10)/-K66*K$68,"n/a")</f>
        <v>n/a</v>
      </c>
      <c r="L71" s="161" t="str">
        <f aca="false">IFERROR(-AVERAGE(L10:L10)/-L66*L$68,"n/a")</f>
        <v>n/a</v>
      </c>
      <c r="M71" s="161" t="str">
        <f aca="false">IFERROR(-AVERAGE(M10:M10)/-M66*M$68,"n/a")</f>
        <v>n/a</v>
      </c>
    </row>
    <row r="72" customFormat="false" ht="12" hidden="false" customHeight="true" outlineLevel="1" collapsed="false">
      <c r="C72" s="51" t="s">
        <v>766</v>
      </c>
      <c r="D72" s="51" t="s">
        <v>250</v>
      </c>
      <c r="E72" s="159" t="str">
        <f aca="false">IFERROR(-AVERAGE(E11:E12)/E67*E68,"n/a")</f>
        <v>n/a</v>
      </c>
      <c r="F72" s="159" t="str">
        <f aca="false">IFERROR(-AVERAGE(F11:F12)/F67*F68,"n/a")</f>
        <v>n/a</v>
      </c>
      <c r="G72" s="159" t="str">
        <f aca="false">IFERROR(-AVERAGE(G11:G12)/G67*G68,"n/a")</f>
        <v>n/a</v>
      </c>
      <c r="H72" s="159" t="str">
        <f aca="false">IFERROR(-AVERAGE(H11:H12)/H67*H68,"n/a")</f>
        <v>n/a</v>
      </c>
      <c r="I72" s="160" t="str">
        <f aca="false">IFERROR(-AVERAGE(I11:I12)/I67*I68,"n/a")</f>
        <v>n/a</v>
      </c>
      <c r="J72" s="161" t="str">
        <f aca="false">IFERROR(-AVERAGE(J11:J12)/J67*J68,"n/a")</f>
        <v>n/a</v>
      </c>
      <c r="K72" s="161" t="str">
        <f aca="false">IFERROR(-AVERAGE(K11:K12)/K67*K68,"n/a")</f>
        <v>n/a</v>
      </c>
      <c r="L72" s="161" t="str">
        <f aca="false">IFERROR(-AVERAGE(L11:L12)/L67*L68,"n/a")</f>
        <v>n/a</v>
      </c>
      <c r="M72" s="161" t="str">
        <f aca="false">IFERROR(-AVERAGE(M11:M12)/M67*M68,"n/a")</f>
        <v>n/a</v>
      </c>
    </row>
    <row r="73" customFormat="false" ht="11.25" hidden="false" customHeight="true" outlineLevel="1" collapsed="false">
      <c r="C73" s="132" t="s">
        <v>106</v>
      </c>
      <c r="D73" s="132" t="s">
        <v>106</v>
      </c>
      <c r="E73" s="168" t="n">
        <f aca="false">SUM(E70:E72)</f>
        <v>0</v>
      </c>
      <c r="F73" s="168" t="n">
        <f aca="false">SUM(F70:F72)</f>
        <v>0</v>
      </c>
      <c r="G73" s="168" t="n">
        <f aca="false">SUM(G70:G72)</f>
        <v>0</v>
      </c>
      <c r="H73" s="168" t="n">
        <f aca="false">SUM(H70:H72)</f>
        <v>0</v>
      </c>
      <c r="I73" s="169" t="n">
        <f aca="false">SUM(I70:I72)</f>
        <v>0</v>
      </c>
      <c r="J73" s="170" t="n">
        <f aca="false">SUM(J70:J72)</f>
        <v>0</v>
      </c>
      <c r="K73" s="170" t="n">
        <f aca="false">SUM(K70:K72)</f>
        <v>0</v>
      </c>
      <c r="L73" s="170" t="n">
        <f aca="false">SUM(L70:L72)</f>
        <v>0</v>
      </c>
      <c r="M73" s="170" t="n">
        <f aca="false">SUM(M70:M72)</f>
        <v>0</v>
      </c>
      <c r="O73" s="336" t="s">
        <v>767</v>
      </c>
      <c r="P73" s="336"/>
      <c r="Q73" s="336"/>
      <c r="R73" s="336"/>
      <c r="S73" s="336"/>
      <c r="T73" s="336"/>
      <c r="U73" s="336"/>
      <c r="V73" s="336"/>
      <c r="W73" s="336"/>
      <c r="X73" s="336"/>
      <c r="Y73" s="336"/>
      <c r="Z73" s="7"/>
      <c r="AA73" s="7"/>
    </row>
    <row r="74" customFormat="false" ht="4.5" hidden="false" customHeight="true" outlineLevel="0" collapsed="false">
      <c r="C74" s="51"/>
      <c r="D74" s="51"/>
      <c r="E74" s="327"/>
      <c r="F74" s="327"/>
      <c r="G74" s="327"/>
      <c r="H74" s="327"/>
      <c r="I74" s="328"/>
      <c r="J74" s="329"/>
      <c r="K74" s="329"/>
      <c r="L74" s="329"/>
      <c r="M74" s="329"/>
    </row>
    <row r="75" customFormat="false" ht="11.25" hidden="false" customHeight="true" outlineLevel="1" collapsed="false">
      <c r="C75" s="337" t="s">
        <v>768</v>
      </c>
      <c r="D75" s="337" t="s">
        <v>769</v>
      </c>
      <c r="E75" s="327"/>
      <c r="F75" s="327"/>
      <c r="G75" s="327"/>
      <c r="H75" s="327"/>
      <c r="I75" s="328"/>
      <c r="J75" s="329"/>
      <c r="K75" s="329"/>
      <c r="L75" s="329"/>
      <c r="M75" s="329"/>
    </row>
    <row r="76" customFormat="false" ht="4.5" hidden="false" customHeight="true" outlineLevel="1" collapsed="false">
      <c r="C76" s="51"/>
      <c r="D76" s="51"/>
      <c r="E76" s="51"/>
      <c r="F76" s="51"/>
      <c r="G76" s="51"/>
      <c r="H76" s="51"/>
      <c r="I76" s="51"/>
      <c r="J76" s="51"/>
      <c r="K76" s="51"/>
      <c r="L76" s="51"/>
      <c r="M76" s="51"/>
      <c r="O76" s="277"/>
    </row>
    <row r="77" customFormat="false" ht="11.25" hidden="false" customHeight="true" outlineLevel="1" collapsed="false">
      <c r="C77" s="51" t="s">
        <v>770</v>
      </c>
      <c r="D77" s="51" t="s">
        <v>771</v>
      </c>
      <c r="E77" s="159" t="str">
        <f aca="false">IFERROR(E16/E66,"n/a")</f>
        <v>n/a</v>
      </c>
      <c r="F77" s="159" t="str">
        <f aca="false">IFERROR(F16/F66,"n/a")</f>
        <v>n/a</v>
      </c>
      <c r="G77" s="159" t="str">
        <f aca="false">IFERROR(G16/G66,"n/a")</f>
        <v>n/a</v>
      </c>
      <c r="H77" s="159" t="str">
        <f aca="false">IFERROR(H16/H66,"n/a")</f>
        <v>n/a</v>
      </c>
      <c r="I77" s="160" t="str">
        <f aca="false">IFERROR(I16/I66,"n/a")</f>
        <v>n/a</v>
      </c>
      <c r="J77" s="161" t="str">
        <f aca="false">IFERROR(J16/J66,"n/a")</f>
        <v>n/a</v>
      </c>
      <c r="K77" s="161" t="str">
        <f aca="false">IFERROR(K16/K66,"n/a")</f>
        <v>n/a</v>
      </c>
      <c r="L77" s="161" t="str">
        <f aca="false">IFERROR(L16/L66,"n/a")</f>
        <v>n/a</v>
      </c>
      <c r="M77" s="161" t="str">
        <f aca="false">IFERROR(M16/M66,"n/a")</f>
        <v>n/a</v>
      </c>
      <c r="O77" s="277"/>
    </row>
    <row r="78" customFormat="false" ht="11.25" hidden="false" customHeight="true" outlineLevel="1" collapsed="false">
      <c r="C78" s="51" t="s">
        <v>772</v>
      </c>
      <c r="D78" s="51" t="s">
        <v>773</v>
      </c>
      <c r="E78" s="159" t="str">
        <f aca="false">IFERROR(E37/E66,"n/a")</f>
        <v>n/a</v>
      </c>
      <c r="F78" s="159" t="str">
        <f aca="false">IFERROR(F37/F66,"n/a")</f>
        <v>n/a</v>
      </c>
      <c r="G78" s="159" t="str">
        <f aca="false">IFERROR(G37/G66,"n/a")</f>
        <v>n/a</v>
      </c>
      <c r="H78" s="159" t="str">
        <f aca="false">IFERROR(H37/H66,"n/a")</f>
        <v>n/a</v>
      </c>
      <c r="I78" s="160" t="str">
        <f aca="false">IFERROR(I37/I66,"n/a")</f>
        <v>n/a</v>
      </c>
      <c r="J78" s="161" t="str">
        <f aca="false">IFERROR(J37/J66,"n/a")</f>
        <v>n/a</v>
      </c>
      <c r="K78" s="161" t="str">
        <f aca="false">IFERROR(K37/K66,"n/a")</f>
        <v>n/a</v>
      </c>
      <c r="L78" s="161" t="str">
        <f aca="false">IFERROR(L37/L66,"n/a")</f>
        <v>n/a</v>
      </c>
      <c r="M78" s="161" t="str">
        <f aca="false">IFERROR(M37/M66,"n/a")</f>
        <v>n/a</v>
      </c>
      <c r="O78" s="277"/>
    </row>
    <row r="79" customFormat="false" ht="11.25" hidden="false" customHeight="true" outlineLevel="1" collapsed="false">
      <c r="C79" s="51" t="s">
        <v>774</v>
      </c>
      <c r="D79" s="51" t="s">
        <v>775</v>
      </c>
      <c r="E79" s="159" t="str">
        <f aca="false">IFERROR(E58/E66,"n/a")</f>
        <v>n/a</v>
      </c>
      <c r="F79" s="159" t="str">
        <f aca="false">IFERROR(F58/F66,"n/a")</f>
        <v>n/a</v>
      </c>
      <c r="G79" s="159" t="str">
        <f aca="false">IFERROR(G58/G66,"n/a")</f>
        <v>n/a</v>
      </c>
      <c r="H79" s="159" t="str">
        <f aca="false">IFERROR(H58/H66,"n/a")</f>
        <v>n/a</v>
      </c>
      <c r="I79" s="160" t="str">
        <f aca="false">IFERROR(I58/I66,"n/a")</f>
        <v>n/a</v>
      </c>
      <c r="J79" s="161" t="str">
        <f aca="false">IFERROR(J58/J66,"n/a")</f>
        <v>n/a</v>
      </c>
      <c r="K79" s="161" t="str">
        <f aca="false">IFERROR(K58/K66,"n/a")</f>
        <v>n/a</v>
      </c>
      <c r="L79" s="161" t="str">
        <f aca="false">IFERROR(L58/L66,"n/a")</f>
        <v>n/a</v>
      </c>
      <c r="M79" s="161" t="str">
        <f aca="false">IFERROR(M58/M66,"n/a")</f>
        <v>n/a</v>
      </c>
      <c r="O79" s="277"/>
    </row>
    <row r="80" customFormat="false" ht="4.5" hidden="false" customHeight="true" outlineLevel="0" collapsed="false">
      <c r="C80" s="51"/>
      <c r="D80" s="51"/>
      <c r="E80" s="51"/>
      <c r="F80" s="51"/>
      <c r="G80" s="51"/>
      <c r="H80" s="51"/>
      <c r="I80" s="51"/>
      <c r="J80" s="51"/>
      <c r="K80" s="51"/>
      <c r="L80" s="51"/>
      <c r="M80" s="51"/>
    </row>
    <row r="81" customFormat="false" ht="11.25" hidden="false" customHeight="true" outlineLevel="0" collapsed="false">
      <c r="C81" s="271" t="str">
        <f aca="false">"Quelle: "&amp;Cockpit!$C$7</f>
        <v>Quelle: Datenraum/ eigene Analysen</v>
      </c>
      <c r="D81" s="54" t="str">
        <f aca="false">"Source: "&amp;Cockpit!$C$8</f>
        <v>Source: Virtual Data Room/ Company Information</v>
      </c>
      <c r="E81" s="338"/>
      <c r="F81" s="338"/>
      <c r="G81" s="338"/>
      <c r="H81" s="338"/>
      <c r="I81" s="339"/>
      <c r="J81" s="340"/>
      <c r="K81" s="340"/>
      <c r="L81" s="340"/>
      <c r="M81" s="340"/>
    </row>
    <row r="82" customFormat="false" ht="11.25" hidden="false" customHeight="true" outlineLevel="0" collapsed="false"/>
    <row r="83" customFormat="false" ht="11.25" hidden="false" customHeight="true" outlineLevel="0" collapsed="false"/>
    <row r="84" customFormat="false" ht="12" hidden="false" customHeight="true" outlineLevel="0" collapsed="false">
      <c r="C84" s="151" t="s">
        <v>210</v>
      </c>
      <c r="D84" s="151" t="s">
        <v>210</v>
      </c>
      <c r="E84" s="152" t="n">
        <f aca="false">'Lead NA'!E79</f>
        <v>0</v>
      </c>
      <c r="F84" s="152" t="n">
        <f aca="false">'Lead NA'!F79</f>
        <v>0</v>
      </c>
      <c r="G84" s="152" t="n">
        <f aca="false">'Lead NA'!G79</f>
        <v>0</v>
      </c>
      <c r="H84" s="152" t="n">
        <f aca="false">'Lead NA'!H79</f>
        <v>0</v>
      </c>
      <c r="I84" s="152" t="n">
        <f aca="false">'Lead NA'!I79</f>
        <v>0</v>
      </c>
      <c r="J84" s="152" t="n">
        <f aca="false">'Lead NA'!J79</f>
        <v>0</v>
      </c>
      <c r="K84" s="152" t="n">
        <f aca="false">'Lead NA'!K79</f>
        <v>0</v>
      </c>
      <c r="L84" s="152" t="n">
        <f aca="false">'Lead NA'!L79</f>
        <v>0</v>
      </c>
      <c r="M84" s="152" t="n">
        <f aca="false">'Lead NA'!M79</f>
        <v>0</v>
      </c>
    </row>
    <row r="85" customFormat="false" ht="12" hidden="false" customHeight="true" outlineLevel="0" collapsed="false">
      <c r="C85" s="153" t="s">
        <v>245</v>
      </c>
      <c r="D85" s="154" t="s">
        <v>245</v>
      </c>
      <c r="E85" s="155" t="n">
        <f aca="false">E84-E16</f>
        <v>0</v>
      </c>
      <c r="F85" s="155" t="n">
        <f aca="false">F84-F16</f>
        <v>0</v>
      </c>
      <c r="G85" s="155" t="n">
        <f aca="false">G84-G16</f>
        <v>0</v>
      </c>
      <c r="H85" s="155" t="n">
        <f aca="false">H84-H16</f>
        <v>0</v>
      </c>
      <c r="I85" s="155" t="n">
        <f aca="false">I84-I16</f>
        <v>0</v>
      </c>
      <c r="J85" s="155" t="n">
        <f aca="false">J84-J16</f>
        <v>0</v>
      </c>
      <c r="K85" s="155" t="n">
        <f aca="false">K84-K16</f>
        <v>0</v>
      </c>
      <c r="L85" s="155" t="n">
        <f aca="false">L84-L16</f>
        <v>0</v>
      </c>
      <c r="M85" s="155" t="n">
        <f aca="false">M84-M16</f>
        <v>0</v>
      </c>
    </row>
  </sheetData>
  <conditionalFormatting sqref="E85:M85">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6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1:P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I60" activeCellId="0" sqref="I60"/>
    </sheetView>
  </sheetViews>
  <sheetFormatPr defaultColWidth="11.2890625" defaultRowHeight="12" zeroHeight="false" outlineLevelRow="3" outlineLevelCol="2"/>
  <cols>
    <col collapsed="false" customWidth="false" hidden="false" outlineLevel="0" max="1" min="1" style="1" width="11.29"/>
    <col collapsed="false" customWidth="true" hidden="false" outlineLevel="2" max="2" min="2" style="1" width="0.86"/>
    <col collapsed="false" customWidth="true" hidden="false" outlineLevel="0" max="3" min="3" style="1" width="45.57"/>
    <col collapsed="false" customWidth="true" hidden="true" outlineLevel="1" max="4" min="4" style="1" width="35.57"/>
    <col collapsed="false" customWidth="true" hidden="true" outlineLevel="1" max="5" min="5" style="1" width="4"/>
    <col collapsed="false" customWidth="true" hidden="false" outlineLevel="0" max="9" min="6" style="1" width="9.42"/>
    <col collapsed="false" customWidth="true" hidden="false" outlineLevel="1" max="13" min="10" style="1" width="9.42"/>
    <col collapsed="false" customWidth="true" hidden="false" outlineLevel="2" max="14" min="14" style="1" width="0.86"/>
    <col collapsed="false" customWidth="false" hidden="false" outlineLevel="0" max="15" min="15" style="1" width="11.29"/>
    <col collapsed="false" customWidth="true" hidden="false" outlineLevel="0" max="16" min="16" style="1" width="38.86"/>
    <col collapsed="false" customWidth="false" hidden="false" outlineLevel="0" max="16384" min="17" style="1" width="11.29"/>
  </cols>
  <sheetData>
    <row r="1" customFormat="false" ht="12" hidden="false" customHeight="true" outlineLevel="3" collapsed="false"/>
    <row r="3" customFormat="false" ht="11.25" hidden="false" customHeight="true" outlineLevel="0" collapsed="false"/>
    <row r="4" customFormat="false" ht="11.25" hidden="false" customHeight="true" outlineLevel="0" collapsed="false">
      <c r="C4" s="220" t="str">
        <f aca="false">Cockpit!$C$4</f>
        <v>Template</v>
      </c>
      <c r="D4" s="221"/>
      <c r="E4" s="221"/>
      <c r="F4" s="225" t="n">
        <f aca="false">Cockpit!D39</f>
        <v>44926</v>
      </c>
      <c r="G4" s="225" t="n">
        <f aca="false">Cockpit!E39</f>
        <v>45291</v>
      </c>
      <c r="H4" s="225" t="n">
        <f aca="false">Cockpit!F39</f>
        <v>45657</v>
      </c>
      <c r="I4" s="225" t="n">
        <f aca="false">Cockpit!G39</f>
        <v>45808</v>
      </c>
      <c r="J4" s="225" t="n">
        <f aca="false">Cockpit!H39</f>
        <v>46022</v>
      </c>
      <c r="K4" s="225" t="n">
        <f aca="false">Cockpit!I39</f>
        <v>46387</v>
      </c>
      <c r="L4" s="225" t="n">
        <f aca="false">Cockpit!J39</f>
        <v>46752</v>
      </c>
      <c r="M4" s="225" t="n">
        <f aca="false">Cockpit!K39</f>
        <v>47118</v>
      </c>
    </row>
    <row r="5" customFormat="false" ht="11.25" hidden="false" customHeight="true" outlineLevel="0" collapsed="false">
      <c r="C5" s="220" t="str">
        <f aca="false">"in T"&amp;Cockpit!$C$5</f>
        <v>in TEUR</v>
      </c>
      <c r="D5" s="221"/>
      <c r="E5" s="221" t="s">
        <v>705</v>
      </c>
      <c r="F5" s="225" t="s">
        <v>21</v>
      </c>
      <c r="G5" s="225" t="s">
        <v>21</v>
      </c>
      <c r="H5" s="225" t="s">
        <v>21</v>
      </c>
      <c r="I5" s="225" t="s">
        <v>21</v>
      </c>
      <c r="J5" s="225" t="str">
        <f aca="false">Cockpit!H40</f>
        <v>Plan</v>
      </c>
      <c r="K5" s="225" t="str">
        <f aca="false">Cockpit!I40</f>
        <v>Plan</v>
      </c>
      <c r="L5" s="225" t="str">
        <f aca="false">Cockpit!J40</f>
        <v>Plan</v>
      </c>
      <c r="M5" s="225" t="str">
        <f aca="false">Cockpit!K40</f>
        <v>Plan</v>
      </c>
    </row>
    <row r="6" customFormat="false" ht="11.25" hidden="true" customHeight="true" outlineLevel="1" collapsed="false">
      <c r="C6" s="227"/>
      <c r="D6" s="228" t="str">
        <f aca="false">Cockpit!$C$4</f>
        <v>Template</v>
      </c>
      <c r="E6" s="228"/>
      <c r="F6" s="293" t="n">
        <f aca="false">Cockpit!D39</f>
        <v>44926</v>
      </c>
      <c r="G6" s="293" t="n">
        <f aca="false">Cockpit!E39</f>
        <v>45291</v>
      </c>
      <c r="H6" s="293" t="n">
        <f aca="false">Cockpit!F39</f>
        <v>45657</v>
      </c>
      <c r="I6" s="293" t="n">
        <f aca="false">Cockpit!G39</f>
        <v>45808</v>
      </c>
      <c r="J6" s="293" t="n">
        <f aca="false">Cockpit!H39</f>
        <v>46022</v>
      </c>
      <c r="K6" s="293" t="n">
        <f aca="false">Cockpit!I39</f>
        <v>46387</v>
      </c>
      <c r="L6" s="293" t="n">
        <f aca="false">Cockpit!J39</f>
        <v>46752</v>
      </c>
      <c r="M6" s="293" t="n">
        <f aca="false">Cockpit!K39</f>
        <v>47118</v>
      </c>
    </row>
    <row r="7" customFormat="false" ht="11.25" hidden="true" customHeight="true" outlineLevel="1" collapsed="false">
      <c r="C7" s="227"/>
      <c r="D7" s="228" t="str">
        <f aca="false">"in k"&amp;Cockpit!$C$5</f>
        <v>in kEUR</v>
      </c>
      <c r="E7" s="228" t="s">
        <v>705</v>
      </c>
      <c r="F7" s="293" t="str">
        <f aca="false">Cockpit!D40</f>
        <v>IST</v>
      </c>
      <c r="G7" s="293" t="str">
        <f aca="false">Cockpit!E40</f>
        <v>IST</v>
      </c>
      <c r="H7" s="293" t="str">
        <f aca="false">Cockpit!F40</f>
        <v>IST</v>
      </c>
      <c r="I7" s="293" t="str">
        <f aca="false">Cockpit!G40</f>
        <v>IST</v>
      </c>
      <c r="J7" s="293" t="str">
        <f aca="false">Cockpit!H40</f>
        <v>Plan</v>
      </c>
      <c r="K7" s="293" t="str">
        <f aca="false">Cockpit!I40</f>
        <v>Plan</v>
      </c>
      <c r="L7" s="293" t="str">
        <f aca="false">Cockpit!J40</f>
        <v>Plan</v>
      </c>
      <c r="M7" s="293" t="str">
        <f aca="false">Cockpit!K40</f>
        <v>Plan</v>
      </c>
      <c r="P7" s="89" t="s">
        <v>409</v>
      </c>
    </row>
    <row r="8" customFormat="false" ht="4.5" hidden="false" customHeight="true" outlineLevel="0" collapsed="false">
      <c r="C8" s="341"/>
      <c r="D8" s="158"/>
      <c r="E8" s="158"/>
      <c r="F8" s="157"/>
      <c r="G8" s="157"/>
      <c r="H8" s="157"/>
      <c r="I8" s="157"/>
      <c r="J8" s="157"/>
      <c r="K8" s="157"/>
      <c r="L8" s="157"/>
      <c r="M8" s="157"/>
    </row>
    <row r="9" customFormat="false" ht="11.25" hidden="false" customHeight="true" outlineLevel="0" collapsed="false">
      <c r="C9" s="51" t="str">
        <f aca="false">'Lead NA'!C180</f>
        <v>Liquide Mittel</v>
      </c>
      <c r="D9" s="51" t="str">
        <f aca="false">'Lead NA'!D180</f>
        <v>Cash</v>
      </c>
      <c r="E9" s="310" t="n">
        <v>1</v>
      </c>
      <c r="F9" s="327" t="n">
        <f aca="false">'Lead NA'!F180</f>
        <v>0</v>
      </c>
      <c r="G9" s="327" t="n">
        <f aca="false">'Lead NA'!G180</f>
        <v>0</v>
      </c>
      <c r="H9" s="327" t="n">
        <f aca="false">'Lead NA'!H180</f>
        <v>0</v>
      </c>
      <c r="I9" s="328" t="n">
        <f aca="false">'Lead NA'!I180</f>
        <v>0</v>
      </c>
      <c r="J9" s="329" t="n">
        <f aca="false">'Lead NA'!J180</f>
        <v>0</v>
      </c>
      <c r="K9" s="329" t="n">
        <f aca="false">'Lead NA'!K180</f>
        <v>0</v>
      </c>
      <c r="L9" s="329" t="n">
        <f aca="false">'Lead NA'!L180</f>
        <v>0</v>
      </c>
      <c r="M9" s="329" t="n">
        <f aca="false">'Lead NA'!M180</f>
        <v>0</v>
      </c>
    </row>
    <row r="10" customFormat="false" ht="11.25" hidden="false" customHeight="true" outlineLevel="0" collapsed="false">
      <c r="C10" s="51" t="str">
        <f aca="false">'Lead NA'!C189</f>
        <v>Verbindlichkeiten ggü.Kreditinstituten</v>
      </c>
      <c r="D10" s="51" t="str">
        <f aca="false">'Lead NA'!D189</f>
        <v>Liabilities to banks</v>
      </c>
      <c r="E10" s="310" t="n">
        <v>2</v>
      </c>
      <c r="F10" s="327" t="n">
        <f aca="false">'Lead NA'!F189</f>
        <v>0</v>
      </c>
      <c r="G10" s="327" t="n">
        <f aca="false">'Lead NA'!G189</f>
        <v>0</v>
      </c>
      <c r="H10" s="327" t="n">
        <f aca="false">'Lead NA'!H189</f>
        <v>0</v>
      </c>
      <c r="I10" s="328" t="n">
        <f aca="false">'Lead NA'!I189</f>
        <v>0</v>
      </c>
      <c r="J10" s="329" t="n">
        <f aca="false">'Lead NA'!J189</f>
        <v>0</v>
      </c>
      <c r="K10" s="329" t="n">
        <f aca="false">'Lead NA'!K189</f>
        <v>0</v>
      </c>
      <c r="L10" s="329" t="n">
        <f aca="false">'Lead NA'!L189</f>
        <v>0</v>
      </c>
      <c r="M10" s="329" t="n">
        <f aca="false">'Lead NA'!M189</f>
        <v>0</v>
      </c>
    </row>
    <row r="11" customFormat="false" ht="11.25" hidden="true" customHeight="true" outlineLevel="2" collapsed="false">
      <c r="C11" s="51" t="str">
        <f aca="false">'Lead NA'!C207</f>
        <v>Dummy 1</v>
      </c>
      <c r="D11" s="51" t="str">
        <f aca="false">'Lead NA'!D207</f>
        <v>Dummy 1</v>
      </c>
      <c r="E11" s="310" t="n">
        <v>3</v>
      </c>
      <c r="F11" s="327" t="n">
        <f aca="false">'Lead NA'!F207</f>
        <v>0</v>
      </c>
      <c r="G11" s="327" t="n">
        <f aca="false">'Lead NA'!G207</f>
        <v>0</v>
      </c>
      <c r="H11" s="327" t="n">
        <f aca="false">'Lead NA'!H207</f>
        <v>0</v>
      </c>
      <c r="I11" s="328" t="n">
        <f aca="false">'Lead NA'!I207</f>
        <v>0</v>
      </c>
      <c r="J11" s="329" t="n">
        <f aca="false">'Lead NA'!J207</f>
        <v>0</v>
      </c>
      <c r="K11" s="329" t="n">
        <f aca="false">'Lead NA'!K207</f>
        <v>0</v>
      </c>
      <c r="L11" s="329" t="n">
        <f aca="false">'Lead NA'!L207</f>
        <v>0</v>
      </c>
      <c r="M11" s="329" t="n">
        <f aca="false">'Lead NA'!M207</f>
        <v>0</v>
      </c>
    </row>
    <row r="12" customFormat="false" ht="11.25" hidden="true" customHeight="true" outlineLevel="2" collapsed="false">
      <c r="C12" s="51" t="str">
        <f aca="false">'Lead NA'!C208</f>
        <v>Dummy 2</v>
      </c>
      <c r="D12" s="51" t="str">
        <f aca="false">'Lead NA'!D208</f>
        <v>Dummy 2</v>
      </c>
      <c r="E12" s="310" t="n">
        <v>4</v>
      </c>
      <c r="F12" s="327" t="n">
        <f aca="false">'Lead NA'!F208</f>
        <v>0</v>
      </c>
      <c r="G12" s="327" t="n">
        <f aca="false">'Lead NA'!G208</f>
        <v>0</v>
      </c>
      <c r="H12" s="327" t="n">
        <f aca="false">'Lead NA'!H208</f>
        <v>0</v>
      </c>
      <c r="I12" s="328" t="n">
        <f aca="false">'Lead NA'!I208</f>
        <v>0</v>
      </c>
      <c r="J12" s="329" t="n">
        <f aca="false">'Lead NA'!J208</f>
        <v>0</v>
      </c>
      <c r="K12" s="329" t="n">
        <f aca="false">'Lead NA'!K208</f>
        <v>0</v>
      </c>
      <c r="L12" s="329" t="n">
        <f aca="false">'Lead NA'!L208</f>
        <v>0</v>
      </c>
      <c r="M12" s="329" t="n">
        <f aca="false">'Lead NA'!M208</f>
        <v>0</v>
      </c>
    </row>
    <row r="13" customFormat="false" ht="11.25" hidden="true" customHeight="true" outlineLevel="2" collapsed="false">
      <c r="C13" s="54" t="str">
        <f aca="false">'Lead NA'!C209</f>
        <v>Dummy 3</v>
      </c>
      <c r="D13" s="54" t="str">
        <f aca="false">'Lead NA'!D209</f>
        <v>Dummy 3</v>
      </c>
      <c r="E13" s="310" t="n">
        <v>5</v>
      </c>
      <c r="F13" s="327" t="n">
        <f aca="false">'Lead NA'!F209</f>
        <v>0</v>
      </c>
      <c r="G13" s="327" t="n">
        <f aca="false">'Lead NA'!G209</f>
        <v>0</v>
      </c>
      <c r="H13" s="327" t="n">
        <f aca="false">'Lead NA'!H209</f>
        <v>0</v>
      </c>
      <c r="I13" s="328" t="n">
        <f aca="false">'Lead NA'!I209</f>
        <v>0</v>
      </c>
      <c r="J13" s="329" t="n">
        <f aca="false">'Lead NA'!J209</f>
        <v>0</v>
      </c>
      <c r="K13" s="329" t="n">
        <f aca="false">'Lead NA'!K209</f>
        <v>0</v>
      </c>
      <c r="L13" s="329" t="n">
        <f aca="false">'Lead NA'!L209</f>
        <v>0</v>
      </c>
      <c r="M13" s="329" t="n">
        <f aca="false">'Lead NA'!M209</f>
        <v>0</v>
      </c>
    </row>
    <row r="14" customFormat="false" ht="11.25" hidden="false" customHeight="true" outlineLevel="0" collapsed="false">
      <c r="C14" s="181" t="str">
        <f aca="false">'Lead NA'!C210</f>
        <v>Netto-Finanzvermögen / -Verbindlichkeiten</v>
      </c>
      <c r="D14" s="181" t="str">
        <f aca="false">'Lead NA'!D210</f>
        <v>Net cash / Net debt</v>
      </c>
      <c r="E14" s="181"/>
      <c r="F14" s="175" t="n">
        <f aca="false">SUM(F9:F13)</f>
        <v>0</v>
      </c>
      <c r="G14" s="175" t="n">
        <f aca="false">SUM(G9:G13)</f>
        <v>0</v>
      </c>
      <c r="H14" s="175" t="n">
        <f aca="false">SUM(H9:H13)</f>
        <v>0</v>
      </c>
      <c r="I14" s="176" t="n">
        <f aca="false">SUM(I9:I13)</f>
        <v>0</v>
      </c>
      <c r="J14" s="177" t="n">
        <f aca="false">SUM(J9:J13)</f>
        <v>0</v>
      </c>
      <c r="K14" s="177" t="n">
        <f aca="false">SUM(K9:K13)</f>
        <v>0</v>
      </c>
      <c r="L14" s="177" t="n">
        <f aca="false">SUM(L9:L13)</f>
        <v>0</v>
      </c>
      <c r="M14" s="177" t="n">
        <f aca="false">SUM(M9:M13)</f>
        <v>0</v>
      </c>
      <c r="O14" s="7" t="s">
        <v>776</v>
      </c>
    </row>
    <row r="15" customFormat="false" ht="11.25" hidden="false" customHeight="true" outlineLevel="0" collapsed="false">
      <c r="C15" s="51"/>
      <c r="D15" s="51"/>
      <c r="E15" s="51"/>
      <c r="F15" s="327"/>
      <c r="G15" s="327"/>
      <c r="H15" s="327"/>
      <c r="I15" s="328"/>
      <c r="J15" s="329"/>
      <c r="K15" s="329"/>
      <c r="L15" s="329"/>
      <c r="M15" s="329"/>
    </row>
    <row r="16" customFormat="false" ht="11.25" hidden="false" customHeight="true" outlineLevel="0" collapsed="false">
      <c r="C16" s="132" t="s">
        <v>777</v>
      </c>
      <c r="D16" s="132" t="s">
        <v>778</v>
      </c>
      <c r="E16" s="51"/>
      <c r="F16" s="327"/>
      <c r="G16" s="327"/>
      <c r="H16" s="327"/>
      <c r="I16" s="328"/>
      <c r="J16" s="329"/>
      <c r="K16" s="329"/>
      <c r="L16" s="329"/>
      <c r="M16" s="329"/>
    </row>
    <row r="17" customFormat="false" ht="11.25" hidden="false" customHeight="true" outlineLevel="0" collapsed="false">
      <c r="C17" s="51" t="str">
        <f aca="false">NA_TWC!C42</f>
        <v>Dummy 1</v>
      </c>
      <c r="D17" s="51" t="str">
        <f aca="false">NA_TWC!D42</f>
        <v>Dummy 1</v>
      </c>
      <c r="E17" s="51"/>
      <c r="F17" s="327" t="n">
        <f aca="false">-NA_TWC!F41</f>
        <v>-0</v>
      </c>
      <c r="G17" s="327" t="n">
        <f aca="false">-NA_TWC!G41</f>
        <v>-0</v>
      </c>
      <c r="H17" s="327" t="n">
        <f aca="false">-NA_TWC!H41</f>
        <v>-0</v>
      </c>
      <c r="I17" s="328" t="n">
        <f aca="false">-NA_TWC!I41</f>
        <v>-0</v>
      </c>
      <c r="J17" s="329" t="n">
        <f aca="false">-NA_TWC!J41</f>
        <v>-0</v>
      </c>
      <c r="K17" s="329" t="n">
        <f aca="false">-NA_TWC!K41</f>
        <v>-0</v>
      </c>
      <c r="L17" s="329" t="n">
        <f aca="false">-NA_TWC!L41</f>
        <v>-0</v>
      </c>
      <c r="M17" s="329" t="n">
        <f aca="false">-NA_TWC!M41</f>
        <v>-0</v>
      </c>
    </row>
    <row r="18" customFormat="false" ht="11.25" hidden="false" customHeight="true" outlineLevel="0" collapsed="false">
      <c r="C18" s="51" t="str">
        <f aca="false">NA_TWC!C43</f>
        <v>Dummy 2</v>
      </c>
      <c r="D18" s="51" t="str">
        <f aca="false">NA_TWC!D43</f>
        <v>Dummy 2</v>
      </c>
      <c r="E18" s="51"/>
      <c r="F18" s="327" t="n">
        <f aca="false">-NA_TWC!F42</f>
        <v>-0</v>
      </c>
      <c r="G18" s="327" t="n">
        <f aca="false">-NA_TWC!G42</f>
        <v>-0</v>
      </c>
      <c r="H18" s="327" t="n">
        <f aca="false">-NA_TWC!H42</f>
        <v>-0</v>
      </c>
      <c r="I18" s="328" t="n">
        <f aca="false">-NA_TWC!I42</f>
        <v>-0</v>
      </c>
      <c r="J18" s="329" t="n">
        <f aca="false">-NA_TWC!J42</f>
        <v>-0</v>
      </c>
      <c r="K18" s="329" t="n">
        <f aca="false">-NA_TWC!K42</f>
        <v>-0</v>
      </c>
      <c r="L18" s="329" t="n">
        <f aca="false">-NA_TWC!L42</f>
        <v>-0</v>
      </c>
      <c r="M18" s="329" t="n">
        <f aca="false">-NA_TWC!M42</f>
        <v>-0</v>
      </c>
    </row>
    <row r="19" customFormat="false" ht="11.25" hidden="false" customHeight="true" outlineLevel="0" collapsed="false">
      <c r="C19" s="51" t="str">
        <f aca="false">NA_TWC!C44</f>
        <v>Dummy 3</v>
      </c>
      <c r="D19" s="51" t="str">
        <f aca="false">NA_TWC!D44</f>
        <v>Dummy 3</v>
      </c>
      <c r="E19" s="51"/>
      <c r="F19" s="327" t="n">
        <f aca="false">-NA_TWC!F43</f>
        <v>-0</v>
      </c>
      <c r="G19" s="327" t="n">
        <f aca="false">-NA_TWC!G43</f>
        <v>-0</v>
      </c>
      <c r="H19" s="327" t="n">
        <f aca="false">-NA_TWC!H43</f>
        <v>-0</v>
      </c>
      <c r="I19" s="328" t="n">
        <f aca="false">-NA_TWC!I43</f>
        <v>-0</v>
      </c>
      <c r="J19" s="329" t="n">
        <f aca="false">-NA_TWC!J43</f>
        <v>-0</v>
      </c>
      <c r="K19" s="329" t="n">
        <f aca="false">-NA_TWC!K43</f>
        <v>-0</v>
      </c>
      <c r="L19" s="329" t="n">
        <f aca="false">-NA_TWC!L43</f>
        <v>-0</v>
      </c>
      <c r="M19" s="329" t="n">
        <f aca="false">-NA_TWC!M43</f>
        <v>-0</v>
      </c>
    </row>
    <row r="20" customFormat="false" ht="11.25" hidden="true" customHeight="true" outlineLevel="1" collapsed="false">
      <c r="C20" s="51" t="str">
        <f aca="false">NA_TWC!C45</f>
        <v>Dummy 4</v>
      </c>
      <c r="D20" s="51" t="str">
        <f aca="false">NA_TWC!D45</f>
        <v>Dummy 4</v>
      </c>
      <c r="E20" s="51"/>
      <c r="F20" s="327" t="n">
        <f aca="false">-NA_TWC!F44</f>
        <v>-0</v>
      </c>
      <c r="G20" s="327" t="n">
        <f aca="false">-NA_TWC!G44</f>
        <v>-0</v>
      </c>
      <c r="H20" s="327" t="n">
        <f aca="false">-NA_TWC!H44</f>
        <v>-0</v>
      </c>
      <c r="I20" s="328" t="n">
        <f aca="false">-NA_TWC!I44</f>
        <v>-0</v>
      </c>
      <c r="J20" s="329" t="n">
        <f aca="false">-NA_TWC!J44</f>
        <v>-0</v>
      </c>
      <c r="K20" s="329" t="n">
        <f aca="false">-NA_TWC!K44</f>
        <v>-0</v>
      </c>
      <c r="L20" s="329" t="n">
        <f aca="false">-NA_TWC!L44</f>
        <v>-0</v>
      </c>
      <c r="M20" s="329" t="n">
        <f aca="false">-NA_TWC!M44</f>
        <v>-0</v>
      </c>
    </row>
    <row r="21" customFormat="false" ht="11.25" hidden="true" customHeight="true" outlineLevel="1" collapsed="false">
      <c r="C21" s="51" t="str">
        <f aca="false">NA_TWC!C46</f>
        <v>Dummy 5</v>
      </c>
      <c r="D21" s="51" t="str">
        <f aca="false">NA_TWC!D46</f>
        <v>Dummy 5</v>
      </c>
      <c r="E21" s="51"/>
      <c r="F21" s="327" t="n">
        <f aca="false">-NA_TWC!F45</f>
        <v>-0</v>
      </c>
      <c r="G21" s="327" t="n">
        <f aca="false">-NA_TWC!G45</f>
        <v>-0</v>
      </c>
      <c r="H21" s="327" t="n">
        <f aca="false">-NA_TWC!H45</f>
        <v>-0</v>
      </c>
      <c r="I21" s="328" t="n">
        <f aca="false">-NA_TWC!I45</f>
        <v>-0</v>
      </c>
      <c r="J21" s="329" t="n">
        <f aca="false">-NA_TWC!J45</f>
        <v>-0</v>
      </c>
      <c r="K21" s="329" t="n">
        <f aca="false">-NA_TWC!K45</f>
        <v>-0</v>
      </c>
      <c r="L21" s="329" t="n">
        <f aca="false">-NA_TWC!L45</f>
        <v>-0</v>
      </c>
      <c r="M21" s="329" t="n">
        <f aca="false">-NA_TWC!M45</f>
        <v>-0</v>
      </c>
    </row>
    <row r="22" customFormat="false" ht="11.25" hidden="true" customHeight="true" outlineLevel="1" collapsed="false">
      <c r="C22" s="51" t="str">
        <f aca="false">NA_TWC!C47</f>
        <v>Dummy 6</v>
      </c>
      <c r="D22" s="51" t="str">
        <f aca="false">NA_TWC!D47</f>
        <v>Dummy 6</v>
      </c>
      <c r="E22" s="51"/>
      <c r="F22" s="327" t="n">
        <f aca="false">-NA_TWC!F46</f>
        <v>-0</v>
      </c>
      <c r="G22" s="327" t="n">
        <f aca="false">-NA_TWC!G46</f>
        <v>-0</v>
      </c>
      <c r="H22" s="327" t="n">
        <f aca="false">-NA_TWC!H46</f>
        <v>-0</v>
      </c>
      <c r="I22" s="328" t="n">
        <f aca="false">-NA_TWC!I46</f>
        <v>-0</v>
      </c>
      <c r="J22" s="329" t="n">
        <f aca="false">-NA_TWC!J46</f>
        <v>-0</v>
      </c>
      <c r="K22" s="329" t="n">
        <f aca="false">-NA_TWC!K46</f>
        <v>-0</v>
      </c>
      <c r="L22" s="329" t="n">
        <f aca="false">-NA_TWC!L46</f>
        <v>-0</v>
      </c>
      <c r="M22" s="329" t="n">
        <f aca="false">-NA_TWC!M46</f>
        <v>-0</v>
      </c>
    </row>
    <row r="23" customFormat="false" ht="11.25" hidden="false" customHeight="true" outlineLevel="0" collapsed="false">
      <c r="C23" s="181" t="str">
        <f aca="false">NA_TWC!C48</f>
        <v>Umgliederung - gesamt</v>
      </c>
      <c r="D23" s="181" t="str">
        <f aca="false">NA_TWC!D48</f>
        <v>Reclassification to net debt - total</v>
      </c>
      <c r="E23" s="181"/>
      <c r="F23" s="175" t="n">
        <f aca="false">SUM(F17:F22)</f>
        <v>0</v>
      </c>
      <c r="G23" s="175" t="n">
        <f aca="false">SUM(G17:G22)</f>
        <v>0</v>
      </c>
      <c r="H23" s="175" t="n">
        <f aca="false">SUM(H17:H22)</f>
        <v>0</v>
      </c>
      <c r="I23" s="176" t="n">
        <f aca="false">SUM(I17:I22)</f>
        <v>0</v>
      </c>
      <c r="J23" s="177" t="n">
        <f aca="false">SUM(J17:J22)</f>
        <v>0</v>
      </c>
      <c r="K23" s="177" t="n">
        <f aca="false">SUM(K17:K22)</f>
        <v>0</v>
      </c>
      <c r="L23" s="177" t="n">
        <f aca="false">SUM(L17:L22)</f>
        <v>0</v>
      </c>
      <c r="M23" s="177" t="n">
        <f aca="false">SUM(M17:M22)</f>
        <v>0</v>
      </c>
    </row>
    <row r="24" customFormat="false" ht="11.25" hidden="false" customHeight="true" outlineLevel="0" collapsed="false">
      <c r="C24" s="51"/>
      <c r="D24" s="51"/>
      <c r="E24" s="51"/>
      <c r="F24" s="327"/>
      <c r="G24" s="327"/>
      <c r="H24" s="327"/>
      <c r="I24" s="328"/>
      <c r="J24" s="329"/>
      <c r="K24" s="329"/>
      <c r="L24" s="329"/>
      <c r="M24" s="329"/>
    </row>
    <row r="25" customFormat="false" ht="11.25" hidden="false" customHeight="true" outlineLevel="0" collapsed="false">
      <c r="C25" s="132" t="s">
        <v>779</v>
      </c>
      <c r="D25" s="132" t="s">
        <v>780</v>
      </c>
      <c r="E25" s="132"/>
      <c r="F25" s="327"/>
      <c r="G25" s="327"/>
      <c r="H25" s="327"/>
      <c r="I25" s="328"/>
      <c r="J25" s="329"/>
      <c r="K25" s="329"/>
      <c r="L25" s="329"/>
      <c r="M25" s="329"/>
    </row>
    <row r="26" customFormat="false" ht="11.25" hidden="false" customHeight="true" outlineLevel="0" collapsed="false">
      <c r="C26" s="51" t="s">
        <v>234</v>
      </c>
      <c r="D26" s="51" t="s">
        <v>234</v>
      </c>
      <c r="E26" s="310" t="n">
        <v>6</v>
      </c>
      <c r="F26" s="327"/>
      <c r="G26" s="327"/>
      <c r="H26" s="327"/>
      <c r="I26" s="328"/>
      <c r="J26" s="329"/>
      <c r="K26" s="329"/>
      <c r="L26" s="329"/>
      <c r="M26" s="329"/>
      <c r="P26" s="314" t="s">
        <v>338</v>
      </c>
    </row>
    <row r="27" customFormat="false" ht="11.25" hidden="false" customHeight="true" outlineLevel="0" collapsed="false">
      <c r="C27" s="51" t="s">
        <v>235</v>
      </c>
      <c r="D27" s="51" t="s">
        <v>235</v>
      </c>
      <c r="E27" s="310" t="n">
        <v>7</v>
      </c>
      <c r="F27" s="327"/>
      <c r="G27" s="327"/>
      <c r="H27" s="327"/>
      <c r="I27" s="328"/>
      <c r="J27" s="329"/>
      <c r="K27" s="329"/>
      <c r="L27" s="329"/>
      <c r="M27" s="329"/>
      <c r="P27" s="314" t="s">
        <v>340</v>
      </c>
    </row>
    <row r="28" customFormat="false" ht="11.25" hidden="false" customHeight="true" outlineLevel="0" collapsed="false">
      <c r="C28" s="51" t="s">
        <v>236</v>
      </c>
      <c r="D28" s="51" t="s">
        <v>236</v>
      </c>
      <c r="E28" s="310" t="n">
        <v>8</v>
      </c>
      <c r="F28" s="327"/>
      <c r="G28" s="327"/>
      <c r="H28" s="327"/>
      <c r="I28" s="328"/>
      <c r="J28" s="329"/>
      <c r="K28" s="329"/>
      <c r="L28" s="329"/>
      <c r="M28" s="329"/>
      <c r="P28" s="314" t="s">
        <v>342</v>
      </c>
    </row>
    <row r="29" customFormat="false" ht="11.25" hidden="true" customHeight="true" outlineLevel="1" collapsed="false">
      <c r="C29" s="51" t="s">
        <v>237</v>
      </c>
      <c r="D29" s="51" t="s">
        <v>237</v>
      </c>
      <c r="E29" s="310" t="n">
        <v>9</v>
      </c>
      <c r="F29" s="327"/>
      <c r="G29" s="327"/>
      <c r="H29" s="327"/>
      <c r="I29" s="328"/>
      <c r="J29" s="329"/>
      <c r="K29" s="329"/>
      <c r="L29" s="329"/>
      <c r="M29" s="329"/>
      <c r="P29" s="314" t="s">
        <v>344</v>
      </c>
    </row>
    <row r="30" customFormat="false" ht="11.25" hidden="true" customHeight="true" outlineLevel="1" collapsed="false">
      <c r="C30" s="51" t="s">
        <v>672</v>
      </c>
      <c r="D30" s="51" t="s">
        <v>672</v>
      </c>
      <c r="E30" s="310" t="n">
        <v>10</v>
      </c>
      <c r="F30" s="327"/>
      <c r="G30" s="327"/>
      <c r="H30" s="327"/>
      <c r="I30" s="328"/>
      <c r="J30" s="329"/>
      <c r="K30" s="329"/>
      <c r="L30" s="329"/>
      <c r="M30" s="329"/>
      <c r="P30" s="314" t="s">
        <v>346</v>
      </c>
    </row>
    <row r="31" customFormat="false" ht="11.25" hidden="true" customHeight="true" outlineLevel="1" collapsed="false">
      <c r="C31" s="54" t="s">
        <v>673</v>
      </c>
      <c r="D31" s="54" t="s">
        <v>673</v>
      </c>
      <c r="E31" s="310" t="n">
        <v>11</v>
      </c>
      <c r="F31" s="338"/>
      <c r="G31" s="338"/>
      <c r="H31" s="338"/>
      <c r="I31" s="342"/>
      <c r="J31" s="343"/>
      <c r="K31" s="343"/>
      <c r="L31" s="343"/>
      <c r="M31" s="343"/>
      <c r="P31" s="314" t="s">
        <v>348</v>
      </c>
    </row>
    <row r="32" customFormat="false" ht="11.25" hidden="false" customHeight="true" outlineLevel="0" collapsed="false">
      <c r="C32" s="181" t="str">
        <f aca="false">C25</f>
        <v>Sonstige debt like / cash like items</v>
      </c>
      <c r="D32" s="181" t="str">
        <f aca="false">D25</f>
        <v>Other debt like / cash like items</v>
      </c>
      <c r="E32" s="181"/>
      <c r="F32" s="175" t="n">
        <f aca="false">SUM(F26:F31)</f>
        <v>0</v>
      </c>
      <c r="G32" s="175" t="n">
        <f aca="false">SUM(G26:G31)</f>
        <v>0</v>
      </c>
      <c r="H32" s="175" t="n">
        <f aca="false">SUM(H26:H31)</f>
        <v>0</v>
      </c>
      <c r="I32" s="176" t="n">
        <f aca="false">SUM(I26:I31)</f>
        <v>0</v>
      </c>
      <c r="J32" s="177" t="n">
        <f aca="false">SUM(J26:J31)</f>
        <v>0</v>
      </c>
      <c r="K32" s="177" t="n">
        <f aca="false">SUM(K26:K31)</f>
        <v>0</v>
      </c>
      <c r="L32" s="177" t="n">
        <f aca="false">SUM(L26:L31)</f>
        <v>0</v>
      </c>
      <c r="M32" s="177" t="n">
        <f aca="false">SUM(M26:M31)</f>
        <v>0</v>
      </c>
    </row>
    <row r="33" customFormat="false" ht="4.5" hidden="false" customHeight="true" outlineLevel="0" collapsed="false">
      <c r="C33" s="296"/>
      <c r="D33" s="296"/>
      <c r="E33" s="296"/>
      <c r="F33" s="165"/>
      <c r="G33" s="165"/>
      <c r="H33" s="165"/>
      <c r="I33" s="166"/>
      <c r="J33" s="167"/>
      <c r="K33" s="167"/>
      <c r="L33" s="167"/>
      <c r="M33" s="167"/>
    </row>
    <row r="34" customFormat="false" ht="11.25" hidden="false" customHeight="true" outlineLevel="0" collapsed="false">
      <c r="C34" s="181" t="s">
        <v>756</v>
      </c>
      <c r="D34" s="181" t="s">
        <v>757</v>
      </c>
      <c r="E34" s="181"/>
      <c r="F34" s="175" t="n">
        <f aca="false">F23+F32</f>
        <v>0</v>
      </c>
      <c r="G34" s="175" t="n">
        <f aca="false">G23+G32</f>
        <v>0</v>
      </c>
      <c r="H34" s="175" t="n">
        <f aca="false">H23+H32</f>
        <v>0</v>
      </c>
      <c r="I34" s="176" t="n">
        <f aca="false">I23+I32</f>
        <v>0</v>
      </c>
      <c r="J34" s="177" t="n">
        <f aca="false">J23+J32</f>
        <v>0</v>
      </c>
      <c r="K34" s="177" t="n">
        <f aca="false">K23+K32</f>
        <v>0</v>
      </c>
      <c r="L34" s="177" t="n">
        <f aca="false">L23+L32</f>
        <v>0</v>
      </c>
      <c r="M34" s="177" t="n">
        <f aca="false">M23+M32</f>
        <v>0</v>
      </c>
    </row>
    <row r="35" customFormat="false" ht="4.5" hidden="false" customHeight="true" outlineLevel="0" collapsed="false">
      <c r="C35" s="171"/>
      <c r="D35" s="171"/>
      <c r="E35" s="171"/>
      <c r="F35" s="205"/>
      <c r="G35" s="205"/>
      <c r="H35" s="205"/>
      <c r="I35" s="207"/>
      <c r="J35" s="274"/>
      <c r="K35" s="274"/>
      <c r="L35" s="274"/>
      <c r="M35" s="274"/>
    </row>
    <row r="36" customFormat="false" ht="11.25" hidden="false" customHeight="true" outlineLevel="0" collapsed="false">
      <c r="C36" s="171" t="s">
        <v>781</v>
      </c>
      <c r="D36" s="171" t="s">
        <v>782</v>
      </c>
      <c r="E36" s="171"/>
      <c r="F36" s="205" t="n">
        <f aca="false">F34+F14</f>
        <v>0</v>
      </c>
      <c r="G36" s="205" t="n">
        <f aca="false">G34+G14</f>
        <v>0</v>
      </c>
      <c r="H36" s="205" t="n">
        <f aca="false">H34+H14</f>
        <v>0</v>
      </c>
      <c r="I36" s="207" t="n">
        <f aca="false">I34+I14</f>
        <v>0</v>
      </c>
      <c r="J36" s="274" t="n">
        <f aca="false">J34+J14</f>
        <v>0</v>
      </c>
      <c r="K36" s="274" t="n">
        <f aca="false">K34+K14</f>
        <v>0</v>
      </c>
      <c r="L36" s="274" t="n">
        <f aca="false">L34+L14</f>
        <v>0</v>
      </c>
      <c r="M36" s="274" t="n">
        <f aca="false">M34+M14</f>
        <v>0</v>
      </c>
    </row>
    <row r="37" customFormat="false" ht="4.5" hidden="false" customHeight="true" outlineLevel="0" collapsed="false">
      <c r="C37" s="51"/>
      <c r="D37" s="51"/>
      <c r="E37" s="51"/>
      <c r="F37" s="327"/>
      <c r="G37" s="327"/>
      <c r="H37" s="327"/>
      <c r="I37" s="328"/>
      <c r="J37" s="329"/>
      <c r="K37" s="329"/>
      <c r="L37" s="329"/>
      <c r="M37" s="329"/>
    </row>
    <row r="38" customFormat="false" ht="12" hidden="false" customHeight="true" outlineLevel="0" collapsed="false">
      <c r="C38" s="132" t="s">
        <v>719</v>
      </c>
      <c r="D38" s="132" t="s">
        <v>719</v>
      </c>
      <c r="E38" s="51"/>
      <c r="F38" s="327"/>
      <c r="G38" s="327"/>
      <c r="H38" s="327"/>
      <c r="I38" s="328"/>
      <c r="J38" s="329"/>
      <c r="K38" s="329"/>
      <c r="L38" s="329"/>
      <c r="M38" s="329"/>
    </row>
    <row r="39" customFormat="false" ht="12" hidden="false" customHeight="true" outlineLevel="0" collapsed="false">
      <c r="C39" s="51" t="s">
        <v>234</v>
      </c>
      <c r="D39" s="51" t="s">
        <v>234</v>
      </c>
      <c r="E39" s="51"/>
      <c r="F39" s="327"/>
      <c r="G39" s="327"/>
      <c r="H39" s="327"/>
      <c r="I39" s="328"/>
      <c r="J39" s="329"/>
      <c r="K39" s="329"/>
      <c r="L39" s="329"/>
      <c r="M39" s="329"/>
      <c r="P39" s="314" t="s">
        <v>350</v>
      </c>
    </row>
    <row r="40" customFormat="false" ht="12" hidden="false" customHeight="true" outlineLevel="0" collapsed="false">
      <c r="C40" s="51" t="s">
        <v>235</v>
      </c>
      <c r="D40" s="51" t="s">
        <v>235</v>
      </c>
      <c r="E40" s="51"/>
      <c r="F40" s="327"/>
      <c r="G40" s="327"/>
      <c r="H40" s="327"/>
      <c r="I40" s="328"/>
      <c r="J40" s="329"/>
      <c r="K40" s="329"/>
      <c r="L40" s="329"/>
      <c r="M40" s="329"/>
      <c r="P40" s="314" t="s">
        <v>352</v>
      </c>
    </row>
    <row r="41" customFormat="false" ht="12" hidden="false" customHeight="true" outlineLevel="0" collapsed="false">
      <c r="C41" s="51" t="s">
        <v>236</v>
      </c>
      <c r="D41" s="51" t="s">
        <v>236</v>
      </c>
      <c r="E41" s="51"/>
      <c r="F41" s="327"/>
      <c r="G41" s="327"/>
      <c r="H41" s="327"/>
      <c r="I41" s="328"/>
      <c r="J41" s="329"/>
      <c r="K41" s="329"/>
      <c r="L41" s="329"/>
      <c r="M41" s="329"/>
      <c r="P41" s="314" t="s">
        <v>354</v>
      </c>
    </row>
    <row r="42" customFormat="false" ht="12" hidden="true" customHeight="true" outlineLevel="1" collapsed="false">
      <c r="C42" s="51" t="s">
        <v>237</v>
      </c>
      <c r="D42" s="51" t="s">
        <v>237</v>
      </c>
      <c r="E42" s="51"/>
      <c r="F42" s="327"/>
      <c r="G42" s="327"/>
      <c r="H42" s="327"/>
      <c r="I42" s="328"/>
      <c r="J42" s="329"/>
      <c r="K42" s="329"/>
      <c r="L42" s="329"/>
      <c r="M42" s="329"/>
      <c r="P42" s="314" t="s">
        <v>356</v>
      </c>
    </row>
    <row r="43" customFormat="false" ht="12" hidden="true" customHeight="true" outlineLevel="1" collapsed="false">
      <c r="C43" s="51" t="s">
        <v>672</v>
      </c>
      <c r="D43" s="51" t="s">
        <v>672</v>
      </c>
      <c r="E43" s="51"/>
      <c r="F43" s="327"/>
      <c r="G43" s="327"/>
      <c r="H43" s="327"/>
      <c r="I43" s="328"/>
      <c r="J43" s="329"/>
      <c r="K43" s="329"/>
      <c r="L43" s="329"/>
      <c r="M43" s="329"/>
      <c r="P43" s="314" t="s">
        <v>358</v>
      </c>
    </row>
    <row r="44" customFormat="false" ht="12" hidden="true" customHeight="true" outlineLevel="1" collapsed="false">
      <c r="C44" s="51" t="s">
        <v>673</v>
      </c>
      <c r="D44" s="51" t="s">
        <v>673</v>
      </c>
      <c r="E44" s="51"/>
      <c r="F44" s="327"/>
      <c r="G44" s="327"/>
      <c r="H44" s="327"/>
      <c r="I44" s="328"/>
      <c r="J44" s="329"/>
      <c r="K44" s="329"/>
      <c r="L44" s="329"/>
      <c r="M44" s="329"/>
      <c r="P44" s="314" t="s">
        <v>360</v>
      </c>
    </row>
    <row r="45" customFormat="false" ht="12" hidden="false" customHeight="true" outlineLevel="0" collapsed="false">
      <c r="C45" s="181" t="s">
        <v>720</v>
      </c>
      <c r="D45" s="181" t="s">
        <v>720</v>
      </c>
      <c r="E45" s="181"/>
      <c r="F45" s="175" t="n">
        <f aca="false">SUM(F39:F44)</f>
        <v>0</v>
      </c>
      <c r="G45" s="175" t="n">
        <f aca="false">SUM(G39:G44)</f>
        <v>0</v>
      </c>
      <c r="H45" s="175" t="n">
        <f aca="false">SUM(H39:H44)</f>
        <v>0</v>
      </c>
      <c r="I45" s="176" t="n">
        <f aca="false">SUM(I39:I44)</f>
        <v>0</v>
      </c>
      <c r="J45" s="177" t="n">
        <f aca="false">SUM(J39:J44)</f>
        <v>0</v>
      </c>
      <c r="K45" s="177" t="n">
        <f aca="false">SUM(K39:K44)</f>
        <v>0</v>
      </c>
      <c r="L45" s="177" t="n">
        <f aca="false">SUM(L39:L44)</f>
        <v>0</v>
      </c>
      <c r="M45" s="177" t="n">
        <f aca="false">SUM(M39:M44)</f>
        <v>0</v>
      </c>
    </row>
    <row r="46" customFormat="false" ht="4.5" hidden="false" customHeight="true" outlineLevel="0" collapsed="false">
      <c r="C46" s="51"/>
      <c r="D46" s="51"/>
      <c r="E46" s="51"/>
      <c r="F46" s="51"/>
      <c r="G46" s="51"/>
      <c r="H46" s="51"/>
      <c r="I46" s="51"/>
      <c r="J46" s="51"/>
      <c r="K46" s="51"/>
      <c r="L46" s="51"/>
      <c r="M46" s="51"/>
    </row>
    <row r="47" customFormat="false" ht="11.25" hidden="false" customHeight="true" outlineLevel="0" collapsed="false">
      <c r="C47" s="271" t="str">
        <f aca="false">"Quelle: "&amp;Cockpit!$C$7</f>
        <v>Quelle: Datenraum/ eigene Analysen</v>
      </c>
      <c r="D47" s="54" t="str">
        <f aca="false">"Source: "&amp;Cockpit!$C$8</f>
        <v>Source: Virtual Data Room/ Company Information</v>
      </c>
      <c r="E47" s="54"/>
      <c r="F47" s="338"/>
      <c r="G47" s="338"/>
      <c r="H47" s="338"/>
      <c r="I47" s="339"/>
      <c r="J47" s="340"/>
      <c r="K47" s="340"/>
      <c r="L47" s="340"/>
      <c r="M47" s="340"/>
    </row>
    <row r="48" customFormat="false" ht="11.25" hidden="false" customHeight="true" outlineLevel="0" collapsed="false"/>
    <row r="49" customFormat="false" ht="11.25" hidden="false" customHeight="true" outlineLevel="0" collapsed="false"/>
    <row r="50" customFormat="false" ht="12" hidden="false" customHeight="true" outlineLevel="0" collapsed="false">
      <c r="C50" s="151" t="s">
        <v>540</v>
      </c>
      <c r="D50" s="151" t="s">
        <v>783</v>
      </c>
      <c r="E50" s="151"/>
      <c r="F50" s="152" t="n">
        <f aca="false">'Lead NA'!F210</f>
        <v>0</v>
      </c>
      <c r="G50" s="152" t="n">
        <f aca="false">'Lead NA'!G210</f>
        <v>0</v>
      </c>
      <c r="H50" s="152" t="n">
        <f aca="false">'Lead NA'!H210</f>
        <v>0</v>
      </c>
      <c r="I50" s="152" t="n">
        <f aca="false">'Lead NA'!I210</f>
        <v>0</v>
      </c>
      <c r="J50" s="152" t="n">
        <f aca="false">'Lead NA'!J210</f>
        <v>0</v>
      </c>
      <c r="K50" s="152" t="n">
        <f aca="false">'Lead NA'!K210</f>
        <v>0</v>
      </c>
      <c r="L50" s="152" t="n">
        <f aca="false">'Lead NA'!L210</f>
        <v>0</v>
      </c>
      <c r="M50" s="152" t="n">
        <f aca="false">'Lead NA'!M210</f>
        <v>0</v>
      </c>
    </row>
    <row r="51" customFormat="false" ht="12" hidden="false" customHeight="true" outlineLevel="0" collapsed="false">
      <c r="C51" s="153" t="s">
        <v>245</v>
      </c>
      <c r="D51" s="154" t="s">
        <v>245</v>
      </c>
      <c r="E51" s="153"/>
      <c r="F51" s="218" t="n">
        <f aca="false">F50-F14</f>
        <v>0</v>
      </c>
      <c r="G51" s="218" t="n">
        <f aca="false">G50-G14</f>
        <v>0</v>
      </c>
      <c r="H51" s="218" t="n">
        <f aca="false">H50-H14</f>
        <v>0</v>
      </c>
      <c r="I51" s="218" t="n">
        <f aca="false">I50-I14</f>
        <v>0</v>
      </c>
      <c r="J51" s="218" t="n">
        <f aca="false">J50-J14</f>
        <v>0</v>
      </c>
      <c r="K51" s="218" t="n">
        <f aca="false">K50-K14</f>
        <v>0</v>
      </c>
      <c r="L51" s="218" t="n">
        <f aca="false">L50-L14</f>
        <v>0</v>
      </c>
      <c r="M51" s="218" t="n">
        <f aca="false">M50-M14</f>
        <v>0</v>
      </c>
    </row>
  </sheetData>
  <conditionalFormatting sqref="F51:M51">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6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C3B"/>
    <pageSetUpPr fitToPage="false"/>
  </sheetPr>
  <dimension ref="A1:CU14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4" ySplit="7" topLeftCell="E102" activePane="bottomRight" state="frozen"/>
      <selection pane="topLeft" activeCell="A1" activeCellId="0" sqref="A1"/>
      <selection pane="topRight" activeCell="E1" activeCellId="0" sqref="E1"/>
      <selection pane="bottomLeft" activeCell="A102" activeCellId="0" sqref="A102"/>
      <selection pane="bottomRight" activeCell="AB128" activeCellId="0" sqref="AB128"/>
    </sheetView>
  </sheetViews>
  <sheetFormatPr defaultColWidth="11.00390625" defaultRowHeight="11.25" zeroHeight="false" outlineLevelRow="3" outlineLevelCol="2"/>
  <cols>
    <col collapsed="false" customWidth="true" hidden="false" outlineLevel="0" max="1" min="1" style="40" width="11.29"/>
    <col collapsed="false" customWidth="true" hidden="false" outlineLevel="2" max="2" min="2" style="40" width="0.86"/>
    <col collapsed="false" customWidth="true" hidden="false" outlineLevel="0" max="3" min="3" style="40" width="45"/>
    <col collapsed="false" customWidth="true" hidden="false" outlineLevel="0" max="4" min="4" style="40" width="21.84"/>
    <col collapsed="false" customWidth="true" hidden="true" outlineLevel="1" max="5" min="5" style="40" width="6.57"/>
    <col collapsed="false" customWidth="true" hidden="false" outlineLevel="0" max="6" min="6" style="40" width="6.57"/>
    <col collapsed="false" customWidth="true" hidden="false" outlineLevel="0" max="14" min="7" style="40" width="9.42"/>
    <col collapsed="false" customWidth="true" hidden="false" outlineLevel="1" max="15" min="15" style="40" width="9.42"/>
    <col collapsed="false" customWidth="true" hidden="false" outlineLevel="0" max="89" min="16" style="40" width="9.42"/>
    <col collapsed="false" customWidth="true" hidden="false" outlineLevel="2" max="90" min="90" style="40" width="0.86"/>
    <col collapsed="false" customWidth="false" hidden="false" outlineLevel="0" max="91" min="91" style="40" width="11"/>
    <col collapsed="false" customWidth="true" hidden="false" outlineLevel="0" max="92" min="92" style="40" width="60.71"/>
    <col collapsed="false" customWidth="false" hidden="false" outlineLevel="0" max="16384" min="93" style="40" width="11"/>
  </cols>
  <sheetData>
    <row r="1" customFormat="false" ht="11.25" hidden="false" customHeight="true" outlineLevel="3" collapsed="false"/>
    <row r="4" customFormat="false" ht="11.25" hidden="false" customHeight="true" outlineLevel="3" collapsed="false">
      <c r="B4" s="92"/>
      <c r="C4" s="220" t="str">
        <f aca="false">Cockpit!$C$4</f>
        <v>Template</v>
      </c>
      <c r="D4" s="221"/>
      <c r="E4" s="225" t="n">
        <f aca="false">Cockpit!C39</f>
        <v>44561</v>
      </c>
      <c r="F4" s="225" t="n">
        <f aca="false">Cockpit!D45</f>
        <v>44592</v>
      </c>
      <c r="G4" s="225" t="n">
        <f aca="false">Cockpit!E45</f>
        <v>44620</v>
      </c>
      <c r="H4" s="225" t="n">
        <f aca="false">Cockpit!F45</f>
        <v>44651</v>
      </c>
      <c r="I4" s="225" t="n">
        <f aca="false">Cockpit!G45</f>
        <v>44681</v>
      </c>
      <c r="J4" s="225" t="n">
        <f aca="false">Cockpit!H45</f>
        <v>44712</v>
      </c>
      <c r="K4" s="225" t="n">
        <f aca="false">Cockpit!I45</f>
        <v>44742</v>
      </c>
      <c r="L4" s="225" t="n">
        <f aca="false">Cockpit!J45</f>
        <v>44773</v>
      </c>
      <c r="M4" s="225" t="n">
        <f aca="false">Cockpit!K45</f>
        <v>44804</v>
      </c>
      <c r="N4" s="225" t="n">
        <f aca="false">Cockpit!L45</f>
        <v>44834</v>
      </c>
      <c r="O4" s="225" t="n">
        <f aca="false">Cockpit!M45</f>
        <v>44865</v>
      </c>
      <c r="P4" s="225" t="n">
        <f aca="false">Cockpit!N45</f>
        <v>44895</v>
      </c>
      <c r="Q4" s="225" t="n">
        <f aca="false">Cockpit!O45</f>
        <v>44926</v>
      </c>
      <c r="R4" s="225" t="n">
        <f aca="false">Cockpit!P45</f>
        <v>44957</v>
      </c>
      <c r="S4" s="225" t="n">
        <f aca="false">Cockpit!Q45</f>
        <v>44985</v>
      </c>
      <c r="T4" s="225" t="n">
        <f aca="false">Cockpit!R45</f>
        <v>45016</v>
      </c>
      <c r="U4" s="225" t="n">
        <f aca="false">Cockpit!S45</f>
        <v>45046</v>
      </c>
      <c r="V4" s="225" t="n">
        <f aca="false">Cockpit!T45</f>
        <v>45077</v>
      </c>
      <c r="W4" s="225" t="n">
        <f aca="false">Cockpit!U45</f>
        <v>45107</v>
      </c>
      <c r="X4" s="225" t="n">
        <f aca="false">Cockpit!V45</f>
        <v>45138</v>
      </c>
      <c r="Y4" s="225" t="n">
        <f aca="false">Cockpit!W45</f>
        <v>45169</v>
      </c>
      <c r="Z4" s="225" t="n">
        <f aca="false">Cockpit!X45</f>
        <v>45199</v>
      </c>
      <c r="AA4" s="225" t="n">
        <f aca="false">Cockpit!Y45</f>
        <v>45230</v>
      </c>
      <c r="AB4" s="225" t="n">
        <f aca="false">Cockpit!Z45</f>
        <v>45260</v>
      </c>
      <c r="AC4" s="225" t="n">
        <f aca="false">Cockpit!AA45</f>
        <v>45291</v>
      </c>
      <c r="AD4" s="225" t="n">
        <f aca="false">Cockpit!AB45</f>
        <v>45322</v>
      </c>
      <c r="AE4" s="225" t="n">
        <f aca="false">Cockpit!AC45</f>
        <v>45351</v>
      </c>
      <c r="AF4" s="225" t="n">
        <f aca="false">Cockpit!AD45</f>
        <v>45382</v>
      </c>
      <c r="AG4" s="225" t="n">
        <f aca="false">Cockpit!AE45</f>
        <v>45412</v>
      </c>
      <c r="AH4" s="225" t="n">
        <f aca="false">Cockpit!AF45</f>
        <v>45443</v>
      </c>
      <c r="AI4" s="225" t="n">
        <f aca="false">Cockpit!AG45</f>
        <v>45473</v>
      </c>
      <c r="AJ4" s="225" t="n">
        <f aca="false">Cockpit!AH45</f>
        <v>45504</v>
      </c>
      <c r="AK4" s="225" t="n">
        <f aca="false">Cockpit!AI45</f>
        <v>45535</v>
      </c>
      <c r="AL4" s="225" t="n">
        <f aca="false">Cockpit!AJ45</f>
        <v>45565</v>
      </c>
      <c r="AM4" s="225" t="n">
        <f aca="false">Cockpit!AK45</f>
        <v>45596</v>
      </c>
      <c r="AN4" s="225" t="n">
        <f aca="false">Cockpit!AL45</f>
        <v>45626</v>
      </c>
      <c r="AO4" s="225" t="n">
        <f aca="false">Cockpit!AM45</f>
        <v>45657</v>
      </c>
      <c r="AP4" s="225" t="n">
        <f aca="false">Cockpit!AN45</f>
        <v>45688</v>
      </c>
      <c r="AQ4" s="225" t="n">
        <f aca="false">Cockpit!AO45</f>
        <v>45716</v>
      </c>
      <c r="AR4" s="225" t="n">
        <f aca="false">Cockpit!AP45</f>
        <v>45747</v>
      </c>
      <c r="AS4" s="225" t="n">
        <f aca="false">Cockpit!AQ45</f>
        <v>45777</v>
      </c>
      <c r="AT4" s="225" t="n">
        <f aca="false">Cockpit!AR45</f>
        <v>45808</v>
      </c>
      <c r="AU4" s="225" t="n">
        <f aca="false">Cockpit!AS45</f>
        <v>45838</v>
      </c>
      <c r="AV4" s="225" t="n">
        <f aca="false">Cockpit!AT45</f>
        <v>45869</v>
      </c>
      <c r="AW4" s="225" t="n">
        <f aca="false">Cockpit!AU45</f>
        <v>45900</v>
      </c>
      <c r="AX4" s="225" t="n">
        <f aca="false">Cockpit!AV45</f>
        <v>45930</v>
      </c>
      <c r="AY4" s="225" t="n">
        <f aca="false">Cockpit!AW45</f>
        <v>45961</v>
      </c>
      <c r="AZ4" s="225" t="n">
        <f aca="false">Cockpit!AX45</f>
        <v>45991</v>
      </c>
      <c r="BA4" s="225" t="n">
        <f aca="false">Cockpit!AY45</f>
        <v>46022</v>
      </c>
      <c r="BB4" s="225" t="n">
        <f aca="false">Cockpit!AZ45</f>
        <v>46053</v>
      </c>
      <c r="BC4" s="225" t="n">
        <f aca="false">Cockpit!BA45</f>
        <v>46081</v>
      </c>
      <c r="BD4" s="225" t="n">
        <f aca="false">Cockpit!BB45</f>
        <v>46112</v>
      </c>
      <c r="BE4" s="225" t="n">
        <f aca="false">Cockpit!BC45</f>
        <v>46142</v>
      </c>
      <c r="BF4" s="225" t="n">
        <f aca="false">Cockpit!BD45</f>
        <v>46173</v>
      </c>
      <c r="BG4" s="225" t="n">
        <f aca="false">Cockpit!BE45</f>
        <v>46203</v>
      </c>
      <c r="BH4" s="225" t="n">
        <f aca="false">Cockpit!BF45</f>
        <v>46234</v>
      </c>
      <c r="BI4" s="225" t="n">
        <f aca="false">Cockpit!BG45</f>
        <v>46265</v>
      </c>
      <c r="BJ4" s="225" t="n">
        <f aca="false">Cockpit!BH45</f>
        <v>46295</v>
      </c>
      <c r="BK4" s="225" t="n">
        <f aca="false">Cockpit!BI45</f>
        <v>46326</v>
      </c>
      <c r="BL4" s="225" t="n">
        <f aca="false">Cockpit!BJ45</f>
        <v>46356</v>
      </c>
      <c r="BM4" s="225" t="n">
        <f aca="false">Cockpit!BK45</f>
        <v>46387</v>
      </c>
      <c r="BN4" s="225" t="n">
        <f aca="false">Cockpit!BL45</f>
        <v>46418</v>
      </c>
      <c r="BO4" s="225" t="n">
        <f aca="false">Cockpit!BM45</f>
        <v>46446</v>
      </c>
      <c r="BP4" s="225" t="n">
        <f aca="false">Cockpit!BN45</f>
        <v>46477</v>
      </c>
      <c r="BQ4" s="225" t="n">
        <f aca="false">Cockpit!BO45</f>
        <v>46507</v>
      </c>
      <c r="BR4" s="225" t="n">
        <f aca="false">Cockpit!BP45</f>
        <v>46538</v>
      </c>
      <c r="BS4" s="225" t="n">
        <f aca="false">Cockpit!BQ45</f>
        <v>46568</v>
      </c>
      <c r="BT4" s="225" t="n">
        <f aca="false">Cockpit!BR45</f>
        <v>46599</v>
      </c>
      <c r="BU4" s="225" t="n">
        <f aca="false">Cockpit!BS45</f>
        <v>46630</v>
      </c>
      <c r="BV4" s="225" t="n">
        <f aca="false">Cockpit!BT45</f>
        <v>46660</v>
      </c>
      <c r="BW4" s="225" t="n">
        <f aca="false">Cockpit!BU45</f>
        <v>46691</v>
      </c>
      <c r="BX4" s="225" t="n">
        <f aca="false">Cockpit!BV45</f>
        <v>46721</v>
      </c>
      <c r="BY4" s="225" t="n">
        <f aca="false">Cockpit!BW45</f>
        <v>46752</v>
      </c>
      <c r="BZ4" s="225" t="n">
        <f aca="false">Cockpit!BX45</f>
        <v>46783</v>
      </c>
      <c r="CA4" s="225" t="n">
        <f aca="false">Cockpit!BY45</f>
        <v>46812</v>
      </c>
      <c r="CB4" s="225" t="n">
        <f aca="false">Cockpit!BZ45</f>
        <v>46843</v>
      </c>
      <c r="CC4" s="225" t="n">
        <f aca="false">Cockpit!CA45</f>
        <v>46873</v>
      </c>
      <c r="CD4" s="225" t="n">
        <f aca="false">Cockpit!CB45</f>
        <v>46904</v>
      </c>
      <c r="CE4" s="225" t="n">
        <f aca="false">Cockpit!CC45</f>
        <v>46934</v>
      </c>
      <c r="CF4" s="225" t="n">
        <f aca="false">Cockpit!CD45</f>
        <v>46965</v>
      </c>
      <c r="CG4" s="225" t="n">
        <f aca="false">Cockpit!CE45</f>
        <v>46996</v>
      </c>
      <c r="CH4" s="225" t="n">
        <f aca="false">Cockpit!CF45</f>
        <v>47026</v>
      </c>
      <c r="CI4" s="225" t="n">
        <f aca="false">Cockpit!CG45</f>
        <v>47057</v>
      </c>
      <c r="CJ4" s="225" t="n">
        <f aca="false">Cockpit!CH45</f>
        <v>47087</v>
      </c>
      <c r="CK4" s="225" t="n">
        <f aca="false">Cockpit!CI45</f>
        <v>47118</v>
      </c>
      <c r="CL4" s="92"/>
    </row>
    <row r="5" customFormat="false" ht="11.25" hidden="false" customHeight="true" outlineLevel="3" collapsed="false">
      <c r="B5" s="92"/>
      <c r="C5" s="220" t="str">
        <f aca="false">"in T"&amp;Cockpit!$C$5</f>
        <v>in TEUR</v>
      </c>
      <c r="D5" s="221"/>
      <c r="E5" s="221" t="str">
        <f aca="false">Cockpit!C46</f>
        <v>IST</v>
      </c>
      <c r="F5" s="221" t="str">
        <f aca="false">Cockpit!D46</f>
        <v>IST</v>
      </c>
      <c r="G5" s="221" t="str">
        <f aca="false">Cockpit!E46</f>
        <v>IST</v>
      </c>
      <c r="H5" s="221" t="str">
        <f aca="false">Cockpit!F46</f>
        <v>IST</v>
      </c>
      <c r="I5" s="221" t="str">
        <f aca="false">Cockpit!G46</f>
        <v>IST</v>
      </c>
      <c r="J5" s="221" t="str">
        <f aca="false">Cockpit!H46</f>
        <v>IST</v>
      </c>
      <c r="K5" s="221" t="str">
        <f aca="false">Cockpit!I46</f>
        <v>IST</v>
      </c>
      <c r="L5" s="221" t="str">
        <f aca="false">Cockpit!J46</f>
        <v>IST</v>
      </c>
      <c r="M5" s="221" t="str">
        <f aca="false">Cockpit!K46</f>
        <v>IST</v>
      </c>
      <c r="N5" s="221" t="str">
        <f aca="false">Cockpit!L46</f>
        <v>IST</v>
      </c>
      <c r="O5" s="221" t="str">
        <f aca="false">Cockpit!M46</f>
        <v>IST</v>
      </c>
      <c r="P5" s="221" t="str">
        <f aca="false">Cockpit!N46</f>
        <v>IST</v>
      </c>
      <c r="Q5" s="221" t="str">
        <f aca="false">Cockpit!O46</f>
        <v>IST</v>
      </c>
      <c r="R5" s="221" t="str">
        <f aca="false">Cockpit!P46</f>
        <v>IST</v>
      </c>
      <c r="S5" s="221" t="str">
        <f aca="false">Cockpit!Q46</f>
        <v>IST</v>
      </c>
      <c r="T5" s="221" t="str">
        <f aca="false">Cockpit!R46</f>
        <v>IST</v>
      </c>
      <c r="U5" s="221" t="str">
        <f aca="false">Cockpit!S46</f>
        <v>IST</v>
      </c>
      <c r="V5" s="221" t="str">
        <f aca="false">Cockpit!T46</f>
        <v>IST</v>
      </c>
      <c r="W5" s="221" t="str">
        <f aca="false">Cockpit!U46</f>
        <v>IST</v>
      </c>
      <c r="X5" s="221" t="str">
        <f aca="false">Cockpit!V46</f>
        <v>IST</v>
      </c>
      <c r="Y5" s="221" t="str">
        <f aca="false">Cockpit!W46</f>
        <v>IST</v>
      </c>
      <c r="Z5" s="221" t="str">
        <f aca="false">Cockpit!X46</f>
        <v>IST</v>
      </c>
      <c r="AA5" s="221" t="str">
        <f aca="false">Cockpit!Y46</f>
        <v>IST</v>
      </c>
      <c r="AB5" s="221" t="str">
        <f aca="false">Cockpit!Z46</f>
        <v>IST</v>
      </c>
      <c r="AC5" s="221" t="str">
        <f aca="false">Cockpit!AA46</f>
        <v>IST</v>
      </c>
      <c r="AD5" s="221" t="str">
        <f aca="false">Cockpit!AB46</f>
        <v>IST</v>
      </c>
      <c r="AE5" s="221" t="str">
        <f aca="false">Cockpit!AC46</f>
        <v>IST</v>
      </c>
      <c r="AF5" s="221" t="str">
        <f aca="false">Cockpit!AD46</f>
        <v>IST</v>
      </c>
      <c r="AG5" s="221" t="str">
        <f aca="false">Cockpit!AE46</f>
        <v>IST</v>
      </c>
      <c r="AH5" s="221" t="str">
        <f aca="false">Cockpit!AF46</f>
        <v>IST</v>
      </c>
      <c r="AI5" s="221" t="str">
        <f aca="false">Cockpit!AG46</f>
        <v>IST</v>
      </c>
      <c r="AJ5" s="221" t="str">
        <f aca="false">Cockpit!AH46</f>
        <v>IST</v>
      </c>
      <c r="AK5" s="221" t="str">
        <f aca="false">Cockpit!AI46</f>
        <v>IST</v>
      </c>
      <c r="AL5" s="221" t="str">
        <f aca="false">Cockpit!AJ46</f>
        <v>IST</v>
      </c>
      <c r="AM5" s="221" t="str">
        <f aca="false">Cockpit!AK46</f>
        <v>IST</v>
      </c>
      <c r="AN5" s="221" t="str">
        <f aca="false">Cockpit!AL46</f>
        <v>IST</v>
      </c>
      <c r="AO5" s="221" t="str">
        <f aca="false">Cockpit!AM46</f>
        <v>IST</v>
      </c>
      <c r="AP5" s="221" t="str">
        <f aca="false">Cockpit!AN46</f>
        <v>IST</v>
      </c>
      <c r="AQ5" s="221" t="str">
        <f aca="false">Cockpit!AO46</f>
        <v>IST</v>
      </c>
      <c r="AR5" s="221" t="str">
        <f aca="false">Cockpit!AP46</f>
        <v>IST</v>
      </c>
      <c r="AS5" s="221" t="str">
        <f aca="false">Cockpit!AQ46</f>
        <v>IST</v>
      </c>
      <c r="AT5" s="221" t="str">
        <f aca="false">Cockpit!AR46</f>
        <v>IST</v>
      </c>
      <c r="AU5" s="221" t="str">
        <f aca="false">Cockpit!AS46</f>
        <v>Plan</v>
      </c>
      <c r="AV5" s="221" t="str">
        <f aca="false">Cockpit!AT46</f>
        <v>Plan</v>
      </c>
      <c r="AW5" s="221" t="str">
        <f aca="false">Cockpit!AU46</f>
        <v>Plan</v>
      </c>
      <c r="AX5" s="221" t="str">
        <f aca="false">Cockpit!AV46</f>
        <v>Plan</v>
      </c>
      <c r="AY5" s="221" t="str">
        <f aca="false">Cockpit!AW46</f>
        <v>Plan</v>
      </c>
      <c r="AZ5" s="221" t="str">
        <f aca="false">Cockpit!AX46</f>
        <v>Plan</v>
      </c>
      <c r="BA5" s="221" t="str">
        <f aca="false">Cockpit!AY46</f>
        <v>Plan</v>
      </c>
      <c r="BB5" s="221" t="str">
        <f aca="false">Cockpit!AZ46</f>
        <v>Plan</v>
      </c>
      <c r="BC5" s="221" t="str">
        <f aca="false">Cockpit!BA46</f>
        <v>Plan</v>
      </c>
      <c r="BD5" s="221" t="str">
        <f aca="false">Cockpit!BB46</f>
        <v>Plan</v>
      </c>
      <c r="BE5" s="221" t="str">
        <f aca="false">Cockpit!BC46</f>
        <v>Plan</v>
      </c>
      <c r="BF5" s="221" t="str">
        <f aca="false">Cockpit!BD46</f>
        <v>Plan</v>
      </c>
      <c r="BG5" s="221" t="str">
        <f aca="false">Cockpit!BE46</f>
        <v>Plan</v>
      </c>
      <c r="BH5" s="221" t="str">
        <f aca="false">Cockpit!BF46</f>
        <v>Plan</v>
      </c>
      <c r="BI5" s="221" t="str">
        <f aca="false">Cockpit!BG46</f>
        <v>Plan</v>
      </c>
      <c r="BJ5" s="221" t="str">
        <f aca="false">Cockpit!BH46</f>
        <v>Plan</v>
      </c>
      <c r="BK5" s="221" t="str">
        <f aca="false">Cockpit!BI46</f>
        <v>Plan</v>
      </c>
      <c r="BL5" s="221" t="str">
        <f aca="false">Cockpit!BJ46</f>
        <v>Plan</v>
      </c>
      <c r="BM5" s="221" t="str">
        <f aca="false">Cockpit!BK46</f>
        <v>Plan</v>
      </c>
      <c r="BN5" s="221" t="str">
        <f aca="false">Cockpit!BL46</f>
        <v>Plan</v>
      </c>
      <c r="BO5" s="221" t="str">
        <f aca="false">Cockpit!BM46</f>
        <v>Plan</v>
      </c>
      <c r="BP5" s="221" t="str">
        <f aca="false">Cockpit!BN46</f>
        <v>Plan</v>
      </c>
      <c r="BQ5" s="221" t="str">
        <f aca="false">Cockpit!BO46</f>
        <v>Plan</v>
      </c>
      <c r="BR5" s="221" t="str">
        <f aca="false">Cockpit!BP46</f>
        <v>Plan</v>
      </c>
      <c r="BS5" s="221" t="str">
        <f aca="false">Cockpit!BQ46</f>
        <v>Plan</v>
      </c>
      <c r="BT5" s="221" t="str">
        <f aca="false">Cockpit!BR46</f>
        <v>Plan</v>
      </c>
      <c r="BU5" s="221" t="str">
        <f aca="false">Cockpit!BS46</f>
        <v>Plan</v>
      </c>
      <c r="BV5" s="221" t="str">
        <f aca="false">Cockpit!BT46</f>
        <v>Plan</v>
      </c>
      <c r="BW5" s="221" t="str">
        <f aca="false">Cockpit!BU46</f>
        <v>Plan</v>
      </c>
      <c r="BX5" s="221" t="str">
        <f aca="false">Cockpit!BV46</f>
        <v>Plan</v>
      </c>
      <c r="BY5" s="221" t="str">
        <f aca="false">Cockpit!BW46</f>
        <v>Plan</v>
      </c>
      <c r="BZ5" s="221" t="str">
        <f aca="false">Cockpit!BX46</f>
        <v>Plan</v>
      </c>
      <c r="CA5" s="221" t="str">
        <f aca="false">Cockpit!BY46</f>
        <v>Plan</v>
      </c>
      <c r="CB5" s="221" t="str">
        <f aca="false">Cockpit!BZ46</f>
        <v>Plan</v>
      </c>
      <c r="CC5" s="221" t="str">
        <f aca="false">Cockpit!CA46</f>
        <v>Plan</v>
      </c>
      <c r="CD5" s="221" t="str">
        <f aca="false">Cockpit!CB46</f>
        <v>Plan</v>
      </c>
      <c r="CE5" s="221" t="str">
        <f aca="false">Cockpit!CC46</f>
        <v>Plan</v>
      </c>
      <c r="CF5" s="221" t="str">
        <f aca="false">Cockpit!CD46</f>
        <v>Plan</v>
      </c>
      <c r="CG5" s="221" t="str">
        <f aca="false">Cockpit!CE46</f>
        <v>Plan</v>
      </c>
      <c r="CH5" s="221" t="str">
        <f aca="false">Cockpit!CF46</f>
        <v>Plan</v>
      </c>
      <c r="CI5" s="221" t="str">
        <f aca="false">Cockpit!CG46</f>
        <v>Plan</v>
      </c>
      <c r="CJ5" s="221" t="str">
        <f aca="false">Cockpit!CH46</f>
        <v>Plan</v>
      </c>
      <c r="CK5" s="221" t="str">
        <f aca="false">Cockpit!CI46</f>
        <v>Plan</v>
      </c>
      <c r="CL5" s="92"/>
    </row>
    <row r="6" customFormat="false" ht="11.25" hidden="false" customHeight="true" outlineLevel="0" collapsed="false">
      <c r="B6" s="92"/>
      <c r="C6" s="227"/>
      <c r="D6" s="228" t="str">
        <f aca="false">Cockpit!$C$4</f>
        <v>Template</v>
      </c>
      <c r="E6" s="293" t="n">
        <f aca="false">Cockpit!C39</f>
        <v>44561</v>
      </c>
      <c r="F6" s="293" t="n">
        <f aca="false">Cockpit!D45</f>
        <v>44592</v>
      </c>
      <c r="G6" s="293" t="n">
        <f aca="false">Cockpit!E45</f>
        <v>44620</v>
      </c>
      <c r="H6" s="293" t="n">
        <f aca="false">Cockpit!F45</f>
        <v>44651</v>
      </c>
      <c r="I6" s="293" t="n">
        <f aca="false">Cockpit!G45</f>
        <v>44681</v>
      </c>
      <c r="J6" s="293" t="n">
        <f aca="false">Cockpit!H45</f>
        <v>44712</v>
      </c>
      <c r="K6" s="293" t="n">
        <f aca="false">Cockpit!I45</f>
        <v>44742</v>
      </c>
      <c r="L6" s="293" t="n">
        <f aca="false">Cockpit!J45</f>
        <v>44773</v>
      </c>
      <c r="M6" s="293" t="n">
        <f aca="false">Cockpit!K45</f>
        <v>44804</v>
      </c>
      <c r="N6" s="293" t="n">
        <f aca="false">Cockpit!L45</f>
        <v>44834</v>
      </c>
      <c r="O6" s="293" t="n">
        <f aca="false">Cockpit!M45</f>
        <v>44865</v>
      </c>
      <c r="P6" s="293" t="n">
        <f aca="false">Cockpit!N45</f>
        <v>44895</v>
      </c>
      <c r="Q6" s="293" t="n">
        <f aca="false">Cockpit!O45</f>
        <v>44926</v>
      </c>
      <c r="R6" s="293" t="n">
        <f aca="false">Cockpit!P45</f>
        <v>44957</v>
      </c>
      <c r="S6" s="293" t="n">
        <f aca="false">Cockpit!Q45</f>
        <v>44985</v>
      </c>
      <c r="T6" s="293" t="n">
        <f aca="false">Cockpit!R45</f>
        <v>45016</v>
      </c>
      <c r="U6" s="293" t="n">
        <f aca="false">Cockpit!S45</f>
        <v>45046</v>
      </c>
      <c r="V6" s="293" t="n">
        <f aca="false">Cockpit!T45</f>
        <v>45077</v>
      </c>
      <c r="W6" s="293" t="n">
        <f aca="false">Cockpit!U45</f>
        <v>45107</v>
      </c>
      <c r="X6" s="293" t="n">
        <f aca="false">Cockpit!V45</f>
        <v>45138</v>
      </c>
      <c r="Y6" s="293" t="n">
        <f aca="false">Cockpit!W45</f>
        <v>45169</v>
      </c>
      <c r="Z6" s="293" t="n">
        <f aca="false">Cockpit!X45</f>
        <v>45199</v>
      </c>
      <c r="AA6" s="293" t="n">
        <f aca="false">Cockpit!Y45</f>
        <v>45230</v>
      </c>
      <c r="AB6" s="293" t="n">
        <f aca="false">Cockpit!Z45</f>
        <v>45260</v>
      </c>
      <c r="AC6" s="293" t="n">
        <f aca="false">Cockpit!AA45</f>
        <v>45291</v>
      </c>
      <c r="AD6" s="293" t="n">
        <f aca="false">Cockpit!AB45</f>
        <v>45322</v>
      </c>
      <c r="AE6" s="293" t="n">
        <f aca="false">Cockpit!AC45</f>
        <v>45351</v>
      </c>
      <c r="AF6" s="293" t="n">
        <f aca="false">Cockpit!AD45</f>
        <v>45382</v>
      </c>
      <c r="AG6" s="293" t="n">
        <f aca="false">Cockpit!AE45</f>
        <v>45412</v>
      </c>
      <c r="AH6" s="293" t="n">
        <f aca="false">Cockpit!AF45</f>
        <v>45443</v>
      </c>
      <c r="AI6" s="293" t="n">
        <f aca="false">Cockpit!AG45</f>
        <v>45473</v>
      </c>
      <c r="AJ6" s="293" t="n">
        <f aca="false">Cockpit!AH45</f>
        <v>45504</v>
      </c>
      <c r="AK6" s="293" t="n">
        <f aca="false">Cockpit!AI45</f>
        <v>45535</v>
      </c>
      <c r="AL6" s="293" t="n">
        <f aca="false">Cockpit!AJ45</f>
        <v>45565</v>
      </c>
      <c r="AM6" s="293" t="n">
        <f aca="false">Cockpit!AK45</f>
        <v>45596</v>
      </c>
      <c r="AN6" s="293" t="n">
        <f aca="false">Cockpit!AL45</f>
        <v>45626</v>
      </c>
      <c r="AO6" s="293" t="n">
        <f aca="false">Cockpit!AM45</f>
        <v>45657</v>
      </c>
      <c r="AP6" s="293" t="n">
        <f aca="false">Cockpit!AN45</f>
        <v>45688</v>
      </c>
      <c r="AQ6" s="293" t="n">
        <f aca="false">Cockpit!AO45</f>
        <v>45716</v>
      </c>
      <c r="AR6" s="293" t="n">
        <f aca="false">Cockpit!AP45</f>
        <v>45747</v>
      </c>
      <c r="AS6" s="293" t="n">
        <f aca="false">Cockpit!AQ45</f>
        <v>45777</v>
      </c>
      <c r="AT6" s="293" t="n">
        <f aca="false">Cockpit!AR45</f>
        <v>45808</v>
      </c>
      <c r="AU6" s="293" t="n">
        <f aca="false">Cockpit!AS45</f>
        <v>45838</v>
      </c>
      <c r="AV6" s="293" t="n">
        <f aca="false">Cockpit!AT45</f>
        <v>45869</v>
      </c>
      <c r="AW6" s="293" t="n">
        <f aca="false">Cockpit!AU45</f>
        <v>45900</v>
      </c>
      <c r="AX6" s="293" t="n">
        <f aca="false">Cockpit!AV45</f>
        <v>45930</v>
      </c>
      <c r="AY6" s="293" t="n">
        <f aca="false">Cockpit!AW45</f>
        <v>45961</v>
      </c>
      <c r="AZ6" s="293" t="n">
        <f aca="false">Cockpit!AX45</f>
        <v>45991</v>
      </c>
      <c r="BA6" s="293" t="n">
        <f aca="false">Cockpit!AY45</f>
        <v>46022</v>
      </c>
      <c r="BB6" s="293" t="n">
        <f aca="false">Cockpit!AZ45</f>
        <v>46053</v>
      </c>
      <c r="BC6" s="293" t="n">
        <f aca="false">Cockpit!BA45</f>
        <v>46081</v>
      </c>
      <c r="BD6" s="293" t="n">
        <f aca="false">Cockpit!BB45</f>
        <v>46112</v>
      </c>
      <c r="BE6" s="293" t="n">
        <f aca="false">Cockpit!BC45</f>
        <v>46142</v>
      </c>
      <c r="BF6" s="293" t="n">
        <f aca="false">Cockpit!BD45</f>
        <v>46173</v>
      </c>
      <c r="BG6" s="293" t="n">
        <f aca="false">Cockpit!BE45</f>
        <v>46203</v>
      </c>
      <c r="BH6" s="293" t="n">
        <f aca="false">Cockpit!BF45</f>
        <v>46234</v>
      </c>
      <c r="BI6" s="293" t="n">
        <f aca="false">Cockpit!BG45</f>
        <v>46265</v>
      </c>
      <c r="BJ6" s="293" t="n">
        <f aca="false">Cockpit!BH45</f>
        <v>46295</v>
      </c>
      <c r="BK6" s="293" t="n">
        <f aca="false">Cockpit!BI45</f>
        <v>46326</v>
      </c>
      <c r="BL6" s="293" t="n">
        <f aca="false">Cockpit!BJ45</f>
        <v>46356</v>
      </c>
      <c r="BM6" s="293" t="n">
        <f aca="false">Cockpit!BK45</f>
        <v>46387</v>
      </c>
      <c r="BN6" s="293" t="n">
        <f aca="false">Cockpit!BL45</f>
        <v>46418</v>
      </c>
      <c r="BO6" s="293" t="n">
        <f aca="false">Cockpit!BM45</f>
        <v>46446</v>
      </c>
      <c r="BP6" s="293" t="n">
        <f aca="false">Cockpit!BN45</f>
        <v>46477</v>
      </c>
      <c r="BQ6" s="293" t="n">
        <f aca="false">Cockpit!BO45</f>
        <v>46507</v>
      </c>
      <c r="BR6" s="293" t="n">
        <f aca="false">Cockpit!BP45</f>
        <v>46538</v>
      </c>
      <c r="BS6" s="293" t="n">
        <f aca="false">Cockpit!BQ45</f>
        <v>46568</v>
      </c>
      <c r="BT6" s="293" t="n">
        <f aca="false">Cockpit!BR45</f>
        <v>46599</v>
      </c>
      <c r="BU6" s="293" t="n">
        <f aca="false">Cockpit!BS45</f>
        <v>46630</v>
      </c>
      <c r="BV6" s="293" t="n">
        <f aca="false">Cockpit!BT45</f>
        <v>46660</v>
      </c>
      <c r="BW6" s="293" t="n">
        <f aca="false">Cockpit!BU45</f>
        <v>46691</v>
      </c>
      <c r="BX6" s="293" t="n">
        <f aca="false">Cockpit!BV45</f>
        <v>46721</v>
      </c>
      <c r="BY6" s="293" t="n">
        <f aca="false">Cockpit!BW45</f>
        <v>46752</v>
      </c>
      <c r="BZ6" s="293" t="n">
        <f aca="false">Cockpit!BX45</f>
        <v>46783</v>
      </c>
      <c r="CA6" s="293" t="n">
        <f aca="false">Cockpit!BY45</f>
        <v>46812</v>
      </c>
      <c r="CB6" s="293" t="n">
        <f aca="false">Cockpit!BZ45</f>
        <v>46843</v>
      </c>
      <c r="CC6" s="293" t="n">
        <f aca="false">Cockpit!CA45</f>
        <v>46873</v>
      </c>
      <c r="CD6" s="293" t="n">
        <f aca="false">Cockpit!CB45</f>
        <v>46904</v>
      </c>
      <c r="CE6" s="293" t="n">
        <f aca="false">Cockpit!CC45</f>
        <v>46934</v>
      </c>
      <c r="CF6" s="293" t="n">
        <f aca="false">Cockpit!CD45</f>
        <v>46965</v>
      </c>
      <c r="CG6" s="293" t="n">
        <f aca="false">Cockpit!CE45</f>
        <v>46996</v>
      </c>
      <c r="CH6" s="293" t="n">
        <f aca="false">Cockpit!CF45</f>
        <v>47026</v>
      </c>
      <c r="CI6" s="293" t="n">
        <f aca="false">Cockpit!CG45</f>
        <v>47057</v>
      </c>
      <c r="CJ6" s="293" t="n">
        <f aca="false">Cockpit!CH45</f>
        <v>47087</v>
      </c>
      <c r="CK6" s="293" t="n">
        <f aca="false">Cockpit!CI45</f>
        <v>47118</v>
      </c>
      <c r="CL6" s="92"/>
    </row>
    <row r="7" customFormat="false" ht="11.25" hidden="false" customHeight="true" outlineLevel="0" collapsed="false">
      <c r="B7" s="92"/>
      <c r="C7" s="227"/>
      <c r="D7" s="228" t="str">
        <f aca="false">"in k"&amp;Cockpit!$C$5</f>
        <v>in kEUR</v>
      </c>
      <c r="E7" s="293" t="str">
        <f aca="false">Cockpit!C46</f>
        <v>IST</v>
      </c>
      <c r="F7" s="293" t="str">
        <f aca="false">Cockpit!D46</f>
        <v>IST</v>
      </c>
      <c r="G7" s="293" t="str">
        <f aca="false">Cockpit!E46</f>
        <v>IST</v>
      </c>
      <c r="H7" s="293" t="str">
        <f aca="false">Cockpit!F46</f>
        <v>IST</v>
      </c>
      <c r="I7" s="293" t="str">
        <f aca="false">Cockpit!G46</f>
        <v>IST</v>
      </c>
      <c r="J7" s="293" t="str">
        <f aca="false">Cockpit!H46</f>
        <v>IST</v>
      </c>
      <c r="K7" s="293" t="str">
        <f aca="false">Cockpit!I46</f>
        <v>IST</v>
      </c>
      <c r="L7" s="293" t="str">
        <f aca="false">Cockpit!J46</f>
        <v>IST</v>
      </c>
      <c r="M7" s="293" t="str">
        <f aca="false">Cockpit!K46</f>
        <v>IST</v>
      </c>
      <c r="N7" s="293" t="str">
        <f aca="false">Cockpit!L46</f>
        <v>IST</v>
      </c>
      <c r="O7" s="293" t="str">
        <f aca="false">Cockpit!M46</f>
        <v>IST</v>
      </c>
      <c r="P7" s="293" t="str">
        <f aca="false">Cockpit!N46</f>
        <v>IST</v>
      </c>
      <c r="Q7" s="293" t="str">
        <f aca="false">Cockpit!O46</f>
        <v>IST</v>
      </c>
      <c r="R7" s="293" t="str">
        <f aca="false">Cockpit!P46</f>
        <v>IST</v>
      </c>
      <c r="S7" s="293" t="str">
        <f aca="false">Cockpit!Q46</f>
        <v>IST</v>
      </c>
      <c r="T7" s="293" t="str">
        <f aca="false">Cockpit!R46</f>
        <v>IST</v>
      </c>
      <c r="U7" s="293" t="str">
        <f aca="false">Cockpit!S46</f>
        <v>IST</v>
      </c>
      <c r="V7" s="293" t="str">
        <f aca="false">Cockpit!T46</f>
        <v>IST</v>
      </c>
      <c r="W7" s="293" t="str">
        <f aca="false">Cockpit!U46</f>
        <v>IST</v>
      </c>
      <c r="X7" s="293" t="str">
        <f aca="false">Cockpit!V46</f>
        <v>IST</v>
      </c>
      <c r="Y7" s="293" t="str">
        <f aca="false">Cockpit!W46</f>
        <v>IST</v>
      </c>
      <c r="Z7" s="293" t="str">
        <f aca="false">Cockpit!X46</f>
        <v>IST</v>
      </c>
      <c r="AA7" s="293" t="str">
        <f aca="false">Cockpit!Y46</f>
        <v>IST</v>
      </c>
      <c r="AB7" s="293" t="str">
        <f aca="false">Cockpit!Z46</f>
        <v>IST</v>
      </c>
      <c r="AC7" s="293" t="str">
        <f aca="false">Cockpit!AA46</f>
        <v>IST</v>
      </c>
      <c r="AD7" s="293" t="str">
        <f aca="false">Cockpit!AB46</f>
        <v>IST</v>
      </c>
      <c r="AE7" s="293" t="str">
        <f aca="false">Cockpit!AC46</f>
        <v>IST</v>
      </c>
      <c r="AF7" s="293" t="str">
        <f aca="false">Cockpit!AD46</f>
        <v>IST</v>
      </c>
      <c r="AG7" s="293" t="str">
        <f aca="false">Cockpit!AE46</f>
        <v>IST</v>
      </c>
      <c r="AH7" s="293" t="str">
        <f aca="false">Cockpit!AF46</f>
        <v>IST</v>
      </c>
      <c r="AI7" s="293" t="str">
        <f aca="false">Cockpit!AG46</f>
        <v>IST</v>
      </c>
      <c r="AJ7" s="293" t="str">
        <f aca="false">Cockpit!AH46</f>
        <v>IST</v>
      </c>
      <c r="AK7" s="293" t="str">
        <f aca="false">Cockpit!AI46</f>
        <v>IST</v>
      </c>
      <c r="AL7" s="293" t="str">
        <f aca="false">Cockpit!AJ46</f>
        <v>IST</v>
      </c>
      <c r="AM7" s="293" t="str">
        <f aca="false">Cockpit!AK46</f>
        <v>IST</v>
      </c>
      <c r="AN7" s="293" t="str">
        <f aca="false">Cockpit!AL46</f>
        <v>IST</v>
      </c>
      <c r="AO7" s="293" t="str">
        <f aca="false">Cockpit!AM46</f>
        <v>IST</v>
      </c>
      <c r="AP7" s="293" t="str">
        <f aca="false">Cockpit!AN46</f>
        <v>IST</v>
      </c>
      <c r="AQ7" s="293" t="str">
        <f aca="false">Cockpit!AO46</f>
        <v>IST</v>
      </c>
      <c r="AR7" s="293" t="str">
        <f aca="false">Cockpit!AP46</f>
        <v>IST</v>
      </c>
      <c r="AS7" s="293" t="str">
        <f aca="false">Cockpit!AQ46</f>
        <v>IST</v>
      </c>
      <c r="AT7" s="293" t="str">
        <f aca="false">Cockpit!AR46</f>
        <v>IST</v>
      </c>
      <c r="AU7" s="293" t="str">
        <f aca="false">Cockpit!AS46</f>
        <v>Plan</v>
      </c>
      <c r="AV7" s="293" t="str">
        <f aca="false">Cockpit!AT46</f>
        <v>Plan</v>
      </c>
      <c r="AW7" s="293" t="str">
        <f aca="false">Cockpit!AU46</f>
        <v>Plan</v>
      </c>
      <c r="AX7" s="293" t="str">
        <f aca="false">Cockpit!AV46</f>
        <v>Plan</v>
      </c>
      <c r="AY7" s="293" t="str">
        <f aca="false">Cockpit!AW46</f>
        <v>Plan</v>
      </c>
      <c r="AZ7" s="293" t="str">
        <f aca="false">Cockpit!AX46</f>
        <v>Plan</v>
      </c>
      <c r="BA7" s="293" t="str">
        <f aca="false">Cockpit!AY46</f>
        <v>Plan</v>
      </c>
      <c r="BB7" s="293" t="str">
        <f aca="false">Cockpit!AZ46</f>
        <v>Plan</v>
      </c>
      <c r="BC7" s="293" t="str">
        <f aca="false">Cockpit!BA46</f>
        <v>Plan</v>
      </c>
      <c r="BD7" s="293" t="str">
        <f aca="false">Cockpit!BB46</f>
        <v>Plan</v>
      </c>
      <c r="BE7" s="293" t="str">
        <f aca="false">Cockpit!BC46</f>
        <v>Plan</v>
      </c>
      <c r="BF7" s="293" t="str">
        <f aca="false">Cockpit!BD46</f>
        <v>Plan</v>
      </c>
      <c r="BG7" s="293" t="str">
        <f aca="false">Cockpit!BE46</f>
        <v>Plan</v>
      </c>
      <c r="BH7" s="293" t="str">
        <f aca="false">Cockpit!BF46</f>
        <v>Plan</v>
      </c>
      <c r="BI7" s="293" t="str">
        <f aca="false">Cockpit!BG46</f>
        <v>Plan</v>
      </c>
      <c r="BJ7" s="293" t="str">
        <f aca="false">Cockpit!BH46</f>
        <v>Plan</v>
      </c>
      <c r="BK7" s="293" t="str">
        <f aca="false">Cockpit!BI46</f>
        <v>Plan</v>
      </c>
      <c r="BL7" s="293" t="str">
        <f aca="false">Cockpit!BJ46</f>
        <v>Plan</v>
      </c>
      <c r="BM7" s="293" t="str">
        <f aca="false">Cockpit!BK46</f>
        <v>Plan</v>
      </c>
      <c r="BN7" s="293" t="str">
        <f aca="false">Cockpit!BL46</f>
        <v>Plan</v>
      </c>
      <c r="BO7" s="293" t="str">
        <f aca="false">Cockpit!BM46</f>
        <v>Plan</v>
      </c>
      <c r="BP7" s="293" t="str">
        <f aca="false">Cockpit!BN46</f>
        <v>Plan</v>
      </c>
      <c r="BQ7" s="293" t="str">
        <f aca="false">Cockpit!BO46</f>
        <v>Plan</v>
      </c>
      <c r="BR7" s="293" t="str">
        <f aca="false">Cockpit!BP46</f>
        <v>Plan</v>
      </c>
      <c r="BS7" s="293" t="str">
        <f aca="false">Cockpit!BQ46</f>
        <v>Plan</v>
      </c>
      <c r="BT7" s="293" t="str">
        <f aca="false">Cockpit!BR46</f>
        <v>Plan</v>
      </c>
      <c r="BU7" s="293" t="str">
        <f aca="false">Cockpit!BS46</f>
        <v>Plan</v>
      </c>
      <c r="BV7" s="293" t="str">
        <f aca="false">Cockpit!BT46</f>
        <v>Plan</v>
      </c>
      <c r="BW7" s="293" t="str">
        <f aca="false">Cockpit!BU46</f>
        <v>Plan</v>
      </c>
      <c r="BX7" s="293" t="str">
        <f aca="false">Cockpit!BV46</f>
        <v>Plan</v>
      </c>
      <c r="BY7" s="293" t="str">
        <f aca="false">Cockpit!BW46</f>
        <v>Plan</v>
      </c>
      <c r="BZ7" s="293" t="str">
        <f aca="false">Cockpit!BX46</f>
        <v>Plan</v>
      </c>
      <c r="CA7" s="293" t="str">
        <f aca="false">Cockpit!BY46</f>
        <v>Plan</v>
      </c>
      <c r="CB7" s="293" t="str">
        <f aca="false">Cockpit!BZ46</f>
        <v>Plan</v>
      </c>
      <c r="CC7" s="293" t="str">
        <f aca="false">Cockpit!CA46</f>
        <v>Plan</v>
      </c>
      <c r="CD7" s="293" t="str">
        <f aca="false">Cockpit!CB46</f>
        <v>Plan</v>
      </c>
      <c r="CE7" s="293" t="str">
        <f aca="false">Cockpit!CC46</f>
        <v>Plan</v>
      </c>
      <c r="CF7" s="293" t="str">
        <f aca="false">Cockpit!CD46</f>
        <v>Plan</v>
      </c>
      <c r="CG7" s="293" t="str">
        <f aca="false">Cockpit!CE46</f>
        <v>Plan</v>
      </c>
      <c r="CH7" s="293" t="str">
        <f aca="false">Cockpit!CF46</f>
        <v>Plan</v>
      </c>
      <c r="CI7" s="293" t="str">
        <f aca="false">Cockpit!CG46</f>
        <v>Plan</v>
      </c>
      <c r="CJ7" s="293" t="str">
        <f aca="false">Cockpit!CH46</f>
        <v>Plan</v>
      </c>
      <c r="CK7" s="293" t="str">
        <f aca="false">Cockpit!CI46</f>
        <v>Plan</v>
      </c>
      <c r="CL7" s="92"/>
      <c r="CN7" s="89" t="s">
        <v>409</v>
      </c>
    </row>
    <row r="8" s="299" customFormat="true" ht="4.5" hidden="false" customHeight="true" outlineLevel="0" collapsed="false">
      <c r="A8" s="40"/>
      <c r="B8" s="92"/>
      <c r="C8" s="51"/>
      <c r="D8" s="51"/>
      <c r="E8" s="159"/>
      <c r="F8" s="159"/>
      <c r="G8" s="159"/>
      <c r="H8" s="159"/>
      <c r="I8" s="159"/>
      <c r="J8" s="159"/>
      <c r="K8" s="159"/>
      <c r="L8" s="159"/>
      <c r="M8" s="159"/>
      <c r="N8" s="159"/>
      <c r="O8" s="159"/>
      <c r="P8" s="159"/>
      <c r="Q8" s="159"/>
      <c r="R8" s="159"/>
      <c r="S8" s="159"/>
      <c r="T8" s="159"/>
      <c r="U8" s="159"/>
      <c r="V8" s="159"/>
      <c r="W8" s="159"/>
      <c r="X8" s="159"/>
      <c r="Y8" s="159"/>
      <c r="Z8" s="159"/>
      <c r="AA8" s="159"/>
      <c r="AB8" s="159"/>
      <c r="AC8" s="159"/>
      <c r="AD8" s="159"/>
      <c r="AE8" s="159"/>
      <c r="AF8" s="159"/>
      <c r="AG8" s="159"/>
      <c r="AH8" s="159"/>
      <c r="AI8" s="159"/>
      <c r="AJ8" s="159"/>
      <c r="AK8" s="159"/>
      <c r="AL8" s="159"/>
      <c r="AM8" s="159"/>
      <c r="AN8" s="159"/>
      <c r="AO8" s="159"/>
      <c r="AP8" s="159"/>
      <c r="AQ8" s="159"/>
      <c r="AR8" s="159"/>
      <c r="AS8" s="159"/>
      <c r="AT8" s="159"/>
      <c r="AU8" s="159"/>
      <c r="AV8" s="159"/>
      <c r="AW8" s="159"/>
      <c r="AX8" s="159"/>
      <c r="AY8" s="159"/>
      <c r="AZ8" s="159"/>
      <c r="BA8" s="159"/>
      <c r="BB8" s="159"/>
      <c r="BC8" s="159"/>
      <c r="BD8" s="159"/>
      <c r="BE8" s="159"/>
      <c r="BF8" s="159"/>
      <c r="BG8" s="159"/>
      <c r="BH8" s="159"/>
      <c r="BI8" s="159"/>
      <c r="BJ8" s="159"/>
      <c r="BK8" s="159"/>
      <c r="BL8" s="159"/>
      <c r="BM8" s="159"/>
      <c r="BN8" s="159"/>
      <c r="BO8" s="159"/>
      <c r="BP8" s="159"/>
      <c r="BQ8" s="159"/>
      <c r="BR8" s="159"/>
      <c r="BS8" s="159"/>
      <c r="BT8" s="159"/>
      <c r="BU8" s="159"/>
      <c r="BV8" s="159"/>
      <c r="BW8" s="159"/>
      <c r="BX8" s="159"/>
      <c r="BY8" s="159"/>
      <c r="BZ8" s="159"/>
      <c r="CA8" s="159"/>
      <c r="CB8" s="159"/>
      <c r="CC8" s="159"/>
      <c r="CD8" s="159"/>
      <c r="CE8" s="159"/>
      <c r="CF8" s="159"/>
      <c r="CG8" s="159"/>
      <c r="CH8" s="159"/>
      <c r="CI8" s="159"/>
      <c r="CJ8" s="159"/>
      <c r="CK8" s="159"/>
      <c r="CL8" s="92"/>
      <c r="CN8" s="301"/>
    </row>
    <row r="9" s="299" customFormat="true" ht="11.25" hidden="false" customHeight="true" outlineLevel="0" collapsed="false">
      <c r="A9" s="40"/>
      <c r="B9" s="92"/>
      <c r="C9" s="51" t="str">
        <f aca="false">'Lead NA'!C9</f>
        <v>Immaterielle Vermögensgegenstände</v>
      </c>
      <c r="D9" s="51" t="str">
        <f aca="false">'Lead NA'!D9</f>
        <v>Intangible assets</v>
      </c>
      <c r="E9" s="159" t="n">
        <f aca="false">'Lead NA'!E9</f>
        <v>0</v>
      </c>
      <c r="F9" s="159"/>
      <c r="G9" s="159"/>
      <c r="H9" s="159"/>
      <c r="I9" s="159"/>
      <c r="J9" s="159"/>
      <c r="K9" s="159"/>
      <c r="L9" s="159"/>
      <c r="M9" s="159"/>
      <c r="N9" s="159"/>
      <c r="O9" s="159"/>
      <c r="P9" s="159"/>
      <c r="Q9" s="159"/>
      <c r="R9" s="159"/>
      <c r="S9" s="159"/>
      <c r="T9" s="159"/>
      <c r="U9" s="159"/>
      <c r="V9" s="159"/>
      <c r="W9" s="159"/>
      <c r="X9" s="159"/>
      <c r="Y9" s="159"/>
      <c r="Z9" s="159"/>
      <c r="AA9" s="159"/>
      <c r="AB9" s="159"/>
      <c r="AC9" s="159"/>
      <c r="AD9" s="159"/>
      <c r="AE9" s="159"/>
      <c r="AF9" s="159"/>
      <c r="AG9" s="159"/>
      <c r="AH9" s="159"/>
      <c r="AI9" s="159"/>
      <c r="AJ9" s="159"/>
      <c r="AK9" s="159"/>
      <c r="AL9" s="159"/>
      <c r="AM9" s="159"/>
      <c r="AN9" s="159"/>
      <c r="AO9" s="159"/>
      <c r="AP9" s="159"/>
      <c r="AQ9" s="159"/>
      <c r="AR9" s="159"/>
      <c r="AS9" s="159"/>
      <c r="AT9" s="159"/>
      <c r="AU9" s="308"/>
      <c r="AV9" s="308"/>
      <c r="AW9" s="308"/>
      <c r="AX9" s="308"/>
      <c r="AY9" s="308"/>
      <c r="AZ9" s="308"/>
      <c r="BA9" s="308"/>
      <c r="BB9" s="308"/>
      <c r="BC9" s="308"/>
      <c r="BD9" s="308"/>
      <c r="BE9" s="308"/>
      <c r="BF9" s="308"/>
      <c r="BG9" s="308"/>
      <c r="BH9" s="308"/>
      <c r="BI9" s="308"/>
      <c r="BJ9" s="308"/>
      <c r="BK9" s="308"/>
      <c r="BL9" s="308"/>
      <c r="BM9" s="308"/>
      <c r="BN9" s="308"/>
      <c r="BO9" s="308"/>
      <c r="BP9" s="308"/>
      <c r="BQ9" s="308"/>
      <c r="BR9" s="308"/>
      <c r="BS9" s="308"/>
      <c r="BT9" s="308"/>
      <c r="BU9" s="308"/>
      <c r="BV9" s="308"/>
      <c r="BW9" s="308"/>
      <c r="BX9" s="308"/>
      <c r="BY9" s="308"/>
      <c r="BZ9" s="308"/>
      <c r="CA9" s="308"/>
      <c r="CB9" s="308"/>
      <c r="CC9" s="308"/>
      <c r="CD9" s="308"/>
      <c r="CE9" s="308"/>
      <c r="CF9" s="308"/>
      <c r="CG9" s="308"/>
      <c r="CH9" s="308"/>
      <c r="CI9" s="308"/>
      <c r="CJ9" s="308"/>
      <c r="CK9" s="308"/>
      <c r="CL9" s="92"/>
      <c r="CN9" s="105" t="s">
        <v>370</v>
      </c>
    </row>
    <row r="10" s="299" customFormat="true" ht="11.25" hidden="false" customHeight="true" outlineLevel="0" collapsed="false">
      <c r="A10" s="40"/>
      <c r="B10" s="92"/>
      <c r="C10" s="51" t="str">
        <f aca="false">'Lead NA'!C18</f>
        <v>Sachanlagen</v>
      </c>
      <c r="D10" s="51" t="str">
        <f aca="false">'Lead NA'!D18</f>
        <v>Tangible assets</v>
      </c>
      <c r="E10" s="159" t="n">
        <f aca="false">'Lead NA'!E18</f>
        <v>0</v>
      </c>
      <c r="F10" s="159"/>
      <c r="G10" s="159"/>
      <c r="H10" s="159"/>
      <c r="I10" s="159"/>
      <c r="J10" s="159"/>
      <c r="K10" s="159"/>
      <c r="L10" s="159"/>
      <c r="M10" s="159"/>
      <c r="N10" s="159"/>
      <c r="O10" s="159"/>
      <c r="P10" s="159"/>
      <c r="Q10" s="159"/>
      <c r="R10" s="159"/>
      <c r="S10" s="159"/>
      <c r="T10" s="159"/>
      <c r="U10" s="159"/>
      <c r="V10" s="159"/>
      <c r="W10" s="159"/>
      <c r="X10" s="159"/>
      <c r="Y10" s="159"/>
      <c r="Z10" s="159"/>
      <c r="AA10" s="159"/>
      <c r="AB10" s="159"/>
      <c r="AC10" s="159"/>
      <c r="AD10" s="159"/>
      <c r="AE10" s="159"/>
      <c r="AF10" s="159"/>
      <c r="AG10" s="159"/>
      <c r="AH10" s="159"/>
      <c r="AI10" s="159"/>
      <c r="AJ10" s="159"/>
      <c r="AK10" s="159"/>
      <c r="AL10" s="159"/>
      <c r="AM10" s="159"/>
      <c r="AN10" s="159"/>
      <c r="AO10" s="159"/>
      <c r="AP10" s="159"/>
      <c r="AQ10" s="159"/>
      <c r="AR10" s="159"/>
      <c r="AS10" s="159"/>
      <c r="AT10" s="159"/>
      <c r="AU10" s="308"/>
      <c r="AV10" s="308"/>
      <c r="AW10" s="308"/>
      <c r="AX10" s="308"/>
      <c r="AY10" s="308"/>
      <c r="AZ10" s="308"/>
      <c r="BA10" s="308"/>
      <c r="BB10" s="308"/>
      <c r="BC10" s="308"/>
      <c r="BD10" s="308"/>
      <c r="BE10" s="308"/>
      <c r="BF10" s="308"/>
      <c r="BG10" s="308"/>
      <c r="BH10" s="308"/>
      <c r="BI10" s="308"/>
      <c r="BJ10" s="308"/>
      <c r="BK10" s="308"/>
      <c r="BL10" s="308"/>
      <c r="BM10" s="308"/>
      <c r="BN10" s="308"/>
      <c r="BO10" s="308"/>
      <c r="BP10" s="308"/>
      <c r="BQ10" s="308"/>
      <c r="BR10" s="308"/>
      <c r="BS10" s="308"/>
      <c r="BT10" s="308"/>
      <c r="BU10" s="308"/>
      <c r="BV10" s="308"/>
      <c r="BW10" s="308"/>
      <c r="BX10" s="308"/>
      <c r="BY10" s="308"/>
      <c r="BZ10" s="308"/>
      <c r="CA10" s="308"/>
      <c r="CB10" s="308"/>
      <c r="CC10" s="308"/>
      <c r="CD10" s="308"/>
      <c r="CE10" s="308"/>
      <c r="CF10" s="308"/>
      <c r="CG10" s="308"/>
      <c r="CH10" s="308"/>
      <c r="CI10" s="308"/>
      <c r="CJ10" s="308"/>
      <c r="CK10" s="308"/>
      <c r="CL10" s="92"/>
      <c r="CN10" s="105" t="s">
        <v>375</v>
      </c>
    </row>
    <row r="11" s="299" customFormat="true" ht="11.25" hidden="false" customHeight="true" outlineLevel="0" collapsed="false">
      <c r="A11" s="40"/>
      <c r="B11" s="92"/>
      <c r="C11" s="51" t="str">
        <f aca="false">'Lead NA'!C27</f>
        <v>Finanzanlagen</v>
      </c>
      <c r="D11" s="51" t="str">
        <f aca="false">'Lead NA'!D27</f>
        <v>Financial assets</v>
      </c>
      <c r="E11" s="159" t="n">
        <f aca="false">'Lead NA'!E27</f>
        <v>0</v>
      </c>
      <c r="F11" s="159"/>
      <c r="G11" s="159"/>
      <c r="H11" s="159"/>
      <c r="I11" s="159"/>
      <c r="J11" s="159"/>
      <c r="K11" s="159"/>
      <c r="L11" s="159"/>
      <c r="M11" s="159"/>
      <c r="N11" s="159"/>
      <c r="O11" s="159"/>
      <c r="P11" s="159"/>
      <c r="Q11" s="159"/>
      <c r="R11" s="159"/>
      <c r="S11" s="159"/>
      <c r="T11" s="159"/>
      <c r="U11" s="159"/>
      <c r="V11" s="159"/>
      <c r="W11" s="159"/>
      <c r="X11" s="159"/>
      <c r="Y11" s="159"/>
      <c r="Z11" s="159"/>
      <c r="AA11" s="159"/>
      <c r="AB11" s="159"/>
      <c r="AC11" s="159"/>
      <c r="AD11" s="159"/>
      <c r="AE11" s="159"/>
      <c r="AF11" s="159"/>
      <c r="AG11" s="159"/>
      <c r="AH11" s="159"/>
      <c r="AI11" s="159"/>
      <c r="AJ11" s="159"/>
      <c r="AK11" s="159"/>
      <c r="AL11" s="159"/>
      <c r="AM11" s="159"/>
      <c r="AN11" s="159"/>
      <c r="AO11" s="159"/>
      <c r="AP11" s="159"/>
      <c r="AQ11" s="159"/>
      <c r="AR11" s="159"/>
      <c r="AS11" s="159"/>
      <c r="AT11" s="159"/>
      <c r="AU11" s="308"/>
      <c r="AV11" s="308"/>
      <c r="AW11" s="308"/>
      <c r="AX11" s="308"/>
      <c r="AY11" s="308"/>
      <c r="AZ11" s="308"/>
      <c r="BA11" s="308"/>
      <c r="BB11" s="308"/>
      <c r="BC11" s="308"/>
      <c r="BD11" s="308"/>
      <c r="BE11" s="308"/>
      <c r="BF11" s="308"/>
      <c r="BG11" s="308"/>
      <c r="BH11" s="308"/>
      <c r="BI11" s="308"/>
      <c r="BJ11" s="308"/>
      <c r="BK11" s="308"/>
      <c r="BL11" s="308"/>
      <c r="BM11" s="308"/>
      <c r="BN11" s="308"/>
      <c r="BO11" s="308"/>
      <c r="BP11" s="308"/>
      <c r="BQ11" s="308"/>
      <c r="BR11" s="308"/>
      <c r="BS11" s="308"/>
      <c r="BT11" s="308"/>
      <c r="BU11" s="308"/>
      <c r="BV11" s="308"/>
      <c r="BW11" s="308"/>
      <c r="BX11" s="308"/>
      <c r="BY11" s="308"/>
      <c r="BZ11" s="308"/>
      <c r="CA11" s="308"/>
      <c r="CB11" s="308"/>
      <c r="CC11" s="308"/>
      <c r="CD11" s="308"/>
      <c r="CE11" s="308"/>
      <c r="CF11" s="308"/>
      <c r="CG11" s="308"/>
      <c r="CH11" s="308"/>
      <c r="CI11" s="308"/>
      <c r="CJ11" s="308"/>
      <c r="CK11" s="308"/>
      <c r="CL11" s="92"/>
      <c r="CN11" s="105" t="s">
        <v>380</v>
      </c>
    </row>
    <row r="12" s="299" customFormat="true" ht="11.25" hidden="false" customHeight="true" outlineLevel="2" collapsed="false">
      <c r="A12" s="40"/>
      <c r="B12" s="92"/>
      <c r="C12" s="51" t="str">
        <f aca="false">'Lead NA'!C36</f>
        <v>Dummy 1</v>
      </c>
      <c r="D12" s="51" t="str">
        <f aca="false">'Lead NA'!D36</f>
        <v>Dummy 1</v>
      </c>
      <c r="E12" s="159" t="n">
        <f aca="false">'Lead NA'!E36</f>
        <v>0</v>
      </c>
      <c r="F12" s="159"/>
      <c r="G12" s="159"/>
      <c r="H12" s="159"/>
      <c r="I12" s="159"/>
      <c r="J12" s="159"/>
      <c r="K12" s="159"/>
      <c r="L12" s="159"/>
      <c r="M12" s="159"/>
      <c r="N12" s="159"/>
      <c r="O12" s="159"/>
      <c r="P12" s="159"/>
      <c r="Q12" s="159"/>
      <c r="R12" s="159"/>
      <c r="S12" s="159"/>
      <c r="T12" s="159"/>
      <c r="U12" s="159"/>
      <c r="V12" s="159"/>
      <c r="W12" s="159"/>
      <c r="X12" s="159"/>
      <c r="Y12" s="159"/>
      <c r="Z12" s="159"/>
      <c r="AA12" s="159"/>
      <c r="AB12" s="159"/>
      <c r="AC12" s="159"/>
      <c r="AD12" s="159"/>
      <c r="AE12" s="159"/>
      <c r="AF12" s="159"/>
      <c r="AG12" s="159"/>
      <c r="AH12" s="159"/>
      <c r="AI12" s="159"/>
      <c r="AJ12" s="159"/>
      <c r="AK12" s="159"/>
      <c r="AL12" s="159"/>
      <c r="AM12" s="159"/>
      <c r="AN12" s="159"/>
      <c r="AO12" s="159"/>
      <c r="AP12" s="159"/>
      <c r="AQ12" s="159"/>
      <c r="AR12" s="159"/>
      <c r="AS12" s="159"/>
      <c r="AT12" s="159"/>
      <c r="AU12" s="308"/>
      <c r="AV12" s="308"/>
      <c r="AW12" s="308"/>
      <c r="AX12" s="308"/>
      <c r="AY12" s="308"/>
      <c r="AZ12" s="308"/>
      <c r="BA12" s="308"/>
      <c r="BB12" s="308"/>
      <c r="BC12" s="308"/>
      <c r="BD12" s="308"/>
      <c r="BE12" s="308"/>
      <c r="BF12" s="308"/>
      <c r="BG12" s="308"/>
      <c r="BH12" s="308"/>
      <c r="BI12" s="308"/>
      <c r="BJ12" s="308"/>
      <c r="BK12" s="308"/>
      <c r="BL12" s="308"/>
      <c r="BM12" s="308"/>
      <c r="BN12" s="308"/>
      <c r="BO12" s="308"/>
      <c r="BP12" s="308"/>
      <c r="BQ12" s="308"/>
      <c r="BR12" s="308"/>
      <c r="BS12" s="308"/>
      <c r="BT12" s="308"/>
      <c r="BU12" s="308"/>
      <c r="BV12" s="308"/>
      <c r="BW12" s="308"/>
      <c r="BX12" s="308"/>
      <c r="BY12" s="308"/>
      <c r="BZ12" s="308"/>
      <c r="CA12" s="308"/>
      <c r="CB12" s="308"/>
      <c r="CC12" s="308"/>
      <c r="CD12" s="308"/>
      <c r="CE12" s="308"/>
      <c r="CF12" s="308"/>
      <c r="CG12" s="308"/>
      <c r="CH12" s="308"/>
      <c r="CI12" s="308"/>
      <c r="CJ12" s="308"/>
      <c r="CK12" s="308"/>
      <c r="CL12" s="92"/>
      <c r="CN12" s="105"/>
    </row>
    <row r="13" s="299" customFormat="true" ht="11.25" hidden="false" customHeight="true" outlineLevel="2" collapsed="false">
      <c r="A13" s="40"/>
      <c r="B13" s="92"/>
      <c r="C13" s="51" t="str">
        <f aca="false">'Lead NA'!C37</f>
        <v>Dummy 2</v>
      </c>
      <c r="D13" s="51" t="str">
        <f aca="false">'Lead NA'!D37</f>
        <v>Dummy 2</v>
      </c>
      <c r="E13" s="159" t="n">
        <f aca="false">'Lead NA'!E37</f>
        <v>0</v>
      </c>
      <c r="F13" s="159"/>
      <c r="G13" s="159"/>
      <c r="H13" s="159"/>
      <c r="I13" s="159"/>
      <c r="J13" s="159"/>
      <c r="K13" s="159"/>
      <c r="L13" s="159"/>
      <c r="M13" s="159"/>
      <c r="N13" s="159"/>
      <c r="O13" s="159"/>
      <c r="P13" s="159"/>
      <c r="Q13" s="159"/>
      <c r="R13" s="159"/>
      <c r="S13" s="159"/>
      <c r="T13" s="159"/>
      <c r="U13" s="159"/>
      <c r="V13" s="159"/>
      <c r="W13" s="159"/>
      <c r="X13" s="159"/>
      <c r="Y13" s="159"/>
      <c r="Z13" s="159"/>
      <c r="AA13" s="159"/>
      <c r="AB13" s="159"/>
      <c r="AC13" s="159"/>
      <c r="AD13" s="159"/>
      <c r="AE13" s="159"/>
      <c r="AF13" s="159"/>
      <c r="AG13" s="159"/>
      <c r="AH13" s="159"/>
      <c r="AI13" s="159"/>
      <c r="AJ13" s="159"/>
      <c r="AK13" s="159"/>
      <c r="AL13" s="159"/>
      <c r="AM13" s="159"/>
      <c r="AN13" s="159"/>
      <c r="AO13" s="159"/>
      <c r="AP13" s="159"/>
      <c r="AQ13" s="159"/>
      <c r="AR13" s="159"/>
      <c r="AS13" s="159"/>
      <c r="AT13" s="159"/>
      <c r="AU13" s="308"/>
      <c r="AV13" s="308"/>
      <c r="AW13" s="308"/>
      <c r="AX13" s="308"/>
      <c r="AY13" s="308"/>
      <c r="AZ13" s="308"/>
      <c r="BA13" s="308"/>
      <c r="BB13" s="308"/>
      <c r="BC13" s="308"/>
      <c r="BD13" s="308"/>
      <c r="BE13" s="308"/>
      <c r="BF13" s="308"/>
      <c r="BG13" s="308"/>
      <c r="BH13" s="308"/>
      <c r="BI13" s="308"/>
      <c r="BJ13" s="308"/>
      <c r="BK13" s="308"/>
      <c r="BL13" s="308"/>
      <c r="BM13" s="308"/>
      <c r="BN13" s="308"/>
      <c r="BO13" s="308"/>
      <c r="BP13" s="308"/>
      <c r="BQ13" s="308"/>
      <c r="BR13" s="308"/>
      <c r="BS13" s="308"/>
      <c r="BT13" s="308"/>
      <c r="BU13" s="308"/>
      <c r="BV13" s="308"/>
      <c r="BW13" s="308"/>
      <c r="BX13" s="308"/>
      <c r="BY13" s="308"/>
      <c r="BZ13" s="308"/>
      <c r="CA13" s="308"/>
      <c r="CB13" s="308"/>
      <c r="CC13" s="308"/>
      <c r="CD13" s="308"/>
      <c r="CE13" s="308"/>
      <c r="CF13" s="308"/>
      <c r="CG13" s="308"/>
      <c r="CH13" s="308"/>
      <c r="CI13" s="308"/>
      <c r="CJ13" s="308"/>
      <c r="CK13" s="308"/>
      <c r="CL13" s="92"/>
      <c r="CN13" s="105"/>
    </row>
    <row r="14" s="299" customFormat="true" ht="11.25" hidden="false" customHeight="true" outlineLevel="2" collapsed="false">
      <c r="A14" s="40"/>
      <c r="B14" s="92"/>
      <c r="C14" s="54" t="str">
        <f aca="false">'Lead NA'!C38</f>
        <v>Dummy 3</v>
      </c>
      <c r="D14" s="54" t="str">
        <f aca="false">'Lead NA'!D38</f>
        <v>Dummy 3</v>
      </c>
      <c r="E14" s="162" t="n">
        <f aca="false">'Lead NA'!E38</f>
        <v>0</v>
      </c>
      <c r="F14" s="162"/>
      <c r="G14" s="162"/>
      <c r="H14" s="162"/>
      <c r="I14" s="162"/>
      <c r="J14" s="162"/>
      <c r="K14" s="162"/>
      <c r="L14" s="162"/>
      <c r="M14" s="162"/>
      <c r="N14" s="162"/>
      <c r="O14" s="162"/>
      <c r="P14" s="162"/>
      <c r="Q14" s="162"/>
      <c r="R14" s="162"/>
      <c r="S14" s="162"/>
      <c r="T14" s="162"/>
      <c r="U14" s="162"/>
      <c r="V14" s="162"/>
      <c r="W14" s="162"/>
      <c r="X14" s="162"/>
      <c r="Y14" s="162"/>
      <c r="Z14" s="162"/>
      <c r="AA14" s="162"/>
      <c r="AB14" s="162"/>
      <c r="AC14" s="162"/>
      <c r="AD14" s="162"/>
      <c r="AE14" s="162"/>
      <c r="AF14" s="162"/>
      <c r="AG14" s="162"/>
      <c r="AH14" s="162"/>
      <c r="AI14" s="162"/>
      <c r="AJ14" s="162"/>
      <c r="AK14" s="162"/>
      <c r="AL14" s="162"/>
      <c r="AM14" s="162"/>
      <c r="AN14" s="162"/>
      <c r="AO14" s="162"/>
      <c r="AP14" s="162"/>
      <c r="AQ14" s="162"/>
      <c r="AR14" s="162"/>
      <c r="AS14" s="162"/>
      <c r="AT14" s="162"/>
      <c r="AU14" s="191"/>
      <c r="AV14" s="191"/>
      <c r="AW14" s="191"/>
      <c r="AX14" s="191"/>
      <c r="AY14" s="191"/>
      <c r="AZ14" s="191"/>
      <c r="BA14" s="191"/>
      <c r="BB14" s="191"/>
      <c r="BC14" s="191"/>
      <c r="BD14" s="191"/>
      <c r="BE14" s="191"/>
      <c r="BF14" s="191"/>
      <c r="BG14" s="191"/>
      <c r="BH14" s="191"/>
      <c r="BI14" s="191"/>
      <c r="BJ14" s="191"/>
      <c r="BK14" s="191"/>
      <c r="BL14" s="191"/>
      <c r="BM14" s="191"/>
      <c r="BN14" s="191"/>
      <c r="BO14" s="191"/>
      <c r="BP14" s="191"/>
      <c r="BQ14" s="191"/>
      <c r="BR14" s="191"/>
      <c r="BS14" s="191"/>
      <c r="BT14" s="191"/>
      <c r="BU14" s="191"/>
      <c r="BV14" s="191"/>
      <c r="BW14" s="191"/>
      <c r="BX14" s="191"/>
      <c r="BY14" s="191"/>
      <c r="BZ14" s="191"/>
      <c r="CA14" s="191"/>
      <c r="CB14" s="191"/>
      <c r="CC14" s="191"/>
      <c r="CD14" s="191"/>
      <c r="CE14" s="191"/>
      <c r="CF14" s="191"/>
      <c r="CG14" s="191"/>
      <c r="CH14" s="191"/>
      <c r="CI14" s="191"/>
      <c r="CJ14" s="191"/>
      <c r="CK14" s="191"/>
      <c r="CL14" s="92"/>
      <c r="CN14" s="105"/>
    </row>
    <row r="15" s="299" customFormat="true" ht="11.25" hidden="false" customHeight="true" outlineLevel="0" collapsed="false">
      <c r="A15" s="40"/>
      <c r="B15" s="92"/>
      <c r="C15" s="296" t="str">
        <f aca="false">'Lead NA'!C39</f>
        <v>Anlagevermögen</v>
      </c>
      <c r="D15" s="296" t="str">
        <f aca="false">'Lead NA'!D39</f>
        <v>Fixed assets</v>
      </c>
      <c r="E15" s="165" t="n">
        <f aca="false">SUM(E9:E14)</f>
        <v>0</v>
      </c>
      <c r="F15" s="165" t="n">
        <f aca="false">SUM(F9:F14)</f>
        <v>0</v>
      </c>
      <c r="G15" s="165" t="n">
        <f aca="false">SUM(G9:G14)</f>
        <v>0</v>
      </c>
      <c r="H15" s="165" t="n">
        <f aca="false">SUM(H9:H14)</f>
        <v>0</v>
      </c>
      <c r="I15" s="165" t="n">
        <f aca="false">SUM(I9:I14)</f>
        <v>0</v>
      </c>
      <c r="J15" s="165" t="n">
        <f aca="false">SUM(J9:J14)</f>
        <v>0</v>
      </c>
      <c r="K15" s="165" t="n">
        <f aca="false">SUM(K9:K14)</f>
        <v>0</v>
      </c>
      <c r="L15" s="165" t="n">
        <f aca="false">SUM(L9:L14)</f>
        <v>0</v>
      </c>
      <c r="M15" s="165" t="n">
        <f aca="false">SUM(M9:M14)</f>
        <v>0</v>
      </c>
      <c r="N15" s="165" t="n">
        <f aca="false">SUM(N9:N14)</f>
        <v>0</v>
      </c>
      <c r="O15" s="165" t="n">
        <f aca="false">SUM(O9:O14)</f>
        <v>0</v>
      </c>
      <c r="P15" s="165" t="n">
        <f aca="false">SUM(P9:P14)</f>
        <v>0</v>
      </c>
      <c r="Q15" s="165" t="n">
        <f aca="false">SUM(Q9:Q14)</f>
        <v>0</v>
      </c>
      <c r="R15" s="165" t="n">
        <f aca="false">SUM(R9:R14)</f>
        <v>0</v>
      </c>
      <c r="S15" s="165" t="n">
        <f aca="false">SUM(S9:S14)</f>
        <v>0</v>
      </c>
      <c r="T15" s="165" t="n">
        <f aca="false">SUM(T9:T14)</f>
        <v>0</v>
      </c>
      <c r="U15" s="165" t="n">
        <f aca="false">SUM(U9:U14)</f>
        <v>0</v>
      </c>
      <c r="V15" s="165" t="n">
        <f aca="false">SUM(V9:V14)</f>
        <v>0</v>
      </c>
      <c r="W15" s="165" t="n">
        <f aca="false">SUM(W9:W14)</f>
        <v>0</v>
      </c>
      <c r="X15" s="165" t="n">
        <f aca="false">SUM(X9:X14)</f>
        <v>0</v>
      </c>
      <c r="Y15" s="165" t="n">
        <f aca="false">SUM(Y9:Y14)</f>
        <v>0</v>
      </c>
      <c r="Z15" s="165" t="n">
        <f aca="false">SUM(Z9:Z14)</f>
        <v>0</v>
      </c>
      <c r="AA15" s="165" t="n">
        <f aca="false">SUM(AA9:AA14)</f>
        <v>0</v>
      </c>
      <c r="AB15" s="165" t="n">
        <f aca="false">SUM(AB9:AB14)</f>
        <v>0</v>
      </c>
      <c r="AC15" s="165" t="n">
        <f aca="false">SUM(AC9:AC14)</f>
        <v>0</v>
      </c>
      <c r="AD15" s="165" t="n">
        <f aca="false">SUM(AD9:AD14)</f>
        <v>0</v>
      </c>
      <c r="AE15" s="165" t="n">
        <f aca="false">SUM(AE9:AE14)</f>
        <v>0</v>
      </c>
      <c r="AF15" s="165" t="n">
        <f aca="false">SUM(AF9:AF14)</f>
        <v>0</v>
      </c>
      <c r="AG15" s="165" t="n">
        <f aca="false">SUM(AG9:AG14)</f>
        <v>0</v>
      </c>
      <c r="AH15" s="165" t="n">
        <f aca="false">SUM(AH9:AH14)</f>
        <v>0</v>
      </c>
      <c r="AI15" s="165" t="n">
        <f aca="false">SUM(AI9:AI14)</f>
        <v>0</v>
      </c>
      <c r="AJ15" s="165" t="n">
        <f aca="false">SUM(AJ9:AJ14)</f>
        <v>0</v>
      </c>
      <c r="AK15" s="165" t="n">
        <f aca="false">SUM(AK9:AK14)</f>
        <v>0</v>
      </c>
      <c r="AL15" s="165" t="n">
        <f aca="false">SUM(AL9:AL14)</f>
        <v>0</v>
      </c>
      <c r="AM15" s="165" t="n">
        <f aca="false">SUM(AM9:AM14)</f>
        <v>0</v>
      </c>
      <c r="AN15" s="165" t="n">
        <f aca="false">SUM(AN9:AN14)</f>
        <v>0</v>
      </c>
      <c r="AO15" s="165" t="n">
        <f aca="false">SUM(AO9:AO14)</f>
        <v>0</v>
      </c>
      <c r="AP15" s="165" t="n">
        <f aca="false">SUM(AP9:AP14)</f>
        <v>0</v>
      </c>
      <c r="AQ15" s="165" t="n">
        <f aca="false">SUM(AQ9:AQ14)</f>
        <v>0</v>
      </c>
      <c r="AR15" s="165" t="n">
        <f aca="false">SUM(AR9:AR14)</f>
        <v>0</v>
      </c>
      <c r="AS15" s="165" t="n">
        <f aca="false">SUM(AS9:AS14)</f>
        <v>0</v>
      </c>
      <c r="AT15" s="165" t="n">
        <f aca="false">SUM(AT9:AT14)</f>
        <v>0</v>
      </c>
      <c r="AU15" s="344" t="n">
        <f aca="false">SUM(AU9:AU14)</f>
        <v>0</v>
      </c>
      <c r="AV15" s="344" t="n">
        <f aca="false">SUM(AV9:AV14)</f>
        <v>0</v>
      </c>
      <c r="AW15" s="344" t="n">
        <f aca="false">SUM(AW9:AW14)</f>
        <v>0</v>
      </c>
      <c r="AX15" s="344" t="n">
        <f aca="false">SUM(AX9:AX14)</f>
        <v>0</v>
      </c>
      <c r="AY15" s="344" t="n">
        <f aca="false">SUM(AY9:AY14)</f>
        <v>0</v>
      </c>
      <c r="AZ15" s="344" t="n">
        <f aca="false">SUM(AZ9:AZ14)</f>
        <v>0</v>
      </c>
      <c r="BA15" s="344" t="n">
        <f aca="false">SUM(BA9:BA14)</f>
        <v>0</v>
      </c>
      <c r="BB15" s="344" t="n">
        <f aca="false">SUM(BB9:BB14)</f>
        <v>0</v>
      </c>
      <c r="BC15" s="344" t="n">
        <f aca="false">SUM(BC9:BC14)</f>
        <v>0</v>
      </c>
      <c r="BD15" s="344" t="n">
        <f aca="false">SUM(BD9:BD14)</f>
        <v>0</v>
      </c>
      <c r="BE15" s="344" t="n">
        <f aca="false">SUM(BE9:BE14)</f>
        <v>0</v>
      </c>
      <c r="BF15" s="344" t="n">
        <f aca="false">SUM(BF9:BF14)</f>
        <v>0</v>
      </c>
      <c r="BG15" s="344" t="n">
        <f aca="false">SUM(BG9:BG14)</f>
        <v>0</v>
      </c>
      <c r="BH15" s="344" t="n">
        <f aca="false">SUM(BH9:BH14)</f>
        <v>0</v>
      </c>
      <c r="BI15" s="344" t="n">
        <f aca="false">SUM(BI9:BI14)</f>
        <v>0</v>
      </c>
      <c r="BJ15" s="344" t="n">
        <f aca="false">SUM(BJ9:BJ14)</f>
        <v>0</v>
      </c>
      <c r="BK15" s="344" t="n">
        <f aca="false">SUM(BK9:BK14)</f>
        <v>0</v>
      </c>
      <c r="BL15" s="344" t="n">
        <f aca="false">SUM(BL9:BL14)</f>
        <v>0</v>
      </c>
      <c r="BM15" s="344" t="n">
        <f aca="false">SUM(BM9:BM14)</f>
        <v>0</v>
      </c>
      <c r="BN15" s="344" t="n">
        <f aca="false">SUM(BN9:BN14)</f>
        <v>0</v>
      </c>
      <c r="BO15" s="344" t="n">
        <f aca="false">SUM(BO9:BO14)</f>
        <v>0</v>
      </c>
      <c r="BP15" s="344" t="n">
        <f aca="false">SUM(BP9:BP14)</f>
        <v>0</v>
      </c>
      <c r="BQ15" s="344" t="n">
        <f aca="false">SUM(BQ9:BQ14)</f>
        <v>0</v>
      </c>
      <c r="BR15" s="344" t="n">
        <f aca="false">SUM(BR9:BR14)</f>
        <v>0</v>
      </c>
      <c r="BS15" s="344" t="n">
        <f aca="false">SUM(BS9:BS14)</f>
        <v>0</v>
      </c>
      <c r="BT15" s="344" t="n">
        <f aca="false">SUM(BT9:BT14)</f>
        <v>0</v>
      </c>
      <c r="BU15" s="344" t="n">
        <f aca="false">SUM(BU9:BU14)</f>
        <v>0</v>
      </c>
      <c r="BV15" s="344" t="n">
        <f aca="false">SUM(BV9:BV14)</f>
        <v>0</v>
      </c>
      <c r="BW15" s="344" t="n">
        <f aca="false">SUM(BW9:BW14)</f>
        <v>0</v>
      </c>
      <c r="BX15" s="344" t="n">
        <f aca="false">SUM(BX9:BX14)</f>
        <v>0</v>
      </c>
      <c r="BY15" s="344" t="n">
        <f aca="false">SUM(BY9:BY14)</f>
        <v>0</v>
      </c>
      <c r="BZ15" s="344" t="n">
        <f aca="false">SUM(BZ9:BZ14)</f>
        <v>0</v>
      </c>
      <c r="CA15" s="344" t="n">
        <f aca="false">SUM(CA9:CA14)</f>
        <v>0</v>
      </c>
      <c r="CB15" s="344" t="n">
        <f aca="false">SUM(CB9:CB14)</f>
        <v>0</v>
      </c>
      <c r="CC15" s="344" t="n">
        <f aca="false">SUM(CC9:CC14)</f>
        <v>0</v>
      </c>
      <c r="CD15" s="344" t="n">
        <f aca="false">SUM(CD9:CD14)</f>
        <v>0</v>
      </c>
      <c r="CE15" s="344" t="n">
        <f aca="false">SUM(CE9:CE14)</f>
        <v>0</v>
      </c>
      <c r="CF15" s="344" t="n">
        <f aca="false">SUM(CF9:CF14)</f>
        <v>0</v>
      </c>
      <c r="CG15" s="344" t="n">
        <f aca="false">SUM(CG9:CG14)</f>
        <v>0</v>
      </c>
      <c r="CH15" s="344" t="n">
        <f aca="false">SUM(CH9:CH14)</f>
        <v>0</v>
      </c>
      <c r="CI15" s="344" t="n">
        <f aca="false">SUM(CI9:CI14)</f>
        <v>0</v>
      </c>
      <c r="CJ15" s="344" t="n">
        <f aca="false">SUM(CJ9:CJ14)</f>
        <v>0</v>
      </c>
      <c r="CK15" s="344" t="n">
        <f aca="false">SUM(CK9:CK14)</f>
        <v>0</v>
      </c>
      <c r="CL15" s="92"/>
      <c r="CN15" s="301"/>
    </row>
    <row r="16" s="299" customFormat="true" ht="11.25" hidden="false" customHeight="true" outlineLevel="0" collapsed="false">
      <c r="A16" s="40"/>
      <c r="B16" s="92"/>
      <c r="C16" s="51" t="str">
        <f aca="false">'Lead NA'!C40</f>
        <v>Vorräte</v>
      </c>
      <c r="D16" s="51" t="str">
        <f aca="false">'Lead NA'!D40</f>
        <v>Inventories</v>
      </c>
      <c r="E16" s="159" t="n">
        <f aca="false">'Lead NA'!E40</f>
        <v>0</v>
      </c>
      <c r="F16" s="159"/>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59"/>
      <c r="AE16" s="159"/>
      <c r="AF16" s="159"/>
      <c r="AG16" s="159"/>
      <c r="AH16" s="159"/>
      <c r="AI16" s="159"/>
      <c r="AJ16" s="159"/>
      <c r="AK16" s="159"/>
      <c r="AL16" s="159"/>
      <c r="AM16" s="159"/>
      <c r="AN16" s="159"/>
      <c r="AO16" s="159"/>
      <c r="AP16" s="159"/>
      <c r="AQ16" s="159"/>
      <c r="AR16" s="159"/>
      <c r="AS16" s="159"/>
      <c r="AT16" s="159"/>
      <c r="AU16" s="308"/>
      <c r="AV16" s="308"/>
      <c r="AW16" s="308"/>
      <c r="AX16" s="308"/>
      <c r="AY16" s="308"/>
      <c r="AZ16" s="308"/>
      <c r="BA16" s="308"/>
      <c r="BB16" s="308"/>
      <c r="BC16" s="308"/>
      <c r="BD16" s="308"/>
      <c r="BE16" s="308"/>
      <c r="BF16" s="308"/>
      <c r="BG16" s="308"/>
      <c r="BH16" s="308"/>
      <c r="BI16" s="308"/>
      <c r="BJ16" s="308"/>
      <c r="BK16" s="308"/>
      <c r="BL16" s="308"/>
      <c r="BM16" s="308"/>
      <c r="BN16" s="308"/>
      <c r="BO16" s="308"/>
      <c r="BP16" s="308"/>
      <c r="BQ16" s="308"/>
      <c r="BR16" s="308"/>
      <c r="BS16" s="308"/>
      <c r="BT16" s="308"/>
      <c r="BU16" s="308"/>
      <c r="BV16" s="308"/>
      <c r="BW16" s="308"/>
      <c r="BX16" s="308"/>
      <c r="BY16" s="308"/>
      <c r="BZ16" s="308"/>
      <c r="CA16" s="308"/>
      <c r="CB16" s="308"/>
      <c r="CC16" s="308"/>
      <c r="CD16" s="308"/>
      <c r="CE16" s="308"/>
      <c r="CF16" s="308"/>
      <c r="CG16" s="308"/>
      <c r="CH16" s="308"/>
      <c r="CI16" s="308"/>
      <c r="CJ16" s="308"/>
      <c r="CK16" s="308"/>
      <c r="CL16" s="92"/>
      <c r="CN16" s="105" t="s">
        <v>309</v>
      </c>
    </row>
    <row r="17" s="299" customFormat="true" ht="11.25" hidden="false" customHeight="true" outlineLevel="0" collapsed="false">
      <c r="A17" s="40"/>
      <c r="B17" s="92"/>
      <c r="C17" s="51" t="str">
        <f aca="false">'Lead NA'!C49</f>
        <v>Forderungen aus LuL</v>
      </c>
      <c r="D17" s="51" t="str">
        <f aca="false">'Lead NA'!D49</f>
        <v>Trade receivables</v>
      </c>
      <c r="E17" s="159" t="n">
        <f aca="false">'Lead NA'!E49</f>
        <v>0</v>
      </c>
      <c r="F17" s="159"/>
      <c r="G17" s="159"/>
      <c r="H17" s="159"/>
      <c r="I17" s="159"/>
      <c r="J17" s="159"/>
      <c r="K17" s="159"/>
      <c r="L17" s="159"/>
      <c r="M17" s="159"/>
      <c r="N17" s="159"/>
      <c r="O17" s="159"/>
      <c r="P17" s="159"/>
      <c r="Q17" s="159"/>
      <c r="R17" s="159"/>
      <c r="S17" s="159"/>
      <c r="T17" s="159"/>
      <c r="U17" s="159"/>
      <c r="V17" s="159"/>
      <c r="W17" s="159"/>
      <c r="X17" s="159"/>
      <c r="Y17" s="159"/>
      <c r="Z17" s="159"/>
      <c r="AA17" s="159"/>
      <c r="AB17" s="159"/>
      <c r="AC17" s="159"/>
      <c r="AD17" s="159"/>
      <c r="AE17" s="159"/>
      <c r="AF17" s="159"/>
      <c r="AG17" s="159"/>
      <c r="AH17" s="159"/>
      <c r="AI17" s="159"/>
      <c r="AJ17" s="159"/>
      <c r="AK17" s="159"/>
      <c r="AL17" s="159"/>
      <c r="AM17" s="159"/>
      <c r="AN17" s="159"/>
      <c r="AO17" s="159"/>
      <c r="AP17" s="159"/>
      <c r="AQ17" s="159"/>
      <c r="AR17" s="159"/>
      <c r="AS17" s="159"/>
      <c r="AT17" s="159"/>
      <c r="AU17" s="308"/>
      <c r="AV17" s="308"/>
      <c r="AW17" s="308"/>
      <c r="AX17" s="308"/>
      <c r="AY17" s="308"/>
      <c r="AZ17" s="308"/>
      <c r="BA17" s="308"/>
      <c r="BB17" s="308"/>
      <c r="BC17" s="308"/>
      <c r="BD17" s="308"/>
      <c r="BE17" s="308"/>
      <c r="BF17" s="308"/>
      <c r="BG17" s="308"/>
      <c r="BH17" s="308"/>
      <c r="BI17" s="308"/>
      <c r="BJ17" s="308"/>
      <c r="BK17" s="308"/>
      <c r="BL17" s="308"/>
      <c r="BM17" s="308"/>
      <c r="BN17" s="308"/>
      <c r="BO17" s="308"/>
      <c r="BP17" s="308"/>
      <c r="BQ17" s="308"/>
      <c r="BR17" s="308"/>
      <c r="BS17" s="308"/>
      <c r="BT17" s="308"/>
      <c r="BU17" s="308"/>
      <c r="BV17" s="308"/>
      <c r="BW17" s="308"/>
      <c r="BX17" s="308"/>
      <c r="BY17" s="308"/>
      <c r="BZ17" s="308"/>
      <c r="CA17" s="308"/>
      <c r="CB17" s="308"/>
      <c r="CC17" s="308"/>
      <c r="CD17" s="308"/>
      <c r="CE17" s="308"/>
      <c r="CF17" s="308"/>
      <c r="CG17" s="308"/>
      <c r="CH17" s="308"/>
      <c r="CI17" s="308"/>
      <c r="CJ17" s="308"/>
      <c r="CK17" s="308"/>
      <c r="CL17" s="92"/>
      <c r="CN17" s="105" t="s">
        <v>319</v>
      </c>
    </row>
    <row r="18" s="299" customFormat="true" ht="11.25" hidden="false" customHeight="true" outlineLevel="0" collapsed="false">
      <c r="A18" s="40"/>
      <c r="B18" s="92"/>
      <c r="C18" s="51" t="str">
        <f aca="false">'Lead NA'!C58</f>
        <v>Verbindlichkeiten aus LuL</v>
      </c>
      <c r="D18" s="51" t="str">
        <f aca="false">'Lead NA'!D58</f>
        <v>Trade payables</v>
      </c>
      <c r="E18" s="159" t="n">
        <f aca="false">'Lead NA'!E58</f>
        <v>0</v>
      </c>
      <c r="F18" s="159"/>
      <c r="G18" s="159"/>
      <c r="H18" s="159"/>
      <c r="I18" s="159"/>
      <c r="J18" s="159"/>
      <c r="K18" s="159"/>
      <c r="L18" s="159"/>
      <c r="M18" s="159"/>
      <c r="N18" s="159"/>
      <c r="O18" s="159"/>
      <c r="P18" s="159"/>
      <c r="Q18" s="159"/>
      <c r="R18" s="159"/>
      <c r="S18" s="159"/>
      <c r="T18" s="159"/>
      <c r="U18" s="159"/>
      <c r="V18" s="159"/>
      <c r="W18" s="159"/>
      <c r="X18" s="159"/>
      <c r="Y18" s="159"/>
      <c r="Z18" s="159"/>
      <c r="AA18" s="159"/>
      <c r="AB18" s="159"/>
      <c r="AC18" s="159"/>
      <c r="AD18" s="159"/>
      <c r="AE18" s="159"/>
      <c r="AF18" s="159"/>
      <c r="AG18" s="159"/>
      <c r="AH18" s="159"/>
      <c r="AI18" s="159"/>
      <c r="AJ18" s="159"/>
      <c r="AK18" s="159"/>
      <c r="AL18" s="159"/>
      <c r="AM18" s="159"/>
      <c r="AN18" s="159"/>
      <c r="AO18" s="159"/>
      <c r="AP18" s="159"/>
      <c r="AQ18" s="159"/>
      <c r="AR18" s="159"/>
      <c r="AS18" s="159"/>
      <c r="AT18" s="159"/>
      <c r="AU18" s="308"/>
      <c r="AV18" s="308"/>
      <c r="AW18" s="308"/>
      <c r="AX18" s="308"/>
      <c r="AY18" s="308"/>
      <c r="AZ18" s="308"/>
      <c r="BA18" s="308"/>
      <c r="BB18" s="308"/>
      <c r="BC18" s="308"/>
      <c r="BD18" s="308"/>
      <c r="BE18" s="308"/>
      <c r="BF18" s="308"/>
      <c r="BG18" s="308"/>
      <c r="BH18" s="308"/>
      <c r="BI18" s="308"/>
      <c r="BJ18" s="308"/>
      <c r="BK18" s="308"/>
      <c r="BL18" s="308"/>
      <c r="BM18" s="308"/>
      <c r="BN18" s="308"/>
      <c r="BO18" s="308"/>
      <c r="BP18" s="308"/>
      <c r="BQ18" s="308"/>
      <c r="BR18" s="308"/>
      <c r="BS18" s="308"/>
      <c r="BT18" s="308"/>
      <c r="BU18" s="308"/>
      <c r="BV18" s="308"/>
      <c r="BW18" s="308"/>
      <c r="BX18" s="308"/>
      <c r="BY18" s="308"/>
      <c r="BZ18" s="308"/>
      <c r="CA18" s="308"/>
      <c r="CB18" s="308"/>
      <c r="CC18" s="308"/>
      <c r="CD18" s="308"/>
      <c r="CE18" s="308"/>
      <c r="CF18" s="308"/>
      <c r="CG18" s="308"/>
      <c r="CH18" s="308"/>
      <c r="CI18" s="308"/>
      <c r="CJ18" s="308"/>
      <c r="CK18" s="308"/>
      <c r="CL18" s="92"/>
      <c r="CN18" s="105" t="s">
        <v>323</v>
      </c>
    </row>
    <row r="19" s="299" customFormat="true" ht="11.25" hidden="false" customHeight="true" outlineLevel="0" collapsed="false">
      <c r="A19" s="40"/>
      <c r="B19" s="92"/>
      <c r="C19" s="51" t="str">
        <f aca="false">'Lead NA'!C67</f>
        <v>Erhaltene Anzahlungen</v>
      </c>
      <c r="D19" s="51" t="str">
        <f aca="false">'Lead NA'!D67</f>
        <v>Advance payments received</v>
      </c>
      <c r="E19" s="159" t="n">
        <f aca="false">'Lead NA'!E67</f>
        <v>0</v>
      </c>
      <c r="F19" s="159"/>
      <c r="G19" s="159"/>
      <c r="H19" s="159"/>
      <c r="I19" s="159"/>
      <c r="J19" s="159"/>
      <c r="K19" s="159"/>
      <c r="L19" s="159"/>
      <c r="M19" s="159"/>
      <c r="N19" s="159"/>
      <c r="O19" s="159"/>
      <c r="P19" s="159"/>
      <c r="Q19" s="159"/>
      <c r="R19" s="159"/>
      <c r="S19" s="159"/>
      <c r="T19" s="159"/>
      <c r="U19" s="159"/>
      <c r="V19" s="159"/>
      <c r="W19" s="159"/>
      <c r="X19" s="159"/>
      <c r="Y19" s="159"/>
      <c r="Z19" s="159"/>
      <c r="AA19" s="159"/>
      <c r="AB19" s="159"/>
      <c r="AC19" s="159"/>
      <c r="AD19" s="159"/>
      <c r="AE19" s="159"/>
      <c r="AF19" s="159"/>
      <c r="AG19" s="159"/>
      <c r="AH19" s="159"/>
      <c r="AI19" s="159"/>
      <c r="AJ19" s="159"/>
      <c r="AK19" s="159"/>
      <c r="AL19" s="159"/>
      <c r="AM19" s="159"/>
      <c r="AN19" s="159"/>
      <c r="AO19" s="159"/>
      <c r="AP19" s="159"/>
      <c r="AQ19" s="159"/>
      <c r="AR19" s="159"/>
      <c r="AS19" s="159"/>
      <c r="AT19" s="159"/>
      <c r="AU19" s="308"/>
      <c r="AV19" s="308"/>
      <c r="AW19" s="308"/>
      <c r="AX19" s="308"/>
      <c r="AY19" s="308"/>
      <c r="AZ19" s="308"/>
      <c r="BA19" s="308"/>
      <c r="BB19" s="308"/>
      <c r="BC19" s="308"/>
      <c r="BD19" s="308"/>
      <c r="BE19" s="308"/>
      <c r="BF19" s="308"/>
      <c r="BG19" s="308"/>
      <c r="BH19" s="308"/>
      <c r="BI19" s="308"/>
      <c r="BJ19" s="308"/>
      <c r="BK19" s="308"/>
      <c r="BL19" s="308"/>
      <c r="BM19" s="308"/>
      <c r="BN19" s="308"/>
      <c r="BO19" s="308"/>
      <c r="BP19" s="308"/>
      <c r="BQ19" s="308"/>
      <c r="BR19" s="308"/>
      <c r="BS19" s="308"/>
      <c r="BT19" s="308"/>
      <c r="BU19" s="308"/>
      <c r="BV19" s="308"/>
      <c r="BW19" s="308"/>
      <c r="BX19" s="308"/>
      <c r="BY19" s="308"/>
      <c r="BZ19" s="308"/>
      <c r="CA19" s="308"/>
      <c r="CB19" s="308"/>
      <c r="CC19" s="308"/>
      <c r="CD19" s="308"/>
      <c r="CE19" s="308"/>
      <c r="CF19" s="308"/>
      <c r="CG19" s="308"/>
      <c r="CH19" s="308"/>
      <c r="CI19" s="308"/>
      <c r="CJ19" s="308"/>
      <c r="CK19" s="308"/>
      <c r="CL19" s="92"/>
      <c r="CN19" s="105" t="s">
        <v>325</v>
      </c>
    </row>
    <row r="20" s="299" customFormat="true" ht="11.25" hidden="false" customHeight="true" outlineLevel="2" collapsed="false">
      <c r="A20" s="40"/>
      <c r="B20" s="92"/>
      <c r="C20" s="51" t="str">
        <f aca="false">'Lead NA'!C76</f>
        <v>Dummy 1</v>
      </c>
      <c r="D20" s="51" t="str">
        <f aca="false">'Lead NA'!D76</f>
        <v>Dummy 1</v>
      </c>
      <c r="E20" s="159" t="n">
        <f aca="false">'Lead NA'!E76</f>
        <v>0</v>
      </c>
      <c r="F20" s="159"/>
      <c r="G20" s="159"/>
      <c r="H20" s="159"/>
      <c r="I20" s="159"/>
      <c r="J20" s="159"/>
      <c r="K20" s="159"/>
      <c r="L20" s="159"/>
      <c r="M20" s="159"/>
      <c r="N20" s="159"/>
      <c r="O20" s="159"/>
      <c r="P20" s="159"/>
      <c r="Q20" s="159"/>
      <c r="R20" s="159"/>
      <c r="S20" s="159"/>
      <c r="T20" s="159"/>
      <c r="U20" s="159"/>
      <c r="V20" s="159"/>
      <c r="W20" s="159"/>
      <c r="X20" s="159"/>
      <c r="Y20" s="159"/>
      <c r="Z20" s="159"/>
      <c r="AA20" s="159"/>
      <c r="AB20" s="159"/>
      <c r="AC20" s="159"/>
      <c r="AD20" s="159"/>
      <c r="AE20" s="159"/>
      <c r="AF20" s="159"/>
      <c r="AG20" s="159"/>
      <c r="AH20" s="159"/>
      <c r="AI20" s="159"/>
      <c r="AJ20" s="159"/>
      <c r="AK20" s="159"/>
      <c r="AL20" s="159"/>
      <c r="AM20" s="159"/>
      <c r="AN20" s="159"/>
      <c r="AO20" s="159"/>
      <c r="AP20" s="159"/>
      <c r="AQ20" s="159"/>
      <c r="AR20" s="159"/>
      <c r="AS20" s="159"/>
      <c r="AT20" s="159"/>
      <c r="AU20" s="308"/>
      <c r="AV20" s="308"/>
      <c r="AW20" s="308"/>
      <c r="AX20" s="308"/>
      <c r="AY20" s="308"/>
      <c r="AZ20" s="308"/>
      <c r="BA20" s="308"/>
      <c r="BB20" s="308"/>
      <c r="BC20" s="308"/>
      <c r="BD20" s="308"/>
      <c r="BE20" s="308"/>
      <c r="BF20" s="308"/>
      <c r="BG20" s="308"/>
      <c r="BH20" s="308"/>
      <c r="BI20" s="308"/>
      <c r="BJ20" s="308"/>
      <c r="BK20" s="308"/>
      <c r="BL20" s="308"/>
      <c r="BM20" s="308"/>
      <c r="BN20" s="308"/>
      <c r="BO20" s="308"/>
      <c r="BP20" s="308"/>
      <c r="BQ20" s="308"/>
      <c r="BR20" s="308"/>
      <c r="BS20" s="308"/>
      <c r="BT20" s="308"/>
      <c r="BU20" s="308"/>
      <c r="BV20" s="308"/>
      <c r="BW20" s="308"/>
      <c r="BX20" s="308"/>
      <c r="BY20" s="308"/>
      <c r="BZ20" s="308"/>
      <c r="CA20" s="308"/>
      <c r="CB20" s="308"/>
      <c r="CC20" s="308"/>
      <c r="CD20" s="308"/>
      <c r="CE20" s="308"/>
      <c r="CF20" s="308"/>
      <c r="CG20" s="308"/>
      <c r="CH20" s="308"/>
      <c r="CI20" s="308"/>
      <c r="CJ20" s="308"/>
      <c r="CK20" s="308"/>
      <c r="CL20" s="92"/>
      <c r="CN20" s="105"/>
    </row>
    <row r="21" s="299" customFormat="true" ht="11.25" hidden="false" customHeight="true" outlineLevel="2" collapsed="false">
      <c r="A21" s="40"/>
      <c r="B21" s="92"/>
      <c r="C21" s="51" t="str">
        <f aca="false">'Lead NA'!C77</f>
        <v>Dummy 2</v>
      </c>
      <c r="D21" s="51" t="str">
        <f aca="false">'Lead NA'!D77</f>
        <v>Dummy 2</v>
      </c>
      <c r="E21" s="159" t="n">
        <f aca="false">'Lead NA'!E77</f>
        <v>0</v>
      </c>
      <c r="F21" s="159"/>
      <c r="G21" s="159"/>
      <c r="H21" s="159"/>
      <c r="I21" s="159"/>
      <c r="J21" s="159"/>
      <c r="K21" s="159"/>
      <c r="L21" s="159"/>
      <c r="M21" s="159"/>
      <c r="N21" s="159"/>
      <c r="O21" s="159"/>
      <c r="P21" s="159"/>
      <c r="Q21" s="159"/>
      <c r="R21" s="159"/>
      <c r="S21" s="159"/>
      <c r="T21" s="159"/>
      <c r="U21" s="159"/>
      <c r="V21" s="159"/>
      <c r="W21" s="159"/>
      <c r="X21" s="159"/>
      <c r="Y21" s="159"/>
      <c r="Z21" s="159"/>
      <c r="AA21" s="159"/>
      <c r="AB21" s="159"/>
      <c r="AC21" s="159"/>
      <c r="AD21" s="159"/>
      <c r="AE21" s="159"/>
      <c r="AF21" s="159"/>
      <c r="AG21" s="159"/>
      <c r="AH21" s="159"/>
      <c r="AI21" s="159"/>
      <c r="AJ21" s="159"/>
      <c r="AK21" s="159"/>
      <c r="AL21" s="159"/>
      <c r="AM21" s="159"/>
      <c r="AN21" s="159"/>
      <c r="AO21" s="159"/>
      <c r="AP21" s="159"/>
      <c r="AQ21" s="159"/>
      <c r="AR21" s="159"/>
      <c r="AS21" s="159"/>
      <c r="AT21" s="159"/>
      <c r="AU21" s="308"/>
      <c r="AV21" s="308"/>
      <c r="AW21" s="308"/>
      <c r="AX21" s="308"/>
      <c r="AY21" s="308"/>
      <c r="AZ21" s="308"/>
      <c r="BA21" s="308"/>
      <c r="BB21" s="308"/>
      <c r="BC21" s="308"/>
      <c r="BD21" s="308"/>
      <c r="BE21" s="308"/>
      <c r="BF21" s="308"/>
      <c r="BG21" s="308"/>
      <c r="BH21" s="308"/>
      <c r="BI21" s="308"/>
      <c r="BJ21" s="308"/>
      <c r="BK21" s="308"/>
      <c r="BL21" s="308"/>
      <c r="BM21" s="308"/>
      <c r="BN21" s="308"/>
      <c r="BO21" s="308"/>
      <c r="BP21" s="308"/>
      <c r="BQ21" s="308"/>
      <c r="BR21" s="308"/>
      <c r="BS21" s="308"/>
      <c r="BT21" s="308"/>
      <c r="BU21" s="308"/>
      <c r="BV21" s="308"/>
      <c r="BW21" s="308"/>
      <c r="BX21" s="308"/>
      <c r="BY21" s="308"/>
      <c r="BZ21" s="308"/>
      <c r="CA21" s="308"/>
      <c r="CB21" s="308"/>
      <c r="CC21" s="308"/>
      <c r="CD21" s="308"/>
      <c r="CE21" s="308"/>
      <c r="CF21" s="308"/>
      <c r="CG21" s="308"/>
      <c r="CH21" s="308"/>
      <c r="CI21" s="308"/>
      <c r="CJ21" s="308"/>
      <c r="CK21" s="308"/>
      <c r="CL21" s="92"/>
      <c r="CN21" s="105"/>
    </row>
    <row r="22" s="299" customFormat="true" ht="11.25" hidden="false" customHeight="true" outlineLevel="2" collapsed="false">
      <c r="A22" s="40"/>
      <c r="B22" s="92"/>
      <c r="C22" s="54" t="str">
        <f aca="false">'Lead NA'!C78</f>
        <v>Dummy 3</v>
      </c>
      <c r="D22" s="54" t="str">
        <f aca="false">'Lead NA'!D78</f>
        <v>Dummy 3</v>
      </c>
      <c r="E22" s="162" t="n">
        <f aca="false">'Lead NA'!E78</f>
        <v>0</v>
      </c>
      <c r="F22" s="162"/>
      <c r="G22" s="162"/>
      <c r="H22" s="162"/>
      <c r="I22" s="162"/>
      <c r="J22" s="162"/>
      <c r="K22" s="162"/>
      <c r="L22" s="162"/>
      <c r="M22" s="162"/>
      <c r="N22" s="162"/>
      <c r="O22" s="162"/>
      <c r="P22" s="162"/>
      <c r="Q22" s="162"/>
      <c r="R22" s="162"/>
      <c r="S22" s="162"/>
      <c r="T22" s="162"/>
      <c r="U22" s="162"/>
      <c r="V22" s="162"/>
      <c r="W22" s="162"/>
      <c r="X22" s="162"/>
      <c r="Y22" s="162"/>
      <c r="Z22" s="162"/>
      <c r="AA22" s="162"/>
      <c r="AB22" s="162"/>
      <c r="AC22" s="162"/>
      <c r="AD22" s="162"/>
      <c r="AE22" s="162"/>
      <c r="AF22" s="162"/>
      <c r="AG22" s="162"/>
      <c r="AH22" s="162"/>
      <c r="AI22" s="162"/>
      <c r="AJ22" s="162"/>
      <c r="AK22" s="162"/>
      <c r="AL22" s="162"/>
      <c r="AM22" s="162"/>
      <c r="AN22" s="162"/>
      <c r="AO22" s="162"/>
      <c r="AP22" s="162"/>
      <c r="AQ22" s="162"/>
      <c r="AR22" s="162"/>
      <c r="AS22" s="162"/>
      <c r="AT22" s="162"/>
      <c r="AU22" s="191"/>
      <c r="AV22" s="191"/>
      <c r="AW22" s="191"/>
      <c r="AX22" s="191"/>
      <c r="AY22" s="191"/>
      <c r="AZ22" s="191"/>
      <c r="BA22" s="191"/>
      <c r="BB22" s="191"/>
      <c r="BC22" s="191"/>
      <c r="BD22" s="191"/>
      <c r="BE22" s="191"/>
      <c r="BF22" s="191"/>
      <c r="BG22" s="191"/>
      <c r="BH22" s="191"/>
      <c r="BI22" s="191"/>
      <c r="BJ22" s="191"/>
      <c r="BK22" s="191"/>
      <c r="BL22" s="191"/>
      <c r="BM22" s="191"/>
      <c r="BN22" s="191"/>
      <c r="BO22" s="191"/>
      <c r="BP22" s="191"/>
      <c r="BQ22" s="191"/>
      <c r="BR22" s="191"/>
      <c r="BS22" s="191"/>
      <c r="BT22" s="191"/>
      <c r="BU22" s="191"/>
      <c r="BV22" s="191"/>
      <c r="BW22" s="191"/>
      <c r="BX22" s="191"/>
      <c r="BY22" s="191"/>
      <c r="BZ22" s="191"/>
      <c r="CA22" s="191"/>
      <c r="CB22" s="191"/>
      <c r="CC22" s="191"/>
      <c r="CD22" s="191"/>
      <c r="CE22" s="191"/>
      <c r="CF22" s="191"/>
      <c r="CG22" s="191"/>
      <c r="CH22" s="191"/>
      <c r="CI22" s="191"/>
      <c r="CJ22" s="191"/>
      <c r="CK22" s="191"/>
      <c r="CL22" s="92"/>
      <c r="CN22" s="105"/>
    </row>
    <row r="23" s="299" customFormat="true" ht="11.25" hidden="false" customHeight="true" outlineLevel="0" collapsed="false">
      <c r="A23" s="40"/>
      <c r="B23" s="92"/>
      <c r="C23" s="296" t="str">
        <f aca="false">'Lead NA'!C79</f>
        <v>Trade Working Capital</v>
      </c>
      <c r="D23" s="296" t="str">
        <f aca="false">'Lead NA'!D79</f>
        <v>Trade working capital</v>
      </c>
      <c r="E23" s="165" t="n">
        <f aca="false">SUM(E16:E22)</f>
        <v>0</v>
      </c>
      <c r="F23" s="165" t="n">
        <f aca="false">SUM(F16:F22)</f>
        <v>0</v>
      </c>
      <c r="G23" s="165" t="n">
        <f aca="false">SUM(G16:G22)</f>
        <v>0</v>
      </c>
      <c r="H23" s="165" t="n">
        <f aca="false">SUM(H16:H22)</f>
        <v>0</v>
      </c>
      <c r="I23" s="165" t="n">
        <f aca="false">SUM(I16:I22)</f>
        <v>0</v>
      </c>
      <c r="J23" s="165" t="n">
        <f aca="false">SUM(J16:J22)</f>
        <v>0</v>
      </c>
      <c r="K23" s="165" t="n">
        <f aca="false">SUM(K16:K22)</f>
        <v>0</v>
      </c>
      <c r="L23" s="165" t="n">
        <f aca="false">SUM(L16:L22)</f>
        <v>0</v>
      </c>
      <c r="M23" s="165" t="n">
        <f aca="false">SUM(M16:M22)</f>
        <v>0</v>
      </c>
      <c r="N23" s="165" t="n">
        <f aca="false">SUM(N16:N22)</f>
        <v>0</v>
      </c>
      <c r="O23" s="165" t="n">
        <f aca="false">SUM(O16:O22)</f>
        <v>0</v>
      </c>
      <c r="P23" s="165" t="n">
        <f aca="false">SUM(P16:P22)</f>
        <v>0</v>
      </c>
      <c r="Q23" s="165" t="n">
        <f aca="false">SUM(Q16:Q22)</f>
        <v>0</v>
      </c>
      <c r="R23" s="165" t="n">
        <f aca="false">SUM(R16:R22)</f>
        <v>0</v>
      </c>
      <c r="S23" s="165" t="n">
        <f aca="false">SUM(S16:S22)</f>
        <v>0</v>
      </c>
      <c r="T23" s="165" t="n">
        <f aca="false">SUM(T16:T22)</f>
        <v>0</v>
      </c>
      <c r="U23" s="165" t="n">
        <f aca="false">SUM(U16:U22)</f>
        <v>0</v>
      </c>
      <c r="V23" s="165" t="n">
        <f aca="false">SUM(V16:V22)</f>
        <v>0</v>
      </c>
      <c r="W23" s="165" t="n">
        <f aca="false">SUM(W16:W22)</f>
        <v>0</v>
      </c>
      <c r="X23" s="165" t="n">
        <f aca="false">SUM(X16:X22)</f>
        <v>0</v>
      </c>
      <c r="Y23" s="165" t="n">
        <f aca="false">SUM(Y16:Y22)</f>
        <v>0</v>
      </c>
      <c r="Z23" s="165" t="n">
        <f aca="false">SUM(Z16:Z22)</f>
        <v>0</v>
      </c>
      <c r="AA23" s="165" t="n">
        <f aca="false">SUM(AA16:AA22)</f>
        <v>0</v>
      </c>
      <c r="AB23" s="165" t="n">
        <f aca="false">SUM(AB16:AB22)</f>
        <v>0</v>
      </c>
      <c r="AC23" s="165" t="n">
        <f aca="false">SUM(AC16:AC22)</f>
        <v>0</v>
      </c>
      <c r="AD23" s="165" t="n">
        <f aca="false">SUM(AD16:AD22)</f>
        <v>0</v>
      </c>
      <c r="AE23" s="165" t="n">
        <f aca="false">SUM(AE16:AE22)</f>
        <v>0</v>
      </c>
      <c r="AF23" s="165" t="n">
        <f aca="false">SUM(AF16:AF22)</f>
        <v>0</v>
      </c>
      <c r="AG23" s="165" t="n">
        <f aca="false">SUM(AG16:AG22)</f>
        <v>0</v>
      </c>
      <c r="AH23" s="165" t="n">
        <f aca="false">SUM(AH16:AH22)</f>
        <v>0</v>
      </c>
      <c r="AI23" s="165" t="n">
        <f aca="false">SUM(AI16:AI22)</f>
        <v>0</v>
      </c>
      <c r="AJ23" s="165" t="n">
        <f aca="false">SUM(AJ16:AJ22)</f>
        <v>0</v>
      </c>
      <c r="AK23" s="165" t="n">
        <f aca="false">SUM(AK16:AK22)</f>
        <v>0</v>
      </c>
      <c r="AL23" s="165" t="n">
        <f aca="false">SUM(AL16:AL22)</f>
        <v>0</v>
      </c>
      <c r="AM23" s="165" t="n">
        <f aca="false">SUM(AM16:AM22)</f>
        <v>0</v>
      </c>
      <c r="AN23" s="165" t="n">
        <f aca="false">SUM(AN16:AN22)</f>
        <v>0</v>
      </c>
      <c r="AO23" s="165" t="n">
        <f aca="false">SUM(AO16:AO22)</f>
        <v>0</v>
      </c>
      <c r="AP23" s="165" t="n">
        <f aca="false">SUM(AP16:AP22)</f>
        <v>0</v>
      </c>
      <c r="AQ23" s="165" t="n">
        <f aca="false">SUM(AQ16:AQ22)</f>
        <v>0</v>
      </c>
      <c r="AR23" s="165" t="n">
        <f aca="false">SUM(AR16:AR22)</f>
        <v>0</v>
      </c>
      <c r="AS23" s="165" t="n">
        <f aca="false">SUM(AS16:AS22)</f>
        <v>0</v>
      </c>
      <c r="AT23" s="165" t="n">
        <f aca="false">SUM(AT16:AT22)</f>
        <v>0</v>
      </c>
      <c r="AU23" s="344" t="n">
        <f aca="false">SUM(AU16:AU22)</f>
        <v>0</v>
      </c>
      <c r="AV23" s="344" t="n">
        <f aca="false">SUM(AV16:AV22)</f>
        <v>0</v>
      </c>
      <c r="AW23" s="344" t="n">
        <f aca="false">SUM(AW16:AW22)</f>
        <v>0</v>
      </c>
      <c r="AX23" s="344" t="n">
        <f aca="false">SUM(AX16:AX22)</f>
        <v>0</v>
      </c>
      <c r="AY23" s="344" t="n">
        <f aca="false">SUM(AY16:AY22)</f>
        <v>0</v>
      </c>
      <c r="AZ23" s="344" t="n">
        <f aca="false">SUM(AZ16:AZ22)</f>
        <v>0</v>
      </c>
      <c r="BA23" s="344" t="n">
        <f aca="false">SUM(BA16:BA22)</f>
        <v>0</v>
      </c>
      <c r="BB23" s="344" t="n">
        <f aca="false">SUM(BB16:BB22)</f>
        <v>0</v>
      </c>
      <c r="BC23" s="344" t="n">
        <f aca="false">SUM(BC16:BC22)</f>
        <v>0</v>
      </c>
      <c r="BD23" s="344" t="n">
        <f aca="false">SUM(BD16:BD22)</f>
        <v>0</v>
      </c>
      <c r="BE23" s="344" t="n">
        <f aca="false">SUM(BE16:BE22)</f>
        <v>0</v>
      </c>
      <c r="BF23" s="344" t="n">
        <f aca="false">SUM(BF16:BF22)</f>
        <v>0</v>
      </c>
      <c r="BG23" s="344" t="n">
        <f aca="false">SUM(BG16:BG22)</f>
        <v>0</v>
      </c>
      <c r="BH23" s="344" t="n">
        <f aca="false">SUM(BH16:BH22)</f>
        <v>0</v>
      </c>
      <c r="BI23" s="344" t="n">
        <f aca="false">SUM(BI16:BI22)</f>
        <v>0</v>
      </c>
      <c r="BJ23" s="344" t="n">
        <f aca="false">SUM(BJ16:BJ22)</f>
        <v>0</v>
      </c>
      <c r="BK23" s="344" t="n">
        <f aca="false">SUM(BK16:BK22)</f>
        <v>0</v>
      </c>
      <c r="BL23" s="344" t="n">
        <f aca="false">SUM(BL16:BL22)</f>
        <v>0</v>
      </c>
      <c r="BM23" s="344" t="n">
        <f aca="false">SUM(BM16:BM22)</f>
        <v>0</v>
      </c>
      <c r="BN23" s="344" t="n">
        <f aca="false">SUM(BN16:BN22)</f>
        <v>0</v>
      </c>
      <c r="BO23" s="344" t="n">
        <f aca="false">SUM(BO16:BO22)</f>
        <v>0</v>
      </c>
      <c r="BP23" s="344" t="n">
        <f aca="false">SUM(BP16:BP22)</f>
        <v>0</v>
      </c>
      <c r="BQ23" s="344" t="n">
        <f aca="false">SUM(BQ16:BQ22)</f>
        <v>0</v>
      </c>
      <c r="BR23" s="344" t="n">
        <f aca="false">SUM(BR16:BR22)</f>
        <v>0</v>
      </c>
      <c r="BS23" s="344" t="n">
        <f aca="false">SUM(BS16:BS22)</f>
        <v>0</v>
      </c>
      <c r="BT23" s="344" t="n">
        <f aca="false">SUM(BT16:BT22)</f>
        <v>0</v>
      </c>
      <c r="BU23" s="344" t="n">
        <f aca="false">SUM(BU16:BU22)</f>
        <v>0</v>
      </c>
      <c r="BV23" s="344" t="n">
        <f aca="false">SUM(BV16:BV22)</f>
        <v>0</v>
      </c>
      <c r="BW23" s="344" t="n">
        <f aca="false">SUM(BW16:BW22)</f>
        <v>0</v>
      </c>
      <c r="BX23" s="344" t="n">
        <f aca="false">SUM(BX16:BX22)</f>
        <v>0</v>
      </c>
      <c r="BY23" s="344" t="n">
        <f aca="false">SUM(BY16:BY22)</f>
        <v>0</v>
      </c>
      <c r="BZ23" s="344" t="n">
        <f aca="false">SUM(BZ16:BZ22)</f>
        <v>0</v>
      </c>
      <c r="CA23" s="344" t="n">
        <f aca="false">SUM(CA16:CA22)</f>
        <v>0</v>
      </c>
      <c r="CB23" s="344" t="n">
        <f aca="false">SUM(CB16:CB22)</f>
        <v>0</v>
      </c>
      <c r="CC23" s="344" t="n">
        <f aca="false">SUM(CC16:CC22)</f>
        <v>0</v>
      </c>
      <c r="CD23" s="344" t="n">
        <f aca="false">SUM(CD16:CD22)</f>
        <v>0</v>
      </c>
      <c r="CE23" s="344" t="n">
        <f aca="false">SUM(CE16:CE22)</f>
        <v>0</v>
      </c>
      <c r="CF23" s="344" t="n">
        <f aca="false">SUM(CF16:CF22)</f>
        <v>0</v>
      </c>
      <c r="CG23" s="344" t="n">
        <f aca="false">SUM(CG16:CG22)</f>
        <v>0</v>
      </c>
      <c r="CH23" s="344" t="n">
        <f aca="false">SUM(CH16:CH22)</f>
        <v>0</v>
      </c>
      <c r="CI23" s="344" t="n">
        <f aca="false">SUM(CI16:CI22)</f>
        <v>0</v>
      </c>
      <c r="CJ23" s="344" t="n">
        <f aca="false">SUM(CJ16:CJ22)</f>
        <v>0</v>
      </c>
      <c r="CK23" s="344" t="n">
        <f aca="false">SUM(CK16:CK22)</f>
        <v>0</v>
      </c>
      <c r="CL23" s="92"/>
      <c r="CN23" s="301"/>
    </row>
    <row r="24" s="299" customFormat="true" ht="11.25" hidden="false" customHeight="true" outlineLevel="0" collapsed="false">
      <c r="A24" s="40"/>
      <c r="B24" s="92"/>
      <c r="C24" s="51" t="str">
        <f aca="false">'Lead NA'!C80</f>
        <v>Sonstige Vermögensgegenstände</v>
      </c>
      <c r="D24" s="51" t="str">
        <f aca="false">'Lead NA'!D80</f>
        <v>Other assets</v>
      </c>
      <c r="E24" s="159" t="n">
        <f aca="false">'Lead NA'!E80</f>
        <v>0</v>
      </c>
      <c r="F24" s="159"/>
      <c r="G24" s="159"/>
      <c r="H24" s="159"/>
      <c r="I24" s="159"/>
      <c r="J24" s="159"/>
      <c r="K24" s="159"/>
      <c r="L24" s="159"/>
      <c r="M24" s="159"/>
      <c r="N24" s="159"/>
      <c r="O24" s="159"/>
      <c r="P24" s="159"/>
      <c r="Q24" s="159"/>
      <c r="R24" s="159"/>
      <c r="S24" s="159"/>
      <c r="T24" s="159"/>
      <c r="U24" s="159"/>
      <c r="V24" s="159"/>
      <c r="W24" s="159"/>
      <c r="X24" s="159"/>
      <c r="Y24" s="159"/>
      <c r="Z24" s="159"/>
      <c r="AA24" s="159"/>
      <c r="AB24" s="159"/>
      <c r="AC24" s="159"/>
      <c r="AD24" s="159"/>
      <c r="AE24" s="159"/>
      <c r="AF24" s="159"/>
      <c r="AG24" s="159"/>
      <c r="AH24" s="159"/>
      <c r="AI24" s="159"/>
      <c r="AJ24" s="159"/>
      <c r="AK24" s="159"/>
      <c r="AL24" s="159"/>
      <c r="AM24" s="159"/>
      <c r="AN24" s="159"/>
      <c r="AO24" s="159"/>
      <c r="AP24" s="159"/>
      <c r="AQ24" s="159"/>
      <c r="AR24" s="159"/>
      <c r="AS24" s="159"/>
      <c r="AT24" s="159"/>
      <c r="AU24" s="308"/>
      <c r="AV24" s="308"/>
      <c r="AW24" s="308"/>
      <c r="AX24" s="308"/>
      <c r="AY24" s="308"/>
      <c r="AZ24" s="308"/>
      <c r="BA24" s="308"/>
      <c r="BB24" s="308"/>
      <c r="BC24" s="308"/>
      <c r="BD24" s="308"/>
      <c r="BE24" s="308"/>
      <c r="BF24" s="308"/>
      <c r="BG24" s="308"/>
      <c r="BH24" s="308"/>
      <c r="BI24" s="308"/>
      <c r="BJ24" s="308"/>
      <c r="BK24" s="308"/>
      <c r="BL24" s="308"/>
      <c r="BM24" s="308"/>
      <c r="BN24" s="308"/>
      <c r="BO24" s="308"/>
      <c r="BP24" s="308"/>
      <c r="BQ24" s="308"/>
      <c r="BR24" s="308"/>
      <c r="BS24" s="308"/>
      <c r="BT24" s="308"/>
      <c r="BU24" s="308"/>
      <c r="BV24" s="308"/>
      <c r="BW24" s="308"/>
      <c r="BX24" s="308"/>
      <c r="BY24" s="308"/>
      <c r="BZ24" s="308"/>
      <c r="CA24" s="308"/>
      <c r="CB24" s="308"/>
      <c r="CC24" s="308"/>
      <c r="CD24" s="308"/>
      <c r="CE24" s="308"/>
      <c r="CF24" s="308"/>
      <c r="CG24" s="308"/>
      <c r="CH24" s="308"/>
      <c r="CI24" s="308"/>
      <c r="CJ24" s="308"/>
      <c r="CK24" s="308"/>
      <c r="CL24" s="92"/>
      <c r="CN24" s="105" t="s">
        <v>337</v>
      </c>
    </row>
    <row r="25" s="299" customFormat="true" ht="11.25" hidden="false" customHeight="true" outlineLevel="0" collapsed="false">
      <c r="A25" s="40"/>
      <c r="B25" s="92"/>
      <c r="C25" s="51" t="str">
        <f aca="false">'Lead NA'!C89</f>
        <v>Aktive Rechnungsabgrenzungsposten</v>
      </c>
      <c r="D25" s="51" t="str">
        <f aca="false">'Lead NA'!D89</f>
        <v>Prepaid expenses</v>
      </c>
      <c r="E25" s="159" t="n">
        <f aca="false">'Lead NA'!E89</f>
        <v>0</v>
      </c>
      <c r="F25" s="159"/>
      <c r="G25" s="159"/>
      <c r="H25" s="159"/>
      <c r="I25" s="159"/>
      <c r="J25" s="159"/>
      <c r="K25" s="159"/>
      <c r="L25" s="159"/>
      <c r="M25" s="159"/>
      <c r="N25" s="159"/>
      <c r="O25" s="159"/>
      <c r="P25" s="159"/>
      <c r="Q25" s="159"/>
      <c r="R25" s="159"/>
      <c r="S25" s="159"/>
      <c r="T25" s="159"/>
      <c r="U25" s="159"/>
      <c r="V25" s="159"/>
      <c r="W25" s="159"/>
      <c r="X25" s="159"/>
      <c r="Y25" s="159"/>
      <c r="Z25" s="159"/>
      <c r="AA25" s="159"/>
      <c r="AB25" s="159"/>
      <c r="AC25" s="159"/>
      <c r="AD25" s="159"/>
      <c r="AE25" s="159"/>
      <c r="AF25" s="159"/>
      <c r="AG25" s="159"/>
      <c r="AH25" s="159"/>
      <c r="AI25" s="159"/>
      <c r="AJ25" s="159"/>
      <c r="AK25" s="159"/>
      <c r="AL25" s="159"/>
      <c r="AM25" s="159"/>
      <c r="AN25" s="159"/>
      <c r="AO25" s="159"/>
      <c r="AP25" s="159"/>
      <c r="AQ25" s="159"/>
      <c r="AR25" s="159"/>
      <c r="AS25" s="159"/>
      <c r="AT25" s="159"/>
      <c r="AU25" s="308"/>
      <c r="AV25" s="308"/>
      <c r="AW25" s="308"/>
      <c r="AX25" s="308"/>
      <c r="AY25" s="308"/>
      <c r="AZ25" s="308"/>
      <c r="BA25" s="308"/>
      <c r="BB25" s="308"/>
      <c r="BC25" s="308"/>
      <c r="BD25" s="308"/>
      <c r="BE25" s="308"/>
      <c r="BF25" s="308"/>
      <c r="BG25" s="308"/>
      <c r="BH25" s="308"/>
      <c r="BI25" s="308"/>
      <c r="BJ25" s="308"/>
      <c r="BK25" s="308"/>
      <c r="BL25" s="308"/>
      <c r="BM25" s="308"/>
      <c r="BN25" s="308"/>
      <c r="BO25" s="308"/>
      <c r="BP25" s="308"/>
      <c r="BQ25" s="308"/>
      <c r="BR25" s="308"/>
      <c r="BS25" s="308"/>
      <c r="BT25" s="308"/>
      <c r="BU25" s="308"/>
      <c r="BV25" s="308"/>
      <c r="BW25" s="308"/>
      <c r="BX25" s="308"/>
      <c r="BY25" s="308"/>
      <c r="BZ25" s="308"/>
      <c r="CA25" s="308"/>
      <c r="CB25" s="308"/>
      <c r="CC25" s="308"/>
      <c r="CD25" s="308"/>
      <c r="CE25" s="308"/>
      <c r="CF25" s="308"/>
      <c r="CG25" s="308"/>
      <c r="CH25" s="308"/>
      <c r="CI25" s="308"/>
      <c r="CJ25" s="308"/>
      <c r="CK25" s="308"/>
      <c r="CL25" s="92"/>
      <c r="CN25" s="105" t="s">
        <v>333</v>
      </c>
    </row>
    <row r="26" s="299" customFormat="true" ht="11.25" hidden="false" customHeight="true" outlineLevel="0" collapsed="false">
      <c r="A26" s="40"/>
      <c r="B26" s="92"/>
      <c r="C26" s="51" t="str">
        <f aca="false">'Lead NA'!C98</f>
        <v>Forderungen gegenüber verbundenen/beteiligten Unternehmen</v>
      </c>
      <c r="D26" s="51" t="str">
        <f aca="false">'Lead NA'!D98</f>
        <v>Receivables from affiliated/ participating companies</v>
      </c>
      <c r="E26" s="159" t="n">
        <f aca="false">'Lead NA'!E98</f>
        <v>0</v>
      </c>
      <c r="F26" s="159"/>
      <c r="G26" s="159"/>
      <c r="H26" s="159"/>
      <c r="I26" s="159"/>
      <c r="J26" s="159"/>
      <c r="K26" s="159"/>
      <c r="L26" s="159"/>
      <c r="M26" s="159"/>
      <c r="N26" s="159"/>
      <c r="O26" s="159"/>
      <c r="P26" s="159"/>
      <c r="Q26" s="159"/>
      <c r="R26" s="159"/>
      <c r="S26" s="159"/>
      <c r="T26" s="159"/>
      <c r="U26" s="159"/>
      <c r="V26" s="159"/>
      <c r="W26" s="159"/>
      <c r="X26" s="159"/>
      <c r="Y26" s="159"/>
      <c r="Z26" s="159"/>
      <c r="AA26" s="159"/>
      <c r="AB26" s="159"/>
      <c r="AC26" s="159"/>
      <c r="AD26" s="159"/>
      <c r="AE26" s="159"/>
      <c r="AF26" s="159"/>
      <c r="AG26" s="159"/>
      <c r="AH26" s="159"/>
      <c r="AI26" s="159"/>
      <c r="AJ26" s="159"/>
      <c r="AK26" s="159"/>
      <c r="AL26" s="159"/>
      <c r="AM26" s="159"/>
      <c r="AN26" s="159"/>
      <c r="AO26" s="159"/>
      <c r="AP26" s="159"/>
      <c r="AQ26" s="159"/>
      <c r="AR26" s="159"/>
      <c r="AS26" s="159"/>
      <c r="AT26" s="159"/>
      <c r="AU26" s="308"/>
      <c r="AV26" s="308"/>
      <c r="AW26" s="308"/>
      <c r="AX26" s="308"/>
      <c r="AY26" s="308"/>
      <c r="AZ26" s="308"/>
      <c r="BA26" s="308"/>
      <c r="BB26" s="308"/>
      <c r="BC26" s="308"/>
      <c r="BD26" s="308"/>
      <c r="BE26" s="308"/>
      <c r="BF26" s="308"/>
      <c r="BG26" s="308"/>
      <c r="BH26" s="308"/>
      <c r="BI26" s="308"/>
      <c r="BJ26" s="308"/>
      <c r="BK26" s="308"/>
      <c r="BL26" s="308"/>
      <c r="BM26" s="308"/>
      <c r="BN26" s="308"/>
      <c r="BO26" s="308"/>
      <c r="BP26" s="308"/>
      <c r="BQ26" s="308"/>
      <c r="BR26" s="308"/>
      <c r="BS26" s="308"/>
      <c r="BT26" s="308"/>
      <c r="BU26" s="308"/>
      <c r="BV26" s="308"/>
      <c r="BW26" s="308"/>
      <c r="BX26" s="308"/>
      <c r="BY26" s="308"/>
      <c r="BZ26" s="308"/>
      <c r="CA26" s="308"/>
      <c r="CB26" s="308"/>
      <c r="CC26" s="308"/>
      <c r="CD26" s="308"/>
      <c r="CE26" s="308"/>
      <c r="CF26" s="308"/>
      <c r="CG26" s="308"/>
      <c r="CH26" s="308"/>
      <c r="CI26" s="308"/>
      <c r="CJ26" s="308"/>
      <c r="CK26" s="308"/>
      <c r="CL26" s="92"/>
      <c r="CN26" s="105" t="s">
        <v>343</v>
      </c>
    </row>
    <row r="27" s="299" customFormat="true" ht="11.25" hidden="false" customHeight="true" outlineLevel="0" collapsed="false">
      <c r="A27" s="40"/>
      <c r="B27" s="92"/>
      <c r="C27" s="51" t="str">
        <f aca="false">'Lead NA'!C107</f>
        <v>Forderungen gegenüber Gesellschaftern</v>
      </c>
      <c r="D27" s="51" t="str">
        <f aca="false">'Lead NA'!D107</f>
        <v>Receivables from shareholders</v>
      </c>
      <c r="E27" s="159" t="n">
        <f aca="false">'Lead NA'!E107</f>
        <v>0</v>
      </c>
      <c r="F27" s="159"/>
      <c r="G27" s="159"/>
      <c r="H27" s="159"/>
      <c r="I27" s="159"/>
      <c r="J27" s="159"/>
      <c r="K27" s="159"/>
      <c r="L27" s="159"/>
      <c r="M27" s="159"/>
      <c r="N27" s="159"/>
      <c r="O27" s="159"/>
      <c r="P27" s="159"/>
      <c r="Q27" s="159"/>
      <c r="R27" s="159"/>
      <c r="S27" s="159"/>
      <c r="T27" s="159"/>
      <c r="U27" s="159"/>
      <c r="V27" s="159"/>
      <c r="W27" s="159"/>
      <c r="X27" s="159"/>
      <c r="Y27" s="159"/>
      <c r="Z27" s="159"/>
      <c r="AA27" s="159"/>
      <c r="AB27" s="159"/>
      <c r="AC27" s="159"/>
      <c r="AD27" s="159"/>
      <c r="AE27" s="159"/>
      <c r="AF27" s="159"/>
      <c r="AG27" s="159"/>
      <c r="AH27" s="159"/>
      <c r="AI27" s="159"/>
      <c r="AJ27" s="159"/>
      <c r="AK27" s="159"/>
      <c r="AL27" s="159"/>
      <c r="AM27" s="159"/>
      <c r="AN27" s="159"/>
      <c r="AO27" s="159"/>
      <c r="AP27" s="159"/>
      <c r="AQ27" s="159"/>
      <c r="AR27" s="159"/>
      <c r="AS27" s="159"/>
      <c r="AT27" s="159"/>
      <c r="AU27" s="308"/>
      <c r="AV27" s="308"/>
      <c r="AW27" s="308"/>
      <c r="AX27" s="308"/>
      <c r="AY27" s="308"/>
      <c r="AZ27" s="308"/>
      <c r="BA27" s="308"/>
      <c r="BB27" s="308"/>
      <c r="BC27" s="308"/>
      <c r="BD27" s="308"/>
      <c r="BE27" s="308"/>
      <c r="BF27" s="308"/>
      <c r="BG27" s="308"/>
      <c r="BH27" s="308"/>
      <c r="BI27" s="308"/>
      <c r="BJ27" s="308"/>
      <c r="BK27" s="308"/>
      <c r="BL27" s="308"/>
      <c r="BM27" s="308"/>
      <c r="BN27" s="308"/>
      <c r="BO27" s="308"/>
      <c r="BP27" s="308"/>
      <c r="BQ27" s="308"/>
      <c r="BR27" s="308"/>
      <c r="BS27" s="308"/>
      <c r="BT27" s="308"/>
      <c r="BU27" s="308"/>
      <c r="BV27" s="308"/>
      <c r="BW27" s="308"/>
      <c r="BX27" s="308"/>
      <c r="BY27" s="308"/>
      <c r="BZ27" s="308"/>
      <c r="CA27" s="308"/>
      <c r="CB27" s="308"/>
      <c r="CC27" s="308"/>
      <c r="CD27" s="308"/>
      <c r="CE27" s="308"/>
      <c r="CF27" s="308"/>
      <c r="CG27" s="308"/>
      <c r="CH27" s="308"/>
      <c r="CI27" s="308"/>
      <c r="CJ27" s="308"/>
      <c r="CK27" s="308"/>
      <c r="CL27" s="92"/>
      <c r="CN27" s="105" t="s">
        <v>345</v>
      </c>
    </row>
    <row r="28" s="299" customFormat="true" ht="11.25" hidden="false" customHeight="true" outlineLevel="2" collapsed="false">
      <c r="A28" s="40"/>
      <c r="B28" s="92"/>
      <c r="C28" s="51" t="str">
        <f aca="false">'Lead NA'!C116</f>
        <v>Dummy 1</v>
      </c>
      <c r="D28" s="51" t="str">
        <f aca="false">'Lead NA'!D116</f>
        <v>Dummy 1</v>
      </c>
      <c r="E28" s="159" t="n">
        <f aca="false">'Lead NA'!E116</f>
        <v>0</v>
      </c>
      <c r="F28" s="159"/>
      <c r="G28" s="159"/>
      <c r="H28" s="159"/>
      <c r="I28" s="159"/>
      <c r="J28" s="159"/>
      <c r="K28" s="159"/>
      <c r="L28" s="159"/>
      <c r="M28" s="159"/>
      <c r="N28" s="159"/>
      <c r="O28" s="159"/>
      <c r="P28" s="159"/>
      <c r="Q28" s="159"/>
      <c r="R28" s="159"/>
      <c r="S28" s="159"/>
      <c r="T28" s="159"/>
      <c r="U28" s="159"/>
      <c r="V28" s="159"/>
      <c r="W28" s="159"/>
      <c r="X28" s="159"/>
      <c r="Y28" s="159"/>
      <c r="Z28" s="159"/>
      <c r="AA28" s="159"/>
      <c r="AB28" s="159"/>
      <c r="AC28" s="159"/>
      <c r="AD28" s="159"/>
      <c r="AE28" s="159"/>
      <c r="AF28" s="159"/>
      <c r="AG28" s="159"/>
      <c r="AH28" s="159"/>
      <c r="AI28" s="159"/>
      <c r="AJ28" s="159"/>
      <c r="AK28" s="159"/>
      <c r="AL28" s="159"/>
      <c r="AM28" s="159"/>
      <c r="AN28" s="159"/>
      <c r="AO28" s="159"/>
      <c r="AP28" s="159"/>
      <c r="AQ28" s="159"/>
      <c r="AR28" s="159"/>
      <c r="AS28" s="159"/>
      <c r="AT28" s="159"/>
      <c r="AU28" s="308"/>
      <c r="AV28" s="308"/>
      <c r="AW28" s="308"/>
      <c r="AX28" s="308"/>
      <c r="AY28" s="308"/>
      <c r="AZ28" s="308"/>
      <c r="BA28" s="308"/>
      <c r="BB28" s="308"/>
      <c r="BC28" s="308"/>
      <c r="BD28" s="308"/>
      <c r="BE28" s="308"/>
      <c r="BF28" s="308"/>
      <c r="BG28" s="308"/>
      <c r="BH28" s="308"/>
      <c r="BI28" s="308"/>
      <c r="BJ28" s="308"/>
      <c r="BK28" s="308"/>
      <c r="BL28" s="308"/>
      <c r="BM28" s="308"/>
      <c r="BN28" s="308"/>
      <c r="BO28" s="308"/>
      <c r="BP28" s="308"/>
      <c r="BQ28" s="308"/>
      <c r="BR28" s="308"/>
      <c r="BS28" s="308"/>
      <c r="BT28" s="308"/>
      <c r="BU28" s="308"/>
      <c r="BV28" s="308"/>
      <c r="BW28" s="308"/>
      <c r="BX28" s="308"/>
      <c r="BY28" s="308"/>
      <c r="BZ28" s="308"/>
      <c r="CA28" s="308"/>
      <c r="CB28" s="308"/>
      <c r="CC28" s="308"/>
      <c r="CD28" s="308"/>
      <c r="CE28" s="308"/>
      <c r="CF28" s="308"/>
      <c r="CG28" s="308"/>
      <c r="CH28" s="308"/>
      <c r="CI28" s="308"/>
      <c r="CJ28" s="308"/>
      <c r="CK28" s="308"/>
      <c r="CL28" s="92"/>
      <c r="CN28" s="105"/>
    </row>
    <row r="29" s="299" customFormat="true" ht="11.25" hidden="false" customHeight="true" outlineLevel="2" collapsed="false">
      <c r="A29" s="40"/>
      <c r="B29" s="92"/>
      <c r="C29" s="51" t="str">
        <f aca="false">'Lead NA'!C117</f>
        <v>Dummy 2</v>
      </c>
      <c r="D29" s="51" t="str">
        <f aca="false">'Lead NA'!D117</f>
        <v>Dummy 2</v>
      </c>
      <c r="E29" s="159" t="n">
        <f aca="false">'Lead NA'!E117</f>
        <v>0</v>
      </c>
      <c r="F29" s="159"/>
      <c r="G29" s="159"/>
      <c r="H29" s="159"/>
      <c r="I29" s="159"/>
      <c r="J29" s="159"/>
      <c r="K29" s="159"/>
      <c r="L29" s="159"/>
      <c r="M29" s="159"/>
      <c r="N29" s="159"/>
      <c r="O29" s="159"/>
      <c r="P29" s="159"/>
      <c r="Q29" s="159"/>
      <c r="R29" s="159"/>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c r="AR29" s="159"/>
      <c r="AS29" s="159"/>
      <c r="AT29" s="159"/>
      <c r="AU29" s="308"/>
      <c r="AV29" s="308"/>
      <c r="AW29" s="308"/>
      <c r="AX29" s="308"/>
      <c r="AY29" s="308"/>
      <c r="AZ29" s="308"/>
      <c r="BA29" s="308"/>
      <c r="BB29" s="308"/>
      <c r="BC29" s="308"/>
      <c r="BD29" s="308"/>
      <c r="BE29" s="308"/>
      <c r="BF29" s="308"/>
      <c r="BG29" s="308"/>
      <c r="BH29" s="308"/>
      <c r="BI29" s="308"/>
      <c r="BJ29" s="308"/>
      <c r="BK29" s="308"/>
      <c r="BL29" s="308"/>
      <c r="BM29" s="308"/>
      <c r="BN29" s="308"/>
      <c r="BO29" s="308"/>
      <c r="BP29" s="308"/>
      <c r="BQ29" s="308"/>
      <c r="BR29" s="308"/>
      <c r="BS29" s="308"/>
      <c r="BT29" s="308"/>
      <c r="BU29" s="308"/>
      <c r="BV29" s="308"/>
      <c r="BW29" s="308"/>
      <c r="BX29" s="308"/>
      <c r="BY29" s="308"/>
      <c r="BZ29" s="308"/>
      <c r="CA29" s="308"/>
      <c r="CB29" s="308"/>
      <c r="CC29" s="308"/>
      <c r="CD29" s="308"/>
      <c r="CE29" s="308"/>
      <c r="CF29" s="308"/>
      <c r="CG29" s="308"/>
      <c r="CH29" s="308"/>
      <c r="CI29" s="308"/>
      <c r="CJ29" s="308"/>
      <c r="CK29" s="308"/>
      <c r="CL29" s="92"/>
      <c r="CN29" s="105"/>
    </row>
    <row r="30" s="299" customFormat="true" ht="11.25" hidden="false" customHeight="true" outlineLevel="2" collapsed="false">
      <c r="A30" s="40"/>
      <c r="B30" s="92"/>
      <c r="C30" s="51" t="str">
        <f aca="false">'Lead NA'!C118</f>
        <v>Dummy 3</v>
      </c>
      <c r="D30" s="51" t="str">
        <f aca="false">'Lead NA'!D118</f>
        <v>Dummy 3</v>
      </c>
      <c r="E30" s="159" t="n">
        <f aca="false">'Lead NA'!E118</f>
        <v>0</v>
      </c>
      <c r="F30" s="159"/>
      <c r="G30" s="159"/>
      <c r="H30" s="159"/>
      <c r="I30" s="159"/>
      <c r="J30" s="159"/>
      <c r="K30" s="159"/>
      <c r="L30" s="159"/>
      <c r="M30" s="159"/>
      <c r="N30" s="159"/>
      <c r="O30" s="159"/>
      <c r="P30" s="159"/>
      <c r="Q30" s="159"/>
      <c r="R30" s="159"/>
      <c r="S30" s="159"/>
      <c r="T30" s="159"/>
      <c r="U30" s="159"/>
      <c r="V30" s="159"/>
      <c r="W30" s="159"/>
      <c r="X30" s="159"/>
      <c r="Y30" s="159"/>
      <c r="Z30" s="159"/>
      <c r="AA30" s="159"/>
      <c r="AB30" s="159"/>
      <c r="AC30" s="159"/>
      <c r="AD30" s="159"/>
      <c r="AE30" s="159"/>
      <c r="AF30" s="159"/>
      <c r="AG30" s="159"/>
      <c r="AH30" s="159"/>
      <c r="AI30" s="159"/>
      <c r="AJ30" s="159"/>
      <c r="AK30" s="159"/>
      <c r="AL30" s="159"/>
      <c r="AM30" s="159"/>
      <c r="AN30" s="159"/>
      <c r="AO30" s="159"/>
      <c r="AP30" s="159"/>
      <c r="AQ30" s="159"/>
      <c r="AR30" s="159"/>
      <c r="AS30" s="159"/>
      <c r="AT30" s="159"/>
      <c r="AU30" s="308"/>
      <c r="AV30" s="308"/>
      <c r="AW30" s="308"/>
      <c r="AX30" s="308"/>
      <c r="AY30" s="308"/>
      <c r="AZ30" s="308"/>
      <c r="BA30" s="308"/>
      <c r="BB30" s="308"/>
      <c r="BC30" s="308"/>
      <c r="BD30" s="308"/>
      <c r="BE30" s="308"/>
      <c r="BF30" s="308"/>
      <c r="BG30" s="308"/>
      <c r="BH30" s="308"/>
      <c r="BI30" s="308"/>
      <c r="BJ30" s="308"/>
      <c r="BK30" s="308"/>
      <c r="BL30" s="308"/>
      <c r="BM30" s="308"/>
      <c r="BN30" s="308"/>
      <c r="BO30" s="308"/>
      <c r="BP30" s="308"/>
      <c r="BQ30" s="308"/>
      <c r="BR30" s="308"/>
      <c r="BS30" s="308"/>
      <c r="BT30" s="308"/>
      <c r="BU30" s="308"/>
      <c r="BV30" s="308"/>
      <c r="BW30" s="308"/>
      <c r="BX30" s="308"/>
      <c r="BY30" s="308"/>
      <c r="BZ30" s="308"/>
      <c r="CA30" s="308"/>
      <c r="CB30" s="308"/>
      <c r="CC30" s="308"/>
      <c r="CD30" s="308"/>
      <c r="CE30" s="308"/>
      <c r="CF30" s="308"/>
      <c r="CG30" s="308"/>
      <c r="CH30" s="308"/>
      <c r="CI30" s="308"/>
      <c r="CJ30" s="308"/>
      <c r="CK30" s="308"/>
      <c r="CL30" s="92"/>
      <c r="CN30" s="105"/>
    </row>
    <row r="31" s="347" customFormat="true" ht="11.25" hidden="false" customHeight="true" outlineLevel="0" collapsed="false">
      <c r="A31" s="345"/>
      <c r="B31" s="92"/>
      <c r="C31" s="132" t="str">
        <f aca="false">'Lead NA'!C119</f>
        <v>Sonstige Aktiva</v>
      </c>
      <c r="D31" s="132" t="str">
        <f aca="false">'Lead NA'!D119</f>
        <v>Other assets (subtotal)</v>
      </c>
      <c r="E31" s="168" t="n">
        <f aca="false">SUM(E24:E30)</f>
        <v>0</v>
      </c>
      <c r="F31" s="168" t="n">
        <f aca="false">SUM(F24:F30)</f>
        <v>0</v>
      </c>
      <c r="G31" s="168" t="n">
        <f aca="false">SUM(G24:G30)</f>
        <v>0</v>
      </c>
      <c r="H31" s="168" t="n">
        <f aca="false">SUM(H24:H30)</f>
        <v>0</v>
      </c>
      <c r="I31" s="168" t="n">
        <f aca="false">SUM(I24:I30)</f>
        <v>0</v>
      </c>
      <c r="J31" s="168" t="n">
        <f aca="false">SUM(J24:J30)</f>
        <v>0</v>
      </c>
      <c r="K31" s="168" t="n">
        <f aca="false">SUM(K24:K30)</f>
        <v>0</v>
      </c>
      <c r="L31" s="168" t="n">
        <f aca="false">SUM(L24:L30)</f>
        <v>0</v>
      </c>
      <c r="M31" s="168" t="n">
        <f aca="false">SUM(M24:M30)</f>
        <v>0</v>
      </c>
      <c r="N31" s="168" t="n">
        <f aca="false">SUM(N24:N30)</f>
        <v>0</v>
      </c>
      <c r="O31" s="168" t="n">
        <f aca="false">SUM(O24:O30)</f>
        <v>0</v>
      </c>
      <c r="P31" s="168" t="n">
        <f aca="false">SUM(P24:P30)</f>
        <v>0</v>
      </c>
      <c r="Q31" s="168" t="n">
        <f aca="false">SUM(Q24:Q30)</f>
        <v>0</v>
      </c>
      <c r="R31" s="168" t="n">
        <f aca="false">SUM(R24:R30)</f>
        <v>0</v>
      </c>
      <c r="S31" s="168" t="n">
        <f aca="false">SUM(S24:S30)</f>
        <v>0</v>
      </c>
      <c r="T31" s="168" t="n">
        <f aca="false">SUM(T24:T30)</f>
        <v>0</v>
      </c>
      <c r="U31" s="168" t="n">
        <f aca="false">SUM(U24:U30)</f>
        <v>0</v>
      </c>
      <c r="V31" s="168" t="n">
        <f aca="false">SUM(V24:V30)</f>
        <v>0</v>
      </c>
      <c r="W31" s="168" t="n">
        <f aca="false">SUM(W24:W30)</f>
        <v>0</v>
      </c>
      <c r="X31" s="168" t="n">
        <f aca="false">SUM(X24:X30)</f>
        <v>0</v>
      </c>
      <c r="Y31" s="168" t="n">
        <f aca="false">SUM(Y24:Y30)</f>
        <v>0</v>
      </c>
      <c r="Z31" s="168" t="n">
        <f aca="false">SUM(Z24:Z30)</f>
        <v>0</v>
      </c>
      <c r="AA31" s="168" t="n">
        <f aca="false">SUM(AA24:AA30)</f>
        <v>0</v>
      </c>
      <c r="AB31" s="168" t="n">
        <f aca="false">SUM(AB24:AB30)</f>
        <v>0</v>
      </c>
      <c r="AC31" s="168" t="n">
        <f aca="false">SUM(AC24:AC30)</f>
        <v>0</v>
      </c>
      <c r="AD31" s="168" t="n">
        <f aca="false">SUM(AD24:AD30)</f>
        <v>0</v>
      </c>
      <c r="AE31" s="168" t="n">
        <f aca="false">SUM(AE24:AE30)</f>
        <v>0</v>
      </c>
      <c r="AF31" s="168" t="n">
        <f aca="false">SUM(AF24:AF30)</f>
        <v>0</v>
      </c>
      <c r="AG31" s="168" t="n">
        <f aca="false">SUM(AG24:AG30)</f>
        <v>0</v>
      </c>
      <c r="AH31" s="168" t="n">
        <f aca="false">SUM(AH24:AH30)</f>
        <v>0</v>
      </c>
      <c r="AI31" s="168" t="n">
        <f aca="false">SUM(AI24:AI30)</f>
        <v>0</v>
      </c>
      <c r="AJ31" s="168" t="n">
        <f aca="false">SUM(AJ24:AJ30)</f>
        <v>0</v>
      </c>
      <c r="AK31" s="168" t="n">
        <f aca="false">SUM(AK24:AK30)</f>
        <v>0</v>
      </c>
      <c r="AL31" s="168" t="n">
        <f aca="false">SUM(AL24:AL30)</f>
        <v>0</v>
      </c>
      <c r="AM31" s="168" t="n">
        <f aca="false">SUM(AM24:AM30)</f>
        <v>0</v>
      </c>
      <c r="AN31" s="168" t="n">
        <f aca="false">SUM(AN24:AN30)</f>
        <v>0</v>
      </c>
      <c r="AO31" s="168" t="n">
        <f aca="false">SUM(AO24:AO30)</f>
        <v>0</v>
      </c>
      <c r="AP31" s="168" t="n">
        <f aca="false">SUM(AP24:AP30)</f>
        <v>0</v>
      </c>
      <c r="AQ31" s="168" t="n">
        <f aca="false">SUM(AQ24:AQ30)</f>
        <v>0</v>
      </c>
      <c r="AR31" s="168" t="n">
        <f aca="false">SUM(AR24:AR30)</f>
        <v>0</v>
      </c>
      <c r="AS31" s="168" t="n">
        <f aca="false">SUM(AS24:AS30)</f>
        <v>0</v>
      </c>
      <c r="AT31" s="168" t="n">
        <f aca="false">SUM(AT24:AT30)</f>
        <v>0</v>
      </c>
      <c r="AU31" s="346" t="n">
        <f aca="false">SUM(AU24:AU30)</f>
        <v>0</v>
      </c>
      <c r="AV31" s="346" t="n">
        <f aca="false">SUM(AV24:AV30)</f>
        <v>0</v>
      </c>
      <c r="AW31" s="346" t="n">
        <f aca="false">SUM(AW24:AW30)</f>
        <v>0</v>
      </c>
      <c r="AX31" s="346" t="n">
        <f aca="false">SUM(AX24:AX30)</f>
        <v>0</v>
      </c>
      <c r="AY31" s="346" t="n">
        <f aca="false">SUM(AY24:AY30)</f>
        <v>0</v>
      </c>
      <c r="AZ31" s="346" t="n">
        <f aca="false">SUM(AZ24:AZ30)</f>
        <v>0</v>
      </c>
      <c r="BA31" s="346" t="n">
        <f aca="false">SUM(BA24:BA30)</f>
        <v>0</v>
      </c>
      <c r="BB31" s="346" t="n">
        <f aca="false">SUM(BB24:BB30)</f>
        <v>0</v>
      </c>
      <c r="BC31" s="346" t="n">
        <f aca="false">SUM(BC24:BC30)</f>
        <v>0</v>
      </c>
      <c r="BD31" s="346" t="n">
        <f aca="false">SUM(BD24:BD30)</f>
        <v>0</v>
      </c>
      <c r="BE31" s="346" t="n">
        <f aca="false">SUM(BE24:BE30)</f>
        <v>0</v>
      </c>
      <c r="BF31" s="346" t="n">
        <f aca="false">SUM(BF24:BF30)</f>
        <v>0</v>
      </c>
      <c r="BG31" s="346" t="n">
        <f aca="false">SUM(BG24:BG30)</f>
        <v>0</v>
      </c>
      <c r="BH31" s="346" t="n">
        <f aca="false">SUM(BH24:BH30)</f>
        <v>0</v>
      </c>
      <c r="BI31" s="346" t="n">
        <f aca="false">SUM(BI24:BI30)</f>
        <v>0</v>
      </c>
      <c r="BJ31" s="346" t="n">
        <f aca="false">SUM(BJ24:BJ30)</f>
        <v>0</v>
      </c>
      <c r="BK31" s="346" t="n">
        <f aca="false">SUM(BK24:BK30)</f>
        <v>0</v>
      </c>
      <c r="BL31" s="346" t="n">
        <f aca="false">SUM(BL24:BL30)</f>
        <v>0</v>
      </c>
      <c r="BM31" s="346" t="n">
        <f aca="false">SUM(BM24:BM30)</f>
        <v>0</v>
      </c>
      <c r="BN31" s="346" t="n">
        <f aca="false">SUM(BN24:BN30)</f>
        <v>0</v>
      </c>
      <c r="BO31" s="346" t="n">
        <f aca="false">SUM(BO24:BO30)</f>
        <v>0</v>
      </c>
      <c r="BP31" s="346" t="n">
        <f aca="false">SUM(BP24:BP30)</f>
        <v>0</v>
      </c>
      <c r="BQ31" s="346" t="n">
        <f aca="false">SUM(BQ24:BQ30)</f>
        <v>0</v>
      </c>
      <c r="BR31" s="346" t="n">
        <f aca="false">SUM(BR24:BR30)</f>
        <v>0</v>
      </c>
      <c r="BS31" s="346" t="n">
        <f aca="false">SUM(BS24:BS30)</f>
        <v>0</v>
      </c>
      <c r="BT31" s="346" t="n">
        <f aca="false">SUM(BT24:BT30)</f>
        <v>0</v>
      </c>
      <c r="BU31" s="346" t="n">
        <f aca="false">SUM(BU24:BU30)</f>
        <v>0</v>
      </c>
      <c r="BV31" s="346" t="n">
        <f aca="false">SUM(BV24:BV30)</f>
        <v>0</v>
      </c>
      <c r="BW31" s="346" t="n">
        <f aca="false">SUM(BW24:BW30)</f>
        <v>0</v>
      </c>
      <c r="BX31" s="346" t="n">
        <f aca="false">SUM(BX24:BX30)</f>
        <v>0</v>
      </c>
      <c r="BY31" s="346" t="n">
        <f aca="false">SUM(BY24:BY30)</f>
        <v>0</v>
      </c>
      <c r="BZ31" s="346" t="n">
        <f aca="false">SUM(BZ24:BZ30)</f>
        <v>0</v>
      </c>
      <c r="CA31" s="346" t="n">
        <f aca="false">SUM(CA24:CA30)</f>
        <v>0</v>
      </c>
      <c r="CB31" s="346" t="n">
        <f aca="false">SUM(CB24:CB30)</f>
        <v>0</v>
      </c>
      <c r="CC31" s="346" t="n">
        <f aca="false">SUM(CC24:CC30)</f>
        <v>0</v>
      </c>
      <c r="CD31" s="346" t="n">
        <f aca="false">SUM(CD24:CD30)</f>
        <v>0</v>
      </c>
      <c r="CE31" s="346" t="n">
        <f aca="false">SUM(CE24:CE30)</f>
        <v>0</v>
      </c>
      <c r="CF31" s="346" t="n">
        <f aca="false">SUM(CF24:CF30)</f>
        <v>0</v>
      </c>
      <c r="CG31" s="346" t="n">
        <f aca="false">SUM(CG24:CG30)</f>
        <v>0</v>
      </c>
      <c r="CH31" s="346" t="n">
        <f aca="false">SUM(CH24:CH30)</f>
        <v>0</v>
      </c>
      <c r="CI31" s="346" t="n">
        <f aca="false">SUM(CI24:CI30)</f>
        <v>0</v>
      </c>
      <c r="CJ31" s="346" t="n">
        <f aca="false">SUM(CJ24:CJ30)</f>
        <v>0</v>
      </c>
      <c r="CK31" s="346" t="n">
        <f aca="false">SUM(CK24:CK30)</f>
        <v>0</v>
      </c>
      <c r="CL31" s="92"/>
      <c r="CN31" s="348"/>
    </row>
    <row r="32" s="299" customFormat="true" ht="11.25" hidden="false" customHeight="true" outlineLevel="0" collapsed="false">
      <c r="A32" s="40"/>
      <c r="B32" s="92"/>
      <c r="C32" s="51" t="str">
        <f aca="false">'Lead NA'!C120</f>
        <v>Sonstige Rückstellungen</v>
      </c>
      <c r="D32" s="51" t="str">
        <f aca="false">'Lead NA'!D120</f>
        <v>Other provisions</v>
      </c>
      <c r="E32" s="159" t="n">
        <f aca="false">'Lead NA'!E120</f>
        <v>0</v>
      </c>
      <c r="F32" s="159"/>
      <c r="G32" s="159"/>
      <c r="H32" s="159"/>
      <c r="I32" s="159"/>
      <c r="J32" s="159"/>
      <c r="K32" s="159"/>
      <c r="L32" s="159"/>
      <c r="M32" s="159"/>
      <c r="N32" s="159"/>
      <c r="O32" s="159"/>
      <c r="P32" s="159"/>
      <c r="Q32" s="159"/>
      <c r="R32" s="159"/>
      <c r="S32" s="159"/>
      <c r="T32" s="159"/>
      <c r="U32" s="159"/>
      <c r="V32" s="159"/>
      <c r="W32" s="159"/>
      <c r="X32" s="159"/>
      <c r="Y32" s="159"/>
      <c r="Z32" s="159"/>
      <c r="AA32" s="159"/>
      <c r="AB32" s="159"/>
      <c r="AC32" s="159"/>
      <c r="AD32" s="159"/>
      <c r="AE32" s="159"/>
      <c r="AF32" s="159"/>
      <c r="AG32" s="159"/>
      <c r="AH32" s="159"/>
      <c r="AI32" s="159"/>
      <c r="AJ32" s="159"/>
      <c r="AK32" s="159"/>
      <c r="AL32" s="159"/>
      <c r="AM32" s="159"/>
      <c r="AN32" s="159"/>
      <c r="AO32" s="159"/>
      <c r="AP32" s="159"/>
      <c r="AQ32" s="159"/>
      <c r="AR32" s="159"/>
      <c r="AS32" s="159"/>
      <c r="AT32" s="159"/>
      <c r="AU32" s="308"/>
      <c r="AV32" s="308"/>
      <c r="AW32" s="308"/>
      <c r="AX32" s="308"/>
      <c r="AY32" s="308"/>
      <c r="AZ32" s="308"/>
      <c r="BA32" s="308"/>
      <c r="BB32" s="308"/>
      <c r="BC32" s="308"/>
      <c r="BD32" s="308"/>
      <c r="BE32" s="308"/>
      <c r="BF32" s="308"/>
      <c r="BG32" s="308"/>
      <c r="BH32" s="308"/>
      <c r="BI32" s="308"/>
      <c r="BJ32" s="308"/>
      <c r="BK32" s="308"/>
      <c r="BL32" s="308"/>
      <c r="BM32" s="308"/>
      <c r="BN32" s="308"/>
      <c r="BO32" s="308"/>
      <c r="BP32" s="308"/>
      <c r="BQ32" s="308"/>
      <c r="BR32" s="308"/>
      <c r="BS32" s="308"/>
      <c r="BT32" s="308"/>
      <c r="BU32" s="308"/>
      <c r="BV32" s="308"/>
      <c r="BW32" s="308"/>
      <c r="BX32" s="308"/>
      <c r="BY32" s="308"/>
      <c r="BZ32" s="308"/>
      <c r="CA32" s="308"/>
      <c r="CB32" s="308"/>
      <c r="CC32" s="308"/>
      <c r="CD32" s="308"/>
      <c r="CE32" s="308"/>
      <c r="CF32" s="308"/>
      <c r="CG32" s="308"/>
      <c r="CH32" s="308"/>
      <c r="CI32" s="308"/>
      <c r="CJ32" s="308"/>
      <c r="CK32" s="308"/>
      <c r="CL32" s="92"/>
      <c r="CN32" s="105" t="s">
        <v>347</v>
      </c>
    </row>
    <row r="33" s="299" customFormat="true" ht="11.25" hidden="false" customHeight="true" outlineLevel="0" collapsed="false">
      <c r="A33" s="40"/>
      <c r="B33" s="92"/>
      <c r="C33" s="51" t="str">
        <f aca="false">'Lead NA'!C129</f>
        <v>Sonstige Verbindlichkeiten</v>
      </c>
      <c r="D33" s="51" t="str">
        <f aca="false">'Lead NA'!D129</f>
        <v>Other liabilities</v>
      </c>
      <c r="E33" s="159" t="n">
        <f aca="false">'Lead NA'!E129</f>
        <v>0</v>
      </c>
      <c r="F33" s="159"/>
      <c r="G33" s="159"/>
      <c r="H33" s="159"/>
      <c r="I33" s="159"/>
      <c r="J33" s="159"/>
      <c r="K33" s="159"/>
      <c r="L33" s="159"/>
      <c r="M33" s="159"/>
      <c r="N33" s="159"/>
      <c r="O33" s="159"/>
      <c r="P33" s="159"/>
      <c r="Q33" s="159"/>
      <c r="R33" s="159"/>
      <c r="S33" s="159"/>
      <c r="T33" s="159"/>
      <c r="U33" s="159"/>
      <c r="V33" s="159"/>
      <c r="W33" s="159"/>
      <c r="X33" s="159"/>
      <c r="Y33" s="159"/>
      <c r="Z33" s="159"/>
      <c r="AA33" s="159"/>
      <c r="AB33" s="159"/>
      <c r="AC33" s="159"/>
      <c r="AD33" s="159"/>
      <c r="AE33" s="159"/>
      <c r="AF33" s="159"/>
      <c r="AG33" s="159"/>
      <c r="AH33" s="159"/>
      <c r="AI33" s="159"/>
      <c r="AJ33" s="159"/>
      <c r="AK33" s="159"/>
      <c r="AL33" s="159"/>
      <c r="AM33" s="159"/>
      <c r="AN33" s="159"/>
      <c r="AO33" s="159"/>
      <c r="AP33" s="159"/>
      <c r="AQ33" s="159"/>
      <c r="AR33" s="159"/>
      <c r="AS33" s="159"/>
      <c r="AT33" s="159"/>
      <c r="AU33" s="308"/>
      <c r="AV33" s="308"/>
      <c r="AW33" s="308"/>
      <c r="AX33" s="308"/>
      <c r="AY33" s="308"/>
      <c r="AZ33" s="308"/>
      <c r="BA33" s="308"/>
      <c r="BB33" s="308"/>
      <c r="BC33" s="308"/>
      <c r="BD33" s="308"/>
      <c r="BE33" s="308"/>
      <c r="BF33" s="308"/>
      <c r="BG33" s="308"/>
      <c r="BH33" s="308"/>
      <c r="BI33" s="308"/>
      <c r="BJ33" s="308"/>
      <c r="BK33" s="308"/>
      <c r="BL33" s="308"/>
      <c r="BM33" s="308"/>
      <c r="BN33" s="308"/>
      <c r="BO33" s="308"/>
      <c r="BP33" s="308"/>
      <c r="BQ33" s="308"/>
      <c r="BR33" s="308"/>
      <c r="BS33" s="308"/>
      <c r="BT33" s="308"/>
      <c r="BU33" s="308"/>
      <c r="BV33" s="308"/>
      <c r="BW33" s="308"/>
      <c r="BX33" s="308"/>
      <c r="BY33" s="308"/>
      <c r="BZ33" s="308"/>
      <c r="CA33" s="308"/>
      <c r="CB33" s="308"/>
      <c r="CC33" s="308"/>
      <c r="CD33" s="308"/>
      <c r="CE33" s="308"/>
      <c r="CF33" s="308"/>
      <c r="CG33" s="308"/>
      <c r="CH33" s="308"/>
      <c r="CI33" s="308"/>
      <c r="CJ33" s="308"/>
      <c r="CK33" s="308"/>
      <c r="CL33" s="92"/>
      <c r="CN33" s="105" t="s">
        <v>349</v>
      </c>
    </row>
    <row r="34" s="299" customFormat="true" ht="11.25" hidden="false" customHeight="true" outlineLevel="0" collapsed="false">
      <c r="A34" s="40"/>
      <c r="B34" s="92"/>
      <c r="C34" s="51" t="str">
        <f aca="false">'Lead NA'!C138</f>
        <v>Steuerrückstellungen</v>
      </c>
      <c r="D34" s="51" t="str">
        <f aca="false">'Lead NA'!D138</f>
        <v>Tax provisions</v>
      </c>
      <c r="E34" s="159" t="n">
        <f aca="false">'Lead NA'!E138</f>
        <v>0</v>
      </c>
      <c r="F34" s="159"/>
      <c r="G34" s="159"/>
      <c r="H34" s="159"/>
      <c r="I34" s="159"/>
      <c r="J34" s="159"/>
      <c r="K34" s="159"/>
      <c r="L34" s="159"/>
      <c r="M34" s="159"/>
      <c r="N34" s="159"/>
      <c r="O34" s="159"/>
      <c r="P34" s="159"/>
      <c r="Q34" s="159"/>
      <c r="R34" s="159"/>
      <c r="S34" s="159"/>
      <c r="T34" s="159"/>
      <c r="U34" s="159"/>
      <c r="V34" s="159"/>
      <c r="W34" s="159"/>
      <c r="X34" s="159"/>
      <c r="Y34" s="159"/>
      <c r="Z34" s="159"/>
      <c r="AA34" s="159"/>
      <c r="AB34" s="159"/>
      <c r="AC34" s="159"/>
      <c r="AD34" s="159"/>
      <c r="AE34" s="159"/>
      <c r="AF34" s="159"/>
      <c r="AG34" s="159"/>
      <c r="AH34" s="159"/>
      <c r="AI34" s="159"/>
      <c r="AJ34" s="159"/>
      <c r="AK34" s="159"/>
      <c r="AL34" s="159"/>
      <c r="AM34" s="159"/>
      <c r="AN34" s="159"/>
      <c r="AO34" s="159"/>
      <c r="AP34" s="159"/>
      <c r="AQ34" s="159"/>
      <c r="AR34" s="159"/>
      <c r="AS34" s="159"/>
      <c r="AT34" s="159"/>
      <c r="AU34" s="308"/>
      <c r="AV34" s="308"/>
      <c r="AW34" s="308"/>
      <c r="AX34" s="308"/>
      <c r="AY34" s="308"/>
      <c r="AZ34" s="308"/>
      <c r="BA34" s="308"/>
      <c r="BB34" s="308"/>
      <c r="BC34" s="308"/>
      <c r="BD34" s="308"/>
      <c r="BE34" s="308"/>
      <c r="BF34" s="308"/>
      <c r="BG34" s="308"/>
      <c r="BH34" s="308"/>
      <c r="BI34" s="308"/>
      <c r="BJ34" s="308"/>
      <c r="BK34" s="308"/>
      <c r="BL34" s="308"/>
      <c r="BM34" s="308"/>
      <c r="BN34" s="308"/>
      <c r="BO34" s="308"/>
      <c r="BP34" s="308"/>
      <c r="BQ34" s="308"/>
      <c r="BR34" s="308"/>
      <c r="BS34" s="308"/>
      <c r="BT34" s="308"/>
      <c r="BU34" s="308"/>
      <c r="BV34" s="308"/>
      <c r="BW34" s="308"/>
      <c r="BX34" s="308"/>
      <c r="BY34" s="308"/>
      <c r="BZ34" s="308"/>
      <c r="CA34" s="308"/>
      <c r="CB34" s="308"/>
      <c r="CC34" s="308"/>
      <c r="CD34" s="308"/>
      <c r="CE34" s="308"/>
      <c r="CF34" s="308"/>
      <c r="CG34" s="308"/>
      <c r="CH34" s="308"/>
      <c r="CI34" s="308"/>
      <c r="CJ34" s="308"/>
      <c r="CK34" s="308"/>
      <c r="CL34" s="92"/>
      <c r="CN34" s="105" t="s">
        <v>351</v>
      </c>
    </row>
    <row r="35" s="299" customFormat="true" ht="11.25" hidden="false" customHeight="true" outlineLevel="2" collapsed="false">
      <c r="A35" s="40"/>
      <c r="B35" s="92"/>
      <c r="C35" s="51" t="str">
        <f aca="false">'Lead NA'!C147</f>
        <v>Verbindlichkeiten an verbundenen/beteiligten Unternehmen</v>
      </c>
      <c r="D35" s="51" t="str">
        <f aca="false">'Lead NA'!D147</f>
        <v>Liabilities to affiliated/ participating companies</v>
      </c>
      <c r="E35" s="159" t="n">
        <f aca="false">'Lead NA'!E147</f>
        <v>0</v>
      </c>
      <c r="F35" s="159"/>
      <c r="G35" s="159"/>
      <c r="H35" s="159"/>
      <c r="I35" s="159"/>
      <c r="J35" s="159"/>
      <c r="K35" s="159"/>
      <c r="L35" s="159"/>
      <c r="M35" s="159"/>
      <c r="N35" s="159"/>
      <c r="O35" s="159"/>
      <c r="P35" s="159"/>
      <c r="Q35" s="159"/>
      <c r="R35" s="159"/>
      <c r="S35" s="159"/>
      <c r="T35" s="159"/>
      <c r="U35" s="159"/>
      <c r="V35" s="159"/>
      <c r="W35" s="159"/>
      <c r="X35" s="159"/>
      <c r="Y35" s="159"/>
      <c r="Z35" s="159"/>
      <c r="AA35" s="159"/>
      <c r="AB35" s="159"/>
      <c r="AC35" s="159"/>
      <c r="AD35" s="159"/>
      <c r="AE35" s="159"/>
      <c r="AF35" s="159"/>
      <c r="AG35" s="159"/>
      <c r="AH35" s="159"/>
      <c r="AI35" s="159"/>
      <c r="AJ35" s="159"/>
      <c r="AK35" s="159"/>
      <c r="AL35" s="159"/>
      <c r="AM35" s="159"/>
      <c r="AN35" s="159"/>
      <c r="AO35" s="159"/>
      <c r="AP35" s="159"/>
      <c r="AQ35" s="159"/>
      <c r="AR35" s="159"/>
      <c r="AS35" s="159"/>
      <c r="AT35" s="159"/>
      <c r="AU35" s="308"/>
      <c r="AV35" s="308"/>
      <c r="AW35" s="308"/>
      <c r="AX35" s="308"/>
      <c r="AY35" s="308"/>
      <c r="AZ35" s="308"/>
      <c r="BA35" s="308"/>
      <c r="BB35" s="308"/>
      <c r="BC35" s="308"/>
      <c r="BD35" s="308"/>
      <c r="BE35" s="308"/>
      <c r="BF35" s="308"/>
      <c r="BG35" s="308"/>
      <c r="BH35" s="308"/>
      <c r="BI35" s="308"/>
      <c r="BJ35" s="308"/>
      <c r="BK35" s="308"/>
      <c r="BL35" s="308"/>
      <c r="BM35" s="308"/>
      <c r="BN35" s="308"/>
      <c r="BO35" s="308"/>
      <c r="BP35" s="308"/>
      <c r="BQ35" s="308"/>
      <c r="BR35" s="308"/>
      <c r="BS35" s="308"/>
      <c r="BT35" s="308"/>
      <c r="BU35" s="308"/>
      <c r="BV35" s="308"/>
      <c r="BW35" s="308"/>
      <c r="BX35" s="308"/>
      <c r="BY35" s="308"/>
      <c r="BZ35" s="308"/>
      <c r="CA35" s="308"/>
      <c r="CB35" s="308"/>
      <c r="CC35" s="308"/>
      <c r="CD35" s="308"/>
      <c r="CE35" s="308"/>
      <c r="CF35" s="308"/>
      <c r="CG35" s="308"/>
      <c r="CH35" s="308"/>
      <c r="CI35" s="308"/>
      <c r="CJ35" s="308"/>
      <c r="CK35" s="308"/>
      <c r="CL35" s="92"/>
      <c r="CN35" s="105" t="s">
        <v>353</v>
      </c>
    </row>
    <row r="36" s="299" customFormat="true" ht="11.25" hidden="false" customHeight="true" outlineLevel="2" collapsed="false">
      <c r="A36" s="40"/>
      <c r="B36" s="92"/>
      <c r="C36" s="51" t="str">
        <f aca="false">'Lead NA'!C156</f>
        <v>Verbindlichkeiten an Gesellschafter</v>
      </c>
      <c r="D36" s="51" t="str">
        <f aca="false">'Lead NA'!D156</f>
        <v>Liabilities to shareholders</v>
      </c>
      <c r="E36" s="159" t="n">
        <f aca="false">'Lead NA'!E156</f>
        <v>0</v>
      </c>
      <c r="F36" s="159"/>
      <c r="G36" s="159"/>
      <c r="H36" s="159"/>
      <c r="I36" s="159"/>
      <c r="J36" s="159"/>
      <c r="K36" s="159"/>
      <c r="L36" s="159"/>
      <c r="M36" s="159"/>
      <c r="N36" s="159"/>
      <c r="O36" s="159"/>
      <c r="P36" s="159"/>
      <c r="Q36" s="159"/>
      <c r="R36" s="159"/>
      <c r="S36" s="159"/>
      <c r="T36" s="159"/>
      <c r="U36" s="159"/>
      <c r="V36" s="159"/>
      <c r="W36" s="159"/>
      <c r="X36" s="159"/>
      <c r="Y36" s="159"/>
      <c r="Z36" s="159"/>
      <c r="AA36" s="159"/>
      <c r="AB36" s="159"/>
      <c r="AC36" s="159"/>
      <c r="AD36" s="159"/>
      <c r="AE36" s="159"/>
      <c r="AF36" s="159"/>
      <c r="AG36" s="159"/>
      <c r="AH36" s="159"/>
      <c r="AI36" s="159"/>
      <c r="AJ36" s="159"/>
      <c r="AK36" s="159"/>
      <c r="AL36" s="159"/>
      <c r="AM36" s="159"/>
      <c r="AN36" s="159"/>
      <c r="AO36" s="159"/>
      <c r="AP36" s="159"/>
      <c r="AQ36" s="159"/>
      <c r="AR36" s="159"/>
      <c r="AS36" s="159"/>
      <c r="AT36" s="159"/>
      <c r="AU36" s="308"/>
      <c r="AV36" s="308"/>
      <c r="AW36" s="308"/>
      <c r="AX36" s="308"/>
      <c r="AY36" s="308"/>
      <c r="AZ36" s="308"/>
      <c r="BA36" s="308"/>
      <c r="BB36" s="308"/>
      <c r="BC36" s="308"/>
      <c r="BD36" s="308"/>
      <c r="BE36" s="308"/>
      <c r="BF36" s="308"/>
      <c r="BG36" s="308"/>
      <c r="BH36" s="308"/>
      <c r="BI36" s="308"/>
      <c r="BJ36" s="308"/>
      <c r="BK36" s="308"/>
      <c r="BL36" s="308"/>
      <c r="BM36" s="308"/>
      <c r="BN36" s="308"/>
      <c r="BO36" s="308"/>
      <c r="BP36" s="308"/>
      <c r="BQ36" s="308"/>
      <c r="BR36" s="308"/>
      <c r="BS36" s="308"/>
      <c r="BT36" s="308"/>
      <c r="BU36" s="308"/>
      <c r="BV36" s="308"/>
      <c r="BW36" s="308"/>
      <c r="BX36" s="308"/>
      <c r="BY36" s="308"/>
      <c r="BZ36" s="308"/>
      <c r="CA36" s="308"/>
      <c r="CB36" s="308"/>
      <c r="CC36" s="308"/>
      <c r="CD36" s="308"/>
      <c r="CE36" s="308"/>
      <c r="CF36" s="308"/>
      <c r="CG36" s="308"/>
      <c r="CH36" s="308"/>
      <c r="CI36" s="308"/>
      <c r="CJ36" s="308"/>
      <c r="CK36" s="308"/>
      <c r="CL36" s="92"/>
      <c r="CN36" s="105" t="s">
        <v>355</v>
      </c>
    </row>
    <row r="37" s="299" customFormat="true" ht="11.25" hidden="false" customHeight="true" outlineLevel="2" collapsed="false">
      <c r="A37" s="40"/>
      <c r="B37" s="92"/>
      <c r="C37" s="51" t="str">
        <f aca="false">'Lead NA'!C165</f>
        <v>Passive Rechnungsabgrenzungsposten</v>
      </c>
      <c r="D37" s="51" t="str">
        <f aca="false">'Lead NA'!D165</f>
        <v>Deferred income</v>
      </c>
      <c r="E37" s="159" t="n">
        <f aca="false">'Lead NA'!E165</f>
        <v>0</v>
      </c>
      <c r="F37" s="159"/>
      <c r="G37" s="159"/>
      <c r="H37" s="159"/>
      <c r="I37" s="159"/>
      <c r="J37" s="159"/>
      <c r="K37" s="159"/>
      <c r="L37" s="159"/>
      <c r="M37" s="159"/>
      <c r="N37" s="159"/>
      <c r="O37" s="159"/>
      <c r="P37" s="159"/>
      <c r="Q37" s="159"/>
      <c r="R37" s="159"/>
      <c r="S37" s="159"/>
      <c r="T37" s="159"/>
      <c r="U37" s="159"/>
      <c r="V37" s="159"/>
      <c r="W37" s="159"/>
      <c r="X37" s="159"/>
      <c r="Y37" s="159"/>
      <c r="Z37" s="159"/>
      <c r="AA37" s="159"/>
      <c r="AB37" s="159"/>
      <c r="AC37" s="159"/>
      <c r="AD37" s="159"/>
      <c r="AE37" s="159"/>
      <c r="AF37" s="159"/>
      <c r="AG37" s="159"/>
      <c r="AH37" s="159"/>
      <c r="AI37" s="159"/>
      <c r="AJ37" s="159"/>
      <c r="AK37" s="159"/>
      <c r="AL37" s="159"/>
      <c r="AM37" s="159"/>
      <c r="AN37" s="159"/>
      <c r="AO37" s="159"/>
      <c r="AP37" s="159"/>
      <c r="AQ37" s="159"/>
      <c r="AR37" s="159"/>
      <c r="AS37" s="159"/>
      <c r="AT37" s="159"/>
      <c r="AU37" s="308"/>
      <c r="AV37" s="308"/>
      <c r="AW37" s="308"/>
      <c r="AX37" s="308"/>
      <c r="AY37" s="308"/>
      <c r="AZ37" s="308"/>
      <c r="BA37" s="308"/>
      <c r="BB37" s="308"/>
      <c r="BC37" s="308"/>
      <c r="BD37" s="308"/>
      <c r="BE37" s="308"/>
      <c r="BF37" s="308"/>
      <c r="BG37" s="308"/>
      <c r="BH37" s="308"/>
      <c r="BI37" s="308"/>
      <c r="BJ37" s="308"/>
      <c r="BK37" s="308"/>
      <c r="BL37" s="308"/>
      <c r="BM37" s="308"/>
      <c r="BN37" s="308"/>
      <c r="BO37" s="308"/>
      <c r="BP37" s="308"/>
      <c r="BQ37" s="308"/>
      <c r="BR37" s="308"/>
      <c r="BS37" s="308"/>
      <c r="BT37" s="308"/>
      <c r="BU37" s="308"/>
      <c r="BV37" s="308"/>
      <c r="BW37" s="308"/>
      <c r="BX37" s="308"/>
      <c r="BY37" s="308"/>
      <c r="BZ37" s="308"/>
      <c r="CA37" s="308"/>
      <c r="CB37" s="308"/>
      <c r="CC37" s="308"/>
      <c r="CD37" s="308"/>
      <c r="CE37" s="308"/>
      <c r="CF37" s="308"/>
      <c r="CG37" s="308"/>
      <c r="CH37" s="308"/>
      <c r="CI37" s="308"/>
      <c r="CJ37" s="308"/>
      <c r="CK37" s="308"/>
      <c r="CL37" s="92"/>
      <c r="CN37" s="105"/>
    </row>
    <row r="38" s="299" customFormat="true" ht="11.25" hidden="false" customHeight="true" outlineLevel="2" collapsed="false">
      <c r="A38" s="40"/>
      <c r="B38" s="92"/>
      <c r="C38" s="51" t="str">
        <f aca="false">'Lead NA'!C174</f>
        <v>Dummy 1</v>
      </c>
      <c r="D38" s="51" t="str">
        <f aca="false">'Lead NA'!D174</f>
        <v>Dummy 1</v>
      </c>
      <c r="E38" s="159" t="n">
        <f aca="false">'Lead NA'!E174</f>
        <v>0</v>
      </c>
      <c r="F38" s="159"/>
      <c r="G38" s="159"/>
      <c r="H38" s="159"/>
      <c r="I38" s="159"/>
      <c r="J38" s="159"/>
      <c r="K38" s="159"/>
      <c r="L38" s="159"/>
      <c r="M38" s="159"/>
      <c r="N38" s="159"/>
      <c r="O38" s="159"/>
      <c r="P38" s="159"/>
      <c r="Q38" s="159"/>
      <c r="R38" s="159"/>
      <c r="S38" s="159"/>
      <c r="T38" s="159"/>
      <c r="U38" s="159"/>
      <c r="V38" s="159"/>
      <c r="W38" s="159"/>
      <c r="X38" s="159"/>
      <c r="Y38" s="159"/>
      <c r="Z38" s="159"/>
      <c r="AA38" s="159"/>
      <c r="AB38" s="159"/>
      <c r="AC38" s="159"/>
      <c r="AD38" s="159"/>
      <c r="AE38" s="159"/>
      <c r="AF38" s="159"/>
      <c r="AG38" s="159"/>
      <c r="AH38" s="159"/>
      <c r="AI38" s="159"/>
      <c r="AJ38" s="159"/>
      <c r="AK38" s="159"/>
      <c r="AL38" s="159"/>
      <c r="AM38" s="159"/>
      <c r="AN38" s="159"/>
      <c r="AO38" s="159"/>
      <c r="AP38" s="159"/>
      <c r="AQ38" s="159"/>
      <c r="AR38" s="159"/>
      <c r="AS38" s="159"/>
      <c r="AT38" s="159"/>
      <c r="AU38" s="308"/>
      <c r="AV38" s="308"/>
      <c r="AW38" s="308"/>
      <c r="AX38" s="308"/>
      <c r="AY38" s="308"/>
      <c r="AZ38" s="308"/>
      <c r="BA38" s="308"/>
      <c r="BB38" s="308"/>
      <c r="BC38" s="308"/>
      <c r="BD38" s="308"/>
      <c r="BE38" s="308"/>
      <c r="BF38" s="308"/>
      <c r="BG38" s="308"/>
      <c r="BH38" s="308"/>
      <c r="BI38" s="308"/>
      <c r="BJ38" s="308"/>
      <c r="BK38" s="308"/>
      <c r="BL38" s="308"/>
      <c r="BM38" s="308"/>
      <c r="BN38" s="308"/>
      <c r="BO38" s="308"/>
      <c r="BP38" s="308"/>
      <c r="BQ38" s="308"/>
      <c r="BR38" s="308"/>
      <c r="BS38" s="308"/>
      <c r="BT38" s="308"/>
      <c r="BU38" s="308"/>
      <c r="BV38" s="308"/>
      <c r="BW38" s="308"/>
      <c r="BX38" s="308"/>
      <c r="BY38" s="308"/>
      <c r="BZ38" s="308"/>
      <c r="CA38" s="308"/>
      <c r="CB38" s="308"/>
      <c r="CC38" s="308"/>
      <c r="CD38" s="308"/>
      <c r="CE38" s="308"/>
      <c r="CF38" s="308"/>
      <c r="CG38" s="308"/>
      <c r="CH38" s="308"/>
      <c r="CI38" s="308"/>
      <c r="CJ38" s="308"/>
      <c r="CK38" s="308"/>
      <c r="CL38" s="92"/>
      <c r="CN38" s="105"/>
    </row>
    <row r="39" s="299" customFormat="true" ht="11.25" hidden="false" customHeight="true" outlineLevel="2" collapsed="false">
      <c r="A39" s="40"/>
      <c r="B39" s="92"/>
      <c r="C39" s="51" t="str">
        <f aca="false">'Lead NA'!C175</f>
        <v>Dummy 2</v>
      </c>
      <c r="D39" s="51" t="str">
        <f aca="false">'Lead NA'!D175</f>
        <v>Dummy 2</v>
      </c>
      <c r="E39" s="159" t="n">
        <f aca="false">'Lead NA'!E175</f>
        <v>0</v>
      </c>
      <c r="F39" s="159"/>
      <c r="G39" s="159"/>
      <c r="H39" s="159"/>
      <c r="I39" s="159"/>
      <c r="J39" s="159"/>
      <c r="K39" s="159"/>
      <c r="L39" s="159"/>
      <c r="M39" s="159"/>
      <c r="N39" s="159"/>
      <c r="O39" s="159"/>
      <c r="P39" s="159"/>
      <c r="Q39" s="159"/>
      <c r="R39" s="159"/>
      <c r="S39" s="159"/>
      <c r="T39" s="159"/>
      <c r="U39" s="159"/>
      <c r="V39" s="159"/>
      <c r="W39" s="159"/>
      <c r="X39" s="159"/>
      <c r="Y39" s="159"/>
      <c r="Z39" s="159"/>
      <c r="AA39" s="159"/>
      <c r="AB39" s="159"/>
      <c r="AC39" s="159"/>
      <c r="AD39" s="159"/>
      <c r="AE39" s="159"/>
      <c r="AF39" s="159"/>
      <c r="AG39" s="159"/>
      <c r="AH39" s="159"/>
      <c r="AI39" s="159"/>
      <c r="AJ39" s="159"/>
      <c r="AK39" s="159"/>
      <c r="AL39" s="159"/>
      <c r="AM39" s="159"/>
      <c r="AN39" s="159"/>
      <c r="AO39" s="159"/>
      <c r="AP39" s="159"/>
      <c r="AQ39" s="159"/>
      <c r="AR39" s="159"/>
      <c r="AS39" s="159"/>
      <c r="AT39" s="159"/>
      <c r="AU39" s="308"/>
      <c r="AV39" s="308"/>
      <c r="AW39" s="308"/>
      <c r="AX39" s="308"/>
      <c r="AY39" s="308"/>
      <c r="AZ39" s="308"/>
      <c r="BA39" s="308"/>
      <c r="BB39" s="308"/>
      <c r="BC39" s="308"/>
      <c r="BD39" s="308"/>
      <c r="BE39" s="308"/>
      <c r="BF39" s="308"/>
      <c r="BG39" s="308"/>
      <c r="BH39" s="308"/>
      <c r="BI39" s="308"/>
      <c r="BJ39" s="308"/>
      <c r="BK39" s="308"/>
      <c r="BL39" s="308"/>
      <c r="BM39" s="308"/>
      <c r="BN39" s="308"/>
      <c r="BO39" s="308"/>
      <c r="BP39" s="308"/>
      <c r="BQ39" s="308"/>
      <c r="BR39" s="308"/>
      <c r="BS39" s="308"/>
      <c r="BT39" s="308"/>
      <c r="BU39" s="308"/>
      <c r="BV39" s="308"/>
      <c r="BW39" s="308"/>
      <c r="BX39" s="308"/>
      <c r="BY39" s="308"/>
      <c r="BZ39" s="308"/>
      <c r="CA39" s="308"/>
      <c r="CB39" s="308"/>
      <c r="CC39" s="308"/>
      <c r="CD39" s="308"/>
      <c r="CE39" s="308"/>
      <c r="CF39" s="308"/>
      <c r="CG39" s="308"/>
      <c r="CH39" s="308"/>
      <c r="CI39" s="308"/>
      <c r="CJ39" s="308"/>
      <c r="CK39" s="308"/>
      <c r="CL39" s="92"/>
      <c r="CN39" s="105"/>
    </row>
    <row r="40" s="299" customFormat="true" ht="11.25" hidden="false" customHeight="true" outlineLevel="2" collapsed="false">
      <c r="A40" s="40"/>
      <c r="B40" s="92"/>
      <c r="C40" s="51" t="str">
        <f aca="false">'Lead NA'!C176</f>
        <v>Dummy 3</v>
      </c>
      <c r="D40" s="51" t="str">
        <f aca="false">'Lead NA'!D176</f>
        <v>Dummy 3</v>
      </c>
      <c r="E40" s="159" t="n">
        <f aca="false">'Lead NA'!E176</f>
        <v>0</v>
      </c>
      <c r="F40" s="159"/>
      <c r="G40" s="159"/>
      <c r="H40" s="159"/>
      <c r="I40" s="159"/>
      <c r="J40" s="159"/>
      <c r="K40" s="159"/>
      <c r="L40" s="159"/>
      <c r="M40" s="159"/>
      <c r="N40" s="159"/>
      <c r="O40" s="159"/>
      <c r="P40" s="159"/>
      <c r="Q40" s="159"/>
      <c r="R40" s="159"/>
      <c r="S40" s="159"/>
      <c r="T40" s="159"/>
      <c r="U40" s="159"/>
      <c r="V40" s="159"/>
      <c r="W40" s="159"/>
      <c r="X40" s="159"/>
      <c r="Y40" s="159"/>
      <c r="Z40" s="159"/>
      <c r="AA40" s="159"/>
      <c r="AB40" s="159"/>
      <c r="AC40" s="159"/>
      <c r="AD40" s="159"/>
      <c r="AE40" s="159"/>
      <c r="AF40" s="159"/>
      <c r="AG40" s="159"/>
      <c r="AH40" s="159"/>
      <c r="AI40" s="159"/>
      <c r="AJ40" s="159"/>
      <c r="AK40" s="159"/>
      <c r="AL40" s="159"/>
      <c r="AM40" s="159"/>
      <c r="AN40" s="159"/>
      <c r="AO40" s="159"/>
      <c r="AP40" s="159"/>
      <c r="AQ40" s="159"/>
      <c r="AR40" s="159"/>
      <c r="AS40" s="159"/>
      <c r="AT40" s="159"/>
      <c r="AU40" s="308"/>
      <c r="AV40" s="308"/>
      <c r="AW40" s="308"/>
      <c r="AX40" s="308"/>
      <c r="AY40" s="308"/>
      <c r="AZ40" s="308"/>
      <c r="BA40" s="308"/>
      <c r="BB40" s="308"/>
      <c r="BC40" s="308"/>
      <c r="BD40" s="308"/>
      <c r="BE40" s="308"/>
      <c r="BF40" s="308"/>
      <c r="BG40" s="308"/>
      <c r="BH40" s="308"/>
      <c r="BI40" s="308"/>
      <c r="BJ40" s="308"/>
      <c r="BK40" s="308"/>
      <c r="BL40" s="308"/>
      <c r="BM40" s="308"/>
      <c r="BN40" s="308"/>
      <c r="BO40" s="308"/>
      <c r="BP40" s="308"/>
      <c r="BQ40" s="308"/>
      <c r="BR40" s="308"/>
      <c r="BS40" s="308"/>
      <c r="BT40" s="308"/>
      <c r="BU40" s="308"/>
      <c r="BV40" s="308"/>
      <c r="BW40" s="308"/>
      <c r="BX40" s="308"/>
      <c r="BY40" s="308"/>
      <c r="BZ40" s="308"/>
      <c r="CA40" s="308"/>
      <c r="CB40" s="308"/>
      <c r="CC40" s="308"/>
      <c r="CD40" s="308"/>
      <c r="CE40" s="308"/>
      <c r="CF40" s="308"/>
      <c r="CG40" s="308"/>
      <c r="CH40" s="308"/>
      <c r="CI40" s="308"/>
      <c r="CJ40" s="308"/>
      <c r="CK40" s="308"/>
      <c r="CL40" s="92"/>
      <c r="CN40" s="105"/>
    </row>
    <row r="41" s="347" customFormat="true" ht="11.25" hidden="false" customHeight="true" outlineLevel="0" collapsed="false">
      <c r="A41" s="345"/>
      <c r="B41" s="92"/>
      <c r="C41" s="171" t="str">
        <f aca="false">'Lead NA'!C177</f>
        <v>Sonstige Passiva</v>
      </c>
      <c r="D41" s="171" t="str">
        <f aca="false">'Lead NA'!D177</f>
        <v>Other liabilities</v>
      </c>
      <c r="E41" s="172" t="n">
        <f aca="false">SUM(E32:E40)</f>
        <v>0</v>
      </c>
      <c r="F41" s="172" t="n">
        <f aca="false">SUM(F32:F40)</f>
        <v>0</v>
      </c>
      <c r="G41" s="172" t="n">
        <f aca="false">SUM(G32:G40)</f>
        <v>0</v>
      </c>
      <c r="H41" s="172" t="n">
        <f aca="false">SUM(H32:H40)</f>
        <v>0</v>
      </c>
      <c r="I41" s="172" t="n">
        <f aca="false">SUM(I32:I40)</f>
        <v>0</v>
      </c>
      <c r="J41" s="172" t="n">
        <f aca="false">SUM(J32:J40)</f>
        <v>0</v>
      </c>
      <c r="K41" s="172" t="n">
        <f aca="false">SUM(K32:K40)</f>
        <v>0</v>
      </c>
      <c r="L41" s="172" t="n">
        <f aca="false">SUM(L32:L40)</f>
        <v>0</v>
      </c>
      <c r="M41" s="172" t="n">
        <f aca="false">SUM(M32:M40)</f>
        <v>0</v>
      </c>
      <c r="N41" s="172" t="n">
        <f aca="false">SUM(N32:N40)</f>
        <v>0</v>
      </c>
      <c r="O41" s="172" t="n">
        <f aca="false">SUM(O32:O40)</f>
        <v>0</v>
      </c>
      <c r="P41" s="172" t="n">
        <f aca="false">SUM(P32:P40)</f>
        <v>0</v>
      </c>
      <c r="Q41" s="172" t="n">
        <f aca="false">SUM(Q32:Q40)</f>
        <v>0</v>
      </c>
      <c r="R41" s="172" t="n">
        <f aca="false">SUM(R32:R40)</f>
        <v>0</v>
      </c>
      <c r="S41" s="172" t="n">
        <f aca="false">SUM(S32:S40)</f>
        <v>0</v>
      </c>
      <c r="T41" s="172" t="n">
        <f aca="false">SUM(T32:T40)</f>
        <v>0</v>
      </c>
      <c r="U41" s="172" t="n">
        <f aca="false">SUM(U32:U40)</f>
        <v>0</v>
      </c>
      <c r="V41" s="172" t="n">
        <f aca="false">SUM(V32:V40)</f>
        <v>0</v>
      </c>
      <c r="W41" s="172" t="n">
        <f aca="false">SUM(W32:W40)</f>
        <v>0</v>
      </c>
      <c r="X41" s="172" t="n">
        <f aca="false">SUM(X32:X40)</f>
        <v>0</v>
      </c>
      <c r="Y41" s="172" t="n">
        <f aca="false">SUM(Y32:Y40)</f>
        <v>0</v>
      </c>
      <c r="Z41" s="172" t="n">
        <f aca="false">SUM(Z32:Z40)</f>
        <v>0</v>
      </c>
      <c r="AA41" s="172" t="n">
        <f aca="false">SUM(AA32:AA40)</f>
        <v>0</v>
      </c>
      <c r="AB41" s="172" t="n">
        <f aca="false">SUM(AB32:AB40)</f>
        <v>0</v>
      </c>
      <c r="AC41" s="172" t="n">
        <f aca="false">SUM(AC32:AC40)</f>
        <v>0</v>
      </c>
      <c r="AD41" s="172" t="n">
        <f aca="false">SUM(AD32:AD40)</f>
        <v>0</v>
      </c>
      <c r="AE41" s="172" t="n">
        <f aca="false">SUM(AE32:AE40)</f>
        <v>0</v>
      </c>
      <c r="AF41" s="172" t="n">
        <f aca="false">SUM(AF32:AF40)</f>
        <v>0</v>
      </c>
      <c r="AG41" s="172" t="n">
        <f aca="false">SUM(AG32:AG40)</f>
        <v>0</v>
      </c>
      <c r="AH41" s="172" t="n">
        <f aca="false">SUM(AH32:AH40)</f>
        <v>0</v>
      </c>
      <c r="AI41" s="172" t="n">
        <f aca="false">SUM(AI32:AI40)</f>
        <v>0</v>
      </c>
      <c r="AJ41" s="172" t="n">
        <f aca="false">SUM(AJ32:AJ40)</f>
        <v>0</v>
      </c>
      <c r="AK41" s="172" t="n">
        <f aca="false">SUM(AK32:AK40)</f>
        <v>0</v>
      </c>
      <c r="AL41" s="172" t="n">
        <f aca="false">SUM(AL32:AL40)</f>
        <v>0</v>
      </c>
      <c r="AM41" s="172" t="n">
        <f aca="false">SUM(AM32:AM40)</f>
        <v>0</v>
      </c>
      <c r="AN41" s="172" t="n">
        <f aca="false">SUM(AN32:AN40)</f>
        <v>0</v>
      </c>
      <c r="AO41" s="172" t="n">
        <f aca="false">SUM(AO32:AO40)</f>
        <v>0</v>
      </c>
      <c r="AP41" s="172" t="n">
        <f aca="false">SUM(AP32:AP40)</f>
        <v>0</v>
      </c>
      <c r="AQ41" s="172" t="n">
        <f aca="false">SUM(AQ32:AQ40)</f>
        <v>0</v>
      </c>
      <c r="AR41" s="172" t="n">
        <f aca="false">SUM(AR32:AR40)</f>
        <v>0</v>
      </c>
      <c r="AS41" s="172" t="n">
        <f aca="false">SUM(AS32:AS40)</f>
        <v>0</v>
      </c>
      <c r="AT41" s="172" t="n">
        <f aca="false">SUM(AT32:AT40)</f>
        <v>0</v>
      </c>
      <c r="AU41" s="349" t="n">
        <f aca="false">SUM(AU32:AU40)</f>
        <v>0</v>
      </c>
      <c r="AV41" s="349" t="n">
        <f aca="false">SUM(AV32:AV40)</f>
        <v>0</v>
      </c>
      <c r="AW41" s="349" t="n">
        <f aca="false">SUM(AW32:AW40)</f>
        <v>0</v>
      </c>
      <c r="AX41" s="349" t="n">
        <f aca="false">SUM(AX32:AX40)</f>
        <v>0</v>
      </c>
      <c r="AY41" s="349" t="n">
        <f aca="false">SUM(AY32:AY40)</f>
        <v>0</v>
      </c>
      <c r="AZ41" s="349" t="n">
        <f aca="false">SUM(AZ32:AZ40)</f>
        <v>0</v>
      </c>
      <c r="BA41" s="349" t="n">
        <f aca="false">SUM(BA32:BA40)</f>
        <v>0</v>
      </c>
      <c r="BB41" s="349" t="n">
        <f aca="false">SUM(BB32:BB40)</f>
        <v>0</v>
      </c>
      <c r="BC41" s="349" t="n">
        <f aca="false">SUM(BC32:BC40)</f>
        <v>0</v>
      </c>
      <c r="BD41" s="349" t="n">
        <f aca="false">SUM(BD32:BD40)</f>
        <v>0</v>
      </c>
      <c r="BE41" s="349" t="n">
        <f aca="false">SUM(BE32:BE40)</f>
        <v>0</v>
      </c>
      <c r="BF41" s="349" t="n">
        <f aca="false">SUM(BF32:BF40)</f>
        <v>0</v>
      </c>
      <c r="BG41" s="349" t="n">
        <f aca="false">SUM(BG32:BG40)</f>
        <v>0</v>
      </c>
      <c r="BH41" s="349" t="n">
        <f aca="false">SUM(BH32:BH40)</f>
        <v>0</v>
      </c>
      <c r="BI41" s="349" t="n">
        <f aca="false">SUM(BI32:BI40)</f>
        <v>0</v>
      </c>
      <c r="BJ41" s="349" t="n">
        <f aca="false">SUM(BJ32:BJ40)</f>
        <v>0</v>
      </c>
      <c r="BK41" s="349" t="n">
        <f aca="false">SUM(BK32:BK40)</f>
        <v>0</v>
      </c>
      <c r="BL41" s="349" t="n">
        <f aca="false">SUM(BL32:BL40)</f>
        <v>0</v>
      </c>
      <c r="BM41" s="349" t="n">
        <f aca="false">SUM(BM32:BM40)</f>
        <v>0</v>
      </c>
      <c r="BN41" s="349" t="n">
        <f aca="false">SUM(BN32:BN40)</f>
        <v>0</v>
      </c>
      <c r="BO41" s="349" t="n">
        <f aca="false">SUM(BO32:BO40)</f>
        <v>0</v>
      </c>
      <c r="BP41" s="349" t="n">
        <f aca="false">SUM(BP32:BP40)</f>
        <v>0</v>
      </c>
      <c r="BQ41" s="349" t="n">
        <f aca="false">SUM(BQ32:BQ40)</f>
        <v>0</v>
      </c>
      <c r="BR41" s="349" t="n">
        <f aca="false">SUM(BR32:BR40)</f>
        <v>0</v>
      </c>
      <c r="BS41" s="349" t="n">
        <f aca="false">SUM(BS32:BS40)</f>
        <v>0</v>
      </c>
      <c r="BT41" s="349" t="n">
        <f aca="false">SUM(BT32:BT40)</f>
        <v>0</v>
      </c>
      <c r="BU41" s="349" t="n">
        <f aca="false">SUM(BU32:BU40)</f>
        <v>0</v>
      </c>
      <c r="BV41" s="349" t="n">
        <f aca="false">SUM(BV32:BV40)</f>
        <v>0</v>
      </c>
      <c r="BW41" s="349" t="n">
        <f aca="false">SUM(BW32:BW40)</f>
        <v>0</v>
      </c>
      <c r="BX41" s="349" t="n">
        <f aca="false">SUM(BX32:BX40)</f>
        <v>0</v>
      </c>
      <c r="BY41" s="349" t="n">
        <f aca="false">SUM(BY32:BY40)</f>
        <v>0</v>
      </c>
      <c r="BZ41" s="349" t="n">
        <f aca="false">SUM(BZ32:BZ40)</f>
        <v>0</v>
      </c>
      <c r="CA41" s="349" t="n">
        <f aca="false">SUM(CA32:CA40)</f>
        <v>0</v>
      </c>
      <c r="CB41" s="349" t="n">
        <f aca="false">SUM(CB32:CB40)</f>
        <v>0</v>
      </c>
      <c r="CC41" s="349" t="n">
        <f aca="false">SUM(CC32:CC40)</f>
        <v>0</v>
      </c>
      <c r="CD41" s="349" t="n">
        <f aca="false">SUM(CD32:CD40)</f>
        <v>0</v>
      </c>
      <c r="CE41" s="349" t="n">
        <f aca="false">SUM(CE32:CE40)</f>
        <v>0</v>
      </c>
      <c r="CF41" s="349" t="n">
        <f aca="false">SUM(CF32:CF40)</f>
        <v>0</v>
      </c>
      <c r="CG41" s="349" t="n">
        <f aca="false">SUM(CG32:CG40)</f>
        <v>0</v>
      </c>
      <c r="CH41" s="349" t="n">
        <f aca="false">SUM(CH32:CH40)</f>
        <v>0</v>
      </c>
      <c r="CI41" s="349" t="n">
        <f aca="false">SUM(CI32:CI40)</f>
        <v>0</v>
      </c>
      <c r="CJ41" s="349" t="n">
        <f aca="false">SUM(CJ32:CJ40)</f>
        <v>0</v>
      </c>
      <c r="CK41" s="349" t="n">
        <f aca="false">SUM(CK32:CK40)</f>
        <v>0</v>
      </c>
      <c r="CL41" s="92"/>
    </row>
    <row r="42" s="299" customFormat="true" ht="11.25" hidden="false" customHeight="true" outlineLevel="0" collapsed="false">
      <c r="A42" s="40"/>
      <c r="B42" s="92"/>
      <c r="C42" s="181" t="str">
        <f aca="false">'Lead NA'!C178</f>
        <v>Other Working Capital</v>
      </c>
      <c r="D42" s="181" t="str">
        <f aca="false">'Lead NA'!D178</f>
        <v>Other working capital</v>
      </c>
      <c r="E42" s="175" t="n">
        <f aca="false">E41+E31</f>
        <v>0</v>
      </c>
      <c r="F42" s="175" t="n">
        <f aca="false">F41+F31</f>
        <v>0</v>
      </c>
      <c r="G42" s="175" t="n">
        <f aca="false">G41+G31</f>
        <v>0</v>
      </c>
      <c r="H42" s="175" t="n">
        <f aca="false">H41+H31</f>
        <v>0</v>
      </c>
      <c r="I42" s="175" t="n">
        <f aca="false">I41+I31</f>
        <v>0</v>
      </c>
      <c r="J42" s="175" t="n">
        <f aca="false">J41+J31</f>
        <v>0</v>
      </c>
      <c r="K42" s="175" t="n">
        <f aca="false">K41+K31</f>
        <v>0</v>
      </c>
      <c r="L42" s="175" t="n">
        <f aca="false">L41+L31</f>
        <v>0</v>
      </c>
      <c r="M42" s="175" t="n">
        <f aca="false">M41+M31</f>
        <v>0</v>
      </c>
      <c r="N42" s="175" t="n">
        <f aca="false">N41+N31</f>
        <v>0</v>
      </c>
      <c r="O42" s="175" t="n">
        <f aca="false">O41+O31</f>
        <v>0</v>
      </c>
      <c r="P42" s="175" t="n">
        <f aca="false">P41+P31</f>
        <v>0</v>
      </c>
      <c r="Q42" s="175" t="n">
        <f aca="false">Q41+Q31</f>
        <v>0</v>
      </c>
      <c r="R42" s="175" t="n">
        <f aca="false">R41+R31</f>
        <v>0</v>
      </c>
      <c r="S42" s="175" t="n">
        <f aca="false">S41+S31</f>
        <v>0</v>
      </c>
      <c r="T42" s="175" t="n">
        <f aca="false">T41+T31</f>
        <v>0</v>
      </c>
      <c r="U42" s="175" t="n">
        <f aca="false">U41+U31</f>
        <v>0</v>
      </c>
      <c r="V42" s="175" t="n">
        <f aca="false">V41+V31</f>
        <v>0</v>
      </c>
      <c r="W42" s="175" t="n">
        <f aca="false">W41+W31</f>
        <v>0</v>
      </c>
      <c r="X42" s="175" t="n">
        <f aca="false">X41+X31</f>
        <v>0</v>
      </c>
      <c r="Y42" s="175" t="n">
        <f aca="false">Y41+Y31</f>
        <v>0</v>
      </c>
      <c r="Z42" s="175" t="n">
        <f aca="false">Z41+Z31</f>
        <v>0</v>
      </c>
      <c r="AA42" s="175" t="n">
        <f aca="false">AA41+AA31</f>
        <v>0</v>
      </c>
      <c r="AB42" s="175" t="n">
        <f aca="false">AB41+AB31</f>
        <v>0</v>
      </c>
      <c r="AC42" s="175" t="n">
        <f aca="false">AC41+AC31</f>
        <v>0</v>
      </c>
      <c r="AD42" s="175" t="n">
        <f aca="false">AD41+AD31</f>
        <v>0</v>
      </c>
      <c r="AE42" s="175" t="n">
        <f aca="false">AE41+AE31</f>
        <v>0</v>
      </c>
      <c r="AF42" s="175" t="n">
        <f aca="false">AF41+AF31</f>
        <v>0</v>
      </c>
      <c r="AG42" s="175" t="n">
        <f aca="false">AG41+AG31</f>
        <v>0</v>
      </c>
      <c r="AH42" s="175" t="n">
        <f aca="false">AH41+AH31</f>
        <v>0</v>
      </c>
      <c r="AI42" s="175" t="n">
        <f aca="false">AI41+AI31</f>
        <v>0</v>
      </c>
      <c r="AJ42" s="175" t="n">
        <f aca="false">AJ41+AJ31</f>
        <v>0</v>
      </c>
      <c r="AK42" s="175" t="n">
        <f aca="false">AK41+AK31</f>
        <v>0</v>
      </c>
      <c r="AL42" s="175" t="n">
        <f aca="false">AL41+AL31</f>
        <v>0</v>
      </c>
      <c r="AM42" s="175" t="n">
        <f aca="false">AM41+AM31</f>
        <v>0</v>
      </c>
      <c r="AN42" s="175" t="n">
        <f aca="false">AN41+AN31</f>
        <v>0</v>
      </c>
      <c r="AO42" s="175" t="n">
        <f aca="false">AO41+AO31</f>
        <v>0</v>
      </c>
      <c r="AP42" s="175" t="n">
        <f aca="false">AP41+AP31</f>
        <v>0</v>
      </c>
      <c r="AQ42" s="175" t="n">
        <f aca="false">AQ41+AQ31</f>
        <v>0</v>
      </c>
      <c r="AR42" s="175" t="n">
        <f aca="false">AR41+AR31</f>
        <v>0</v>
      </c>
      <c r="AS42" s="175" t="n">
        <f aca="false">AS41+AS31</f>
        <v>0</v>
      </c>
      <c r="AT42" s="175" t="n">
        <f aca="false">AT41+AT31</f>
        <v>0</v>
      </c>
      <c r="AU42" s="350" t="n">
        <f aca="false">AU41+AU31</f>
        <v>0</v>
      </c>
      <c r="AV42" s="350" t="n">
        <f aca="false">AV41+AV31</f>
        <v>0</v>
      </c>
      <c r="AW42" s="350" t="n">
        <f aca="false">AW41+AW31</f>
        <v>0</v>
      </c>
      <c r="AX42" s="350" t="n">
        <f aca="false">AX41+AX31</f>
        <v>0</v>
      </c>
      <c r="AY42" s="350" t="n">
        <f aca="false">AY41+AY31</f>
        <v>0</v>
      </c>
      <c r="AZ42" s="350" t="n">
        <f aca="false">AZ41+AZ31</f>
        <v>0</v>
      </c>
      <c r="BA42" s="350" t="n">
        <f aca="false">BA41+BA31</f>
        <v>0</v>
      </c>
      <c r="BB42" s="350" t="n">
        <f aca="false">BB41+BB31</f>
        <v>0</v>
      </c>
      <c r="BC42" s="350" t="n">
        <f aca="false">BC41+BC31</f>
        <v>0</v>
      </c>
      <c r="BD42" s="350" t="n">
        <f aca="false">BD41+BD31</f>
        <v>0</v>
      </c>
      <c r="BE42" s="350" t="n">
        <f aca="false">BE41+BE31</f>
        <v>0</v>
      </c>
      <c r="BF42" s="350" t="n">
        <f aca="false">BF41+BF31</f>
        <v>0</v>
      </c>
      <c r="BG42" s="350" t="n">
        <f aca="false">BG41+BG31</f>
        <v>0</v>
      </c>
      <c r="BH42" s="350" t="n">
        <f aca="false">BH41+BH31</f>
        <v>0</v>
      </c>
      <c r="BI42" s="350" t="n">
        <f aca="false">BI41+BI31</f>
        <v>0</v>
      </c>
      <c r="BJ42" s="350" t="n">
        <f aca="false">BJ41+BJ31</f>
        <v>0</v>
      </c>
      <c r="BK42" s="350" t="n">
        <f aca="false">BK41+BK31</f>
        <v>0</v>
      </c>
      <c r="BL42" s="350" t="n">
        <f aca="false">BL41+BL31</f>
        <v>0</v>
      </c>
      <c r="BM42" s="350" t="n">
        <f aca="false">BM41+BM31</f>
        <v>0</v>
      </c>
      <c r="BN42" s="350" t="n">
        <f aca="false">BN41+BN31</f>
        <v>0</v>
      </c>
      <c r="BO42" s="350" t="n">
        <f aca="false">BO41+BO31</f>
        <v>0</v>
      </c>
      <c r="BP42" s="350" t="n">
        <f aca="false">BP41+BP31</f>
        <v>0</v>
      </c>
      <c r="BQ42" s="350" t="n">
        <f aca="false">BQ41+BQ31</f>
        <v>0</v>
      </c>
      <c r="BR42" s="350" t="n">
        <f aca="false">BR41+BR31</f>
        <v>0</v>
      </c>
      <c r="BS42" s="350" t="n">
        <f aca="false">BS41+BS31</f>
        <v>0</v>
      </c>
      <c r="BT42" s="350" t="n">
        <f aca="false">BT41+BT31</f>
        <v>0</v>
      </c>
      <c r="BU42" s="350" t="n">
        <f aca="false">BU41+BU31</f>
        <v>0</v>
      </c>
      <c r="BV42" s="350" t="n">
        <f aca="false">BV41+BV31</f>
        <v>0</v>
      </c>
      <c r="BW42" s="350" t="n">
        <f aca="false">BW41+BW31</f>
        <v>0</v>
      </c>
      <c r="BX42" s="350" t="n">
        <f aca="false">BX41+BX31</f>
        <v>0</v>
      </c>
      <c r="BY42" s="350" t="n">
        <f aca="false">BY41+BY31</f>
        <v>0</v>
      </c>
      <c r="BZ42" s="350" t="n">
        <f aca="false">BZ41+BZ31</f>
        <v>0</v>
      </c>
      <c r="CA42" s="350" t="n">
        <f aca="false">CA41+CA31</f>
        <v>0</v>
      </c>
      <c r="CB42" s="350" t="n">
        <f aca="false">CB41+CB31</f>
        <v>0</v>
      </c>
      <c r="CC42" s="350" t="n">
        <f aca="false">CC41+CC31</f>
        <v>0</v>
      </c>
      <c r="CD42" s="350" t="n">
        <f aca="false">CD41+CD31</f>
        <v>0</v>
      </c>
      <c r="CE42" s="350" t="n">
        <f aca="false">CE41+CE31</f>
        <v>0</v>
      </c>
      <c r="CF42" s="350" t="n">
        <f aca="false">CF41+CF31</f>
        <v>0</v>
      </c>
      <c r="CG42" s="350" t="n">
        <f aca="false">CG41+CG31</f>
        <v>0</v>
      </c>
      <c r="CH42" s="350" t="n">
        <f aca="false">CH41+CH31</f>
        <v>0</v>
      </c>
      <c r="CI42" s="350" t="n">
        <f aca="false">CI41+CI31</f>
        <v>0</v>
      </c>
      <c r="CJ42" s="350" t="n">
        <f aca="false">CJ41+CJ31</f>
        <v>0</v>
      </c>
      <c r="CK42" s="350" t="n">
        <f aca="false">CK41+CK31</f>
        <v>0</v>
      </c>
      <c r="CL42" s="92"/>
    </row>
    <row r="43" s="299" customFormat="true" ht="11.25" hidden="false" customHeight="true" outlineLevel="0" collapsed="false">
      <c r="A43" s="40"/>
      <c r="B43" s="92"/>
      <c r="C43" s="132" t="str">
        <f aca="false">'Lead NA'!C179</f>
        <v>Net Working Capital</v>
      </c>
      <c r="D43" s="132" t="str">
        <f aca="false">'Lead NA'!D179</f>
        <v>Net working capital</v>
      </c>
      <c r="E43" s="178" t="n">
        <f aca="false">E42+E23</f>
        <v>0</v>
      </c>
      <c r="F43" s="178" t="n">
        <f aca="false">F42+F23</f>
        <v>0</v>
      </c>
      <c r="G43" s="178" t="n">
        <f aca="false">G42+G23</f>
        <v>0</v>
      </c>
      <c r="H43" s="178" t="n">
        <f aca="false">H42+H23</f>
        <v>0</v>
      </c>
      <c r="I43" s="178" t="n">
        <f aca="false">I42+I23</f>
        <v>0</v>
      </c>
      <c r="J43" s="178" t="n">
        <f aca="false">J42+J23</f>
        <v>0</v>
      </c>
      <c r="K43" s="178" t="n">
        <f aca="false">K42+K23</f>
        <v>0</v>
      </c>
      <c r="L43" s="178" t="n">
        <f aca="false">L42+L23</f>
        <v>0</v>
      </c>
      <c r="M43" s="178" t="n">
        <f aca="false">M42+M23</f>
        <v>0</v>
      </c>
      <c r="N43" s="178" t="n">
        <f aca="false">N42+N23</f>
        <v>0</v>
      </c>
      <c r="O43" s="178" t="n">
        <f aca="false">O42+O23</f>
        <v>0</v>
      </c>
      <c r="P43" s="178" t="n">
        <f aca="false">P42+P23</f>
        <v>0</v>
      </c>
      <c r="Q43" s="178" t="n">
        <f aca="false">Q42+Q23</f>
        <v>0</v>
      </c>
      <c r="R43" s="178" t="n">
        <f aca="false">R42+R23</f>
        <v>0</v>
      </c>
      <c r="S43" s="178" t="n">
        <f aca="false">S42+S23</f>
        <v>0</v>
      </c>
      <c r="T43" s="178" t="n">
        <f aca="false">T42+T23</f>
        <v>0</v>
      </c>
      <c r="U43" s="178" t="n">
        <f aca="false">U42+U23</f>
        <v>0</v>
      </c>
      <c r="V43" s="178" t="n">
        <f aca="false">V42+V23</f>
        <v>0</v>
      </c>
      <c r="W43" s="178" t="n">
        <f aca="false">W42+W23</f>
        <v>0</v>
      </c>
      <c r="X43" s="178" t="n">
        <f aca="false">X42+X23</f>
        <v>0</v>
      </c>
      <c r="Y43" s="178" t="n">
        <f aca="false">Y42+Y23</f>
        <v>0</v>
      </c>
      <c r="Z43" s="178" t="n">
        <f aca="false">Z42+Z23</f>
        <v>0</v>
      </c>
      <c r="AA43" s="178" t="n">
        <f aca="false">AA42+AA23</f>
        <v>0</v>
      </c>
      <c r="AB43" s="178" t="n">
        <f aca="false">AB42+AB23</f>
        <v>0</v>
      </c>
      <c r="AC43" s="178" t="n">
        <f aca="false">AC42+AC23</f>
        <v>0</v>
      </c>
      <c r="AD43" s="178" t="n">
        <f aca="false">AD42+AD23</f>
        <v>0</v>
      </c>
      <c r="AE43" s="178" t="n">
        <f aca="false">AE42+AE23</f>
        <v>0</v>
      </c>
      <c r="AF43" s="178" t="n">
        <f aca="false">AF42+AF23</f>
        <v>0</v>
      </c>
      <c r="AG43" s="178" t="n">
        <f aca="false">AG42+AG23</f>
        <v>0</v>
      </c>
      <c r="AH43" s="178" t="n">
        <f aca="false">AH42+AH23</f>
        <v>0</v>
      </c>
      <c r="AI43" s="178" t="n">
        <f aca="false">AI42+AI23</f>
        <v>0</v>
      </c>
      <c r="AJ43" s="178" t="n">
        <f aca="false">AJ42+AJ23</f>
        <v>0</v>
      </c>
      <c r="AK43" s="178" t="n">
        <f aca="false">AK42+AK23</f>
        <v>0</v>
      </c>
      <c r="AL43" s="178" t="n">
        <f aca="false">AL42+AL23</f>
        <v>0</v>
      </c>
      <c r="AM43" s="178" t="n">
        <f aca="false">AM42+AM23</f>
        <v>0</v>
      </c>
      <c r="AN43" s="178" t="n">
        <f aca="false">AN42+AN23</f>
        <v>0</v>
      </c>
      <c r="AO43" s="178" t="n">
        <f aca="false">AO42+AO23</f>
        <v>0</v>
      </c>
      <c r="AP43" s="178" t="n">
        <f aca="false">AP42+AP23</f>
        <v>0</v>
      </c>
      <c r="AQ43" s="178" t="n">
        <f aca="false">AQ42+AQ23</f>
        <v>0</v>
      </c>
      <c r="AR43" s="178" t="n">
        <f aca="false">AR42+AR23</f>
        <v>0</v>
      </c>
      <c r="AS43" s="178" t="n">
        <f aca="false">AS42+AS23</f>
        <v>0</v>
      </c>
      <c r="AT43" s="178" t="n">
        <f aca="false">AT42+AT23</f>
        <v>0</v>
      </c>
      <c r="AU43" s="351" t="n">
        <f aca="false">AU42+AU23</f>
        <v>0</v>
      </c>
      <c r="AV43" s="351" t="n">
        <f aca="false">AV42+AV23</f>
        <v>0</v>
      </c>
      <c r="AW43" s="351" t="n">
        <f aca="false">AW42+AW23</f>
        <v>0</v>
      </c>
      <c r="AX43" s="351" t="n">
        <f aca="false">AX42+AX23</f>
        <v>0</v>
      </c>
      <c r="AY43" s="351" t="n">
        <f aca="false">AY42+AY23</f>
        <v>0</v>
      </c>
      <c r="AZ43" s="351" t="n">
        <f aca="false">AZ42+AZ23</f>
        <v>0</v>
      </c>
      <c r="BA43" s="351" t="n">
        <f aca="false">BA42+BA23</f>
        <v>0</v>
      </c>
      <c r="BB43" s="351" t="n">
        <f aca="false">BB42+BB23</f>
        <v>0</v>
      </c>
      <c r="BC43" s="351" t="n">
        <f aca="false">BC42+BC23</f>
        <v>0</v>
      </c>
      <c r="BD43" s="351" t="n">
        <f aca="false">BD42+BD23</f>
        <v>0</v>
      </c>
      <c r="BE43" s="351" t="n">
        <f aca="false">BE42+BE23</f>
        <v>0</v>
      </c>
      <c r="BF43" s="351" t="n">
        <f aca="false">BF42+BF23</f>
        <v>0</v>
      </c>
      <c r="BG43" s="351" t="n">
        <f aca="false">BG42+BG23</f>
        <v>0</v>
      </c>
      <c r="BH43" s="351" t="n">
        <f aca="false">BH42+BH23</f>
        <v>0</v>
      </c>
      <c r="BI43" s="351" t="n">
        <f aca="false">BI42+BI23</f>
        <v>0</v>
      </c>
      <c r="BJ43" s="351" t="n">
        <f aca="false">BJ42+BJ23</f>
        <v>0</v>
      </c>
      <c r="BK43" s="351" t="n">
        <f aca="false">BK42+BK23</f>
        <v>0</v>
      </c>
      <c r="BL43" s="351" t="n">
        <f aca="false">BL42+BL23</f>
        <v>0</v>
      </c>
      <c r="BM43" s="351" t="n">
        <f aca="false">BM42+BM23</f>
        <v>0</v>
      </c>
      <c r="BN43" s="351" t="n">
        <f aca="false">BN42+BN23</f>
        <v>0</v>
      </c>
      <c r="BO43" s="351" t="n">
        <f aca="false">BO42+BO23</f>
        <v>0</v>
      </c>
      <c r="BP43" s="351" t="n">
        <f aca="false">BP42+BP23</f>
        <v>0</v>
      </c>
      <c r="BQ43" s="351" t="n">
        <f aca="false">BQ42+BQ23</f>
        <v>0</v>
      </c>
      <c r="BR43" s="351" t="n">
        <f aca="false">BR42+BR23</f>
        <v>0</v>
      </c>
      <c r="BS43" s="351" t="n">
        <f aca="false">BS42+BS23</f>
        <v>0</v>
      </c>
      <c r="BT43" s="351" t="n">
        <f aca="false">BT42+BT23</f>
        <v>0</v>
      </c>
      <c r="BU43" s="351" t="n">
        <f aca="false">BU42+BU23</f>
        <v>0</v>
      </c>
      <c r="BV43" s="351" t="n">
        <f aca="false">BV42+BV23</f>
        <v>0</v>
      </c>
      <c r="BW43" s="351" t="n">
        <f aca="false">BW42+BW23</f>
        <v>0</v>
      </c>
      <c r="BX43" s="351" t="n">
        <f aca="false">BX42+BX23</f>
        <v>0</v>
      </c>
      <c r="BY43" s="351" t="n">
        <f aca="false">BY42+BY23</f>
        <v>0</v>
      </c>
      <c r="BZ43" s="351" t="n">
        <f aca="false">BZ42+BZ23</f>
        <v>0</v>
      </c>
      <c r="CA43" s="351" t="n">
        <f aca="false">CA42+CA23</f>
        <v>0</v>
      </c>
      <c r="CB43" s="351" t="n">
        <f aca="false">CB42+CB23</f>
        <v>0</v>
      </c>
      <c r="CC43" s="351" t="n">
        <f aca="false">CC42+CC23</f>
        <v>0</v>
      </c>
      <c r="CD43" s="351" t="n">
        <f aca="false">CD42+CD23</f>
        <v>0</v>
      </c>
      <c r="CE43" s="351" t="n">
        <f aca="false">CE42+CE23</f>
        <v>0</v>
      </c>
      <c r="CF43" s="351" t="n">
        <f aca="false">CF42+CF23</f>
        <v>0</v>
      </c>
      <c r="CG43" s="351" t="n">
        <f aca="false">CG42+CG23</f>
        <v>0</v>
      </c>
      <c r="CH43" s="351" t="n">
        <f aca="false">CH42+CH23</f>
        <v>0</v>
      </c>
      <c r="CI43" s="351" t="n">
        <f aca="false">CI42+CI23</f>
        <v>0</v>
      </c>
      <c r="CJ43" s="351" t="n">
        <f aca="false">CJ42+CJ23</f>
        <v>0</v>
      </c>
      <c r="CK43" s="351" t="n">
        <f aca="false">CK42+CK23</f>
        <v>0</v>
      </c>
      <c r="CL43" s="92"/>
    </row>
    <row r="44" s="299" customFormat="true" ht="11.25" hidden="false" customHeight="true" outlineLevel="0" collapsed="false">
      <c r="A44" s="40"/>
      <c r="B44" s="92"/>
      <c r="C44" s="51" t="str">
        <f aca="false">'Lead NA'!C180</f>
        <v>Liquide Mittel</v>
      </c>
      <c r="D44" s="51" t="str">
        <f aca="false">'Lead NA'!D180</f>
        <v>Cash</v>
      </c>
      <c r="E44" s="159" t="n">
        <f aca="false">'Lead NA'!E180</f>
        <v>0</v>
      </c>
      <c r="F44" s="159"/>
      <c r="G44" s="159"/>
      <c r="H44" s="159"/>
      <c r="I44" s="159"/>
      <c r="J44" s="159"/>
      <c r="K44" s="159"/>
      <c r="L44" s="159"/>
      <c r="M44" s="159"/>
      <c r="N44" s="159"/>
      <c r="O44" s="159"/>
      <c r="P44" s="159"/>
      <c r="Q44" s="159"/>
      <c r="R44" s="159"/>
      <c r="S44" s="159"/>
      <c r="T44" s="159"/>
      <c r="U44" s="159"/>
      <c r="V44" s="159"/>
      <c r="W44" s="159"/>
      <c r="X44" s="159"/>
      <c r="Y44" s="159"/>
      <c r="Z44" s="159"/>
      <c r="AA44" s="159"/>
      <c r="AB44" s="159"/>
      <c r="AC44" s="159"/>
      <c r="AD44" s="159"/>
      <c r="AE44" s="159"/>
      <c r="AF44" s="159"/>
      <c r="AG44" s="159"/>
      <c r="AH44" s="159"/>
      <c r="AI44" s="159"/>
      <c r="AJ44" s="159"/>
      <c r="AK44" s="159"/>
      <c r="AL44" s="159"/>
      <c r="AM44" s="159"/>
      <c r="AN44" s="159"/>
      <c r="AO44" s="159"/>
      <c r="AP44" s="159"/>
      <c r="AQ44" s="159"/>
      <c r="AR44" s="159"/>
      <c r="AS44" s="159"/>
      <c r="AT44" s="159"/>
      <c r="AU44" s="308"/>
      <c r="AV44" s="308"/>
      <c r="AW44" s="308"/>
      <c r="AX44" s="308"/>
      <c r="AY44" s="308"/>
      <c r="AZ44" s="308"/>
      <c r="BA44" s="308"/>
      <c r="BB44" s="308"/>
      <c r="BC44" s="308"/>
      <c r="BD44" s="308"/>
      <c r="BE44" s="308"/>
      <c r="BF44" s="308"/>
      <c r="BG44" s="308"/>
      <c r="BH44" s="308"/>
      <c r="BI44" s="308"/>
      <c r="BJ44" s="308"/>
      <c r="BK44" s="308"/>
      <c r="BL44" s="308"/>
      <c r="BM44" s="308"/>
      <c r="BN44" s="308"/>
      <c r="BO44" s="308"/>
      <c r="BP44" s="308"/>
      <c r="BQ44" s="308"/>
      <c r="BR44" s="308"/>
      <c r="BS44" s="308"/>
      <c r="BT44" s="308"/>
      <c r="BU44" s="308"/>
      <c r="BV44" s="308"/>
      <c r="BW44" s="308"/>
      <c r="BX44" s="308"/>
      <c r="BY44" s="308"/>
      <c r="BZ44" s="308"/>
      <c r="CA44" s="308"/>
      <c r="CB44" s="308"/>
      <c r="CC44" s="308"/>
      <c r="CD44" s="308"/>
      <c r="CE44" s="308"/>
      <c r="CF44" s="308"/>
      <c r="CG44" s="308"/>
      <c r="CH44" s="308"/>
      <c r="CI44" s="308"/>
      <c r="CJ44" s="308"/>
      <c r="CK44" s="308"/>
      <c r="CL44" s="92"/>
      <c r="CN44" s="105" t="s">
        <v>361</v>
      </c>
    </row>
    <row r="45" s="299" customFormat="true" ht="11.25" hidden="false" customHeight="true" outlineLevel="0" collapsed="false">
      <c r="A45" s="40"/>
      <c r="B45" s="92"/>
      <c r="C45" s="51" t="str">
        <f aca="false">'Lead NA'!C189</f>
        <v>Verbindlichkeiten ggü.Kreditinstituten</v>
      </c>
      <c r="D45" s="51" t="str">
        <f aca="false">'Lead NA'!D189</f>
        <v>Liabilities to banks</v>
      </c>
      <c r="E45" s="159" t="n">
        <f aca="false">'Lead NA'!E189</f>
        <v>0</v>
      </c>
      <c r="F45" s="159"/>
      <c r="G45" s="159"/>
      <c r="H45" s="159"/>
      <c r="I45" s="159"/>
      <c r="J45" s="159"/>
      <c r="K45" s="159"/>
      <c r="L45" s="159"/>
      <c r="M45" s="159"/>
      <c r="N45" s="159"/>
      <c r="O45" s="159"/>
      <c r="P45" s="159"/>
      <c r="Q45" s="159"/>
      <c r="R45" s="159"/>
      <c r="S45" s="159"/>
      <c r="T45" s="159"/>
      <c r="U45" s="159"/>
      <c r="V45" s="159"/>
      <c r="W45" s="159"/>
      <c r="X45" s="159"/>
      <c r="Y45" s="159"/>
      <c r="Z45" s="159"/>
      <c r="AA45" s="159"/>
      <c r="AB45" s="159"/>
      <c r="AC45" s="159"/>
      <c r="AD45" s="159"/>
      <c r="AE45" s="159"/>
      <c r="AF45" s="159"/>
      <c r="AG45" s="159"/>
      <c r="AH45" s="159"/>
      <c r="AI45" s="159"/>
      <c r="AJ45" s="159"/>
      <c r="AK45" s="159"/>
      <c r="AL45" s="159"/>
      <c r="AM45" s="159"/>
      <c r="AN45" s="159"/>
      <c r="AO45" s="159"/>
      <c r="AP45" s="159"/>
      <c r="AQ45" s="159"/>
      <c r="AR45" s="159"/>
      <c r="AS45" s="159"/>
      <c r="AT45" s="159"/>
      <c r="AU45" s="308"/>
      <c r="AV45" s="308"/>
      <c r="AW45" s="308"/>
      <c r="AX45" s="308"/>
      <c r="AY45" s="308"/>
      <c r="AZ45" s="308"/>
      <c r="BA45" s="308"/>
      <c r="BB45" s="308"/>
      <c r="BC45" s="308"/>
      <c r="BD45" s="308"/>
      <c r="BE45" s="308"/>
      <c r="BF45" s="308"/>
      <c r="BG45" s="308"/>
      <c r="BH45" s="308"/>
      <c r="BI45" s="308"/>
      <c r="BJ45" s="308"/>
      <c r="BK45" s="308"/>
      <c r="BL45" s="308"/>
      <c r="BM45" s="308"/>
      <c r="BN45" s="308"/>
      <c r="BO45" s="308"/>
      <c r="BP45" s="308"/>
      <c r="BQ45" s="308"/>
      <c r="BR45" s="308"/>
      <c r="BS45" s="308"/>
      <c r="BT45" s="308"/>
      <c r="BU45" s="308"/>
      <c r="BV45" s="308"/>
      <c r="BW45" s="308"/>
      <c r="BX45" s="308"/>
      <c r="BY45" s="308"/>
      <c r="BZ45" s="308"/>
      <c r="CA45" s="308"/>
      <c r="CB45" s="308"/>
      <c r="CC45" s="308"/>
      <c r="CD45" s="308"/>
      <c r="CE45" s="308"/>
      <c r="CF45" s="308"/>
      <c r="CG45" s="308"/>
      <c r="CH45" s="308"/>
      <c r="CI45" s="308"/>
      <c r="CJ45" s="308"/>
      <c r="CK45" s="308"/>
      <c r="CL45" s="92"/>
      <c r="CN45" s="105" t="s">
        <v>366</v>
      </c>
    </row>
    <row r="46" s="299" customFormat="true" ht="11.25" hidden="false" customHeight="true" outlineLevel="0" collapsed="false">
      <c r="A46" s="40"/>
      <c r="B46" s="92"/>
      <c r="C46" s="51" t="str">
        <f aca="false">'Lead NA'!C198</f>
        <v>Pensionsrückstellungen</v>
      </c>
      <c r="D46" s="51" t="str">
        <f aca="false">'Lead NA'!D198</f>
        <v>Pension provisions</v>
      </c>
      <c r="E46" s="159" t="n">
        <f aca="false">'Lead NA'!E198</f>
        <v>0</v>
      </c>
      <c r="F46" s="159"/>
      <c r="G46" s="159"/>
      <c r="H46" s="159"/>
      <c r="I46" s="159"/>
      <c r="J46" s="159"/>
      <c r="K46" s="159"/>
      <c r="L46" s="159"/>
      <c r="M46" s="159"/>
      <c r="N46" s="159"/>
      <c r="O46" s="159"/>
      <c r="P46" s="159"/>
      <c r="Q46" s="159"/>
      <c r="R46" s="159"/>
      <c r="S46" s="159"/>
      <c r="T46" s="159"/>
      <c r="U46" s="159"/>
      <c r="V46" s="159"/>
      <c r="W46" s="159"/>
      <c r="X46" s="159"/>
      <c r="Y46" s="159"/>
      <c r="Z46" s="159"/>
      <c r="AA46" s="159"/>
      <c r="AB46" s="159"/>
      <c r="AC46" s="159"/>
      <c r="AD46" s="159"/>
      <c r="AE46" s="159"/>
      <c r="AF46" s="159"/>
      <c r="AG46" s="159"/>
      <c r="AH46" s="159"/>
      <c r="AI46" s="159"/>
      <c r="AJ46" s="159"/>
      <c r="AK46" s="159"/>
      <c r="AL46" s="159"/>
      <c r="AM46" s="159"/>
      <c r="AN46" s="159"/>
      <c r="AO46" s="159"/>
      <c r="AP46" s="159"/>
      <c r="AQ46" s="159"/>
      <c r="AR46" s="159"/>
      <c r="AS46" s="159"/>
      <c r="AT46" s="159"/>
      <c r="AU46" s="308"/>
      <c r="AV46" s="308"/>
      <c r="AW46" s="308"/>
      <c r="AX46" s="308"/>
      <c r="AY46" s="308"/>
      <c r="AZ46" s="308"/>
      <c r="BA46" s="308"/>
      <c r="BB46" s="308"/>
      <c r="BC46" s="308"/>
      <c r="BD46" s="308"/>
      <c r="BE46" s="308"/>
      <c r="BF46" s="308"/>
      <c r="BG46" s="308"/>
      <c r="BH46" s="308"/>
      <c r="BI46" s="308"/>
      <c r="BJ46" s="308"/>
      <c r="BK46" s="308"/>
      <c r="BL46" s="308"/>
      <c r="BM46" s="308"/>
      <c r="BN46" s="308"/>
      <c r="BO46" s="308"/>
      <c r="BP46" s="308"/>
      <c r="BQ46" s="308"/>
      <c r="BR46" s="308"/>
      <c r="BS46" s="308"/>
      <c r="BT46" s="308"/>
      <c r="BU46" s="308"/>
      <c r="BV46" s="308"/>
      <c r="BW46" s="308"/>
      <c r="BX46" s="308"/>
      <c r="BY46" s="308"/>
      <c r="BZ46" s="308"/>
      <c r="CA46" s="308"/>
      <c r="CB46" s="308"/>
      <c r="CC46" s="308"/>
      <c r="CD46" s="308"/>
      <c r="CE46" s="308"/>
      <c r="CF46" s="308"/>
      <c r="CG46" s="308"/>
      <c r="CH46" s="308"/>
      <c r="CI46" s="308"/>
      <c r="CJ46" s="308"/>
      <c r="CK46" s="308"/>
      <c r="CL46" s="92"/>
      <c r="CN46" s="105" t="s">
        <v>362</v>
      </c>
    </row>
    <row r="47" s="299" customFormat="true" ht="11.25" hidden="false" customHeight="true" outlineLevel="2" collapsed="false">
      <c r="A47" s="40"/>
      <c r="B47" s="92"/>
      <c r="C47" s="51" t="str">
        <f aca="false">'Lead NA'!C207</f>
        <v>Dummy 1</v>
      </c>
      <c r="D47" s="51" t="str">
        <f aca="false">'Lead NA'!D207</f>
        <v>Dummy 1</v>
      </c>
      <c r="E47" s="159" t="n">
        <f aca="false">'Lead NA'!E207</f>
        <v>0</v>
      </c>
      <c r="F47" s="159"/>
      <c r="G47" s="159"/>
      <c r="H47" s="159"/>
      <c r="I47" s="159"/>
      <c r="J47" s="159"/>
      <c r="K47" s="159"/>
      <c r="L47" s="159"/>
      <c r="M47" s="159"/>
      <c r="N47" s="159"/>
      <c r="O47" s="159"/>
      <c r="P47" s="159"/>
      <c r="Q47" s="159"/>
      <c r="R47" s="159"/>
      <c r="S47" s="159"/>
      <c r="T47" s="159"/>
      <c r="U47" s="159"/>
      <c r="V47" s="159"/>
      <c r="W47" s="159"/>
      <c r="X47" s="159"/>
      <c r="Y47" s="159"/>
      <c r="Z47" s="159"/>
      <c r="AA47" s="159"/>
      <c r="AB47" s="159"/>
      <c r="AC47" s="159"/>
      <c r="AD47" s="159"/>
      <c r="AE47" s="159"/>
      <c r="AF47" s="159"/>
      <c r="AG47" s="159"/>
      <c r="AH47" s="159"/>
      <c r="AI47" s="159"/>
      <c r="AJ47" s="159"/>
      <c r="AK47" s="159"/>
      <c r="AL47" s="159"/>
      <c r="AM47" s="159"/>
      <c r="AN47" s="159"/>
      <c r="AO47" s="159"/>
      <c r="AP47" s="159"/>
      <c r="AQ47" s="159"/>
      <c r="AR47" s="159"/>
      <c r="AS47" s="159"/>
      <c r="AT47" s="159"/>
      <c r="AU47" s="308"/>
      <c r="AV47" s="308"/>
      <c r="AW47" s="308"/>
      <c r="AX47" s="308"/>
      <c r="AY47" s="308"/>
      <c r="AZ47" s="308"/>
      <c r="BA47" s="308"/>
      <c r="BB47" s="308"/>
      <c r="BC47" s="308"/>
      <c r="BD47" s="308"/>
      <c r="BE47" s="308"/>
      <c r="BF47" s="308"/>
      <c r="BG47" s="308"/>
      <c r="BH47" s="308"/>
      <c r="BI47" s="308"/>
      <c r="BJ47" s="308"/>
      <c r="BK47" s="308"/>
      <c r="BL47" s="308"/>
      <c r="BM47" s="308"/>
      <c r="BN47" s="308"/>
      <c r="BO47" s="308"/>
      <c r="BP47" s="308"/>
      <c r="BQ47" s="308"/>
      <c r="BR47" s="308"/>
      <c r="BS47" s="308"/>
      <c r="BT47" s="308"/>
      <c r="BU47" s="308"/>
      <c r="BV47" s="308"/>
      <c r="BW47" s="308"/>
      <c r="BX47" s="308"/>
      <c r="BY47" s="308"/>
      <c r="BZ47" s="308"/>
      <c r="CA47" s="308"/>
      <c r="CB47" s="308"/>
      <c r="CC47" s="308"/>
      <c r="CD47" s="308"/>
      <c r="CE47" s="308"/>
      <c r="CF47" s="308"/>
      <c r="CG47" s="308"/>
      <c r="CH47" s="308"/>
      <c r="CI47" s="308"/>
      <c r="CJ47" s="308"/>
      <c r="CK47" s="308"/>
      <c r="CL47" s="92"/>
      <c r="CN47" s="105"/>
    </row>
    <row r="48" s="299" customFormat="true" ht="11.25" hidden="false" customHeight="true" outlineLevel="2" collapsed="false">
      <c r="A48" s="40"/>
      <c r="B48" s="92"/>
      <c r="C48" s="51" t="str">
        <f aca="false">'Lead NA'!C208</f>
        <v>Dummy 2</v>
      </c>
      <c r="D48" s="51" t="str">
        <f aca="false">'Lead NA'!D208</f>
        <v>Dummy 2</v>
      </c>
      <c r="E48" s="159" t="n">
        <f aca="false">'Lead NA'!E208</f>
        <v>0</v>
      </c>
      <c r="F48" s="159"/>
      <c r="G48" s="159"/>
      <c r="H48" s="159"/>
      <c r="I48" s="159"/>
      <c r="J48" s="159"/>
      <c r="K48" s="159"/>
      <c r="L48" s="159"/>
      <c r="M48" s="159"/>
      <c r="N48" s="159"/>
      <c r="O48" s="159"/>
      <c r="P48" s="159"/>
      <c r="Q48" s="159"/>
      <c r="R48" s="159"/>
      <c r="S48" s="159"/>
      <c r="T48" s="159"/>
      <c r="U48" s="159"/>
      <c r="V48" s="159"/>
      <c r="W48" s="159"/>
      <c r="X48" s="159"/>
      <c r="Y48" s="159"/>
      <c r="Z48" s="159"/>
      <c r="AA48" s="159"/>
      <c r="AB48" s="159"/>
      <c r="AC48" s="159"/>
      <c r="AD48" s="159"/>
      <c r="AE48" s="159"/>
      <c r="AF48" s="159"/>
      <c r="AG48" s="159"/>
      <c r="AH48" s="159"/>
      <c r="AI48" s="159"/>
      <c r="AJ48" s="159"/>
      <c r="AK48" s="159"/>
      <c r="AL48" s="159"/>
      <c r="AM48" s="159"/>
      <c r="AN48" s="159"/>
      <c r="AO48" s="159"/>
      <c r="AP48" s="159"/>
      <c r="AQ48" s="159"/>
      <c r="AR48" s="159"/>
      <c r="AS48" s="159"/>
      <c r="AT48" s="159"/>
      <c r="AU48" s="308"/>
      <c r="AV48" s="308"/>
      <c r="AW48" s="308"/>
      <c r="AX48" s="308"/>
      <c r="AY48" s="308"/>
      <c r="AZ48" s="308"/>
      <c r="BA48" s="308"/>
      <c r="BB48" s="308"/>
      <c r="BC48" s="308"/>
      <c r="BD48" s="308"/>
      <c r="BE48" s="308"/>
      <c r="BF48" s="308"/>
      <c r="BG48" s="308"/>
      <c r="BH48" s="308"/>
      <c r="BI48" s="308"/>
      <c r="BJ48" s="308"/>
      <c r="BK48" s="308"/>
      <c r="BL48" s="308"/>
      <c r="BM48" s="308"/>
      <c r="BN48" s="308"/>
      <c r="BO48" s="308"/>
      <c r="BP48" s="308"/>
      <c r="BQ48" s="308"/>
      <c r="BR48" s="308"/>
      <c r="BS48" s="308"/>
      <c r="BT48" s="308"/>
      <c r="BU48" s="308"/>
      <c r="BV48" s="308"/>
      <c r="BW48" s="308"/>
      <c r="BX48" s="308"/>
      <c r="BY48" s="308"/>
      <c r="BZ48" s="308"/>
      <c r="CA48" s="308"/>
      <c r="CB48" s="308"/>
      <c r="CC48" s="308"/>
      <c r="CD48" s="308"/>
      <c r="CE48" s="308"/>
      <c r="CF48" s="308"/>
      <c r="CG48" s="308"/>
      <c r="CH48" s="308"/>
      <c r="CI48" s="308"/>
      <c r="CJ48" s="308"/>
      <c r="CK48" s="308"/>
      <c r="CL48" s="92"/>
      <c r="CN48" s="105"/>
    </row>
    <row r="49" s="299" customFormat="true" ht="11.25" hidden="false" customHeight="true" outlineLevel="2" collapsed="false">
      <c r="A49" s="40"/>
      <c r="B49" s="92"/>
      <c r="C49" s="54" t="str">
        <f aca="false">'Lead NA'!C209</f>
        <v>Dummy 3</v>
      </c>
      <c r="D49" s="54" t="str">
        <f aca="false">'Lead NA'!D209</f>
        <v>Dummy 3</v>
      </c>
      <c r="E49" s="162" t="n">
        <f aca="false">'Lead NA'!E209</f>
        <v>0</v>
      </c>
      <c r="F49" s="162"/>
      <c r="G49" s="162"/>
      <c r="H49" s="162"/>
      <c r="I49" s="162"/>
      <c r="J49" s="162"/>
      <c r="K49" s="162"/>
      <c r="L49" s="162"/>
      <c r="M49" s="162"/>
      <c r="N49" s="162"/>
      <c r="O49" s="162"/>
      <c r="P49" s="162"/>
      <c r="Q49" s="162"/>
      <c r="R49" s="162"/>
      <c r="S49" s="162"/>
      <c r="T49" s="162"/>
      <c r="U49" s="162"/>
      <c r="V49" s="162"/>
      <c r="W49" s="162"/>
      <c r="X49" s="162"/>
      <c r="Y49" s="162"/>
      <c r="Z49" s="162"/>
      <c r="AA49" s="162"/>
      <c r="AB49" s="162"/>
      <c r="AC49" s="162"/>
      <c r="AD49" s="162"/>
      <c r="AE49" s="162"/>
      <c r="AF49" s="162"/>
      <c r="AG49" s="162"/>
      <c r="AH49" s="162"/>
      <c r="AI49" s="162"/>
      <c r="AJ49" s="162"/>
      <c r="AK49" s="162"/>
      <c r="AL49" s="162"/>
      <c r="AM49" s="162"/>
      <c r="AN49" s="162"/>
      <c r="AO49" s="162"/>
      <c r="AP49" s="162"/>
      <c r="AQ49" s="162"/>
      <c r="AR49" s="162"/>
      <c r="AS49" s="162"/>
      <c r="AT49" s="162"/>
      <c r="AU49" s="191"/>
      <c r="AV49" s="191"/>
      <c r="AW49" s="191"/>
      <c r="AX49" s="191"/>
      <c r="AY49" s="191"/>
      <c r="AZ49" s="191"/>
      <c r="BA49" s="191"/>
      <c r="BB49" s="191"/>
      <c r="BC49" s="191"/>
      <c r="BD49" s="191"/>
      <c r="BE49" s="191"/>
      <c r="BF49" s="191"/>
      <c r="BG49" s="191"/>
      <c r="BH49" s="191"/>
      <c r="BI49" s="191"/>
      <c r="BJ49" s="191"/>
      <c r="BK49" s="191"/>
      <c r="BL49" s="191"/>
      <c r="BM49" s="191"/>
      <c r="BN49" s="191"/>
      <c r="BO49" s="191"/>
      <c r="BP49" s="191"/>
      <c r="BQ49" s="191"/>
      <c r="BR49" s="191"/>
      <c r="BS49" s="191"/>
      <c r="BT49" s="191"/>
      <c r="BU49" s="191"/>
      <c r="BV49" s="191"/>
      <c r="BW49" s="191"/>
      <c r="BX49" s="191"/>
      <c r="BY49" s="191"/>
      <c r="BZ49" s="191"/>
      <c r="CA49" s="191"/>
      <c r="CB49" s="191"/>
      <c r="CC49" s="191"/>
      <c r="CD49" s="191"/>
      <c r="CE49" s="191"/>
      <c r="CF49" s="191"/>
      <c r="CG49" s="191"/>
      <c r="CH49" s="191"/>
      <c r="CI49" s="191"/>
      <c r="CJ49" s="191"/>
      <c r="CK49" s="191"/>
      <c r="CL49" s="92"/>
      <c r="CN49" s="105"/>
    </row>
    <row r="50" s="299" customFormat="true" ht="11.25" hidden="false" customHeight="true" outlineLevel="0" collapsed="false">
      <c r="A50" s="40"/>
      <c r="B50" s="92"/>
      <c r="C50" s="296" t="str">
        <f aca="false">'Lead NA'!C210</f>
        <v>Netto-Finanzvermögen / -Verbindlichkeiten</v>
      </c>
      <c r="D50" s="296" t="str">
        <f aca="false">'Lead NA'!D210</f>
        <v>Net cash / Net debt</v>
      </c>
      <c r="E50" s="165" t="n">
        <f aca="false">SUM(E44:E49)</f>
        <v>0</v>
      </c>
      <c r="F50" s="165" t="n">
        <f aca="false">SUM(F44:F49)</f>
        <v>0</v>
      </c>
      <c r="G50" s="165" t="n">
        <f aca="false">SUM(G44:G49)</f>
        <v>0</v>
      </c>
      <c r="H50" s="165" t="n">
        <f aca="false">SUM(H44:H49)</f>
        <v>0</v>
      </c>
      <c r="I50" s="165" t="n">
        <f aca="false">SUM(I44:I49)</f>
        <v>0</v>
      </c>
      <c r="J50" s="165" t="n">
        <f aca="false">SUM(J44:J49)</f>
        <v>0</v>
      </c>
      <c r="K50" s="165" t="n">
        <f aca="false">SUM(K44:K49)</f>
        <v>0</v>
      </c>
      <c r="L50" s="165" t="n">
        <f aca="false">SUM(L44:L49)</f>
        <v>0</v>
      </c>
      <c r="M50" s="165" t="n">
        <f aca="false">SUM(M44:M49)</f>
        <v>0</v>
      </c>
      <c r="N50" s="165" t="n">
        <f aca="false">SUM(N44:N49)</f>
        <v>0</v>
      </c>
      <c r="O50" s="165" t="n">
        <f aca="false">SUM(O44:O49)</f>
        <v>0</v>
      </c>
      <c r="P50" s="165" t="n">
        <f aca="false">SUM(P44:P49)</f>
        <v>0</v>
      </c>
      <c r="Q50" s="165" t="n">
        <f aca="false">SUM(Q44:Q49)</f>
        <v>0</v>
      </c>
      <c r="R50" s="165" t="n">
        <f aca="false">SUM(R44:R49)</f>
        <v>0</v>
      </c>
      <c r="S50" s="165" t="n">
        <f aca="false">SUM(S44:S49)</f>
        <v>0</v>
      </c>
      <c r="T50" s="165" t="n">
        <f aca="false">SUM(T44:T49)</f>
        <v>0</v>
      </c>
      <c r="U50" s="165" t="n">
        <f aca="false">SUM(U44:U49)</f>
        <v>0</v>
      </c>
      <c r="V50" s="165" t="n">
        <f aca="false">SUM(V44:V49)</f>
        <v>0</v>
      </c>
      <c r="W50" s="165" t="n">
        <f aca="false">SUM(W44:W49)</f>
        <v>0</v>
      </c>
      <c r="X50" s="165" t="n">
        <f aca="false">SUM(X44:X49)</f>
        <v>0</v>
      </c>
      <c r="Y50" s="165" t="n">
        <f aca="false">SUM(Y44:Y49)</f>
        <v>0</v>
      </c>
      <c r="Z50" s="165" t="n">
        <f aca="false">SUM(Z44:Z49)</f>
        <v>0</v>
      </c>
      <c r="AA50" s="165" t="n">
        <f aca="false">SUM(AA44:AA49)</f>
        <v>0</v>
      </c>
      <c r="AB50" s="165" t="n">
        <f aca="false">SUM(AB44:AB49)</f>
        <v>0</v>
      </c>
      <c r="AC50" s="165" t="n">
        <f aca="false">SUM(AC44:AC49)</f>
        <v>0</v>
      </c>
      <c r="AD50" s="165" t="n">
        <f aca="false">SUM(AD44:AD49)</f>
        <v>0</v>
      </c>
      <c r="AE50" s="165" t="n">
        <f aca="false">SUM(AE44:AE49)</f>
        <v>0</v>
      </c>
      <c r="AF50" s="165" t="n">
        <f aca="false">SUM(AF44:AF49)</f>
        <v>0</v>
      </c>
      <c r="AG50" s="165" t="n">
        <f aca="false">SUM(AG44:AG49)</f>
        <v>0</v>
      </c>
      <c r="AH50" s="165" t="n">
        <f aca="false">SUM(AH44:AH49)</f>
        <v>0</v>
      </c>
      <c r="AI50" s="165" t="n">
        <f aca="false">SUM(AI44:AI49)</f>
        <v>0</v>
      </c>
      <c r="AJ50" s="165" t="n">
        <f aca="false">SUM(AJ44:AJ49)</f>
        <v>0</v>
      </c>
      <c r="AK50" s="165" t="n">
        <f aca="false">SUM(AK44:AK49)</f>
        <v>0</v>
      </c>
      <c r="AL50" s="165" t="n">
        <f aca="false">SUM(AL44:AL49)</f>
        <v>0</v>
      </c>
      <c r="AM50" s="165" t="n">
        <f aca="false">SUM(AM44:AM49)</f>
        <v>0</v>
      </c>
      <c r="AN50" s="165" t="n">
        <f aca="false">SUM(AN44:AN49)</f>
        <v>0</v>
      </c>
      <c r="AO50" s="165" t="n">
        <f aca="false">SUM(AO44:AO49)</f>
        <v>0</v>
      </c>
      <c r="AP50" s="165" t="n">
        <f aca="false">SUM(AP44:AP49)</f>
        <v>0</v>
      </c>
      <c r="AQ50" s="165" t="n">
        <f aca="false">SUM(AQ44:AQ49)</f>
        <v>0</v>
      </c>
      <c r="AR50" s="165" t="n">
        <f aca="false">SUM(AR44:AR49)</f>
        <v>0</v>
      </c>
      <c r="AS50" s="165" t="n">
        <f aca="false">SUM(AS44:AS49)</f>
        <v>0</v>
      </c>
      <c r="AT50" s="165" t="n">
        <f aca="false">SUM(AT44:AT49)</f>
        <v>0</v>
      </c>
      <c r="AU50" s="344" t="n">
        <f aca="false">SUM(AU44:AU49)</f>
        <v>0</v>
      </c>
      <c r="AV50" s="344" t="n">
        <f aca="false">SUM(AV44:AV49)</f>
        <v>0</v>
      </c>
      <c r="AW50" s="344" t="n">
        <f aca="false">SUM(AW44:AW49)</f>
        <v>0</v>
      </c>
      <c r="AX50" s="344" t="n">
        <f aca="false">SUM(AX44:AX49)</f>
        <v>0</v>
      </c>
      <c r="AY50" s="344" t="n">
        <f aca="false">SUM(AY44:AY49)</f>
        <v>0</v>
      </c>
      <c r="AZ50" s="344" t="n">
        <f aca="false">SUM(AZ44:AZ49)</f>
        <v>0</v>
      </c>
      <c r="BA50" s="344" t="n">
        <f aca="false">SUM(BA44:BA49)</f>
        <v>0</v>
      </c>
      <c r="BB50" s="344" t="n">
        <f aca="false">SUM(BB44:BB49)</f>
        <v>0</v>
      </c>
      <c r="BC50" s="344" t="n">
        <f aca="false">SUM(BC44:BC49)</f>
        <v>0</v>
      </c>
      <c r="BD50" s="344" t="n">
        <f aca="false">SUM(BD44:BD49)</f>
        <v>0</v>
      </c>
      <c r="BE50" s="344" t="n">
        <f aca="false">SUM(BE44:BE49)</f>
        <v>0</v>
      </c>
      <c r="BF50" s="344" t="n">
        <f aca="false">SUM(BF44:BF49)</f>
        <v>0</v>
      </c>
      <c r="BG50" s="344" t="n">
        <f aca="false">SUM(BG44:BG49)</f>
        <v>0</v>
      </c>
      <c r="BH50" s="344" t="n">
        <f aca="false">SUM(BH44:BH49)</f>
        <v>0</v>
      </c>
      <c r="BI50" s="344" t="n">
        <f aca="false">SUM(BI44:BI49)</f>
        <v>0</v>
      </c>
      <c r="BJ50" s="344" t="n">
        <f aca="false">SUM(BJ44:BJ49)</f>
        <v>0</v>
      </c>
      <c r="BK50" s="344" t="n">
        <f aca="false">SUM(BK44:BK49)</f>
        <v>0</v>
      </c>
      <c r="BL50" s="344" t="n">
        <f aca="false">SUM(BL44:BL49)</f>
        <v>0</v>
      </c>
      <c r="BM50" s="344" t="n">
        <f aca="false">SUM(BM44:BM49)</f>
        <v>0</v>
      </c>
      <c r="BN50" s="344" t="n">
        <f aca="false">SUM(BN44:BN49)</f>
        <v>0</v>
      </c>
      <c r="BO50" s="344" t="n">
        <f aca="false">SUM(BO44:BO49)</f>
        <v>0</v>
      </c>
      <c r="BP50" s="344" t="n">
        <f aca="false">SUM(BP44:BP49)</f>
        <v>0</v>
      </c>
      <c r="BQ50" s="344" t="n">
        <f aca="false">SUM(BQ44:BQ49)</f>
        <v>0</v>
      </c>
      <c r="BR50" s="344" t="n">
        <f aca="false">SUM(BR44:BR49)</f>
        <v>0</v>
      </c>
      <c r="BS50" s="344" t="n">
        <f aca="false">SUM(BS44:BS49)</f>
        <v>0</v>
      </c>
      <c r="BT50" s="344" t="n">
        <f aca="false">SUM(BT44:BT49)</f>
        <v>0</v>
      </c>
      <c r="BU50" s="344" t="n">
        <f aca="false">SUM(BU44:BU49)</f>
        <v>0</v>
      </c>
      <c r="BV50" s="344" t="n">
        <f aca="false">SUM(BV44:BV49)</f>
        <v>0</v>
      </c>
      <c r="BW50" s="344" t="n">
        <f aca="false">SUM(BW44:BW49)</f>
        <v>0</v>
      </c>
      <c r="BX50" s="344" t="n">
        <f aca="false">SUM(BX44:BX49)</f>
        <v>0</v>
      </c>
      <c r="BY50" s="344" t="n">
        <f aca="false">SUM(BY44:BY49)</f>
        <v>0</v>
      </c>
      <c r="BZ50" s="344" t="n">
        <f aca="false">SUM(BZ44:BZ49)</f>
        <v>0</v>
      </c>
      <c r="CA50" s="344" t="n">
        <f aca="false">SUM(CA44:CA49)</f>
        <v>0</v>
      </c>
      <c r="CB50" s="344" t="n">
        <f aca="false">SUM(CB44:CB49)</f>
        <v>0</v>
      </c>
      <c r="CC50" s="344" t="n">
        <f aca="false">SUM(CC44:CC49)</f>
        <v>0</v>
      </c>
      <c r="CD50" s="344" t="n">
        <f aca="false">SUM(CD44:CD49)</f>
        <v>0</v>
      </c>
      <c r="CE50" s="344" t="n">
        <f aca="false">SUM(CE44:CE49)</f>
        <v>0</v>
      </c>
      <c r="CF50" s="344" t="n">
        <f aca="false">SUM(CF44:CF49)</f>
        <v>0</v>
      </c>
      <c r="CG50" s="344" t="n">
        <f aca="false">SUM(CG44:CG49)</f>
        <v>0</v>
      </c>
      <c r="CH50" s="344" t="n">
        <f aca="false">SUM(CH44:CH49)</f>
        <v>0</v>
      </c>
      <c r="CI50" s="344" t="n">
        <f aca="false">SUM(CI44:CI49)</f>
        <v>0</v>
      </c>
      <c r="CJ50" s="344" t="n">
        <f aca="false">SUM(CJ44:CJ49)</f>
        <v>0</v>
      </c>
      <c r="CK50" s="344" t="n">
        <f aca="false">SUM(CK44:CK49)</f>
        <v>0</v>
      </c>
      <c r="CL50" s="92"/>
      <c r="CN50" s="301"/>
    </row>
    <row r="51" s="299" customFormat="true" ht="11.25" hidden="false" customHeight="true" outlineLevel="0" collapsed="false">
      <c r="A51" s="40"/>
      <c r="B51" s="112"/>
      <c r="C51" s="51" t="str">
        <f aca="false">'Lead NA'!C211</f>
        <v>Passive latente Steuern</v>
      </c>
      <c r="D51" s="51" t="str">
        <f aca="false">'Lead NA'!D211</f>
        <v>Deferred tax liabilities</v>
      </c>
      <c r="E51" s="159" t="n">
        <f aca="false">'Lead NA'!E211</f>
        <v>0</v>
      </c>
      <c r="F51" s="159"/>
      <c r="G51" s="159"/>
      <c r="H51" s="159"/>
      <c r="I51" s="159"/>
      <c r="J51" s="159"/>
      <c r="K51" s="159"/>
      <c r="L51" s="159"/>
      <c r="M51" s="159"/>
      <c r="N51" s="159"/>
      <c r="O51" s="159"/>
      <c r="P51" s="159"/>
      <c r="Q51" s="159"/>
      <c r="R51" s="159"/>
      <c r="S51" s="159"/>
      <c r="T51" s="159"/>
      <c r="U51" s="159"/>
      <c r="V51" s="159"/>
      <c r="W51" s="159"/>
      <c r="X51" s="159"/>
      <c r="Y51" s="159"/>
      <c r="Z51" s="159"/>
      <c r="AA51" s="159"/>
      <c r="AB51" s="159"/>
      <c r="AC51" s="159"/>
      <c r="AD51" s="159"/>
      <c r="AE51" s="159"/>
      <c r="AF51" s="159"/>
      <c r="AG51" s="159"/>
      <c r="AH51" s="159"/>
      <c r="AI51" s="159"/>
      <c r="AJ51" s="159"/>
      <c r="AK51" s="159"/>
      <c r="AL51" s="159"/>
      <c r="AM51" s="159"/>
      <c r="AN51" s="159"/>
      <c r="AO51" s="159"/>
      <c r="AP51" s="159"/>
      <c r="AQ51" s="159"/>
      <c r="AR51" s="159"/>
      <c r="AS51" s="159"/>
      <c r="AT51" s="159"/>
      <c r="AU51" s="308"/>
      <c r="AV51" s="308"/>
      <c r="AW51" s="308"/>
      <c r="AX51" s="308"/>
      <c r="AY51" s="308"/>
      <c r="AZ51" s="308"/>
      <c r="BA51" s="308"/>
      <c r="BB51" s="308"/>
      <c r="BC51" s="308"/>
      <c r="BD51" s="308"/>
      <c r="BE51" s="308"/>
      <c r="BF51" s="308"/>
      <c r="BG51" s="308"/>
      <c r="BH51" s="308"/>
      <c r="BI51" s="308"/>
      <c r="BJ51" s="308"/>
      <c r="BK51" s="308"/>
      <c r="BL51" s="308"/>
      <c r="BM51" s="308"/>
      <c r="BN51" s="308"/>
      <c r="BO51" s="308"/>
      <c r="BP51" s="308"/>
      <c r="BQ51" s="308"/>
      <c r="BR51" s="308"/>
      <c r="BS51" s="308"/>
      <c r="BT51" s="308"/>
      <c r="BU51" s="308"/>
      <c r="BV51" s="308"/>
      <c r="BW51" s="308"/>
      <c r="BX51" s="308"/>
      <c r="BY51" s="308"/>
      <c r="BZ51" s="308"/>
      <c r="CA51" s="308"/>
      <c r="CB51" s="308"/>
      <c r="CC51" s="308"/>
      <c r="CD51" s="308"/>
      <c r="CE51" s="308"/>
      <c r="CF51" s="308"/>
      <c r="CG51" s="308"/>
      <c r="CH51" s="308"/>
      <c r="CI51" s="308"/>
      <c r="CJ51" s="308"/>
      <c r="CK51" s="308"/>
      <c r="CL51" s="112"/>
      <c r="CN51" s="105" t="s">
        <v>404</v>
      </c>
    </row>
    <row r="52" s="299" customFormat="true" ht="11.25" hidden="false" customHeight="true" outlineLevel="2" collapsed="false">
      <c r="A52" s="40"/>
      <c r="B52" s="112"/>
      <c r="C52" s="51" t="str">
        <f aca="false">'Lead NA'!C220</f>
        <v>Dummy 1</v>
      </c>
      <c r="D52" s="51" t="str">
        <f aca="false">'Lead NA'!D220</f>
        <v>Dummy 1</v>
      </c>
      <c r="E52" s="159" t="n">
        <f aca="false">'Lead NA'!E220</f>
        <v>0</v>
      </c>
      <c r="F52" s="159"/>
      <c r="G52" s="159"/>
      <c r="H52" s="159"/>
      <c r="I52" s="159"/>
      <c r="J52" s="159"/>
      <c r="K52" s="159"/>
      <c r="L52" s="159"/>
      <c r="M52" s="159"/>
      <c r="N52" s="159"/>
      <c r="O52" s="159"/>
      <c r="P52" s="159"/>
      <c r="Q52" s="159"/>
      <c r="R52" s="159"/>
      <c r="S52" s="159"/>
      <c r="T52" s="159"/>
      <c r="U52" s="159"/>
      <c r="V52" s="159"/>
      <c r="W52" s="159"/>
      <c r="X52" s="159"/>
      <c r="Y52" s="159"/>
      <c r="Z52" s="159"/>
      <c r="AA52" s="159"/>
      <c r="AB52" s="159"/>
      <c r="AC52" s="159"/>
      <c r="AD52" s="159"/>
      <c r="AE52" s="159"/>
      <c r="AF52" s="159"/>
      <c r="AG52" s="159"/>
      <c r="AH52" s="159"/>
      <c r="AI52" s="159"/>
      <c r="AJ52" s="159"/>
      <c r="AK52" s="159"/>
      <c r="AL52" s="159"/>
      <c r="AM52" s="159"/>
      <c r="AN52" s="159"/>
      <c r="AO52" s="159"/>
      <c r="AP52" s="159"/>
      <c r="AQ52" s="159"/>
      <c r="AR52" s="159"/>
      <c r="AS52" s="159"/>
      <c r="AT52" s="159"/>
      <c r="AU52" s="308"/>
      <c r="AV52" s="308"/>
      <c r="AW52" s="308"/>
      <c r="AX52" s="308"/>
      <c r="AY52" s="308"/>
      <c r="AZ52" s="308"/>
      <c r="BA52" s="308"/>
      <c r="BB52" s="308"/>
      <c r="BC52" s="308"/>
      <c r="BD52" s="308"/>
      <c r="BE52" s="308"/>
      <c r="BF52" s="308"/>
      <c r="BG52" s="308"/>
      <c r="BH52" s="308"/>
      <c r="BI52" s="308"/>
      <c r="BJ52" s="308"/>
      <c r="BK52" s="308"/>
      <c r="BL52" s="308"/>
      <c r="BM52" s="308"/>
      <c r="BN52" s="308"/>
      <c r="BO52" s="308"/>
      <c r="BP52" s="308"/>
      <c r="BQ52" s="308"/>
      <c r="BR52" s="308"/>
      <c r="BS52" s="308"/>
      <c r="BT52" s="308"/>
      <c r="BU52" s="308"/>
      <c r="BV52" s="308"/>
      <c r="BW52" s="308"/>
      <c r="BX52" s="308"/>
      <c r="BY52" s="308"/>
      <c r="BZ52" s="308"/>
      <c r="CA52" s="308"/>
      <c r="CB52" s="308"/>
      <c r="CC52" s="308"/>
      <c r="CD52" s="308"/>
      <c r="CE52" s="308"/>
      <c r="CF52" s="308"/>
      <c r="CG52" s="308"/>
      <c r="CH52" s="308"/>
      <c r="CI52" s="308"/>
      <c r="CJ52" s="308"/>
      <c r="CK52" s="308"/>
      <c r="CL52" s="112"/>
      <c r="CN52" s="105"/>
    </row>
    <row r="53" s="299" customFormat="true" ht="11.25" hidden="false" customHeight="true" outlineLevel="2" collapsed="false">
      <c r="A53" s="40"/>
      <c r="B53" s="112"/>
      <c r="C53" s="51" t="str">
        <f aca="false">'Lead NA'!C221</f>
        <v>Dummy 2</v>
      </c>
      <c r="D53" s="51" t="str">
        <f aca="false">'Lead NA'!D221</f>
        <v>Dummy 2</v>
      </c>
      <c r="E53" s="159" t="n">
        <f aca="false">'Lead NA'!E221</f>
        <v>0</v>
      </c>
      <c r="F53" s="159"/>
      <c r="G53" s="159"/>
      <c r="H53" s="159"/>
      <c r="I53" s="159"/>
      <c r="J53" s="159"/>
      <c r="K53" s="159"/>
      <c r="L53" s="159"/>
      <c r="M53" s="159"/>
      <c r="N53" s="159"/>
      <c r="O53" s="159"/>
      <c r="P53" s="159"/>
      <c r="Q53" s="159"/>
      <c r="R53" s="159"/>
      <c r="S53" s="159"/>
      <c r="T53" s="159"/>
      <c r="U53" s="159"/>
      <c r="V53" s="159"/>
      <c r="W53" s="159"/>
      <c r="X53" s="159"/>
      <c r="Y53" s="159"/>
      <c r="Z53" s="159"/>
      <c r="AA53" s="159"/>
      <c r="AB53" s="159"/>
      <c r="AC53" s="159"/>
      <c r="AD53" s="159"/>
      <c r="AE53" s="159"/>
      <c r="AF53" s="159"/>
      <c r="AG53" s="159"/>
      <c r="AH53" s="159"/>
      <c r="AI53" s="159"/>
      <c r="AJ53" s="159"/>
      <c r="AK53" s="159"/>
      <c r="AL53" s="159"/>
      <c r="AM53" s="159"/>
      <c r="AN53" s="159"/>
      <c r="AO53" s="159"/>
      <c r="AP53" s="159"/>
      <c r="AQ53" s="159"/>
      <c r="AR53" s="159"/>
      <c r="AS53" s="159"/>
      <c r="AT53" s="159"/>
      <c r="AU53" s="308"/>
      <c r="AV53" s="308"/>
      <c r="AW53" s="308"/>
      <c r="AX53" s="308"/>
      <c r="AY53" s="308"/>
      <c r="AZ53" s="308"/>
      <c r="BA53" s="308"/>
      <c r="BB53" s="308"/>
      <c r="BC53" s="308"/>
      <c r="BD53" s="308"/>
      <c r="BE53" s="308"/>
      <c r="BF53" s="308"/>
      <c r="BG53" s="308"/>
      <c r="BH53" s="308"/>
      <c r="BI53" s="308"/>
      <c r="BJ53" s="308"/>
      <c r="BK53" s="308"/>
      <c r="BL53" s="308"/>
      <c r="BM53" s="308"/>
      <c r="BN53" s="308"/>
      <c r="BO53" s="308"/>
      <c r="BP53" s="308"/>
      <c r="BQ53" s="308"/>
      <c r="BR53" s="308"/>
      <c r="BS53" s="308"/>
      <c r="BT53" s="308"/>
      <c r="BU53" s="308"/>
      <c r="BV53" s="308"/>
      <c r="BW53" s="308"/>
      <c r="BX53" s="308"/>
      <c r="BY53" s="308"/>
      <c r="BZ53" s="308"/>
      <c r="CA53" s="308"/>
      <c r="CB53" s="308"/>
      <c r="CC53" s="308"/>
      <c r="CD53" s="308"/>
      <c r="CE53" s="308"/>
      <c r="CF53" s="308"/>
      <c r="CG53" s="308"/>
      <c r="CH53" s="308"/>
      <c r="CI53" s="308"/>
      <c r="CJ53" s="308"/>
      <c r="CK53" s="308"/>
      <c r="CL53" s="112"/>
      <c r="CN53" s="105"/>
    </row>
    <row r="54" s="299" customFormat="true" ht="11.25" hidden="false" customHeight="true" outlineLevel="2" collapsed="false">
      <c r="A54" s="40"/>
      <c r="B54" s="112"/>
      <c r="C54" s="51" t="str">
        <f aca="false">'Lead NA'!C222</f>
        <v>Dummy 3</v>
      </c>
      <c r="D54" s="51" t="str">
        <f aca="false">'Lead NA'!D222</f>
        <v>Dummy 3</v>
      </c>
      <c r="E54" s="159" t="n">
        <f aca="false">'Lead NA'!E222</f>
        <v>0</v>
      </c>
      <c r="F54" s="159"/>
      <c r="G54" s="159"/>
      <c r="H54" s="159"/>
      <c r="I54" s="159"/>
      <c r="J54" s="159"/>
      <c r="K54" s="159"/>
      <c r="L54" s="159"/>
      <c r="M54" s="159"/>
      <c r="N54" s="159"/>
      <c r="O54" s="159"/>
      <c r="P54" s="159"/>
      <c r="Q54" s="159"/>
      <c r="R54" s="159"/>
      <c r="S54" s="159"/>
      <c r="T54" s="159"/>
      <c r="U54" s="159"/>
      <c r="V54" s="159"/>
      <c r="W54" s="159"/>
      <c r="X54" s="159"/>
      <c r="Y54" s="159"/>
      <c r="Z54" s="159"/>
      <c r="AA54" s="159"/>
      <c r="AB54" s="159"/>
      <c r="AC54" s="159"/>
      <c r="AD54" s="159"/>
      <c r="AE54" s="159"/>
      <c r="AF54" s="159"/>
      <c r="AG54" s="159"/>
      <c r="AH54" s="159"/>
      <c r="AI54" s="159"/>
      <c r="AJ54" s="159"/>
      <c r="AK54" s="159"/>
      <c r="AL54" s="159"/>
      <c r="AM54" s="159"/>
      <c r="AN54" s="159"/>
      <c r="AO54" s="159"/>
      <c r="AP54" s="159"/>
      <c r="AQ54" s="159"/>
      <c r="AR54" s="159"/>
      <c r="AS54" s="159"/>
      <c r="AT54" s="159"/>
      <c r="AU54" s="308"/>
      <c r="AV54" s="308"/>
      <c r="AW54" s="308"/>
      <c r="AX54" s="308"/>
      <c r="AY54" s="308"/>
      <c r="AZ54" s="308"/>
      <c r="BA54" s="308"/>
      <c r="BB54" s="308"/>
      <c r="BC54" s="308"/>
      <c r="BD54" s="308"/>
      <c r="BE54" s="308"/>
      <c r="BF54" s="308"/>
      <c r="BG54" s="308"/>
      <c r="BH54" s="308"/>
      <c r="BI54" s="308"/>
      <c r="BJ54" s="308"/>
      <c r="BK54" s="308"/>
      <c r="BL54" s="308"/>
      <c r="BM54" s="308"/>
      <c r="BN54" s="308"/>
      <c r="BO54" s="308"/>
      <c r="BP54" s="308"/>
      <c r="BQ54" s="308"/>
      <c r="BR54" s="308"/>
      <c r="BS54" s="308"/>
      <c r="BT54" s="308"/>
      <c r="BU54" s="308"/>
      <c r="BV54" s="308"/>
      <c r="BW54" s="308"/>
      <c r="BX54" s="308"/>
      <c r="BY54" s="308"/>
      <c r="BZ54" s="308"/>
      <c r="CA54" s="308"/>
      <c r="CB54" s="308"/>
      <c r="CC54" s="308"/>
      <c r="CD54" s="308"/>
      <c r="CE54" s="308"/>
      <c r="CF54" s="308"/>
      <c r="CG54" s="308"/>
      <c r="CH54" s="308"/>
      <c r="CI54" s="308"/>
      <c r="CJ54" s="308"/>
      <c r="CK54" s="308"/>
      <c r="CL54" s="112"/>
      <c r="CN54" s="105"/>
    </row>
    <row r="55" s="299" customFormat="true" ht="11.25" hidden="false" customHeight="true" outlineLevel="0" collapsed="false">
      <c r="A55" s="40"/>
      <c r="B55" s="112"/>
      <c r="C55" s="181" t="str">
        <f aca="false">'Lead NA'!C223</f>
        <v>Nettovermögen (Eigenkapital)</v>
      </c>
      <c r="D55" s="181" t="str">
        <f aca="false">'Lead NA'!D223</f>
        <v>Net assets (Equity)</v>
      </c>
      <c r="E55" s="182" t="n">
        <f aca="false">E50+E43+E15+SUM(E51:E54)</f>
        <v>0</v>
      </c>
      <c r="F55" s="182" t="n">
        <f aca="false">F50+F43+F15+SUM(F51:F54)</f>
        <v>0</v>
      </c>
      <c r="G55" s="182" t="n">
        <f aca="false">G50+G43+G15+SUM(G51:G54)</f>
        <v>0</v>
      </c>
      <c r="H55" s="182" t="n">
        <f aca="false">H50+H43+H15+SUM(H51:H54)</f>
        <v>0</v>
      </c>
      <c r="I55" s="182" t="n">
        <f aca="false">I50+I43+I15+SUM(I51:I54)</f>
        <v>0</v>
      </c>
      <c r="J55" s="182" t="n">
        <f aca="false">J50+J43+J15+SUM(J51:J54)</f>
        <v>0</v>
      </c>
      <c r="K55" s="182" t="n">
        <f aca="false">K50+K43+K15+SUM(K51:K54)</f>
        <v>0</v>
      </c>
      <c r="L55" s="182" t="n">
        <f aca="false">L50+L43+L15+SUM(L51:L54)</f>
        <v>0</v>
      </c>
      <c r="M55" s="182" t="n">
        <f aca="false">M50+M43+M15+SUM(M51:M54)</f>
        <v>0</v>
      </c>
      <c r="N55" s="182" t="n">
        <f aca="false">N50+N43+N15+SUM(N51:N54)</f>
        <v>0</v>
      </c>
      <c r="O55" s="182" t="n">
        <f aca="false">O50+O43+O15+SUM(O51:O54)</f>
        <v>0</v>
      </c>
      <c r="P55" s="182" t="n">
        <f aca="false">P50+P43+P15+SUM(P51:P54)</f>
        <v>0</v>
      </c>
      <c r="Q55" s="182" t="n">
        <f aca="false">Q50+Q43+Q15+SUM(Q51:Q54)</f>
        <v>0</v>
      </c>
      <c r="R55" s="182" t="n">
        <f aca="false">R50+R43+R15+SUM(R51:R54)</f>
        <v>0</v>
      </c>
      <c r="S55" s="182" t="n">
        <f aca="false">S50+S43+S15+SUM(S51:S54)</f>
        <v>0</v>
      </c>
      <c r="T55" s="182" t="n">
        <f aca="false">T50+T43+T15+SUM(T51:T54)</f>
        <v>0</v>
      </c>
      <c r="U55" s="182" t="n">
        <f aca="false">U50+U43+U15+SUM(U51:U54)</f>
        <v>0</v>
      </c>
      <c r="V55" s="182" t="n">
        <f aca="false">V50+V43+V15+SUM(V51:V54)</f>
        <v>0</v>
      </c>
      <c r="W55" s="182" t="n">
        <f aca="false">W50+W43+W15+SUM(W51:W54)</f>
        <v>0</v>
      </c>
      <c r="X55" s="182" t="n">
        <f aca="false">X50+X43+X15+SUM(X51:X54)</f>
        <v>0</v>
      </c>
      <c r="Y55" s="182" t="n">
        <f aca="false">Y50+Y43+Y15+SUM(Y51:Y54)</f>
        <v>0</v>
      </c>
      <c r="Z55" s="182" t="n">
        <f aca="false">Z50+Z43+Z15+SUM(Z51:Z54)</f>
        <v>0</v>
      </c>
      <c r="AA55" s="182" t="n">
        <f aca="false">AA50+AA43+AA15+SUM(AA51:AA54)</f>
        <v>0</v>
      </c>
      <c r="AB55" s="182" t="n">
        <f aca="false">AB50+AB43+AB15+SUM(AB51:AB54)</f>
        <v>0</v>
      </c>
      <c r="AC55" s="182" t="n">
        <f aca="false">AC50+AC43+AC15+SUM(AC51:AC54)</f>
        <v>0</v>
      </c>
      <c r="AD55" s="182" t="n">
        <f aca="false">AD50+AD43+AD15+SUM(AD51:AD54)</f>
        <v>0</v>
      </c>
      <c r="AE55" s="182" t="n">
        <f aca="false">AE50+AE43+AE15+SUM(AE51:AE54)</f>
        <v>0</v>
      </c>
      <c r="AF55" s="182" t="n">
        <f aca="false">AF50+AF43+AF15+SUM(AF51:AF54)</f>
        <v>0</v>
      </c>
      <c r="AG55" s="182" t="n">
        <f aca="false">AG50+AG43+AG15+SUM(AG51:AG54)</f>
        <v>0</v>
      </c>
      <c r="AH55" s="182" t="n">
        <f aca="false">AH50+AH43+AH15+SUM(AH51:AH54)</f>
        <v>0</v>
      </c>
      <c r="AI55" s="182" t="n">
        <f aca="false">AI50+AI43+AI15+SUM(AI51:AI54)</f>
        <v>0</v>
      </c>
      <c r="AJ55" s="182" t="n">
        <f aca="false">AJ50+AJ43+AJ15+SUM(AJ51:AJ54)</f>
        <v>0</v>
      </c>
      <c r="AK55" s="182" t="n">
        <f aca="false">AK50+AK43+AK15+SUM(AK51:AK54)</f>
        <v>0</v>
      </c>
      <c r="AL55" s="182" t="n">
        <f aca="false">AL50+AL43+AL15+SUM(AL51:AL54)</f>
        <v>0</v>
      </c>
      <c r="AM55" s="182" t="n">
        <f aca="false">AM50+AM43+AM15+SUM(AM51:AM54)</f>
        <v>0</v>
      </c>
      <c r="AN55" s="182" t="n">
        <f aca="false">AN50+AN43+AN15+SUM(AN51:AN54)</f>
        <v>0</v>
      </c>
      <c r="AO55" s="182" t="n">
        <f aca="false">AO50+AO43+AO15+SUM(AO51:AO54)</f>
        <v>0</v>
      </c>
      <c r="AP55" s="182" t="n">
        <f aca="false">AP50+AP43+AP15+SUM(AP51:AP54)</f>
        <v>0</v>
      </c>
      <c r="AQ55" s="182" t="n">
        <f aca="false">AQ50+AQ43+AQ15+SUM(AQ51:AQ54)</f>
        <v>0</v>
      </c>
      <c r="AR55" s="182" t="n">
        <f aca="false">AR50+AR43+AR15+SUM(AR51:AR54)</f>
        <v>0</v>
      </c>
      <c r="AS55" s="182" t="n">
        <f aca="false">AS50+AS43+AS15+SUM(AS51:AS54)</f>
        <v>0</v>
      </c>
      <c r="AT55" s="182" t="n">
        <f aca="false">AT50+AT43+AT15+SUM(AT51:AT54)</f>
        <v>0</v>
      </c>
      <c r="AU55" s="352" t="n">
        <f aca="false">AU50+AU43+AU15+SUM(AU51:AU54)</f>
        <v>0</v>
      </c>
      <c r="AV55" s="352" t="n">
        <f aca="false">AV50+AV43+AV15+SUM(AV51:AV54)</f>
        <v>0</v>
      </c>
      <c r="AW55" s="352" t="n">
        <f aca="false">AW50+AW43+AW15+SUM(AW51:AW54)</f>
        <v>0</v>
      </c>
      <c r="AX55" s="352" t="n">
        <f aca="false">AX50+AX43+AX15+SUM(AX51:AX54)</f>
        <v>0</v>
      </c>
      <c r="AY55" s="352" t="n">
        <f aca="false">AY50+AY43+AY15+SUM(AY51:AY54)</f>
        <v>0</v>
      </c>
      <c r="AZ55" s="352" t="n">
        <f aca="false">AZ50+AZ43+AZ15+SUM(AZ51:AZ54)</f>
        <v>0</v>
      </c>
      <c r="BA55" s="352" t="n">
        <f aca="false">BA50+BA43+BA15+SUM(BA51:BA54)</f>
        <v>0</v>
      </c>
      <c r="BB55" s="352" t="n">
        <f aca="false">BB50+BB43+BB15+SUM(BB51:BB54)</f>
        <v>0</v>
      </c>
      <c r="BC55" s="352" t="n">
        <f aca="false">BC50+BC43+BC15+SUM(BC51:BC54)</f>
        <v>0</v>
      </c>
      <c r="BD55" s="352" t="n">
        <f aca="false">BD50+BD43+BD15+SUM(BD51:BD54)</f>
        <v>0</v>
      </c>
      <c r="BE55" s="352" t="n">
        <f aca="false">BE50+BE43+BE15+SUM(BE51:BE54)</f>
        <v>0</v>
      </c>
      <c r="BF55" s="352" t="n">
        <f aca="false">BF50+BF43+BF15+SUM(BF51:BF54)</f>
        <v>0</v>
      </c>
      <c r="BG55" s="352" t="n">
        <f aca="false">BG50+BG43+BG15+SUM(BG51:BG54)</f>
        <v>0</v>
      </c>
      <c r="BH55" s="352" t="n">
        <f aca="false">BH50+BH43+BH15+SUM(BH51:BH54)</f>
        <v>0</v>
      </c>
      <c r="BI55" s="352" t="n">
        <f aca="false">BI50+BI43+BI15+SUM(BI51:BI54)</f>
        <v>0</v>
      </c>
      <c r="BJ55" s="352" t="n">
        <f aca="false">BJ50+BJ43+BJ15+SUM(BJ51:BJ54)</f>
        <v>0</v>
      </c>
      <c r="BK55" s="352" t="n">
        <f aca="false">BK50+BK43+BK15+SUM(BK51:BK54)</f>
        <v>0</v>
      </c>
      <c r="BL55" s="352" t="n">
        <f aca="false">BL50+BL43+BL15+SUM(BL51:BL54)</f>
        <v>0</v>
      </c>
      <c r="BM55" s="352" t="n">
        <f aca="false">BM50+BM43+BM15+SUM(BM51:BM54)</f>
        <v>0</v>
      </c>
      <c r="BN55" s="352" t="n">
        <f aca="false">BN50+BN43+BN15+SUM(BN51:BN54)</f>
        <v>0</v>
      </c>
      <c r="BO55" s="352" t="n">
        <f aca="false">BO50+BO43+BO15+SUM(BO51:BO54)</f>
        <v>0</v>
      </c>
      <c r="BP55" s="352" t="n">
        <f aca="false">BP50+BP43+BP15+SUM(BP51:BP54)</f>
        <v>0</v>
      </c>
      <c r="BQ55" s="352" t="n">
        <f aca="false">BQ50+BQ43+BQ15+SUM(BQ51:BQ54)</f>
        <v>0</v>
      </c>
      <c r="BR55" s="352" t="n">
        <f aca="false">BR50+BR43+BR15+SUM(BR51:BR54)</f>
        <v>0</v>
      </c>
      <c r="BS55" s="352" t="n">
        <f aca="false">BS50+BS43+BS15+SUM(BS51:BS54)</f>
        <v>0</v>
      </c>
      <c r="BT55" s="352" t="n">
        <f aca="false">BT50+BT43+BT15+SUM(BT51:BT54)</f>
        <v>0</v>
      </c>
      <c r="BU55" s="352" t="n">
        <f aca="false">BU50+BU43+BU15+SUM(BU51:BU54)</f>
        <v>0</v>
      </c>
      <c r="BV55" s="352" t="n">
        <f aca="false">BV50+BV43+BV15+SUM(BV51:BV54)</f>
        <v>0</v>
      </c>
      <c r="BW55" s="352" t="n">
        <f aca="false">BW50+BW43+BW15+SUM(BW51:BW54)</f>
        <v>0</v>
      </c>
      <c r="BX55" s="352" t="n">
        <f aca="false">BX50+BX43+BX15+SUM(BX51:BX54)</f>
        <v>0</v>
      </c>
      <c r="BY55" s="352" t="n">
        <f aca="false">BY50+BY43+BY15+SUM(BY51:BY54)</f>
        <v>0</v>
      </c>
      <c r="BZ55" s="352" t="n">
        <f aca="false">BZ50+BZ43+BZ15+SUM(BZ51:BZ54)</f>
        <v>0</v>
      </c>
      <c r="CA55" s="352" t="n">
        <f aca="false">CA50+CA43+CA15+SUM(CA51:CA54)</f>
        <v>0</v>
      </c>
      <c r="CB55" s="352" t="n">
        <f aca="false">CB50+CB43+CB15+SUM(CB51:CB54)</f>
        <v>0</v>
      </c>
      <c r="CC55" s="352" t="n">
        <f aca="false">CC50+CC43+CC15+SUM(CC51:CC54)</f>
        <v>0</v>
      </c>
      <c r="CD55" s="352" t="n">
        <f aca="false">CD50+CD43+CD15+SUM(CD51:CD54)</f>
        <v>0</v>
      </c>
      <c r="CE55" s="352" t="n">
        <f aca="false">CE50+CE43+CE15+SUM(CE51:CE54)</f>
        <v>0</v>
      </c>
      <c r="CF55" s="352" t="n">
        <f aca="false">CF50+CF43+CF15+SUM(CF51:CF54)</f>
        <v>0</v>
      </c>
      <c r="CG55" s="352" t="n">
        <f aca="false">CG50+CG43+CG15+SUM(CG51:CG54)</f>
        <v>0</v>
      </c>
      <c r="CH55" s="352" t="n">
        <f aca="false">CH50+CH43+CH15+SUM(CH51:CH54)</f>
        <v>0</v>
      </c>
      <c r="CI55" s="352" t="n">
        <f aca="false">CI50+CI43+CI15+SUM(CI51:CI54)</f>
        <v>0</v>
      </c>
      <c r="CJ55" s="352" t="n">
        <f aca="false">CJ50+CJ43+CJ15+SUM(CJ51:CJ54)</f>
        <v>0</v>
      </c>
      <c r="CK55" s="352" t="n">
        <f aca="false">CK50+CK43+CK15+SUM(CK51:CK54)</f>
        <v>0</v>
      </c>
      <c r="CL55" s="112"/>
    </row>
    <row r="56" s="299" customFormat="true" ht="4.5" hidden="false" customHeight="true" outlineLevel="0" collapsed="false">
      <c r="A56" s="40"/>
      <c r="B56" s="112"/>
      <c r="C56" s="51"/>
      <c r="D56" s="51"/>
      <c r="E56" s="159"/>
      <c r="F56" s="159"/>
      <c r="G56" s="159"/>
      <c r="H56" s="159"/>
      <c r="I56" s="159"/>
      <c r="J56" s="159"/>
      <c r="K56" s="159"/>
      <c r="L56" s="159"/>
      <c r="M56" s="159"/>
      <c r="N56" s="159"/>
      <c r="O56" s="159"/>
      <c r="P56" s="159"/>
      <c r="Q56" s="159"/>
      <c r="R56" s="159"/>
      <c r="S56" s="159"/>
      <c r="T56" s="159"/>
      <c r="U56" s="159"/>
      <c r="V56" s="159"/>
      <c r="W56" s="159"/>
      <c r="X56" s="159"/>
      <c r="Y56" s="159"/>
      <c r="Z56" s="159"/>
      <c r="AA56" s="159"/>
      <c r="AB56" s="159"/>
      <c r="AC56" s="159"/>
      <c r="AD56" s="159"/>
      <c r="AE56" s="159"/>
      <c r="AF56" s="159"/>
      <c r="AG56" s="159"/>
      <c r="AH56" s="159"/>
      <c r="AI56" s="159"/>
      <c r="AJ56" s="159"/>
      <c r="AK56" s="159"/>
      <c r="AL56" s="159"/>
      <c r="AM56" s="159"/>
      <c r="AN56" s="159"/>
      <c r="AO56" s="159"/>
      <c r="AP56" s="159"/>
      <c r="AQ56" s="159"/>
      <c r="AR56" s="159"/>
      <c r="AS56" s="159"/>
      <c r="AT56" s="159"/>
      <c r="AU56" s="308"/>
      <c r="AV56" s="308"/>
      <c r="AW56" s="308"/>
      <c r="AX56" s="308"/>
      <c r="AY56" s="308"/>
      <c r="AZ56" s="308"/>
      <c r="BA56" s="308"/>
      <c r="BB56" s="308"/>
      <c r="BC56" s="308"/>
      <c r="BD56" s="308"/>
      <c r="BE56" s="308"/>
      <c r="BF56" s="308"/>
      <c r="BG56" s="308"/>
      <c r="BH56" s="308"/>
      <c r="BI56" s="308"/>
      <c r="BJ56" s="308"/>
      <c r="BK56" s="308"/>
      <c r="BL56" s="308"/>
      <c r="BM56" s="308"/>
      <c r="BN56" s="308"/>
      <c r="BO56" s="308"/>
      <c r="BP56" s="308"/>
      <c r="BQ56" s="308"/>
      <c r="BR56" s="308"/>
      <c r="BS56" s="308"/>
      <c r="BT56" s="308"/>
      <c r="BU56" s="308"/>
      <c r="BV56" s="308"/>
      <c r="BW56" s="308"/>
      <c r="BX56" s="308"/>
      <c r="BY56" s="308"/>
      <c r="BZ56" s="308"/>
      <c r="CA56" s="308"/>
      <c r="CB56" s="308"/>
      <c r="CC56" s="308"/>
      <c r="CD56" s="308"/>
      <c r="CE56" s="308"/>
      <c r="CF56" s="308"/>
      <c r="CG56" s="308"/>
      <c r="CH56" s="308"/>
      <c r="CI56" s="308"/>
      <c r="CJ56" s="308"/>
      <c r="CK56" s="308"/>
      <c r="CL56" s="112"/>
    </row>
    <row r="57" s="299" customFormat="true" ht="11.25" hidden="false" customHeight="true" outlineLevel="1" collapsed="false">
      <c r="A57" s="40"/>
      <c r="B57" s="112"/>
      <c r="C57" s="132" t="s">
        <v>547</v>
      </c>
      <c r="D57" s="132" t="s">
        <v>548</v>
      </c>
      <c r="E57" s="159"/>
      <c r="F57" s="159"/>
      <c r="G57" s="159"/>
      <c r="H57" s="159"/>
      <c r="I57" s="159"/>
      <c r="J57" s="159"/>
      <c r="K57" s="159"/>
      <c r="L57" s="159"/>
      <c r="M57" s="159"/>
      <c r="N57" s="159"/>
      <c r="O57" s="159"/>
      <c r="P57" s="159"/>
      <c r="Q57" s="159"/>
      <c r="R57" s="159"/>
      <c r="S57" s="159"/>
      <c r="T57" s="159"/>
      <c r="U57" s="159"/>
      <c r="V57" s="159"/>
      <c r="W57" s="159"/>
      <c r="X57" s="159"/>
      <c r="Y57" s="159"/>
      <c r="Z57" s="159"/>
      <c r="AA57" s="159"/>
      <c r="AB57" s="159"/>
      <c r="AC57" s="159"/>
      <c r="AD57" s="159"/>
      <c r="AE57" s="159"/>
      <c r="AF57" s="159"/>
      <c r="AG57" s="159"/>
      <c r="AH57" s="159"/>
      <c r="AI57" s="159"/>
      <c r="AJ57" s="159"/>
      <c r="AK57" s="159"/>
      <c r="AL57" s="159"/>
      <c r="AM57" s="159"/>
      <c r="AN57" s="159"/>
      <c r="AO57" s="159"/>
      <c r="AP57" s="159"/>
      <c r="AQ57" s="159"/>
      <c r="AR57" s="159"/>
      <c r="AS57" s="159"/>
      <c r="AT57" s="159"/>
      <c r="AU57" s="308"/>
      <c r="AV57" s="308"/>
      <c r="AW57" s="308"/>
      <c r="AX57" s="308"/>
      <c r="AY57" s="308"/>
      <c r="AZ57" s="308"/>
      <c r="BA57" s="308"/>
      <c r="BB57" s="308"/>
      <c r="BC57" s="308"/>
      <c r="BD57" s="308"/>
      <c r="BE57" s="308"/>
      <c r="BF57" s="308"/>
      <c r="BG57" s="308"/>
      <c r="BH57" s="308"/>
      <c r="BI57" s="308"/>
      <c r="BJ57" s="308"/>
      <c r="BK57" s="308"/>
      <c r="BL57" s="308"/>
      <c r="BM57" s="308"/>
      <c r="BN57" s="308"/>
      <c r="BO57" s="308"/>
      <c r="BP57" s="308"/>
      <c r="BQ57" s="308"/>
      <c r="BR57" s="308"/>
      <c r="BS57" s="308"/>
      <c r="BT57" s="308"/>
      <c r="BU57" s="308"/>
      <c r="BV57" s="308"/>
      <c r="BW57" s="308"/>
      <c r="BX57" s="308"/>
      <c r="BY57" s="308"/>
      <c r="BZ57" s="308"/>
      <c r="CA57" s="308"/>
      <c r="CB57" s="308"/>
      <c r="CC57" s="308"/>
      <c r="CD57" s="308"/>
      <c r="CE57" s="308"/>
      <c r="CF57" s="308"/>
      <c r="CG57" s="308"/>
      <c r="CH57" s="308"/>
      <c r="CI57" s="308"/>
      <c r="CJ57" s="308"/>
      <c r="CK57" s="308"/>
      <c r="CL57" s="112"/>
    </row>
    <row r="58" s="299" customFormat="true" ht="11.25" hidden="false" customHeight="true" outlineLevel="1" collapsed="false">
      <c r="A58" s="40"/>
      <c r="B58" s="112"/>
      <c r="C58" s="51" t="s">
        <v>549</v>
      </c>
      <c r="D58" s="51" t="s">
        <v>550</v>
      </c>
      <c r="E58" s="159" t="n">
        <f aca="false">'Lead NA'!E226</f>
        <v>0</v>
      </c>
      <c r="F58" s="159" t="n">
        <f aca="false">E63</f>
        <v>0</v>
      </c>
      <c r="G58" s="159" t="n">
        <f aca="false">F63</f>
        <v>0</v>
      </c>
      <c r="H58" s="159" t="n">
        <f aca="false">G63</f>
        <v>0</v>
      </c>
      <c r="I58" s="159" t="n">
        <f aca="false">H63</f>
        <v>0</v>
      </c>
      <c r="J58" s="159" t="n">
        <f aca="false">I63</f>
        <v>0</v>
      </c>
      <c r="K58" s="159" t="n">
        <f aca="false">J63</f>
        <v>0</v>
      </c>
      <c r="L58" s="159" t="n">
        <f aca="false">K63</f>
        <v>0</v>
      </c>
      <c r="M58" s="159" t="n">
        <f aca="false">L63</f>
        <v>0</v>
      </c>
      <c r="N58" s="159" t="n">
        <f aca="false">M63</f>
        <v>0</v>
      </c>
      <c r="O58" s="159" t="n">
        <f aca="false">N63</f>
        <v>0</v>
      </c>
      <c r="P58" s="159" t="n">
        <f aca="false">O63</f>
        <v>0</v>
      </c>
      <c r="Q58" s="159" t="n">
        <f aca="false">P63</f>
        <v>0</v>
      </c>
      <c r="R58" s="159" t="n">
        <f aca="false">Q63</f>
        <v>0</v>
      </c>
      <c r="S58" s="159" t="n">
        <f aca="false">R63</f>
        <v>0</v>
      </c>
      <c r="T58" s="159" t="n">
        <f aca="false">S63</f>
        <v>0</v>
      </c>
      <c r="U58" s="159" t="n">
        <f aca="false">T63</f>
        <v>0</v>
      </c>
      <c r="V58" s="159" t="n">
        <f aca="false">U63</f>
        <v>0</v>
      </c>
      <c r="W58" s="159" t="n">
        <f aca="false">V63</f>
        <v>0</v>
      </c>
      <c r="X58" s="159" t="n">
        <f aca="false">W63</f>
        <v>0</v>
      </c>
      <c r="Y58" s="159" t="n">
        <f aca="false">X63</f>
        <v>0</v>
      </c>
      <c r="Z58" s="159" t="n">
        <f aca="false">Y63</f>
        <v>0</v>
      </c>
      <c r="AA58" s="159" t="n">
        <f aca="false">Z63</f>
        <v>0</v>
      </c>
      <c r="AB58" s="159" t="n">
        <f aca="false">AA63</f>
        <v>0</v>
      </c>
      <c r="AC58" s="159" t="n">
        <f aca="false">AB63</f>
        <v>0</v>
      </c>
      <c r="AD58" s="159" t="n">
        <f aca="false">AC63</f>
        <v>0</v>
      </c>
      <c r="AE58" s="159" t="n">
        <f aca="false">AD63</f>
        <v>0</v>
      </c>
      <c r="AF58" s="159" t="n">
        <f aca="false">AE63</f>
        <v>0</v>
      </c>
      <c r="AG58" s="159" t="n">
        <f aca="false">AF63</f>
        <v>0</v>
      </c>
      <c r="AH58" s="159" t="n">
        <f aca="false">AG63</f>
        <v>0</v>
      </c>
      <c r="AI58" s="159" t="n">
        <f aca="false">AH63</f>
        <v>0</v>
      </c>
      <c r="AJ58" s="159" t="n">
        <f aca="false">AI63</f>
        <v>0</v>
      </c>
      <c r="AK58" s="159" t="n">
        <f aca="false">AJ63</f>
        <v>0</v>
      </c>
      <c r="AL58" s="159" t="n">
        <f aca="false">AK63</f>
        <v>0</v>
      </c>
      <c r="AM58" s="159" t="n">
        <f aca="false">AL63</f>
        <v>0</v>
      </c>
      <c r="AN58" s="159" t="n">
        <f aca="false">AM63</f>
        <v>0</v>
      </c>
      <c r="AO58" s="159" t="n">
        <f aca="false">AN63</f>
        <v>0</v>
      </c>
      <c r="AP58" s="159" t="n">
        <f aca="false">AO63</f>
        <v>0</v>
      </c>
      <c r="AQ58" s="159" t="n">
        <f aca="false">AP63</f>
        <v>0</v>
      </c>
      <c r="AR58" s="159" t="n">
        <f aca="false">AQ63</f>
        <v>0</v>
      </c>
      <c r="AS58" s="159" t="n">
        <f aca="false">AR63</f>
        <v>0</v>
      </c>
      <c r="AT58" s="159" t="n">
        <f aca="false">AS63</f>
        <v>0</v>
      </c>
      <c r="AU58" s="308" t="n">
        <f aca="false">AT63</f>
        <v>0</v>
      </c>
      <c r="AV58" s="308" t="n">
        <f aca="false">AU63</f>
        <v>0</v>
      </c>
      <c r="AW58" s="308" t="n">
        <f aca="false">AV63</f>
        <v>0</v>
      </c>
      <c r="AX58" s="308" t="n">
        <f aca="false">AW63</f>
        <v>0</v>
      </c>
      <c r="AY58" s="308" t="n">
        <f aca="false">AX63</f>
        <v>0</v>
      </c>
      <c r="AZ58" s="308" t="n">
        <f aca="false">AY63</f>
        <v>0</v>
      </c>
      <c r="BA58" s="308" t="n">
        <f aca="false">AZ63</f>
        <v>0</v>
      </c>
      <c r="BB58" s="308" t="n">
        <f aca="false">BA63</f>
        <v>0</v>
      </c>
      <c r="BC58" s="308" t="n">
        <f aca="false">BB63</f>
        <v>0</v>
      </c>
      <c r="BD58" s="308" t="n">
        <f aca="false">BC63</f>
        <v>0</v>
      </c>
      <c r="BE58" s="308" t="n">
        <f aca="false">BD63</f>
        <v>0</v>
      </c>
      <c r="BF58" s="308" t="n">
        <f aca="false">BE63</f>
        <v>0</v>
      </c>
      <c r="BG58" s="308" t="n">
        <f aca="false">BF63</f>
        <v>0</v>
      </c>
      <c r="BH58" s="308" t="n">
        <f aca="false">BG63</f>
        <v>0</v>
      </c>
      <c r="BI58" s="308" t="n">
        <f aca="false">BH63</f>
        <v>0</v>
      </c>
      <c r="BJ58" s="308" t="n">
        <f aca="false">BI63</f>
        <v>0</v>
      </c>
      <c r="BK58" s="308" t="n">
        <f aca="false">BJ63</f>
        <v>0</v>
      </c>
      <c r="BL58" s="308" t="n">
        <f aca="false">BK63</f>
        <v>0</v>
      </c>
      <c r="BM58" s="308" t="n">
        <f aca="false">BL63</f>
        <v>0</v>
      </c>
      <c r="BN58" s="308" t="n">
        <f aca="false">BM63</f>
        <v>0</v>
      </c>
      <c r="BO58" s="308" t="n">
        <f aca="false">BN63</f>
        <v>0</v>
      </c>
      <c r="BP58" s="308" t="n">
        <f aca="false">BO63</f>
        <v>0</v>
      </c>
      <c r="BQ58" s="308" t="n">
        <f aca="false">BP63</f>
        <v>0</v>
      </c>
      <c r="BR58" s="308" t="n">
        <f aca="false">BQ63</f>
        <v>0</v>
      </c>
      <c r="BS58" s="308" t="n">
        <f aca="false">BR63</f>
        <v>0</v>
      </c>
      <c r="BT58" s="308" t="n">
        <f aca="false">BS63</f>
        <v>0</v>
      </c>
      <c r="BU58" s="308" t="n">
        <f aca="false">BT63</f>
        <v>0</v>
      </c>
      <c r="BV58" s="308" t="n">
        <f aca="false">BU63</f>
        <v>0</v>
      </c>
      <c r="BW58" s="308" t="n">
        <f aca="false">BV63</f>
        <v>0</v>
      </c>
      <c r="BX58" s="308" t="n">
        <f aca="false">BW63</f>
        <v>0</v>
      </c>
      <c r="BY58" s="308" t="n">
        <f aca="false">BX63</f>
        <v>0</v>
      </c>
      <c r="BZ58" s="308" t="n">
        <f aca="false">BY63</f>
        <v>0</v>
      </c>
      <c r="CA58" s="308" t="n">
        <f aca="false">BZ63</f>
        <v>0</v>
      </c>
      <c r="CB58" s="308" t="n">
        <f aca="false">CA63</f>
        <v>0</v>
      </c>
      <c r="CC58" s="308" t="n">
        <f aca="false">CB63</f>
        <v>0</v>
      </c>
      <c r="CD58" s="308" t="n">
        <f aca="false">CC63</f>
        <v>0</v>
      </c>
      <c r="CE58" s="308" t="n">
        <f aca="false">CD63</f>
        <v>0</v>
      </c>
      <c r="CF58" s="308" t="n">
        <f aca="false">CE63</f>
        <v>0</v>
      </c>
      <c r="CG58" s="308" t="n">
        <f aca="false">CF63</f>
        <v>0</v>
      </c>
      <c r="CH58" s="308" t="n">
        <f aca="false">CG63</f>
        <v>0</v>
      </c>
      <c r="CI58" s="308" t="n">
        <f aca="false">CH63</f>
        <v>0</v>
      </c>
      <c r="CJ58" s="308" t="n">
        <f aca="false">CI63</f>
        <v>0</v>
      </c>
      <c r="CK58" s="308" t="n">
        <f aca="false">CJ63</f>
        <v>0</v>
      </c>
      <c r="CL58" s="112"/>
    </row>
    <row r="59" s="299" customFormat="true" ht="11.25" hidden="false" customHeight="true" outlineLevel="1" collapsed="false">
      <c r="A59" s="40"/>
      <c r="B59" s="112"/>
      <c r="C59" s="186" t="s">
        <v>551</v>
      </c>
      <c r="D59" s="186" t="s">
        <v>552</v>
      </c>
      <c r="E59" s="159" t="n">
        <f aca="false">'Lead NA'!E227</f>
        <v>0</v>
      </c>
      <c r="F59" s="159"/>
      <c r="G59" s="159"/>
      <c r="H59" s="159"/>
      <c r="I59" s="159"/>
      <c r="J59" s="159"/>
      <c r="K59" s="159"/>
      <c r="L59" s="159"/>
      <c r="M59" s="159"/>
      <c r="N59" s="159"/>
      <c r="O59" s="159"/>
      <c r="P59" s="159"/>
      <c r="Q59" s="159"/>
      <c r="R59" s="159"/>
      <c r="S59" s="159"/>
      <c r="T59" s="159"/>
      <c r="U59" s="159"/>
      <c r="V59" s="159"/>
      <c r="W59" s="159"/>
      <c r="X59" s="159"/>
      <c r="Y59" s="159"/>
      <c r="Z59" s="159"/>
      <c r="AA59" s="159"/>
      <c r="AB59" s="159"/>
      <c r="AC59" s="159"/>
      <c r="AD59" s="159"/>
      <c r="AE59" s="159"/>
      <c r="AF59" s="159"/>
      <c r="AG59" s="159"/>
      <c r="AH59" s="159"/>
      <c r="AI59" s="159"/>
      <c r="AJ59" s="159"/>
      <c r="AK59" s="159"/>
      <c r="AL59" s="159"/>
      <c r="AM59" s="159"/>
      <c r="AN59" s="159"/>
      <c r="AO59" s="159"/>
      <c r="AP59" s="159"/>
      <c r="AQ59" s="159"/>
      <c r="AR59" s="159"/>
      <c r="AS59" s="159"/>
      <c r="AT59" s="159"/>
      <c r="AU59" s="308"/>
      <c r="AV59" s="308"/>
      <c r="AW59" s="308"/>
      <c r="AX59" s="308"/>
      <c r="AY59" s="308"/>
      <c r="AZ59" s="308"/>
      <c r="BA59" s="308"/>
      <c r="BB59" s="308"/>
      <c r="BC59" s="308"/>
      <c r="BD59" s="308"/>
      <c r="BE59" s="308"/>
      <c r="BF59" s="308"/>
      <c r="BG59" s="308"/>
      <c r="BH59" s="308"/>
      <c r="BI59" s="308"/>
      <c r="BJ59" s="308"/>
      <c r="BK59" s="308"/>
      <c r="BL59" s="308"/>
      <c r="BM59" s="308"/>
      <c r="BN59" s="308"/>
      <c r="BO59" s="308"/>
      <c r="BP59" s="308"/>
      <c r="BQ59" s="308"/>
      <c r="BR59" s="308"/>
      <c r="BS59" s="308"/>
      <c r="BT59" s="308"/>
      <c r="BU59" s="308"/>
      <c r="BV59" s="308"/>
      <c r="BW59" s="308"/>
      <c r="BX59" s="308"/>
      <c r="BY59" s="308"/>
      <c r="BZ59" s="308"/>
      <c r="CA59" s="308"/>
      <c r="CB59" s="308"/>
      <c r="CC59" s="308"/>
      <c r="CD59" s="308"/>
      <c r="CE59" s="308"/>
      <c r="CF59" s="308"/>
      <c r="CG59" s="308"/>
      <c r="CH59" s="308"/>
      <c r="CI59" s="308"/>
      <c r="CJ59" s="308"/>
      <c r="CK59" s="308"/>
      <c r="CL59" s="112"/>
      <c r="CN59" s="187" t="s">
        <v>553</v>
      </c>
    </row>
    <row r="60" s="299" customFormat="true" ht="11.25" hidden="false" customHeight="true" outlineLevel="1" collapsed="false">
      <c r="A60" s="40"/>
      <c r="B60" s="112"/>
      <c r="C60" s="186" t="s">
        <v>554</v>
      </c>
      <c r="D60" s="186" t="s">
        <v>555</v>
      </c>
      <c r="E60" s="159" t="n">
        <f aca="false">'Lead NA'!E228</f>
        <v>0</v>
      </c>
      <c r="F60" s="159"/>
      <c r="G60" s="159"/>
      <c r="H60" s="159"/>
      <c r="I60" s="159"/>
      <c r="J60" s="159"/>
      <c r="K60" s="159"/>
      <c r="L60" s="159"/>
      <c r="M60" s="159"/>
      <c r="N60" s="159"/>
      <c r="O60" s="159"/>
      <c r="P60" s="159"/>
      <c r="Q60" s="159"/>
      <c r="R60" s="159"/>
      <c r="S60" s="159"/>
      <c r="T60" s="159"/>
      <c r="U60" s="159"/>
      <c r="V60" s="159"/>
      <c r="W60" s="159"/>
      <c r="X60" s="159"/>
      <c r="Y60" s="159"/>
      <c r="Z60" s="159"/>
      <c r="AA60" s="159"/>
      <c r="AB60" s="159"/>
      <c r="AC60" s="159"/>
      <c r="AD60" s="159"/>
      <c r="AE60" s="159"/>
      <c r="AF60" s="159"/>
      <c r="AG60" s="159"/>
      <c r="AH60" s="159"/>
      <c r="AI60" s="159"/>
      <c r="AJ60" s="159"/>
      <c r="AK60" s="159"/>
      <c r="AL60" s="159"/>
      <c r="AM60" s="159"/>
      <c r="AN60" s="159"/>
      <c r="AO60" s="159"/>
      <c r="AP60" s="159"/>
      <c r="AQ60" s="159"/>
      <c r="AR60" s="159"/>
      <c r="AS60" s="159"/>
      <c r="AT60" s="159"/>
      <c r="AU60" s="308"/>
      <c r="AV60" s="308"/>
      <c r="AW60" s="308"/>
      <c r="AX60" s="308"/>
      <c r="AY60" s="308"/>
      <c r="AZ60" s="308"/>
      <c r="BA60" s="308"/>
      <c r="BB60" s="308"/>
      <c r="BC60" s="308"/>
      <c r="BD60" s="308"/>
      <c r="BE60" s="308"/>
      <c r="BF60" s="308"/>
      <c r="BG60" s="308"/>
      <c r="BH60" s="308"/>
      <c r="BI60" s="308"/>
      <c r="BJ60" s="308"/>
      <c r="BK60" s="308"/>
      <c r="BL60" s="308"/>
      <c r="BM60" s="308"/>
      <c r="BN60" s="308"/>
      <c r="BO60" s="308"/>
      <c r="BP60" s="308"/>
      <c r="BQ60" s="308"/>
      <c r="BR60" s="308"/>
      <c r="BS60" s="308"/>
      <c r="BT60" s="308"/>
      <c r="BU60" s="308"/>
      <c r="BV60" s="308"/>
      <c r="BW60" s="308"/>
      <c r="BX60" s="308"/>
      <c r="BY60" s="308"/>
      <c r="BZ60" s="308"/>
      <c r="CA60" s="308"/>
      <c r="CB60" s="308"/>
      <c r="CC60" s="308"/>
      <c r="CD60" s="308"/>
      <c r="CE60" s="308"/>
      <c r="CF60" s="308"/>
      <c r="CG60" s="308"/>
      <c r="CH60" s="308"/>
      <c r="CI60" s="308"/>
      <c r="CJ60" s="308"/>
      <c r="CK60" s="308"/>
      <c r="CL60" s="112"/>
      <c r="CN60" s="187" t="s">
        <v>553</v>
      </c>
    </row>
    <row r="61" s="299" customFormat="true" ht="11.25" hidden="false" customHeight="true" outlineLevel="1" collapsed="false">
      <c r="A61" s="40"/>
      <c r="B61" s="112"/>
      <c r="C61" s="186" t="s">
        <v>556</v>
      </c>
      <c r="D61" s="186" t="s">
        <v>557</v>
      </c>
      <c r="E61" s="159" t="n">
        <f aca="false">'Lead NA'!E229</f>
        <v>0</v>
      </c>
      <c r="F61" s="159"/>
      <c r="G61" s="159"/>
      <c r="H61" s="159"/>
      <c r="I61" s="159"/>
      <c r="J61" s="159"/>
      <c r="K61" s="159"/>
      <c r="L61" s="159"/>
      <c r="M61" s="159"/>
      <c r="N61" s="159"/>
      <c r="O61" s="159"/>
      <c r="P61" s="159"/>
      <c r="Q61" s="159"/>
      <c r="R61" s="159"/>
      <c r="S61" s="159"/>
      <c r="T61" s="159"/>
      <c r="U61" s="159"/>
      <c r="V61" s="159"/>
      <c r="W61" s="159"/>
      <c r="X61" s="159"/>
      <c r="Y61" s="159"/>
      <c r="Z61" s="159"/>
      <c r="AA61" s="159"/>
      <c r="AB61" s="159"/>
      <c r="AC61" s="159"/>
      <c r="AD61" s="159"/>
      <c r="AE61" s="159"/>
      <c r="AF61" s="159"/>
      <c r="AG61" s="159"/>
      <c r="AH61" s="159"/>
      <c r="AI61" s="159"/>
      <c r="AJ61" s="159"/>
      <c r="AK61" s="159"/>
      <c r="AL61" s="159"/>
      <c r="AM61" s="159"/>
      <c r="AN61" s="159"/>
      <c r="AO61" s="159"/>
      <c r="AP61" s="159"/>
      <c r="AQ61" s="159"/>
      <c r="AR61" s="159"/>
      <c r="AS61" s="159"/>
      <c r="AT61" s="159"/>
      <c r="AU61" s="308"/>
      <c r="AV61" s="308"/>
      <c r="AW61" s="308"/>
      <c r="AX61" s="308"/>
      <c r="AY61" s="308"/>
      <c r="AZ61" s="308"/>
      <c r="BA61" s="308"/>
      <c r="BB61" s="308"/>
      <c r="BC61" s="308"/>
      <c r="BD61" s="308"/>
      <c r="BE61" s="308"/>
      <c r="BF61" s="308"/>
      <c r="BG61" s="308"/>
      <c r="BH61" s="308"/>
      <c r="BI61" s="308"/>
      <c r="BJ61" s="308"/>
      <c r="BK61" s="308"/>
      <c r="BL61" s="308"/>
      <c r="BM61" s="308"/>
      <c r="BN61" s="308"/>
      <c r="BO61" s="308"/>
      <c r="BP61" s="308"/>
      <c r="BQ61" s="308"/>
      <c r="BR61" s="308"/>
      <c r="BS61" s="308"/>
      <c r="BT61" s="308"/>
      <c r="BU61" s="308"/>
      <c r="BV61" s="308"/>
      <c r="BW61" s="308"/>
      <c r="BX61" s="308"/>
      <c r="BY61" s="308"/>
      <c r="BZ61" s="308"/>
      <c r="CA61" s="308"/>
      <c r="CB61" s="308"/>
      <c r="CC61" s="308"/>
      <c r="CD61" s="308"/>
      <c r="CE61" s="308"/>
      <c r="CF61" s="308"/>
      <c r="CG61" s="308"/>
      <c r="CH61" s="308"/>
      <c r="CI61" s="308"/>
      <c r="CJ61" s="308"/>
      <c r="CK61" s="308"/>
      <c r="CL61" s="112"/>
      <c r="CN61" s="187" t="s">
        <v>553</v>
      </c>
    </row>
    <row r="62" s="299" customFormat="true" ht="11.25" hidden="false" customHeight="true" outlineLevel="1" collapsed="false">
      <c r="A62" s="40"/>
      <c r="B62" s="112"/>
      <c r="C62" s="188" t="s">
        <v>558</v>
      </c>
      <c r="D62" s="188" t="s">
        <v>559</v>
      </c>
      <c r="E62" s="159" t="n">
        <f aca="false">'Lead NA'!E230</f>
        <v>0</v>
      </c>
      <c r="F62" s="159"/>
      <c r="G62" s="159"/>
      <c r="H62" s="159"/>
      <c r="I62" s="159"/>
      <c r="J62" s="159"/>
      <c r="K62" s="159"/>
      <c r="L62" s="159"/>
      <c r="M62" s="159"/>
      <c r="N62" s="159"/>
      <c r="O62" s="159"/>
      <c r="P62" s="159"/>
      <c r="Q62" s="159"/>
      <c r="R62" s="159"/>
      <c r="S62" s="159"/>
      <c r="T62" s="159"/>
      <c r="U62" s="159"/>
      <c r="V62" s="159"/>
      <c r="W62" s="159"/>
      <c r="X62" s="159"/>
      <c r="Y62" s="159"/>
      <c r="Z62" s="159"/>
      <c r="AA62" s="159"/>
      <c r="AB62" s="159"/>
      <c r="AC62" s="159"/>
      <c r="AD62" s="159"/>
      <c r="AE62" s="159"/>
      <c r="AF62" s="159"/>
      <c r="AG62" s="159"/>
      <c r="AH62" s="159"/>
      <c r="AI62" s="159"/>
      <c r="AJ62" s="159"/>
      <c r="AK62" s="159"/>
      <c r="AL62" s="159"/>
      <c r="AM62" s="159"/>
      <c r="AN62" s="159"/>
      <c r="AO62" s="159"/>
      <c r="AP62" s="159"/>
      <c r="AQ62" s="159"/>
      <c r="AR62" s="159"/>
      <c r="AS62" s="159"/>
      <c r="AT62" s="159"/>
      <c r="AU62" s="308"/>
      <c r="AV62" s="308"/>
      <c r="AW62" s="308"/>
      <c r="AX62" s="308"/>
      <c r="AY62" s="308"/>
      <c r="AZ62" s="308"/>
      <c r="BA62" s="308"/>
      <c r="BB62" s="308"/>
      <c r="BC62" s="308"/>
      <c r="BD62" s="308"/>
      <c r="BE62" s="308"/>
      <c r="BF62" s="308"/>
      <c r="BG62" s="308"/>
      <c r="BH62" s="308"/>
      <c r="BI62" s="308"/>
      <c r="BJ62" s="308"/>
      <c r="BK62" s="308"/>
      <c r="BL62" s="308"/>
      <c r="BM62" s="308"/>
      <c r="BN62" s="308"/>
      <c r="BO62" s="308"/>
      <c r="BP62" s="308"/>
      <c r="BQ62" s="308"/>
      <c r="BR62" s="308"/>
      <c r="BS62" s="308"/>
      <c r="BT62" s="308"/>
      <c r="BU62" s="308"/>
      <c r="BV62" s="308"/>
      <c r="BW62" s="308"/>
      <c r="BX62" s="308"/>
      <c r="BY62" s="308"/>
      <c r="BZ62" s="308"/>
      <c r="CA62" s="308"/>
      <c r="CB62" s="308"/>
      <c r="CC62" s="308"/>
      <c r="CD62" s="308"/>
      <c r="CE62" s="308"/>
      <c r="CF62" s="308"/>
      <c r="CG62" s="308"/>
      <c r="CH62" s="308"/>
      <c r="CI62" s="308"/>
      <c r="CJ62" s="308"/>
      <c r="CK62" s="308"/>
      <c r="CL62" s="112"/>
    </row>
    <row r="63" s="299" customFormat="true" ht="11.25" hidden="false" customHeight="true" outlineLevel="1" collapsed="false">
      <c r="A63" s="40"/>
      <c r="B63" s="112"/>
      <c r="C63" s="181" t="s">
        <v>560</v>
      </c>
      <c r="D63" s="181" t="s">
        <v>561</v>
      </c>
      <c r="E63" s="182" t="n">
        <f aca="false">SUM(E58:E62)</f>
        <v>0</v>
      </c>
      <c r="F63" s="182" t="n">
        <f aca="false">SUM(F58:F62)</f>
        <v>0</v>
      </c>
      <c r="G63" s="182" t="n">
        <f aca="false">SUM(G58:G62)</f>
        <v>0</v>
      </c>
      <c r="H63" s="182" t="n">
        <f aca="false">SUM(H58:H62)</f>
        <v>0</v>
      </c>
      <c r="I63" s="182" t="n">
        <f aca="false">SUM(I58:I62)</f>
        <v>0</v>
      </c>
      <c r="J63" s="298" t="n">
        <f aca="false">SUM(J58:J62)</f>
        <v>0</v>
      </c>
      <c r="K63" s="298" t="n">
        <f aca="false">SUM(K58:K62)</f>
        <v>0</v>
      </c>
      <c r="L63" s="298" t="n">
        <f aca="false">SUM(L58:L62)</f>
        <v>0</v>
      </c>
      <c r="M63" s="298" t="n">
        <f aca="false">SUM(M58:M62)</f>
        <v>0</v>
      </c>
      <c r="N63" s="298" t="n">
        <f aca="false">SUM(N58:N62)</f>
        <v>0</v>
      </c>
      <c r="O63" s="298" t="n">
        <f aca="false">SUM(O58:O62)</f>
        <v>0</v>
      </c>
      <c r="P63" s="298" t="n">
        <f aca="false">SUM(P58:P62)</f>
        <v>0</v>
      </c>
      <c r="Q63" s="298" t="n">
        <f aca="false">SUM(Q58:Q62)</f>
        <v>0</v>
      </c>
      <c r="R63" s="298" t="n">
        <f aca="false">SUM(R58:R62)</f>
        <v>0</v>
      </c>
      <c r="S63" s="298" t="n">
        <f aca="false">SUM(S58:S62)</f>
        <v>0</v>
      </c>
      <c r="T63" s="298" t="n">
        <f aca="false">SUM(T58:T62)</f>
        <v>0</v>
      </c>
      <c r="U63" s="298" t="n">
        <f aca="false">SUM(U58:U62)</f>
        <v>0</v>
      </c>
      <c r="V63" s="298" t="n">
        <f aca="false">SUM(V58:V62)</f>
        <v>0</v>
      </c>
      <c r="W63" s="298" t="n">
        <f aca="false">SUM(W58:W62)</f>
        <v>0</v>
      </c>
      <c r="X63" s="298" t="n">
        <f aca="false">SUM(X58:X62)</f>
        <v>0</v>
      </c>
      <c r="Y63" s="298" t="n">
        <f aca="false">SUM(Y58:Y62)</f>
        <v>0</v>
      </c>
      <c r="Z63" s="298" t="n">
        <f aca="false">SUM(Z58:Z62)</f>
        <v>0</v>
      </c>
      <c r="AA63" s="298" t="n">
        <f aca="false">SUM(AA58:AA62)</f>
        <v>0</v>
      </c>
      <c r="AB63" s="298" t="n">
        <f aca="false">SUM(AB58:AB62)</f>
        <v>0</v>
      </c>
      <c r="AC63" s="298" t="n">
        <f aca="false">SUM(AC58:AC62)</f>
        <v>0</v>
      </c>
      <c r="AD63" s="298" t="n">
        <f aca="false">SUM(AD58:AD62)</f>
        <v>0</v>
      </c>
      <c r="AE63" s="298" t="n">
        <f aca="false">SUM(AE58:AE62)</f>
        <v>0</v>
      </c>
      <c r="AF63" s="298" t="n">
        <f aca="false">SUM(AF58:AF62)</f>
        <v>0</v>
      </c>
      <c r="AG63" s="298" t="n">
        <f aca="false">SUM(AG58:AG62)</f>
        <v>0</v>
      </c>
      <c r="AH63" s="298" t="n">
        <f aca="false">SUM(AH58:AH62)</f>
        <v>0</v>
      </c>
      <c r="AI63" s="298" t="n">
        <f aca="false">SUM(AI58:AI62)</f>
        <v>0</v>
      </c>
      <c r="AJ63" s="298" t="n">
        <f aca="false">SUM(AJ58:AJ62)</f>
        <v>0</v>
      </c>
      <c r="AK63" s="298" t="n">
        <f aca="false">SUM(AK58:AK62)</f>
        <v>0</v>
      </c>
      <c r="AL63" s="298" t="n">
        <f aca="false">SUM(AL58:AL62)</f>
        <v>0</v>
      </c>
      <c r="AM63" s="298" t="n">
        <f aca="false">SUM(AM58:AM62)</f>
        <v>0</v>
      </c>
      <c r="AN63" s="298" t="n">
        <f aca="false">SUM(AN58:AN62)</f>
        <v>0</v>
      </c>
      <c r="AO63" s="298" t="n">
        <f aca="false">SUM(AO58:AO62)</f>
        <v>0</v>
      </c>
      <c r="AP63" s="298" t="n">
        <f aca="false">SUM(AP58:AP62)</f>
        <v>0</v>
      </c>
      <c r="AQ63" s="298" t="n">
        <f aca="false">SUM(AQ58:AQ62)</f>
        <v>0</v>
      </c>
      <c r="AR63" s="298" t="n">
        <f aca="false">SUM(AR58:AR62)</f>
        <v>0</v>
      </c>
      <c r="AS63" s="298" t="n">
        <f aca="false">SUM(AS58:AS62)</f>
        <v>0</v>
      </c>
      <c r="AT63" s="298" t="n">
        <f aca="false">SUM(AT58:AT62)</f>
        <v>0</v>
      </c>
      <c r="AU63" s="353" t="n">
        <f aca="false">SUM(AU58:AU62)</f>
        <v>0</v>
      </c>
      <c r="AV63" s="353" t="n">
        <f aca="false">SUM(AV58:AV62)</f>
        <v>0</v>
      </c>
      <c r="AW63" s="353" t="n">
        <f aca="false">SUM(AW58:AW62)</f>
        <v>0</v>
      </c>
      <c r="AX63" s="353" t="n">
        <f aca="false">SUM(AX58:AX62)</f>
        <v>0</v>
      </c>
      <c r="AY63" s="353" t="n">
        <f aca="false">SUM(AY58:AY62)</f>
        <v>0</v>
      </c>
      <c r="AZ63" s="353" t="n">
        <f aca="false">SUM(AZ58:AZ62)</f>
        <v>0</v>
      </c>
      <c r="BA63" s="353" t="n">
        <f aca="false">SUM(BA58:BA62)</f>
        <v>0</v>
      </c>
      <c r="BB63" s="353" t="n">
        <f aca="false">SUM(BB58:BB62)</f>
        <v>0</v>
      </c>
      <c r="BC63" s="353" t="n">
        <f aca="false">SUM(BC58:BC62)</f>
        <v>0</v>
      </c>
      <c r="BD63" s="353" t="n">
        <f aca="false">SUM(BD58:BD62)</f>
        <v>0</v>
      </c>
      <c r="BE63" s="353" t="n">
        <f aca="false">SUM(BE58:BE62)</f>
        <v>0</v>
      </c>
      <c r="BF63" s="353" t="n">
        <f aca="false">SUM(BF58:BF62)</f>
        <v>0</v>
      </c>
      <c r="BG63" s="353" t="n">
        <f aca="false">SUM(BG58:BG62)</f>
        <v>0</v>
      </c>
      <c r="BH63" s="353" t="n">
        <f aca="false">SUM(BH58:BH62)</f>
        <v>0</v>
      </c>
      <c r="BI63" s="353" t="n">
        <f aca="false">SUM(BI58:BI62)</f>
        <v>0</v>
      </c>
      <c r="BJ63" s="353" t="n">
        <f aca="false">SUM(BJ58:BJ62)</f>
        <v>0</v>
      </c>
      <c r="BK63" s="353" t="n">
        <f aca="false">SUM(BK58:BK62)</f>
        <v>0</v>
      </c>
      <c r="BL63" s="353" t="n">
        <f aca="false">SUM(BL58:BL62)</f>
        <v>0</v>
      </c>
      <c r="BM63" s="353" t="n">
        <f aca="false">SUM(BM58:BM62)</f>
        <v>0</v>
      </c>
      <c r="BN63" s="353" t="n">
        <f aca="false">SUM(BN58:BN62)</f>
        <v>0</v>
      </c>
      <c r="BO63" s="353" t="n">
        <f aca="false">SUM(BO58:BO62)</f>
        <v>0</v>
      </c>
      <c r="BP63" s="353" t="n">
        <f aca="false">SUM(BP58:BP62)</f>
        <v>0</v>
      </c>
      <c r="BQ63" s="353" t="n">
        <f aca="false">SUM(BQ58:BQ62)</f>
        <v>0</v>
      </c>
      <c r="BR63" s="353" t="n">
        <f aca="false">SUM(BR58:BR62)</f>
        <v>0</v>
      </c>
      <c r="BS63" s="353" t="n">
        <f aca="false">SUM(BS58:BS62)</f>
        <v>0</v>
      </c>
      <c r="BT63" s="353" t="n">
        <f aca="false">SUM(BT58:BT62)</f>
        <v>0</v>
      </c>
      <c r="BU63" s="353" t="n">
        <f aca="false">SUM(BU58:BU62)</f>
        <v>0</v>
      </c>
      <c r="BV63" s="353" t="n">
        <f aca="false">SUM(BV58:BV62)</f>
        <v>0</v>
      </c>
      <c r="BW63" s="353" t="n">
        <f aca="false">SUM(BW58:BW62)</f>
        <v>0</v>
      </c>
      <c r="BX63" s="353" t="n">
        <f aca="false">SUM(BX58:BX62)</f>
        <v>0</v>
      </c>
      <c r="BY63" s="353" t="n">
        <f aca="false">SUM(BY58:BY62)</f>
        <v>0</v>
      </c>
      <c r="BZ63" s="353" t="n">
        <f aca="false">SUM(BZ58:BZ62)</f>
        <v>0</v>
      </c>
      <c r="CA63" s="353" t="n">
        <f aca="false">SUM(CA58:CA62)</f>
        <v>0</v>
      </c>
      <c r="CB63" s="353" t="n">
        <f aca="false">SUM(CB58:CB62)</f>
        <v>0</v>
      </c>
      <c r="CC63" s="353" t="n">
        <f aca="false">SUM(CC58:CC62)</f>
        <v>0</v>
      </c>
      <c r="CD63" s="353" t="n">
        <f aca="false">SUM(CD58:CD62)</f>
        <v>0</v>
      </c>
      <c r="CE63" s="353" t="n">
        <f aca="false">SUM(CE58:CE62)</f>
        <v>0</v>
      </c>
      <c r="CF63" s="353" t="n">
        <f aca="false">SUM(CF58:CF62)</f>
        <v>0</v>
      </c>
      <c r="CG63" s="353" t="n">
        <f aca="false">SUM(CG58:CG62)</f>
        <v>0</v>
      </c>
      <c r="CH63" s="353" t="n">
        <f aca="false">SUM(CH58:CH62)</f>
        <v>0</v>
      </c>
      <c r="CI63" s="353" t="n">
        <f aca="false">SUM(CI58:CI62)</f>
        <v>0</v>
      </c>
      <c r="CJ63" s="353" t="n">
        <f aca="false">SUM(CJ58:CJ62)</f>
        <v>0</v>
      </c>
      <c r="CK63" s="353" t="n">
        <f aca="false">SUM(CK58:CK62)</f>
        <v>0</v>
      </c>
      <c r="CL63" s="112"/>
      <c r="CN63" s="301"/>
    </row>
    <row r="64" s="299" customFormat="true" ht="4.5" hidden="false" customHeight="true" outlineLevel="1" collapsed="false">
      <c r="A64" s="40"/>
      <c r="B64" s="112"/>
      <c r="C64" s="51"/>
      <c r="D64" s="51"/>
      <c r="E64" s="159"/>
      <c r="F64" s="159"/>
      <c r="G64" s="159"/>
      <c r="H64" s="159"/>
      <c r="I64" s="159"/>
      <c r="J64" s="159"/>
      <c r="K64" s="159"/>
      <c r="L64" s="159"/>
      <c r="M64" s="159"/>
      <c r="N64" s="159"/>
      <c r="O64" s="159"/>
      <c r="P64" s="159"/>
      <c r="Q64" s="159"/>
      <c r="R64" s="159"/>
      <c r="S64" s="159"/>
      <c r="T64" s="159"/>
      <c r="U64" s="159"/>
      <c r="V64" s="159"/>
      <c r="W64" s="159"/>
      <c r="X64" s="159"/>
      <c r="Y64" s="159"/>
      <c r="Z64" s="159"/>
      <c r="AA64" s="159"/>
      <c r="AB64" s="159"/>
      <c r="AC64" s="159"/>
      <c r="AD64" s="159"/>
      <c r="AE64" s="159"/>
      <c r="AF64" s="159"/>
      <c r="AG64" s="159"/>
      <c r="AH64" s="159"/>
      <c r="AI64" s="159"/>
      <c r="AJ64" s="159"/>
      <c r="AK64" s="159"/>
      <c r="AL64" s="159"/>
      <c r="AM64" s="159"/>
      <c r="AN64" s="159"/>
      <c r="AO64" s="159"/>
      <c r="AP64" s="159"/>
      <c r="AQ64" s="159"/>
      <c r="AR64" s="159"/>
      <c r="AS64" s="159"/>
      <c r="AT64" s="159"/>
      <c r="AU64" s="159"/>
      <c r="AV64" s="159"/>
      <c r="AW64" s="159"/>
      <c r="AX64" s="159"/>
      <c r="AY64" s="159"/>
      <c r="AZ64" s="159"/>
      <c r="BA64" s="159"/>
      <c r="BB64" s="159"/>
      <c r="BC64" s="159"/>
      <c r="BD64" s="159"/>
      <c r="BE64" s="159"/>
      <c r="BF64" s="159"/>
      <c r="BG64" s="159"/>
      <c r="BH64" s="159"/>
      <c r="BI64" s="159"/>
      <c r="BJ64" s="159"/>
      <c r="BK64" s="159"/>
      <c r="BL64" s="159"/>
      <c r="BM64" s="159"/>
      <c r="BN64" s="159"/>
      <c r="BO64" s="159"/>
      <c r="BP64" s="159"/>
      <c r="BQ64" s="159"/>
      <c r="BR64" s="159"/>
      <c r="BS64" s="159"/>
      <c r="BT64" s="159"/>
      <c r="BU64" s="159"/>
      <c r="BV64" s="159"/>
      <c r="BW64" s="159"/>
      <c r="BX64" s="159"/>
      <c r="BY64" s="159"/>
      <c r="BZ64" s="159"/>
      <c r="CA64" s="159"/>
      <c r="CB64" s="159"/>
      <c r="CC64" s="159"/>
      <c r="CD64" s="159"/>
      <c r="CE64" s="159"/>
      <c r="CF64" s="159"/>
      <c r="CG64" s="159"/>
      <c r="CH64" s="159"/>
      <c r="CI64" s="159"/>
      <c r="CJ64" s="159"/>
      <c r="CK64" s="159"/>
      <c r="CL64" s="159"/>
      <c r="CM64" s="159"/>
      <c r="CN64" s="159"/>
      <c r="CO64" s="159"/>
      <c r="CP64" s="159"/>
      <c r="CQ64" s="159"/>
      <c r="CR64" s="159"/>
      <c r="CS64" s="159"/>
      <c r="CT64" s="159"/>
      <c r="CU64" s="159"/>
    </row>
    <row r="65" s="299" customFormat="true" ht="11.25" hidden="false" customHeight="true" outlineLevel="0" collapsed="false">
      <c r="A65" s="40"/>
      <c r="B65" s="112"/>
      <c r="C65" s="54" t="str">
        <f aca="false">"Quelle: "&amp;Cockpit!$C$7</f>
        <v>Quelle: Datenraum/ eigene Analysen</v>
      </c>
      <c r="D65" s="54" t="str">
        <f aca="false">"Source: "&amp;Cockpit!$C$7</f>
        <v>Source: Datenraum/ eigene Analysen</v>
      </c>
      <c r="E65" s="55"/>
      <c r="F65" s="55"/>
      <c r="G65" s="55"/>
      <c r="H65" s="55"/>
      <c r="I65" s="55"/>
      <c r="J65" s="55"/>
      <c r="K65" s="55"/>
      <c r="L65" s="55"/>
      <c r="M65" s="55"/>
      <c r="N65" s="55"/>
      <c r="O65" s="55"/>
      <c r="P65" s="55"/>
      <c r="Q65" s="55"/>
      <c r="R65" s="55"/>
      <c r="S65" s="55"/>
      <c r="T65" s="55"/>
      <c r="U65" s="55"/>
      <c r="V65" s="55"/>
      <c r="W65" s="55"/>
      <c r="X65" s="55"/>
      <c r="Y65" s="55"/>
      <c r="Z65" s="55"/>
      <c r="AA65" s="55"/>
      <c r="AB65" s="55"/>
      <c r="AC65" s="55"/>
      <c r="AD65" s="55"/>
      <c r="AE65" s="55"/>
      <c r="AF65" s="55"/>
      <c r="AG65" s="55"/>
      <c r="AH65" s="55"/>
      <c r="AI65" s="55"/>
      <c r="AJ65" s="55"/>
      <c r="AK65" s="55"/>
      <c r="AL65" s="55"/>
      <c r="AM65" s="55"/>
      <c r="AN65" s="55"/>
      <c r="AO65" s="55"/>
      <c r="AP65" s="55"/>
      <c r="AQ65" s="55"/>
      <c r="AR65" s="55"/>
      <c r="AS65" s="55"/>
      <c r="AT65" s="55"/>
      <c r="AU65" s="55"/>
      <c r="AV65" s="55"/>
      <c r="AW65" s="55"/>
      <c r="AX65" s="55"/>
      <c r="AY65" s="55"/>
      <c r="AZ65" s="55"/>
      <c r="BA65" s="55"/>
      <c r="BB65" s="55"/>
      <c r="BC65" s="55"/>
      <c r="BD65" s="55"/>
      <c r="BE65" s="55"/>
      <c r="BF65" s="55"/>
      <c r="BG65" s="55"/>
      <c r="BH65" s="55"/>
      <c r="BI65" s="55"/>
      <c r="BJ65" s="55"/>
      <c r="BK65" s="55"/>
      <c r="BL65" s="55"/>
      <c r="BM65" s="55"/>
      <c r="BN65" s="55"/>
      <c r="BO65" s="55"/>
      <c r="BP65" s="55"/>
      <c r="BQ65" s="55"/>
      <c r="BR65" s="55"/>
      <c r="BS65" s="55"/>
      <c r="BT65" s="55"/>
      <c r="BU65" s="55"/>
      <c r="BV65" s="55"/>
      <c r="BW65" s="55"/>
      <c r="BX65" s="55"/>
      <c r="BY65" s="55"/>
      <c r="BZ65" s="55"/>
      <c r="CA65" s="55"/>
      <c r="CB65" s="55"/>
      <c r="CC65" s="55"/>
      <c r="CD65" s="55"/>
      <c r="CE65" s="55"/>
      <c r="CF65" s="55"/>
      <c r="CG65" s="55"/>
      <c r="CH65" s="55"/>
      <c r="CI65" s="55"/>
      <c r="CJ65" s="55"/>
      <c r="CK65" s="55"/>
      <c r="CL65" s="112"/>
      <c r="CN65" s="301"/>
    </row>
    <row r="66" customFormat="false" ht="11.25" hidden="false" customHeight="true" outlineLevel="0" collapsed="false">
      <c r="B66" s="112"/>
      <c r="CL66" s="112"/>
    </row>
    <row r="67" customFormat="false" ht="11.25" hidden="false" customHeight="true" outlineLevel="0" collapsed="false">
      <c r="B67" s="112"/>
      <c r="C67" s="132" t="s">
        <v>784</v>
      </c>
      <c r="D67" s="333" t="s">
        <v>785</v>
      </c>
      <c r="CL67" s="112"/>
    </row>
    <row r="68" customFormat="false" ht="11.25" hidden="false" customHeight="true" outlineLevel="0" collapsed="false">
      <c r="B68" s="112"/>
      <c r="C68" s="91" t="s">
        <v>234</v>
      </c>
      <c r="D68" s="91" t="s">
        <v>234</v>
      </c>
      <c r="CL68" s="112"/>
      <c r="CN68" s="314" t="s">
        <v>296</v>
      </c>
    </row>
    <row r="69" customFormat="false" ht="11.25" hidden="false" customHeight="true" outlineLevel="0" collapsed="false">
      <c r="B69" s="112"/>
      <c r="C69" s="91" t="s">
        <v>235</v>
      </c>
      <c r="D69" s="91" t="s">
        <v>235</v>
      </c>
      <c r="CL69" s="112"/>
      <c r="CN69" s="314" t="s">
        <v>298</v>
      </c>
    </row>
    <row r="70" customFormat="false" ht="11.25" hidden="false" customHeight="true" outlineLevel="0" collapsed="false">
      <c r="B70" s="112"/>
      <c r="C70" s="91" t="s">
        <v>236</v>
      </c>
      <c r="D70" s="91" t="s">
        <v>236</v>
      </c>
      <c r="CL70" s="112"/>
      <c r="CN70" s="314" t="s">
        <v>300</v>
      </c>
    </row>
    <row r="71" customFormat="false" ht="11.25" hidden="false" customHeight="true" outlineLevel="0" collapsed="false">
      <c r="B71" s="112"/>
      <c r="C71" s="91" t="s">
        <v>237</v>
      </c>
      <c r="D71" s="91" t="s">
        <v>237</v>
      </c>
      <c r="CL71" s="112"/>
      <c r="CN71" s="314" t="s">
        <v>302</v>
      </c>
    </row>
    <row r="72" customFormat="false" ht="11.25" hidden="false" customHeight="true" outlineLevel="0" collapsed="false">
      <c r="B72" s="112"/>
      <c r="C72" s="91" t="s">
        <v>672</v>
      </c>
      <c r="D72" s="91" t="s">
        <v>672</v>
      </c>
      <c r="CL72" s="112"/>
      <c r="CN72" s="314" t="s">
        <v>304</v>
      </c>
    </row>
    <row r="73" customFormat="false" ht="11.25" hidden="false" customHeight="true" outlineLevel="0" collapsed="false">
      <c r="B73" s="112"/>
      <c r="C73" s="91" t="s">
        <v>673</v>
      </c>
      <c r="D73" s="91" t="s">
        <v>673</v>
      </c>
      <c r="CL73" s="112"/>
      <c r="CN73" s="314" t="s">
        <v>306</v>
      </c>
    </row>
    <row r="74" customFormat="false" ht="11.25" hidden="false" customHeight="true" outlineLevel="0" collapsed="false">
      <c r="B74" s="112"/>
      <c r="C74" s="181" t="s">
        <v>786</v>
      </c>
      <c r="D74" s="181" t="s">
        <v>787</v>
      </c>
      <c r="E74" s="182" t="n">
        <f aca="false">SUM(E68:E73)</f>
        <v>0</v>
      </c>
      <c r="F74" s="182" t="n">
        <f aca="false">SUM(F68:F73)</f>
        <v>0</v>
      </c>
      <c r="G74" s="182" t="n">
        <f aca="false">SUM(G68:G73)</f>
        <v>0</v>
      </c>
      <c r="H74" s="182" t="n">
        <f aca="false">SUM(H68:H73)</f>
        <v>0</v>
      </c>
      <c r="I74" s="182" t="n">
        <f aca="false">SUM(I68:I73)</f>
        <v>0</v>
      </c>
      <c r="J74" s="298" t="n">
        <f aca="false">SUM(J68:J73)</f>
        <v>0</v>
      </c>
      <c r="K74" s="298" t="n">
        <f aca="false">SUM(K68:K73)</f>
        <v>0</v>
      </c>
      <c r="L74" s="298" t="n">
        <f aca="false">SUM(L68:L73)</f>
        <v>0</v>
      </c>
      <c r="M74" s="298" t="n">
        <f aca="false">SUM(M68:M73)</f>
        <v>0</v>
      </c>
      <c r="N74" s="298" t="n">
        <f aca="false">SUM(N68:N73)</f>
        <v>0</v>
      </c>
      <c r="O74" s="298" t="n">
        <f aca="false">SUM(O68:O73)</f>
        <v>0</v>
      </c>
      <c r="P74" s="298" t="n">
        <f aca="false">SUM(P68:P73)</f>
        <v>0</v>
      </c>
      <c r="Q74" s="298" t="n">
        <f aca="false">SUM(Q68:Q73)</f>
        <v>0</v>
      </c>
      <c r="R74" s="298" t="n">
        <f aca="false">SUM(R68:R73)</f>
        <v>0</v>
      </c>
      <c r="S74" s="298" t="n">
        <f aca="false">SUM(S68:S73)</f>
        <v>0</v>
      </c>
      <c r="T74" s="298" t="n">
        <f aca="false">SUM(T68:T73)</f>
        <v>0</v>
      </c>
      <c r="U74" s="298" t="n">
        <f aca="false">SUM(U68:U73)</f>
        <v>0</v>
      </c>
      <c r="V74" s="298" t="n">
        <f aca="false">SUM(V68:V73)</f>
        <v>0</v>
      </c>
      <c r="W74" s="298" t="n">
        <f aca="false">SUM(W68:W73)</f>
        <v>0</v>
      </c>
      <c r="X74" s="298" t="n">
        <f aca="false">SUM(X68:X73)</f>
        <v>0</v>
      </c>
      <c r="Y74" s="298" t="n">
        <f aca="false">SUM(Y68:Y73)</f>
        <v>0</v>
      </c>
      <c r="Z74" s="298" t="n">
        <f aca="false">SUM(Z68:Z73)</f>
        <v>0</v>
      </c>
      <c r="AA74" s="298" t="n">
        <f aca="false">SUM(AA68:AA73)</f>
        <v>0</v>
      </c>
      <c r="AB74" s="298" t="n">
        <f aca="false">SUM(AB68:AB73)</f>
        <v>0</v>
      </c>
      <c r="AC74" s="298" t="n">
        <f aca="false">SUM(AC68:AC73)</f>
        <v>0</v>
      </c>
      <c r="AD74" s="298" t="n">
        <f aca="false">SUM(AD68:AD73)</f>
        <v>0</v>
      </c>
      <c r="AE74" s="298" t="n">
        <f aca="false">SUM(AE68:AE73)</f>
        <v>0</v>
      </c>
      <c r="AF74" s="298" t="n">
        <f aca="false">SUM(AF68:AF73)</f>
        <v>0</v>
      </c>
      <c r="AG74" s="298" t="n">
        <f aca="false">SUM(AG68:AG73)</f>
        <v>0</v>
      </c>
      <c r="AH74" s="298" t="n">
        <f aca="false">SUM(AH68:AH73)</f>
        <v>0</v>
      </c>
      <c r="AI74" s="298" t="n">
        <f aca="false">SUM(AI68:AI73)</f>
        <v>0</v>
      </c>
      <c r="AJ74" s="298" t="n">
        <f aca="false">SUM(AJ68:AJ73)</f>
        <v>0</v>
      </c>
      <c r="AK74" s="298" t="n">
        <f aca="false">SUM(AK68:AK73)</f>
        <v>0</v>
      </c>
      <c r="AL74" s="298" t="n">
        <f aca="false">SUM(AL68:AL73)</f>
        <v>0</v>
      </c>
      <c r="AM74" s="298" t="n">
        <f aca="false">SUM(AM68:AM73)</f>
        <v>0</v>
      </c>
      <c r="AN74" s="298" t="n">
        <f aca="false">SUM(AN68:AN73)</f>
        <v>0</v>
      </c>
      <c r="AO74" s="298" t="n">
        <f aca="false">SUM(AO68:AO73)</f>
        <v>0</v>
      </c>
      <c r="AP74" s="298" t="n">
        <f aca="false">SUM(AP68:AP73)</f>
        <v>0</v>
      </c>
      <c r="AQ74" s="298" t="n">
        <f aca="false">SUM(AQ68:AQ73)</f>
        <v>0</v>
      </c>
      <c r="AR74" s="298" t="n">
        <f aca="false">SUM(AR68:AR73)</f>
        <v>0</v>
      </c>
      <c r="AS74" s="298" t="n">
        <f aca="false">SUM(AS68:AS73)</f>
        <v>0</v>
      </c>
      <c r="AT74" s="298" t="n">
        <f aca="false">SUM(AT68:AT73)</f>
        <v>0</v>
      </c>
      <c r="AU74" s="353" t="n">
        <f aca="false">SUM(AU68:AU73)</f>
        <v>0</v>
      </c>
      <c r="AV74" s="353" t="n">
        <f aca="false">SUM(AV68:AV73)</f>
        <v>0</v>
      </c>
      <c r="AW74" s="353" t="n">
        <f aca="false">SUM(AW68:AW73)</f>
        <v>0</v>
      </c>
      <c r="AX74" s="353" t="n">
        <f aca="false">SUM(AX68:AX73)</f>
        <v>0</v>
      </c>
      <c r="AY74" s="353" t="n">
        <f aca="false">SUM(AY68:AY73)</f>
        <v>0</v>
      </c>
      <c r="AZ74" s="353" t="n">
        <f aca="false">SUM(AZ68:AZ73)</f>
        <v>0</v>
      </c>
      <c r="BA74" s="353" t="n">
        <f aca="false">SUM(BA68:BA73)</f>
        <v>0</v>
      </c>
      <c r="BB74" s="353" t="n">
        <f aca="false">SUM(BB68:BB73)</f>
        <v>0</v>
      </c>
      <c r="BC74" s="353" t="n">
        <f aca="false">SUM(BC68:BC73)</f>
        <v>0</v>
      </c>
      <c r="BD74" s="353" t="n">
        <f aca="false">SUM(BD68:BD73)</f>
        <v>0</v>
      </c>
      <c r="BE74" s="353" t="n">
        <f aca="false">SUM(BE68:BE73)</f>
        <v>0</v>
      </c>
      <c r="BF74" s="353" t="n">
        <f aca="false">SUM(BF68:BF73)</f>
        <v>0</v>
      </c>
      <c r="BG74" s="353" t="n">
        <f aca="false">SUM(BG68:BG73)</f>
        <v>0</v>
      </c>
      <c r="BH74" s="353" t="n">
        <f aca="false">SUM(BH68:BH73)</f>
        <v>0</v>
      </c>
      <c r="BI74" s="353" t="n">
        <f aca="false">SUM(BI68:BI73)</f>
        <v>0</v>
      </c>
      <c r="BJ74" s="353" t="n">
        <f aca="false">SUM(BJ68:BJ73)</f>
        <v>0</v>
      </c>
      <c r="BK74" s="353" t="n">
        <f aca="false">SUM(BK68:BK73)</f>
        <v>0</v>
      </c>
      <c r="BL74" s="353" t="n">
        <f aca="false">SUM(BL68:BL73)</f>
        <v>0</v>
      </c>
      <c r="BM74" s="353" t="n">
        <f aca="false">SUM(BM68:BM73)</f>
        <v>0</v>
      </c>
      <c r="BN74" s="353" t="n">
        <f aca="false">SUM(BN68:BN73)</f>
        <v>0</v>
      </c>
      <c r="BO74" s="353" t="n">
        <f aca="false">SUM(BO68:BO73)</f>
        <v>0</v>
      </c>
      <c r="BP74" s="353" t="n">
        <f aca="false">SUM(BP68:BP73)</f>
        <v>0</v>
      </c>
      <c r="BQ74" s="353" t="n">
        <f aca="false">SUM(BQ68:BQ73)</f>
        <v>0</v>
      </c>
      <c r="BR74" s="353" t="n">
        <f aca="false">SUM(BR68:BR73)</f>
        <v>0</v>
      </c>
      <c r="BS74" s="353" t="n">
        <f aca="false">SUM(BS68:BS73)</f>
        <v>0</v>
      </c>
      <c r="BT74" s="353" t="n">
        <f aca="false">SUM(BT68:BT73)</f>
        <v>0</v>
      </c>
      <c r="BU74" s="353" t="n">
        <f aca="false">SUM(BU68:BU73)</f>
        <v>0</v>
      </c>
      <c r="BV74" s="353" t="n">
        <f aca="false">SUM(BV68:BV73)</f>
        <v>0</v>
      </c>
      <c r="BW74" s="353" t="n">
        <f aca="false">SUM(BW68:BW73)</f>
        <v>0</v>
      </c>
      <c r="BX74" s="353" t="n">
        <f aca="false">SUM(BX68:BX73)</f>
        <v>0</v>
      </c>
      <c r="BY74" s="353" t="n">
        <f aca="false">SUM(BY68:BY73)</f>
        <v>0</v>
      </c>
      <c r="BZ74" s="353" t="n">
        <f aca="false">SUM(BZ68:BZ73)</f>
        <v>0</v>
      </c>
      <c r="CA74" s="353" t="n">
        <f aca="false">SUM(CA68:CA73)</f>
        <v>0</v>
      </c>
      <c r="CB74" s="353" t="n">
        <f aca="false">SUM(CB68:CB73)</f>
        <v>0</v>
      </c>
      <c r="CC74" s="353" t="n">
        <f aca="false">SUM(CC68:CC73)</f>
        <v>0</v>
      </c>
      <c r="CD74" s="353" t="n">
        <f aca="false">SUM(CD68:CD73)</f>
        <v>0</v>
      </c>
      <c r="CE74" s="353" t="n">
        <f aca="false">SUM(CE68:CE73)</f>
        <v>0</v>
      </c>
      <c r="CF74" s="353" t="n">
        <f aca="false">SUM(CF68:CF73)</f>
        <v>0</v>
      </c>
      <c r="CG74" s="353" t="n">
        <f aca="false">SUM(CG68:CG73)</f>
        <v>0</v>
      </c>
      <c r="CH74" s="353" t="n">
        <f aca="false">SUM(CH68:CH73)</f>
        <v>0</v>
      </c>
      <c r="CI74" s="353" t="n">
        <f aca="false">SUM(CI68:CI73)</f>
        <v>0</v>
      </c>
      <c r="CJ74" s="353" t="n">
        <f aca="false">SUM(CJ68:CJ73)</f>
        <v>0</v>
      </c>
      <c r="CK74" s="353" t="n">
        <f aca="false">SUM(CK68:CK73)</f>
        <v>0</v>
      </c>
      <c r="CL74" s="112"/>
    </row>
    <row r="75" customFormat="false" ht="11.25" hidden="false" customHeight="true" outlineLevel="0" collapsed="false">
      <c r="B75" s="112"/>
      <c r="CL75" s="112"/>
    </row>
    <row r="76" customFormat="false" ht="11.25" hidden="false" customHeight="true" outlineLevel="0" collapsed="false">
      <c r="B76" s="112"/>
      <c r="C76" s="132" t="s">
        <v>788</v>
      </c>
      <c r="D76" s="333" t="s">
        <v>789</v>
      </c>
      <c r="CL76" s="112"/>
    </row>
    <row r="77" customFormat="false" ht="11.25" hidden="false" customHeight="true" outlineLevel="0" collapsed="false">
      <c r="B77" s="112"/>
      <c r="C77" s="91" t="s">
        <v>234</v>
      </c>
      <c r="D77" s="91" t="s">
        <v>234</v>
      </c>
      <c r="CL77" s="112"/>
      <c r="CN77" s="314" t="s">
        <v>308</v>
      </c>
    </row>
    <row r="78" customFormat="false" ht="11.25" hidden="false" customHeight="true" outlineLevel="0" collapsed="false">
      <c r="B78" s="112"/>
      <c r="C78" s="91" t="s">
        <v>235</v>
      </c>
      <c r="D78" s="91" t="s">
        <v>235</v>
      </c>
      <c r="CL78" s="112"/>
      <c r="CN78" s="314" t="s">
        <v>310</v>
      </c>
    </row>
    <row r="79" customFormat="false" ht="11.25" hidden="false" customHeight="true" outlineLevel="0" collapsed="false">
      <c r="B79" s="112"/>
      <c r="C79" s="91" t="s">
        <v>236</v>
      </c>
      <c r="D79" s="91" t="s">
        <v>236</v>
      </c>
      <c r="CL79" s="112"/>
      <c r="CN79" s="314" t="s">
        <v>312</v>
      </c>
    </row>
    <row r="80" customFormat="false" ht="11.25" hidden="false" customHeight="true" outlineLevel="0" collapsed="false">
      <c r="B80" s="112"/>
      <c r="C80" s="91" t="s">
        <v>237</v>
      </c>
      <c r="D80" s="91" t="s">
        <v>237</v>
      </c>
      <c r="CL80" s="112"/>
      <c r="CN80" s="314" t="s">
        <v>314</v>
      </c>
    </row>
    <row r="81" customFormat="false" ht="11.25" hidden="false" customHeight="true" outlineLevel="0" collapsed="false">
      <c r="B81" s="112"/>
      <c r="C81" s="91" t="s">
        <v>672</v>
      </c>
      <c r="D81" s="91" t="s">
        <v>672</v>
      </c>
      <c r="CL81" s="112"/>
      <c r="CN81" s="314" t="s">
        <v>316</v>
      </c>
    </row>
    <row r="82" customFormat="false" ht="11.25" hidden="false" customHeight="true" outlineLevel="0" collapsed="false">
      <c r="B82" s="112"/>
      <c r="C82" s="91" t="s">
        <v>673</v>
      </c>
      <c r="D82" s="91" t="s">
        <v>673</v>
      </c>
      <c r="CL82" s="112"/>
      <c r="CN82" s="314" t="s">
        <v>318</v>
      </c>
    </row>
    <row r="83" customFormat="false" ht="11.25" hidden="false" customHeight="true" outlineLevel="0" collapsed="false">
      <c r="B83" s="112"/>
      <c r="C83" s="181" t="s">
        <v>790</v>
      </c>
      <c r="D83" s="181" t="s">
        <v>791</v>
      </c>
      <c r="E83" s="182" t="n">
        <f aca="false">SUM(E77:E82)</f>
        <v>0</v>
      </c>
      <c r="F83" s="182" t="n">
        <f aca="false">SUM(F77:F82)</f>
        <v>0</v>
      </c>
      <c r="G83" s="182" t="n">
        <f aca="false">SUM(G77:G82)</f>
        <v>0</v>
      </c>
      <c r="H83" s="182" t="n">
        <f aca="false">SUM(H77:H82)</f>
        <v>0</v>
      </c>
      <c r="I83" s="182" t="n">
        <f aca="false">SUM(I77:I82)</f>
        <v>0</v>
      </c>
      <c r="J83" s="298" t="n">
        <f aca="false">SUM(J77:J82)</f>
        <v>0</v>
      </c>
      <c r="K83" s="298" t="n">
        <f aca="false">SUM(K77:K82)</f>
        <v>0</v>
      </c>
      <c r="L83" s="298" t="n">
        <f aca="false">SUM(L77:L82)</f>
        <v>0</v>
      </c>
      <c r="M83" s="298" t="n">
        <f aca="false">SUM(M77:M82)</f>
        <v>0</v>
      </c>
      <c r="N83" s="298" t="n">
        <f aca="false">SUM(N77:N82)</f>
        <v>0</v>
      </c>
      <c r="O83" s="298" t="n">
        <f aca="false">SUM(O77:O82)</f>
        <v>0</v>
      </c>
      <c r="P83" s="298" t="n">
        <f aca="false">SUM(P77:P82)</f>
        <v>0</v>
      </c>
      <c r="Q83" s="298" t="n">
        <f aca="false">SUM(Q77:Q82)</f>
        <v>0</v>
      </c>
      <c r="R83" s="298" t="n">
        <f aca="false">SUM(R77:R82)</f>
        <v>0</v>
      </c>
      <c r="S83" s="298" t="n">
        <f aca="false">SUM(S77:S82)</f>
        <v>0</v>
      </c>
      <c r="T83" s="298" t="n">
        <f aca="false">SUM(T77:T82)</f>
        <v>0</v>
      </c>
      <c r="U83" s="298" t="n">
        <f aca="false">SUM(U77:U82)</f>
        <v>0</v>
      </c>
      <c r="V83" s="298" t="n">
        <f aca="false">SUM(V77:V82)</f>
        <v>0</v>
      </c>
      <c r="W83" s="298" t="n">
        <f aca="false">SUM(W77:W82)</f>
        <v>0</v>
      </c>
      <c r="X83" s="298" t="n">
        <f aca="false">SUM(X77:X82)</f>
        <v>0</v>
      </c>
      <c r="Y83" s="298" t="n">
        <f aca="false">SUM(Y77:Y82)</f>
        <v>0</v>
      </c>
      <c r="Z83" s="298" t="n">
        <f aca="false">SUM(Z77:Z82)</f>
        <v>0</v>
      </c>
      <c r="AA83" s="298" t="n">
        <f aca="false">SUM(AA77:AA82)</f>
        <v>0</v>
      </c>
      <c r="AB83" s="298" t="n">
        <f aca="false">SUM(AB77:AB82)</f>
        <v>0</v>
      </c>
      <c r="AC83" s="298" t="n">
        <f aca="false">SUM(AC77:AC82)</f>
        <v>0</v>
      </c>
      <c r="AD83" s="298" t="n">
        <f aca="false">SUM(AD77:AD82)</f>
        <v>0</v>
      </c>
      <c r="AE83" s="298" t="n">
        <f aca="false">SUM(AE77:AE82)</f>
        <v>0</v>
      </c>
      <c r="AF83" s="298" t="n">
        <f aca="false">SUM(AF77:AF82)</f>
        <v>0</v>
      </c>
      <c r="AG83" s="298" t="n">
        <f aca="false">SUM(AG77:AG82)</f>
        <v>0</v>
      </c>
      <c r="AH83" s="298" t="n">
        <f aca="false">SUM(AH77:AH82)</f>
        <v>0</v>
      </c>
      <c r="AI83" s="298" t="n">
        <f aca="false">SUM(AI77:AI82)</f>
        <v>0</v>
      </c>
      <c r="AJ83" s="298" t="n">
        <f aca="false">SUM(AJ77:AJ82)</f>
        <v>0</v>
      </c>
      <c r="AK83" s="298" t="n">
        <f aca="false">SUM(AK77:AK82)</f>
        <v>0</v>
      </c>
      <c r="AL83" s="298" t="n">
        <f aca="false">SUM(AL77:AL82)</f>
        <v>0</v>
      </c>
      <c r="AM83" s="298" t="n">
        <f aca="false">SUM(AM77:AM82)</f>
        <v>0</v>
      </c>
      <c r="AN83" s="298" t="n">
        <f aca="false">SUM(AN77:AN82)</f>
        <v>0</v>
      </c>
      <c r="AO83" s="298" t="n">
        <f aca="false">SUM(AO77:AO82)</f>
        <v>0</v>
      </c>
      <c r="AP83" s="298" t="n">
        <f aca="false">SUM(AP77:AP82)</f>
        <v>0</v>
      </c>
      <c r="AQ83" s="298" t="n">
        <f aca="false">SUM(AQ77:AQ82)</f>
        <v>0</v>
      </c>
      <c r="AR83" s="298" t="n">
        <f aca="false">SUM(AR77:AR82)</f>
        <v>0</v>
      </c>
      <c r="AS83" s="298" t="n">
        <f aca="false">SUM(AS77:AS82)</f>
        <v>0</v>
      </c>
      <c r="AT83" s="298" t="n">
        <f aca="false">SUM(AT77:AT82)</f>
        <v>0</v>
      </c>
      <c r="AU83" s="353" t="n">
        <f aca="false">SUM(AU77:AU82)</f>
        <v>0</v>
      </c>
      <c r="AV83" s="353" t="n">
        <f aca="false">SUM(AV77:AV82)</f>
        <v>0</v>
      </c>
      <c r="AW83" s="353" t="n">
        <f aca="false">SUM(AW77:AW82)</f>
        <v>0</v>
      </c>
      <c r="AX83" s="353" t="n">
        <f aca="false">SUM(AX77:AX82)</f>
        <v>0</v>
      </c>
      <c r="AY83" s="353" t="n">
        <f aca="false">SUM(AY77:AY82)</f>
        <v>0</v>
      </c>
      <c r="AZ83" s="353" t="n">
        <f aca="false">SUM(AZ77:AZ82)</f>
        <v>0</v>
      </c>
      <c r="BA83" s="353" t="n">
        <f aca="false">SUM(BA77:BA82)</f>
        <v>0</v>
      </c>
      <c r="BB83" s="353" t="n">
        <f aca="false">SUM(BB77:BB82)</f>
        <v>0</v>
      </c>
      <c r="BC83" s="353" t="n">
        <f aca="false">SUM(BC77:BC82)</f>
        <v>0</v>
      </c>
      <c r="BD83" s="353" t="n">
        <f aca="false">SUM(BD77:BD82)</f>
        <v>0</v>
      </c>
      <c r="BE83" s="353" t="n">
        <f aca="false">SUM(BE77:BE82)</f>
        <v>0</v>
      </c>
      <c r="BF83" s="353" t="n">
        <f aca="false">SUM(BF77:BF82)</f>
        <v>0</v>
      </c>
      <c r="BG83" s="353" t="n">
        <f aca="false">SUM(BG77:BG82)</f>
        <v>0</v>
      </c>
      <c r="BH83" s="353" t="n">
        <f aca="false">SUM(BH77:BH82)</f>
        <v>0</v>
      </c>
      <c r="BI83" s="353" t="n">
        <f aca="false">SUM(BI77:BI82)</f>
        <v>0</v>
      </c>
      <c r="BJ83" s="353" t="n">
        <f aca="false">SUM(BJ77:BJ82)</f>
        <v>0</v>
      </c>
      <c r="BK83" s="353" t="n">
        <f aca="false">SUM(BK77:BK82)</f>
        <v>0</v>
      </c>
      <c r="BL83" s="353" t="n">
        <f aca="false">SUM(BL77:BL82)</f>
        <v>0</v>
      </c>
      <c r="BM83" s="353" t="n">
        <f aca="false">SUM(BM77:BM82)</f>
        <v>0</v>
      </c>
      <c r="BN83" s="353" t="n">
        <f aca="false">SUM(BN77:BN82)</f>
        <v>0</v>
      </c>
      <c r="BO83" s="353" t="n">
        <f aca="false">SUM(BO77:BO82)</f>
        <v>0</v>
      </c>
      <c r="BP83" s="353" t="n">
        <f aca="false">SUM(BP77:BP82)</f>
        <v>0</v>
      </c>
      <c r="BQ83" s="353" t="n">
        <f aca="false">SUM(BQ77:BQ82)</f>
        <v>0</v>
      </c>
      <c r="BR83" s="353" t="n">
        <f aca="false">SUM(BR77:BR82)</f>
        <v>0</v>
      </c>
      <c r="BS83" s="353" t="n">
        <f aca="false">SUM(BS77:BS82)</f>
        <v>0</v>
      </c>
      <c r="BT83" s="353" t="n">
        <f aca="false">SUM(BT77:BT82)</f>
        <v>0</v>
      </c>
      <c r="BU83" s="353" t="n">
        <f aca="false">SUM(BU77:BU82)</f>
        <v>0</v>
      </c>
      <c r="BV83" s="353" t="n">
        <f aca="false">SUM(BV77:BV82)</f>
        <v>0</v>
      </c>
      <c r="BW83" s="353" t="n">
        <f aca="false">SUM(BW77:BW82)</f>
        <v>0</v>
      </c>
      <c r="BX83" s="353" t="n">
        <f aca="false">SUM(BX77:BX82)</f>
        <v>0</v>
      </c>
      <c r="BY83" s="353" t="n">
        <f aca="false">SUM(BY77:BY82)</f>
        <v>0</v>
      </c>
      <c r="BZ83" s="353" t="n">
        <f aca="false">SUM(BZ77:BZ82)</f>
        <v>0</v>
      </c>
      <c r="CA83" s="353" t="n">
        <f aca="false">SUM(CA77:CA82)</f>
        <v>0</v>
      </c>
      <c r="CB83" s="353" t="n">
        <f aca="false">SUM(CB77:CB82)</f>
        <v>0</v>
      </c>
      <c r="CC83" s="353" t="n">
        <f aca="false">SUM(CC77:CC82)</f>
        <v>0</v>
      </c>
      <c r="CD83" s="353" t="n">
        <f aca="false">SUM(CD77:CD82)</f>
        <v>0</v>
      </c>
      <c r="CE83" s="353" t="n">
        <f aca="false">SUM(CE77:CE82)</f>
        <v>0</v>
      </c>
      <c r="CF83" s="353" t="n">
        <f aca="false">SUM(CF77:CF82)</f>
        <v>0</v>
      </c>
      <c r="CG83" s="353" t="n">
        <f aca="false">SUM(CG77:CG82)</f>
        <v>0</v>
      </c>
      <c r="CH83" s="353" t="n">
        <f aca="false">SUM(CH77:CH82)</f>
        <v>0</v>
      </c>
      <c r="CI83" s="353" t="n">
        <f aca="false">SUM(CI77:CI82)</f>
        <v>0</v>
      </c>
      <c r="CJ83" s="353" t="n">
        <f aca="false">SUM(CJ77:CJ82)</f>
        <v>0</v>
      </c>
      <c r="CK83" s="353" t="n">
        <f aca="false">SUM(CK77:CK82)</f>
        <v>0</v>
      </c>
      <c r="CL83" s="112"/>
    </row>
    <row r="84" customFormat="false" ht="11.25" hidden="false" customHeight="true" outlineLevel="0" collapsed="false">
      <c r="B84" s="112"/>
      <c r="CL84" s="112"/>
    </row>
    <row r="85" customFormat="false" ht="11.25" hidden="false" customHeight="true" outlineLevel="0" collapsed="false">
      <c r="B85" s="112"/>
      <c r="CL85" s="112"/>
    </row>
    <row r="86" s="299" customFormat="true" ht="11.25" hidden="false" customHeight="true" outlineLevel="0" collapsed="false">
      <c r="A86" s="40"/>
      <c r="B86" s="92"/>
      <c r="C86" s="181" t="str">
        <f aca="false">C23 &amp; " - normalisiert"</f>
        <v>Trade Working Capital - normalisiert</v>
      </c>
      <c r="D86" s="181" t="str">
        <f aca="false">D23 &amp; " - adjusted"</f>
        <v>Trade working capital - adjusted</v>
      </c>
      <c r="E86" s="175" t="n">
        <f aca="false">E23+E74</f>
        <v>0</v>
      </c>
      <c r="F86" s="175" t="n">
        <f aca="false">F23+F74</f>
        <v>0</v>
      </c>
      <c r="G86" s="175" t="n">
        <f aca="false">G23+G74</f>
        <v>0</v>
      </c>
      <c r="H86" s="175" t="n">
        <f aca="false">H23+H74</f>
        <v>0</v>
      </c>
      <c r="I86" s="175" t="n">
        <f aca="false">I23+I74</f>
        <v>0</v>
      </c>
      <c r="J86" s="175" t="n">
        <f aca="false">J23+J74</f>
        <v>0</v>
      </c>
      <c r="K86" s="175" t="n">
        <f aca="false">K23+K74</f>
        <v>0</v>
      </c>
      <c r="L86" s="175" t="n">
        <f aca="false">L23+L74</f>
        <v>0</v>
      </c>
      <c r="M86" s="175" t="n">
        <f aca="false">M23+M74</f>
        <v>0</v>
      </c>
      <c r="N86" s="175" t="n">
        <f aca="false">N23+N74</f>
        <v>0</v>
      </c>
      <c r="O86" s="175" t="n">
        <f aca="false">O23+O74</f>
        <v>0</v>
      </c>
      <c r="P86" s="175" t="n">
        <f aca="false">P23+P74</f>
        <v>0</v>
      </c>
      <c r="Q86" s="175" t="n">
        <f aca="false">Q23+Q74</f>
        <v>0</v>
      </c>
      <c r="R86" s="175" t="n">
        <f aca="false">R23+R74</f>
        <v>0</v>
      </c>
      <c r="S86" s="175" t="n">
        <f aca="false">S23+S74</f>
        <v>0</v>
      </c>
      <c r="T86" s="175" t="n">
        <f aca="false">T23+T74</f>
        <v>0</v>
      </c>
      <c r="U86" s="175" t="n">
        <f aca="false">U23+U74</f>
        <v>0</v>
      </c>
      <c r="V86" s="175" t="n">
        <f aca="false">V23+V74</f>
        <v>0</v>
      </c>
      <c r="W86" s="175" t="n">
        <f aca="false">W23+W74</f>
        <v>0</v>
      </c>
      <c r="X86" s="175" t="n">
        <f aca="false">X23+X74</f>
        <v>0</v>
      </c>
      <c r="Y86" s="175" t="n">
        <f aca="false">Y23+Y74</f>
        <v>0</v>
      </c>
      <c r="Z86" s="175" t="n">
        <f aca="false">Z23+Z74</f>
        <v>0</v>
      </c>
      <c r="AA86" s="175" t="n">
        <f aca="false">AA23+AA74</f>
        <v>0</v>
      </c>
      <c r="AB86" s="175" t="n">
        <f aca="false">AB23+AB74</f>
        <v>0</v>
      </c>
      <c r="AC86" s="175" t="n">
        <f aca="false">AC23+AC74</f>
        <v>0</v>
      </c>
      <c r="AD86" s="175" t="n">
        <f aca="false">AD23+AD74</f>
        <v>0</v>
      </c>
      <c r="AE86" s="175" t="n">
        <f aca="false">AE23+AE74</f>
        <v>0</v>
      </c>
      <c r="AF86" s="175" t="n">
        <f aca="false">AF23+AF74</f>
        <v>0</v>
      </c>
      <c r="AG86" s="175" t="n">
        <f aca="false">AG23+AG74</f>
        <v>0</v>
      </c>
      <c r="AH86" s="175" t="n">
        <f aca="false">AH23+AH74</f>
        <v>0</v>
      </c>
      <c r="AI86" s="175" t="n">
        <f aca="false">AI23+AI74</f>
        <v>0</v>
      </c>
      <c r="AJ86" s="175" t="n">
        <f aca="false">AJ23+AJ74</f>
        <v>0</v>
      </c>
      <c r="AK86" s="175" t="n">
        <f aca="false">AK23+AK74</f>
        <v>0</v>
      </c>
      <c r="AL86" s="175" t="n">
        <f aca="false">AL23+AL74</f>
        <v>0</v>
      </c>
      <c r="AM86" s="175" t="n">
        <f aca="false">AM23+AM74</f>
        <v>0</v>
      </c>
      <c r="AN86" s="175" t="n">
        <f aca="false">AN23+AN74</f>
        <v>0</v>
      </c>
      <c r="AO86" s="175" t="n">
        <f aca="false">AO23+AO74</f>
        <v>0</v>
      </c>
      <c r="AP86" s="175" t="n">
        <f aca="false">AP23+AP74</f>
        <v>0</v>
      </c>
      <c r="AQ86" s="175" t="n">
        <f aca="false">AQ23+AQ74</f>
        <v>0</v>
      </c>
      <c r="AR86" s="175" t="n">
        <f aca="false">AR23+AR74</f>
        <v>0</v>
      </c>
      <c r="AS86" s="175" t="n">
        <f aca="false">AS23+AS74</f>
        <v>0</v>
      </c>
      <c r="AT86" s="175" t="n">
        <f aca="false">AT23+AT74</f>
        <v>0</v>
      </c>
      <c r="AU86" s="350" t="n">
        <f aca="false">AU23+AU74</f>
        <v>0</v>
      </c>
      <c r="AV86" s="350" t="n">
        <f aca="false">AV23+AV74</f>
        <v>0</v>
      </c>
      <c r="AW86" s="350" t="n">
        <f aca="false">AW23+AW74</f>
        <v>0</v>
      </c>
      <c r="AX86" s="350" t="n">
        <f aca="false">AX23+AX74</f>
        <v>0</v>
      </c>
      <c r="AY86" s="350" t="n">
        <f aca="false">AY23+AY74</f>
        <v>0</v>
      </c>
      <c r="AZ86" s="350" t="n">
        <f aca="false">AZ23+AZ74</f>
        <v>0</v>
      </c>
      <c r="BA86" s="350" t="n">
        <f aca="false">BA23+BA74</f>
        <v>0</v>
      </c>
      <c r="BB86" s="350" t="n">
        <f aca="false">BB23+BB74</f>
        <v>0</v>
      </c>
      <c r="BC86" s="350" t="n">
        <f aca="false">BC23+BC74</f>
        <v>0</v>
      </c>
      <c r="BD86" s="350" t="n">
        <f aca="false">BD23+BD74</f>
        <v>0</v>
      </c>
      <c r="BE86" s="350" t="n">
        <f aca="false">BE23+BE74</f>
        <v>0</v>
      </c>
      <c r="BF86" s="350" t="n">
        <f aca="false">BF23+BF74</f>
        <v>0</v>
      </c>
      <c r="BG86" s="350" t="n">
        <f aca="false">BG23+BG74</f>
        <v>0</v>
      </c>
      <c r="BH86" s="350" t="n">
        <f aca="false">BH23+BH74</f>
        <v>0</v>
      </c>
      <c r="BI86" s="350" t="n">
        <f aca="false">BI23+BI74</f>
        <v>0</v>
      </c>
      <c r="BJ86" s="350" t="n">
        <f aca="false">BJ23+BJ74</f>
        <v>0</v>
      </c>
      <c r="BK86" s="350" t="n">
        <f aca="false">BK23+BK74</f>
        <v>0</v>
      </c>
      <c r="BL86" s="350" t="n">
        <f aca="false">BL23+BL74</f>
        <v>0</v>
      </c>
      <c r="BM86" s="350" t="n">
        <f aca="false">BM23+BM74</f>
        <v>0</v>
      </c>
      <c r="BN86" s="350" t="n">
        <f aca="false">BN23+BN74</f>
        <v>0</v>
      </c>
      <c r="BO86" s="350" t="n">
        <f aca="false">BO23+BO74</f>
        <v>0</v>
      </c>
      <c r="BP86" s="350" t="n">
        <f aca="false">BP23+BP74</f>
        <v>0</v>
      </c>
      <c r="BQ86" s="350" t="n">
        <f aca="false">BQ23+BQ74</f>
        <v>0</v>
      </c>
      <c r="BR86" s="350" t="n">
        <f aca="false">BR23+BR74</f>
        <v>0</v>
      </c>
      <c r="BS86" s="350" t="n">
        <f aca="false">BS23+BS74</f>
        <v>0</v>
      </c>
      <c r="BT86" s="350" t="n">
        <f aca="false">BT23+BT74</f>
        <v>0</v>
      </c>
      <c r="BU86" s="350" t="n">
        <f aca="false">BU23+BU74</f>
        <v>0</v>
      </c>
      <c r="BV86" s="350" t="n">
        <f aca="false">BV23+BV74</f>
        <v>0</v>
      </c>
      <c r="BW86" s="350" t="n">
        <f aca="false">BW23+BW74</f>
        <v>0</v>
      </c>
      <c r="BX86" s="350" t="n">
        <f aca="false">BX23+BX74</f>
        <v>0</v>
      </c>
      <c r="BY86" s="350" t="n">
        <f aca="false">BY23+BY74</f>
        <v>0</v>
      </c>
      <c r="BZ86" s="350" t="n">
        <f aca="false">BZ23+BZ74</f>
        <v>0</v>
      </c>
      <c r="CA86" s="350" t="n">
        <f aca="false">CA23+CA74</f>
        <v>0</v>
      </c>
      <c r="CB86" s="350" t="n">
        <f aca="false">CB23+CB74</f>
        <v>0</v>
      </c>
      <c r="CC86" s="350" t="n">
        <f aca="false">CC23+CC74</f>
        <v>0</v>
      </c>
      <c r="CD86" s="350" t="n">
        <f aca="false">CD23+CD74</f>
        <v>0</v>
      </c>
      <c r="CE86" s="350" t="n">
        <f aca="false">CE23+CE74</f>
        <v>0</v>
      </c>
      <c r="CF86" s="350" t="n">
        <f aca="false">CF23+CF74</f>
        <v>0</v>
      </c>
      <c r="CG86" s="350" t="n">
        <f aca="false">CG23+CG74</f>
        <v>0</v>
      </c>
      <c r="CH86" s="350" t="n">
        <f aca="false">CH23+CH74</f>
        <v>0</v>
      </c>
      <c r="CI86" s="350" t="n">
        <f aca="false">CI23+CI74</f>
        <v>0</v>
      </c>
      <c r="CJ86" s="350" t="n">
        <f aca="false">CJ23+CJ74</f>
        <v>0</v>
      </c>
      <c r="CK86" s="350" t="n">
        <f aca="false">CK23+CK74</f>
        <v>0</v>
      </c>
      <c r="CL86" s="92"/>
      <c r="CN86" s="301"/>
    </row>
    <row r="87" customFormat="false" ht="11.25" hidden="false" customHeight="true" outlineLevel="0" collapsed="false">
      <c r="B87" s="112"/>
      <c r="CL87" s="112"/>
    </row>
    <row r="88" s="299" customFormat="true" ht="11.25" hidden="false" customHeight="true" outlineLevel="0" collapsed="false">
      <c r="A88" s="40"/>
      <c r="B88" s="92"/>
      <c r="C88" s="181" t="str">
        <f aca="false">C43 &amp; " - normalisiert"</f>
        <v>Net Working Capital - normalisiert</v>
      </c>
      <c r="D88" s="181" t="str">
        <f aca="false">D43 &amp; " - adjusted"</f>
        <v>Net working capital - adjusted</v>
      </c>
      <c r="E88" s="175" t="n">
        <f aca="false">E43+E74+E83</f>
        <v>0</v>
      </c>
      <c r="F88" s="175" t="n">
        <f aca="false">F43+F74+F83</f>
        <v>0</v>
      </c>
      <c r="G88" s="175" t="n">
        <f aca="false">G43+G74+G83</f>
        <v>0</v>
      </c>
      <c r="H88" s="175" t="n">
        <f aca="false">H43+H74+H83</f>
        <v>0</v>
      </c>
      <c r="I88" s="175" t="n">
        <f aca="false">I43+I74+I83</f>
        <v>0</v>
      </c>
      <c r="J88" s="175" t="n">
        <f aca="false">J43+J74+J83</f>
        <v>0</v>
      </c>
      <c r="K88" s="175" t="n">
        <f aca="false">K43+K74+K83</f>
        <v>0</v>
      </c>
      <c r="L88" s="175" t="n">
        <f aca="false">L43+L74+L83</f>
        <v>0</v>
      </c>
      <c r="M88" s="175" t="n">
        <f aca="false">M43+M74+M83</f>
        <v>0</v>
      </c>
      <c r="N88" s="175" t="n">
        <f aca="false">N43+N74+N83</f>
        <v>0</v>
      </c>
      <c r="O88" s="175" t="n">
        <f aca="false">O43+O74+O83</f>
        <v>0</v>
      </c>
      <c r="P88" s="175" t="n">
        <f aca="false">P43+P74+P83</f>
        <v>0</v>
      </c>
      <c r="Q88" s="175" t="n">
        <f aca="false">Q43+Q74+Q83</f>
        <v>0</v>
      </c>
      <c r="R88" s="175" t="n">
        <f aca="false">R43+R74+R83</f>
        <v>0</v>
      </c>
      <c r="S88" s="175" t="n">
        <f aca="false">S43+S74+S83</f>
        <v>0</v>
      </c>
      <c r="T88" s="175" t="n">
        <f aca="false">T43+T74+T83</f>
        <v>0</v>
      </c>
      <c r="U88" s="175" t="n">
        <f aca="false">U43+U74+U83</f>
        <v>0</v>
      </c>
      <c r="V88" s="175" t="n">
        <f aca="false">V43+V74+V83</f>
        <v>0</v>
      </c>
      <c r="W88" s="175" t="n">
        <f aca="false">W43+W74+W83</f>
        <v>0</v>
      </c>
      <c r="X88" s="175" t="n">
        <f aca="false">X43+X74+X83</f>
        <v>0</v>
      </c>
      <c r="Y88" s="175" t="n">
        <f aca="false">Y43+Y74+Y83</f>
        <v>0</v>
      </c>
      <c r="Z88" s="175" t="n">
        <f aca="false">Z43+Z74+Z83</f>
        <v>0</v>
      </c>
      <c r="AA88" s="175" t="n">
        <f aca="false">AA43+AA74+AA83</f>
        <v>0</v>
      </c>
      <c r="AB88" s="175" t="n">
        <f aca="false">AB43+AB74+AB83</f>
        <v>0</v>
      </c>
      <c r="AC88" s="175" t="n">
        <f aca="false">AC43+AC74+AC83</f>
        <v>0</v>
      </c>
      <c r="AD88" s="175" t="n">
        <f aca="false">AD43+AD74+AD83</f>
        <v>0</v>
      </c>
      <c r="AE88" s="175" t="n">
        <f aca="false">AE43+AE74+AE83</f>
        <v>0</v>
      </c>
      <c r="AF88" s="175" t="n">
        <f aca="false">AF43+AF74+AF83</f>
        <v>0</v>
      </c>
      <c r="AG88" s="175" t="n">
        <f aca="false">AG43+AG74+AG83</f>
        <v>0</v>
      </c>
      <c r="AH88" s="175" t="n">
        <f aca="false">AH43+AH74+AH83</f>
        <v>0</v>
      </c>
      <c r="AI88" s="175" t="n">
        <f aca="false">AI43+AI74+AI83</f>
        <v>0</v>
      </c>
      <c r="AJ88" s="175" t="n">
        <f aca="false">AJ43+AJ74+AJ83</f>
        <v>0</v>
      </c>
      <c r="AK88" s="175" t="n">
        <f aca="false">AK43+AK74+AK83</f>
        <v>0</v>
      </c>
      <c r="AL88" s="175" t="n">
        <f aca="false">AL43+AL74+AL83</f>
        <v>0</v>
      </c>
      <c r="AM88" s="175" t="n">
        <f aca="false">AM43+AM74+AM83</f>
        <v>0</v>
      </c>
      <c r="AN88" s="175" t="n">
        <f aca="false">AN43+AN74+AN83</f>
        <v>0</v>
      </c>
      <c r="AO88" s="175" t="n">
        <f aca="false">AO43+AO74+AO83</f>
        <v>0</v>
      </c>
      <c r="AP88" s="175" t="n">
        <f aca="false">AP43+AP74+AP83</f>
        <v>0</v>
      </c>
      <c r="AQ88" s="175" t="n">
        <f aca="false">AQ43+AQ74+AQ83</f>
        <v>0</v>
      </c>
      <c r="AR88" s="175" t="n">
        <f aca="false">AR43+AR74+AR83</f>
        <v>0</v>
      </c>
      <c r="AS88" s="175" t="n">
        <f aca="false">AS43+AS74+AS83</f>
        <v>0</v>
      </c>
      <c r="AT88" s="175" t="n">
        <f aca="false">AT43+AT74+AT83</f>
        <v>0</v>
      </c>
      <c r="AU88" s="350" t="n">
        <f aca="false">AU43+AU74+AU83</f>
        <v>0</v>
      </c>
      <c r="AV88" s="350" t="n">
        <f aca="false">AV43+AV74+AV83</f>
        <v>0</v>
      </c>
      <c r="AW88" s="350" t="n">
        <f aca="false">AW43+AW74+AW83</f>
        <v>0</v>
      </c>
      <c r="AX88" s="350" t="n">
        <f aca="false">AX43+AX74+AX83</f>
        <v>0</v>
      </c>
      <c r="AY88" s="350" t="n">
        <f aca="false">AY43+AY74+AY83</f>
        <v>0</v>
      </c>
      <c r="AZ88" s="350" t="n">
        <f aca="false">AZ43+AZ74+AZ83</f>
        <v>0</v>
      </c>
      <c r="BA88" s="350" t="n">
        <f aca="false">BA43+BA74+BA83</f>
        <v>0</v>
      </c>
      <c r="BB88" s="350" t="n">
        <f aca="false">BB43+BB74+BB83</f>
        <v>0</v>
      </c>
      <c r="BC88" s="350" t="n">
        <f aca="false">BC43+BC74+BC83</f>
        <v>0</v>
      </c>
      <c r="BD88" s="350" t="n">
        <f aca="false">BD43+BD74+BD83</f>
        <v>0</v>
      </c>
      <c r="BE88" s="350" t="n">
        <f aca="false">BE43+BE74+BE83</f>
        <v>0</v>
      </c>
      <c r="BF88" s="350" t="n">
        <f aca="false">BF43+BF74+BF83</f>
        <v>0</v>
      </c>
      <c r="BG88" s="350" t="n">
        <f aca="false">BG43+BG74+BG83</f>
        <v>0</v>
      </c>
      <c r="BH88" s="350" t="n">
        <f aca="false">BH43+BH74+BH83</f>
        <v>0</v>
      </c>
      <c r="BI88" s="350" t="n">
        <f aca="false">BI43+BI74+BI83</f>
        <v>0</v>
      </c>
      <c r="BJ88" s="350" t="n">
        <f aca="false">BJ43+BJ74+BJ83</f>
        <v>0</v>
      </c>
      <c r="BK88" s="350" t="n">
        <f aca="false">BK43+BK74+BK83</f>
        <v>0</v>
      </c>
      <c r="BL88" s="350" t="n">
        <f aca="false">BL43+BL74+BL83</f>
        <v>0</v>
      </c>
      <c r="BM88" s="350" t="n">
        <f aca="false">BM43+BM74+BM83</f>
        <v>0</v>
      </c>
      <c r="BN88" s="350" t="n">
        <f aca="false">BN43+BN74+BN83</f>
        <v>0</v>
      </c>
      <c r="BO88" s="350" t="n">
        <f aca="false">BO43+BO74+BO83</f>
        <v>0</v>
      </c>
      <c r="BP88" s="350" t="n">
        <f aca="false">BP43+BP74+BP83</f>
        <v>0</v>
      </c>
      <c r="BQ88" s="350" t="n">
        <f aca="false">BQ43+BQ74+BQ83</f>
        <v>0</v>
      </c>
      <c r="BR88" s="350" t="n">
        <f aca="false">BR43+BR74+BR83</f>
        <v>0</v>
      </c>
      <c r="BS88" s="350" t="n">
        <f aca="false">BS43+BS74+BS83</f>
        <v>0</v>
      </c>
      <c r="BT88" s="350" t="n">
        <f aca="false">BT43+BT74+BT83</f>
        <v>0</v>
      </c>
      <c r="BU88" s="350" t="n">
        <f aca="false">BU43+BU74+BU83</f>
        <v>0</v>
      </c>
      <c r="BV88" s="350" t="n">
        <f aca="false">BV43+BV74+BV83</f>
        <v>0</v>
      </c>
      <c r="BW88" s="350" t="n">
        <f aca="false">BW43+BW74+BW83</f>
        <v>0</v>
      </c>
      <c r="BX88" s="350" t="n">
        <f aca="false">BX43+BX74+BX83</f>
        <v>0</v>
      </c>
      <c r="BY88" s="350" t="n">
        <f aca="false">BY43+BY74+BY83</f>
        <v>0</v>
      </c>
      <c r="BZ88" s="350" t="n">
        <f aca="false">BZ43+BZ74+BZ83</f>
        <v>0</v>
      </c>
      <c r="CA88" s="350" t="n">
        <f aca="false">CA43+CA74+CA83</f>
        <v>0</v>
      </c>
      <c r="CB88" s="350" t="n">
        <f aca="false">CB43+CB74+CB83</f>
        <v>0</v>
      </c>
      <c r="CC88" s="350" t="n">
        <f aca="false">CC43+CC74+CC83</f>
        <v>0</v>
      </c>
      <c r="CD88" s="350" t="n">
        <f aca="false">CD43+CD74+CD83</f>
        <v>0</v>
      </c>
      <c r="CE88" s="350" t="n">
        <f aca="false">CE43+CE74+CE83</f>
        <v>0</v>
      </c>
      <c r="CF88" s="350" t="n">
        <f aca="false">CF43+CF74+CF83</f>
        <v>0</v>
      </c>
      <c r="CG88" s="350" t="n">
        <f aca="false">CG43+CG74+CG83</f>
        <v>0</v>
      </c>
      <c r="CH88" s="350" t="n">
        <f aca="false">CH43+CH74+CH83</f>
        <v>0</v>
      </c>
      <c r="CI88" s="350" t="n">
        <f aca="false">CI43+CI74+CI83</f>
        <v>0</v>
      </c>
      <c r="CJ88" s="350" t="n">
        <f aca="false">CJ43+CJ74+CJ83</f>
        <v>0</v>
      </c>
      <c r="CK88" s="350" t="n">
        <f aca="false">CK43+CK74+CK83</f>
        <v>0</v>
      </c>
      <c r="CL88" s="92"/>
      <c r="CN88" s="301"/>
    </row>
    <row r="89" s="299" customFormat="true" ht="11.25" hidden="false" customHeight="true" outlineLevel="0" collapsed="false">
      <c r="A89" s="40"/>
      <c r="B89" s="92"/>
      <c r="C89" s="132" t="s">
        <v>245</v>
      </c>
      <c r="D89" s="132"/>
      <c r="E89" s="178" t="n">
        <f aca="false">E88-NA_TWC!E58</f>
        <v>0</v>
      </c>
      <c r="F89" s="178"/>
      <c r="G89" s="178"/>
      <c r="H89" s="178"/>
      <c r="I89" s="178"/>
      <c r="J89" s="178"/>
      <c r="K89" s="178"/>
      <c r="L89" s="178"/>
      <c r="M89" s="178"/>
      <c r="N89" s="178"/>
      <c r="O89" s="178"/>
      <c r="P89" s="178"/>
      <c r="Q89" s="354" t="n">
        <f aca="false">Q88-NA_TWC!F58</f>
        <v>0</v>
      </c>
      <c r="R89" s="178"/>
      <c r="S89" s="178"/>
      <c r="T89" s="178"/>
      <c r="U89" s="178"/>
      <c r="V89" s="178"/>
      <c r="W89" s="178"/>
      <c r="X89" s="178"/>
      <c r="Y89" s="178"/>
      <c r="Z89" s="178"/>
      <c r="AA89" s="178"/>
      <c r="AB89" s="178"/>
      <c r="AC89" s="354" t="n">
        <f aca="false">AC88-NA_TWC!G58</f>
        <v>0</v>
      </c>
      <c r="AD89" s="178"/>
      <c r="AE89" s="178"/>
      <c r="AF89" s="178"/>
      <c r="AG89" s="178"/>
      <c r="AH89" s="178"/>
      <c r="AI89" s="178"/>
      <c r="AJ89" s="178"/>
      <c r="AK89" s="178"/>
      <c r="AL89" s="178"/>
      <c r="AM89" s="178"/>
      <c r="AN89" s="178"/>
      <c r="AO89" s="354" t="n">
        <f aca="false">AO88-NA_TWC!H58</f>
        <v>0</v>
      </c>
      <c r="AP89" s="178"/>
      <c r="AQ89" s="178"/>
      <c r="AR89" s="178"/>
      <c r="AS89" s="178"/>
      <c r="AT89" s="178"/>
      <c r="AU89" s="178"/>
      <c r="AV89" s="178"/>
      <c r="AW89" s="178"/>
      <c r="AX89" s="178"/>
      <c r="AY89" s="178"/>
      <c r="AZ89" s="178"/>
      <c r="BA89" s="178"/>
      <c r="BB89" s="178"/>
      <c r="BC89" s="178"/>
      <c r="BD89" s="178"/>
      <c r="BE89" s="178"/>
      <c r="BF89" s="178"/>
      <c r="BG89" s="178"/>
      <c r="BH89" s="178"/>
      <c r="BI89" s="178"/>
      <c r="BJ89" s="178"/>
      <c r="BK89" s="178"/>
      <c r="BL89" s="178"/>
      <c r="BM89" s="178"/>
      <c r="BN89" s="178"/>
      <c r="BO89" s="178"/>
      <c r="BP89" s="178"/>
      <c r="BQ89" s="178"/>
      <c r="BR89" s="178"/>
      <c r="BS89" s="178"/>
      <c r="BT89" s="178"/>
      <c r="BU89" s="178"/>
      <c r="BV89" s="178"/>
      <c r="BW89" s="178"/>
      <c r="BX89" s="178"/>
      <c r="BY89" s="178"/>
      <c r="BZ89" s="178"/>
      <c r="CA89" s="178"/>
      <c r="CB89" s="178"/>
      <c r="CC89" s="178"/>
      <c r="CD89" s="178"/>
      <c r="CE89" s="178"/>
      <c r="CF89" s="178"/>
      <c r="CG89" s="178"/>
      <c r="CH89" s="178"/>
      <c r="CI89" s="178"/>
      <c r="CJ89" s="178"/>
      <c r="CK89" s="178"/>
      <c r="CL89" s="178"/>
      <c r="CM89" s="178"/>
      <c r="CN89" s="178"/>
      <c r="CO89" s="178"/>
      <c r="CP89" s="178"/>
      <c r="CQ89" s="178"/>
      <c r="CR89" s="178"/>
      <c r="CS89" s="178"/>
      <c r="CT89" s="178"/>
      <c r="CU89" s="178"/>
    </row>
    <row r="90" s="299" customFormat="true" ht="11.25" hidden="false" customHeight="true" outlineLevel="0" collapsed="false">
      <c r="A90" s="40"/>
      <c r="B90" s="92"/>
      <c r="C90" s="132"/>
      <c r="D90" s="132"/>
      <c r="E90" s="132"/>
      <c r="F90" s="132"/>
      <c r="G90" s="132"/>
      <c r="H90" s="132"/>
      <c r="I90" s="132"/>
      <c r="J90" s="132"/>
      <c r="K90" s="132"/>
      <c r="L90" s="132"/>
      <c r="M90" s="132"/>
      <c r="N90" s="132"/>
      <c r="O90" s="132"/>
      <c r="P90" s="132"/>
      <c r="Q90" s="132"/>
      <c r="R90" s="132"/>
      <c r="S90" s="132"/>
      <c r="T90" s="132"/>
      <c r="U90" s="132"/>
      <c r="V90" s="132"/>
      <c r="W90" s="132"/>
      <c r="X90" s="132"/>
      <c r="Y90" s="132"/>
      <c r="Z90" s="132"/>
      <c r="AA90" s="132"/>
      <c r="AB90" s="132"/>
      <c r="AC90" s="132"/>
      <c r="AD90" s="132"/>
      <c r="AE90" s="132"/>
      <c r="AF90" s="132"/>
      <c r="AG90" s="132"/>
      <c r="AH90" s="132"/>
      <c r="AI90" s="132"/>
      <c r="AJ90" s="132"/>
      <c r="AK90" s="132"/>
      <c r="AL90" s="132"/>
      <c r="AM90" s="132"/>
      <c r="AN90" s="132"/>
      <c r="AO90" s="132"/>
      <c r="AP90" s="132"/>
      <c r="AQ90" s="132"/>
      <c r="AR90" s="132"/>
      <c r="AS90" s="132"/>
      <c r="AT90" s="132"/>
      <c r="AU90" s="132"/>
      <c r="AV90" s="132"/>
      <c r="AW90" s="132"/>
      <c r="AX90" s="132"/>
      <c r="AY90" s="132"/>
      <c r="AZ90" s="132"/>
      <c r="BA90" s="132"/>
      <c r="BB90" s="132"/>
      <c r="BC90" s="132"/>
      <c r="BD90" s="132"/>
      <c r="BE90" s="132"/>
      <c r="BF90" s="132"/>
      <c r="BG90" s="132"/>
      <c r="BH90" s="178"/>
      <c r="BI90" s="178"/>
      <c r="BJ90" s="178"/>
      <c r="BK90" s="178"/>
      <c r="BL90" s="178"/>
      <c r="BM90" s="178"/>
      <c r="BN90" s="178"/>
      <c r="BO90" s="178"/>
      <c r="BP90" s="178"/>
      <c r="BQ90" s="178"/>
      <c r="BR90" s="178"/>
      <c r="BS90" s="178"/>
      <c r="BT90" s="178"/>
      <c r="BU90" s="178"/>
      <c r="BV90" s="178"/>
      <c r="BW90" s="178"/>
      <c r="BX90" s="178"/>
      <c r="BY90" s="178"/>
      <c r="BZ90" s="178"/>
      <c r="CA90" s="178"/>
      <c r="CB90" s="178"/>
      <c r="CC90" s="178"/>
      <c r="CD90" s="178"/>
      <c r="CE90" s="178"/>
      <c r="CF90" s="178"/>
      <c r="CG90" s="178"/>
      <c r="CH90" s="178"/>
      <c r="CI90" s="178"/>
      <c r="CJ90" s="178"/>
      <c r="CK90" s="178"/>
      <c r="CL90" s="178"/>
      <c r="CM90" s="178"/>
      <c r="CN90" s="178"/>
      <c r="CO90" s="178"/>
      <c r="CP90" s="178"/>
      <c r="CQ90" s="178"/>
      <c r="CR90" s="178"/>
      <c r="CS90" s="178"/>
      <c r="CT90" s="178"/>
      <c r="CU90" s="178"/>
    </row>
    <row r="91" s="299" customFormat="true" ht="11.25" hidden="false" customHeight="true" outlineLevel="0" collapsed="false">
      <c r="A91" s="40"/>
      <c r="B91" s="92"/>
      <c r="C91" s="355" t="s">
        <v>410</v>
      </c>
      <c r="D91" s="48" t="s">
        <v>760</v>
      </c>
      <c r="E91" s="356" t="n">
        <f aca="false">'Lead PL'!E9</f>
        <v>0</v>
      </c>
      <c r="F91" s="357" t="s">
        <v>792</v>
      </c>
      <c r="G91" s="357" t="s">
        <v>792</v>
      </c>
      <c r="H91" s="357" t="s">
        <v>792</v>
      </c>
      <c r="I91" s="357" t="s">
        <v>792</v>
      </c>
      <c r="J91" s="357" t="s">
        <v>792</v>
      </c>
      <c r="K91" s="357" t="s">
        <v>792</v>
      </c>
      <c r="L91" s="357" t="s">
        <v>792</v>
      </c>
      <c r="M91" s="357" t="s">
        <v>792</v>
      </c>
      <c r="N91" s="357" t="s">
        <v>792</v>
      </c>
      <c r="O91" s="357" t="s">
        <v>792</v>
      </c>
      <c r="P91" s="357" t="s">
        <v>792</v>
      </c>
      <c r="Q91" s="48" t="n">
        <f aca="false">SUM(PL_monthly!F9:Q9)</f>
        <v>0</v>
      </c>
      <c r="R91" s="48" t="n">
        <f aca="false">SUM(PL_monthly!G9:R9)</f>
        <v>0</v>
      </c>
      <c r="S91" s="48" t="n">
        <f aca="false">SUM(PL_monthly!H9:S9)</f>
        <v>0</v>
      </c>
      <c r="T91" s="48" t="n">
        <f aca="false">SUM(PL_monthly!I9:T9)</f>
        <v>0</v>
      </c>
      <c r="U91" s="48" t="n">
        <f aca="false">SUM(PL_monthly!J9:U9)</f>
        <v>0</v>
      </c>
      <c r="V91" s="48" t="n">
        <f aca="false">SUM(PL_monthly!K9:V9)</f>
        <v>0</v>
      </c>
      <c r="W91" s="48" t="n">
        <f aca="false">SUM(PL_monthly!L9:W9)</f>
        <v>0</v>
      </c>
      <c r="X91" s="48" t="n">
        <f aca="false">SUM(PL_monthly!M9:X9)</f>
        <v>0</v>
      </c>
      <c r="Y91" s="48" t="n">
        <f aca="false">SUM(PL_monthly!N9:Y9)</f>
        <v>0</v>
      </c>
      <c r="Z91" s="48" t="n">
        <f aca="false">SUM(PL_monthly!O9:Z9)</f>
        <v>0</v>
      </c>
      <c r="AA91" s="48" t="n">
        <f aca="false">SUM(PL_monthly!P9:AA9)</f>
        <v>0</v>
      </c>
      <c r="AB91" s="48" t="n">
        <f aca="false">SUM(PL_monthly!Q9:AB9)</f>
        <v>0</v>
      </c>
      <c r="AC91" s="48" t="n">
        <f aca="false">SUM(PL_monthly!R9:AC9)</f>
        <v>0</v>
      </c>
      <c r="AD91" s="48" t="n">
        <f aca="false">SUM(PL_monthly!S9:AD9)</f>
        <v>0</v>
      </c>
      <c r="AE91" s="48" t="n">
        <f aca="false">SUM(PL_monthly!T9:AE9)</f>
        <v>0</v>
      </c>
      <c r="AF91" s="48" t="n">
        <f aca="false">SUM(PL_monthly!U9:AF9)</f>
        <v>0</v>
      </c>
      <c r="AG91" s="48" t="n">
        <f aca="false">SUM(PL_monthly!V9:AG9)</f>
        <v>0</v>
      </c>
      <c r="AH91" s="48" t="n">
        <f aca="false">SUM(PL_monthly!W9:AH9)</f>
        <v>0</v>
      </c>
      <c r="AI91" s="48" t="n">
        <f aca="false">SUM(PL_monthly!X9:AI9)</f>
        <v>0</v>
      </c>
      <c r="AJ91" s="48" t="n">
        <f aca="false">SUM(PL_monthly!Y9:AJ9)</f>
        <v>0</v>
      </c>
      <c r="AK91" s="48" t="n">
        <f aca="false">SUM(PL_monthly!Z9:AK9)</f>
        <v>0</v>
      </c>
      <c r="AL91" s="48" t="n">
        <f aca="false">SUM(PL_monthly!AA9:AL9)</f>
        <v>0</v>
      </c>
      <c r="AM91" s="48" t="n">
        <f aca="false">SUM(PL_monthly!AB9:AM9)</f>
        <v>0</v>
      </c>
      <c r="AN91" s="48" t="n">
        <f aca="false">SUM(PL_monthly!AC9:AN9)</f>
        <v>0</v>
      </c>
      <c r="AO91" s="48" t="n">
        <f aca="false">SUM(PL_monthly!AD9:AO9)</f>
        <v>0</v>
      </c>
      <c r="AP91" s="48" t="n">
        <f aca="false">SUM(PL_monthly!AE9:AP9)</f>
        <v>0</v>
      </c>
      <c r="AQ91" s="48" t="n">
        <f aca="false">SUM(PL_monthly!AF9:AQ9)</f>
        <v>0</v>
      </c>
      <c r="AR91" s="48" t="n">
        <f aca="false">SUM(PL_monthly!AG9:AR9)</f>
        <v>0</v>
      </c>
      <c r="AS91" s="48" t="n">
        <f aca="false">SUM(PL_monthly!AH9:AS9)</f>
        <v>0</v>
      </c>
      <c r="AT91" s="48" t="n">
        <f aca="false">SUM(PL_monthly!AI9:AT9)</f>
        <v>0</v>
      </c>
      <c r="AU91" s="48" t="n">
        <f aca="false">SUM(PL_monthly!AJ9:AU9)</f>
        <v>0</v>
      </c>
      <c r="AV91" s="48" t="n">
        <f aca="false">SUM(PL_monthly!AK9:AV9)</f>
        <v>0</v>
      </c>
      <c r="AW91" s="48" t="n">
        <f aca="false">SUM(PL_monthly!AL9:AW9)</f>
        <v>0</v>
      </c>
      <c r="AX91" s="48" t="n">
        <f aca="false">SUM(PL_monthly!AM9:AX9)</f>
        <v>0</v>
      </c>
      <c r="AY91" s="48" t="n">
        <f aca="false">SUM(PL_monthly!AN9:AY9)</f>
        <v>0</v>
      </c>
      <c r="AZ91" s="48" t="n">
        <f aca="false">SUM(PL_monthly!AO9:AZ9)</f>
        <v>0</v>
      </c>
      <c r="BA91" s="48" t="n">
        <f aca="false">SUM(PL_monthly!AP9:BA9)</f>
        <v>0</v>
      </c>
      <c r="BB91" s="48" t="n">
        <f aca="false">SUM(PL_monthly!AQ9:BB9)</f>
        <v>0</v>
      </c>
      <c r="BC91" s="48" t="n">
        <f aca="false">SUM(PL_monthly!AR9:BC9)</f>
        <v>0</v>
      </c>
      <c r="BD91" s="48" t="n">
        <f aca="false">SUM(PL_monthly!AS9:BD9)</f>
        <v>0</v>
      </c>
      <c r="BE91" s="48" t="n">
        <f aca="false">SUM(PL_monthly!AT9:BE9)</f>
        <v>0</v>
      </c>
      <c r="BF91" s="48" t="n">
        <f aca="false">SUM(PL_monthly!AU9:BF9)</f>
        <v>0</v>
      </c>
      <c r="BG91" s="48" t="n">
        <f aca="false">SUM(PL_monthly!AV9:BG9)</f>
        <v>0</v>
      </c>
      <c r="BH91" s="48" t="n">
        <f aca="false">SUM(PL_monthly!AW9:BH9)</f>
        <v>0</v>
      </c>
      <c r="BI91" s="48" t="n">
        <f aca="false">SUM(PL_monthly!AX9:BI9)</f>
        <v>0</v>
      </c>
      <c r="BJ91" s="48" t="n">
        <f aca="false">SUM(PL_monthly!AY9:BJ9)</f>
        <v>0</v>
      </c>
      <c r="BK91" s="48" t="n">
        <f aca="false">SUM(PL_monthly!AZ9:BK9)</f>
        <v>0</v>
      </c>
      <c r="BL91" s="48" t="n">
        <f aca="false">SUM(PL_monthly!BA9:BL9)</f>
        <v>0</v>
      </c>
      <c r="BM91" s="48" t="n">
        <f aca="false">SUM(PL_monthly!BB9:BM9)</f>
        <v>0</v>
      </c>
      <c r="BN91" s="48" t="n">
        <f aca="false">SUM(PL_monthly!BC9:BN9)</f>
        <v>0</v>
      </c>
      <c r="BO91" s="48" t="n">
        <f aca="false">SUM(PL_monthly!BD9:BO9)</f>
        <v>0</v>
      </c>
      <c r="BP91" s="48" t="n">
        <f aca="false">SUM(PL_monthly!BE9:BP9)</f>
        <v>0</v>
      </c>
      <c r="BQ91" s="48" t="n">
        <f aca="false">SUM(PL_monthly!BF9:BQ9)</f>
        <v>0</v>
      </c>
      <c r="BR91" s="48" t="n">
        <f aca="false">SUM(PL_monthly!BG9:BR9)</f>
        <v>0</v>
      </c>
      <c r="BS91" s="48" t="n">
        <f aca="false">SUM(PL_monthly!BH9:BS9)</f>
        <v>0</v>
      </c>
      <c r="BT91" s="48" t="n">
        <f aca="false">SUM(PL_monthly!BI9:BT9)</f>
        <v>0</v>
      </c>
      <c r="BU91" s="48" t="n">
        <f aca="false">SUM(PL_monthly!BJ9:BU9)</f>
        <v>0</v>
      </c>
      <c r="BV91" s="48" t="n">
        <f aca="false">SUM(PL_monthly!BK9:BV9)</f>
        <v>0</v>
      </c>
      <c r="BW91" s="48" t="n">
        <f aca="false">SUM(PL_monthly!BL9:BW9)</f>
        <v>0</v>
      </c>
      <c r="BX91" s="48" t="n">
        <f aca="false">SUM(PL_monthly!BM9:BX9)</f>
        <v>0</v>
      </c>
      <c r="BY91" s="48" t="n">
        <f aca="false">SUM(PL_monthly!BN9:BY9)</f>
        <v>0</v>
      </c>
      <c r="BZ91" s="48" t="n">
        <f aca="false">SUM(PL_monthly!BO9:BZ9)</f>
        <v>0</v>
      </c>
      <c r="CA91" s="48" t="n">
        <f aca="false">SUM(PL_monthly!BP9:CA9)</f>
        <v>0</v>
      </c>
      <c r="CB91" s="48" t="n">
        <f aca="false">SUM(PL_monthly!BQ9:CB9)</f>
        <v>0</v>
      </c>
      <c r="CC91" s="48" t="n">
        <f aca="false">SUM(PL_monthly!BR9:CC9)</f>
        <v>0</v>
      </c>
      <c r="CD91" s="48" t="n">
        <f aca="false">SUM(PL_monthly!BS9:CD9)</f>
        <v>0</v>
      </c>
      <c r="CE91" s="48" t="n">
        <f aca="false">SUM(PL_monthly!BT9:CE9)</f>
        <v>0</v>
      </c>
      <c r="CF91" s="48" t="n">
        <f aca="false">SUM(PL_monthly!BU9:CF9)</f>
        <v>0</v>
      </c>
      <c r="CG91" s="48" t="n">
        <f aca="false">SUM(PL_monthly!BV9:CG9)</f>
        <v>0</v>
      </c>
      <c r="CH91" s="48" t="n">
        <f aca="false">SUM(PL_monthly!BW9:CH9)</f>
        <v>0</v>
      </c>
      <c r="CI91" s="48" t="n">
        <f aca="false">SUM(PL_monthly!BX9:CI9)</f>
        <v>0</v>
      </c>
      <c r="CJ91" s="48" t="n">
        <f aca="false">SUM(PL_monthly!BY9:CJ9)</f>
        <v>0</v>
      </c>
      <c r="CK91" s="358" t="n">
        <f aca="false">SUM(PL_monthly!BZ9:CK9)</f>
        <v>0</v>
      </c>
      <c r="CL91" s="178"/>
      <c r="CM91" s="178"/>
      <c r="CN91" s="178"/>
      <c r="CO91" s="178"/>
      <c r="CP91" s="178"/>
      <c r="CQ91" s="178"/>
      <c r="CR91" s="178"/>
      <c r="CS91" s="178"/>
      <c r="CT91" s="178"/>
      <c r="CU91" s="178"/>
    </row>
    <row r="92" s="299" customFormat="true" ht="11.25" hidden="false" customHeight="true" outlineLevel="0" collapsed="false">
      <c r="A92" s="40"/>
      <c r="B92" s="92"/>
      <c r="C92" s="359" t="s">
        <v>423</v>
      </c>
      <c r="D92" s="51" t="s">
        <v>761</v>
      </c>
      <c r="E92" s="360" t="n">
        <f aca="false">'Lead PL'!E40</f>
        <v>0</v>
      </c>
      <c r="F92" s="361" t="s">
        <v>792</v>
      </c>
      <c r="G92" s="361" t="s">
        <v>792</v>
      </c>
      <c r="H92" s="361" t="s">
        <v>792</v>
      </c>
      <c r="I92" s="361" t="s">
        <v>792</v>
      </c>
      <c r="J92" s="361" t="s">
        <v>792</v>
      </c>
      <c r="K92" s="361" t="s">
        <v>792</v>
      </c>
      <c r="L92" s="361" t="s">
        <v>792</v>
      </c>
      <c r="M92" s="361" t="s">
        <v>792</v>
      </c>
      <c r="N92" s="361" t="s">
        <v>792</v>
      </c>
      <c r="O92" s="361" t="s">
        <v>792</v>
      </c>
      <c r="P92" s="361" t="s">
        <v>792</v>
      </c>
      <c r="Q92" s="51" t="n">
        <f aca="false">SUM(PL_monthly!F16:Q16)</f>
        <v>0</v>
      </c>
      <c r="R92" s="51" t="n">
        <f aca="false">SUM(PL_monthly!G16:R16)</f>
        <v>0</v>
      </c>
      <c r="S92" s="51" t="n">
        <f aca="false">SUM(PL_monthly!H16:S16)</f>
        <v>0</v>
      </c>
      <c r="T92" s="51" t="n">
        <f aca="false">SUM(PL_monthly!I16:T16)</f>
        <v>0</v>
      </c>
      <c r="U92" s="51" t="n">
        <f aca="false">SUM(PL_monthly!J16:U16)</f>
        <v>0</v>
      </c>
      <c r="V92" s="51" t="n">
        <f aca="false">SUM(PL_monthly!K16:V16)</f>
        <v>0</v>
      </c>
      <c r="W92" s="51" t="n">
        <f aca="false">SUM(PL_monthly!L16:W16)</f>
        <v>0</v>
      </c>
      <c r="X92" s="51" t="n">
        <f aca="false">SUM(PL_monthly!M16:X16)</f>
        <v>0</v>
      </c>
      <c r="Y92" s="51" t="n">
        <f aca="false">SUM(PL_monthly!N16:Y16)</f>
        <v>0</v>
      </c>
      <c r="Z92" s="51" t="n">
        <f aca="false">SUM(PL_monthly!O16:Z16)</f>
        <v>0</v>
      </c>
      <c r="AA92" s="51" t="n">
        <f aca="false">SUM(PL_monthly!P16:AA16)</f>
        <v>0</v>
      </c>
      <c r="AB92" s="51" t="n">
        <f aca="false">SUM(PL_monthly!Q16:AB16)</f>
        <v>0</v>
      </c>
      <c r="AC92" s="51" t="n">
        <f aca="false">SUM(PL_monthly!R16:AC16)</f>
        <v>0</v>
      </c>
      <c r="AD92" s="51" t="n">
        <f aca="false">SUM(PL_monthly!S16:AD16)</f>
        <v>0</v>
      </c>
      <c r="AE92" s="51" t="n">
        <f aca="false">SUM(PL_monthly!T16:AE16)</f>
        <v>0</v>
      </c>
      <c r="AF92" s="51" t="n">
        <f aca="false">SUM(PL_monthly!U16:AF16)</f>
        <v>0</v>
      </c>
      <c r="AG92" s="51" t="n">
        <f aca="false">SUM(PL_monthly!V16:AG16)</f>
        <v>0</v>
      </c>
      <c r="AH92" s="51" t="n">
        <f aca="false">SUM(PL_monthly!W16:AH16)</f>
        <v>0</v>
      </c>
      <c r="AI92" s="51" t="n">
        <f aca="false">SUM(PL_monthly!X16:AI16)</f>
        <v>0</v>
      </c>
      <c r="AJ92" s="51" t="n">
        <f aca="false">SUM(PL_monthly!Y16:AJ16)</f>
        <v>0</v>
      </c>
      <c r="AK92" s="51" t="n">
        <f aca="false">SUM(PL_monthly!Z16:AK16)</f>
        <v>0</v>
      </c>
      <c r="AL92" s="51" t="n">
        <f aca="false">SUM(PL_monthly!AA16:AL16)</f>
        <v>0</v>
      </c>
      <c r="AM92" s="51" t="n">
        <f aca="false">SUM(PL_monthly!AB16:AM16)</f>
        <v>0</v>
      </c>
      <c r="AN92" s="51" t="n">
        <f aca="false">SUM(PL_monthly!AC16:AN16)</f>
        <v>0</v>
      </c>
      <c r="AO92" s="51" t="n">
        <f aca="false">SUM(PL_monthly!AD16:AO16)</f>
        <v>0</v>
      </c>
      <c r="AP92" s="51" t="n">
        <f aca="false">SUM(PL_monthly!AE16:AP16)</f>
        <v>0</v>
      </c>
      <c r="AQ92" s="51" t="n">
        <f aca="false">SUM(PL_monthly!AF16:AQ16)</f>
        <v>0</v>
      </c>
      <c r="AR92" s="51" t="n">
        <f aca="false">SUM(PL_monthly!AG16:AR16)</f>
        <v>0</v>
      </c>
      <c r="AS92" s="51" t="n">
        <f aca="false">SUM(PL_monthly!AH16:AS16)</f>
        <v>0</v>
      </c>
      <c r="AT92" s="51" t="n">
        <f aca="false">SUM(PL_monthly!AI16:AT16)</f>
        <v>0</v>
      </c>
      <c r="AU92" s="51" t="n">
        <f aca="false">SUM(PL_monthly!AJ16:AU16)</f>
        <v>0</v>
      </c>
      <c r="AV92" s="51" t="n">
        <f aca="false">SUM(PL_monthly!AK16:AV16)</f>
        <v>0</v>
      </c>
      <c r="AW92" s="51" t="n">
        <f aca="false">SUM(PL_monthly!AL16:AW16)</f>
        <v>0</v>
      </c>
      <c r="AX92" s="51" t="n">
        <f aca="false">SUM(PL_monthly!AM16:AX16)</f>
        <v>0</v>
      </c>
      <c r="AY92" s="51" t="n">
        <f aca="false">SUM(PL_monthly!AN16:AY16)</f>
        <v>0</v>
      </c>
      <c r="AZ92" s="51" t="n">
        <f aca="false">SUM(PL_monthly!AO16:AZ16)</f>
        <v>0</v>
      </c>
      <c r="BA92" s="51" t="n">
        <f aca="false">SUM(PL_monthly!AP16:BA16)</f>
        <v>0</v>
      </c>
      <c r="BB92" s="51" t="n">
        <f aca="false">SUM(PL_monthly!AQ16:BB16)</f>
        <v>0</v>
      </c>
      <c r="BC92" s="51" t="n">
        <f aca="false">SUM(PL_monthly!AR16:BC16)</f>
        <v>0</v>
      </c>
      <c r="BD92" s="51" t="n">
        <f aca="false">SUM(PL_monthly!AS16:BD16)</f>
        <v>0</v>
      </c>
      <c r="BE92" s="51" t="n">
        <f aca="false">SUM(PL_monthly!AT16:BE16)</f>
        <v>0</v>
      </c>
      <c r="BF92" s="51" t="n">
        <f aca="false">SUM(PL_monthly!AU16:BF16)</f>
        <v>0</v>
      </c>
      <c r="BG92" s="51" t="n">
        <f aca="false">SUM(PL_monthly!AV16:BG16)</f>
        <v>0</v>
      </c>
      <c r="BH92" s="51" t="n">
        <f aca="false">SUM(PL_monthly!AW16:BH16)</f>
        <v>0</v>
      </c>
      <c r="BI92" s="51" t="n">
        <f aca="false">SUM(PL_monthly!AX16:BI16)</f>
        <v>0</v>
      </c>
      <c r="BJ92" s="51" t="n">
        <f aca="false">SUM(PL_monthly!AY16:BJ16)</f>
        <v>0</v>
      </c>
      <c r="BK92" s="51" t="n">
        <f aca="false">SUM(PL_monthly!AZ16:BK16)</f>
        <v>0</v>
      </c>
      <c r="BL92" s="51" t="n">
        <f aca="false">SUM(PL_monthly!BA16:BL16)</f>
        <v>0</v>
      </c>
      <c r="BM92" s="51" t="n">
        <f aca="false">SUM(PL_monthly!BB16:BM16)</f>
        <v>0</v>
      </c>
      <c r="BN92" s="51" t="n">
        <f aca="false">SUM(PL_monthly!BC16:BN16)</f>
        <v>0</v>
      </c>
      <c r="BO92" s="51" t="n">
        <f aca="false">SUM(PL_monthly!BD16:BO16)</f>
        <v>0</v>
      </c>
      <c r="BP92" s="51" t="n">
        <f aca="false">SUM(PL_monthly!BE16:BP16)</f>
        <v>0</v>
      </c>
      <c r="BQ92" s="51" t="n">
        <f aca="false">SUM(PL_monthly!BF16:BQ16)</f>
        <v>0</v>
      </c>
      <c r="BR92" s="51" t="n">
        <f aca="false">SUM(PL_monthly!BG16:BR16)</f>
        <v>0</v>
      </c>
      <c r="BS92" s="51" t="n">
        <f aca="false">SUM(PL_monthly!BH16:BS16)</f>
        <v>0</v>
      </c>
      <c r="BT92" s="51" t="n">
        <f aca="false">SUM(PL_monthly!BI16:BT16)</f>
        <v>0</v>
      </c>
      <c r="BU92" s="51" t="n">
        <f aca="false">SUM(PL_monthly!BJ16:BU16)</f>
        <v>0</v>
      </c>
      <c r="BV92" s="51" t="n">
        <f aca="false">SUM(PL_monthly!BK16:BV16)</f>
        <v>0</v>
      </c>
      <c r="BW92" s="51" t="n">
        <f aca="false">SUM(PL_monthly!BL16:BW16)</f>
        <v>0</v>
      </c>
      <c r="BX92" s="51" t="n">
        <f aca="false">SUM(PL_monthly!BM16:BX16)</f>
        <v>0</v>
      </c>
      <c r="BY92" s="51" t="n">
        <f aca="false">SUM(PL_monthly!BN16:BY16)</f>
        <v>0</v>
      </c>
      <c r="BZ92" s="51" t="n">
        <f aca="false">SUM(PL_monthly!BO16:BZ16)</f>
        <v>0</v>
      </c>
      <c r="CA92" s="51" t="n">
        <f aca="false">SUM(PL_monthly!BP16:CA16)</f>
        <v>0</v>
      </c>
      <c r="CB92" s="51" t="n">
        <f aca="false">SUM(PL_monthly!BQ16:CB16)</f>
        <v>0</v>
      </c>
      <c r="CC92" s="51" t="n">
        <f aca="false">SUM(PL_monthly!BR16:CC16)</f>
        <v>0</v>
      </c>
      <c r="CD92" s="51" t="n">
        <f aca="false">SUM(PL_monthly!BS16:CD16)</f>
        <v>0</v>
      </c>
      <c r="CE92" s="51" t="n">
        <f aca="false">SUM(PL_monthly!BT16:CE16)</f>
        <v>0</v>
      </c>
      <c r="CF92" s="51" t="n">
        <f aca="false">SUM(PL_monthly!BU16:CF16)</f>
        <v>0</v>
      </c>
      <c r="CG92" s="51" t="n">
        <f aca="false">SUM(PL_monthly!BV16:CG16)</f>
        <v>0</v>
      </c>
      <c r="CH92" s="51" t="n">
        <f aca="false">SUM(PL_monthly!BW16:CH16)</f>
        <v>0</v>
      </c>
      <c r="CI92" s="51" t="n">
        <f aca="false">SUM(PL_monthly!BX16:CI16)</f>
        <v>0</v>
      </c>
      <c r="CJ92" s="51" t="n">
        <f aca="false">SUM(PL_monthly!BY16:CJ16)</f>
        <v>0</v>
      </c>
      <c r="CK92" s="362" t="n">
        <f aca="false">SUM(PL_monthly!BZ16:CK16)</f>
        <v>0</v>
      </c>
      <c r="CL92" s="178"/>
      <c r="CM92" s="178"/>
      <c r="CN92" s="178"/>
      <c r="CO92" s="178"/>
      <c r="CP92" s="178"/>
      <c r="CQ92" s="178"/>
      <c r="CR92" s="178"/>
      <c r="CS92" s="178"/>
      <c r="CT92" s="178"/>
      <c r="CU92" s="178"/>
    </row>
    <row r="93" s="299" customFormat="true" ht="11.25" hidden="false" customHeight="true" outlineLevel="0" collapsed="false">
      <c r="A93" s="40"/>
      <c r="B93" s="92"/>
      <c r="C93" s="363" t="s">
        <v>762</v>
      </c>
      <c r="D93" s="54" t="s">
        <v>763</v>
      </c>
      <c r="E93" s="54" t="n">
        <v>365</v>
      </c>
      <c r="F93" s="54" t="n">
        <f aca="false">F6-E6</f>
        <v>31</v>
      </c>
      <c r="G93" s="54" t="n">
        <f aca="false">G6-F6</f>
        <v>28</v>
      </c>
      <c r="H93" s="54" t="n">
        <f aca="false">H6-G6</f>
        <v>31</v>
      </c>
      <c r="I93" s="54" t="n">
        <f aca="false">I6-H6</f>
        <v>30</v>
      </c>
      <c r="J93" s="54" t="n">
        <f aca="false">J6-I6</f>
        <v>31</v>
      </c>
      <c r="K93" s="54" t="n">
        <f aca="false">K6-J6</f>
        <v>30</v>
      </c>
      <c r="L93" s="54" t="n">
        <f aca="false">L6-K6</f>
        <v>31</v>
      </c>
      <c r="M93" s="54" t="n">
        <f aca="false">M6-L6</f>
        <v>31</v>
      </c>
      <c r="N93" s="54" t="n">
        <f aca="false">N6-M6</f>
        <v>30</v>
      </c>
      <c r="O93" s="54" t="n">
        <f aca="false">O6-N6</f>
        <v>31</v>
      </c>
      <c r="P93" s="54" t="n">
        <f aca="false">P6-O6</f>
        <v>30</v>
      </c>
      <c r="Q93" s="54" t="n">
        <f aca="false">Q6-P6</f>
        <v>31</v>
      </c>
      <c r="R93" s="54" t="n">
        <f aca="false">R6-Q6</f>
        <v>31</v>
      </c>
      <c r="S93" s="54" t="n">
        <f aca="false">S6-R6</f>
        <v>28</v>
      </c>
      <c r="T93" s="54" t="n">
        <f aca="false">T6-S6</f>
        <v>31</v>
      </c>
      <c r="U93" s="54" t="n">
        <f aca="false">U6-T6</f>
        <v>30</v>
      </c>
      <c r="V93" s="54" t="n">
        <f aca="false">V6-U6</f>
        <v>31</v>
      </c>
      <c r="W93" s="54" t="n">
        <f aca="false">W6-V6</f>
        <v>30</v>
      </c>
      <c r="X93" s="54" t="n">
        <f aca="false">X6-W6</f>
        <v>31</v>
      </c>
      <c r="Y93" s="54" t="n">
        <f aca="false">Y6-X6</f>
        <v>31</v>
      </c>
      <c r="Z93" s="54" t="n">
        <f aca="false">Z6-Y6</f>
        <v>30</v>
      </c>
      <c r="AA93" s="54" t="n">
        <f aca="false">AA6-Z6</f>
        <v>31</v>
      </c>
      <c r="AB93" s="54" t="n">
        <f aca="false">AB6-AA6</f>
        <v>30</v>
      </c>
      <c r="AC93" s="54" t="n">
        <f aca="false">AC6-AB6</f>
        <v>31</v>
      </c>
      <c r="AD93" s="54" t="n">
        <f aca="false">AD6-AC6</f>
        <v>31</v>
      </c>
      <c r="AE93" s="54" t="n">
        <f aca="false">AE6-AD6</f>
        <v>29</v>
      </c>
      <c r="AF93" s="54" t="n">
        <f aca="false">AF6-AE6</f>
        <v>31</v>
      </c>
      <c r="AG93" s="54" t="n">
        <f aca="false">AG6-AF6</f>
        <v>30</v>
      </c>
      <c r="AH93" s="54" t="n">
        <f aca="false">AH6-AG6</f>
        <v>31</v>
      </c>
      <c r="AI93" s="54" t="n">
        <f aca="false">AI6-AH6</f>
        <v>30</v>
      </c>
      <c r="AJ93" s="54" t="n">
        <f aca="false">AJ6-AI6</f>
        <v>31</v>
      </c>
      <c r="AK93" s="54" t="n">
        <f aca="false">AK6-AJ6</f>
        <v>31</v>
      </c>
      <c r="AL93" s="54" t="n">
        <f aca="false">AL6-AK6</f>
        <v>30</v>
      </c>
      <c r="AM93" s="54" t="n">
        <f aca="false">AM6-AL6</f>
        <v>31</v>
      </c>
      <c r="AN93" s="54" t="n">
        <f aca="false">AN6-AM6</f>
        <v>30</v>
      </c>
      <c r="AO93" s="54" t="n">
        <f aca="false">AO6-AN6</f>
        <v>31</v>
      </c>
      <c r="AP93" s="54" t="n">
        <f aca="false">AP6-AO6</f>
        <v>31</v>
      </c>
      <c r="AQ93" s="54" t="n">
        <f aca="false">AQ6-AP6</f>
        <v>28</v>
      </c>
      <c r="AR93" s="54" t="n">
        <f aca="false">AR6-AQ6</f>
        <v>31</v>
      </c>
      <c r="AS93" s="54" t="n">
        <f aca="false">AS6-AR6</f>
        <v>30</v>
      </c>
      <c r="AT93" s="54" t="n">
        <f aca="false">AT6-AS6</f>
        <v>31</v>
      </c>
      <c r="AU93" s="54" t="n">
        <f aca="false">AU6-AT6</f>
        <v>30</v>
      </c>
      <c r="AV93" s="54" t="n">
        <f aca="false">AV6-AU6</f>
        <v>31</v>
      </c>
      <c r="AW93" s="54" t="n">
        <f aca="false">AW6-AV6</f>
        <v>31</v>
      </c>
      <c r="AX93" s="54" t="n">
        <f aca="false">AX6-AW6</f>
        <v>30</v>
      </c>
      <c r="AY93" s="54" t="n">
        <f aca="false">AY6-AX6</f>
        <v>31</v>
      </c>
      <c r="AZ93" s="54" t="n">
        <f aca="false">AZ6-AY6</f>
        <v>30</v>
      </c>
      <c r="BA93" s="54" t="n">
        <f aca="false">BA6-AZ6</f>
        <v>31</v>
      </c>
      <c r="BB93" s="54" t="n">
        <f aca="false">BB6-BA6</f>
        <v>31</v>
      </c>
      <c r="BC93" s="54" t="n">
        <f aca="false">BC6-BB6</f>
        <v>28</v>
      </c>
      <c r="BD93" s="54" t="n">
        <f aca="false">BD6-BC6</f>
        <v>31</v>
      </c>
      <c r="BE93" s="54" t="n">
        <f aca="false">BE6-BD6</f>
        <v>30</v>
      </c>
      <c r="BF93" s="54" t="n">
        <f aca="false">BF6-BE6</f>
        <v>31</v>
      </c>
      <c r="BG93" s="54" t="n">
        <f aca="false">BG6-BF6</f>
        <v>30</v>
      </c>
      <c r="BH93" s="54" t="n">
        <f aca="false">BH6-BG6</f>
        <v>31</v>
      </c>
      <c r="BI93" s="54" t="n">
        <f aca="false">BI6-BH6</f>
        <v>31</v>
      </c>
      <c r="BJ93" s="54" t="n">
        <f aca="false">BJ6-BI6</f>
        <v>30</v>
      </c>
      <c r="BK93" s="54" t="n">
        <f aca="false">BK6-BJ6</f>
        <v>31</v>
      </c>
      <c r="BL93" s="54" t="n">
        <f aca="false">BL6-BK6</f>
        <v>30</v>
      </c>
      <c r="BM93" s="54" t="n">
        <f aca="false">BM6-BL6</f>
        <v>31</v>
      </c>
      <c r="BN93" s="54" t="n">
        <f aca="false">BN6-BM6</f>
        <v>31</v>
      </c>
      <c r="BO93" s="54" t="n">
        <f aca="false">BO6-BN6</f>
        <v>28</v>
      </c>
      <c r="BP93" s="54" t="n">
        <f aca="false">BP6-BO6</f>
        <v>31</v>
      </c>
      <c r="BQ93" s="54" t="n">
        <f aca="false">BQ6-BP6</f>
        <v>30</v>
      </c>
      <c r="BR93" s="54" t="n">
        <f aca="false">BR6-BQ6</f>
        <v>31</v>
      </c>
      <c r="BS93" s="54" t="n">
        <f aca="false">BS6-BR6</f>
        <v>30</v>
      </c>
      <c r="BT93" s="54" t="n">
        <f aca="false">BT6-BS6</f>
        <v>31</v>
      </c>
      <c r="BU93" s="54" t="n">
        <f aca="false">BU6-BT6</f>
        <v>31</v>
      </c>
      <c r="BV93" s="54" t="n">
        <f aca="false">BV6-BU6</f>
        <v>30</v>
      </c>
      <c r="BW93" s="54" t="n">
        <f aca="false">BW6-BV6</f>
        <v>31</v>
      </c>
      <c r="BX93" s="54" t="n">
        <f aca="false">BX6-BW6</f>
        <v>30</v>
      </c>
      <c r="BY93" s="54" t="n">
        <f aca="false">BY6-BX6</f>
        <v>31</v>
      </c>
      <c r="BZ93" s="54" t="n">
        <f aca="false">BZ6-BY6</f>
        <v>31</v>
      </c>
      <c r="CA93" s="54" t="n">
        <f aca="false">CA6-BZ6</f>
        <v>29</v>
      </c>
      <c r="CB93" s="54" t="n">
        <f aca="false">CB6-CA6</f>
        <v>31</v>
      </c>
      <c r="CC93" s="54" t="n">
        <f aca="false">CC6-CB6</f>
        <v>30</v>
      </c>
      <c r="CD93" s="54" t="n">
        <f aca="false">CD6-CC6</f>
        <v>31</v>
      </c>
      <c r="CE93" s="54" t="n">
        <f aca="false">CE6-CD6</f>
        <v>30</v>
      </c>
      <c r="CF93" s="54" t="n">
        <f aca="false">CF6-CE6</f>
        <v>31</v>
      </c>
      <c r="CG93" s="54" t="n">
        <f aca="false">CG6-CF6</f>
        <v>31</v>
      </c>
      <c r="CH93" s="54" t="n">
        <f aca="false">CH6-CG6</f>
        <v>30</v>
      </c>
      <c r="CI93" s="54" t="n">
        <f aca="false">CI6-CH6</f>
        <v>31</v>
      </c>
      <c r="CJ93" s="54" t="n">
        <f aca="false">CJ6-CI6</f>
        <v>30</v>
      </c>
      <c r="CK93" s="364" t="n">
        <f aca="false">CK6-CJ6</f>
        <v>31</v>
      </c>
      <c r="CL93" s="132" t="n">
        <f aca="false">CL6-CK6</f>
        <v>-47118</v>
      </c>
      <c r="CM93" s="178"/>
      <c r="CN93" s="178"/>
      <c r="CO93" s="178"/>
      <c r="CP93" s="178"/>
      <c r="CQ93" s="178"/>
      <c r="CR93" s="178"/>
      <c r="CS93" s="178"/>
      <c r="CT93" s="178"/>
      <c r="CU93" s="178"/>
    </row>
    <row r="94" s="299" customFormat="true" ht="11.25" hidden="false" customHeight="true" outlineLevel="0" collapsed="false">
      <c r="A94" s="40"/>
      <c r="B94" s="92"/>
      <c r="C94" s="132"/>
      <c r="D94" s="132"/>
      <c r="E94" s="132"/>
      <c r="F94" s="132"/>
      <c r="G94" s="132"/>
      <c r="H94" s="132"/>
      <c r="I94" s="132"/>
      <c r="J94" s="132"/>
      <c r="K94" s="132"/>
      <c r="L94" s="132"/>
      <c r="M94" s="132"/>
      <c r="N94" s="132"/>
      <c r="O94" s="132"/>
      <c r="P94" s="132"/>
      <c r="Q94" s="132"/>
      <c r="R94" s="132"/>
      <c r="S94" s="132"/>
      <c r="T94" s="132"/>
      <c r="U94" s="132"/>
      <c r="V94" s="132"/>
      <c r="W94" s="132"/>
      <c r="X94" s="132"/>
      <c r="Y94" s="132"/>
      <c r="Z94" s="132"/>
      <c r="AA94" s="132"/>
      <c r="AB94" s="132"/>
      <c r="AC94" s="132"/>
      <c r="AD94" s="132"/>
      <c r="AE94" s="132"/>
      <c r="AF94" s="132"/>
      <c r="AG94" s="132"/>
      <c r="AH94" s="132"/>
      <c r="AI94" s="132"/>
      <c r="AJ94" s="132"/>
      <c r="AK94" s="132"/>
      <c r="AL94" s="132"/>
      <c r="AM94" s="132"/>
      <c r="AN94" s="132"/>
      <c r="AO94" s="132"/>
      <c r="AP94" s="132"/>
      <c r="AQ94" s="132"/>
      <c r="AR94" s="132"/>
      <c r="AS94" s="132"/>
      <c r="AT94" s="132"/>
      <c r="AU94" s="132"/>
      <c r="AV94" s="132"/>
      <c r="AW94" s="132"/>
      <c r="AX94" s="132"/>
      <c r="AY94" s="132"/>
      <c r="AZ94" s="132"/>
      <c r="BA94" s="132"/>
      <c r="BB94" s="132"/>
      <c r="BC94" s="132"/>
      <c r="BD94" s="132"/>
      <c r="BE94" s="132"/>
      <c r="BF94" s="132"/>
      <c r="BG94" s="132"/>
      <c r="BH94" s="178"/>
      <c r="BI94" s="178"/>
      <c r="BJ94" s="178"/>
      <c r="BK94" s="178"/>
      <c r="BL94" s="178"/>
      <c r="BM94" s="178"/>
      <c r="BN94" s="178"/>
      <c r="BO94" s="178"/>
      <c r="BP94" s="178"/>
      <c r="BQ94" s="178"/>
      <c r="BR94" s="178"/>
      <c r="BS94" s="178"/>
      <c r="BT94" s="178"/>
      <c r="BU94" s="178"/>
      <c r="BV94" s="178"/>
      <c r="BW94" s="178"/>
      <c r="BX94" s="178"/>
      <c r="BY94" s="178"/>
      <c r="BZ94" s="178"/>
      <c r="CA94" s="178"/>
      <c r="CB94" s="178"/>
      <c r="CC94" s="178"/>
      <c r="CD94" s="178"/>
      <c r="CE94" s="178"/>
      <c r="CF94" s="178"/>
      <c r="CG94" s="178"/>
      <c r="CH94" s="178"/>
      <c r="CI94" s="178"/>
      <c r="CJ94" s="178"/>
      <c r="CK94" s="178"/>
      <c r="CL94" s="178"/>
      <c r="CM94" s="178"/>
      <c r="CN94" s="178"/>
      <c r="CO94" s="178"/>
      <c r="CP94" s="178"/>
      <c r="CQ94" s="178"/>
      <c r="CR94" s="178"/>
      <c r="CS94" s="178"/>
      <c r="CT94" s="178"/>
      <c r="CU94" s="178"/>
    </row>
    <row r="95" s="299" customFormat="true" ht="11.25" hidden="false" customHeight="true" outlineLevel="0" collapsed="false">
      <c r="A95" s="40"/>
      <c r="B95" s="92"/>
      <c r="C95" s="51" t="s">
        <v>764</v>
      </c>
      <c r="D95" s="51" t="s">
        <v>248</v>
      </c>
      <c r="E95" s="159" t="str">
        <f aca="false">IFERROR(-AVERAGE(E16:E16)/E92*E93,"n/a")</f>
        <v>n/a</v>
      </c>
      <c r="F95" s="159" t="str">
        <f aca="false">IFERROR(-AVERAGE(F16:F16)/F92*F93*12,"n/a")</f>
        <v>n/a</v>
      </c>
      <c r="G95" s="159" t="str">
        <f aca="false">IFERROR(-AVERAGE(G16:G16)/G92*G93*12,"n/a")</f>
        <v>n/a</v>
      </c>
      <c r="H95" s="159" t="str">
        <f aca="false">IFERROR(-AVERAGE(H16:H16)/H92*H93*12,"n/a")</f>
        <v>n/a</v>
      </c>
      <c r="I95" s="159" t="str">
        <f aca="false">IFERROR(-AVERAGE(I16:I16)/I92*I93*12,"n/a")</f>
        <v>n/a</v>
      </c>
      <c r="J95" s="159" t="str">
        <f aca="false">IFERROR(-AVERAGE(J16:J16)/J92*J93*12,"n/a")</f>
        <v>n/a</v>
      </c>
      <c r="K95" s="159" t="str">
        <f aca="false">IFERROR(-AVERAGE(K16:K16)/K92*K93*12,"n/a")</f>
        <v>n/a</v>
      </c>
      <c r="L95" s="159" t="str">
        <f aca="false">IFERROR(-AVERAGE(L16:L16)/L92*L93*12,"n/a")</f>
        <v>n/a</v>
      </c>
      <c r="M95" s="159" t="str">
        <f aca="false">IFERROR(-AVERAGE(M16:M16)/M92*M93*12,"n/a")</f>
        <v>n/a</v>
      </c>
      <c r="N95" s="159" t="str">
        <f aca="false">IFERROR(-AVERAGE(N16:N16)/N92*N93*12,"n/a")</f>
        <v>n/a</v>
      </c>
      <c r="O95" s="159" t="str">
        <f aca="false">IFERROR(-AVERAGE(O16:O16)/O92*O93*12,"n/a")</f>
        <v>n/a</v>
      </c>
      <c r="P95" s="159" t="str">
        <f aca="false">IFERROR(-AVERAGE(P16:P16)/P92*P93*12,"n/a")</f>
        <v>n/a</v>
      </c>
      <c r="Q95" s="159" t="str">
        <f aca="false">IFERROR(-AVERAGE(Q16:Q16)/Q92*Q93*12,"n/a")</f>
        <v>n/a</v>
      </c>
      <c r="R95" s="159" t="str">
        <f aca="false">IFERROR(-AVERAGE(R16:R16)/R92*R93*12,"n/a")</f>
        <v>n/a</v>
      </c>
      <c r="S95" s="159" t="str">
        <f aca="false">IFERROR(-AVERAGE(S16:S16)/S92*S93*12,"n/a")</f>
        <v>n/a</v>
      </c>
      <c r="T95" s="159" t="str">
        <f aca="false">IFERROR(-AVERAGE(T16:T16)/T92*T93*12,"n/a")</f>
        <v>n/a</v>
      </c>
      <c r="U95" s="159" t="str">
        <f aca="false">IFERROR(-AVERAGE(U16:U16)/U92*U93*12,"n/a")</f>
        <v>n/a</v>
      </c>
      <c r="V95" s="159" t="str">
        <f aca="false">IFERROR(-AVERAGE(V16:V16)/V92*V93*12,"n/a")</f>
        <v>n/a</v>
      </c>
      <c r="W95" s="159" t="str">
        <f aca="false">IFERROR(-AVERAGE(W16:W16)/W92*W93*12,"n/a")</f>
        <v>n/a</v>
      </c>
      <c r="X95" s="159" t="str">
        <f aca="false">IFERROR(-AVERAGE(X16:X16)/X92*X93*12,"n/a")</f>
        <v>n/a</v>
      </c>
      <c r="Y95" s="159" t="str">
        <f aca="false">IFERROR(-AVERAGE(Y16:Y16)/Y92*Y93*12,"n/a")</f>
        <v>n/a</v>
      </c>
      <c r="Z95" s="159" t="str">
        <f aca="false">IFERROR(-AVERAGE(Z16:Z16)/Z92*Z93*12,"n/a")</f>
        <v>n/a</v>
      </c>
      <c r="AA95" s="159" t="str">
        <f aca="false">IFERROR(-AVERAGE(AA16:AA16)/AA92*AA93*12,"n/a")</f>
        <v>n/a</v>
      </c>
      <c r="AB95" s="159" t="str">
        <f aca="false">IFERROR(-AVERAGE(AB16:AB16)/AB92*AB93*12,"n/a")</f>
        <v>n/a</v>
      </c>
      <c r="AC95" s="159" t="str">
        <f aca="false">IFERROR(-AVERAGE(AC16:AC16)/AC92*AC93*12,"n/a")</f>
        <v>n/a</v>
      </c>
      <c r="AD95" s="159" t="str">
        <f aca="false">IFERROR(-AVERAGE(AD16:AD16)/AD92*AD93*12,"n/a")</f>
        <v>n/a</v>
      </c>
      <c r="AE95" s="159" t="str">
        <f aca="false">IFERROR(-AVERAGE(AE16:AE16)/AE92*AE93*12,"n/a")</f>
        <v>n/a</v>
      </c>
      <c r="AF95" s="159" t="str">
        <f aca="false">IFERROR(-AVERAGE(AF16:AF16)/AF92*AF93*12,"n/a")</f>
        <v>n/a</v>
      </c>
      <c r="AG95" s="159" t="str">
        <f aca="false">IFERROR(-AVERAGE(AG16:AG16)/AG92*AG93*12,"n/a")</f>
        <v>n/a</v>
      </c>
      <c r="AH95" s="159" t="str">
        <f aca="false">IFERROR(-AVERAGE(AH16:AH16)/AH92*AH93*12,"n/a")</f>
        <v>n/a</v>
      </c>
      <c r="AI95" s="159" t="str">
        <f aca="false">IFERROR(-AVERAGE(AI16:AI16)/AI92*AI93*12,"n/a")</f>
        <v>n/a</v>
      </c>
      <c r="AJ95" s="159" t="str">
        <f aca="false">IFERROR(-AVERAGE(AJ16:AJ16)/AJ92*AJ93*12,"n/a")</f>
        <v>n/a</v>
      </c>
      <c r="AK95" s="159" t="str">
        <f aca="false">IFERROR(-AVERAGE(AK16:AK16)/AK92*AK93*12,"n/a")</f>
        <v>n/a</v>
      </c>
      <c r="AL95" s="159" t="str">
        <f aca="false">IFERROR(-AVERAGE(AL16:AL16)/AL92*AL93*12,"n/a")</f>
        <v>n/a</v>
      </c>
      <c r="AM95" s="159" t="str">
        <f aca="false">IFERROR(-AVERAGE(AM16:AM16)/AM92*AM93*12,"n/a")</f>
        <v>n/a</v>
      </c>
      <c r="AN95" s="159" t="str">
        <f aca="false">IFERROR(-AVERAGE(AN16:AN16)/AN92*AN93*12,"n/a")</f>
        <v>n/a</v>
      </c>
      <c r="AO95" s="159" t="str">
        <f aca="false">IFERROR(-AVERAGE(AO16:AO16)/AO92*AO93*12,"n/a")</f>
        <v>n/a</v>
      </c>
      <c r="AP95" s="159" t="str">
        <f aca="false">IFERROR(-AVERAGE(AP16:AP16)/AP92*AP93*12,"n/a")</f>
        <v>n/a</v>
      </c>
      <c r="AQ95" s="159" t="str">
        <f aca="false">IFERROR(-AVERAGE(AQ16:AQ16)/AQ92*AQ93*12,"n/a")</f>
        <v>n/a</v>
      </c>
      <c r="AR95" s="159" t="str">
        <f aca="false">IFERROR(-AVERAGE(AR16:AR16)/AR92*AR93*12,"n/a")</f>
        <v>n/a</v>
      </c>
      <c r="AS95" s="159" t="str">
        <f aca="false">IFERROR(-AVERAGE(AS16:AS16)/AS92*AS93*12,"n/a")</f>
        <v>n/a</v>
      </c>
      <c r="AT95" s="159" t="str">
        <f aca="false">IFERROR(-AVERAGE(AT16:AT16)/AT92*AT93*12,"n/a")</f>
        <v>n/a</v>
      </c>
      <c r="AU95" s="159" t="str">
        <f aca="false">IFERROR(-AVERAGE(AU16:AU16)/AU92*AU93*12,"n/a")</f>
        <v>n/a</v>
      </c>
      <c r="AV95" s="159" t="str">
        <f aca="false">IFERROR(-AVERAGE(AV16:AV16)/AV92*AV93*12,"n/a")</f>
        <v>n/a</v>
      </c>
      <c r="AW95" s="159" t="str">
        <f aca="false">IFERROR(-AVERAGE(AW16:AW16)/AW92*AW93*12,"n/a")</f>
        <v>n/a</v>
      </c>
      <c r="AX95" s="159" t="str">
        <f aca="false">IFERROR(-AVERAGE(AX16:AX16)/AX92*AX93*12,"n/a")</f>
        <v>n/a</v>
      </c>
      <c r="AY95" s="159" t="str">
        <f aca="false">IFERROR(-AVERAGE(AY16:AY16)/AY92*AY93*12,"n/a")</f>
        <v>n/a</v>
      </c>
      <c r="AZ95" s="159" t="str">
        <f aca="false">IFERROR(-AVERAGE(AZ16:AZ16)/AZ92*AZ93*12,"n/a")</f>
        <v>n/a</v>
      </c>
      <c r="BA95" s="159" t="str">
        <f aca="false">IFERROR(-AVERAGE(BA16:BA16)/BA92*BA93*12,"n/a")</f>
        <v>n/a</v>
      </c>
      <c r="BB95" s="159" t="str">
        <f aca="false">IFERROR(-AVERAGE(BB16:BB16)/BB92*BB93*12,"n/a")</f>
        <v>n/a</v>
      </c>
      <c r="BC95" s="159" t="str">
        <f aca="false">IFERROR(-AVERAGE(BC16:BC16)/BC92*BC93*12,"n/a")</f>
        <v>n/a</v>
      </c>
      <c r="BD95" s="159" t="str">
        <f aca="false">IFERROR(-AVERAGE(BD16:BD16)/BD92*BD93*12,"n/a")</f>
        <v>n/a</v>
      </c>
      <c r="BE95" s="159" t="str">
        <f aca="false">IFERROR(-AVERAGE(BE16:BE16)/BE92*BE93*12,"n/a")</f>
        <v>n/a</v>
      </c>
      <c r="BF95" s="159" t="str">
        <f aca="false">IFERROR(-AVERAGE(BF16:BF16)/BF92*BF93*12,"n/a")</f>
        <v>n/a</v>
      </c>
      <c r="BG95" s="159" t="str">
        <f aca="false">IFERROR(-AVERAGE(BG16:BG16)/BG92*BG93*12,"n/a")</f>
        <v>n/a</v>
      </c>
      <c r="BH95" s="159" t="str">
        <f aca="false">IFERROR(-AVERAGE(BH16:BH16)/BH92*BH93*12,"n/a")</f>
        <v>n/a</v>
      </c>
      <c r="BI95" s="159" t="str">
        <f aca="false">IFERROR(-AVERAGE(BI16:BI16)/BI92*BI93*12,"n/a")</f>
        <v>n/a</v>
      </c>
      <c r="BJ95" s="159" t="str">
        <f aca="false">IFERROR(-AVERAGE(BJ16:BJ16)/BJ92*BJ93*12,"n/a")</f>
        <v>n/a</v>
      </c>
      <c r="BK95" s="159" t="str">
        <f aca="false">IFERROR(-AVERAGE(BK16:BK16)/BK92*BK93*12,"n/a")</f>
        <v>n/a</v>
      </c>
      <c r="BL95" s="159" t="str">
        <f aca="false">IFERROR(-AVERAGE(BL16:BL16)/BL92*BL93*12,"n/a")</f>
        <v>n/a</v>
      </c>
      <c r="BM95" s="159" t="str">
        <f aca="false">IFERROR(-AVERAGE(BM16:BM16)/BM92*BM93*12,"n/a")</f>
        <v>n/a</v>
      </c>
      <c r="BN95" s="159" t="str">
        <f aca="false">IFERROR(-AVERAGE(BN16:BN16)/BN92*BN93*12,"n/a")</f>
        <v>n/a</v>
      </c>
      <c r="BO95" s="159" t="str">
        <f aca="false">IFERROR(-AVERAGE(BO16:BO16)/BO92*BO93*12,"n/a")</f>
        <v>n/a</v>
      </c>
      <c r="BP95" s="159" t="str">
        <f aca="false">IFERROR(-AVERAGE(BP16:BP16)/BP92*BP93*12,"n/a")</f>
        <v>n/a</v>
      </c>
      <c r="BQ95" s="159" t="str">
        <f aca="false">IFERROR(-AVERAGE(BQ16:BQ16)/BQ92*BQ93*12,"n/a")</f>
        <v>n/a</v>
      </c>
      <c r="BR95" s="159" t="str">
        <f aca="false">IFERROR(-AVERAGE(BR16:BR16)/BR92*BR93*12,"n/a")</f>
        <v>n/a</v>
      </c>
      <c r="BS95" s="159" t="str">
        <f aca="false">IFERROR(-AVERAGE(BS16:BS16)/BS92*BS93*12,"n/a")</f>
        <v>n/a</v>
      </c>
      <c r="BT95" s="159" t="str">
        <f aca="false">IFERROR(-AVERAGE(BT16:BT16)/BT92*BT93*12,"n/a")</f>
        <v>n/a</v>
      </c>
      <c r="BU95" s="159" t="str">
        <f aca="false">IFERROR(-AVERAGE(BU16:BU16)/BU92*BU93*12,"n/a")</f>
        <v>n/a</v>
      </c>
      <c r="BV95" s="159" t="str">
        <f aca="false">IFERROR(-AVERAGE(BV16:BV16)/BV92*BV93*12,"n/a")</f>
        <v>n/a</v>
      </c>
      <c r="BW95" s="159" t="str">
        <f aca="false">IFERROR(-AVERAGE(BW16:BW16)/BW92*BW93*12,"n/a")</f>
        <v>n/a</v>
      </c>
      <c r="BX95" s="159" t="str">
        <f aca="false">IFERROR(-AVERAGE(BX16:BX16)/BX92*BX93*12,"n/a")</f>
        <v>n/a</v>
      </c>
      <c r="BY95" s="159" t="str">
        <f aca="false">IFERROR(-AVERAGE(BY16:BY16)/BY92*BY93*12,"n/a")</f>
        <v>n/a</v>
      </c>
      <c r="BZ95" s="159" t="str">
        <f aca="false">IFERROR(-AVERAGE(BZ16:BZ16)/BZ92*BZ93*12,"n/a")</f>
        <v>n/a</v>
      </c>
      <c r="CA95" s="159" t="str">
        <f aca="false">IFERROR(-AVERAGE(CA16:CA16)/CA92*CA93*12,"n/a")</f>
        <v>n/a</v>
      </c>
      <c r="CB95" s="159" t="str">
        <f aca="false">IFERROR(-AVERAGE(CB16:CB16)/CB92*CB93*12,"n/a")</f>
        <v>n/a</v>
      </c>
      <c r="CC95" s="159" t="str">
        <f aca="false">IFERROR(-AVERAGE(CC16:CC16)/CC92*CC93*12,"n/a")</f>
        <v>n/a</v>
      </c>
      <c r="CD95" s="159" t="str">
        <f aca="false">IFERROR(-AVERAGE(CD16:CD16)/CD92*CD93*12,"n/a")</f>
        <v>n/a</v>
      </c>
      <c r="CE95" s="159" t="str">
        <f aca="false">IFERROR(-AVERAGE(CE16:CE16)/CE92*CE93*12,"n/a")</f>
        <v>n/a</v>
      </c>
      <c r="CF95" s="159" t="str">
        <f aca="false">IFERROR(-AVERAGE(CF16:CF16)/CF92*CF93*12,"n/a")</f>
        <v>n/a</v>
      </c>
      <c r="CG95" s="159" t="str">
        <f aca="false">IFERROR(-AVERAGE(CG16:CG16)/CG92*CG93*12,"n/a")</f>
        <v>n/a</v>
      </c>
      <c r="CH95" s="159" t="str">
        <f aca="false">IFERROR(-AVERAGE(CH16:CH16)/CH92*CH93*12,"n/a")</f>
        <v>n/a</v>
      </c>
      <c r="CI95" s="159" t="str">
        <f aca="false">IFERROR(-AVERAGE(CI16:CI16)/CI92*CI93*12,"n/a")</f>
        <v>n/a</v>
      </c>
      <c r="CJ95" s="159" t="str">
        <f aca="false">IFERROR(-AVERAGE(CJ16:CJ16)/CJ92*CJ93*12,"n/a")</f>
        <v>n/a</v>
      </c>
      <c r="CK95" s="159" t="str">
        <f aca="false">IFERROR(-AVERAGE(CK16:CK16)/CK92*CK93*12,"n/a")</f>
        <v>n/a</v>
      </c>
      <c r="CL95" s="178"/>
      <c r="CM95" s="178"/>
      <c r="CN95" s="178"/>
      <c r="CO95" s="178"/>
      <c r="CP95" s="178"/>
      <c r="CQ95" s="178"/>
      <c r="CR95" s="178"/>
      <c r="CS95" s="178"/>
      <c r="CT95" s="178"/>
      <c r="CU95" s="178"/>
    </row>
    <row r="96" s="299" customFormat="true" ht="11.25" hidden="false" customHeight="true" outlineLevel="0" collapsed="false">
      <c r="A96" s="40"/>
      <c r="B96" s="92"/>
      <c r="C96" s="51" t="s">
        <v>765</v>
      </c>
      <c r="D96" s="51" t="s">
        <v>249</v>
      </c>
      <c r="E96" s="159" t="str">
        <f aca="false">IFERROR(-AVERAGE(E17:E17)/-E91*E93,"n/a")</f>
        <v>n/a</v>
      </c>
      <c r="F96" s="159" t="str">
        <f aca="false">IFERROR(-AVERAGE(F17:F17)/-F91*F93*12,"n/a")</f>
        <v>n/a</v>
      </c>
      <c r="G96" s="159" t="str">
        <f aca="false">IFERROR(-AVERAGE(G17:G17)/-G91*G93*12,"n/a")</f>
        <v>n/a</v>
      </c>
      <c r="H96" s="159" t="str">
        <f aca="false">IFERROR(-AVERAGE(H17:H17)/-H91*H93*12,"n/a")</f>
        <v>n/a</v>
      </c>
      <c r="I96" s="159" t="str">
        <f aca="false">IFERROR(-AVERAGE(I17:I17)/-I91*I93*12,"n/a")</f>
        <v>n/a</v>
      </c>
      <c r="J96" s="159" t="str">
        <f aca="false">IFERROR(-AVERAGE(J17:J17)/-J91*J93*12,"n/a")</f>
        <v>n/a</v>
      </c>
      <c r="K96" s="159" t="str">
        <f aca="false">IFERROR(-AVERAGE(K17:K17)/-K91*K93*12,"n/a")</f>
        <v>n/a</v>
      </c>
      <c r="L96" s="159" t="str">
        <f aca="false">IFERROR(-AVERAGE(L17:L17)/-L91*L93*12,"n/a")</f>
        <v>n/a</v>
      </c>
      <c r="M96" s="159" t="str">
        <f aca="false">IFERROR(-AVERAGE(M17:M17)/-M91*M93*12,"n/a")</f>
        <v>n/a</v>
      </c>
      <c r="N96" s="159" t="str">
        <f aca="false">IFERROR(-AVERAGE(N17:N17)/-N91*N93*12,"n/a")</f>
        <v>n/a</v>
      </c>
      <c r="O96" s="159" t="str">
        <f aca="false">IFERROR(-AVERAGE(O17:O17)/-O91*O93*12,"n/a")</f>
        <v>n/a</v>
      </c>
      <c r="P96" s="159" t="str">
        <f aca="false">IFERROR(-AVERAGE(P17:P17)/-P91*P93*12,"n/a")</f>
        <v>n/a</v>
      </c>
      <c r="Q96" s="159" t="str">
        <f aca="false">IFERROR(-AVERAGE(Q17:Q17)/-Q91*Q93*12,"n/a")</f>
        <v>n/a</v>
      </c>
      <c r="R96" s="159" t="str">
        <f aca="false">IFERROR(-AVERAGE(R17:R17)/-R91*R93*12,"n/a")</f>
        <v>n/a</v>
      </c>
      <c r="S96" s="159" t="str">
        <f aca="false">IFERROR(-AVERAGE(S17:S17)/-S91*S93*12,"n/a")</f>
        <v>n/a</v>
      </c>
      <c r="T96" s="159" t="str">
        <f aca="false">IFERROR(-AVERAGE(T17:T17)/-T91*T93*12,"n/a")</f>
        <v>n/a</v>
      </c>
      <c r="U96" s="159" t="str">
        <f aca="false">IFERROR(-AVERAGE(U17:U17)/-U91*U93*12,"n/a")</f>
        <v>n/a</v>
      </c>
      <c r="V96" s="159" t="str">
        <f aca="false">IFERROR(-AVERAGE(V17:V17)/-V91*V93*12,"n/a")</f>
        <v>n/a</v>
      </c>
      <c r="W96" s="159" t="str">
        <f aca="false">IFERROR(-AVERAGE(W17:W17)/-W91*W93*12,"n/a")</f>
        <v>n/a</v>
      </c>
      <c r="X96" s="159" t="str">
        <f aca="false">IFERROR(-AVERAGE(X17:X17)/-X91*X93*12,"n/a")</f>
        <v>n/a</v>
      </c>
      <c r="Y96" s="159" t="str">
        <f aca="false">IFERROR(-AVERAGE(Y17:Y17)/-Y91*Y93*12,"n/a")</f>
        <v>n/a</v>
      </c>
      <c r="Z96" s="159" t="str">
        <f aca="false">IFERROR(-AVERAGE(Z17:Z17)/-Z91*Z93*12,"n/a")</f>
        <v>n/a</v>
      </c>
      <c r="AA96" s="159" t="str">
        <f aca="false">IFERROR(-AVERAGE(AA17:AA17)/-AA91*AA93*12,"n/a")</f>
        <v>n/a</v>
      </c>
      <c r="AB96" s="159" t="str">
        <f aca="false">IFERROR(-AVERAGE(AB17:AB17)/-AB91*AB93*12,"n/a")</f>
        <v>n/a</v>
      </c>
      <c r="AC96" s="159" t="str">
        <f aca="false">IFERROR(-AVERAGE(AC17:AC17)/-AC91*AC93*12,"n/a")</f>
        <v>n/a</v>
      </c>
      <c r="AD96" s="159" t="str">
        <f aca="false">IFERROR(-AVERAGE(AD17:AD17)/-AD91*AD93*12,"n/a")</f>
        <v>n/a</v>
      </c>
      <c r="AE96" s="159" t="str">
        <f aca="false">IFERROR(-AVERAGE(AE17:AE17)/-AE91*AE93*12,"n/a")</f>
        <v>n/a</v>
      </c>
      <c r="AF96" s="159" t="str">
        <f aca="false">IFERROR(-AVERAGE(AF17:AF17)/-AF91*AF93*12,"n/a")</f>
        <v>n/a</v>
      </c>
      <c r="AG96" s="159" t="str">
        <f aca="false">IFERROR(-AVERAGE(AG17:AG17)/-AG91*AG93*12,"n/a")</f>
        <v>n/a</v>
      </c>
      <c r="AH96" s="159" t="str">
        <f aca="false">IFERROR(-AVERAGE(AH17:AH17)/-AH91*AH93*12,"n/a")</f>
        <v>n/a</v>
      </c>
      <c r="AI96" s="159" t="str">
        <f aca="false">IFERROR(-AVERAGE(AI17:AI17)/-AI91*AI93*12,"n/a")</f>
        <v>n/a</v>
      </c>
      <c r="AJ96" s="159" t="str">
        <f aca="false">IFERROR(-AVERAGE(AJ17:AJ17)/-AJ91*AJ93*12,"n/a")</f>
        <v>n/a</v>
      </c>
      <c r="AK96" s="159" t="str">
        <f aca="false">IFERROR(-AVERAGE(AK17:AK17)/-AK91*AK93*12,"n/a")</f>
        <v>n/a</v>
      </c>
      <c r="AL96" s="159" t="str">
        <f aca="false">IFERROR(-AVERAGE(AL17:AL17)/-AL91*AL93*12,"n/a")</f>
        <v>n/a</v>
      </c>
      <c r="AM96" s="159" t="str">
        <f aca="false">IFERROR(-AVERAGE(AM17:AM17)/-AM91*AM93*12,"n/a")</f>
        <v>n/a</v>
      </c>
      <c r="AN96" s="159" t="str">
        <f aca="false">IFERROR(-AVERAGE(AN17:AN17)/-AN91*AN93*12,"n/a")</f>
        <v>n/a</v>
      </c>
      <c r="AO96" s="159" t="str">
        <f aca="false">IFERROR(-AVERAGE(AO17:AO17)/-AO91*AO93*12,"n/a")</f>
        <v>n/a</v>
      </c>
      <c r="AP96" s="159" t="str">
        <f aca="false">IFERROR(-AVERAGE(AP17:AP17)/-AP91*AP93*12,"n/a")</f>
        <v>n/a</v>
      </c>
      <c r="AQ96" s="159" t="str">
        <f aca="false">IFERROR(-AVERAGE(AQ17:AQ17)/-AQ91*AQ93*12,"n/a")</f>
        <v>n/a</v>
      </c>
      <c r="AR96" s="159" t="str">
        <f aca="false">IFERROR(-AVERAGE(AR17:AR17)/-AR91*AR93*12,"n/a")</f>
        <v>n/a</v>
      </c>
      <c r="AS96" s="159" t="str">
        <f aca="false">IFERROR(-AVERAGE(AS17:AS17)/-AS91*AS93*12,"n/a")</f>
        <v>n/a</v>
      </c>
      <c r="AT96" s="159" t="str">
        <f aca="false">IFERROR(-AVERAGE(AT17:AT17)/-AT91*AT93*12,"n/a")</f>
        <v>n/a</v>
      </c>
      <c r="AU96" s="159" t="str">
        <f aca="false">IFERROR(-AVERAGE(AU17:AU17)/-AU91*AU93*12,"n/a")</f>
        <v>n/a</v>
      </c>
      <c r="AV96" s="159" t="str">
        <f aca="false">IFERROR(-AVERAGE(AV17:AV17)/-AV91*AV93*12,"n/a")</f>
        <v>n/a</v>
      </c>
      <c r="AW96" s="159" t="str">
        <f aca="false">IFERROR(-AVERAGE(AW17:AW17)/-AW91*AW93*12,"n/a")</f>
        <v>n/a</v>
      </c>
      <c r="AX96" s="159" t="str">
        <f aca="false">IFERROR(-AVERAGE(AX17:AX17)/-AX91*AX93*12,"n/a")</f>
        <v>n/a</v>
      </c>
      <c r="AY96" s="159" t="str">
        <f aca="false">IFERROR(-AVERAGE(AY17:AY17)/-AY91*AY93*12,"n/a")</f>
        <v>n/a</v>
      </c>
      <c r="AZ96" s="159" t="str">
        <f aca="false">IFERROR(-AVERAGE(AZ17:AZ17)/-AZ91*AZ93*12,"n/a")</f>
        <v>n/a</v>
      </c>
      <c r="BA96" s="159" t="str">
        <f aca="false">IFERROR(-AVERAGE(BA17:BA17)/-BA91*BA93*12,"n/a")</f>
        <v>n/a</v>
      </c>
      <c r="BB96" s="159" t="str">
        <f aca="false">IFERROR(-AVERAGE(BB17:BB17)/-BB91*BB93*12,"n/a")</f>
        <v>n/a</v>
      </c>
      <c r="BC96" s="159" t="str">
        <f aca="false">IFERROR(-AVERAGE(BC17:BC17)/-BC91*BC93*12,"n/a")</f>
        <v>n/a</v>
      </c>
      <c r="BD96" s="159" t="str">
        <f aca="false">IFERROR(-AVERAGE(BD17:BD17)/-BD91*BD93*12,"n/a")</f>
        <v>n/a</v>
      </c>
      <c r="BE96" s="159" t="str">
        <f aca="false">IFERROR(-AVERAGE(BE17:BE17)/-BE91*BE93*12,"n/a")</f>
        <v>n/a</v>
      </c>
      <c r="BF96" s="159" t="str">
        <f aca="false">IFERROR(-AVERAGE(BF17:BF17)/-BF91*BF93*12,"n/a")</f>
        <v>n/a</v>
      </c>
      <c r="BG96" s="159" t="str">
        <f aca="false">IFERROR(-AVERAGE(BG17:BG17)/-BG91*BG93*12,"n/a")</f>
        <v>n/a</v>
      </c>
      <c r="BH96" s="159" t="str">
        <f aca="false">IFERROR(-AVERAGE(BH17:BH17)/-BH91*BH93*12,"n/a")</f>
        <v>n/a</v>
      </c>
      <c r="BI96" s="159" t="str">
        <f aca="false">IFERROR(-AVERAGE(BI17:BI17)/-BI91*BI93*12,"n/a")</f>
        <v>n/a</v>
      </c>
      <c r="BJ96" s="159" t="str">
        <f aca="false">IFERROR(-AVERAGE(BJ17:BJ17)/-BJ91*BJ93*12,"n/a")</f>
        <v>n/a</v>
      </c>
      <c r="BK96" s="159" t="str">
        <f aca="false">IFERROR(-AVERAGE(BK17:BK17)/-BK91*BK93*12,"n/a")</f>
        <v>n/a</v>
      </c>
      <c r="BL96" s="159" t="str">
        <f aca="false">IFERROR(-AVERAGE(BL17:BL17)/-BL91*BL93*12,"n/a")</f>
        <v>n/a</v>
      </c>
      <c r="BM96" s="159" t="str">
        <f aca="false">IFERROR(-AVERAGE(BM17:BM17)/-BM91*BM93*12,"n/a")</f>
        <v>n/a</v>
      </c>
      <c r="BN96" s="159" t="str">
        <f aca="false">IFERROR(-AVERAGE(BN17:BN17)/-BN91*BN93*12,"n/a")</f>
        <v>n/a</v>
      </c>
      <c r="BO96" s="159" t="str">
        <f aca="false">IFERROR(-AVERAGE(BO17:BO17)/-BO91*BO93*12,"n/a")</f>
        <v>n/a</v>
      </c>
      <c r="BP96" s="159" t="str">
        <f aca="false">IFERROR(-AVERAGE(BP17:BP17)/-BP91*BP93*12,"n/a")</f>
        <v>n/a</v>
      </c>
      <c r="BQ96" s="159" t="str">
        <f aca="false">IFERROR(-AVERAGE(BQ17:BQ17)/-BQ91*BQ93*12,"n/a")</f>
        <v>n/a</v>
      </c>
      <c r="BR96" s="159" t="str">
        <f aca="false">IFERROR(-AVERAGE(BR17:BR17)/-BR91*BR93*12,"n/a")</f>
        <v>n/a</v>
      </c>
      <c r="BS96" s="159" t="str">
        <f aca="false">IFERROR(-AVERAGE(BS17:BS17)/-BS91*BS93*12,"n/a")</f>
        <v>n/a</v>
      </c>
      <c r="BT96" s="159" t="str">
        <f aca="false">IFERROR(-AVERAGE(BT17:BT17)/-BT91*BT93*12,"n/a")</f>
        <v>n/a</v>
      </c>
      <c r="BU96" s="159" t="str">
        <f aca="false">IFERROR(-AVERAGE(BU17:BU17)/-BU91*BU93*12,"n/a")</f>
        <v>n/a</v>
      </c>
      <c r="BV96" s="159" t="str">
        <f aca="false">IFERROR(-AVERAGE(BV17:BV17)/-BV91*BV93*12,"n/a")</f>
        <v>n/a</v>
      </c>
      <c r="BW96" s="159" t="str">
        <f aca="false">IFERROR(-AVERAGE(BW17:BW17)/-BW91*BW93*12,"n/a")</f>
        <v>n/a</v>
      </c>
      <c r="BX96" s="159" t="str">
        <f aca="false">IFERROR(-AVERAGE(BX17:BX17)/-BX91*BX93*12,"n/a")</f>
        <v>n/a</v>
      </c>
      <c r="BY96" s="159" t="str">
        <f aca="false">IFERROR(-AVERAGE(BY17:BY17)/-BY91*BY93*12,"n/a")</f>
        <v>n/a</v>
      </c>
      <c r="BZ96" s="159" t="str">
        <f aca="false">IFERROR(-AVERAGE(BZ17:BZ17)/-BZ91*BZ93*12,"n/a")</f>
        <v>n/a</v>
      </c>
      <c r="CA96" s="159" t="str">
        <f aca="false">IFERROR(-AVERAGE(CA17:CA17)/-CA91*CA93*12,"n/a")</f>
        <v>n/a</v>
      </c>
      <c r="CB96" s="159" t="str">
        <f aca="false">IFERROR(-AVERAGE(CB17:CB17)/-CB91*CB93*12,"n/a")</f>
        <v>n/a</v>
      </c>
      <c r="CC96" s="159" t="str">
        <f aca="false">IFERROR(-AVERAGE(CC17:CC17)/-CC91*CC93*12,"n/a")</f>
        <v>n/a</v>
      </c>
      <c r="CD96" s="159" t="str">
        <f aca="false">IFERROR(-AVERAGE(CD17:CD17)/-CD91*CD93*12,"n/a")</f>
        <v>n/a</v>
      </c>
      <c r="CE96" s="159" t="str">
        <f aca="false">IFERROR(-AVERAGE(CE17:CE17)/-CE91*CE93*12,"n/a")</f>
        <v>n/a</v>
      </c>
      <c r="CF96" s="159" t="str">
        <f aca="false">IFERROR(-AVERAGE(CF17:CF17)/-CF91*CF93*12,"n/a")</f>
        <v>n/a</v>
      </c>
      <c r="CG96" s="159" t="str">
        <f aca="false">IFERROR(-AVERAGE(CG17:CG17)/-CG91*CG93*12,"n/a")</f>
        <v>n/a</v>
      </c>
      <c r="CH96" s="159" t="str">
        <f aca="false">IFERROR(-AVERAGE(CH17:CH17)/-CH91*CH93*12,"n/a")</f>
        <v>n/a</v>
      </c>
      <c r="CI96" s="159" t="str">
        <f aca="false">IFERROR(-AVERAGE(CI17:CI17)/-CI91*CI93*12,"n/a")</f>
        <v>n/a</v>
      </c>
      <c r="CJ96" s="159" t="str">
        <f aca="false">IFERROR(-AVERAGE(CJ17:CJ17)/-CJ91*CJ93*12,"n/a")</f>
        <v>n/a</v>
      </c>
      <c r="CK96" s="159" t="str">
        <f aca="false">IFERROR(-AVERAGE(CK17:CK17)/-CK91*CK93*12,"n/a")</f>
        <v>n/a</v>
      </c>
      <c r="CL96" s="178"/>
      <c r="CM96" s="178"/>
      <c r="CN96" s="178"/>
      <c r="CO96" s="178"/>
      <c r="CP96" s="178"/>
      <c r="CQ96" s="178"/>
      <c r="CR96" s="178"/>
      <c r="CS96" s="178"/>
      <c r="CT96" s="178"/>
      <c r="CU96" s="178"/>
    </row>
    <row r="97" s="299" customFormat="true" ht="11.25" hidden="false" customHeight="true" outlineLevel="0" collapsed="false">
      <c r="A97" s="40"/>
      <c r="B97" s="92"/>
      <c r="C97" s="51" t="s">
        <v>766</v>
      </c>
      <c r="D97" s="51" t="s">
        <v>250</v>
      </c>
      <c r="E97" s="159" t="str">
        <f aca="false">IFERROR(-AVERAGE(E18:E18)/E92*E93,"n/a")</f>
        <v>n/a</v>
      </c>
      <c r="F97" s="159" t="str">
        <f aca="false">IFERROR(-AVERAGE(F18:F18)/F92*F93*12,"n/a")</f>
        <v>n/a</v>
      </c>
      <c r="G97" s="159" t="str">
        <f aca="false">IFERROR(-AVERAGE(G18:G18)/G92*G93*12,"n/a")</f>
        <v>n/a</v>
      </c>
      <c r="H97" s="159" t="str">
        <f aca="false">IFERROR(-AVERAGE(H18:H18)/H92*H93*12,"n/a")</f>
        <v>n/a</v>
      </c>
      <c r="I97" s="159" t="str">
        <f aca="false">IFERROR(-AVERAGE(I18:I18)/I92*I93*12,"n/a")</f>
        <v>n/a</v>
      </c>
      <c r="J97" s="159" t="str">
        <f aca="false">IFERROR(-AVERAGE(J18:J18)/J92*J93*12,"n/a")</f>
        <v>n/a</v>
      </c>
      <c r="K97" s="159" t="str">
        <f aca="false">IFERROR(-AVERAGE(K18:K18)/K92*K93*12,"n/a")</f>
        <v>n/a</v>
      </c>
      <c r="L97" s="159" t="str">
        <f aca="false">IFERROR(-AVERAGE(L18:L18)/L92*L93*12,"n/a")</f>
        <v>n/a</v>
      </c>
      <c r="M97" s="159" t="str">
        <f aca="false">IFERROR(-AVERAGE(M18:M18)/M92*M93*12,"n/a")</f>
        <v>n/a</v>
      </c>
      <c r="N97" s="159" t="str">
        <f aca="false">IFERROR(-AVERAGE(N18:N18)/N92*N93*12,"n/a")</f>
        <v>n/a</v>
      </c>
      <c r="O97" s="159" t="str">
        <f aca="false">IFERROR(-AVERAGE(O18:O18)/O92*O93*12,"n/a")</f>
        <v>n/a</v>
      </c>
      <c r="P97" s="159" t="str">
        <f aca="false">IFERROR(-AVERAGE(P18:P18)/P92*P93*12,"n/a")</f>
        <v>n/a</v>
      </c>
      <c r="Q97" s="159" t="str">
        <f aca="false">IFERROR(-AVERAGE(Q18:Q18)/Q92*Q93*12,"n/a")</f>
        <v>n/a</v>
      </c>
      <c r="R97" s="159" t="str">
        <f aca="false">IFERROR(-AVERAGE(R18:R18)/R92*R93*12,"n/a")</f>
        <v>n/a</v>
      </c>
      <c r="S97" s="159" t="str">
        <f aca="false">IFERROR(-AVERAGE(S18:S18)/S92*S93*12,"n/a")</f>
        <v>n/a</v>
      </c>
      <c r="T97" s="159" t="str">
        <f aca="false">IFERROR(-AVERAGE(T18:T18)/T92*T93*12,"n/a")</f>
        <v>n/a</v>
      </c>
      <c r="U97" s="159" t="str">
        <f aca="false">IFERROR(-AVERAGE(U18:U18)/U92*U93*12,"n/a")</f>
        <v>n/a</v>
      </c>
      <c r="V97" s="159" t="str">
        <f aca="false">IFERROR(-AVERAGE(V18:V18)/V92*V93*12,"n/a")</f>
        <v>n/a</v>
      </c>
      <c r="W97" s="159" t="str">
        <f aca="false">IFERROR(-AVERAGE(W18:W18)/W92*W93*12,"n/a")</f>
        <v>n/a</v>
      </c>
      <c r="X97" s="159" t="str">
        <f aca="false">IFERROR(-AVERAGE(X18:X18)/X92*X93*12,"n/a")</f>
        <v>n/a</v>
      </c>
      <c r="Y97" s="159" t="str">
        <f aca="false">IFERROR(-AVERAGE(Y18:Y18)/Y92*Y93*12,"n/a")</f>
        <v>n/a</v>
      </c>
      <c r="Z97" s="159" t="str">
        <f aca="false">IFERROR(-AVERAGE(Z18:Z18)/Z92*Z93*12,"n/a")</f>
        <v>n/a</v>
      </c>
      <c r="AA97" s="159" t="str">
        <f aca="false">IFERROR(-AVERAGE(AA18:AA18)/AA92*AA93*12,"n/a")</f>
        <v>n/a</v>
      </c>
      <c r="AB97" s="159" t="str">
        <f aca="false">IFERROR(-AVERAGE(AB18:AB18)/AB92*AB93*12,"n/a")</f>
        <v>n/a</v>
      </c>
      <c r="AC97" s="159" t="str">
        <f aca="false">IFERROR(-AVERAGE(AC18:AC18)/AC92*AC93*12,"n/a")</f>
        <v>n/a</v>
      </c>
      <c r="AD97" s="159" t="str">
        <f aca="false">IFERROR(-AVERAGE(AD18:AD18)/AD92*AD93*12,"n/a")</f>
        <v>n/a</v>
      </c>
      <c r="AE97" s="159" t="str">
        <f aca="false">IFERROR(-AVERAGE(AE18:AE18)/AE92*AE93*12,"n/a")</f>
        <v>n/a</v>
      </c>
      <c r="AF97" s="159" t="str">
        <f aca="false">IFERROR(-AVERAGE(AF18:AF18)/AF92*AF93*12,"n/a")</f>
        <v>n/a</v>
      </c>
      <c r="AG97" s="159" t="str">
        <f aca="false">IFERROR(-AVERAGE(AG18:AG18)/AG92*AG93*12,"n/a")</f>
        <v>n/a</v>
      </c>
      <c r="AH97" s="159" t="str">
        <f aca="false">IFERROR(-AVERAGE(AH18:AH18)/AH92*AH93*12,"n/a")</f>
        <v>n/a</v>
      </c>
      <c r="AI97" s="159" t="str">
        <f aca="false">IFERROR(-AVERAGE(AI18:AI18)/AI92*AI93*12,"n/a")</f>
        <v>n/a</v>
      </c>
      <c r="AJ97" s="159" t="str">
        <f aca="false">IFERROR(-AVERAGE(AJ18:AJ18)/AJ92*AJ93*12,"n/a")</f>
        <v>n/a</v>
      </c>
      <c r="AK97" s="159" t="str">
        <f aca="false">IFERROR(-AVERAGE(AK18:AK18)/AK92*AK93*12,"n/a")</f>
        <v>n/a</v>
      </c>
      <c r="AL97" s="159" t="str">
        <f aca="false">IFERROR(-AVERAGE(AL18:AL18)/AL92*AL93*12,"n/a")</f>
        <v>n/a</v>
      </c>
      <c r="AM97" s="159" t="str">
        <f aca="false">IFERROR(-AVERAGE(AM18:AM18)/AM92*AM93*12,"n/a")</f>
        <v>n/a</v>
      </c>
      <c r="AN97" s="159" t="str">
        <f aca="false">IFERROR(-AVERAGE(AN18:AN18)/AN92*AN93*12,"n/a")</f>
        <v>n/a</v>
      </c>
      <c r="AO97" s="159" t="str">
        <f aca="false">IFERROR(-AVERAGE(AO18:AO18)/AO92*AO93*12,"n/a")</f>
        <v>n/a</v>
      </c>
      <c r="AP97" s="159" t="str">
        <f aca="false">IFERROR(-AVERAGE(AP18:AP18)/AP92*AP93*12,"n/a")</f>
        <v>n/a</v>
      </c>
      <c r="AQ97" s="159" t="str">
        <f aca="false">IFERROR(-AVERAGE(AQ18:AQ18)/AQ92*AQ93*12,"n/a")</f>
        <v>n/a</v>
      </c>
      <c r="AR97" s="159" t="str">
        <f aca="false">IFERROR(-AVERAGE(AR18:AR18)/AR92*AR93*12,"n/a")</f>
        <v>n/a</v>
      </c>
      <c r="AS97" s="159" t="str">
        <f aca="false">IFERROR(-AVERAGE(AS18:AS18)/AS92*AS93*12,"n/a")</f>
        <v>n/a</v>
      </c>
      <c r="AT97" s="159" t="str">
        <f aca="false">IFERROR(-AVERAGE(AT18:AT18)/AT92*AT93*12,"n/a")</f>
        <v>n/a</v>
      </c>
      <c r="AU97" s="159" t="str">
        <f aca="false">IFERROR(-AVERAGE(AU18:AU18)/AU92*AU93*12,"n/a")</f>
        <v>n/a</v>
      </c>
      <c r="AV97" s="159" t="str">
        <f aca="false">IFERROR(-AVERAGE(AV18:AV18)/AV92*AV93*12,"n/a")</f>
        <v>n/a</v>
      </c>
      <c r="AW97" s="159" t="str">
        <f aca="false">IFERROR(-AVERAGE(AW18:AW18)/AW92*AW93*12,"n/a")</f>
        <v>n/a</v>
      </c>
      <c r="AX97" s="159" t="str">
        <f aca="false">IFERROR(-AVERAGE(AX18:AX18)/AX92*AX93*12,"n/a")</f>
        <v>n/a</v>
      </c>
      <c r="AY97" s="159" t="str">
        <f aca="false">IFERROR(-AVERAGE(AY18:AY18)/AY92*AY93*12,"n/a")</f>
        <v>n/a</v>
      </c>
      <c r="AZ97" s="159" t="str">
        <f aca="false">IFERROR(-AVERAGE(AZ18:AZ18)/AZ92*AZ93*12,"n/a")</f>
        <v>n/a</v>
      </c>
      <c r="BA97" s="159" t="str">
        <f aca="false">IFERROR(-AVERAGE(BA18:BA18)/BA92*BA93*12,"n/a")</f>
        <v>n/a</v>
      </c>
      <c r="BB97" s="159" t="str">
        <f aca="false">IFERROR(-AVERAGE(BB18:BB18)/BB92*BB93*12,"n/a")</f>
        <v>n/a</v>
      </c>
      <c r="BC97" s="159" t="str">
        <f aca="false">IFERROR(-AVERAGE(BC18:BC18)/BC92*BC93*12,"n/a")</f>
        <v>n/a</v>
      </c>
      <c r="BD97" s="159" t="str">
        <f aca="false">IFERROR(-AVERAGE(BD18:BD18)/BD92*BD93*12,"n/a")</f>
        <v>n/a</v>
      </c>
      <c r="BE97" s="159" t="str">
        <f aca="false">IFERROR(-AVERAGE(BE18:BE18)/BE92*BE93*12,"n/a")</f>
        <v>n/a</v>
      </c>
      <c r="BF97" s="159" t="str">
        <f aca="false">IFERROR(-AVERAGE(BF18:BF18)/BF92*BF93*12,"n/a")</f>
        <v>n/a</v>
      </c>
      <c r="BG97" s="159" t="str">
        <f aca="false">IFERROR(-AVERAGE(BG18:BG18)/BG92*BG93*12,"n/a")</f>
        <v>n/a</v>
      </c>
      <c r="BH97" s="159" t="str">
        <f aca="false">IFERROR(-AVERAGE(BH18:BH18)/BH92*BH93*12,"n/a")</f>
        <v>n/a</v>
      </c>
      <c r="BI97" s="159" t="str">
        <f aca="false">IFERROR(-AVERAGE(BI18:BI18)/BI92*BI93*12,"n/a")</f>
        <v>n/a</v>
      </c>
      <c r="BJ97" s="159" t="str">
        <f aca="false">IFERROR(-AVERAGE(BJ18:BJ18)/BJ92*BJ93*12,"n/a")</f>
        <v>n/a</v>
      </c>
      <c r="BK97" s="159" t="str">
        <f aca="false">IFERROR(-AVERAGE(BK18:BK18)/BK92*BK93*12,"n/a")</f>
        <v>n/a</v>
      </c>
      <c r="BL97" s="159" t="str">
        <f aca="false">IFERROR(-AVERAGE(BL18:BL18)/BL92*BL93*12,"n/a")</f>
        <v>n/a</v>
      </c>
      <c r="BM97" s="159" t="str">
        <f aca="false">IFERROR(-AVERAGE(BM18:BM18)/BM92*BM93*12,"n/a")</f>
        <v>n/a</v>
      </c>
      <c r="BN97" s="159" t="str">
        <f aca="false">IFERROR(-AVERAGE(BN18:BN18)/BN92*BN93*12,"n/a")</f>
        <v>n/a</v>
      </c>
      <c r="BO97" s="159" t="str">
        <f aca="false">IFERROR(-AVERAGE(BO18:BO18)/BO92*BO93*12,"n/a")</f>
        <v>n/a</v>
      </c>
      <c r="BP97" s="159" t="str">
        <f aca="false">IFERROR(-AVERAGE(BP18:BP18)/BP92*BP93*12,"n/a")</f>
        <v>n/a</v>
      </c>
      <c r="BQ97" s="159" t="str">
        <f aca="false">IFERROR(-AVERAGE(BQ18:BQ18)/BQ92*BQ93*12,"n/a")</f>
        <v>n/a</v>
      </c>
      <c r="BR97" s="159" t="str">
        <f aca="false">IFERROR(-AVERAGE(BR18:BR18)/BR92*BR93*12,"n/a")</f>
        <v>n/a</v>
      </c>
      <c r="BS97" s="159" t="str">
        <f aca="false">IFERROR(-AVERAGE(BS18:BS18)/BS92*BS93*12,"n/a")</f>
        <v>n/a</v>
      </c>
      <c r="BT97" s="159" t="str">
        <f aca="false">IFERROR(-AVERAGE(BT18:BT18)/BT92*BT93*12,"n/a")</f>
        <v>n/a</v>
      </c>
      <c r="BU97" s="159" t="str">
        <f aca="false">IFERROR(-AVERAGE(BU18:BU18)/BU92*BU93*12,"n/a")</f>
        <v>n/a</v>
      </c>
      <c r="BV97" s="159" t="str">
        <f aca="false">IFERROR(-AVERAGE(BV18:BV18)/BV92*BV93*12,"n/a")</f>
        <v>n/a</v>
      </c>
      <c r="BW97" s="159" t="str">
        <f aca="false">IFERROR(-AVERAGE(BW18:BW18)/BW92*BW93*12,"n/a")</f>
        <v>n/a</v>
      </c>
      <c r="BX97" s="159" t="str">
        <f aca="false">IFERROR(-AVERAGE(BX18:BX18)/BX92*BX93*12,"n/a")</f>
        <v>n/a</v>
      </c>
      <c r="BY97" s="159" t="str">
        <f aca="false">IFERROR(-AVERAGE(BY18:BY18)/BY92*BY93*12,"n/a")</f>
        <v>n/a</v>
      </c>
      <c r="BZ97" s="159" t="str">
        <f aca="false">IFERROR(-AVERAGE(BZ18:BZ18)/BZ92*BZ93*12,"n/a")</f>
        <v>n/a</v>
      </c>
      <c r="CA97" s="159" t="str">
        <f aca="false">IFERROR(-AVERAGE(CA18:CA18)/CA92*CA93*12,"n/a")</f>
        <v>n/a</v>
      </c>
      <c r="CB97" s="159" t="str">
        <f aca="false">IFERROR(-AVERAGE(CB18:CB18)/CB92*CB93*12,"n/a")</f>
        <v>n/a</v>
      </c>
      <c r="CC97" s="159" t="str">
        <f aca="false">IFERROR(-AVERAGE(CC18:CC18)/CC92*CC93*12,"n/a")</f>
        <v>n/a</v>
      </c>
      <c r="CD97" s="159" t="str">
        <f aca="false">IFERROR(-AVERAGE(CD18:CD18)/CD92*CD93*12,"n/a")</f>
        <v>n/a</v>
      </c>
      <c r="CE97" s="159" t="str">
        <f aca="false">IFERROR(-AVERAGE(CE18:CE18)/CE92*CE93*12,"n/a")</f>
        <v>n/a</v>
      </c>
      <c r="CF97" s="159" t="str">
        <f aca="false">IFERROR(-AVERAGE(CF18:CF18)/CF92*CF93*12,"n/a")</f>
        <v>n/a</v>
      </c>
      <c r="CG97" s="159" t="str">
        <f aca="false">IFERROR(-AVERAGE(CG18:CG18)/CG92*CG93*12,"n/a")</f>
        <v>n/a</v>
      </c>
      <c r="CH97" s="159" t="str">
        <f aca="false">IFERROR(-AVERAGE(CH18:CH18)/CH92*CH93*12,"n/a")</f>
        <v>n/a</v>
      </c>
      <c r="CI97" s="159" t="str">
        <f aca="false">IFERROR(-AVERAGE(CI18:CI18)/CI92*CI93*12,"n/a")</f>
        <v>n/a</v>
      </c>
      <c r="CJ97" s="159" t="str">
        <f aca="false">IFERROR(-AVERAGE(CJ18:CJ18)/CJ92*CJ93*12,"n/a")</f>
        <v>n/a</v>
      </c>
      <c r="CK97" s="159" t="str">
        <f aca="false">IFERROR(-AVERAGE(CK18:CK18)/CK92*CK93*12,"n/a")</f>
        <v>n/a</v>
      </c>
      <c r="CL97" s="178"/>
      <c r="CM97" s="178"/>
      <c r="CN97" s="178"/>
      <c r="CO97" s="178"/>
      <c r="CP97" s="178"/>
      <c r="CQ97" s="178"/>
      <c r="CR97" s="178"/>
      <c r="CS97" s="178"/>
      <c r="CT97" s="178"/>
      <c r="CU97" s="178"/>
    </row>
    <row r="98" s="299" customFormat="true" ht="11.25" hidden="false" customHeight="true" outlineLevel="0" collapsed="false">
      <c r="A98" s="40"/>
      <c r="B98" s="92"/>
      <c r="C98" s="132" t="s">
        <v>793</v>
      </c>
      <c r="D98" s="132" t="s">
        <v>106</v>
      </c>
      <c r="E98" s="168" t="n">
        <f aca="false">SUM(E95:E97)</f>
        <v>0</v>
      </c>
      <c r="F98" s="168" t="n">
        <f aca="false">SUM(F95:F97)</f>
        <v>0</v>
      </c>
      <c r="G98" s="168" t="n">
        <f aca="false">SUM(G95:G97)</f>
        <v>0</v>
      </c>
      <c r="H98" s="168" t="n">
        <f aca="false">SUM(H95:H97)</f>
        <v>0</v>
      </c>
      <c r="I98" s="168" t="n">
        <f aca="false">SUM(I95:I97)</f>
        <v>0</v>
      </c>
      <c r="J98" s="168" t="n">
        <f aca="false">SUM(J95:J97)</f>
        <v>0</v>
      </c>
      <c r="K98" s="168" t="n">
        <f aca="false">SUM(K95:K97)</f>
        <v>0</v>
      </c>
      <c r="L98" s="168" t="n">
        <f aca="false">SUM(L95:L97)</f>
        <v>0</v>
      </c>
      <c r="M98" s="168" t="n">
        <f aca="false">SUM(M95:M97)</f>
        <v>0</v>
      </c>
      <c r="N98" s="168" t="n">
        <f aca="false">SUM(N95:N97)</f>
        <v>0</v>
      </c>
      <c r="O98" s="168" t="n">
        <f aca="false">SUM(O95:O97)</f>
        <v>0</v>
      </c>
      <c r="P98" s="168" t="n">
        <f aca="false">SUM(P95:P97)</f>
        <v>0</v>
      </c>
      <c r="Q98" s="168" t="n">
        <f aca="false">SUM(Q95:Q97)</f>
        <v>0</v>
      </c>
      <c r="R98" s="168" t="n">
        <f aca="false">SUM(R95:R97)</f>
        <v>0</v>
      </c>
      <c r="S98" s="168" t="n">
        <f aca="false">SUM(S95:S97)</f>
        <v>0</v>
      </c>
      <c r="T98" s="168" t="n">
        <f aca="false">SUM(T95:T97)</f>
        <v>0</v>
      </c>
      <c r="U98" s="168" t="n">
        <f aca="false">SUM(U95:U97)</f>
        <v>0</v>
      </c>
      <c r="V98" s="168" t="n">
        <f aca="false">SUM(V95:V97)</f>
        <v>0</v>
      </c>
      <c r="W98" s="168" t="n">
        <f aca="false">SUM(W95:W97)</f>
        <v>0</v>
      </c>
      <c r="X98" s="168" t="n">
        <f aca="false">SUM(X95:X97)</f>
        <v>0</v>
      </c>
      <c r="Y98" s="168" t="n">
        <f aca="false">SUM(Y95:Y97)</f>
        <v>0</v>
      </c>
      <c r="Z98" s="168" t="n">
        <f aca="false">SUM(Z95:Z97)</f>
        <v>0</v>
      </c>
      <c r="AA98" s="168" t="n">
        <f aca="false">SUM(AA95:AA97)</f>
        <v>0</v>
      </c>
      <c r="AB98" s="168" t="n">
        <f aca="false">SUM(AB95:AB97)</f>
        <v>0</v>
      </c>
      <c r="AC98" s="168" t="n">
        <f aca="false">SUM(AC95:AC97)</f>
        <v>0</v>
      </c>
      <c r="AD98" s="168" t="n">
        <f aca="false">SUM(AD95:AD97)</f>
        <v>0</v>
      </c>
      <c r="AE98" s="168" t="n">
        <f aca="false">SUM(AE95:AE97)</f>
        <v>0</v>
      </c>
      <c r="AF98" s="168" t="n">
        <f aca="false">SUM(AF95:AF97)</f>
        <v>0</v>
      </c>
      <c r="AG98" s="168" t="n">
        <f aca="false">SUM(AG95:AG97)</f>
        <v>0</v>
      </c>
      <c r="AH98" s="168" t="n">
        <f aca="false">SUM(AH95:AH97)</f>
        <v>0</v>
      </c>
      <c r="AI98" s="168" t="n">
        <f aca="false">SUM(AI95:AI97)</f>
        <v>0</v>
      </c>
      <c r="AJ98" s="168" t="n">
        <f aca="false">SUM(AJ95:AJ97)</f>
        <v>0</v>
      </c>
      <c r="AK98" s="168" t="n">
        <f aca="false">SUM(AK95:AK97)</f>
        <v>0</v>
      </c>
      <c r="AL98" s="168" t="n">
        <f aca="false">SUM(AL95:AL97)</f>
        <v>0</v>
      </c>
      <c r="AM98" s="168" t="n">
        <f aca="false">SUM(AM95:AM97)</f>
        <v>0</v>
      </c>
      <c r="AN98" s="168" t="n">
        <f aca="false">SUM(AN95:AN97)</f>
        <v>0</v>
      </c>
      <c r="AO98" s="168" t="n">
        <f aca="false">SUM(AO95:AO97)</f>
        <v>0</v>
      </c>
      <c r="AP98" s="168" t="n">
        <f aca="false">SUM(AP95:AP97)</f>
        <v>0</v>
      </c>
      <c r="AQ98" s="168" t="n">
        <f aca="false">SUM(AQ95:AQ97)</f>
        <v>0</v>
      </c>
      <c r="AR98" s="168" t="n">
        <f aca="false">SUM(AR95:AR97)</f>
        <v>0</v>
      </c>
      <c r="AS98" s="168" t="n">
        <f aca="false">SUM(AS95:AS97)</f>
        <v>0</v>
      </c>
      <c r="AT98" s="168" t="n">
        <f aca="false">SUM(AT95:AT97)</f>
        <v>0</v>
      </c>
      <c r="AU98" s="168" t="n">
        <f aca="false">SUM(AU95:AU97)</f>
        <v>0</v>
      </c>
      <c r="AV98" s="168" t="n">
        <f aca="false">SUM(AV95:AV97)</f>
        <v>0</v>
      </c>
      <c r="AW98" s="168" t="n">
        <f aca="false">SUM(AW95:AW97)</f>
        <v>0</v>
      </c>
      <c r="AX98" s="168" t="n">
        <f aca="false">SUM(AX95:AX97)</f>
        <v>0</v>
      </c>
      <c r="AY98" s="168" t="n">
        <f aca="false">SUM(AY95:AY97)</f>
        <v>0</v>
      </c>
      <c r="AZ98" s="168" t="n">
        <f aca="false">SUM(AZ95:AZ97)</f>
        <v>0</v>
      </c>
      <c r="BA98" s="168" t="n">
        <f aca="false">SUM(BA95:BA97)</f>
        <v>0</v>
      </c>
      <c r="BB98" s="168" t="n">
        <f aca="false">SUM(BB95:BB97)</f>
        <v>0</v>
      </c>
      <c r="BC98" s="168" t="n">
        <f aca="false">SUM(BC95:BC97)</f>
        <v>0</v>
      </c>
      <c r="BD98" s="168" t="n">
        <f aca="false">SUM(BD95:BD97)</f>
        <v>0</v>
      </c>
      <c r="BE98" s="168" t="n">
        <f aca="false">SUM(BE95:BE97)</f>
        <v>0</v>
      </c>
      <c r="BF98" s="168" t="n">
        <f aca="false">SUM(BF95:BF97)</f>
        <v>0</v>
      </c>
      <c r="BG98" s="168" t="n">
        <f aca="false">SUM(BG95:BG97)</f>
        <v>0</v>
      </c>
      <c r="BH98" s="168" t="n">
        <f aca="false">SUM(BH95:BH97)</f>
        <v>0</v>
      </c>
      <c r="BI98" s="168" t="n">
        <f aca="false">SUM(BI95:BI97)</f>
        <v>0</v>
      </c>
      <c r="BJ98" s="168" t="n">
        <f aca="false">SUM(BJ95:BJ97)</f>
        <v>0</v>
      </c>
      <c r="BK98" s="168" t="n">
        <f aca="false">SUM(BK95:BK97)</f>
        <v>0</v>
      </c>
      <c r="BL98" s="168" t="n">
        <f aca="false">SUM(BL95:BL97)</f>
        <v>0</v>
      </c>
      <c r="BM98" s="168" t="n">
        <f aca="false">SUM(BM95:BM97)</f>
        <v>0</v>
      </c>
      <c r="BN98" s="168" t="n">
        <f aca="false">SUM(BN95:BN97)</f>
        <v>0</v>
      </c>
      <c r="BO98" s="168" t="n">
        <f aca="false">SUM(BO95:BO97)</f>
        <v>0</v>
      </c>
      <c r="BP98" s="168" t="n">
        <f aca="false">SUM(BP95:BP97)</f>
        <v>0</v>
      </c>
      <c r="BQ98" s="168" t="n">
        <f aca="false">SUM(BQ95:BQ97)</f>
        <v>0</v>
      </c>
      <c r="BR98" s="168" t="n">
        <f aca="false">SUM(BR95:BR97)</f>
        <v>0</v>
      </c>
      <c r="BS98" s="168" t="n">
        <f aca="false">SUM(BS95:BS97)</f>
        <v>0</v>
      </c>
      <c r="BT98" s="168" t="n">
        <f aca="false">SUM(BT95:BT97)</f>
        <v>0</v>
      </c>
      <c r="BU98" s="168" t="n">
        <f aca="false">SUM(BU95:BU97)</f>
        <v>0</v>
      </c>
      <c r="BV98" s="168" t="n">
        <f aca="false">SUM(BV95:BV97)</f>
        <v>0</v>
      </c>
      <c r="BW98" s="168" t="n">
        <f aca="false">SUM(BW95:BW97)</f>
        <v>0</v>
      </c>
      <c r="BX98" s="168" t="n">
        <f aca="false">SUM(BX95:BX97)</f>
        <v>0</v>
      </c>
      <c r="BY98" s="168" t="n">
        <f aca="false">SUM(BY95:BY97)</f>
        <v>0</v>
      </c>
      <c r="BZ98" s="168" t="n">
        <f aca="false">SUM(BZ95:BZ97)</f>
        <v>0</v>
      </c>
      <c r="CA98" s="168" t="n">
        <f aca="false">SUM(CA95:CA97)</f>
        <v>0</v>
      </c>
      <c r="CB98" s="168" t="n">
        <f aca="false">SUM(CB95:CB97)</f>
        <v>0</v>
      </c>
      <c r="CC98" s="168" t="n">
        <f aca="false">SUM(CC95:CC97)</f>
        <v>0</v>
      </c>
      <c r="CD98" s="168" t="n">
        <f aca="false">SUM(CD95:CD97)</f>
        <v>0</v>
      </c>
      <c r="CE98" s="168" t="n">
        <f aca="false">SUM(CE95:CE97)</f>
        <v>0</v>
      </c>
      <c r="CF98" s="168" t="n">
        <f aca="false">SUM(CF95:CF97)</f>
        <v>0</v>
      </c>
      <c r="CG98" s="168" t="n">
        <f aca="false">SUM(CG95:CG97)</f>
        <v>0</v>
      </c>
      <c r="CH98" s="168" t="n">
        <f aca="false">SUM(CH95:CH97)</f>
        <v>0</v>
      </c>
      <c r="CI98" s="168" t="n">
        <f aca="false">SUM(CI95:CI97)</f>
        <v>0</v>
      </c>
      <c r="CJ98" s="168" t="n">
        <f aca="false">SUM(CJ95:CJ97)</f>
        <v>0</v>
      </c>
      <c r="CK98" s="168" t="n">
        <f aca="false">SUM(CK95:CK97)</f>
        <v>0</v>
      </c>
      <c r="CL98" s="178"/>
      <c r="CM98" s="178"/>
      <c r="CN98" s="178"/>
      <c r="CO98" s="178"/>
      <c r="CP98" s="178"/>
      <c r="CQ98" s="178"/>
      <c r="CR98" s="178"/>
      <c r="CS98" s="178"/>
      <c r="CT98" s="178"/>
      <c r="CU98" s="178"/>
    </row>
    <row r="99" s="299" customFormat="true" ht="11.25" hidden="false" customHeight="true" outlineLevel="0" collapsed="false">
      <c r="A99" s="40"/>
      <c r="B99" s="92"/>
      <c r="C99" s="132"/>
      <c r="D99" s="132"/>
      <c r="E99" s="132"/>
      <c r="F99" s="132"/>
      <c r="G99" s="132"/>
      <c r="H99" s="132"/>
      <c r="I99" s="132"/>
      <c r="J99" s="132"/>
      <c r="K99" s="132"/>
      <c r="L99" s="132"/>
      <c r="M99" s="132"/>
      <c r="N99" s="132"/>
      <c r="O99" s="132"/>
      <c r="P99" s="132"/>
      <c r="Q99" s="132"/>
      <c r="R99" s="132"/>
      <c r="S99" s="132"/>
      <c r="T99" s="132"/>
      <c r="U99" s="132"/>
      <c r="V99" s="132"/>
      <c r="W99" s="132"/>
      <c r="X99" s="132"/>
      <c r="Y99" s="132"/>
      <c r="Z99" s="132"/>
      <c r="AA99" s="132"/>
      <c r="AB99" s="132"/>
      <c r="AC99" s="132"/>
      <c r="AD99" s="132"/>
      <c r="AE99" s="132"/>
      <c r="AF99" s="132"/>
      <c r="AG99" s="132"/>
      <c r="AH99" s="132"/>
      <c r="AI99" s="132"/>
      <c r="AJ99" s="132"/>
      <c r="AK99" s="132"/>
      <c r="AL99" s="132"/>
      <c r="AM99" s="132"/>
      <c r="AN99" s="132"/>
      <c r="AO99" s="132"/>
      <c r="AP99" s="132"/>
      <c r="AQ99" s="132"/>
      <c r="AR99" s="132"/>
      <c r="AS99" s="132"/>
      <c r="AT99" s="132"/>
      <c r="AU99" s="132"/>
      <c r="AV99" s="132"/>
      <c r="AW99" s="132"/>
      <c r="AX99" s="132"/>
      <c r="AY99" s="132"/>
      <c r="AZ99" s="132"/>
      <c r="BA99" s="132"/>
      <c r="BB99" s="132"/>
      <c r="BC99" s="132"/>
      <c r="BD99" s="132"/>
      <c r="BE99" s="132"/>
      <c r="BF99" s="132"/>
      <c r="BG99" s="132"/>
      <c r="BH99" s="132"/>
      <c r="BI99" s="132"/>
      <c r="BJ99" s="132"/>
      <c r="BK99" s="132"/>
      <c r="BL99" s="132"/>
      <c r="BM99" s="132"/>
      <c r="BN99" s="132"/>
      <c r="BO99" s="132"/>
      <c r="BP99" s="132"/>
      <c r="BQ99" s="132"/>
      <c r="BR99" s="132"/>
      <c r="BS99" s="132"/>
      <c r="BT99" s="132"/>
      <c r="BU99" s="132"/>
      <c r="BV99" s="132"/>
      <c r="BW99" s="132"/>
      <c r="BX99" s="132"/>
      <c r="BY99" s="132"/>
      <c r="BZ99" s="132"/>
      <c r="CA99" s="132"/>
      <c r="CB99" s="132"/>
      <c r="CC99" s="132"/>
      <c r="CD99" s="132"/>
      <c r="CE99" s="132"/>
      <c r="CF99" s="132"/>
      <c r="CG99" s="132"/>
      <c r="CH99" s="132"/>
      <c r="CI99" s="132"/>
      <c r="CJ99" s="132"/>
      <c r="CK99" s="132"/>
      <c r="CL99" s="178"/>
      <c r="CM99" s="178"/>
      <c r="CN99" s="178"/>
      <c r="CO99" s="178"/>
      <c r="CP99" s="178"/>
      <c r="CQ99" s="178"/>
      <c r="CR99" s="178"/>
      <c r="CS99" s="178"/>
      <c r="CT99" s="178"/>
      <c r="CU99" s="178"/>
    </row>
    <row r="100" s="299" customFormat="true" ht="11.25" hidden="false" customHeight="true" outlineLevel="0" collapsed="false">
      <c r="A100" s="40"/>
      <c r="B100" s="92"/>
      <c r="C100" s="51" t="s">
        <v>794</v>
      </c>
      <c r="D100" s="51" t="s">
        <v>795</v>
      </c>
      <c r="E100" s="132"/>
      <c r="F100" s="132"/>
      <c r="G100" s="132"/>
      <c r="H100" s="132"/>
      <c r="I100" s="132"/>
      <c r="J100" s="132"/>
      <c r="K100" s="132"/>
      <c r="L100" s="132"/>
      <c r="M100" s="132"/>
      <c r="N100" s="132"/>
      <c r="O100" s="132"/>
      <c r="P100" s="132"/>
      <c r="Q100" s="132"/>
      <c r="R100" s="132"/>
      <c r="S100" s="132"/>
      <c r="T100" s="132"/>
      <c r="U100" s="132"/>
      <c r="V100" s="132"/>
      <c r="W100" s="132"/>
      <c r="X100" s="132"/>
      <c r="Y100" s="132"/>
      <c r="Z100" s="132"/>
      <c r="AA100" s="132"/>
      <c r="AB100" s="132"/>
      <c r="AC100" s="132"/>
      <c r="AD100" s="132"/>
      <c r="AE100" s="132"/>
      <c r="AF100" s="132"/>
      <c r="AG100" s="132"/>
      <c r="AH100" s="132"/>
      <c r="AI100" s="132"/>
      <c r="AJ100" s="132"/>
      <c r="AK100" s="132"/>
      <c r="AL100" s="132"/>
      <c r="AM100" s="132"/>
      <c r="AN100" s="132"/>
      <c r="AO100" s="132"/>
      <c r="AP100" s="132"/>
      <c r="AQ100" s="132"/>
      <c r="AR100" s="132"/>
      <c r="AS100" s="132"/>
      <c r="AT100" s="132"/>
      <c r="AU100" s="132"/>
      <c r="AV100" s="132"/>
      <c r="AW100" s="132"/>
      <c r="AX100" s="132"/>
      <c r="AY100" s="132"/>
      <c r="AZ100" s="132"/>
      <c r="BA100" s="132"/>
      <c r="BB100" s="132"/>
      <c r="BC100" s="132"/>
      <c r="BD100" s="132"/>
      <c r="BE100" s="132"/>
      <c r="BF100" s="132"/>
      <c r="BG100" s="132"/>
      <c r="BH100" s="132"/>
      <c r="BI100" s="132"/>
      <c r="BJ100" s="132"/>
      <c r="BK100" s="132"/>
      <c r="BL100" s="132"/>
      <c r="BM100" s="132"/>
      <c r="BN100" s="132"/>
      <c r="BO100" s="132"/>
      <c r="BP100" s="132"/>
      <c r="BQ100" s="132"/>
      <c r="BR100" s="132"/>
      <c r="BS100" s="132"/>
      <c r="BT100" s="132"/>
      <c r="BU100" s="132"/>
      <c r="BV100" s="132"/>
      <c r="BW100" s="132"/>
      <c r="BX100" s="132"/>
      <c r="BY100" s="132"/>
      <c r="BZ100" s="132"/>
      <c r="CA100" s="132"/>
      <c r="CB100" s="132"/>
      <c r="CC100" s="132"/>
      <c r="CD100" s="132"/>
      <c r="CE100" s="132"/>
      <c r="CF100" s="132"/>
      <c r="CG100" s="132"/>
      <c r="CH100" s="132"/>
      <c r="CI100" s="132"/>
      <c r="CJ100" s="132"/>
      <c r="CK100" s="132"/>
      <c r="CL100" s="178"/>
      <c r="CM100" s="178"/>
      <c r="CN100" s="178"/>
      <c r="CO100" s="178"/>
      <c r="CP100" s="178"/>
      <c r="CQ100" s="178"/>
      <c r="CR100" s="178"/>
      <c r="CS100" s="178"/>
      <c r="CT100" s="178"/>
      <c r="CU100" s="178"/>
    </row>
    <row r="101" s="299" customFormat="true" ht="11.25" hidden="false" customHeight="true" outlineLevel="0" collapsed="false">
      <c r="A101" s="40"/>
      <c r="B101" s="92"/>
      <c r="C101" s="51" t="s">
        <v>796</v>
      </c>
      <c r="D101" s="51" t="s">
        <v>797</v>
      </c>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2"/>
      <c r="AJ101" s="132"/>
      <c r="AK101" s="132"/>
      <c r="AL101" s="132"/>
      <c r="AM101" s="132"/>
      <c r="AN101" s="132"/>
      <c r="AO101" s="132"/>
      <c r="AP101" s="132"/>
      <c r="AQ101" s="132"/>
      <c r="AR101" s="132"/>
      <c r="AS101" s="132"/>
      <c r="AT101" s="132"/>
      <c r="AU101" s="132"/>
      <c r="AV101" s="132"/>
      <c r="AW101" s="132"/>
      <c r="AX101" s="132"/>
      <c r="AY101" s="132"/>
      <c r="AZ101" s="132"/>
      <c r="BA101" s="132"/>
      <c r="BB101" s="132"/>
      <c r="BC101" s="132"/>
      <c r="BD101" s="132"/>
      <c r="BE101" s="132"/>
      <c r="BF101" s="132"/>
      <c r="BG101" s="132"/>
      <c r="BH101" s="132"/>
      <c r="BI101" s="132"/>
      <c r="BJ101" s="132"/>
      <c r="BK101" s="132"/>
      <c r="BL101" s="132"/>
      <c r="BM101" s="132"/>
      <c r="BN101" s="132"/>
      <c r="BO101" s="132"/>
      <c r="BP101" s="132"/>
      <c r="BQ101" s="132"/>
      <c r="BR101" s="132"/>
      <c r="BS101" s="132"/>
      <c r="BT101" s="132"/>
      <c r="BU101" s="132"/>
      <c r="BV101" s="132"/>
      <c r="BW101" s="132"/>
      <c r="BX101" s="132"/>
      <c r="BY101" s="132"/>
      <c r="BZ101" s="132"/>
      <c r="CA101" s="132"/>
      <c r="CB101" s="132"/>
      <c r="CC101" s="132"/>
      <c r="CD101" s="132"/>
      <c r="CE101" s="132"/>
      <c r="CF101" s="132"/>
      <c r="CG101" s="132"/>
      <c r="CH101" s="132"/>
      <c r="CI101" s="132"/>
      <c r="CJ101" s="132"/>
      <c r="CK101" s="132"/>
      <c r="CL101" s="178"/>
      <c r="CM101" s="178"/>
      <c r="CN101" s="178"/>
      <c r="CO101" s="178"/>
      <c r="CP101" s="178"/>
      <c r="CQ101" s="178"/>
      <c r="CR101" s="178"/>
      <c r="CS101" s="178"/>
      <c r="CT101" s="178"/>
      <c r="CU101" s="178"/>
    </row>
    <row r="102" s="299" customFormat="true" ht="11.25" hidden="false" customHeight="true" outlineLevel="0" collapsed="false">
      <c r="A102" s="40"/>
      <c r="B102" s="92"/>
      <c r="C102" s="51" t="s">
        <v>798</v>
      </c>
      <c r="D102" s="51" t="s">
        <v>799</v>
      </c>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132"/>
      <c r="AG102" s="132"/>
      <c r="AH102" s="132"/>
      <c r="AI102" s="132"/>
      <c r="AJ102" s="132"/>
      <c r="AK102" s="132"/>
      <c r="AL102" s="132"/>
      <c r="AM102" s="132"/>
      <c r="AN102" s="132"/>
      <c r="AO102" s="132"/>
      <c r="AP102" s="132"/>
      <c r="AQ102" s="132"/>
      <c r="AR102" s="132"/>
      <c r="AS102" s="132"/>
      <c r="AT102" s="132"/>
      <c r="AU102" s="132"/>
      <c r="AV102" s="132"/>
      <c r="AW102" s="132"/>
      <c r="AX102" s="132"/>
      <c r="AY102" s="132"/>
      <c r="AZ102" s="132"/>
      <c r="BA102" s="132"/>
      <c r="BB102" s="132"/>
      <c r="BC102" s="132"/>
      <c r="BD102" s="132"/>
      <c r="BE102" s="132"/>
      <c r="BF102" s="132"/>
      <c r="BG102" s="132"/>
      <c r="BH102" s="132"/>
      <c r="BI102" s="132"/>
      <c r="BJ102" s="132"/>
      <c r="BK102" s="132"/>
      <c r="BL102" s="132"/>
      <c r="BM102" s="132"/>
      <c r="BN102" s="132"/>
      <c r="BO102" s="132"/>
      <c r="BP102" s="132"/>
      <c r="BQ102" s="132"/>
      <c r="BR102" s="132"/>
      <c r="BS102" s="132"/>
      <c r="BT102" s="132"/>
      <c r="BU102" s="132"/>
      <c r="BV102" s="132"/>
      <c r="BW102" s="132"/>
      <c r="BX102" s="132"/>
      <c r="BY102" s="132"/>
      <c r="BZ102" s="132"/>
      <c r="CA102" s="132"/>
      <c r="CB102" s="132"/>
      <c r="CC102" s="132"/>
      <c r="CD102" s="132"/>
      <c r="CE102" s="132"/>
      <c r="CF102" s="132"/>
      <c r="CG102" s="132"/>
      <c r="CH102" s="132"/>
      <c r="CI102" s="132"/>
      <c r="CJ102" s="132"/>
      <c r="CK102" s="132"/>
      <c r="CL102" s="178"/>
      <c r="CM102" s="178"/>
      <c r="CN102" s="178"/>
      <c r="CO102" s="178"/>
      <c r="CP102" s="178"/>
      <c r="CQ102" s="178"/>
      <c r="CR102" s="178"/>
      <c r="CS102" s="178"/>
      <c r="CT102" s="178"/>
      <c r="CU102" s="178"/>
    </row>
    <row r="103" s="299" customFormat="true" ht="11.25" hidden="false" customHeight="true" outlineLevel="0" collapsed="false">
      <c r="A103" s="40"/>
      <c r="B103" s="92"/>
      <c r="C103" s="132" t="s">
        <v>800</v>
      </c>
      <c r="D103" s="132" t="s">
        <v>801</v>
      </c>
      <c r="E103" s="168" t="n">
        <f aca="false">SUM(E100:E102)</f>
        <v>0</v>
      </c>
      <c r="F103" s="168" t="n">
        <f aca="false">SUM(F100:F102)</f>
        <v>0</v>
      </c>
      <c r="G103" s="168" t="n">
        <f aca="false">SUM(G100:G102)</f>
        <v>0</v>
      </c>
      <c r="H103" s="168" t="n">
        <f aca="false">SUM(H100:H102)</f>
        <v>0</v>
      </c>
      <c r="I103" s="168" t="n">
        <f aca="false">SUM(I100:I102)</f>
        <v>0</v>
      </c>
      <c r="J103" s="168" t="n">
        <f aca="false">SUM(J100:J102)</f>
        <v>0</v>
      </c>
      <c r="K103" s="168" t="n">
        <f aca="false">SUM(K100:K102)</f>
        <v>0</v>
      </c>
      <c r="L103" s="168" t="n">
        <f aca="false">SUM(L100:L102)</f>
        <v>0</v>
      </c>
      <c r="M103" s="168" t="n">
        <f aca="false">SUM(M100:M102)</f>
        <v>0</v>
      </c>
      <c r="N103" s="168" t="n">
        <f aca="false">SUM(N100:N102)</f>
        <v>0</v>
      </c>
      <c r="O103" s="168" t="n">
        <f aca="false">SUM(O100:O102)</f>
        <v>0</v>
      </c>
      <c r="P103" s="168" t="n">
        <f aca="false">SUM(P100:P102)</f>
        <v>0</v>
      </c>
      <c r="Q103" s="168" t="n">
        <f aca="false">SUM(Q100:Q102)</f>
        <v>0</v>
      </c>
      <c r="R103" s="168" t="n">
        <f aca="false">SUM(R100:R102)</f>
        <v>0</v>
      </c>
      <c r="S103" s="168" t="n">
        <f aca="false">SUM(S100:S102)</f>
        <v>0</v>
      </c>
      <c r="T103" s="168" t="n">
        <f aca="false">SUM(T100:T102)</f>
        <v>0</v>
      </c>
      <c r="U103" s="168" t="n">
        <f aca="false">SUM(U100:U102)</f>
        <v>0</v>
      </c>
      <c r="V103" s="168" t="n">
        <f aca="false">SUM(V100:V102)</f>
        <v>0</v>
      </c>
      <c r="W103" s="168" t="n">
        <f aca="false">SUM(W100:W102)</f>
        <v>0</v>
      </c>
      <c r="X103" s="168" t="n">
        <f aca="false">SUM(X100:X102)</f>
        <v>0</v>
      </c>
      <c r="Y103" s="168" t="n">
        <f aca="false">SUM(Y100:Y102)</f>
        <v>0</v>
      </c>
      <c r="Z103" s="168" t="n">
        <f aca="false">SUM(Z100:Z102)</f>
        <v>0</v>
      </c>
      <c r="AA103" s="168" t="n">
        <f aca="false">SUM(AA100:AA102)</f>
        <v>0</v>
      </c>
      <c r="AB103" s="168" t="n">
        <f aca="false">SUM(AB100:AB102)</f>
        <v>0</v>
      </c>
      <c r="AC103" s="168" t="n">
        <f aca="false">SUM(AC100:AC102)</f>
        <v>0</v>
      </c>
      <c r="AD103" s="168" t="n">
        <f aca="false">SUM(AD100:AD102)</f>
        <v>0</v>
      </c>
      <c r="AE103" s="168" t="n">
        <f aca="false">SUM(AE100:AE102)</f>
        <v>0</v>
      </c>
      <c r="AF103" s="168" t="n">
        <f aca="false">SUM(AF100:AF102)</f>
        <v>0</v>
      </c>
      <c r="AG103" s="168" t="n">
        <f aca="false">SUM(AG100:AG102)</f>
        <v>0</v>
      </c>
      <c r="AH103" s="168" t="n">
        <f aca="false">SUM(AH100:AH102)</f>
        <v>0</v>
      </c>
      <c r="AI103" s="168" t="n">
        <f aca="false">SUM(AI100:AI102)</f>
        <v>0</v>
      </c>
      <c r="AJ103" s="168" t="n">
        <f aca="false">SUM(AJ100:AJ102)</f>
        <v>0</v>
      </c>
      <c r="AK103" s="168" t="n">
        <f aca="false">SUM(AK100:AK102)</f>
        <v>0</v>
      </c>
      <c r="AL103" s="168" t="n">
        <f aca="false">SUM(AL100:AL102)</f>
        <v>0</v>
      </c>
      <c r="AM103" s="168" t="n">
        <f aca="false">SUM(AM100:AM102)</f>
        <v>0</v>
      </c>
      <c r="AN103" s="168" t="n">
        <f aca="false">SUM(AN100:AN102)</f>
        <v>0</v>
      </c>
      <c r="AO103" s="168" t="n">
        <f aca="false">SUM(AO100:AO102)</f>
        <v>0</v>
      </c>
      <c r="AP103" s="168" t="n">
        <f aca="false">SUM(AP100:AP102)</f>
        <v>0</v>
      </c>
      <c r="AQ103" s="168" t="n">
        <f aca="false">SUM(AQ100:AQ102)</f>
        <v>0</v>
      </c>
      <c r="AR103" s="168" t="n">
        <f aca="false">SUM(AR100:AR102)</f>
        <v>0</v>
      </c>
      <c r="AS103" s="168" t="n">
        <f aca="false">SUM(AS100:AS102)</f>
        <v>0</v>
      </c>
      <c r="AT103" s="168" t="n">
        <f aca="false">SUM(AT100:AT102)</f>
        <v>0</v>
      </c>
      <c r="AU103" s="168" t="n">
        <f aca="false">SUM(AU100:AU102)</f>
        <v>0</v>
      </c>
      <c r="AV103" s="168" t="n">
        <f aca="false">SUM(AV100:AV102)</f>
        <v>0</v>
      </c>
      <c r="AW103" s="168" t="n">
        <f aca="false">SUM(AW100:AW102)</f>
        <v>0</v>
      </c>
      <c r="AX103" s="168" t="n">
        <f aca="false">SUM(AX100:AX102)</f>
        <v>0</v>
      </c>
      <c r="AY103" s="168" t="n">
        <f aca="false">SUM(AY100:AY102)</f>
        <v>0</v>
      </c>
      <c r="AZ103" s="168" t="n">
        <f aca="false">SUM(AZ100:AZ102)</f>
        <v>0</v>
      </c>
      <c r="BA103" s="168" t="n">
        <f aca="false">SUM(BA100:BA102)</f>
        <v>0</v>
      </c>
      <c r="BB103" s="168" t="n">
        <f aca="false">SUM(BB100:BB102)</f>
        <v>0</v>
      </c>
      <c r="BC103" s="168" t="n">
        <f aca="false">SUM(BC100:BC102)</f>
        <v>0</v>
      </c>
      <c r="BD103" s="168" t="n">
        <f aca="false">SUM(BD100:BD102)</f>
        <v>0</v>
      </c>
      <c r="BE103" s="168" t="n">
        <f aca="false">SUM(BE100:BE102)</f>
        <v>0</v>
      </c>
      <c r="BF103" s="168" t="n">
        <f aca="false">SUM(BF100:BF102)</f>
        <v>0</v>
      </c>
      <c r="BG103" s="168" t="n">
        <f aca="false">SUM(BG100:BG102)</f>
        <v>0</v>
      </c>
      <c r="BH103" s="168" t="n">
        <f aca="false">SUM(BH100:BH102)</f>
        <v>0</v>
      </c>
      <c r="BI103" s="168" t="n">
        <f aca="false">SUM(BI100:BI102)</f>
        <v>0</v>
      </c>
      <c r="BJ103" s="168" t="n">
        <f aca="false">SUM(BJ100:BJ102)</f>
        <v>0</v>
      </c>
      <c r="BK103" s="168" t="n">
        <f aca="false">SUM(BK100:BK102)</f>
        <v>0</v>
      </c>
      <c r="BL103" s="168" t="n">
        <f aca="false">SUM(BL100:BL102)</f>
        <v>0</v>
      </c>
      <c r="BM103" s="168" t="n">
        <f aca="false">SUM(BM100:BM102)</f>
        <v>0</v>
      </c>
      <c r="BN103" s="168" t="n">
        <f aca="false">SUM(BN100:BN102)</f>
        <v>0</v>
      </c>
      <c r="BO103" s="168" t="n">
        <f aca="false">SUM(BO100:BO102)</f>
        <v>0</v>
      </c>
      <c r="BP103" s="168" t="n">
        <f aca="false">SUM(BP100:BP102)</f>
        <v>0</v>
      </c>
      <c r="BQ103" s="168" t="n">
        <f aca="false">SUM(BQ100:BQ102)</f>
        <v>0</v>
      </c>
      <c r="BR103" s="168" t="n">
        <f aca="false">SUM(BR100:BR102)</f>
        <v>0</v>
      </c>
      <c r="BS103" s="168" t="n">
        <f aca="false">SUM(BS100:BS102)</f>
        <v>0</v>
      </c>
      <c r="BT103" s="168" t="n">
        <f aca="false">SUM(BT100:BT102)</f>
        <v>0</v>
      </c>
      <c r="BU103" s="168" t="n">
        <f aca="false">SUM(BU100:BU102)</f>
        <v>0</v>
      </c>
      <c r="BV103" s="168" t="n">
        <f aca="false">SUM(BV100:BV102)</f>
        <v>0</v>
      </c>
      <c r="BW103" s="168" t="n">
        <f aca="false">SUM(BW100:BW102)</f>
        <v>0</v>
      </c>
      <c r="BX103" s="168" t="n">
        <f aca="false">SUM(BX100:BX102)</f>
        <v>0</v>
      </c>
      <c r="BY103" s="168" t="n">
        <f aca="false">SUM(BY100:BY102)</f>
        <v>0</v>
      </c>
      <c r="BZ103" s="168" t="n">
        <f aca="false">SUM(BZ100:BZ102)</f>
        <v>0</v>
      </c>
      <c r="CA103" s="168" t="n">
        <f aca="false">SUM(CA100:CA102)</f>
        <v>0</v>
      </c>
      <c r="CB103" s="168" t="n">
        <f aca="false">SUM(CB100:CB102)</f>
        <v>0</v>
      </c>
      <c r="CC103" s="168" t="n">
        <f aca="false">SUM(CC100:CC102)</f>
        <v>0</v>
      </c>
      <c r="CD103" s="168" t="n">
        <f aca="false">SUM(CD100:CD102)</f>
        <v>0</v>
      </c>
      <c r="CE103" s="168" t="n">
        <f aca="false">SUM(CE100:CE102)</f>
        <v>0</v>
      </c>
      <c r="CF103" s="168" t="n">
        <f aca="false">SUM(CF100:CF102)</f>
        <v>0</v>
      </c>
      <c r="CG103" s="168" t="n">
        <f aca="false">SUM(CG100:CG102)</f>
        <v>0</v>
      </c>
      <c r="CH103" s="168" t="n">
        <f aca="false">SUM(CH100:CH102)</f>
        <v>0</v>
      </c>
      <c r="CI103" s="168" t="n">
        <f aca="false">SUM(CI100:CI102)</f>
        <v>0</v>
      </c>
      <c r="CJ103" s="168" t="n">
        <f aca="false">SUM(CJ100:CJ102)</f>
        <v>0</v>
      </c>
      <c r="CK103" s="168" t="n">
        <f aca="false">SUM(CK100:CK102)</f>
        <v>0</v>
      </c>
      <c r="CL103" s="178"/>
      <c r="CM103" s="178"/>
      <c r="CN103" s="178"/>
      <c r="CO103" s="178"/>
      <c r="CP103" s="178"/>
      <c r="CQ103" s="178"/>
      <c r="CR103" s="178"/>
      <c r="CS103" s="178"/>
      <c r="CT103" s="178"/>
      <c r="CU103" s="178"/>
    </row>
    <row r="104" s="299" customFormat="true" ht="11.25" hidden="false" customHeight="true" outlineLevel="0" collapsed="false">
      <c r="A104" s="40"/>
      <c r="B104" s="92"/>
      <c r="C104" s="132"/>
      <c r="D104" s="132"/>
      <c r="E104" s="132"/>
      <c r="F104" s="132"/>
      <c r="G104" s="132"/>
      <c r="H104" s="132"/>
      <c r="I104" s="132"/>
      <c r="J104" s="132"/>
      <c r="K104" s="132"/>
      <c r="L104" s="132"/>
      <c r="M104" s="132"/>
      <c r="N104" s="132"/>
      <c r="O104" s="132"/>
      <c r="P104" s="132"/>
      <c r="Q104" s="132"/>
      <c r="R104" s="132"/>
      <c r="S104" s="132"/>
      <c r="T104" s="132"/>
      <c r="U104" s="132"/>
      <c r="V104" s="132"/>
      <c r="W104" s="132"/>
      <c r="X104" s="132"/>
      <c r="Y104" s="132"/>
      <c r="Z104" s="132"/>
      <c r="AA104" s="132"/>
      <c r="AB104" s="132"/>
      <c r="AC104" s="132"/>
      <c r="AD104" s="132"/>
      <c r="AE104" s="132"/>
      <c r="AF104" s="132"/>
      <c r="AG104" s="132"/>
      <c r="AH104" s="132"/>
      <c r="AI104" s="132"/>
      <c r="AJ104" s="132"/>
      <c r="AK104" s="132"/>
      <c r="AL104" s="132"/>
      <c r="AM104" s="132"/>
      <c r="AN104" s="132"/>
      <c r="AO104" s="132"/>
      <c r="AP104" s="132"/>
      <c r="AQ104" s="132"/>
      <c r="AR104" s="132"/>
      <c r="AS104" s="132"/>
      <c r="AT104" s="132"/>
      <c r="AU104" s="132"/>
      <c r="AV104" s="132"/>
      <c r="AW104" s="132"/>
      <c r="AX104" s="132"/>
      <c r="AY104" s="132"/>
      <c r="AZ104" s="132"/>
      <c r="BA104" s="132"/>
      <c r="BB104" s="132"/>
      <c r="BC104" s="132"/>
      <c r="BD104" s="132"/>
      <c r="BE104" s="132"/>
      <c r="BF104" s="132"/>
      <c r="BG104" s="132"/>
      <c r="BH104" s="178"/>
      <c r="BI104" s="178"/>
      <c r="BJ104" s="178"/>
      <c r="BK104" s="178"/>
      <c r="BL104" s="178"/>
      <c r="BM104" s="178"/>
      <c r="BN104" s="178"/>
      <c r="BO104" s="178"/>
      <c r="BP104" s="178"/>
      <c r="BQ104" s="178"/>
      <c r="BR104" s="178"/>
      <c r="BS104" s="178"/>
      <c r="BT104" s="178"/>
      <c r="BU104" s="178"/>
      <c r="BV104" s="178"/>
      <c r="BW104" s="178"/>
      <c r="BX104" s="178"/>
      <c r="BY104" s="178"/>
      <c r="BZ104" s="178"/>
      <c r="CA104" s="178"/>
      <c r="CB104" s="178"/>
      <c r="CC104" s="178"/>
      <c r="CD104" s="178"/>
      <c r="CE104" s="178"/>
      <c r="CF104" s="178"/>
      <c r="CG104" s="178"/>
      <c r="CH104" s="178"/>
      <c r="CI104" s="178"/>
      <c r="CJ104" s="178"/>
      <c r="CK104" s="178"/>
      <c r="CL104" s="178"/>
      <c r="CM104" s="178"/>
      <c r="CN104" s="178"/>
      <c r="CO104" s="178"/>
      <c r="CP104" s="178"/>
      <c r="CQ104" s="178"/>
      <c r="CR104" s="178"/>
      <c r="CS104" s="178"/>
      <c r="CT104" s="178"/>
      <c r="CU104" s="178"/>
    </row>
    <row r="105" s="299" customFormat="true" ht="23.25" hidden="false" customHeight="true" outlineLevel="0" collapsed="false">
      <c r="A105" s="40"/>
      <c r="B105" s="92"/>
      <c r="C105" s="365" t="s">
        <v>802</v>
      </c>
      <c r="D105" s="365" t="s">
        <v>803</v>
      </c>
      <c r="E105" s="366"/>
      <c r="F105" s="366"/>
      <c r="G105" s="366"/>
      <c r="H105" s="366"/>
      <c r="I105" s="366"/>
      <c r="J105" s="366"/>
      <c r="K105" s="366"/>
      <c r="L105" s="366"/>
      <c r="M105" s="366"/>
      <c r="N105" s="366"/>
      <c r="O105" s="366"/>
      <c r="P105" s="366"/>
      <c r="Q105" s="366"/>
      <c r="R105" s="366"/>
      <c r="S105" s="366"/>
      <c r="T105" s="366"/>
      <c r="U105" s="366"/>
      <c r="V105" s="366"/>
      <c r="W105" s="366"/>
      <c r="X105" s="366"/>
      <c r="Y105" s="366"/>
      <c r="Z105" s="366"/>
      <c r="AA105" s="366"/>
      <c r="AB105" s="366"/>
      <c r="AC105" s="366"/>
      <c r="AD105" s="366"/>
      <c r="AE105" s="366"/>
      <c r="AF105" s="366"/>
      <c r="AG105" s="366"/>
      <c r="AH105" s="366"/>
      <c r="AI105" s="366"/>
      <c r="AJ105" s="366"/>
      <c r="AK105" s="366"/>
      <c r="AL105" s="366"/>
      <c r="AM105" s="366"/>
      <c r="AN105" s="366"/>
      <c r="AO105" s="366"/>
      <c r="AP105" s="366"/>
      <c r="AQ105" s="366"/>
      <c r="AR105" s="366"/>
      <c r="AS105" s="366"/>
      <c r="AT105" s="366"/>
      <c r="AU105" s="366"/>
      <c r="AV105" s="366"/>
      <c r="AW105" s="366"/>
      <c r="AX105" s="366"/>
      <c r="AY105" s="366"/>
      <c r="AZ105" s="366"/>
      <c r="BA105" s="366"/>
      <c r="BB105" s="366"/>
      <c r="BC105" s="366"/>
      <c r="BD105" s="366"/>
      <c r="BE105" s="366"/>
      <c r="BF105" s="366"/>
      <c r="BG105" s="366"/>
      <c r="BH105" s="367"/>
      <c r="BI105" s="367"/>
      <c r="BJ105" s="367"/>
      <c r="BK105" s="367"/>
      <c r="BL105" s="367"/>
      <c r="BM105" s="367"/>
      <c r="BN105" s="367"/>
      <c r="BO105" s="367"/>
      <c r="BP105" s="367"/>
      <c r="BQ105" s="367"/>
      <c r="BR105" s="367"/>
      <c r="BS105" s="367"/>
      <c r="BT105" s="367"/>
      <c r="BU105" s="367"/>
      <c r="BV105" s="367"/>
      <c r="BW105" s="367"/>
      <c r="BX105" s="367"/>
      <c r="BY105" s="367"/>
      <c r="BZ105" s="367"/>
      <c r="CA105" s="367"/>
      <c r="CB105" s="367"/>
      <c r="CC105" s="367"/>
      <c r="CD105" s="367"/>
      <c r="CE105" s="367"/>
      <c r="CF105" s="367"/>
      <c r="CG105" s="367"/>
      <c r="CH105" s="367"/>
      <c r="CI105" s="367"/>
      <c r="CJ105" s="367"/>
      <c r="CK105" s="367"/>
      <c r="CL105" s="178"/>
      <c r="CM105" s="178"/>
      <c r="CN105" s="178"/>
      <c r="CO105" s="178"/>
      <c r="CP105" s="178"/>
      <c r="CQ105" s="178"/>
      <c r="CR105" s="178"/>
      <c r="CS105" s="178"/>
      <c r="CT105" s="178"/>
      <c r="CU105" s="178"/>
    </row>
    <row r="106" customFormat="false" ht="11.25" hidden="false" customHeight="true" outlineLevel="0" collapsed="false">
      <c r="B106" s="112"/>
      <c r="CL106" s="112"/>
    </row>
    <row r="107" customFormat="false" ht="11.25" hidden="false" customHeight="true" outlineLevel="0" collapsed="false">
      <c r="B107" s="112"/>
      <c r="C107" s="368" t="s">
        <v>804</v>
      </c>
      <c r="D107" s="369" t="s">
        <v>804</v>
      </c>
      <c r="E107" s="370"/>
      <c r="F107" s="370" t="s">
        <v>792</v>
      </c>
      <c r="G107" s="370" t="s">
        <v>792</v>
      </c>
      <c r="H107" s="370" t="s">
        <v>792</v>
      </c>
      <c r="I107" s="370" t="s">
        <v>792</v>
      </c>
      <c r="J107" s="370" t="s">
        <v>792</v>
      </c>
      <c r="K107" s="370" t="s">
        <v>792</v>
      </c>
      <c r="L107" s="370" t="s">
        <v>792</v>
      </c>
      <c r="M107" s="370" t="s">
        <v>792</v>
      </c>
      <c r="N107" s="370" t="s">
        <v>792</v>
      </c>
      <c r="O107" s="370" t="s">
        <v>792</v>
      </c>
      <c r="P107" s="370" t="s">
        <v>792</v>
      </c>
      <c r="Q107" s="371" t="n">
        <f aca="false">SUM(PL_monthly!F9:Q9)</f>
        <v>0</v>
      </c>
      <c r="R107" s="371" t="n">
        <f aca="false">SUM(PL_monthly!G9:R9)</f>
        <v>0</v>
      </c>
      <c r="S107" s="371" t="n">
        <f aca="false">SUM(PL_monthly!H9:S9)</f>
        <v>0</v>
      </c>
      <c r="T107" s="371" t="n">
        <f aca="false">SUM(PL_monthly!I9:T9)</f>
        <v>0</v>
      </c>
      <c r="U107" s="371" t="n">
        <f aca="false">SUM(PL_monthly!J9:U9)</f>
        <v>0</v>
      </c>
      <c r="V107" s="371" t="n">
        <f aca="false">SUM(PL_monthly!K9:V9)</f>
        <v>0</v>
      </c>
      <c r="W107" s="371" t="n">
        <f aca="false">SUM(PL_monthly!L9:W9)</f>
        <v>0</v>
      </c>
      <c r="X107" s="371" t="n">
        <f aca="false">SUM(PL_monthly!M9:X9)</f>
        <v>0</v>
      </c>
      <c r="Y107" s="371" t="n">
        <f aca="false">SUM(PL_monthly!N9:Y9)</f>
        <v>0</v>
      </c>
      <c r="Z107" s="371" t="n">
        <f aca="false">SUM(PL_monthly!O9:Z9)</f>
        <v>0</v>
      </c>
      <c r="AA107" s="371" t="n">
        <f aca="false">SUM(PL_monthly!P9:AA9)</f>
        <v>0</v>
      </c>
      <c r="AB107" s="371" t="n">
        <f aca="false">SUM(PL_monthly!Q9:AB9)</f>
        <v>0</v>
      </c>
      <c r="AC107" s="371" t="n">
        <f aca="false">SUM(PL_monthly!R9:AC9)</f>
        <v>0</v>
      </c>
      <c r="AD107" s="371" t="n">
        <f aca="false">SUM(PL_monthly!S9:AD9)</f>
        <v>0</v>
      </c>
      <c r="AE107" s="371" t="n">
        <f aca="false">SUM(PL_monthly!T9:AE9)</f>
        <v>0</v>
      </c>
      <c r="AF107" s="371" t="n">
        <f aca="false">SUM(PL_monthly!U9:AF9)</f>
        <v>0</v>
      </c>
      <c r="AG107" s="371" t="n">
        <f aca="false">SUM(PL_monthly!V9:AG9)</f>
        <v>0</v>
      </c>
      <c r="AH107" s="371" t="n">
        <f aca="false">SUM(PL_monthly!W9:AH9)</f>
        <v>0</v>
      </c>
      <c r="AI107" s="371" t="n">
        <f aca="false">SUM(PL_monthly!X9:AI9)</f>
        <v>0</v>
      </c>
      <c r="AJ107" s="371" t="n">
        <f aca="false">SUM(PL_monthly!Y9:AJ9)</f>
        <v>0</v>
      </c>
      <c r="AK107" s="371" t="n">
        <f aca="false">SUM(PL_monthly!Z9:AK9)</f>
        <v>0</v>
      </c>
      <c r="AL107" s="371" t="n">
        <f aca="false">SUM(PL_monthly!AA9:AL9)</f>
        <v>0</v>
      </c>
      <c r="AM107" s="371" t="n">
        <f aca="false">SUM(PL_monthly!AB9:AM9)</f>
        <v>0</v>
      </c>
      <c r="AN107" s="371" t="n">
        <f aca="false">SUM(PL_monthly!AC9:AN9)</f>
        <v>0</v>
      </c>
      <c r="AO107" s="371" t="n">
        <f aca="false">SUM(PL_monthly!AD9:AO9)</f>
        <v>0</v>
      </c>
      <c r="AP107" s="371" t="n">
        <f aca="false">SUM(PL_monthly!AE9:AP9)</f>
        <v>0</v>
      </c>
      <c r="AQ107" s="371" t="n">
        <f aca="false">SUM(PL_monthly!AF9:AQ9)</f>
        <v>0</v>
      </c>
      <c r="AR107" s="371" t="n">
        <f aca="false">SUM(PL_monthly!AG9:AR9)</f>
        <v>0</v>
      </c>
      <c r="AS107" s="371" t="n">
        <f aca="false">SUM(PL_monthly!AH9:AS9)</f>
        <v>0</v>
      </c>
      <c r="AT107" s="371" t="n">
        <f aca="false">SUM(PL_monthly!AI9:AT9)</f>
        <v>0</v>
      </c>
      <c r="AU107" s="371" t="n">
        <f aca="false">SUM(PL_monthly!AJ9:AU9)</f>
        <v>0</v>
      </c>
      <c r="AV107" s="371" t="n">
        <f aca="false">SUM(PL_monthly!AK9:AV9)</f>
        <v>0</v>
      </c>
      <c r="AW107" s="371" t="n">
        <f aca="false">SUM(PL_monthly!AL9:AW9)</f>
        <v>0</v>
      </c>
      <c r="AX107" s="371" t="n">
        <f aca="false">SUM(PL_monthly!AM9:AX9)</f>
        <v>0</v>
      </c>
      <c r="AY107" s="371" t="n">
        <f aca="false">SUM(PL_monthly!AN9:AY9)</f>
        <v>0</v>
      </c>
      <c r="AZ107" s="371" t="n">
        <f aca="false">SUM(PL_monthly!AO9:AZ9)</f>
        <v>0</v>
      </c>
      <c r="BA107" s="371" t="n">
        <f aca="false">SUM(PL_monthly!AP9:BA9)</f>
        <v>0</v>
      </c>
      <c r="BB107" s="371" t="n">
        <f aca="false">SUM(PL_monthly!AQ9:BB9)</f>
        <v>0</v>
      </c>
      <c r="BC107" s="371" t="n">
        <f aca="false">SUM(PL_monthly!AR9:BC9)</f>
        <v>0</v>
      </c>
      <c r="BD107" s="371" t="n">
        <f aca="false">SUM(PL_monthly!AS9:BD9)</f>
        <v>0</v>
      </c>
      <c r="BE107" s="371" t="n">
        <f aca="false">SUM(PL_monthly!AT9:BE9)</f>
        <v>0</v>
      </c>
      <c r="BF107" s="371" t="n">
        <f aca="false">SUM(PL_monthly!AU9:BF9)</f>
        <v>0</v>
      </c>
      <c r="BG107" s="371" t="n">
        <f aca="false">SUM(PL_monthly!AV9:BG9)</f>
        <v>0</v>
      </c>
      <c r="BH107" s="371" t="n">
        <f aca="false">SUM(PL_monthly!AW9:BH9)</f>
        <v>0</v>
      </c>
      <c r="BI107" s="371" t="n">
        <f aca="false">SUM(PL_monthly!AX9:BI9)</f>
        <v>0</v>
      </c>
      <c r="BJ107" s="371" t="n">
        <f aca="false">SUM(PL_monthly!AY9:BJ9)</f>
        <v>0</v>
      </c>
      <c r="BK107" s="371" t="n">
        <f aca="false">SUM(PL_monthly!AZ9:BK9)</f>
        <v>0</v>
      </c>
      <c r="BL107" s="371" t="n">
        <f aca="false">SUM(PL_monthly!BA9:BL9)</f>
        <v>0</v>
      </c>
      <c r="BM107" s="371" t="n">
        <f aca="false">SUM(PL_monthly!BB9:BM9)</f>
        <v>0</v>
      </c>
      <c r="BN107" s="371" t="n">
        <f aca="false">SUM(PL_monthly!BC9:BN9)</f>
        <v>0</v>
      </c>
      <c r="BO107" s="371" t="n">
        <f aca="false">SUM(PL_monthly!BD9:BO9)</f>
        <v>0</v>
      </c>
      <c r="BP107" s="371" t="n">
        <f aca="false">SUM(PL_monthly!BE9:BP9)</f>
        <v>0</v>
      </c>
      <c r="BQ107" s="371" t="n">
        <f aca="false">SUM(PL_monthly!BF9:BQ9)</f>
        <v>0</v>
      </c>
      <c r="BR107" s="371" t="n">
        <f aca="false">SUM(PL_monthly!BG9:BR9)</f>
        <v>0</v>
      </c>
      <c r="BS107" s="371" t="n">
        <f aca="false">SUM(PL_monthly!BH9:BS9)</f>
        <v>0</v>
      </c>
      <c r="BT107" s="371" t="n">
        <f aca="false">SUM(PL_monthly!BI9:BT9)</f>
        <v>0</v>
      </c>
      <c r="BU107" s="371" t="n">
        <f aca="false">SUM(PL_monthly!BJ9:BU9)</f>
        <v>0</v>
      </c>
      <c r="BV107" s="371" t="n">
        <f aca="false">SUM(PL_monthly!BK9:BV9)</f>
        <v>0</v>
      </c>
      <c r="BW107" s="371" t="n">
        <f aca="false">SUM(PL_monthly!BL9:BW9)</f>
        <v>0</v>
      </c>
      <c r="BX107" s="371" t="n">
        <f aca="false">SUM(PL_monthly!BM9:BX9)</f>
        <v>0</v>
      </c>
      <c r="BY107" s="371" t="n">
        <f aca="false">SUM(PL_monthly!BN9:BY9)</f>
        <v>0</v>
      </c>
      <c r="BZ107" s="371" t="n">
        <f aca="false">SUM(PL_monthly!BO9:BZ9)</f>
        <v>0</v>
      </c>
      <c r="CA107" s="371" t="n">
        <f aca="false">SUM(PL_monthly!BP9:CA9)</f>
        <v>0</v>
      </c>
      <c r="CB107" s="371" t="n">
        <f aca="false">SUM(PL_monthly!BQ9:CB9)</f>
        <v>0</v>
      </c>
      <c r="CC107" s="371" t="n">
        <f aca="false">SUM(PL_monthly!BR9:CC9)</f>
        <v>0</v>
      </c>
      <c r="CD107" s="371" t="n">
        <f aca="false">SUM(PL_monthly!BS9:CD9)</f>
        <v>0</v>
      </c>
      <c r="CE107" s="371" t="n">
        <f aca="false">SUM(PL_monthly!BT9:CE9)</f>
        <v>0</v>
      </c>
      <c r="CF107" s="371" t="n">
        <f aca="false">SUM(PL_monthly!BU9:CF9)</f>
        <v>0</v>
      </c>
      <c r="CG107" s="371" t="n">
        <f aca="false">SUM(PL_monthly!BV9:CG9)</f>
        <v>0</v>
      </c>
      <c r="CH107" s="371" t="n">
        <f aca="false">SUM(PL_monthly!BW9:CH9)</f>
        <v>0</v>
      </c>
      <c r="CI107" s="371" t="n">
        <f aca="false">SUM(PL_monthly!BX9:CI9)</f>
        <v>0</v>
      </c>
      <c r="CJ107" s="371" t="n">
        <f aca="false">SUM(PL_monthly!BY9:CJ9)</f>
        <v>0</v>
      </c>
      <c r="CK107" s="372" t="n">
        <f aca="false">SUM(PL_monthly!BZ9:CK9)</f>
        <v>0</v>
      </c>
      <c r="CL107" s="112"/>
    </row>
    <row r="108" customFormat="false" ht="11.25" hidden="false" customHeight="true" outlineLevel="0" collapsed="false">
      <c r="B108" s="112"/>
      <c r="C108" s="373" t="s">
        <v>805</v>
      </c>
      <c r="D108" s="374" t="s">
        <v>806</v>
      </c>
      <c r="E108" s="375"/>
      <c r="F108" s="375" t="str">
        <f aca="false">IFERROR(F86/F$107,"n.a.")</f>
        <v>n.a.</v>
      </c>
      <c r="G108" s="375" t="str">
        <f aca="false">IFERROR(G86/G$107,"n.a.")</f>
        <v>n.a.</v>
      </c>
      <c r="H108" s="375" t="str">
        <f aca="false">IFERROR(H86/H$107,"n.a.")</f>
        <v>n.a.</v>
      </c>
      <c r="I108" s="375" t="str">
        <f aca="false">IFERROR(I86/I$107,"n.a.")</f>
        <v>n.a.</v>
      </c>
      <c r="J108" s="375" t="str">
        <f aca="false">IFERROR(J86/J$107,"n.a.")</f>
        <v>n.a.</v>
      </c>
      <c r="K108" s="375" t="str">
        <f aca="false">IFERROR(K86/K$107,"n.a.")</f>
        <v>n.a.</v>
      </c>
      <c r="L108" s="375" t="str">
        <f aca="false">IFERROR(L86/L$107,"n.a.")</f>
        <v>n.a.</v>
      </c>
      <c r="M108" s="375" t="str">
        <f aca="false">IFERROR(M86/M$107,"n.a.")</f>
        <v>n.a.</v>
      </c>
      <c r="N108" s="375" t="str">
        <f aca="false">IFERROR(N86/N$107,"n.a.")</f>
        <v>n.a.</v>
      </c>
      <c r="O108" s="375" t="str">
        <f aca="false">IFERROR(O86/O$107,"n.a.")</f>
        <v>n.a.</v>
      </c>
      <c r="P108" s="375" t="str">
        <f aca="false">IFERROR(P86/P$107,"n.a.")</f>
        <v>n.a.</v>
      </c>
      <c r="Q108" s="375" t="str">
        <f aca="false">IFERROR(Q86/Q$107,"n.a.")</f>
        <v>n.a.</v>
      </c>
      <c r="R108" s="375" t="str">
        <f aca="false">IFERROR(R86/R$107,"n.a.")</f>
        <v>n.a.</v>
      </c>
      <c r="S108" s="375" t="str">
        <f aca="false">IFERROR(S86/S$107,"n.a.")</f>
        <v>n.a.</v>
      </c>
      <c r="T108" s="375" t="str">
        <f aca="false">IFERROR(T86/T$107,"n.a.")</f>
        <v>n.a.</v>
      </c>
      <c r="U108" s="375" t="str">
        <f aca="false">IFERROR(U86/U$107,"n.a.")</f>
        <v>n.a.</v>
      </c>
      <c r="V108" s="375" t="str">
        <f aca="false">IFERROR(V86/V$107,"n.a.")</f>
        <v>n.a.</v>
      </c>
      <c r="W108" s="375" t="str">
        <f aca="false">IFERROR(W86/W$107,"n.a.")</f>
        <v>n.a.</v>
      </c>
      <c r="X108" s="375" t="str">
        <f aca="false">IFERROR(X86/X$107,"n.a.")</f>
        <v>n.a.</v>
      </c>
      <c r="Y108" s="375" t="str">
        <f aca="false">IFERROR(Y86/Y$107,"n.a.")</f>
        <v>n.a.</v>
      </c>
      <c r="Z108" s="375" t="str">
        <f aca="false">IFERROR(Z86/Z$107,"n.a.")</f>
        <v>n.a.</v>
      </c>
      <c r="AA108" s="375" t="str">
        <f aca="false">IFERROR(AA86/AA$107,"n.a.")</f>
        <v>n.a.</v>
      </c>
      <c r="AB108" s="375" t="str">
        <f aca="false">IFERROR(AB86/AB$107,"n.a.")</f>
        <v>n.a.</v>
      </c>
      <c r="AC108" s="375" t="str">
        <f aca="false">IFERROR(AC86/AC$107,"n.a.")</f>
        <v>n.a.</v>
      </c>
      <c r="AD108" s="375" t="str">
        <f aca="false">IFERROR(AD86/AD$107,"n.a.")</f>
        <v>n.a.</v>
      </c>
      <c r="AE108" s="375" t="str">
        <f aca="false">IFERROR(AE86/AE$107,"n.a.")</f>
        <v>n.a.</v>
      </c>
      <c r="AF108" s="375" t="str">
        <f aca="false">IFERROR(AF86/AF$107,"n.a.")</f>
        <v>n.a.</v>
      </c>
      <c r="AG108" s="375" t="str">
        <f aca="false">IFERROR(AG86/AG$107,"n.a.")</f>
        <v>n.a.</v>
      </c>
      <c r="AH108" s="375" t="str">
        <f aca="false">IFERROR(AH86/AH$107,"n.a.")</f>
        <v>n.a.</v>
      </c>
      <c r="AI108" s="375" t="str">
        <f aca="false">IFERROR(AI86/AI$107,"n.a.")</f>
        <v>n.a.</v>
      </c>
      <c r="AJ108" s="375" t="str">
        <f aca="false">IFERROR(AJ86/AJ$107,"n.a.")</f>
        <v>n.a.</v>
      </c>
      <c r="AK108" s="375" t="str">
        <f aca="false">IFERROR(AK86/AK$107,"n.a.")</f>
        <v>n.a.</v>
      </c>
      <c r="AL108" s="375" t="str">
        <f aca="false">IFERROR(AL86/AL$107,"n.a.")</f>
        <v>n.a.</v>
      </c>
      <c r="AM108" s="375" t="str">
        <f aca="false">IFERROR(AM86/AM$107,"n.a.")</f>
        <v>n.a.</v>
      </c>
      <c r="AN108" s="375" t="str">
        <f aca="false">IFERROR(AN86/AN$107,"n.a.")</f>
        <v>n.a.</v>
      </c>
      <c r="AO108" s="375" t="str">
        <f aca="false">IFERROR(AO86/AO$107,"n.a.")</f>
        <v>n.a.</v>
      </c>
      <c r="AP108" s="375" t="str">
        <f aca="false">IFERROR(AP86/AP$107,"n.a.")</f>
        <v>n.a.</v>
      </c>
      <c r="AQ108" s="375" t="str">
        <f aca="false">IFERROR(AQ86/AQ$107,"n.a.")</f>
        <v>n.a.</v>
      </c>
      <c r="AR108" s="375" t="str">
        <f aca="false">IFERROR(AR86/AR$107,"n.a.")</f>
        <v>n.a.</v>
      </c>
      <c r="AS108" s="375" t="str">
        <f aca="false">IFERROR(AS86/AS$107,"n.a.")</f>
        <v>n.a.</v>
      </c>
      <c r="AT108" s="375" t="str">
        <f aca="false">IFERROR(AT86/AT$107,"n.a.")</f>
        <v>n.a.</v>
      </c>
      <c r="AU108" s="375" t="str">
        <f aca="false">IFERROR(AU86/AU$107,"n.a.")</f>
        <v>n.a.</v>
      </c>
      <c r="AV108" s="375" t="str">
        <f aca="false">IFERROR(AV86/AV$107,"n.a.")</f>
        <v>n.a.</v>
      </c>
      <c r="AW108" s="375" t="str">
        <f aca="false">IFERROR(AW86/AW$107,"n.a.")</f>
        <v>n.a.</v>
      </c>
      <c r="AX108" s="375" t="str">
        <f aca="false">IFERROR(AX86/AX$107,"n.a.")</f>
        <v>n.a.</v>
      </c>
      <c r="AY108" s="375" t="str">
        <f aca="false">IFERROR(AY86/AY$107,"n.a.")</f>
        <v>n.a.</v>
      </c>
      <c r="AZ108" s="375" t="str">
        <f aca="false">IFERROR(AZ86/AZ$107,"n.a.")</f>
        <v>n.a.</v>
      </c>
      <c r="BA108" s="375" t="str">
        <f aca="false">IFERROR(BA86/BA$107,"n.a.")</f>
        <v>n.a.</v>
      </c>
      <c r="BB108" s="375" t="str">
        <f aca="false">IFERROR(BB86/BB$107,"n.a.")</f>
        <v>n.a.</v>
      </c>
      <c r="BC108" s="375" t="str">
        <f aca="false">IFERROR(BC86/BC$107,"n.a.")</f>
        <v>n.a.</v>
      </c>
      <c r="BD108" s="375" t="str">
        <f aca="false">IFERROR(BD86/BD$107,"n.a.")</f>
        <v>n.a.</v>
      </c>
      <c r="BE108" s="375" t="str">
        <f aca="false">IFERROR(BE86/BE$107,"n.a.")</f>
        <v>n.a.</v>
      </c>
      <c r="BF108" s="375" t="str">
        <f aca="false">IFERROR(BF86/BF$107,"n.a.")</f>
        <v>n.a.</v>
      </c>
      <c r="BG108" s="375" t="str">
        <f aca="false">IFERROR(BG86/BG$107,"n.a.")</f>
        <v>n.a.</v>
      </c>
      <c r="BH108" s="375" t="str">
        <f aca="false">IFERROR(BH86/BH$107,"n.a.")</f>
        <v>n.a.</v>
      </c>
      <c r="BI108" s="375" t="str">
        <f aca="false">IFERROR(BI86/BI$107,"n.a.")</f>
        <v>n.a.</v>
      </c>
      <c r="BJ108" s="375" t="str">
        <f aca="false">IFERROR(BJ86/BJ$107,"n.a.")</f>
        <v>n.a.</v>
      </c>
      <c r="BK108" s="375" t="str">
        <f aca="false">IFERROR(BK86/BK$107,"n.a.")</f>
        <v>n.a.</v>
      </c>
      <c r="BL108" s="375" t="str">
        <f aca="false">IFERROR(BL86/BL$107,"n.a.")</f>
        <v>n.a.</v>
      </c>
      <c r="BM108" s="375" t="str">
        <f aca="false">IFERROR(BM86/BM$107,"n.a.")</f>
        <v>n.a.</v>
      </c>
      <c r="BN108" s="375" t="str">
        <f aca="false">IFERROR(BN86/BN$107,"n.a.")</f>
        <v>n.a.</v>
      </c>
      <c r="BO108" s="375" t="str">
        <f aca="false">IFERROR(BO86/BO$107,"n.a.")</f>
        <v>n.a.</v>
      </c>
      <c r="BP108" s="375" t="str">
        <f aca="false">IFERROR(BP86/BP$107,"n.a.")</f>
        <v>n.a.</v>
      </c>
      <c r="BQ108" s="375" t="str">
        <f aca="false">IFERROR(BQ86/BQ$107,"n.a.")</f>
        <v>n.a.</v>
      </c>
      <c r="BR108" s="375" t="str">
        <f aca="false">IFERROR(BR86/BR$107,"n.a.")</f>
        <v>n.a.</v>
      </c>
      <c r="BS108" s="375" t="str">
        <f aca="false">IFERROR(BS86/BS$107,"n.a.")</f>
        <v>n.a.</v>
      </c>
      <c r="BT108" s="375" t="str">
        <f aca="false">IFERROR(BT86/BT$107,"n.a.")</f>
        <v>n.a.</v>
      </c>
      <c r="BU108" s="375" t="str">
        <f aca="false">IFERROR(BU86/BU$107,"n.a.")</f>
        <v>n.a.</v>
      </c>
      <c r="BV108" s="375" t="str">
        <f aca="false">IFERROR(BV86/BV$107,"n.a.")</f>
        <v>n.a.</v>
      </c>
      <c r="BW108" s="375" t="str">
        <f aca="false">IFERROR(BW86/BW$107,"n.a.")</f>
        <v>n.a.</v>
      </c>
      <c r="BX108" s="375" t="str">
        <f aca="false">IFERROR(BX86/BX$107,"n.a.")</f>
        <v>n.a.</v>
      </c>
      <c r="BY108" s="375" t="str">
        <f aca="false">IFERROR(BY86/BY$107,"n.a.")</f>
        <v>n.a.</v>
      </c>
      <c r="BZ108" s="375" t="str">
        <f aca="false">IFERROR(BZ86/BZ$107,"n.a.")</f>
        <v>n.a.</v>
      </c>
      <c r="CA108" s="375" t="str">
        <f aca="false">IFERROR(CA86/CA$107,"n.a.")</f>
        <v>n.a.</v>
      </c>
      <c r="CB108" s="375" t="str">
        <f aca="false">IFERROR(CB86/CB$107,"n.a.")</f>
        <v>n.a.</v>
      </c>
      <c r="CC108" s="375" t="str">
        <f aca="false">IFERROR(CC86/CC$107,"n.a.")</f>
        <v>n.a.</v>
      </c>
      <c r="CD108" s="375" t="str">
        <f aca="false">IFERROR(CD86/CD$107,"n.a.")</f>
        <v>n.a.</v>
      </c>
      <c r="CE108" s="375" t="str">
        <f aca="false">IFERROR(CE86/CE$107,"n.a.")</f>
        <v>n.a.</v>
      </c>
      <c r="CF108" s="375" t="str">
        <f aca="false">IFERROR(CF86/CF$107,"n.a.")</f>
        <v>n.a.</v>
      </c>
      <c r="CG108" s="375" t="str">
        <f aca="false">IFERROR(CG86/CG$107,"n.a.")</f>
        <v>n.a.</v>
      </c>
      <c r="CH108" s="375" t="str">
        <f aca="false">IFERROR(CH86/CH$107,"n.a.")</f>
        <v>n.a.</v>
      </c>
      <c r="CI108" s="375" t="str">
        <f aca="false">IFERROR(CI86/CI$107,"n.a.")</f>
        <v>n.a.</v>
      </c>
      <c r="CJ108" s="375" t="str">
        <f aca="false">IFERROR(CJ86/CJ$107,"n.a.")</f>
        <v>n.a.</v>
      </c>
      <c r="CK108" s="376" t="str">
        <f aca="false">IFERROR(CK86/CK$107,"n.a.")</f>
        <v>n.a.</v>
      </c>
      <c r="CL108" s="112"/>
    </row>
    <row r="109" customFormat="false" ht="11.25" hidden="false" customHeight="true" outlineLevel="0" collapsed="false">
      <c r="B109" s="112"/>
      <c r="C109" s="377" t="s">
        <v>807</v>
      </c>
      <c r="D109" s="378" t="s">
        <v>808</v>
      </c>
      <c r="E109" s="379"/>
      <c r="F109" s="379" t="str">
        <f aca="false">IFERROR(F88/F$107,"n.a.")</f>
        <v>n.a.</v>
      </c>
      <c r="G109" s="379" t="str">
        <f aca="false">IFERROR(G88/G$107,"n.a.")</f>
        <v>n.a.</v>
      </c>
      <c r="H109" s="379" t="str">
        <f aca="false">IFERROR(H88/H$107,"n.a.")</f>
        <v>n.a.</v>
      </c>
      <c r="I109" s="379" t="str">
        <f aca="false">IFERROR(I88/I$107,"n.a.")</f>
        <v>n.a.</v>
      </c>
      <c r="J109" s="379" t="str">
        <f aca="false">IFERROR(J88/J$107,"n.a.")</f>
        <v>n.a.</v>
      </c>
      <c r="K109" s="379" t="str">
        <f aca="false">IFERROR(K88/K$107,"n.a.")</f>
        <v>n.a.</v>
      </c>
      <c r="L109" s="379" t="str">
        <f aca="false">IFERROR(L88/L$107,"n.a.")</f>
        <v>n.a.</v>
      </c>
      <c r="M109" s="379" t="str">
        <f aca="false">IFERROR(M88/M$107,"n.a.")</f>
        <v>n.a.</v>
      </c>
      <c r="N109" s="379" t="str">
        <f aca="false">IFERROR(N88/N$107,"n.a.")</f>
        <v>n.a.</v>
      </c>
      <c r="O109" s="379" t="str">
        <f aca="false">IFERROR(O88/O$107,"n.a.")</f>
        <v>n.a.</v>
      </c>
      <c r="P109" s="379" t="str">
        <f aca="false">IFERROR(P88/P$107,"n.a.")</f>
        <v>n.a.</v>
      </c>
      <c r="Q109" s="379" t="str">
        <f aca="false">IFERROR(Q88/Q$107,"n.a.")</f>
        <v>n.a.</v>
      </c>
      <c r="R109" s="379" t="str">
        <f aca="false">IFERROR(R88/R$107,"n.a.")</f>
        <v>n.a.</v>
      </c>
      <c r="S109" s="379" t="str">
        <f aca="false">IFERROR(S88/S$107,"n.a.")</f>
        <v>n.a.</v>
      </c>
      <c r="T109" s="379" t="str">
        <f aca="false">IFERROR(T88/T$107,"n.a.")</f>
        <v>n.a.</v>
      </c>
      <c r="U109" s="379" t="str">
        <f aca="false">IFERROR(U88/U$107,"n.a.")</f>
        <v>n.a.</v>
      </c>
      <c r="V109" s="379" t="str">
        <f aca="false">IFERROR(V88/V$107,"n.a.")</f>
        <v>n.a.</v>
      </c>
      <c r="W109" s="379" t="str">
        <f aca="false">IFERROR(W88/W$107,"n.a.")</f>
        <v>n.a.</v>
      </c>
      <c r="X109" s="379" t="str">
        <f aca="false">IFERROR(X88/X$107,"n.a.")</f>
        <v>n.a.</v>
      </c>
      <c r="Y109" s="379" t="str">
        <f aca="false">IFERROR(Y88/Y$107,"n.a.")</f>
        <v>n.a.</v>
      </c>
      <c r="Z109" s="379" t="str">
        <f aca="false">IFERROR(Z88/Z$107,"n.a.")</f>
        <v>n.a.</v>
      </c>
      <c r="AA109" s="379" t="str">
        <f aca="false">IFERROR(AA88/AA$107,"n.a.")</f>
        <v>n.a.</v>
      </c>
      <c r="AB109" s="379" t="str">
        <f aca="false">IFERROR(AB88/AB$107,"n.a.")</f>
        <v>n.a.</v>
      </c>
      <c r="AC109" s="379" t="str">
        <f aca="false">IFERROR(AC88/AC$107,"n.a.")</f>
        <v>n.a.</v>
      </c>
      <c r="AD109" s="379" t="str">
        <f aca="false">IFERROR(AD88/AD$107,"n.a.")</f>
        <v>n.a.</v>
      </c>
      <c r="AE109" s="379" t="str">
        <f aca="false">IFERROR(AE88/AE$107,"n.a.")</f>
        <v>n.a.</v>
      </c>
      <c r="AF109" s="379" t="str">
        <f aca="false">IFERROR(AF88/AF$107,"n.a.")</f>
        <v>n.a.</v>
      </c>
      <c r="AG109" s="379" t="str">
        <f aca="false">IFERROR(AG88/AG$107,"n.a.")</f>
        <v>n.a.</v>
      </c>
      <c r="AH109" s="379" t="str">
        <f aca="false">IFERROR(AH88/AH$107,"n.a.")</f>
        <v>n.a.</v>
      </c>
      <c r="AI109" s="379" t="str">
        <f aca="false">IFERROR(AI88/AI$107,"n.a.")</f>
        <v>n.a.</v>
      </c>
      <c r="AJ109" s="379" t="str">
        <f aca="false">IFERROR(AJ88/AJ$107,"n.a.")</f>
        <v>n.a.</v>
      </c>
      <c r="AK109" s="379" t="str">
        <f aca="false">IFERROR(AK88/AK$107,"n.a.")</f>
        <v>n.a.</v>
      </c>
      <c r="AL109" s="379" t="str">
        <f aca="false">IFERROR(AL88/AL$107,"n.a.")</f>
        <v>n.a.</v>
      </c>
      <c r="AM109" s="379" t="str">
        <f aca="false">IFERROR(AM88/AM$107,"n.a.")</f>
        <v>n.a.</v>
      </c>
      <c r="AN109" s="379" t="str">
        <f aca="false">IFERROR(AN88/AN$107,"n.a.")</f>
        <v>n.a.</v>
      </c>
      <c r="AO109" s="379" t="str">
        <f aca="false">IFERROR(AO88/AO$107,"n.a.")</f>
        <v>n.a.</v>
      </c>
      <c r="AP109" s="379" t="str">
        <f aca="false">IFERROR(AP88/AP$107,"n.a.")</f>
        <v>n.a.</v>
      </c>
      <c r="AQ109" s="379" t="str">
        <f aca="false">IFERROR(AQ88/AQ$107,"n.a.")</f>
        <v>n.a.</v>
      </c>
      <c r="AR109" s="379" t="str">
        <f aca="false">IFERROR(AR88/AR$107,"n.a.")</f>
        <v>n.a.</v>
      </c>
      <c r="AS109" s="379" t="str">
        <f aca="false">IFERROR(AS88/AS$107,"n.a.")</f>
        <v>n.a.</v>
      </c>
      <c r="AT109" s="379" t="str">
        <f aca="false">IFERROR(AT88/AT$107,"n.a.")</f>
        <v>n.a.</v>
      </c>
      <c r="AU109" s="379" t="str">
        <f aca="false">IFERROR(AU88/AU$107,"n.a.")</f>
        <v>n.a.</v>
      </c>
      <c r="AV109" s="379" t="str">
        <f aca="false">IFERROR(AV88/AV$107,"n.a.")</f>
        <v>n.a.</v>
      </c>
      <c r="AW109" s="379" t="str">
        <f aca="false">IFERROR(AW88/AW$107,"n.a.")</f>
        <v>n.a.</v>
      </c>
      <c r="AX109" s="379" t="str">
        <f aca="false">IFERROR(AX88/AX$107,"n.a.")</f>
        <v>n.a.</v>
      </c>
      <c r="AY109" s="379" t="str">
        <f aca="false">IFERROR(AY88/AY$107,"n.a.")</f>
        <v>n.a.</v>
      </c>
      <c r="AZ109" s="379" t="str">
        <f aca="false">IFERROR(AZ88/AZ$107,"n.a.")</f>
        <v>n.a.</v>
      </c>
      <c r="BA109" s="379" t="str">
        <f aca="false">IFERROR(BA88/BA$107,"n.a.")</f>
        <v>n.a.</v>
      </c>
      <c r="BB109" s="379" t="str">
        <f aca="false">IFERROR(BB88/BB$107,"n.a.")</f>
        <v>n.a.</v>
      </c>
      <c r="BC109" s="379" t="str">
        <f aca="false">IFERROR(BC88/BC$107,"n.a.")</f>
        <v>n.a.</v>
      </c>
      <c r="BD109" s="379" t="str">
        <f aca="false">IFERROR(BD88/BD$107,"n.a.")</f>
        <v>n.a.</v>
      </c>
      <c r="BE109" s="379" t="str">
        <f aca="false">IFERROR(BE88/BE$107,"n.a.")</f>
        <v>n.a.</v>
      </c>
      <c r="BF109" s="379" t="str">
        <f aca="false">IFERROR(BF88/BF$107,"n.a.")</f>
        <v>n.a.</v>
      </c>
      <c r="BG109" s="379" t="str">
        <f aca="false">IFERROR(BG88/BG$107,"n.a.")</f>
        <v>n.a.</v>
      </c>
      <c r="BH109" s="379" t="str">
        <f aca="false">IFERROR(BH88/BH$107,"n.a.")</f>
        <v>n.a.</v>
      </c>
      <c r="BI109" s="379" t="str">
        <f aca="false">IFERROR(BI88/BI$107,"n.a.")</f>
        <v>n.a.</v>
      </c>
      <c r="BJ109" s="379" t="str">
        <f aca="false">IFERROR(BJ88/BJ$107,"n.a.")</f>
        <v>n.a.</v>
      </c>
      <c r="BK109" s="379" t="str">
        <f aca="false">IFERROR(BK88/BK$107,"n.a.")</f>
        <v>n.a.</v>
      </c>
      <c r="BL109" s="379" t="str">
        <f aca="false">IFERROR(BL88/BL$107,"n.a.")</f>
        <v>n.a.</v>
      </c>
      <c r="BM109" s="379" t="str">
        <f aca="false">IFERROR(BM88/BM$107,"n.a.")</f>
        <v>n.a.</v>
      </c>
      <c r="BN109" s="379" t="str">
        <f aca="false">IFERROR(BN88/BN$107,"n.a.")</f>
        <v>n.a.</v>
      </c>
      <c r="BO109" s="379" t="str">
        <f aca="false">IFERROR(BO88/BO$107,"n.a.")</f>
        <v>n.a.</v>
      </c>
      <c r="BP109" s="379" t="str">
        <f aca="false">IFERROR(BP88/BP$107,"n.a.")</f>
        <v>n.a.</v>
      </c>
      <c r="BQ109" s="379" t="str">
        <f aca="false">IFERROR(BQ88/BQ$107,"n.a.")</f>
        <v>n.a.</v>
      </c>
      <c r="BR109" s="379" t="str">
        <f aca="false">IFERROR(BR88/BR$107,"n.a.")</f>
        <v>n.a.</v>
      </c>
      <c r="BS109" s="379" t="str">
        <f aca="false">IFERROR(BS88/BS$107,"n.a.")</f>
        <v>n.a.</v>
      </c>
      <c r="BT109" s="379" t="str">
        <f aca="false">IFERROR(BT88/BT$107,"n.a.")</f>
        <v>n.a.</v>
      </c>
      <c r="BU109" s="379" t="str">
        <f aca="false">IFERROR(BU88/BU$107,"n.a.")</f>
        <v>n.a.</v>
      </c>
      <c r="BV109" s="379" t="str">
        <f aca="false">IFERROR(BV88/BV$107,"n.a.")</f>
        <v>n.a.</v>
      </c>
      <c r="BW109" s="379" t="str">
        <f aca="false">IFERROR(BW88/BW$107,"n.a.")</f>
        <v>n.a.</v>
      </c>
      <c r="BX109" s="379" t="str">
        <f aca="false">IFERROR(BX88/BX$107,"n.a.")</f>
        <v>n.a.</v>
      </c>
      <c r="BY109" s="379" t="str">
        <f aca="false">IFERROR(BY88/BY$107,"n.a.")</f>
        <v>n.a.</v>
      </c>
      <c r="BZ109" s="379" t="str">
        <f aca="false">IFERROR(BZ88/BZ$107,"n.a.")</f>
        <v>n.a.</v>
      </c>
      <c r="CA109" s="379" t="str">
        <f aca="false">IFERROR(CA88/CA$107,"n.a.")</f>
        <v>n.a.</v>
      </c>
      <c r="CB109" s="379" t="str">
        <f aca="false">IFERROR(CB88/CB$107,"n.a.")</f>
        <v>n.a.</v>
      </c>
      <c r="CC109" s="379" t="str">
        <f aca="false">IFERROR(CC88/CC$107,"n.a.")</f>
        <v>n.a.</v>
      </c>
      <c r="CD109" s="379" t="str">
        <f aca="false">IFERROR(CD88/CD$107,"n.a.")</f>
        <v>n.a.</v>
      </c>
      <c r="CE109" s="379" t="str">
        <f aca="false">IFERROR(CE88/CE$107,"n.a.")</f>
        <v>n.a.</v>
      </c>
      <c r="CF109" s="379" t="str">
        <f aca="false">IFERROR(CF88/CF$107,"n.a.")</f>
        <v>n.a.</v>
      </c>
      <c r="CG109" s="379" t="str">
        <f aca="false">IFERROR(CG88/CG$107,"n.a.")</f>
        <v>n.a.</v>
      </c>
      <c r="CH109" s="379" t="str">
        <f aca="false">IFERROR(CH88/CH$107,"n.a.")</f>
        <v>n.a.</v>
      </c>
      <c r="CI109" s="379" t="str">
        <f aca="false">IFERROR(CI88/CI$107,"n.a.")</f>
        <v>n.a.</v>
      </c>
      <c r="CJ109" s="379" t="str">
        <f aca="false">IFERROR(CJ88/CJ$107,"n.a.")</f>
        <v>n.a.</v>
      </c>
      <c r="CK109" s="380" t="str">
        <f aca="false">IFERROR(CK88/CK$107,"n.a.")</f>
        <v>n.a.</v>
      </c>
      <c r="CL109" s="112"/>
    </row>
    <row r="110" customFormat="false" ht="11.25" hidden="false" customHeight="true" outlineLevel="0" collapsed="false">
      <c r="B110" s="112"/>
      <c r="CL110" s="112"/>
    </row>
    <row r="111" customFormat="false" ht="11.25" hidden="false" customHeight="true" outlineLevel="0" collapsed="false">
      <c r="B111" s="112"/>
      <c r="I111" s="381" t="n">
        <f aca="false">Cockpit!C22</f>
        <v>45808</v>
      </c>
      <c r="J111" s="381" t="n">
        <f aca="false">Cockpit!C22</f>
        <v>45808</v>
      </c>
      <c r="K111" s="381" t="n">
        <f aca="false">Cockpit!C22</f>
        <v>45808</v>
      </c>
      <c r="L111" s="381" t="n">
        <f aca="false">Cockpit!C22</f>
        <v>45808</v>
      </c>
      <c r="M111" s="381" t="n">
        <f aca="false">Cockpit!C22</f>
        <v>45808</v>
      </c>
      <c r="CL111" s="112"/>
    </row>
    <row r="112" customFormat="false" ht="11.25" hidden="true" customHeight="true" outlineLevel="1" collapsed="false">
      <c r="B112" s="112"/>
      <c r="C112" s="220" t="str">
        <f aca="false">Cockpit!$C$4</f>
        <v>Template</v>
      </c>
      <c r="D112" s="221"/>
      <c r="E112" s="221"/>
      <c r="F112" s="221" t="n">
        <f aca="false">Cockpit!D33</f>
        <v>44926</v>
      </c>
      <c r="G112" s="221" t="n">
        <f aca="false">Cockpit!E33</f>
        <v>45291</v>
      </c>
      <c r="H112" s="221" t="n">
        <f aca="false">Cockpit!F33</f>
        <v>45657</v>
      </c>
      <c r="I112" s="382" t="s">
        <v>809</v>
      </c>
      <c r="J112" s="382" t="s">
        <v>810</v>
      </c>
      <c r="K112" s="382" t="s">
        <v>811</v>
      </c>
      <c r="L112" s="382" t="s">
        <v>812</v>
      </c>
      <c r="M112" s="382" t="s">
        <v>813</v>
      </c>
      <c r="O112" s="220" t="str">
        <f aca="false">Cockpit!$C$4</f>
        <v>Template</v>
      </c>
      <c r="P112" s="221"/>
      <c r="Q112" s="221"/>
      <c r="R112" s="221" t="n">
        <f aca="false">F112</f>
        <v>44926</v>
      </c>
      <c r="S112" s="221" t="n">
        <f aca="false">G112</f>
        <v>45291</v>
      </c>
      <c r="T112" s="221" t="n">
        <f aca="false">H112</f>
        <v>45657</v>
      </c>
      <c r="U112" s="382" t="str">
        <f aca="false">I112</f>
        <v>Letzte 12</v>
      </c>
      <c r="V112" s="382" t="str">
        <f aca="false">J112</f>
        <v>Letzte 9</v>
      </c>
      <c r="W112" s="382" t="str">
        <f aca="false">K112</f>
        <v>Letzte 6</v>
      </c>
      <c r="X112" s="382" t="str">
        <f aca="false">L112</f>
        <v>Letzte 3</v>
      </c>
      <c r="Y112" s="382" t="str">
        <f aca="false">M112</f>
        <v>Letzter</v>
      </c>
      <c r="CL112" s="112"/>
    </row>
    <row r="113" customFormat="false" ht="11.25" hidden="true" customHeight="true" outlineLevel="1" collapsed="false">
      <c r="B113" s="112"/>
      <c r="C113" s="220" t="str">
        <f aca="false">"in T"&amp;Cockpit!$C$5</f>
        <v>in TEUR</v>
      </c>
      <c r="D113" s="221"/>
      <c r="E113" s="221"/>
      <c r="F113" s="221" t="str">
        <f aca="false">Cockpit!D34</f>
        <v>IST</v>
      </c>
      <c r="G113" s="221" t="str">
        <f aca="false">Cockpit!E34</f>
        <v>IST</v>
      </c>
      <c r="H113" s="221" t="str">
        <f aca="false">Cockpit!F34</f>
        <v>IST</v>
      </c>
      <c r="I113" s="382" t="s">
        <v>814</v>
      </c>
      <c r="J113" s="382" t="s">
        <v>814</v>
      </c>
      <c r="K113" s="382" t="s">
        <v>814</v>
      </c>
      <c r="L113" s="382" t="s">
        <v>814</v>
      </c>
      <c r="M113" s="382" t="s">
        <v>815</v>
      </c>
      <c r="O113" s="220" t="str">
        <f aca="false">"in T"&amp;Cockpit!$C$5</f>
        <v>in TEUR</v>
      </c>
      <c r="P113" s="221"/>
      <c r="Q113" s="221"/>
      <c r="R113" s="221" t="str">
        <f aca="false">F113</f>
        <v>IST</v>
      </c>
      <c r="S113" s="221" t="str">
        <f aca="false">G113</f>
        <v>IST</v>
      </c>
      <c r="T113" s="221" t="str">
        <f aca="false">H113</f>
        <v>IST</v>
      </c>
      <c r="U113" s="382" t="str">
        <f aca="false">I113</f>
        <v>Monate</v>
      </c>
      <c r="V113" s="382" t="str">
        <f aca="false">J113</f>
        <v>Monate</v>
      </c>
      <c r="W113" s="382" t="str">
        <f aca="false">K113</f>
        <v>Monate</v>
      </c>
      <c r="X113" s="382" t="str">
        <f aca="false">L113</f>
        <v>Monate</v>
      </c>
      <c r="Y113" s="382" t="str">
        <f aca="false">M113</f>
        <v>Monat</v>
      </c>
      <c r="CL113" s="112"/>
    </row>
    <row r="114" customFormat="false" ht="11.25" hidden="false" customHeight="true" outlineLevel="0" collapsed="false">
      <c r="B114" s="112"/>
      <c r="C114" s="227"/>
      <c r="D114" s="228" t="str">
        <f aca="false">Cockpit!$C$4</f>
        <v>Template</v>
      </c>
      <c r="E114" s="227"/>
      <c r="F114" s="227" t="n">
        <f aca="false">Cockpit!D33</f>
        <v>44926</v>
      </c>
      <c r="G114" s="227" t="n">
        <f aca="false">Cockpit!E33</f>
        <v>45291</v>
      </c>
      <c r="H114" s="227" t="n">
        <f aca="false">Cockpit!F33</f>
        <v>45657</v>
      </c>
      <c r="I114" s="382" t="s">
        <v>816</v>
      </c>
      <c r="J114" s="382" t="s">
        <v>817</v>
      </c>
      <c r="K114" s="382" t="s">
        <v>818</v>
      </c>
      <c r="L114" s="382" t="s">
        <v>819</v>
      </c>
      <c r="M114" s="382" t="s">
        <v>820</v>
      </c>
      <c r="O114" s="227"/>
      <c r="P114" s="228" t="str">
        <f aca="false">Cockpit!$C$4</f>
        <v>Template</v>
      </c>
      <c r="Q114" s="228"/>
      <c r="R114" s="227" t="n">
        <f aca="false">F114</f>
        <v>44926</v>
      </c>
      <c r="S114" s="227" t="n">
        <f aca="false">G114</f>
        <v>45291</v>
      </c>
      <c r="T114" s="227" t="n">
        <f aca="false">H114</f>
        <v>45657</v>
      </c>
      <c r="U114" s="382" t="str">
        <f aca="false">I114</f>
        <v>Last 12</v>
      </c>
      <c r="V114" s="382" t="str">
        <f aca="false">J114</f>
        <v>Last 9</v>
      </c>
      <c r="W114" s="382" t="str">
        <f aca="false">K114</f>
        <v>Last 6</v>
      </c>
      <c r="X114" s="382" t="str">
        <f aca="false">L114</f>
        <v>Last 3</v>
      </c>
      <c r="Y114" s="382" t="str">
        <f aca="false">M114</f>
        <v>Last</v>
      </c>
      <c r="CL114" s="112"/>
    </row>
    <row r="115" customFormat="false" ht="11.25" hidden="false" customHeight="true" outlineLevel="0" collapsed="false">
      <c r="B115" s="112"/>
      <c r="C115" s="227"/>
      <c r="D115" s="228" t="str">
        <f aca="false">"in k"&amp;Cockpit!$C$5</f>
        <v>in kEUR</v>
      </c>
      <c r="E115" s="227"/>
      <c r="F115" s="227" t="str">
        <f aca="false">Cockpit!D34</f>
        <v>IST</v>
      </c>
      <c r="G115" s="227" t="str">
        <f aca="false">Cockpit!E34</f>
        <v>IST</v>
      </c>
      <c r="H115" s="227" t="str">
        <f aca="false">Cockpit!F34</f>
        <v>IST</v>
      </c>
      <c r="I115" s="382" t="s">
        <v>821</v>
      </c>
      <c r="J115" s="382" t="s">
        <v>821</v>
      </c>
      <c r="K115" s="382" t="s">
        <v>821</v>
      </c>
      <c r="L115" s="382" t="s">
        <v>821</v>
      </c>
      <c r="M115" s="382" t="s">
        <v>822</v>
      </c>
      <c r="O115" s="227"/>
      <c r="P115" s="228" t="str">
        <f aca="false">"in k"&amp;Cockpit!$C$5</f>
        <v>in kEUR</v>
      </c>
      <c r="Q115" s="228"/>
      <c r="R115" s="227" t="str">
        <f aca="false">F115</f>
        <v>IST</v>
      </c>
      <c r="S115" s="227" t="str">
        <f aca="false">G115</f>
        <v>IST</v>
      </c>
      <c r="T115" s="227" t="str">
        <f aca="false">H115</f>
        <v>IST</v>
      </c>
      <c r="U115" s="382" t="str">
        <f aca="false">I115</f>
        <v>months</v>
      </c>
      <c r="V115" s="382" t="str">
        <f aca="false">J115</f>
        <v>months</v>
      </c>
      <c r="W115" s="382" t="str">
        <f aca="false">K115</f>
        <v>months</v>
      </c>
      <c r="X115" s="382" t="str">
        <f aca="false">L115</f>
        <v>months</v>
      </c>
      <c r="Y115" s="382" t="str">
        <f aca="false">M115</f>
        <v>month</v>
      </c>
      <c r="CL115" s="112"/>
    </row>
    <row r="116" customFormat="false" ht="4.5" hidden="false" customHeight="true" outlineLevel="0" collapsed="false">
      <c r="B116" s="112"/>
      <c r="C116" s="383"/>
      <c r="D116" s="383"/>
      <c r="E116" s="112"/>
      <c r="F116" s="112"/>
      <c r="G116" s="112"/>
      <c r="H116" s="112"/>
      <c r="I116" s="112"/>
      <c r="J116" s="112"/>
      <c r="K116" s="112"/>
      <c r="L116" s="112"/>
      <c r="M116" s="112"/>
      <c r="O116" s="383"/>
      <c r="P116" s="383"/>
      <c r="Q116" s="383"/>
      <c r="R116" s="112"/>
      <c r="S116" s="112"/>
      <c r="T116" s="112"/>
      <c r="U116" s="112"/>
      <c r="V116" s="112"/>
      <c r="W116" s="112"/>
      <c r="X116" s="112"/>
      <c r="Y116" s="112"/>
      <c r="CL116" s="112"/>
    </row>
    <row r="117" customFormat="false" ht="11.25" hidden="false" customHeight="true" outlineLevel="0" collapsed="false">
      <c r="B117" s="112"/>
      <c r="C117" s="233" t="s">
        <v>823</v>
      </c>
      <c r="D117" s="233" t="s">
        <v>824</v>
      </c>
      <c r="E117" s="112"/>
      <c r="F117" s="112"/>
      <c r="G117" s="112"/>
      <c r="H117" s="112"/>
      <c r="I117" s="112"/>
      <c r="J117" s="112"/>
      <c r="K117" s="112"/>
      <c r="L117" s="112"/>
      <c r="M117" s="112"/>
      <c r="O117" s="233" t="s">
        <v>825</v>
      </c>
      <c r="P117" s="233"/>
      <c r="Q117" s="233"/>
      <c r="R117" s="112"/>
      <c r="S117" s="112"/>
      <c r="T117" s="112"/>
      <c r="U117" s="112"/>
      <c r="V117" s="112"/>
      <c r="W117" s="112"/>
      <c r="X117" s="112"/>
      <c r="Y117" s="112"/>
      <c r="CL117" s="112"/>
    </row>
    <row r="118" customFormat="false" ht="4.5" hidden="false" customHeight="true" outlineLevel="0" collapsed="false">
      <c r="B118" s="112"/>
      <c r="C118" s="233"/>
      <c r="D118" s="233"/>
      <c r="E118" s="112"/>
      <c r="F118" s="112"/>
      <c r="G118" s="112"/>
      <c r="H118" s="112"/>
      <c r="I118" s="112"/>
      <c r="J118" s="112"/>
      <c r="K118" s="112"/>
      <c r="L118" s="112"/>
      <c r="M118" s="112"/>
      <c r="O118" s="233"/>
      <c r="P118" s="233"/>
      <c r="Q118" s="233"/>
      <c r="R118" s="112"/>
      <c r="S118" s="112"/>
      <c r="T118" s="112"/>
      <c r="U118" s="112"/>
      <c r="V118" s="112"/>
      <c r="W118" s="112"/>
      <c r="X118" s="112"/>
      <c r="Y118" s="112"/>
      <c r="CL118" s="112"/>
    </row>
    <row r="119" customFormat="false" ht="11.25" hidden="false" customHeight="true" outlineLevel="0" collapsed="false">
      <c r="B119" s="112"/>
      <c r="C119" s="384" t="s">
        <v>826</v>
      </c>
      <c r="D119" s="384" t="s">
        <v>827</v>
      </c>
      <c r="E119" s="385"/>
      <c r="F119" s="385" t="e">
        <f aca="false" t="array" ref="F119:F119">MAX(INDEX($108:$108,_xlfn.sequence(1,12,MATCH($F$114,$6:$6,0)-11)))</f>
        <v>#NAME?</v>
      </c>
      <c r="G119" s="385" t="e">
        <f aca="false" t="array" ref="G119:G119">MAX(INDEX($108:$108,_xlfn.sequence(1,12,MATCH($G$114,$6:$6,0)-11)))</f>
        <v>#NAME?</v>
      </c>
      <c r="H119" s="385" t="e">
        <f aca="false" t="array" ref="H119:H119">MAX(INDEX($108:$108,_xlfn.sequence(1,12,MATCH($H$114,$6:$6,0)-11)))</f>
        <v>#NAME?</v>
      </c>
      <c r="I119" s="385" t="e">
        <f aca="false" t="array" ref="I119:I119">MAX(INDEX($108:$108,_xlfn.sequence(1,12,MATCH($I$111,$6:$6,0)-11)))</f>
        <v>#NAME?</v>
      </c>
      <c r="J119" s="385" t="e">
        <f aca="false" t="array" ref="J119:J119">MAX(INDEX($108:$108,_xlfn.sequence(1,9,MATCH($J$111,$6:$6,0)-8)))</f>
        <v>#NAME?</v>
      </c>
      <c r="K119" s="385" t="e">
        <f aca="false" t="array" ref="K119:K119">MAX(INDEX($108:$108,_xlfn.sequence(1,6,MATCH($K$111,$6:$6,0)-5)))</f>
        <v>#NAME?</v>
      </c>
      <c r="L119" s="385" t="e">
        <f aca="false" t="array" ref="L119:L119">MAX(INDEX($108:$108,_xlfn.sequence(1,3,MATCH($L$111,$6:$6,0)-2)))</f>
        <v>#NAME?</v>
      </c>
      <c r="M119" s="385" t="n">
        <f aca="false">IF(INDEX($108:$108,MATCH($M$111,$6:$6,0))="n.a.",,INDEX($108:$108,MATCH($M$111,$6:$6,0)))</f>
        <v>0</v>
      </c>
      <c r="O119" s="384" t="str">
        <f aca="false">C119</f>
        <v>Max</v>
      </c>
      <c r="P119" s="384" t="str">
        <f aca="false">D119</f>
        <v>High</v>
      </c>
      <c r="Q119" s="384"/>
      <c r="R119" s="386" t="e">
        <f aca="false">IF(INDEX($107:$107,MATCH($M$111,$6:$6,0))="n.a.",,INDEX($107:$107,MATCH($M$111,$6:$6,0)))*F119</f>
        <v>#NAME?</v>
      </c>
      <c r="S119" s="386" t="e">
        <f aca="false">IF(INDEX($107:$107,MATCH($M$111,$6:$6,0))="n.a.",,INDEX($107:$107,MATCH($M$111,$6:$6,0)))*G119</f>
        <v>#NAME?</v>
      </c>
      <c r="T119" s="386" t="e">
        <f aca="false">IF(INDEX($107:$107,MATCH($M$111,$6:$6,0))="n.a.",,INDEX($107:$107,MATCH($M$111,$6:$6,0)))*H119</f>
        <v>#NAME?</v>
      </c>
      <c r="U119" s="386" t="e">
        <f aca="false">IF(INDEX($107:$107,MATCH($M$111,$6:$6,0))="n.a.",,INDEX($107:$107,MATCH($M$111,$6:$6,0)))*I119</f>
        <v>#NAME?</v>
      </c>
      <c r="V119" s="386" t="e">
        <f aca="false">IF(INDEX($107:$107,MATCH($M$111,$6:$6,0))="n.a.",,INDEX($107:$107,MATCH($M$111,$6:$6,0)))*J119</f>
        <v>#NAME?</v>
      </c>
      <c r="W119" s="386" t="e">
        <f aca="false">IF(INDEX($107:$107,MATCH($M$111,$6:$6,0))="n.a.",,INDEX($107:$107,MATCH($M$111,$6:$6,0)))*K119</f>
        <v>#NAME?</v>
      </c>
      <c r="X119" s="386" t="e">
        <f aca="false">IF(INDEX($107:$107,MATCH($M$111,$6:$6,0))="n.a.",,INDEX($107:$107,MATCH($M$111,$6:$6,0)))*L119</f>
        <v>#NAME?</v>
      </c>
      <c r="Y119" s="386" t="n">
        <f aca="false">IF(INDEX($107:$107,MATCH($M$111,$6:$6,0))="n.a.",,INDEX($107:$107,MATCH($M$111,$6:$6,0)))*M119</f>
        <v>0</v>
      </c>
      <c r="CL119" s="112"/>
    </row>
    <row r="120" customFormat="false" ht="11.25" hidden="false" customHeight="true" outlineLevel="0" collapsed="false">
      <c r="B120" s="112"/>
      <c r="C120" s="384"/>
      <c r="D120" s="384"/>
      <c r="E120" s="387"/>
      <c r="F120" s="387" t="s">
        <v>828</v>
      </c>
      <c r="G120" s="387" t="s">
        <v>828</v>
      </c>
      <c r="H120" s="387" t="s">
        <v>828</v>
      </c>
      <c r="I120" s="387" t="s">
        <v>828</v>
      </c>
      <c r="J120" s="387" t="s">
        <v>828</v>
      </c>
      <c r="K120" s="387" t="s">
        <v>828</v>
      </c>
      <c r="L120" s="387" t="s">
        <v>828</v>
      </c>
      <c r="M120" s="387" t="s">
        <v>828</v>
      </c>
      <c r="O120" s="384"/>
      <c r="P120" s="384"/>
      <c r="Q120" s="384"/>
      <c r="R120" s="387"/>
      <c r="S120" s="387"/>
      <c r="T120" s="387"/>
      <c r="U120" s="387"/>
      <c r="V120" s="387"/>
      <c r="W120" s="387"/>
      <c r="X120" s="387"/>
      <c r="Y120" s="387"/>
      <c r="CL120" s="112"/>
    </row>
    <row r="121" customFormat="false" ht="4.5" hidden="false" customHeight="true" outlineLevel="0" collapsed="false">
      <c r="B121" s="112"/>
      <c r="C121" s="51"/>
      <c r="D121" s="51"/>
      <c r="E121" s="388"/>
      <c r="F121" s="388"/>
      <c r="G121" s="388"/>
      <c r="H121" s="388"/>
      <c r="I121" s="388"/>
      <c r="J121" s="388"/>
      <c r="K121" s="388"/>
      <c r="L121" s="388"/>
      <c r="M121" s="388"/>
      <c r="O121" s="51"/>
      <c r="P121" s="51"/>
      <c r="Q121" s="51"/>
      <c r="R121" s="388"/>
      <c r="S121" s="388"/>
      <c r="T121" s="388"/>
      <c r="U121" s="388"/>
      <c r="V121" s="388"/>
      <c r="W121" s="388"/>
      <c r="X121" s="388"/>
      <c r="Y121" s="388"/>
      <c r="CL121" s="112"/>
    </row>
    <row r="122" customFormat="false" ht="11.25" hidden="false" customHeight="true" outlineLevel="0" collapsed="false">
      <c r="B122" s="112"/>
      <c r="C122" s="384" t="s">
        <v>829</v>
      </c>
      <c r="D122" s="384" t="s">
        <v>830</v>
      </c>
      <c r="E122" s="385"/>
      <c r="F122" s="385" t="e">
        <f aca="false" t="array" ref="F122:F122">MIN(INDEX($108:$108,_xlfn.sequence(1,12,MATCH($F$114,$6:$6,0)-11)))</f>
        <v>#NAME?</v>
      </c>
      <c r="G122" s="385" t="e">
        <f aca="false" t="array" ref="G122:G122">MIN(INDEX($108:$108,_xlfn.sequence(1,12,MATCH($G$114,$6:$6,0)-11)))</f>
        <v>#NAME?</v>
      </c>
      <c r="H122" s="385" t="e">
        <f aca="false" t="array" ref="H122:H122">MIN(INDEX($108:$108,_xlfn.sequence(1,12,MATCH($H$114,$6:$6,0)-11)))</f>
        <v>#NAME?</v>
      </c>
      <c r="I122" s="385" t="e">
        <f aca="false" t="array" ref="I122:I122">MIN(INDEX($108:$108,_xlfn.sequence(1,12,MATCH($I$111,$6:$6,0)-11)))</f>
        <v>#NAME?</v>
      </c>
      <c r="J122" s="385" t="e">
        <f aca="false" t="array" ref="J122:J122">MIN(INDEX($108:$108,_xlfn.sequence(1,9,MATCH($J$111,$6:$6,0)-8)))</f>
        <v>#NAME?</v>
      </c>
      <c r="K122" s="385" t="e">
        <f aca="false" t="array" ref="K122:K122">MIN(INDEX($108:$108,_xlfn.sequence(1,6,MATCH($K$111,$6:$6,0)-5)))</f>
        <v>#NAME?</v>
      </c>
      <c r="L122" s="385" t="e">
        <f aca="false" t="array" ref="L122:L122">MIN(INDEX($108:$108,_xlfn.sequence(1,3,MATCH($L$111,$6:$6,0)-2)))</f>
        <v>#NAME?</v>
      </c>
      <c r="M122" s="385" t="n">
        <f aca="false">IF(INDEX($108:$108,MATCH($M$111,$6:$6,0))="n.a.",,INDEX($108:$108,MATCH($M$111,$6:$6,0)))</f>
        <v>0</v>
      </c>
      <c r="O122" s="384" t="str">
        <f aca="false">C122</f>
        <v>Min</v>
      </c>
      <c r="P122" s="384" t="str">
        <f aca="false">D122</f>
        <v>Low</v>
      </c>
      <c r="Q122" s="384"/>
      <c r="R122" s="386" t="e">
        <f aca="false">IF(INDEX($107:$107,MATCH($M$111,$6:$6,0))="n.a.",,INDEX($107:$107,MATCH($M$111,$6:$6,0)))*F122</f>
        <v>#NAME?</v>
      </c>
      <c r="S122" s="386" t="e">
        <f aca="false">IF(INDEX($107:$107,MATCH($M$111,$6:$6,0))="n.a.",,INDEX($107:$107,MATCH($M$111,$6:$6,0)))*G122</f>
        <v>#NAME?</v>
      </c>
      <c r="T122" s="386" t="e">
        <f aca="false">IF(INDEX($107:$107,MATCH($M$111,$6:$6,0))="n.a.",,INDEX($107:$107,MATCH($M$111,$6:$6,0)))*H122</f>
        <v>#NAME?</v>
      </c>
      <c r="U122" s="386" t="e">
        <f aca="false">IF(INDEX($107:$107,MATCH($M$111,$6:$6,0))="n.a.",,INDEX($107:$107,MATCH($M$111,$6:$6,0)))*I122</f>
        <v>#NAME?</v>
      </c>
      <c r="V122" s="386" t="e">
        <f aca="false">IF(INDEX($107:$107,MATCH($M$111,$6:$6,0))="n.a.",,INDEX($107:$107,MATCH($M$111,$6:$6,0)))*J122</f>
        <v>#NAME?</v>
      </c>
      <c r="W122" s="386" t="e">
        <f aca="false">IF(INDEX($107:$107,MATCH($M$111,$6:$6,0))="n.a.",,INDEX($107:$107,MATCH($M$111,$6:$6,0)))*K122</f>
        <v>#NAME?</v>
      </c>
      <c r="X122" s="386" t="e">
        <f aca="false">IF(INDEX($107:$107,MATCH($M$111,$6:$6,0))="n.a.",,INDEX($107:$107,MATCH($M$111,$6:$6,0)))*L122</f>
        <v>#NAME?</v>
      </c>
      <c r="Y122" s="386" t="n">
        <f aca="false">IF(INDEX($107:$107,MATCH($M$111,$6:$6,0))="n.a.",,INDEX($107:$107,MATCH($M$111,$6:$6,0)))*M122</f>
        <v>0</v>
      </c>
      <c r="CL122" s="112"/>
    </row>
    <row r="123" customFormat="false" ht="11.25" hidden="false" customHeight="true" outlineLevel="0" collapsed="false">
      <c r="B123" s="112"/>
      <c r="C123" s="384"/>
      <c r="D123" s="384"/>
      <c r="E123" s="387"/>
      <c r="F123" s="387" t="s">
        <v>828</v>
      </c>
      <c r="G123" s="387" t="s">
        <v>828</v>
      </c>
      <c r="H123" s="387" t="s">
        <v>828</v>
      </c>
      <c r="I123" s="387" t="s">
        <v>828</v>
      </c>
      <c r="J123" s="387" t="s">
        <v>828</v>
      </c>
      <c r="K123" s="387" t="s">
        <v>828</v>
      </c>
      <c r="L123" s="387" t="s">
        <v>828</v>
      </c>
      <c r="M123" s="387" t="s">
        <v>828</v>
      </c>
      <c r="O123" s="384"/>
      <c r="P123" s="384"/>
      <c r="Q123" s="384"/>
      <c r="R123" s="387"/>
      <c r="S123" s="387"/>
      <c r="T123" s="387"/>
      <c r="U123" s="387"/>
      <c r="V123" s="387"/>
      <c r="W123" s="387"/>
      <c r="X123" s="387"/>
      <c r="Y123" s="387"/>
      <c r="CL123" s="112"/>
    </row>
    <row r="124" customFormat="false" ht="4.5" hidden="false" customHeight="true" outlineLevel="0" collapsed="false">
      <c r="B124" s="112"/>
      <c r="C124" s="51"/>
      <c r="D124" s="51"/>
      <c r="E124" s="388"/>
      <c r="F124" s="388"/>
      <c r="G124" s="388"/>
      <c r="H124" s="388"/>
      <c r="I124" s="388"/>
      <c r="J124" s="388"/>
      <c r="K124" s="388"/>
      <c r="L124" s="388"/>
      <c r="M124" s="388"/>
      <c r="O124" s="51"/>
      <c r="P124" s="51"/>
      <c r="Q124" s="51"/>
      <c r="R124" s="388"/>
      <c r="S124" s="388"/>
      <c r="T124" s="388"/>
      <c r="U124" s="388"/>
      <c r="V124" s="388"/>
      <c r="W124" s="388"/>
      <c r="X124" s="388"/>
      <c r="Y124" s="388"/>
      <c r="CL124" s="112"/>
    </row>
    <row r="125" customFormat="false" ht="11.25" hidden="false" customHeight="true" outlineLevel="0" collapsed="false">
      <c r="B125" s="112"/>
      <c r="C125" s="384" t="s">
        <v>831</v>
      </c>
      <c r="D125" s="384" t="s">
        <v>832</v>
      </c>
      <c r="E125" s="385"/>
      <c r="F125" s="385" t="e">
        <f aca="false">F119-F122</f>
        <v>#NAME?</v>
      </c>
      <c r="G125" s="385" t="e">
        <f aca="false">G119-G122</f>
        <v>#NAME?</v>
      </c>
      <c r="H125" s="385" t="e">
        <f aca="false">H119-H122</f>
        <v>#NAME?</v>
      </c>
      <c r="I125" s="385" t="e">
        <f aca="false">I119-I122</f>
        <v>#NAME?</v>
      </c>
      <c r="J125" s="385" t="e">
        <f aca="false">J119-J122</f>
        <v>#NAME?</v>
      </c>
      <c r="K125" s="385" t="e">
        <f aca="false">K119-K122</f>
        <v>#NAME?</v>
      </c>
      <c r="L125" s="385" t="e">
        <f aca="false">L119-L122</f>
        <v>#NAME?</v>
      </c>
      <c r="M125" s="385" t="n">
        <f aca="false">M119-M122</f>
        <v>0</v>
      </c>
      <c r="O125" s="384" t="str">
        <f aca="false">C125</f>
        <v>Bandbreite</v>
      </c>
      <c r="P125" s="384" t="str">
        <f aca="false">D125</f>
        <v>Swing</v>
      </c>
      <c r="Q125" s="384"/>
      <c r="R125" s="386" t="e">
        <f aca="false">IF(INDEX($107:$107,MATCH($M$111,$6:$6,0))="n.a.",,INDEX($107:$107,MATCH($M$111,$6:$6,0)))*F125</f>
        <v>#NAME?</v>
      </c>
      <c r="S125" s="386" t="e">
        <f aca="false">IF(INDEX($107:$107,MATCH($M$111,$6:$6,0))="n.a.",,INDEX($107:$107,MATCH($M$111,$6:$6,0)))*G125</f>
        <v>#NAME?</v>
      </c>
      <c r="T125" s="386" t="e">
        <f aca="false">IF(INDEX($107:$107,MATCH($M$111,$6:$6,0))="n.a.",,INDEX($107:$107,MATCH($M$111,$6:$6,0)))*H125</f>
        <v>#NAME?</v>
      </c>
      <c r="U125" s="386" t="e">
        <f aca="false">IF(INDEX($107:$107,MATCH($M$111,$6:$6,0))="n.a.",,INDEX($107:$107,MATCH($M$111,$6:$6,0)))*I125</f>
        <v>#NAME?</v>
      </c>
      <c r="V125" s="386" t="e">
        <f aca="false">IF(INDEX($107:$107,MATCH($M$111,$6:$6,0))="n.a.",,INDEX($107:$107,MATCH($M$111,$6:$6,0)))*J125</f>
        <v>#NAME?</v>
      </c>
      <c r="W125" s="386" t="e">
        <f aca="false">IF(INDEX($107:$107,MATCH($M$111,$6:$6,0))="n.a.",,INDEX($107:$107,MATCH($M$111,$6:$6,0)))*K125</f>
        <v>#NAME?</v>
      </c>
      <c r="X125" s="386" t="e">
        <f aca="false">IF(INDEX($107:$107,MATCH($M$111,$6:$6,0))="n.a.",,INDEX($107:$107,MATCH($M$111,$6:$6,0)))*L125</f>
        <v>#NAME?</v>
      </c>
      <c r="Y125" s="386" t="n">
        <f aca="false">IF(INDEX($107:$107,MATCH($M$111,$6:$6,0))="n.a.",,INDEX($107:$107,MATCH($M$111,$6:$6,0)))*M125</f>
        <v>0</v>
      </c>
      <c r="CL125" s="112"/>
    </row>
    <row r="126" customFormat="false" ht="4.5" hidden="false" customHeight="true" outlineLevel="0" collapsed="false">
      <c r="B126" s="112"/>
      <c r="C126" s="51"/>
      <c r="D126" s="51"/>
      <c r="E126" s="388"/>
      <c r="F126" s="388"/>
      <c r="G126" s="388"/>
      <c r="H126" s="388"/>
      <c r="I126" s="388"/>
      <c r="J126" s="388"/>
      <c r="K126" s="388"/>
      <c r="L126" s="388"/>
      <c r="M126" s="388"/>
      <c r="O126" s="51"/>
      <c r="P126" s="51"/>
      <c r="Q126" s="51"/>
      <c r="R126" s="388"/>
      <c r="S126" s="388"/>
      <c r="T126" s="388"/>
      <c r="U126" s="388"/>
      <c r="V126" s="388"/>
      <c r="W126" s="388"/>
      <c r="X126" s="388"/>
      <c r="Y126" s="388"/>
      <c r="CL126" s="112"/>
    </row>
    <row r="127" customFormat="false" ht="11.25" hidden="false" customHeight="true" outlineLevel="0" collapsed="false">
      <c r="B127" s="112"/>
      <c r="C127" s="384" t="s">
        <v>833</v>
      </c>
      <c r="D127" s="384" t="s">
        <v>834</v>
      </c>
      <c r="E127" s="385"/>
      <c r="F127" s="385" t="e">
        <f aca="false" t="array" ref="F127:F127">AVERAGE(INDEX($108:$108,_xlfn.sequence(1,12,MATCH($F$114,$6:$6,0)-11)))</f>
        <v>#NAME?</v>
      </c>
      <c r="G127" s="385" t="e">
        <f aca="false" t="array" ref="G127:G127">AVERAGE(INDEX($108:$108,_xlfn.sequence(1,12,MATCH($G$114,$6:$6,0)-11)))</f>
        <v>#NAME?</v>
      </c>
      <c r="H127" s="385" t="e">
        <f aca="false" t="array" ref="H127:H127">AVERAGE(INDEX($108:$108,_xlfn.sequence(1,12,MATCH($H$114,$6:$6,0)-11)))</f>
        <v>#NAME?</v>
      </c>
      <c r="I127" s="385" t="e">
        <f aca="false" t="array" ref="I127:I127">AVERAGE(INDEX($108:$108,_xlfn.sequence(1,12,MATCH($I$111,$6:$6,0)-11)))</f>
        <v>#NAME?</v>
      </c>
      <c r="J127" s="385" t="e">
        <f aca="false" t="array" ref="J127:J127">AVERAGE(INDEX($108:$108,_xlfn.sequence(1,9,MATCH($J$111,$6:$6,0)-8)))</f>
        <v>#NAME?</v>
      </c>
      <c r="K127" s="385" t="e">
        <f aca="false" t="array" ref="K127:K127">AVERAGE(INDEX($108:$108,_xlfn.sequence(1,6,MATCH($K$111,$6:$6,0)-5)))</f>
        <v>#NAME?</v>
      </c>
      <c r="L127" s="385" t="e">
        <f aca="false" t="array" ref="L127:L127">AVERAGE(INDEX($108:$108,_xlfn.sequence(1,3,MATCH($L$111,$6:$6,0)-2)))</f>
        <v>#NAME?</v>
      </c>
      <c r="M127" s="385" t="n">
        <f aca="false">IF(INDEX($108:$108,MATCH($M$111,$6:$6,0))="n.a.",,INDEX($108:$108,MATCH($M$111,$6:$6,0)))</f>
        <v>0</v>
      </c>
      <c r="O127" s="384" t="str">
        <f aca="false">C127</f>
        <v>Mittelwert</v>
      </c>
      <c r="P127" s="384" t="str">
        <f aca="false">D127</f>
        <v>Average</v>
      </c>
      <c r="Q127" s="384"/>
      <c r="R127" s="386" t="e">
        <f aca="false">IF(INDEX($107:$107,MATCH($M$111,$6:$6,0))="n.a.",,INDEX($107:$107,MATCH($M$111,$6:$6,0)))*F127</f>
        <v>#NAME?</v>
      </c>
      <c r="S127" s="386" t="e">
        <f aca="false">IF(INDEX($107:$107,MATCH($M$111,$6:$6,0))="n.a.",,INDEX($107:$107,MATCH($M$111,$6:$6,0)))*G127</f>
        <v>#NAME?</v>
      </c>
      <c r="T127" s="386" t="e">
        <f aca="false">IF(INDEX($107:$107,MATCH($M$111,$6:$6,0))="n.a.",,INDEX($107:$107,MATCH($M$111,$6:$6,0)))*H127</f>
        <v>#NAME?</v>
      </c>
      <c r="U127" s="386" t="e">
        <f aca="false">IF(INDEX($107:$107,MATCH($M$111,$6:$6,0))="n.a.",,INDEX($107:$107,MATCH($M$111,$6:$6,0)))*I127</f>
        <v>#NAME?</v>
      </c>
      <c r="V127" s="386" t="e">
        <f aca="false">IF(INDEX($107:$107,MATCH($M$111,$6:$6,0))="n.a.",,INDEX($107:$107,MATCH($M$111,$6:$6,0)))*J127</f>
        <v>#NAME?</v>
      </c>
      <c r="W127" s="386" t="e">
        <f aca="false">IF(INDEX($107:$107,MATCH($M$111,$6:$6,0))="n.a.",,INDEX($107:$107,MATCH($M$111,$6:$6,0)))*K127</f>
        <v>#NAME?</v>
      </c>
      <c r="X127" s="386" t="e">
        <f aca="false">IF(INDEX($107:$107,MATCH($M$111,$6:$6,0))="n.a.",,INDEX($107:$107,MATCH($M$111,$6:$6,0)))*L127</f>
        <v>#NAME?</v>
      </c>
      <c r="Y127" s="386" t="n">
        <f aca="false">IF(INDEX($107:$107,MATCH($M$111,$6:$6,0))="n.a.",,INDEX($107:$107,MATCH($M$111,$6:$6,0)))*M127</f>
        <v>0</v>
      </c>
      <c r="CL127" s="112"/>
    </row>
    <row r="128" customFormat="false" ht="4.5" hidden="false" customHeight="true" outlineLevel="0" collapsed="false">
      <c r="B128" s="112"/>
      <c r="C128" s="383"/>
      <c r="D128" s="383"/>
      <c r="E128" s="112"/>
      <c r="F128" s="112"/>
      <c r="G128" s="112"/>
      <c r="H128" s="112"/>
      <c r="I128" s="112"/>
      <c r="J128" s="112"/>
      <c r="K128" s="112"/>
      <c r="L128" s="112"/>
      <c r="M128" s="112"/>
      <c r="O128" s="383"/>
      <c r="P128" s="383"/>
      <c r="Q128" s="383"/>
      <c r="R128" s="112"/>
      <c r="S128" s="112"/>
      <c r="T128" s="112"/>
      <c r="U128" s="112"/>
      <c r="V128" s="112"/>
      <c r="W128" s="112"/>
      <c r="X128" s="112"/>
      <c r="Y128" s="112"/>
      <c r="CL128" s="112"/>
    </row>
    <row r="129" customFormat="false" ht="11.25" hidden="false" customHeight="true" outlineLevel="0" collapsed="false">
      <c r="B129" s="112"/>
      <c r="C129" s="54" t="str">
        <f aca="false">"Quelle: "&amp;Cockpit!$C$7</f>
        <v>Quelle: Datenraum/ eigene Analysen</v>
      </c>
      <c r="D129" s="54" t="str">
        <f aca="false">"Source: "&amp;Cockpit!$C$8</f>
        <v>Source: Virtual Data Room/ Company Information</v>
      </c>
      <c r="E129" s="150"/>
      <c r="F129" s="150"/>
      <c r="G129" s="150"/>
      <c r="H129" s="150"/>
      <c r="I129" s="150"/>
      <c r="J129" s="150"/>
      <c r="K129" s="150"/>
      <c r="L129" s="150"/>
      <c r="M129" s="150"/>
      <c r="O129" s="54" t="str">
        <f aca="false">"Quelle: "&amp;Cockpit!$C$7</f>
        <v>Quelle: Datenraum/ eigene Analysen</v>
      </c>
      <c r="P129" s="54" t="str">
        <f aca="false">"Source: "&amp;Cockpit!$C$7</f>
        <v>Source: Datenraum/ eigene Analysen</v>
      </c>
      <c r="Q129" s="54"/>
      <c r="R129" s="150"/>
      <c r="S129" s="150"/>
      <c r="T129" s="150"/>
      <c r="U129" s="150"/>
      <c r="V129" s="150"/>
      <c r="W129" s="150"/>
      <c r="X129" s="150"/>
      <c r="Y129" s="150"/>
      <c r="CL129" s="112"/>
    </row>
    <row r="130" customFormat="false" ht="11.25" hidden="false" customHeight="true" outlineLevel="0" collapsed="false">
      <c r="B130" s="112"/>
      <c r="CL130" s="112"/>
    </row>
    <row r="131" customFormat="false" ht="11.25" hidden="false" customHeight="true" outlineLevel="0" collapsed="false">
      <c r="B131" s="112"/>
      <c r="CL131" s="112"/>
    </row>
    <row r="132" customFormat="false" ht="11.25" hidden="true" customHeight="true" outlineLevel="1" collapsed="false">
      <c r="B132" s="112"/>
      <c r="C132" s="220" t="str">
        <f aca="false">Cockpit!$C$4</f>
        <v>Template</v>
      </c>
      <c r="D132" s="221"/>
      <c r="E132" s="221"/>
      <c r="F132" s="221" t="n">
        <f aca="false">Cockpit!D33</f>
        <v>44926</v>
      </c>
      <c r="G132" s="221" t="n">
        <f aca="false">Cockpit!E33</f>
        <v>45291</v>
      </c>
      <c r="H132" s="221" t="n">
        <f aca="false">Cockpit!F33</f>
        <v>45657</v>
      </c>
      <c r="I132" s="382" t="s">
        <v>809</v>
      </c>
      <c r="J132" s="382" t="s">
        <v>810</v>
      </c>
      <c r="K132" s="382" t="s">
        <v>811</v>
      </c>
      <c r="L132" s="382" t="s">
        <v>812</v>
      </c>
      <c r="M132" s="382" t="s">
        <v>813</v>
      </c>
      <c r="O132" s="220" t="str">
        <f aca="false">C132</f>
        <v>Template</v>
      </c>
      <c r="P132" s="220"/>
      <c r="Q132" s="221"/>
      <c r="R132" s="221" t="n">
        <f aca="false">F132</f>
        <v>44926</v>
      </c>
      <c r="S132" s="221" t="n">
        <f aca="false">G132</f>
        <v>45291</v>
      </c>
      <c r="T132" s="221" t="n">
        <f aca="false">H132</f>
        <v>45657</v>
      </c>
      <c r="U132" s="382" t="str">
        <f aca="false">I132</f>
        <v>Letzte 12</v>
      </c>
      <c r="V132" s="382" t="str">
        <f aca="false">J132</f>
        <v>Letzte 9</v>
      </c>
      <c r="W132" s="382" t="str">
        <f aca="false">K132</f>
        <v>Letzte 6</v>
      </c>
      <c r="X132" s="382" t="str">
        <f aca="false">L132</f>
        <v>Letzte 3</v>
      </c>
      <c r="Y132" s="382" t="str">
        <f aca="false">M132</f>
        <v>Letzter</v>
      </c>
      <c r="CL132" s="112"/>
    </row>
    <row r="133" customFormat="false" ht="11.25" hidden="true" customHeight="true" outlineLevel="1" collapsed="false">
      <c r="B133" s="112"/>
      <c r="C133" s="220" t="str">
        <f aca="false">"in T"&amp;Cockpit!$C$5</f>
        <v>in TEUR</v>
      </c>
      <c r="D133" s="221"/>
      <c r="E133" s="221"/>
      <c r="F133" s="221" t="str">
        <f aca="false">Cockpit!D34</f>
        <v>IST</v>
      </c>
      <c r="G133" s="221" t="str">
        <f aca="false">Cockpit!E34</f>
        <v>IST</v>
      </c>
      <c r="H133" s="221" t="str">
        <f aca="false">Cockpit!F34</f>
        <v>IST</v>
      </c>
      <c r="I133" s="382" t="s">
        <v>814</v>
      </c>
      <c r="J133" s="382" t="s">
        <v>814</v>
      </c>
      <c r="K133" s="382" t="s">
        <v>814</v>
      </c>
      <c r="L133" s="382" t="s">
        <v>814</v>
      </c>
      <c r="M133" s="382" t="s">
        <v>815</v>
      </c>
      <c r="O133" s="220" t="str">
        <f aca="false">C133</f>
        <v>in TEUR</v>
      </c>
      <c r="P133" s="220"/>
      <c r="Q133" s="221"/>
      <c r="R133" s="221" t="str">
        <f aca="false">F133</f>
        <v>IST</v>
      </c>
      <c r="S133" s="221" t="str">
        <f aca="false">G133</f>
        <v>IST</v>
      </c>
      <c r="T133" s="221" t="str">
        <f aca="false">H133</f>
        <v>IST</v>
      </c>
      <c r="U133" s="382" t="str">
        <f aca="false">I133</f>
        <v>Monate</v>
      </c>
      <c r="V133" s="382" t="str">
        <f aca="false">J133</f>
        <v>Monate</v>
      </c>
      <c r="W133" s="382" t="str">
        <f aca="false">K133</f>
        <v>Monate</v>
      </c>
      <c r="X133" s="382" t="str">
        <f aca="false">L133</f>
        <v>Monate</v>
      </c>
      <c r="Y133" s="382" t="str">
        <f aca="false">M133</f>
        <v>Monat</v>
      </c>
      <c r="CL133" s="112"/>
    </row>
    <row r="134" customFormat="false" ht="11.25" hidden="false" customHeight="true" outlineLevel="0" collapsed="false">
      <c r="B134" s="112"/>
      <c r="C134" s="227"/>
      <c r="D134" s="228" t="str">
        <f aca="false">Cockpit!$C$4</f>
        <v>Template</v>
      </c>
      <c r="E134" s="227"/>
      <c r="F134" s="227" t="n">
        <f aca="false">Cockpit!D33</f>
        <v>44926</v>
      </c>
      <c r="G134" s="227" t="n">
        <f aca="false">Cockpit!E33</f>
        <v>45291</v>
      </c>
      <c r="H134" s="227" t="n">
        <f aca="false">Cockpit!F33</f>
        <v>45657</v>
      </c>
      <c r="I134" s="382" t="s">
        <v>816</v>
      </c>
      <c r="J134" s="382" t="s">
        <v>817</v>
      </c>
      <c r="K134" s="382" t="s">
        <v>818</v>
      </c>
      <c r="L134" s="382" t="s">
        <v>819</v>
      </c>
      <c r="M134" s="382" t="s">
        <v>820</v>
      </c>
      <c r="O134" s="220"/>
      <c r="P134" s="220" t="str">
        <f aca="false">D134</f>
        <v>Template</v>
      </c>
      <c r="Q134" s="228"/>
      <c r="R134" s="227" t="n">
        <f aca="false">F134</f>
        <v>44926</v>
      </c>
      <c r="S134" s="227" t="n">
        <f aca="false">G134</f>
        <v>45291</v>
      </c>
      <c r="T134" s="227" t="n">
        <f aca="false">H134</f>
        <v>45657</v>
      </c>
      <c r="U134" s="382" t="str">
        <f aca="false">I134</f>
        <v>Last 12</v>
      </c>
      <c r="V134" s="382" t="str">
        <f aca="false">J134</f>
        <v>Last 9</v>
      </c>
      <c r="W134" s="382" t="str">
        <f aca="false">K134</f>
        <v>Last 6</v>
      </c>
      <c r="X134" s="382" t="str">
        <f aca="false">L134</f>
        <v>Last 3</v>
      </c>
      <c r="Y134" s="382" t="str">
        <f aca="false">M134</f>
        <v>Last</v>
      </c>
      <c r="CL134" s="112"/>
    </row>
    <row r="135" customFormat="false" ht="11.25" hidden="false" customHeight="true" outlineLevel="0" collapsed="false">
      <c r="B135" s="112"/>
      <c r="C135" s="227"/>
      <c r="D135" s="228" t="str">
        <f aca="false">"in k"&amp;Cockpit!$C$5</f>
        <v>in kEUR</v>
      </c>
      <c r="E135" s="227"/>
      <c r="F135" s="227" t="str">
        <f aca="false">Cockpit!D34</f>
        <v>IST</v>
      </c>
      <c r="G135" s="227" t="str">
        <f aca="false">Cockpit!E34</f>
        <v>IST</v>
      </c>
      <c r="H135" s="227" t="str">
        <f aca="false">Cockpit!F34</f>
        <v>IST</v>
      </c>
      <c r="I135" s="382" t="s">
        <v>821</v>
      </c>
      <c r="J135" s="382" t="s">
        <v>821</v>
      </c>
      <c r="K135" s="382" t="s">
        <v>821</v>
      </c>
      <c r="L135" s="382" t="s">
        <v>821</v>
      </c>
      <c r="M135" s="382" t="s">
        <v>822</v>
      </c>
      <c r="O135" s="220"/>
      <c r="P135" s="220" t="str">
        <f aca="false">D135</f>
        <v>in kEUR</v>
      </c>
      <c r="Q135" s="228"/>
      <c r="R135" s="227" t="str">
        <f aca="false">F135</f>
        <v>IST</v>
      </c>
      <c r="S135" s="227" t="str">
        <f aca="false">G135</f>
        <v>IST</v>
      </c>
      <c r="T135" s="227" t="str">
        <f aca="false">H135</f>
        <v>IST</v>
      </c>
      <c r="U135" s="382" t="str">
        <f aca="false">I135</f>
        <v>months</v>
      </c>
      <c r="V135" s="382" t="str">
        <f aca="false">J135</f>
        <v>months</v>
      </c>
      <c r="W135" s="382" t="str">
        <f aca="false">K135</f>
        <v>months</v>
      </c>
      <c r="X135" s="382" t="str">
        <f aca="false">L135</f>
        <v>months</v>
      </c>
      <c r="Y135" s="382" t="str">
        <f aca="false">M135</f>
        <v>month</v>
      </c>
      <c r="CL135" s="112"/>
    </row>
    <row r="136" customFormat="false" ht="4.5" hidden="false" customHeight="true" outlineLevel="0" collapsed="false">
      <c r="B136" s="112"/>
      <c r="C136" s="383"/>
      <c r="D136" s="383"/>
      <c r="E136" s="112"/>
      <c r="F136" s="112"/>
      <c r="G136" s="112"/>
      <c r="H136" s="112"/>
      <c r="I136" s="112"/>
      <c r="J136" s="112"/>
      <c r="K136" s="112"/>
      <c r="L136" s="112"/>
      <c r="M136" s="112"/>
      <c r="CL136" s="112"/>
    </row>
    <row r="137" customFormat="false" ht="11.25" hidden="false" customHeight="true" outlineLevel="0" collapsed="false">
      <c r="B137" s="112"/>
      <c r="C137" s="233" t="s">
        <v>835</v>
      </c>
      <c r="D137" s="233" t="s">
        <v>836</v>
      </c>
      <c r="E137" s="112"/>
      <c r="F137" s="112"/>
      <c r="G137" s="112"/>
      <c r="H137" s="112"/>
      <c r="I137" s="112"/>
      <c r="J137" s="112"/>
      <c r="K137" s="112"/>
      <c r="L137" s="112"/>
      <c r="M137" s="112"/>
      <c r="O137" s="233" t="s">
        <v>835</v>
      </c>
      <c r="R137" s="233"/>
      <c r="CL137" s="112"/>
    </row>
    <row r="138" customFormat="false" ht="4.5" hidden="false" customHeight="true" outlineLevel="0" collapsed="false">
      <c r="B138" s="112"/>
      <c r="C138" s="233"/>
      <c r="D138" s="233"/>
      <c r="E138" s="112"/>
      <c r="F138" s="112"/>
      <c r="G138" s="112"/>
      <c r="H138" s="112"/>
      <c r="I138" s="112"/>
      <c r="J138" s="112"/>
      <c r="K138" s="112"/>
      <c r="L138" s="112"/>
      <c r="M138" s="112"/>
      <c r="CL138" s="112"/>
    </row>
    <row r="139" customFormat="false" ht="11.25" hidden="false" customHeight="true" outlineLevel="0" collapsed="false">
      <c r="B139" s="112"/>
      <c r="C139" s="384" t="s">
        <v>826</v>
      </c>
      <c r="D139" s="384" t="s">
        <v>827</v>
      </c>
      <c r="E139" s="385"/>
      <c r="F139" s="385" t="e">
        <f aca="false" t="array" ref="F139:F139">MAX(INDEX($109:$109,_xlfn.sequence(1,12,MATCH($F$114,$6:$6,0)-11)))</f>
        <v>#NAME?</v>
      </c>
      <c r="G139" s="385" t="e">
        <f aca="false" t="array" ref="G139:G139">MAX(INDEX($109:$109,_xlfn.sequence(1,12,MATCH($G$114,$6:$6,0)-11)))</f>
        <v>#NAME?</v>
      </c>
      <c r="H139" s="385" t="e">
        <f aca="false" t="array" ref="H139:H139">MAX(INDEX($109:$109,_xlfn.sequence(1,12,MATCH($H$114,$6:$6,0)-11)))</f>
        <v>#NAME?</v>
      </c>
      <c r="I139" s="385" t="e">
        <f aca="false" t="array" ref="I139:I139">MAX(INDEX($109:$109,_xlfn.sequence(1,12,MATCH($I$111,$6:$6,0)-11)))</f>
        <v>#NAME?</v>
      </c>
      <c r="J139" s="385" t="e">
        <f aca="false" t="array" ref="J139:J139">MAX(INDEX($109:$109,_xlfn.sequence(1,9,MATCH($J$111,$6:$6,0)-8)))</f>
        <v>#NAME?</v>
      </c>
      <c r="K139" s="385" t="e">
        <f aca="false" t="array" ref="K139:K139">MAX(INDEX($109:$109,_xlfn.sequence(1,6,MATCH($K$111,$6:$6,0)-5)))</f>
        <v>#NAME?</v>
      </c>
      <c r="L139" s="385" t="e">
        <f aca="false" t="array" ref="L139:L139">MAX(INDEX($109:$109,_xlfn.sequence(1,3,MATCH($L$111,$6:$6,0)-2)))</f>
        <v>#NAME?</v>
      </c>
      <c r="M139" s="385" t="n">
        <f aca="false">IF(INDEX($109:$109,MATCH($M$111,$6:$6,0))="n.a.",,INDEX($109:$109,MATCH($M$111,$6:$6,0)))</f>
        <v>0</v>
      </c>
      <c r="O139" s="384" t="str">
        <f aca="false">C139</f>
        <v>Max</v>
      </c>
      <c r="P139" s="384" t="str">
        <f aca="false">D139</f>
        <v>High</v>
      </c>
      <c r="Q139" s="384"/>
      <c r="R139" s="386" t="e">
        <f aca="false">IF(INDEX($107:$107,MATCH($M$111,$6:$6,0))="n.a.",,INDEX($107:$107,MATCH($M$111,$6:$6,0)))*F139</f>
        <v>#NAME?</v>
      </c>
      <c r="S139" s="386" t="e">
        <f aca="false">IF(INDEX($107:$107,MATCH($M$111,$6:$6,0))="n.a.",,INDEX($107:$107,MATCH($M$111,$6:$6,0)))*G139</f>
        <v>#NAME?</v>
      </c>
      <c r="T139" s="386" t="e">
        <f aca="false">IF(INDEX($107:$107,MATCH($M$111,$6:$6,0))="n.a.",,INDEX($107:$107,MATCH($M$111,$6:$6,0)))*H139</f>
        <v>#NAME?</v>
      </c>
      <c r="U139" s="386" t="e">
        <f aca="false">IF(INDEX($107:$107,MATCH($M$111,$6:$6,0))="n.a.",,INDEX($107:$107,MATCH($M$111,$6:$6,0)))*I139</f>
        <v>#NAME?</v>
      </c>
      <c r="V139" s="386" t="e">
        <f aca="false">IF(INDEX($107:$107,MATCH($M$111,$6:$6,0))="n.a.",,INDEX($107:$107,MATCH($M$111,$6:$6,0)))*J139</f>
        <v>#NAME?</v>
      </c>
      <c r="W139" s="386" t="e">
        <f aca="false">IF(INDEX($107:$107,MATCH($M$111,$6:$6,0))="n.a.",,INDEX($107:$107,MATCH($M$111,$6:$6,0)))*K139</f>
        <v>#NAME?</v>
      </c>
      <c r="X139" s="386" t="e">
        <f aca="false">IF(INDEX($107:$107,MATCH($M$111,$6:$6,0))="n.a.",,INDEX($107:$107,MATCH($M$111,$6:$6,0)))*L139</f>
        <v>#NAME?</v>
      </c>
      <c r="Y139" s="386" t="n">
        <f aca="false">IF(INDEX($107:$107,MATCH($M$111,$6:$6,0))="n.a.",,INDEX($107:$107,MATCH($M$111,$6:$6,0)))*M139</f>
        <v>0</v>
      </c>
      <c r="CL139" s="112"/>
    </row>
    <row r="140" customFormat="false" ht="11.25" hidden="false" customHeight="true" outlineLevel="0" collapsed="false">
      <c r="B140" s="112"/>
      <c r="C140" s="384"/>
      <c r="D140" s="384"/>
      <c r="E140" s="387"/>
      <c r="F140" s="387" t="s">
        <v>828</v>
      </c>
      <c r="G140" s="387" t="s">
        <v>828</v>
      </c>
      <c r="H140" s="387" t="s">
        <v>828</v>
      </c>
      <c r="I140" s="387" t="s">
        <v>828</v>
      </c>
      <c r="J140" s="387" t="s">
        <v>828</v>
      </c>
      <c r="K140" s="387" t="s">
        <v>828</v>
      </c>
      <c r="L140" s="387" t="s">
        <v>828</v>
      </c>
      <c r="M140" s="387" t="s">
        <v>828</v>
      </c>
      <c r="O140" s="384"/>
      <c r="P140" s="384"/>
      <c r="Q140" s="384"/>
      <c r="R140" s="387"/>
      <c r="S140" s="387"/>
      <c r="T140" s="387"/>
      <c r="U140" s="387"/>
      <c r="V140" s="387"/>
      <c r="W140" s="387"/>
      <c r="X140" s="387"/>
      <c r="Y140" s="387"/>
      <c r="Z140" s="40" t="s">
        <v>837</v>
      </c>
      <c r="CL140" s="112"/>
    </row>
    <row r="141" customFormat="false" ht="4.5" hidden="false" customHeight="true" outlineLevel="0" collapsed="false">
      <c r="B141" s="112"/>
      <c r="C141" s="51"/>
      <c r="D141" s="51"/>
      <c r="E141" s="388"/>
      <c r="F141" s="388"/>
      <c r="G141" s="388"/>
      <c r="H141" s="388"/>
      <c r="I141" s="388"/>
      <c r="J141" s="388"/>
      <c r="K141" s="388"/>
      <c r="L141" s="388"/>
      <c r="M141" s="388"/>
      <c r="O141" s="51"/>
      <c r="P141" s="51"/>
      <c r="Q141" s="51"/>
      <c r="R141" s="388"/>
      <c r="S141" s="388"/>
      <c r="T141" s="388"/>
      <c r="U141" s="388"/>
      <c r="V141" s="388"/>
      <c r="W141" s="388"/>
      <c r="X141" s="388"/>
      <c r="Y141" s="388"/>
      <c r="CL141" s="112"/>
    </row>
    <row r="142" customFormat="false" ht="11.25" hidden="false" customHeight="true" outlineLevel="0" collapsed="false">
      <c r="B142" s="112"/>
      <c r="C142" s="384" t="s">
        <v>829</v>
      </c>
      <c r="D142" s="384" t="s">
        <v>830</v>
      </c>
      <c r="E142" s="385"/>
      <c r="F142" s="385" t="e">
        <f aca="false" t="array" ref="F142:F142">MIN(INDEX($109:$109,_xlfn.sequence(1,12,MATCH($F$114,$6:$6,0)-11)))</f>
        <v>#NAME?</v>
      </c>
      <c r="G142" s="385" t="e">
        <f aca="false" t="array" ref="G142:G142">MIN(INDEX($109:$109,_xlfn.sequence(1,12,MATCH($G$114,$6:$6,0)-11)))</f>
        <v>#NAME?</v>
      </c>
      <c r="H142" s="385" t="e">
        <f aca="false" t="array" ref="H142:H142">MIN(INDEX($109:$109,_xlfn.sequence(1,12,MATCH($H$114,$6:$6,0)-11)))</f>
        <v>#NAME?</v>
      </c>
      <c r="I142" s="385" t="e">
        <f aca="false" t="array" ref="I142:I142">MIN(INDEX($109:$109,_xlfn.sequence(1,12,MATCH($I$111,$6:$6,0)-11)))</f>
        <v>#NAME?</v>
      </c>
      <c r="J142" s="385" t="e">
        <f aca="false" t="array" ref="J142:J142">MIN(INDEX($109:$109,_xlfn.sequence(1,9,MATCH($J$111,$6:$6,0)-8)))</f>
        <v>#NAME?</v>
      </c>
      <c r="K142" s="385" t="e">
        <f aca="false" t="array" ref="K142:K142">MIN(INDEX($109:$109,_xlfn.sequence(1,6,MATCH($K$111,$6:$6,0)-5)))</f>
        <v>#NAME?</v>
      </c>
      <c r="L142" s="385" t="e">
        <f aca="false" t="array" ref="L142:L142">MIN(INDEX($109:$109,_xlfn.sequence(1,3,MATCH($L$111,$6:$6,0)-2)))</f>
        <v>#NAME?</v>
      </c>
      <c r="M142" s="385" t="n">
        <f aca="false">IF(INDEX($109:$109,MATCH($M$111,$6:$6,0))="n.a.",,INDEX($109:$109,MATCH($M$111,$6:$6,0)))</f>
        <v>0</v>
      </c>
      <c r="O142" s="384" t="str">
        <f aca="false">C142</f>
        <v>Min</v>
      </c>
      <c r="P142" s="384" t="str">
        <f aca="false">D142</f>
        <v>Low</v>
      </c>
      <c r="Q142" s="384"/>
      <c r="R142" s="386" t="e">
        <f aca="false">IF(INDEX($107:$107,MATCH($M$111,$6:$6,0))="n.a.",,INDEX($107:$107,MATCH($M$111,$6:$6,0)))*F142</f>
        <v>#NAME?</v>
      </c>
      <c r="S142" s="386" t="e">
        <f aca="false">IF(INDEX($107:$107,MATCH($M$111,$6:$6,0))="n.a.",,INDEX($107:$107,MATCH($M$111,$6:$6,0)))*G142</f>
        <v>#NAME?</v>
      </c>
      <c r="T142" s="386" t="e">
        <f aca="false">IF(INDEX($107:$107,MATCH($M$111,$6:$6,0))="n.a.",,INDEX($107:$107,MATCH($M$111,$6:$6,0)))*H142</f>
        <v>#NAME?</v>
      </c>
      <c r="U142" s="386" t="e">
        <f aca="false">IF(INDEX($107:$107,MATCH($M$111,$6:$6,0))="n.a.",,INDEX($107:$107,MATCH($M$111,$6:$6,0)))*I142</f>
        <v>#NAME?</v>
      </c>
      <c r="V142" s="386" t="e">
        <f aca="false">IF(INDEX($107:$107,MATCH($M$111,$6:$6,0))="n.a.",,INDEX($107:$107,MATCH($M$111,$6:$6,0)))*J142</f>
        <v>#NAME?</v>
      </c>
      <c r="W142" s="386" t="e">
        <f aca="false">IF(INDEX($107:$107,MATCH($M$111,$6:$6,0))="n.a.",,INDEX($107:$107,MATCH($M$111,$6:$6,0)))*K142</f>
        <v>#NAME?</v>
      </c>
      <c r="X142" s="386" t="e">
        <f aca="false">IF(INDEX($107:$107,MATCH($M$111,$6:$6,0))="n.a.",,INDEX($107:$107,MATCH($M$111,$6:$6,0)))*L142</f>
        <v>#NAME?</v>
      </c>
      <c r="Y142" s="386" t="n">
        <f aca="false">IF(INDEX($107:$107,MATCH($M$111,$6:$6,0))="n.a.",,INDEX($107:$107,MATCH($M$111,$6:$6,0)))*M142</f>
        <v>0</v>
      </c>
      <c r="CL142" s="112"/>
    </row>
    <row r="143" customFormat="false" ht="11.25" hidden="false" customHeight="true" outlineLevel="0" collapsed="false">
      <c r="B143" s="112"/>
      <c r="C143" s="384"/>
      <c r="D143" s="384"/>
      <c r="E143" s="387"/>
      <c r="F143" s="387" t="s">
        <v>828</v>
      </c>
      <c r="G143" s="387" t="s">
        <v>828</v>
      </c>
      <c r="H143" s="387" t="s">
        <v>828</v>
      </c>
      <c r="I143" s="387" t="s">
        <v>828</v>
      </c>
      <c r="J143" s="387" t="s">
        <v>828</v>
      </c>
      <c r="K143" s="387" t="s">
        <v>828</v>
      </c>
      <c r="L143" s="387" t="s">
        <v>828</v>
      </c>
      <c r="M143" s="387" t="s">
        <v>828</v>
      </c>
      <c r="O143" s="384"/>
      <c r="P143" s="384"/>
      <c r="Q143" s="384"/>
      <c r="R143" s="387"/>
      <c r="S143" s="387"/>
      <c r="T143" s="387"/>
      <c r="U143" s="387"/>
      <c r="V143" s="387"/>
      <c r="W143" s="387"/>
      <c r="X143" s="387"/>
      <c r="Y143" s="387"/>
      <c r="CL143" s="112"/>
    </row>
    <row r="144" customFormat="false" ht="4.5" hidden="false" customHeight="true" outlineLevel="0" collapsed="false">
      <c r="B144" s="131"/>
      <c r="C144" s="51"/>
      <c r="D144" s="51"/>
      <c r="E144" s="388"/>
      <c r="F144" s="388"/>
      <c r="G144" s="388"/>
      <c r="H144" s="388"/>
      <c r="I144" s="388"/>
      <c r="J144" s="388"/>
      <c r="K144" s="388"/>
      <c r="L144" s="388"/>
      <c r="M144" s="388"/>
      <c r="O144" s="51"/>
      <c r="P144" s="51"/>
      <c r="Q144" s="51"/>
      <c r="R144" s="388"/>
      <c r="S144" s="388"/>
      <c r="T144" s="388"/>
      <c r="U144" s="388"/>
      <c r="V144" s="388"/>
      <c r="W144" s="388"/>
      <c r="X144" s="388"/>
      <c r="Y144" s="388"/>
      <c r="CL144" s="131"/>
    </row>
    <row r="145" customFormat="false" ht="11.25" hidden="false" customHeight="true" outlineLevel="0" collapsed="false">
      <c r="C145" s="384" t="s">
        <v>831</v>
      </c>
      <c r="D145" s="384" t="s">
        <v>832</v>
      </c>
      <c r="E145" s="385"/>
      <c r="F145" s="385" t="e">
        <f aca="false">F139-F142</f>
        <v>#NAME?</v>
      </c>
      <c r="G145" s="385" t="e">
        <f aca="false">G139-G142</f>
        <v>#NAME?</v>
      </c>
      <c r="H145" s="385" t="e">
        <f aca="false">H139-H142</f>
        <v>#NAME?</v>
      </c>
      <c r="I145" s="385" t="e">
        <f aca="false">I139-I142</f>
        <v>#NAME?</v>
      </c>
      <c r="J145" s="385" t="e">
        <f aca="false">J139-J142</f>
        <v>#NAME?</v>
      </c>
      <c r="K145" s="385" t="e">
        <f aca="false">K139-K142</f>
        <v>#NAME?</v>
      </c>
      <c r="L145" s="385" t="e">
        <f aca="false">L139-L142</f>
        <v>#NAME?</v>
      </c>
      <c r="M145" s="385" t="n">
        <f aca="false">M139-M142</f>
        <v>0</v>
      </c>
      <c r="O145" s="384" t="str">
        <f aca="false">C145</f>
        <v>Bandbreite</v>
      </c>
      <c r="P145" s="384" t="str">
        <f aca="false">D145</f>
        <v>Swing</v>
      </c>
      <c r="Q145" s="384"/>
      <c r="R145" s="386" t="e">
        <f aca="false">IF(INDEX($107:$107,MATCH($M$111,$6:$6,0))="n.a.",,INDEX($107:$107,MATCH($M$111,$6:$6,0)))*F145</f>
        <v>#NAME?</v>
      </c>
      <c r="S145" s="386" t="e">
        <f aca="false">IF(INDEX($107:$107,MATCH($M$111,$6:$6,0))="n.a.",,INDEX($107:$107,MATCH($M$111,$6:$6,0)))*G145</f>
        <v>#NAME?</v>
      </c>
      <c r="T145" s="386" t="e">
        <f aca="false">IF(INDEX($107:$107,MATCH($M$111,$6:$6,0))="n.a.",,INDEX($107:$107,MATCH($M$111,$6:$6,0)))*H145</f>
        <v>#NAME?</v>
      </c>
      <c r="U145" s="386" t="e">
        <f aca="false">IF(INDEX($107:$107,MATCH($M$111,$6:$6,0))="n.a.",,INDEX($107:$107,MATCH($M$111,$6:$6,0)))*I145</f>
        <v>#NAME?</v>
      </c>
      <c r="V145" s="386" t="e">
        <f aca="false">IF(INDEX($107:$107,MATCH($M$111,$6:$6,0))="n.a.",,INDEX($107:$107,MATCH($M$111,$6:$6,0)))*J145</f>
        <v>#NAME?</v>
      </c>
      <c r="W145" s="386" t="e">
        <f aca="false">IF(INDEX($107:$107,MATCH($M$111,$6:$6,0))="n.a.",,INDEX($107:$107,MATCH($M$111,$6:$6,0)))*K145</f>
        <v>#NAME?</v>
      </c>
      <c r="X145" s="386" t="e">
        <f aca="false">IF(INDEX($107:$107,MATCH($M$111,$6:$6,0))="n.a.",,INDEX($107:$107,MATCH($M$111,$6:$6,0)))*L145</f>
        <v>#NAME?</v>
      </c>
      <c r="Y145" s="386" t="n">
        <f aca="false">IF(INDEX($107:$107,MATCH($M$111,$6:$6,0))="n.a.",,INDEX($107:$107,MATCH($M$111,$6:$6,0)))*M145</f>
        <v>0</v>
      </c>
    </row>
    <row r="146" customFormat="false" ht="4.5" hidden="false" customHeight="true" outlineLevel="0" collapsed="false">
      <c r="C146" s="51"/>
      <c r="D146" s="51"/>
      <c r="E146" s="388"/>
      <c r="F146" s="388"/>
      <c r="G146" s="388"/>
      <c r="H146" s="388"/>
      <c r="I146" s="388"/>
      <c r="J146" s="388"/>
      <c r="K146" s="388"/>
      <c r="L146" s="388"/>
      <c r="M146" s="388"/>
      <c r="O146" s="51"/>
      <c r="P146" s="51"/>
      <c r="Q146" s="51"/>
      <c r="R146" s="388"/>
      <c r="S146" s="388"/>
      <c r="T146" s="388"/>
      <c r="U146" s="388"/>
      <c r="V146" s="388"/>
      <c r="W146" s="388"/>
      <c r="X146" s="388"/>
      <c r="Y146" s="388"/>
    </row>
    <row r="147" customFormat="false" ht="11.25" hidden="false" customHeight="true" outlineLevel="0" collapsed="false">
      <c r="C147" s="384" t="s">
        <v>833</v>
      </c>
      <c r="D147" s="384" t="s">
        <v>834</v>
      </c>
      <c r="E147" s="385"/>
      <c r="F147" s="385" t="e">
        <f aca="false" t="array" ref="F147:F147">AVERAGE(INDEX($109:$109,_xlfn.sequence(1,12,MATCH($F$114,$6:$6,0)-11)))</f>
        <v>#NAME?</v>
      </c>
      <c r="G147" s="385" t="e">
        <f aca="false" t="array" ref="G147:G147">AVERAGE(INDEX($109:$109,_xlfn.sequence(1,12,MATCH($G$114,$6:$6,0)-11)))</f>
        <v>#NAME?</v>
      </c>
      <c r="H147" s="385" t="e">
        <f aca="false" t="array" ref="H147:H147">AVERAGE(INDEX($109:$109,_xlfn.sequence(1,12,MATCH($H$114,$6:$6,0)-11)))</f>
        <v>#NAME?</v>
      </c>
      <c r="I147" s="385" t="e">
        <f aca="false" t="array" ref="I147:I147">AVERAGE(INDEX($109:$109,_xlfn.sequence(1,12,MATCH($I$111,$6:$6,0)-11)))</f>
        <v>#NAME?</v>
      </c>
      <c r="J147" s="385" t="e">
        <f aca="false" t="array" ref="J147:J147">AVERAGE(INDEX($109:$109,_xlfn.sequence(1,9,MATCH($J$111,$6:$6,0)-8)))</f>
        <v>#NAME?</v>
      </c>
      <c r="K147" s="385" t="e">
        <f aca="false" t="array" ref="K147:K147">AVERAGE(INDEX($109:$109,_xlfn.sequence(1,6,MATCH($K$111,$6:$6,0)-5)))</f>
        <v>#NAME?</v>
      </c>
      <c r="L147" s="385" t="e">
        <f aca="false" t="array" ref="L147:L147">AVERAGE(INDEX($109:$109,_xlfn.sequence(1,3,MATCH($L$111,$6:$6,0)-2)))</f>
        <v>#NAME?</v>
      </c>
      <c r="M147" s="385" t="n">
        <f aca="false">IF(INDEX($109:$109,MATCH($M$111,$6:$6,0))="n.a.",,INDEX($109:$109,MATCH($M$111,$6:$6,0)))</f>
        <v>0</v>
      </c>
      <c r="O147" s="384" t="str">
        <f aca="false">C147</f>
        <v>Mittelwert</v>
      </c>
      <c r="P147" s="384" t="str">
        <f aca="false">D147</f>
        <v>Average</v>
      </c>
      <c r="Q147" s="384"/>
      <c r="R147" s="386" t="e">
        <f aca="false">IF(INDEX($107:$107,MATCH($M$111,$6:$6,0))="n.a.",,INDEX($107:$107,MATCH($M$111,$6:$6,0)))*F147</f>
        <v>#NAME?</v>
      </c>
      <c r="S147" s="386" t="e">
        <f aca="false">IF(INDEX($107:$107,MATCH($M$111,$6:$6,0))="n.a.",,INDEX($107:$107,MATCH($M$111,$6:$6,0)))*G147</f>
        <v>#NAME?</v>
      </c>
      <c r="T147" s="386" t="e">
        <f aca="false">IF(INDEX($107:$107,MATCH($M$111,$6:$6,0))="n.a.",,INDEX($107:$107,MATCH($M$111,$6:$6,0)))*H147</f>
        <v>#NAME?</v>
      </c>
      <c r="U147" s="386" t="e">
        <f aca="false">IF(INDEX($107:$107,MATCH($M$111,$6:$6,0))="n.a.",,INDEX($107:$107,MATCH($M$111,$6:$6,0)))*I147</f>
        <v>#NAME?</v>
      </c>
      <c r="V147" s="386" t="e">
        <f aca="false">IF(INDEX($107:$107,MATCH($M$111,$6:$6,0))="n.a.",,INDEX($107:$107,MATCH($M$111,$6:$6,0)))*J147</f>
        <v>#NAME?</v>
      </c>
      <c r="W147" s="386" t="e">
        <f aca="false">IF(INDEX($107:$107,MATCH($M$111,$6:$6,0))="n.a.",,INDEX($107:$107,MATCH($M$111,$6:$6,0)))*K147</f>
        <v>#NAME?</v>
      </c>
      <c r="X147" s="386" t="e">
        <f aca="false">IF(INDEX($107:$107,MATCH($M$111,$6:$6,0))="n.a.",,INDEX($107:$107,MATCH($M$111,$6:$6,0)))*L147</f>
        <v>#NAME?</v>
      </c>
      <c r="Y147" s="386" t="n">
        <f aca="false">IF(INDEX($107:$107,MATCH($M$111,$6:$6,0))="n.a.",,INDEX($107:$107,MATCH($M$111,$6:$6,0)))*M147</f>
        <v>0</v>
      </c>
    </row>
    <row r="148" customFormat="false" ht="4.5" hidden="false" customHeight="true" outlineLevel="0" collapsed="false">
      <c r="C148" s="383"/>
      <c r="D148" s="383"/>
      <c r="E148" s="112"/>
      <c r="F148" s="112"/>
      <c r="G148" s="112"/>
      <c r="H148" s="112"/>
      <c r="I148" s="112"/>
      <c r="J148" s="112"/>
      <c r="K148" s="112"/>
      <c r="L148" s="112"/>
      <c r="M148" s="112"/>
      <c r="O148" s="383"/>
      <c r="P148" s="383"/>
      <c r="Q148" s="383"/>
      <c r="R148" s="112"/>
      <c r="S148" s="112"/>
      <c r="T148" s="112"/>
      <c r="U148" s="112"/>
      <c r="V148" s="112"/>
      <c r="W148" s="112"/>
      <c r="X148" s="112"/>
      <c r="Y148" s="112"/>
    </row>
    <row r="149" customFormat="false" ht="11.25" hidden="false" customHeight="true" outlineLevel="0" collapsed="false">
      <c r="C149" s="54" t="str">
        <f aca="false">"Quelle: "&amp;Cockpit!$C$7</f>
        <v>Quelle: Datenraum/ eigene Analysen</v>
      </c>
      <c r="D149" s="54" t="str">
        <f aca="false">"Source: "&amp;Cockpit!$C$8</f>
        <v>Source: Virtual Data Room/ Company Information</v>
      </c>
      <c r="E149" s="150"/>
      <c r="F149" s="150"/>
      <c r="G149" s="150"/>
      <c r="H149" s="150"/>
      <c r="I149" s="150"/>
      <c r="J149" s="150"/>
      <c r="K149" s="150"/>
      <c r="L149" s="150"/>
      <c r="M149" s="150"/>
      <c r="O149" s="54" t="str">
        <f aca="false">"Quelle: "&amp;Cockpit!$C$7</f>
        <v>Quelle: Datenraum/ eigene Analysen</v>
      </c>
      <c r="P149" s="54" t="str">
        <f aca="false">"Source: "&amp;Cockpit!$C$7</f>
        <v>Source: Datenraum/ eigene Analysen</v>
      </c>
      <c r="Q149" s="54"/>
      <c r="R149" s="150"/>
      <c r="S149" s="150"/>
      <c r="T149" s="150"/>
      <c r="U149" s="150"/>
      <c r="V149" s="150"/>
      <c r="W149" s="150"/>
      <c r="X149" s="150"/>
      <c r="Y149" s="150"/>
    </row>
  </sheetData>
  <conditionalFormatting sqref="AO89">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conditionalFormatting sqref="AC89">
    <cfRule type="cellIs" priority="5" operator="between" aboveAverage="0" equalAverage="0" bottom="0" percent="0" rank="0" text="" dxfId="2">
      <formula>-1</formula>
      <formula>1</formula>
    </cfRule>
    <cfRule type="cellIs" priority="6" operator="lessThan" aboveAverage="0" equalAverage="0" bottom="0" percent="0" rank="0" text="" dxfId="0">
      <formula>-1</formula>
    </cfRule>
    <cfRule type="cellIs" priority="7" operator="greaterThan" aboveAverage="0" equalAverage="0" bottom="0" percent="0" rank="0" text="" dxfId="0">
      <formula>1</formula>
    </cfRule>
  </conditionalFormatting>
  <conditionalFormatting sqref="Q89">
    <cfRule type="cellIs" priority="8" operator="between" aboveAverage="0" equalAverage="0" bottom="0" percent="0" rank="0" text="" dxfId="2">
      <formula>-1</formula>
      <formula>1</formula>
    </cfRule>
    <cfRule type="cellIs" priority="9" operator="lessThan" aboveAverage="0" equalAverage="0" bottom="0" percent="0" rank="0" text="" dxfId="0">
      <formula>-1</formula>
    </cfRule>
    <cfRule type="cellIs" priority="10"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C1:P28"/>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A1" activeCellId="0" sqref="A1"/>
    </sheetView>
  </sheetViews>
  <sheetFormatPr defaultColWidth="11.2890625" defaultRowHeight="12" zeroHeight="false" outlineLevelRow="3" outlineLevelCol="2"/>
  <cols>
    <col collapsed="false" customWidth="false" hidden="false" outlineLevel="0" max="1" min="1" style="1" width="11.29"/>
    <col collapsed="false" customWidth="true" hidden="true" outlineLevel="2" max="2" min="2" style="1" width="0.86"/>
    <col collapsed="false" customWidth="true" hidden="true" outlineLevel="2" max="3" min="3" style="1" width="35.57"/>
    <col collapsed="false" customWidth="true" hidden="false" outlineLevel="0" max="4" min="4" style="1" width="35.57"/>
    <col collapsed="false" customWidth="true" hidden="true" outlineLevel="1" max="5" min="5" style="1" width="10.42"/>
    <col collapsed="false" customWidth="true" hidden="false" outlineLevel="0" max="8" min="6" style="1" width="10.42"/>
    <col collapsed="false" customWidth="true" hidden="true" outlineLevel="1" max="12" min="9" style="1" width="10.42"/>
    <col collapsed="false" customWidth="true" hidden="true" outlineLevel="2" max="13" min="13" style="1" width="0.86"/>
    <col collapsed="true" customWidth="false" hidden="false" outlineLevel="0" max="14" min="14" style="1" width="11.29"/>
    <col collapsed="false" customWidth="false" hidden="false" outlineLevel="0" max="16384" min="15" style="1" width="11.29"/>
  </cols>
  <sheetData>
    <row r="1" customFormat="false" ht="12" hidden="true" customHeight="true" outlineLevel="3" collapsed="false"/>
    <row r="3" customFormat="false" ht="11.25" hidden="false" customHeight="true" outlineLevel="0" collapsed="false"/>
    <row r="4" customFormat="false" ht="11.25" hidden="true" customHeight="true" outlineLevel="3" collapsed="false">
      <c r="C4" s="220" t="str">
        <f aca="false">Cockpit!$C$4</f>
        <v>Template</v>
      </c>
      <c r="D4" s="221"/>
      <c r="E4" s="225" t="n">
        <f aca="false">Cockpit!D39</f>
        <v>44926</v>
      </c>
      <c r="F4" s="225" t="n">
        <f aca="false">Cockpit!E39</f>
        <v>45291</v>
      </c>
      <c r="G4" s="225" t="n">
        <f aca="false">Cockpit!F39</f>
        <v>45657</v>
      </c>
      <c r="H4" s="225" t="n">
        <f aca="false">Cockpit!G39</f>
        <v>45808</v>
      </c>
      <c r="I4" s="225" t="n">
        <f aca="false">Cockpit!H39</f>
        <v>46022</v>
      </c>
      <c r="J4" s="225" t="n">
        <f aca="false">Cockpit!I39</f>
        <v>46387</v>
      </c>
      <c r="K4" s="225" t="n">
        <f aca="false">Cockpit!J39</f>
        <v>46752</v>
      </c>
      <c r="L4" s="225" t="n">
        <f aca="false">Cockpit!K39</f>
        <v>47118</v>
      </c>
    </row>
    <row r="5" customFormat="false" ht="11.25" hidden="true" customHeight="true" outlineLevel="3" collapsed="false">
      <c r="C5" s="220" t="str">
        <f aca="false">"in T"&amp;Cockpit!$C$5</f>
        <v>in TEUR</v>
      </c>
      <c r="D5" s="221"/>
      <c r="E5" s="225" t="s">
        <v>21</v>
      </c>
      <c r="F5" s="225" t="s">
        <v>21</v>
      </c>
      <c r="G5" s="225" t="s">
        <v>21</v>
      </c>
      <c r="H5" s="225" t="s">
        <v>21</v>
      </c>
      <c r="I5" s="225" t="str">
        <f aca="false">Cockpit!H40</f>
        <v>Plan</v>
      </c>
      <c r="J5" s="225" t="str">
        <f aca="false">Cockpit!I40</f>
        <v>Plan</v>
      </c>
      <c r="K5" s="225" t="str">
        <f aca="false">Cockpit!J40</f>
        <v>Plan</v>
      </c>
      <c r="L5" s="225" t="str">
        <f aca="false">Cockpit!K40</f>
        <v>Plan</v>
      </c>
    </row>
    <row r="6" customFormat="false" ht="11.25" hidden="false" customHeight="true" outlineLevel="0" collapsed="false">
      <c r="C6" s="227"/>
      <c r="D6" s="228" t="str">
        <f aca="false">Cockpit!$C$4</f>
        <v>Template</v>
      </c>
      <c r="E6" s="293" t="n">
        <f aca="false">Cockpit!D39</f>
        <v>44926</v>
      </c>
      <c r="F6" s="293" t="n">
        <f aca="false">Cockpit!E39</f>
        <v>45291</v>
      </c>
      <c r="G6" s="293" t="n">
        <f aca="false">Cockpit!F39</f>
        <v>45657</v>
      </c>
      <c r="H6" s="293" t="n">
        <f aca="false">Cockpit!G39</f>
        <v>45808</v>
      </c>
      <c r="I6" s="293" t="n">
        <f aca="false">Cockpit!H39</f>
        <v>46022</v>
      </c>
      <c r="J6" s="293" t="n">
        <f aca="false">Cockpit!I39</f>
        <v>46387</v>
      </c>
      <c r="K6" s="293" t="n">
        <f aca="false">Cockpit!J39</f>
        <v>46752</v>
      </c>
      <c r="L6" s="293" t="n">
        <f aca="false">Cockpit!K39</f>
        <v>47118</v>
      </c>
    </row>
    <row r="7" customFormat="false" ht="11.25" hidden="false" customHeight="true" outlineLevel="0" collapsed="false">
      <c r="C7" s="227"/>
      <c r="D7" s="228" t="str">
        <f aca="false">"in k"&amp;Cockpit!$C$5</f>
        <v>in kEUR</v>
      </c>
      <c r="E7" s="293" t="str">
        <f aca="false">Cockpit!D40</f>
        <v>IST</v>
      </c>
      <c r="F7" s="293" t="str">
        <f aca="false">Cockpit!E40</f>
        <v>IST</v>
      </c>
      <c r="G7" s="293" t="str">
        <f aca="false">Cockpit!F40</f>
        <v>IST</v>
      </c>
      <c r="H7" s="293" t="str">
        <f aca="false">Cockpit!G40</f>
        <v>IST</v>
      </c>
      <c r="I7" s="293" t="str">
        <f aca="false">Cockpit!H40</f>
        <v>Plan</v>
      </c>
      <c r="J7" s="293" t="str">
        <f aca="false">Cockpit!I40</f>
        <v>Plan</v>
      </c>
      <c r="K7" s="293" t="str">
        <f aca="false">Cockpit!J40</f>
        <v>Plan</v>
      </c>
      <c r="L7" s="293" t="str">
        <f aca="false">Cockpit!K40</f>
        <v>Plan</v>
      </c>
    </row>
    <row r="8" customFormat="false" ht="4.5" hidden="false" customHeight="true" outlineLevel="0" collapsed="false">
      <c r="C8" s="157"/>
      <c r="D8" s="158"/>
      <c r="E8" s="157"/>
      <c r="F8" s="157"/>
      <c r="G8" s="157"/>
      <c r="H8" s="157"/>
      <c r="I8" s="157"/>
      <c r="J8" s="157"/>
      <c r="K8" s="157"/>
      <c r="L8" s="157"/>
    </row>
    <row r="9" customFormat="false" ht="11.25" hidden="false" customHeight="true" outlineLevel="0" collapsed="false">
      <c r="C9" s="337" t="s">
        <v>838</v>
      </c>
      <c r="D9" s="337" t="s">
        <v>839</v>
      </c>
      <c r="E9" s="327"/>
      <c r="F9" s="327"/>
      <c r="G9" s="327"/>
      <c r="H9" s="328"/>
      <c r="I9" s="329"/>
      <c r="J9" s="329"/>
      <c r="K9" s="329"/>
      <c r="L9" s="329"/>
      <c r="N9" s="35" t="s">
        <v>840</v>
      </c>
      <c r="O9" s="35"/>
      <c r="P9" s="35"/>
    </row>
    <row r="10" customFormat="false" ht="11.25" hidden="false" customHeight="true" outlineLevel="0" collapsed="false">
      <c r="C10" s="51" t="s">
        <v>234</v>
      </c>
      <c r="D10" s="51" t="s">
        <v>234</v>
      </c>
      <c r="E10" s="389"/>
      <c r="F10" s="327"/>
      <c r="G10" s="327"/>
      <c r="H10" s="328"/>
      <c r="I10" s="329"/>
      <c r="J10" s="329"/>
      <c r="K10" s="329"/>
      <c r="L10" s="329"/>
    </row>
    <row r="11" customFormat="false" ht="11.25" hidden="false" customHeight="true" outlineLevel="0" collapsed="false">
      <c r="C11" s="51" t="s">
        <v>235</v>
      </c>
      <c r="D11" s="51" t="s">
        <v>235</v>
      </c>
      <c r="E11" s="389"/>
      <c r="F11" s="327"/>
      <c r="G11" s="327"/>
      <c r="H11" s="328"/>
      <c r="I11" s="329"/>
      <c r="J11" s="329"/>
      <c r="K11" s="329"/>
      <c r="L11" s="329"/>
    </row>
    <row r="12" customFormat="false" ht="11.25" hidden="false" customHeight="true" outlineLevel="0" collapsed="false">
      <c r="C12" s="51" t="s">
        <v>236</v>
      </c>
      <c r="D12" s="51" t="s">
        <v>236</v>
      </c>
      <c r="E12" s="389"/>
      <c r="F12" s="327"/>
      <c r="G12" s="327"/>
      <c r="H12" s="328"/>
      <c r="I12" s="329"/>
      <c r="J12" s="329"/>
      <c r="K12" s="329"/>
      <c r="L12" s="329"/>
    </row>
    <row r="13" customFormat="false" ht="11.25" hidden="true" customHeight="true" outlineLevel="1" collapsed="false">
      <c r="C13" s="51" t="s">
        <v>237</v>
      </c>
      <c r="D13" s="51" t="s">
        <v>237</v>
      </c>
      <c r="E13" s="389"/>
      <c r="F13" s="327"/>
      <c r="G13" s="327"/>
      <c r="H13" s="328"/>
      <c r="I13" s="329"/>
      <c r="J13" s="329"/>
      <c r="K13" s="329"/>
      <c r="L13" s="329"/>
    </row>
    <row r="14" customFormat="false" ht="11.25" hidden="true" customHeight="true" outlineLevel="1" collapsed="false">
      <c r="C14" s="51" t="s">
        <v>672</v>
      </c>
      <c r="D14" s="51" t="s">
        <v>672</v>
      </c>
      <c r="E14" s="389"/>
      <c r="F14" s="327"/>
      <c r="G14" s="327"/>
      <c r="H14" s="328"/>
      <c r="I14" s="329"/>
      <c r="J14" s="329"/>
      <c r="K14" s="329"/>
      <c r="L14" s="329"/>
    </row>
    <row r="15" customFormat="false" ht="11.25" hidden="true" customHeight="true" outlineLevel="1" collapsed="false">
      <c r="C15" s="51" t="s">
        <v>673</v>
      </c>
      <c r="D15" s="51" t="s">
        <v>673</v>
      </c>
      <c r="E15" s="389"/>
      <c r="F15" s="327"/>
      <c r="G15" s="327"/>
      <c r="H15" s="328"/>
      <c r="I15" s="329"/>
      <c r="J15" s="329"/>
      <c r="K15" s="329"/>
      <c r="L15" s="329"/>
    </row>
    <row r="16" customFormat="false" ht="4.5" hidden="false" customHeight="true" outlineLevel="0" collapsed="false">
      <c r="C16" s="51"/>
      <c r="D16" s="51"/>
      <c r="E16" s="327"/>
      <c r="F16" s="327"/>
      <c r="G16" s="327"/>
      <c r="H16" s="328"/>
      <c r="I16" s="329"/>
      <c r="J16" s="329"/>
      <c r="K16" s="329"/>
      <c r="L16" s="329"/>
    </row>
    <row r="17" customFormat="false" ht="11.25" hidden="false" customHeight="true" outlineLevel="0" collapsed="false">
      <c r="C17" s="132" t="s">
        <v>841</v>
      </c>
      <c r="D17" s="132" t="s">
        <v>842</v>
      </c>
      <c r="E17" s="390" t="n">
        <f aca="false">E19-SUM(E10:E15)</f>
        <v>0</v>
      </c>
      <c r="F17" s="390" t="n">
        <f aca="false">F19-SUM(F10:F15)</f>
        <v>0</v>
      </c>
      <c r="G17" s="390" t="n">
        <f aca="false">G19-SUM(G10:G15)</f>
        <v>0</v>
      </c>
      <c r="H17" s="391" t="n">
        <f aca="false">H19-SUM(H10:H15)</f>
        <v>0</v>
      </c>
      <c r="I17" s="392" t="n">
        <f aca="false">I19-SUM(I10:I15)</f>
        <v>0</v>
      </c>
      <c r="J17" s="392" t="n">
        <f aca="false">J19-SUM(J10:J15)</f>
        <v>0</v>
      </c>
      <c r="K17" s="392" t="n">
        <f aca="false">K19-SUM(K10:K15)</f>
        <v>0</v>
      </c>
      <c r="L17" s="392" t="n">
        <f aca="false">L19-SUM(L10:L15)</f>
        <v>0</v>
      </c>
    </row>
    <row r="18" customFormat="false" ht="4.5" hidden="false" customHeight="true" outlineLevel="0" collapsed="false">
      <c r="C18" s="51"/>
      <c r="D18" s="51"/>
      <c r="E18" s="327"/>
      <c r="F18" s="327"/>
      <c r="G18" s="327"/>
      <c r="H18" s="328"/>
      <c r="I18" s="329"/>
      <c r="J18" s="329"/>
      <c r="K18" s="329"/>
      <c r="L18" s="329"/>
    </row>
    <row r="19" customFormat="false" ht="11.25" hidden="false" customHeight="true" outlineLevel="0" collapsed="false">
      <c r="C19" s="181" t="s">
        <v>843</v>
      </c>
      <c r="D19" s="181" t="s">
        <v>844</v>
      </c>
      <c r="E19" s="393"/>
      <c r="F19" s="175" t="n">
        <f aca="false">'Lead CF'!G45</f>
        <v>0</v>
      </c>
      <c r="G19" s="175" t="n">
        <f aca="false">'Lead CF'!H45</f>
        <v>0</v>
      </c>
      <c r="H19" s="176" t="n">
        <f aca="false">'Lead CF'!I45</f>
        <v>0</v>
      </c>
      <c r="I19" s="177" t="n">
        <f aca="false">'Lead CF'!J45</f>
        <v>0</v>
      </c>
      <c r="J19" s="177" t="n">
        <f aca="false">'Lead CF'!K45</f>
        <v>0</v>
      </c>
      <c r="K19" s="177" t="n">
        <f aca="false">'Lead CF'!L45</f>
        <v>0</v>
      </c>
      <c r="L19" s="177" t="n">
        <f aca="false">'Lead CF'!M45</f>
        <v>0</v>
      </c>
    </row>
    <row r="20" customFormat="false" ht="4.5" hidden="false" customHeight="true" outlineLevel="0" collapsed="false">
      <c r="C20" s="51"/>
      <c r="D20" s="51"/>
      <c r="E20" s="327"/>
      <c r="F20" s="327"/>
      <c r="G20" s="327"/>
      <c r="H20" s="328"/>
      <c r="I20" s="329"/>
      <c r="J20" s="329"/>
      <c r="K20" s="329"/>
      <c r="L20" s="329"/>
    </row>
    <row r="21" customFormat="false" ht="11.25" hidden="false" customHeight="true" outlineLevel="0" collapsed="false">
      <c r="C21" s="394" t="s">
        <v>845</v>
      </c>
      <c r="D21" s="394" t="s">
        <v>846</v>
      </c>
      <c r="E21" s="395"/>
      <c r="F21" s="395"/>
      <c r="G21" s="395"/>
      <c r="H21" s="396"/>
      <c r="I21" s="329"/>
      <c r="J21" s="329"/>
      <c r="K21" s="329"/>
      <c r="L21" s="329"/>
      <c r="N21" s="35" t="s">
        <v>847</v>
      </c>
      <c r="O21" s="35"/>
    </row>
    <row r="22" customFormat="false" ht="11.25" hidden="false" customHeight="true" outlineLevel="0" collapsed="false">
      <c r="C22" s="394" t="s">
        <v>848</v>
      </c>
      <c r="D22" s="394" t="s">
        <v>849</v>
      </c>
      <c r="E22" s="395"/>
      <c r="F22" s="395"/>
      <c r="G22" s="395"/>
      <c r="H22" s="396"/>
      <c r="I22" s="329"/>
      <c r="J22" s="329"/>
      <c r="K22" s="329"/>
      <c r="L22" s="329"/>
    </row>
    <row r="23" customFormat="false" ht="4.5" hidden="false" customHeight="true" outlineLevel="0" collapsed="false">
      <c r="C23" s="51"/>
      <c r="D23" s="51"/>
      <c r="E23" s="327"/>
      <c r="F23" s="327"/>
      <c r="G23" s="327"/>
      <c r="H23" s="328"/>
      <c r="I23" s="329"/>
      <c r="J23" s="329"/>
      <c r="K23" s="329"/>
      <c r="L23" s="329"/>
    </row>
    <row r="24" customFormat="false" ht="11.25" hidden="false" customHeight="true" outlineLevel="0" collapsed="false">
      <c r="C24" s="54" t="str">
        <f aca="false">"Quelle: "&amp;Cockpit!$C$7</f>
        <v>Quelle: Datenraum/ eigene Analysen</v>
      </c>
      <c r="D24" s="54" t="str">
        <f aca="false">"Source: "&amp;Cockpit!$C$8</f>
        <v>Source: Virtual Data Room/ Company Information</v>
      </c>
      <c r="E24" s="338"/>
      <c r="F24" s="338"/>
      <c r="G24" s="338"/>
      <c r="H24" s="339"/>
      <c r="I24" s="340"/>
      <c r="J24" s="340"/>
      <c r="K24" s="340"/>
      <c r="L24" s="340"/>
    </row>
    <row r="25" customFormat="false" ht="11.25" hidden="false" customHeight="true" outlineLevel="0" collapsed="false"/>
    <row r="26" customFormat="false" ht="11.25" hidden="false" customHeight="true" outlineLevel="0" collapsed="false"/>
    <row r="27" customFormat="false" ht="12" hidden="false" customHeight="true" outlineLevel="0" collapsed="false">
      <c r="C27" s="151" t="s">
        <v>850</v>
      </c>
      <c r="D27" s="151" t="s">
        <v>850</v>
      </c>
      <c r="E27" s="152" t="n">
        <f aca="false">'Lead CF'!E45</f>
        <v>0</v>
      </c>
      <c r="F27" s="152" t="n">
        <f aca="false">'Lead CF'!G45</f>
        <v>0</v>
      </c>
      <c r="G27" s="152" t="n">
        <f aca="false">'Lead CF'!H45</f>
        <v>0</v>
      </c>
      <c r="H27" s="152" t="n">
        <f aca="false">'Lead CF'!I45</f>
        <v>0</v>
      </c>
      <c r="I27" s="152" t="n">
        <f aca="false">'Lead CF'!J45</f>
        <v>0</v>
      </c>
      <c r="J27" s="152" t="n">
        <f aca="false">'Lead CF'!K45</f>
        <v>0</v>
      </c>
      <c r="K27" s="152" t="n">
        <f aca="false">'Lead CF'!L45</f>
        <v>0</v>
      </c>
      <c r="L27" s="152" t="n">
        <f aca="false">'Lead CF'!M45</f>
        <v>0</v>
      </c>
    </row>
    <row r="28" customFormat="false" ht="12" hidden="false" customHeight="true" outlineLevel="0" collapsed="false">
      <c r="C28" s="153" t="s">
        <v>245</v>
      </c>
      <c r="D28" s="154" t="s">
        <v>245</v>
      </c>
      <c r="E28" s="218" t="n">
        <f aca="false">E27-E19</f>
        <v>0</v>
      </c>
      <c r="F28" s="218" t="n">
        <f aca="false">F27-F19</f>
        <v>0</v>
      </c>
      <c r="G28" s="218" t="n">
        <f aca="false">G27-G19</f>
        <v>0</v>
      </c>
      <c r="H28" s="218" t="n">
        <f aca="false">H27-H19</f>
        <v>0</v>
      </c>
      <c r="I28" s="218" t="n">
        <f aca="false">I27-I19</f>
        <v>0</v>
      </c>
      <c r="J28" s="218" t="n">
        <f aca="false">J27-J19</f>
        <v>0</v>
      </c>
      <c r="K28" s="218" t="n">
        <f aca="false">K27-K19</f>
        <v>0</v>
      </c>
      <c r="L28" s="218" t="n">
        <f aca="false">L27-L19</f>
        <v>0</v>
      </c>
    </row>
  </sheetData>
  <conditionalFormatting sqref="E28:L28">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6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C1:I5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A1" activeCellId="0" sqref="A1"/>
    </sheetView>
  </sheetViews>
  <sheetFormatPr defaultColWidth="11.2890625" defaultRowHeight="12" zeroHeight="false" outlineLevelRow="3" outlineLevelCol="2"/>
  <cols>
    <col collapsed="false" customWidth="false" hidden="false" outlineLevel="0" max="1" min="1" style="1" width="11.29"/>
    <col collapsed="false" customWidth="true" hidden="true" outlineLevel="2" max="2" min="2" style="1" width="0.86"/>
    <col collapsed="false" customWidth="true" hidden="true" outlineLevel="2" max="3" min="3" style="1" width="35.57"/>
    <col collapsed="false" customWidth="true" hidden="false" outlineLevel="0" max="4" min="4" style="1" width="35.57"/>
    <col collapsed="false" customWidth="true" hidden="false" outlineLevel="0" max="9" min="5" style="1" width="10.42"/>
    <col collapsed="false" customWidth="true" hidden="true" outlineLevel="2" max="10" min="10" style="1" width="0.86"/>
    <col collapsed="false" customWidth="false" hidden="false" outlineLevel="0" max="16384" min="11" style="1" width="11.29"/>
  </cols>
  <sheetData>
    <row r="1" customFormat="false" ht="12" hidden="true" customHeight="true" outlineLevel="3" collapsed="false"/>
    <row r="4" customFormat="false" ht="11.25" hidden="true" customHeight="true" outlineLevel="3" collapsed="false">
      <c r="C4" s="220" t="str">
        <f aca="false">Cockpit!$C$4</f>
        <v>Template</v>
      </c>
      <c r="D4" s="221"/>
      <c r="E4" s="221"/>
      <c r="F4" s="397" t="n">
        <f aca="false">Cockpit!D39</f>
        <v>44926</v>
      </c>
      <c r="G4" s="397" t="n">
        <f aca="false">Cockpit!E39</f>
        <v>45291</v>
      </c>
      <c r="H4" s="397" t="n">
        <f aca="false">Cockpit!F39</f>
        <v>45657</v>
      </c>
      <c r="I4" s="397" t="n">
        <f aca="false">Cockpit!G39</f>
        <v>45808</v>
      </c>
    </row>
    <row r="5" customFormat="false" ht="11.25" hidden="true" customHeight="true" outlineLevel="3" collapsed="false">
      <c r="C5" s="220" t="str">
        <f aca="false">"in T"&amp;Cockpit!$C$5</f>
        <v>in TEUR</v>
      </c>
      <c r="D5" s="221"/>
      <c r="E5" s="221"/>
      <c r="F5" s="225" t="s">
        <v>21</v>
      </c>
      <c r="G5" s="225" t="s">
        <v>21</v>
      </c>
      <c r="H5" s="225" t="s">
        <v>21</v>
      </c>
      <c r="I5" s="225" t="s">
        <v>21</v>
      </c>
    </row>
    <row r="6" customFormat="false" ht="11.25" hidden="false" customHeight="true" outlineLevel="0" collapsed="false">
      <c r="C6" s="227"/>
      <c r="D6" s="228" t="str">
        <f aca="false">Cockpit!$C$4</f>
        <v>Template</v>
      </c>
      <c r="E6" s="228"/>
      <c r="F6" s="398" t="n">
        <f aca="false">Cockpit!D39</f>
        <v>44926</v>
      </c>
      <c r="G6" s="398" t="n">
        <f aca="false">Cockpit!E39</f>
        <v>45291</v>
      </c>
      <c r="H6" s="398" t="n">
        <f aca="false">Cockpit!F39</f>
        <v>45657</v>
      </c>
      <c r="I6" s="398" t="n">
        <f aca="false">Cockpit!G39</f>
        <v>45808</v>
      </c>
    </row>
    <row r="7" customFormat="false" ht="11.25" hidden="false" customHeight="true" outlineLevel="0" collapsed="false">
      <c r="C7" s="227"/>
      <c r="D7" s="228" t="str">
        <f aca="false">"in k"&amp;Cockpit!$C$5</f>
        <v>in kEUR</v>
      </c>
      <c r="E7" s="228"/>
      <c r="F7" s="293" t="str">
        <f aca="false">Cockpit!D40</f>
        <v>IST</v>
      </c>
      <c r="G7" s="293" t="str">
        <f aca="false">Cockpit!E40</f>
        <v>IST</v>
      </c>
      <c r="H7" s="293" t="str">
        <f aca="false">Cockpit!F40</f>
        <v>IST</v>
      </c>
      <c r="I7" s="293" t="str">
        <f aca="false">Cockpit!G40</f>
        <v>IST</v>
      </c>
    </row>
    <row r="8" customFormat="false" ht="4.5" hidden="false" customHeight="true" outlineLevel="0" collapsed="false">
      <c r="C8" s="51"/>
      <c r="D8" s="51"/>
      <c r="E8" s="51"/>
      <c r="F8" s="159"/>
      <c r="G8" s="159"/>
      <c r="H8" s="159"/>
      <c r="I8" s="51"/>
    </row>
    <row r="9" customFormat="false" ht="11.25" hidden="false" customHeight="true" outlineLevel="0" collapsed="false">
      <c r="C9" s="51" t="s">
        <v>851</v>
      </c>
      <c r="D9" s="51" t="s">
        <v>852</v>
      </c>
      <c r="E9" s="51"/>
      <c r="F9" s="159"/>
      <c r="G9" s="159"/>
      <c r="H9" s="159"/>
      <c r="I9" s="160"/>
    </row>
    <row r="10" customFormat="false" ht="11.25" hidden="false" customHeight="true" outlineLevel="0" collapsed="false">
      <c r="C10" s="51" t="s">
        <v>853</v>
      </c>
      <c r="D10" s="51" t="s">
        <v>854</v>
      </c>
      <c r="E10" s="51"/>
      <c r="F10" s="159"/>
      <c r="G10" s="159"/>
      <c r="H10" s="159"/>
      <c r="I10" s="160"/>
    </row>
    <row r="11" customFormat="false" ht="11.25" hidden="false" customHeight="true" outlineLevel="0" collapsed="false">
      <c r="C11" s="51" t="s">
        <v>855</v>
      </c>
      <c r="D11" s="51" t="s">
        <v>856</v>
      </c>
      <c r="E11" s="51"/>
      <c r="F11" s="159"/>
      <c r="G11" s="159"/>
      <c r="H11" s="159"/>
      <c r="I11" s="160"/>
    </row>
    <row r="12" customFormat="false" ht="11.25" hidden="true" customHeight="true" outlineLevel="2" collapsed="false">
      <c r="C12" s="51" t="s">
        <v>857</v>
      </c>
      <c r="D12" s="51" t="s">
        <v>858</v>
      </c>
      <c r="E12" s="51"/>
      <c r="F12" s="159"/>
      <c r="G12" s="159"/>
      <c r="H12" s="159"/>
      <c r="I12" s="160"/>
    </row>
    <row r="13" customFormat="false" ht="11.25" hidden="true" customHeight="true" outlineLevel="2" collapsed="false">
      <c r="C13" s="51" t="s">
        <v>859</v>
      </c>
      <c r="D13" s="51" t="s">
        <v>860</v>
      </c>
      <c r="E13" s="51"/>
      <c r="F13" s="159"/>
      <c r="G13" s="159"/>
      <c r="H13" s="159"/>
      <c r="I13" s="160"/>
    </row>
    <row r="14" customFormat="false" ht="11.25" hidden="true" customHeight="true" outlineLevel="2" collapsed="false">
      <c r="C14" s="51" t="s">
        <v>861</v>
      </c>
      <c r="D14" s="51" t="s">
        <v>862</v>
      </c>
      <c r="E14" s="51"/>
      <c r="F14" s="159"/>
      <c r="G14" s="159"/>
      <c r="H14" s="159"/>
      <c r="I14" s="160"/>
    </row>
    <row r="15" customFormat="false" ht="11.25" hidden="true" customHeight="true" outlineLevel="2" collapsed="false">
      <c r="C15" s="51" t="s">
        <v>863</v>
      </c>
      <c r="D15" s="51" t="s">
        <v>864</v>
      </c>
      <c r="E15" s="51"/>
      <c r="F15" s="159"/>
      <c r="G15" s="159"/>
      <c r="H15" s="159"/>
      <c r="I15" s="160"/>
    </row>
    <row r="16" customFormat="false" ht="11.25" hidden="true" customHeight="true" outlineLevel="2" collapsed="false">
      <c r="C16" s="51" t="s">
        <v>865</v>
      </c>
      <c r="D16" s="51" t="s">
        <v>866</v>
      </c>
      <c r="E16" s="51"/>
      <c r="F16" s="159"/>
      <c r="G16" s="159"/>
      <c r="H16" s="159"/>
      <c r="I16" s="160"/>
    </row>
    <row r="17" customFormat="false" ht="11.25" hidden="true" customHeight="true" outlineLevel="2" collapsed="false">
      <c r="C17" s="51" t="s">
        <v>867</v>
      </c>
      <c r="D17" s="51" t="s">
        <v>868</v>
      </c>
      <c r="E17" s="51"/>
      <c r="F17" s="159"/>
      <c r="G17" s="159"/>
      <c r="H17" s="159"/>
      <c r="I17" s="160"/>
    </row>
    <row r="18" customFormat="false" ht="11.25" hidden="true" customHeight="true" outlineLevel="2" collapsed="false">
      <c r="C18" s="54" t="s">
        <v>869</v>
      </c>
      <c r="D18" s="54" t="s">
        <v>870</v>
      </c>
      <c r="E18" s="54"/>
      <c r="F18" s="162"/>
      <c r="G18" s="162"/>
      <c r="H18" s="162"/>
      <c r="I18" s="163"/>
    </row>
    <row r="19" customFormat="false" ht="11.25" hidden="false" customHeight="true" outlineLevel="0" collapsed="false">
      <c r="C19" s="296" t="s">
        <v>871</v>
      </c>
      <c r="D19" s="296" t="s">
        <v>872</v>
      </c>
      <c r="E19" s="296"/>
      <c r="F19" s="165" t="n">
        <f aca="false">SUM(F9:F18)</f>
        <v>0</v>
      </c>
      <c r="G19" s="165" t="n">
        <f aca="false">SUM(G9:G18)</f>
        <v>0</v>
      </c>
      <c r="H19" s="165" t="n">
        <f aca="false">SUM(H9:H18)</f>
        <v>0</v>
      </c>
      <c r="I19" s="166" t="n">
        <f aca="false">SUM(I9:I18)</f>
        <v>0</v>
      </c>
    </row>
    <row r="20" customFormat="false" ht="11.25" hidden="false" customHeight="true" outlineLevel="0" collapsed="false">
      <c r="C20" s="51" t="s">
        <v>873</v>
      </c>
      <c r="D20" s="51" t="s">
        <v>874</v>
      </c>
      <c r="E20" s="51"/>
      <c r="F20" s="159"/>
      <c r="G20" s="159"/>
      <c r="H20" s="159"/>
      <c r="I20" s="160"/>
    </row>
    <row r="21" customFormat="false" ht="11.25" hidden="false" customHeight="true" outlineLevel="0" collapsed="false">
      <c r="C21" s="54" t="s">
        <v>875</v>
      </c>
      <c r="D21" s="54" t="s">
        <v>876</v>
      </c>
      <c r="E21" s="54"/>
      <c r="F21" s="162"/>
      <c r="G21" s="162"/>
      <c r="H21" s="162"/>
      <c r="I21" s="163"/>
    </row>
    <row r="22" customFormat="false" ht="11.25" hidden="false" customHeight="true" outlineLevel="0" collapsed="false">
      <c r="C22" s="171" t="str">
        <f aca="false">'Lead NA'!C40</f>
        <v>Vorräte</v>
      </c>
      <c r="D22" s="171" t="str">
        <f aca="false">'Lead NA'!D40</f>
        <v>Inventories</v>
      </c>
      <c r="E22" s="171"/>
      <c r="F22" s="210" t="n">
        <f aca="false">SUM(F19:F21)</f>
        <v>0</v>
      </c>
      <c r="G22" s="210" t="n">
        <f aca="false">SUM(G19:G21)</f>
        <v>0</v>
      </c>
      <c r="H22" s="210" t="n">
        <f aca="false">SUM(H19:H21)</f>
        <v>0</v>
      </c>
      <c r="I22" s="313" t="n">
        <f aca="false">SUM(I19:I21)</f>
        <v>0</v>
      </c>
    </row>
    <row r="23" customFormat="false" ht="4.5" hidden="false" customHeight="true" outlineLevel="0" collapsed="false">
      <c r="C23" s="51"/>
      <c r="D23" s="51"/>
      <c r="E23" s="51"/>
      <c r="F23" s="159"/>
      <c r="G23" s="159"/>
      <c r="H23" s="159"/>
      <c r="I23" s="160"/>
    </row>
    <row r="24" customFormat="false" ht="11.25" hidden="true" customHeight="true" outlineLevel="2" collapsed="false">
      <c r="C24" s="132" t="s">
        <v>711</v>
      </c>
      <c r="D24" s="132" t="s">
        <v>712</v>
      </c>
      <c r="E24" s="132"/>
      <c r="F24" s="159"/>
      <c r="G24" s="159"/>
      <c r="H24" s="159"/>
      <c r="I24" s="160"/>
    </row>
    <row r="25" customFormat="false" ht="11.25" hidden="true" customHeight="true" outlineLevel="2" collapsed="false">
      <c r="C25" s="51" t="s">
        <v>234</v>
      </c>
      <c r="D25" s="51" t="s">
        <v>234</v>
      </c>
      <c r="E25" s="51"/>
      <c r="F25" s="159"/>
      <c r="G25" s="159"/>
      <c r="H25" s="159"/>
      <c r="I25" s="160"/>
    </row>
    <row r="26" customFormat="false" ht="11.25" hidden="true" customHeight="true" outlineLevel="2" collapsed="false">
      <c r="C26" s="51" t="s">
        <v>235</v>
      </c>
      <c r="D26" s="51" t="s">
        <v>235</v>
      </c>
      <c r="E26" s="51"/>
      <c r="F26" s="159"/>
      <c r="G26" s="159"/>
      <c r="H26" s="159"/>
      <c r="I26" s="160"/>
    </row>
    <row r="27" customFormat="false" ht="11.25" hidden="true" customHeight="true" outlineLevel="2" collapsed="false">
      <c r="C27" s="54" t="s">
        <v>236</v>
      </c>
      <c r="D27" s="54" t="s">
        <v>236</v>
      </c>
      <c r="E27" s="54"/>
      <c r="F27" s="162"/>
      <c r="G27" s="162"/>
      <c r="H27" s="162"/>
      <c r="I27" s="163"/>
    </row>
    <row r="28" customFormat="false" ht="11.25" hidden="true" customHeight="true" outlineLevel="1" collapsed="true">
      <c r="C28" s="181" t="str">
        <f aca="false">C24</f>
        <v>Normalisierungsanpassungen BT</v>
      </c>
      <c r="D28" s="181" t="str">
        <f aca="false">D24</f>
        <v>BT normalization adjustments</v>
      </c>
      <c r="E28" s="181"/>
      <c r="F28" s="175" t="n">
        <f aca="false">+SUM(F25:F27)</f>
        <v>0</v>
      </c>
      <c r="G28" s="175" t="n">
        <f aca="false">+SUM(G25:G27)</f>
        <v>0</v>
      </c>
      <c r="H28" s="175" t="n">
        <f aca="false">+SUM(H25:H27)</f>
        <v>0</v>
      </c>
      <c r="I28" s="183" t="n">
        <f aca="false">+SUM(I25:I27)</f>
        <v>0</v>
      </c>
    </row>
    <row r="29" customFormat="false" ht="11.25" hidden="true" customHeight="true" outlineLevel="1" collapsed="false">
      <c r="C29" s="171" t="s">
        <v>877</v>
      </c>
      <c r="D29" s="171" t="s">
        <v>878</v>
      </c>
      <c r="E29" s="171"/>
      <c r="F29" s="210" t="n">
        <f aca="false">+F22+F28</f>
        <v>0</v>
      </c>
      <c r="G29" s="210" t="n">
        <f aca="false">+G22+G28</f>
        <v>0</v>
      </c>
      <c r="H29" s="210" t="n">
        <f aca="false">+H22+H28</f>
        <v>0</v>
      </c>
      <c r="I29" s="313" t="n">
        <f aca="false">+I22+I28</f>
        <v>0</v>
      </c>
    </row>
    <row r="30" customFormat="false" ht="4.5" hidden="true" customHeight="true" outlineLevel="1" collapsed="false">
      <c r="C30" s="132"/>
      <c r="D30" s="132"/>
      <c r="E30" s="132"/>
      <c r="F30" s="211"/>
      <c r="G30" s="211"/>
      <c r="H30" s="211"/>
      <c r="I30" s="317"/>
    </row>
    <row r="31" customFormat="false" ht="11.25" hidden="false" customHeight="true" outlineLevel="0" collapsed="false">
      <c r="C31" s="132" t="s">
        <v>879</v>
      </c>
      <c r="D31" s="132" t="s">
        <v>880</v>
      </c>
      <c r="E31" s="132"/>
      <c r="F31" s="211"/>
      <c r="G31" s="211"/>
      <c r="H31" s="211"/>
      <c r="I31" s="317"/>
    </row>
    <row r="32" customFormat="false" ht="11.25" hidden="false" customHeight="true" outlineLevel="0" collapsed="false">
      <c r="C32" s="51" t="str">
        <f aca="false">C9</f>
        <v>Produkt 1</v>
      </c>
      <c r="D32" s="51" t="str">
        <f aca="false">D9</f>
        <v>Product 1</v>
      </c>
      <c r="E32" s="51"/>
      <c r="F32" s="159" t="str">
        <f aca="false">IFERROR(F9/F$22,"n/a")</f>
        <v>n/a</v>
      </c>
      <c r="G32" s="159" t="str">
        <f aca="false">IFERROR(G9/G$22,"n/a")</f>
        <v>n/a</v>
      </c>
      <c r="H32" s="159" t="str">
        <f aca="false">IFERROR(H9/H$22,"n/a")</f>
        <v>n/a</v>
      </c>
      <c r="I32" s="160" t="str">
        <f aca="false">IFERROR(I9/I$22,"n/a")</f>
        <v>n/a</v>
      </c>
    </row>
    <row r="33" customFormat="false" ht="11.25" hidden="false" customHeight="true" outlineLevel="0" collapsed="false">
      <c r="C33" s="51" t="str">
        <f aca="false">C10</f>
        <v>Produkt 2</v>
      </c>
      <c r="D33" s="51" t="str">
        <f aca="false">D10</f>
        <v>Product 2</v>
      </c>
      <c r="E33" s="51"/>
      <c r="F33" s="159" t="str">
        <f aca="false">IFERROR(F10/F$22,"n/a")</f>
        <v>n/a</v>
      </c>
      <c r="G33" s="159" t="str">
        <f aca="false">IFERROR(G10/G$22,"n/a")</f>
        <v>n/a</v>
      </c>
      <c r="H33" s="159" t="str">
        <f aca="false">IFERROR(H10/H$22,"n/a")</f>
        <v>n/a</v>
      </c>
      <c r="I33" s="160" t="str">
        <f aca="false">IFERROR(I10/I$22,"n/a")</f>
        <v>n/a</v>
      </c>
    </row>
    <row r="34" customFormat="false" ht="11.25" hidden="false" customHeight="true" outlineLevel="0" collapsed="false">
      <c r="C34" s="51" t="str">
        <f aca="false">C11</f>
        <v>Produkt 3</v>
      </c>
      <c r="D34" s="51" t="str">
        <f aca="false">D11</f>
        <v>Product 3</v>
      </c>
      <c r="E34" s="51"/>
      <c r="F34" s="159" t="str">
        <f aca="false">IFERROR(F11/F$22,"n/a")</f>
        <v>n/a</v>
      </c>
      <c r="G34" s="159" t="str">
        <f aca="false">IFERROR(G11/G$22,"n/a")</f>
        <v>n/a</v>
      </c>
      <c r="H34" s="159" t="str">
        <f aca="false">IFERROR(H11/H$22,"n/a")</f>
        <v>n/a</v>
      </c>
      <c r="I34" s="160" t="str">
        <f aca="false">IFERROR(I11/I$22,"n/a")</f>
        <v>n/a</v>
      </c>
    </row>
    <row r="35" customFormat="false" ht="11.25" hidden="true" customHeight="true" outlineLevel="2" collapsed="false">
      <c r="C35" s="51" t="str">
        <f aca="false">C12</f>
        <v>Produkt 4</v>
      </c>
      <c r="D35" s="51" t="str">
        <f aca="false">D12</f>
        <v>Product 4</v>
      </c>
      <c r="E35" s="51"/>
      <c r="F35" s="159" t="str">
        <f aca="false">IFERROR(F12/F$22,"n/a")</f>
        <v>n/a</v>
      </c>
      <c r="G35" s="159" t="str">
        <f aca="false">IFERROR(G12/G$22,"n/a")</f>
        <v>n/a</v>
      </c>
      <c r="H35" s="159" t="str">
        <f aca="false">IFERROR(H12/H$22,"n/a")</f>
        <v>n/a</v>
      </c>
      <c r="I35" s="160" t="str">
        <f aca="false">IFERROR(I12/I$22,"n/a")</f>
        <v>n/a</v>
      </c>
    </row>
    <row r="36" customFormat="false" ht="11.25" hidden="true" customHeight="true" outlineLevel="2" collapsed="false">
      <c r="C36" s="51" t="str">
        <f aca="false">C13</f>
        <v>Produkt 5</v>
      </c>
      <c r="D36" s="51" t="str">
        <f aca="false">D13</f>
        <v>Product 5</v>
      </c>
      <c r="E36" s="51"/>
      <c r="F36" s="159" t="str">
        <f aca="false">IFERROR(F13/F$22,"n/a")</f>
        <v>n/a</v>
      </c>
      <c r="G36" s="159" t="str">
        <f aca="false">IFERROR(G13/G$22,"n/a")</f>
        <v>n/a</v>
      </c>
      <c r="H36" s="159" t="str">
        <f aca="false">IFERROR(H13/H$22,"n/a")</f>
        <v>n/a</v>
      </c>
      <c r="I36" s="160" t="str">
        <f aca="false">IFERROR(I13/I$22,"n/a")</f>
        <v>n/a</v>
      </c>
    </row>
    <row r="37" customFormat="false" ht="11.25" hidden="true" customHeight="true" outlineLevel="2" collapsed="false">
      <c r="C37" s="51" t="str">
        <f aca="false">C14</f>
        <v>Produkt 6</v>
      </c>
      <c r="D37" s="51" t="str">
        <f aca="false">D14</f>
        <v>Product 6</v>
      </c>
      <c r="E37" s="51"/>
      <c r="F37" s="159" t="str">
        <f aca="false">IFERROR(F14/F$22,"n/a")</f>
        <v>n/a</v>
      </c>
      <c r="G37" s="159" t="str">
        <f aca="false">IFERROR(G14/G$22,"n/a")</f>
        <v>n/a</v>
      </c>
      <c r="H37" s="159" t="str">
        <f aca="false">IFERROR(H14/H$22,"n/a")</f>
        <v>n/a</v>
      </c>
      <c r="I37" s="160" t="str">
        <f aca="false">IFERROR(I14/I$22,"n/a")</f>
        <v>n/a</v>
      </c>
    </row>
    <row r="38" customFormat="false" ht="11.25" hidden="true" customHeight="true" outlineLevel="2" collapsed="false">
      <c r="C38" s="51" t="str">
        <f aca="false">C15</f>
        <v>Produkt 7</v>
      </c>
      <c r="D38" s="51" t="str">
        <f aca="false">D15</f>
        <v>Product 7</v>
      </c>
      <c r="E38" s="51"/>
      <c r="F38" s="159" t="str">
        <f aca="false">IFERROR(F15/F$22,"n/a")</f>
        <v>n/a</v>
      </c>
      <c r="G38" s="159" t="str">
        <f aca="false">IFERROR(G15/G$22,"n/a")</f>
        <v>n/a</v>
      </c>
      <c r="H38" s="159" t="str">
        <f aca="false">IFERROR(H15/H$22,"n/a")</f>
        <v>n/a</v>
      </c>
      <c r="I38" s="160" t="str">
        <f aca="false">IFERROR(I15/I$22,"n/a")</f>
        <v>n/a</v>
      </c>
    </row>
    <row r="39" customFormat="false" ht="11.25" hidden="true" customHeight="true" outlineLevel="2" collapsed="false">
      <c r="C39" s="51" t="str">
        <f aca="false">C16</f>
        <v>Produkt 8</v>
      </c>
      <c r="D39" s="51" t="str">
        <f aca="false">D16</f>
        <v>Product 8</v>
      </c>
      <c r="E39" s="51"/>
      <c r="F39" s="159" t="str">
        <f aca="false">IFERROR(F16/F$22,"n/a")</f>
        <v>n/a</v>
      </c>
      <c r="G39" s="159" t="str">
        <f aca="false">IFERROR(G16/G$22,"n/a")</f>
        <v>n/a</v>
      </c>
      <c r="H39" s="159" t="str">
        <f aca="false">IFERROR(H16/H$22,"n/a")</f>
        <v>n/a</v>
      </c>
      <c r="I39" s="160" t="str">
        <f aca="false">IFERROR(I16/I$22,"n/a")</f>
        <v>n/a</v>
      </c>
    </row>
    <row r="40" customFormat="false" ht="11.25" hidden="true" customHeight="true" outlineLevel="2" collapsed="false">
      <c r="C40" s="51" t="str">
        <f aca="false">C17</f>
        <v>Produkt 9</v>
      </c>
      <c r="D40" s="51" t="str">
        <f aca="false">D17</f>
        <v>Product 9</v>
      </c>
      <c r="E40" s="51"/>
      <c r="F40" s="159" t="str">
        <f aca="false">IFERROR(F17/F$22,"n/a")</f>
        <v>n/a</v>
      </c>
      <c r="G40" s="159" t="str">
        <f aca="false">IFERROR(G17/G$22,"n/a")</f>
        <v>n/a</v>
      </c>
      <c r="H40" s="159" t="str">
        <f aca="false">IFERROR(H17/H$22,"n/a")</f>
        <v>n/a</v>
      </c>
      <c r="I40" s="160" t="str">
        <f aca="false">IFERROR(I17/I$22,"n/a")</f>
        <v>n/a</v>
      </c>
    </row>
    <row r="41" customFormat="false" ht="11.25" hidden="true" customHeight="true" outlineLevel="2" collapsed="false">
      <c r="C41" s="51" t="str">
        <f aca="false">C18</f>
        <v>Produkt 10</v>
      </c>
      <c r="D41" s="51" t="str">
        <f aca="false">D18</f>
        <v>Product 10</v>
      </c>
      <c r="E41" s="51"/>
      <c r="F41" s="159" t="str">
        <f aca="false">IFERROR(F18/F$22,"n/a")</f>
        <v>n/a</v>
      </c>
      <c r="G41" s="159" t="str">
        <f aca="false">IFERROR(G18/G$22,"n/a")</f>
        <v>n/a</v>
      </c>
      <c r="H41" s="159" t="str">
        <f aca="false">IFERROR(H18/H$22,"n/a")</f>
        <v>n/a</v>
      </c>
      <c r="I41" s="160" t="str">
        <f aca="false">IFERROR(I18/I$22,"n/a")</f>
        <v>n/a</v>
      </c>
    </row>
    <row r="42" customFormat="false" ht="11.25" hidden="false" customHeight="true" outlineLevel="0" collapsed="false">
      <c r="C42" s="132" t="str">
        <f aca="false">C19</f>
        <v>Top 10 Produkte</v>
      </c>
      <c r="D42" s="132" t="str">
        <f aca="false">D19</f>
        <v>Top 10 Products</v>
      </c>
      <c r="E42" s="132"/>
      <c r="F42" s="168" t="str">
        <f aca="false">IFERROR(F19/F$22,"n/a")</f>
        <v>n/a</v>
      </c>
      <c r="G42" s="168" t="str">
        <f aca="false">IFERROR(G19/G$22,"n/a")</f>
        <v>n/a</v>
      </c>
      <c r="H42" s="168" t="str">
        <f aca="false">IFERROR(H19/H$22,"n/a")</f>
        <v>n/a</v>
      </c>
      <c r="I42" s="169" t="str">
        <f aca="false">IFERROR(I19/I$22,"n/a")</f>
        <v>n/a</v>
      </c>
    </row>
    <row r="43" customFormat="false" ht="11.25" hidden="false" customHeight="true" outlineLevel="0" collapsed="false">
      <c r="C43" s="51" t="str">
        <f aca="false">C20</f>
        <v>Andere Produkte</v>
      </c>
      <c r="D43" s="51" t="str">
        <f aca="false">D20</f>
        <v>Other Products</v>
      </c>
      <c r="E43" s="51"/>
      <c r="F43" s="159" t="str">
        <f aca="false">IFERROR(F20/F$22,"n/a")</f>
        <v>n/a</v>
      </c>
      <c r="G43" s="159" t="str">
        <f aca="false">IFERROR(G20/G$22,"n/a")</f>
        <v>n/a</v>
      </c>
      <c r="H43" s="159" t="str">
        <f aca="false">IFERROR(H20/H$22,"n/a")</f>
        <v>n/a</v>
      </c>
      <c r="I43" s="399" t="str">
        <f aca="false">IFERROR(I20/I$22,"n/a")</f>
        <v>n/a</v>
      </c>
    </row>
    <row r="44" customFormat="false" ht="11.25" hidden="false" customHeight="true" outlineLevel="0" collapsed="false">
      <c r="C44" s="51" t="str">
        <f aca="false">C21</f>
        <v>Wertberichtigung auf Vorräte</v>
      </c>
      <c r="D44" s="51" t="str">
        <f aca="false">D21</f>
        <v>Valuation allowance for inventories</v>
      </c>
      <c r="E44" s="51"/>
      <c r="F44" s="159" t="str">
        <f aca="false">IFERROR(F21/F$22,"n/a")</f>
        <v>n/a</v>
      </c>
      <c r="G44" s="159" t="str">
        <f aca="false">IFERROR(G21/G$22,"n/a")</f>
        <v>n/a</v>
      </c>
      <c r="H44" s="159" t="str">
        <f aca="false">IFERROR(H21/H$22,"n/a")</f>
        <v>n/a</v>
      </c>
      <c r="I44" s="399" t="str">
        <f aca="false">IFERROR(I21/I$22,"n/a")</f>
        <v>n/a</v>
      </c>
    </row>
    <row r="45" customFormat="false" ht="4.5" hidden="false" customHeight="true" outlineLevel="0" collapsed="false">
      <c r="C45" s="51"/>
      <c r="D45" s="51"/>
      <c r="E45" s="51"/>
      <c r="F45" s="159"/>
      <c r="G45" s="159"/>
      <c r="H45" s="159"/>
      <c r="I45" s="399"/>
    </row>
    <row r="46" customFormat="false" ht="11.25" hidden="false" customHeight="true" outlineLevel="0" collapsed="false">
      <c r="C46" s="394" t="str">
        <f aca="false">C29</f>
        <v>Normalisierte Vorräte</v>
      </c>
      <c r="D46" s="394" t="str">
        <f aca="false">D29</f>
        <v>Normalized inventories</v>
      </c>
      <c r="E46" s="394"/>
      <c r="F46" s="400" t="str">
        <f aca="false">IFERROR(F29/F$22,"n/a")</f>
        <v>n/a</v>
      </c>
      <c r="G46" s="400" t="str">
        <f aca="false">IFERROR(G29/G$22,"n/a")</f>
        <v>n/a</v>
      </c>
      <c r="H46" s="400" t="str">
        <f aca="false">IFERROR(H29/H$22,"n/a")</f>
        <v>n/a</v>
      </c>
      <c r="I46" s="401" t="str">
        <f aca="false">IFERROR(I29/I$22,"n/a")</f>
        <v>n/a</v>
      </c>
    </row>
    <row r="47" customFormat="false" ht="4.5" hidden="false" customHeight="true" outlineLevel="0" collapsed="false">
      <c r="C47" s="51"/>
      <c r="D47" s="51"/>
      <c r="E47" s="51"/>
      <c r="F47" s="159"/>
      <c r="G47" s="159"/>
      <c r="H47" s="159"/>
      <c r="I47" s="160"/>
    </row>
    <row r="48" customFormat="false" ht="11.25" hidden="false" customHeight="true" outlineLevel="0" collapsed="false">
      <c r="C48" s="54" t="str">
        <f aca="false">"Quelle: "&amp;Cockpit!$C$7</f>
        <v>Quelle: Datenraum/ eigene Analysen</v>
      </c>
      <c r="D48" s="54" t="str">
        <f aca="false">"Source: "&amp;Cockpit!$C$8</f>
        <v>Source: Virtual Data Room/ Company Information</v>
      </c>
      <c r="E48" s="54"/>
      <c r="F48" s="162"/>
      <c r="G48" s="162"/>
      <c r="H48" s="162"/>
      <c r="I48" s="162"/>
    </row>
    <row r="51" customFormat="false" ht="12" hidden="false" customHeight="true" outlineLevel="0" collapsed="false">
      <c r="C51" s="151" t="s">
        <v>881</v>
      </c>
      <c r="D51" s="151" t="s">
        <v>882</v>
      </c>
      <c r="E51" s="151"/>
      <c r="F51" s="152" t="n">
        <f aca="false">'Lead NA'!F40</f>
        <v>0</v>
      </c>
      <c r="G51" s="152" t="n">
        <f aca="false">'Lead NA'!G40</f>
        <v>0</v>
      </c>
      <c r="H51" s="152" t="n">
        <f aca="false">'Lead NA'!H40</f>
        <v>0</v>
      </c>
      <c r="I51" s="152" t="n">
        <f aca="false">'Lead NA'!I40</f>
        <v>0</v>
      </c>
    </row>
    <row r="52" customFormat="false" ht="12" hidden="false" customHeight="true" outlineLevel="0" collapsed="false">
      <c r="C52" s="153" t="s">
        <v>245</v>
      </c>
      <c r="D52" s="154" t="s">
        <v>245</v>
      </c>
      <c r="E52" s="153"/>
      <c r="F52" s="155" t="n">
        <f aca="false">F51-F22</f>
        <v>0</v>
      </c>
      <c r="G52" s="155" t="n">
        <f aca="false">G51-G22</f>
        <v>0</v>
      </c>
      <c r="H52" s="155" t="n">
        <f aca="false">H51-H22</f>
        <v>0</v>
      </c>
      <c r="I52" s="155" t="n">
        <f aca="false">I51-I22</f>
        <v>0</v>
      </c>
    </row>
  </sheetData>
  <conditionalFormatting sqref="F52:I52">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6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0000"/>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43359375" defaultRowHeight="12" zeroHeight="false" outlineLevelRow="0" outlineLevelCol="0"/>
  <cols>
    <col collapsed="false" customWidth="false" hidden="false" outlineLevel="0" max="3" min="1" style="1" width="11.43"/>
    <col collapsed="false" customWidth="true" hidden="false" outlineLevel="0" max="4" min="4" style="1" width="50.16"/>
    <col collapsed="false" customWidth="false" hidden="false" outlineLevel="0" max="16384" min="5" style="1" width="11.43"/>
  </cols>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8C3B"/>
    <pageSetUpPr fitToPage="false"/>
  </sheetPr>
  <dimension ref="C1:CN105"/>
  <sheetViews>
    <sheetView showFormulas="false" showGridLines="true" showRowColHeaders="true" showZeros="true" rightToLeft="false" tabSelected="false" showOutlineSymbols="true" defaultGridColor="true" view="normal" topLeftCell="BK2" colorId="64" zoomScale="100" zoomScaleNormal="100" zoomScalePageLayoutView="100" workbookViewId="0">
      <selection pane="topLeft" activeCell="CK46" activeCellId="0" sqref="CK46"/>
    </sheetView>
  </sheetViews>
  <sheetFormatPr defaultColWidth="11.00390625" defaultRowHeight="12" zeroHeight="false" outlineLevelRow="3" outlineLevelCol="2"/>
  <cols>
    <col collapsed="false" customWidth="true" hidden="false" outlineLevel="0" max="1" min="1" style="1" width="12.86"/>
    <col collapsed="false" customWidth="true" hidden="false" outlineLevel="2" max="2" min="2" style="1" width="0.86"/>
    <col collapsed="false" customWidth="true" hidden="false" outlineLevel="2" max="3" min="3" style="1" width="35.57"/>
    <col collapsed="false" customWidth="true" hidden="false" outlineLevel="0" max="4" min="4" style="1" width="35.57"/>
    <col collapsed="false" customWidth="true" hidden="false" outlineLevel="0" max="46" min="5" style="1" width="9.42"/>
    <col collapsed="false" customWidth="true" hidden="false" outlineLevel="0" max="89" min="47" style="40" width="9.42"/>
    <col collapsed="false" customWidth="true" hidden="false" outlineLevel="2" max="90" min="90" style="1" width="0.86"/>
    <col collapsed="false" customWidth="false" hidden="false" outlineLevel="0" max="91" min="91" style="1" width="11"/>
    <col collapsed="false" customWidth="true" hidden="false" outlineLevel="0" max="92" min="92" style="1" width="48"/>
    <col collapsed="false" customWidth="false" hidden="false" outlineLevel="0" max="16384" min="93" style="1" width="11"/>
  </cols>
  <sheetData>
    <row r="1" s="1" customFormat="true" ht="12" hidden="false" customHeight="true" outlineLevel="3" collapsed="false"/>
    <row r="2" s="1" customFormat="true" ht="12" hidden="false" customHeight="true" outlineLevel="0" collapsed="false"/>
    <row r="3" s="1" customFormat="true" ht="11.25" hidden="false" customHeight="true" outlineLevel="0" collapsed="false"/>
    <row r="4" s="305" customFormat="true" ht="11.25" hidden="false" customHeight="true" outlineLevel="3" collapsed="false">
      <c r="C4" s="220" t="str">
        <f aca="false">Cockpit!$C$4</f>
        <v>Template</v>
      </c>
      <c r="D4" s="221"/>
      <c r="E4" s="221"/>
      <c r="F4" s="225" t="n">
        <f aca="false">Cockpit!D45</f>
        <v>44592</v>
      </c>
      <c r="G4" s="225" t="n">
        <f aca="false">Cockpit!E45</f>
        <v>44620</v>
      </c>
      <c r="H4" s="225" t="n">
        <f aca="false">Cockpit!F45</f>
        <v>44651</v>
      </c>
      <c r="I4" s="225" t="n">
        <f aca="false">Cockpit!G45</f>
        <v>44681</v>
      </c>
      <c r="J4" s="225" t="n">
        <f aca="false">Cockpit!H45</f>
        <v>44712</v>
      </c>
      <c r="K4" s="225" t="n">
        <f aca="false">Cockpit!I45</f>
        <v>44742</v>
      </c>
      <c r="L4" s="225" t="n">
        <f aca="false">Cockpit!J45</f>
        <v>44773</v>
      </c>
      <c r="M4" s="225" t="n">
        <f aca="false">Cockpit!K45</f>
        <v>44804</v>
      </c>
      <c r="N4" s="225" t="n">
        <f aca="false">Cockpit!L45</f>
        <v>44834</v>
      </c>
      <c r="O4" s="225" t="n">
        <f aca="false">Cockpit!M45</f>
        <v>44865</v>
      </c>
      <c r="P4" s="225" t="n">
        <f aca="false">Cockpit!N45</f>
        <v>44895</v>
      </c>
      <c r="Q4" s="225" t="n">
        <f aca="false">Cockpit!O45</f>
        <v>44926</v>
      </c>
      <c r="R4" s="225" t="n">
        <f aca="false">Cockpit!P45</f>
        <v>44957</v>
      </c>
      <c r="S4" s="225" t="n">
        <f aca="false">Cockpit!Q45</f>
        <v>44985</v>
      </c>
      <c r="T4" s="225" t="n">
        <f aca="false">Cockpit!R45</f>
        <v>45016</v>
      </c>
      <c r="U4" s="225" t="n">
        <f aca="false">Cockpit!S45</f>
        <v>45046</v>
      </c>
      <c r="V4" s="225" t="n">
        <f aca="false">Cockpit!T45</f>
        <v>45077</v>
      </c>
      <c r="W4" s="225" t="n">
        <f aca="false">Cockpit!U45</f>
        <v>45107</v>
      </c>
      <c r="X4" s="225" t="n">
        <f aca="false">Cockpit!V45</f>
        <v>45138</v>
      </c>
      <c r="Y4" s="225" t="n">
        <f aca="false">Cockpit!W45</f>
        <v>45169</v>
      </c>
      <c r="Z4" s="225" t="n">
        <f aca="false">Cockpit!X45</f>
        <v>45199</v>
      </c>
      <c r="AA4" s="225" t="n">
        <f aca="false">Cockpit!Y45</f>
        <v>45230</v>
      </c>
      <c r="AB4" s="225" t="n">
        <f aca="false">Cockpit!Z45</f>
        <v>45260</v>
      </c>
      <c r="AC4" s="225" t="n">
        <f aca="false">Cockpit!AA45</f>
        <v>45291</v>
      </c>
      <c r="AD4" s="225" t="n">
        <f aca="false">Cockpit!AB45</f>
        <v>45322</v>
      </c>
      <c r="AE4" s="225" t="n">
        <f aca="false">Cockpit!AC45</f>
        <v>45351</v>
      </c>
      <c r="AF4" s="225" t="n">
        <f aca="false">Cockpit!AD45</f>
        <v>45382</v>
      </c>
      <c r="AG4" s="225" t="n">
        <f aca="false">Cockpit!AE45</f>
        <v>45412</v>
      </c>
      <c r="AH4" s="225" t="n">
        <f aca="false">Cockpit!AF45</f>
        <v>45443</v>
      </c>
      <c r="AI4" s="225" t="n">
        <f aca="false">Cockpit!AG45</f>
        <v>45473</v>
      </c>
      <c r="AJ4" s="225" t="n">
        <f aca="false">Cockpit!AH45</f>
        <v>45504</v>
      </c>
      <c r="AK4" s="225" t="n">
        <f aca="false">Cockpit!AI45</f>
        <v>45535</v>
      </c>
      <c r="AL4" s="225" t="n">
        <f aca="false">Cockpit!AJ45</f>
        <v>45565</v>
      </c>
      <c r="AM4" s="225" t="n">
        <f aca="false">Cockpit!AK45</f>
        <v>45596</v>
      </c>
      <c r="AN4" s="225" t="n">
        <f aca="false">Cockpit!AL45</f>
        <v>45626</v>
      </c>
      <c r="AO4" s="225" t="n">
        <f aca="false">Cockpit!AM45</f>
        <v>45657</v>
      </c>
      <c r="AP4" s="225" t="n">
        <f aca="false">Cockpit!AN45</f>
        <v>45688</v>
      </c>
      <c r="AQ4" s="225" t="n">
        <f aca="false">Cockpit!AO45</f>
        <v>45716</v>
      </c>
      <c r="AR4" s="225" t="n">
        <f aca="false">Cockpit!AP45</f>
        <v>45747</v>
      </c>
      <c r="AS4" s="225" t="n">
        <f aca="false">Cockpit!AQ45</f>
        <v>45777</v>
      </c>
      <c r="AT4" s="225" t="n">
        <f aca="false">Cockpit!AR45</f>
        <v>45808</v>
      </c>
      <c r="AU4" s="225" t="n">
        <f aca="false">Cockpit!AS45</f>
        <v>45838</v>
      </c>
      <c r="AV4" s="225" t="n">
        <f aca="false">Cockpit!AT45</f>
        <v>45869</v>
      </c>
      <c r="AW4" s="225" t="n">
        <f aca="false">Cockpit!AU45</f>
        <v>45900</v>
      </c>
      <c r="AX4" s="225" t="n">
        <f aca="false">Cockpit!AV45</f>
        <v>45930</v>
      </c>
      <c r="AY4" s="225" t="n">
        <f aca="false">Cockpit!AW45</f>
        <v>45961</v>
      </c>
      <c r="AZ4" s="225" t="n">
        <f aca="false">Cockpit!AX45</f>
        <v>45991</v>
      </c>
      <c r="BA4" s="225" t="n">
        <f aca="false">Cockpit!AY45</f>
        <v>46022</v>
      </c>
      <c r="BB4" s="225" t="n">
        <f aca="false">Cockpit!AZ45</f>
        <v>46053</v>
      </c>
      <c r="BC4" s="225" t="n">
        <f aca="false">Cockpit!BA45</f>
        <v>46081</v>
      </c>
      <c r="BD4" s="225" t="n">
        <f aca="false">Cockpit!BB45</f>
        <v>46112</v>
      </c>
      <c r="BE4" s="225" t="n">
        <f aca="false">Cockpit!BC45</f>
        <v>46142</v>
      </c>
      <c r="BF4" s="225" t="n">
        <f aca="false">Cockpit!BD45</f>
        <v>46173</v>
      </c>
      <c r="BG4" s="225" t="n">
        <f aca="false">Cockpit!BE45</f>
        <v>46203</v>
      </c>
      <c r="BH4" s="225" t="n">
        <f aca="false">Cockpit!BF45</f>
        <v>46234</v>
      </c>
      <c r="BI4" s="225" t="n">
        <f aca="false">Cockpit!BG45</f>
        <v>46265</v>
      </c>
      <c r="BJ4" s="225" t="n">
        <f aca="false">Cockpit!BH45</f>
        <v>46295</v>
      </c>
      <c r="BK4" s="225" t="n">
        <f aca="false">Cockpit!BI45</f>
        <v>46326</v>
      </c>
      <c r="BL4" s="225" t="n">
        <f aca="false">Cockpit!BJ45</f>
        <v>46356</v>
      </c>
      <c r="BM4" s="225" t="n">
        <f aca="false">Cockpit!BK45</f>
        <v>46387</v>
      </c>
      <c r="BN4" s="225" t="n">
        <f aca="false">Cockpit!BL45</f>
        <v>46418</v>
      </c>
      <c r="BO4" s="225" t="n">
        <f aca="false">Cockpit!BM45</f>
        <v>46446</v>
      </c>
      <c r="BP4" s="225" t="n">
        <f aca="false">Cockpit!BN45</f>
        <v>46477</v>
      </c>
      <c r="BQ4" s="225" t="n">
        <f aca="false">Cockpit!BO45</f>
        <v>46507</v>
      </c>
      <c r="BR4" s="225" t="n">
        <f aca="false">Cockpit!BP45</f>
        <v>46538</v>
      </c>
      <c r="BS4" s="225" t="n">
        <f aca="false">Cockpit!BQ45</f>
        <v>46568</v>
      </c>
      <c r="BT4" s="225" t="n">
        <f aca="false">Cockpit!BR45</f>
        <v>46599</v>
      </c>
      <c r="BU4" s="225" t="n">
        <f aca="false">Cockpit!BS45</f>
        <v>46630</v>
      </c>
      <c r="BV4" s="225" t="n">
        <f aca="false">Cockpit!BT45</f>
        <v>46660</v>
      </c>
      <c r="BW4" s="225" t="n">
        <f aca="false">Cockpit!BU45</f>
        <v>46691</v>
      </c>
      <c r="BX4" s="225" t="n">
        <f aca="false">Cockpit!BV45</f>
        <v>46721</v>
      </c>
      <c r="BY4" s="225" t="n">
        <f aca="false">Cockpit!BW45</f>
        <v>46752</v>
      </c>
      <c r="BZ4" s="225" t="n">
        <f aca="false">Cockpit!BX45</f>
        <v>46783</v>
      </c>
      <c r="CA4" s="225" t="n">
        <f aca="false">Cockpit!BY45</f>
        <v>46812</v>
      </c>
      <c r="CB4" s="225" t="n">
        <f aca="false">Cockpit!BZ45</f>
        <v>46843</v>
      </c>
      <c r="CC4" s="225" t="n">
        <f aca="false">Cockpit!CA45</f>
        <v>46873</v>
      </c>
      <c r="CD4" s="225" t="n">
        <f aca="false">Cockpit!CB45</f>
        <v>46904</v>
      </c>
      <c r="CE4" s="225" t="n">
        <f aca="false">Cockpit!CC45</f>
        <v>46934</v>
      </c>
      <c r="CF4" s="225" t="n">
        <f aca="false">Cockpit!CD45</f>
        <v>46965</v>
      </c>
      <c r="CG4" s="225" t="n">
        <f aca="false">Cockpit!CE45</f>
        <v>46996</v>
      </c>
      <c r="CH4" s="225" t="n">
        <f aca="false">Cockpit!CF45</f>
        <v>47026</v>
      </c>
      <c r="CI4" s="225" t="n">
        <f aca="false">Cockpit!CG45</f>
        <v>47057</v>
      </c>
      <c r="CJ4" s="225" t="n">
        <f aca="false">Cockpit!CH45</f>
        <v>47087</v>
      </c>
      <c r="CK4" s="225" t="n">
        <f aca="false">Cockpit!CI45</f>
        <v>47118</v>
      </c>
    </row>
    <row r="5" s="305" customFormat="true" ht="11.25" hidden="false" customHeight="true" outlineLevel="3" collapsed="false">
      <c r="C5" s="220" t="str">
        <f aca="false">"in T"&amp;Cockpit!$C$5</f>
        <v>in TEUR</v>
      </c>
      <c r="D5" s="221"/>
      <c r="E5" s="221"/>
      <c r="F5" s="225" t="str">
        <f aca="false">Cockpit!D46</f>
        <v>IST</v>
      </c>
      <c r="G5" s="225" t="str">
        <f aca="false">Cockpit!E46</f>
        <v>IST</v>
      </c>
      <c r="H5" s="225" t="str">
        <f aca="false">Cockpit!F46</f>
        <v>IST</v>
      </c>
      <c r="I5" s="225" t="str">
        <f aca="false">Cockpit!G46</f>
        <v>IST</v>
      </c>
      <c r="J5" s="225" t="str">
        <f aca="false">Cockpit!H46</f>
        <v>IST</v>
      </c>
      <c r="K5" s="225" t="str">
        <f aca="false">Cockpit!I46</f>
        <v>IST</v>
      </c>
      <c r="L5" s="225" t="str">
        <f aca="false">Cockpit!J46</f>
        <v>IST</v>
      </c>
      <c r="M5" s="225" t="str">
        <f aca="false">Cockpit!K46</f>
        <v>IST</v>
      </c>
      <c r="N5" s="225" t="str">
        <f aca="false">Cockpit!L46</f>
        <v>IST</v>
      </c>
      <c r="O5" s="225" t="str">
        <f aca="false">Cockpit!M46</f>
        <v>IST</v>
      </c>
      <c r="P5" s="225" t="str">
        <f aca="false">Cockpit!N46</f>
        <v>IST</v>
      </c>
      <c r="Q5" s="225" t="str">
        <f aca="false">Cockpit!O46</f>
        <v>IST</v>
      </c>
      <c r="R5" s="225" t="str">
        <f aca="false">Cockpit!P46</f>
        <v>IST</v>
      </c>
      <c r="S5" s="225" t="str">
        <f aca="false">Cockpit!Q46</f>
        <v>IST</v>
      </c>
      <c r="T5" s="225" t="str">
        <f aca="false">Cockpit!R46</f>
        <v>IST</v>
      </c>
      <c r="U5" s="225" t="str">
        <f aca="false">Cockpit!S46</f>
        <v>IST</v>
      </c>
      <c r="V5" s="225" t="str">
        <f aca="false">Cockpit!T46</f>
        <v>IST</v>
      </c>
      <c r="W5" s="225" t="str">
        <f aca="false">Cockpit!U46</f>
        <v>IST</v>
      </c>
      <c r="X5" s="225" t="str">
        <f aca="false">Cockpit!V46</f>
        <v>IST</v>
      </c>
      <c r="Y5" s="225" t="str">
        <f aca="false">Cockpit!W46</f>
        <v>IST</v>
      </c>
      <c r="Z5" s="225" t="str">
        <f aca="false">Cockpit!X46</f>
        <v>IST</v>
      </c>
      <c r="AA5" s="225" t="str">
        <f aca="false">Cockpit!Y46</f>
        <v>IST</v>
      </c>
      <c r="AB5" s="225" t="str">
        <f aca="false">Cockpit!Z46</f>
        <v>IST</v>
      </c>
      <c r="AC5" s="225" t="str">
        <f aca="false">Cockpit!AA46</f>
        <v>IST</v>
      </c>
      <c r="AD5" s="225" t="str">
        <f aca="false">Cockpit!AB46</f>
        <v>IST</v>
      </c>
      <c r="AE5" s="225" t="str">
        <f aca="false">Cockpit!AC46</f>
        <v>IST</v>
      </c>
      <c r="AF5" s="225" t="str">
        <f aca="false">Cockpit!AD46</f>
        <v>IST</v>
      </c>
      <c r="AG5" s="225" t="str">
        <f aca="false">Cockpit!AE46</f>
        <v>IST</v>
      </c>
      <c r="AH5" s="225" t="str">
        <f aca="false">Cockpit!AF46</f>
        <v>IST</v>
      </c>
      <c r="AI5" s="225" t="str">
        <f aca="false">Cockpit!AG46</f>
        <v>IST</v>
      </c>
      <c r="AJ5" s="225" t="str">
        <f aca="false">Cockpit!AH46</f>
        <v>IST</v>
      </c>
      <c r="AK5" s="225" t="str">
        <f aca="false">Cockpit!AI46</f>
        <v>IST</v>
      </c>
      <c r="AL5" s="225" t="str">
        <f aca="false">Cockpit!AJ46</f>
        <v>IST</v>
      </c>
      <c r="AM5" s="225" t="str">
        <f aca="false">Cockpit!AK46</f>
        <v>IST</v>
      </c>
      <c r="AN5" s="225" t="str">
        <f aca="false">Cockpit!AL46</f>
        <v>IST</v>
      </c>
      <c r="AO5" s="225" t="str">
        <f aca="false">Cockpit!AM46</f>
        <v>IST</v>
      </c>
      <c r="AP5" s="225" t="str">
        <f aca="false">Cockpit!AN46</f>
        <v>IST</v>
      </c>
      <c r="AQ5" s="225" t="str">
        <f aca="false">Cockpit!AO46</f>
        <v>IST</v>
      </c>
      <c r="AR5" s="225" t="str">
        <f aca="false">Cockpit!AP46</f>
        <v>IST</v>
      </c>
      <c r="AS5" s="225" t="str">
        <f aca="false">Cockpit!AQ46</f>
        <v>IST</v>
      </c>
      <c r="AT5" s="225" t="str">
        <f aca="false">Cockpit!AR46</f>
        <v>IST</v>
      </c>
      <c r="AU5" s="225" t="str">
        <f aca="false">Cockpit!AS46</f>
        <v>Plan</v>
      </c>
      <c r="AV5" s="225" t="str">
        <f aca="false">Cockpit!AT46</f>
        <v>Plan</v>
      </c>
      <c r="AW5" s="225" t="str">
        <f aca="false">Cockpit!AU46</f>
        <v>Plan</v>
      </c>
      <c r="AX5" s="225" t="str">
        <f aca="false">Cockpit!AV46</f>
        <v>Plan</v>
      </c>
      <c r="AY5" s="225" t="str">
        <f aca="false">Cockpit!AW46</f>
        <v>Plan</v>
      </c>
      <c r="AZ5" s="225" t="str">
        <f aca="false">Cockpit!AX46</f>
        <v>Plan</v>
      </c>
      <c r="BA5" s="225" t="str">
        <f aca="false">Cockpit!AY46</f>
        <v>Plan</v>
      </c>
      <c r="BB5" s="225" t="str">
        <f aca="false">Cockpit!AZ46</f>
        <v>Plan</v>
      </c>
      <c r="BC5" s="225" t="str">
        <f aca="false">Cockpit!BA46</f>
        <v>Plan</v>
      </c>
      <c r="BD5" s="225" t="str">
        <f aca="false">Cockpit!BB46</f>
        <v>Plan</v>
      </c>
      <c r="BE5" s="225" t="str">
        <f aca="false">Cockpit!BC46</f>
        <v>Plan</v>
      </c>
      <c r="BF5" s="225" t="str">
        <f aca="false">Cockpit!BD46</f>
        <v>Plan</v>
      </c>
      <c r="BG5" s="225" t="str">
        <f aca="false">Cockpit!BE46</f>
        <v>Plan</v>
      </c>
      <c r="BH5" s="225" t="str">
        <f aca="false">Cockpit!BF46</f>
        <v>Plan</v>
      </c>
      <c r="BI5" s="225" t="str">
        <f aca="false">Cockpit!BG46</f>
        <v>Plan</v>
      </c>
      <c r="BJ5" s="225" t="str">
        <f aca="false">Cockpit!BH46</f>
        <v>Plan</v>
      </c>
      <c r="BK5" s="225" t="str">
        <f aca="false">Cockpit!BI46</f>
        <v>Plan</v>
      </c>
      <c r="BL5" s="225" t="str">
        <f aca="false">Cockpit!BJ46</f>
        <v>Plan</v>
      </c>
      <c r="BM5" s="225" t="str">
        <f aca="false">Cockpit!BK46</f>
        <v>Plan</v>
      </c>
      <c r="BN5" s="225" t="str">
        <f aca="false">Cockpit!BL46</f>
        <v>Plan</v>
      </c>
      <c r="BO5" s="225" t="str">
        <f aca="false">Cockpit!BM46</f>
        <v>Plan</v>
      </c>
      <c r="BP5" s="225" t="str">
        <f aca="false">Cockpit!BN46</f>
        <v>Plan</v>
      </c>
      <c r="BQ5" s="225" t="str">
        <f aca="false">Cockpit!BO46</f>
        <v>Plan</v>
      </c>
      <c r="BR5" s="225" t="str">
        <f aca="false">Cockpit!BP46</f>
        <v>Plan</v>
      </c>
      <c r="BS5" s="225" t="str">
        <f aca="false">Cockpit!BQ46</f>
        <v>Plan</v>
      </c>
      <c r="BT5" s="225" t="str">
        <f aca="false">Cockpit!BR46</f>
        <v>Plan</v>
      </c>
      <c r="BU5" s="225" t="str">
        <f aca="false">Cockpit!BS46</f>
        <v>Plan</v>
      </c>
      <c r="BV5" s="225" t="str">
        <f aca="false">Cockpit!BT46</f>
        <v>Plan</v>
      </c>
      <c r="BW5" s="225" t="str">
        <f aca="false">Cockpit!BU46</f>
        <v>Plan</v>
      </c>
      <c r="BX5" s="225" t="str">
        <f aca="false">Cockpit!BV46</f>
        <v>Plan</v>
      </c>
      <c r="BY5" s="225" t="str">
        <f aca="false">Cockpit!BW46</f>
        <v>Plan</v>
      </c>
      <c r="BZ5" s="225" t="str">
        <f aca="false">Cockpit!BX46</f>
        <v>Plan</v>
      </c>
      <c r="CA5" s="225" t="str">
        <f aca="false">Cockpit!BY46</f>
        <v>Plan</v>
      </c>
      <c r="CB5" s="225" t="str">
        <f aca="false">Cockpit!BZ46</f>
        <v>Plan</v>
      </c>
      <c r="CC5" s="225" t="str">
        <f aca="false">Cockpit!CA46</f>
        <v>Plan</v>
      </c>
      <c r="CD5" s="225" t="str">
        <f aca="false">Cockpit!CB46</f>
        <v>Plan</v>
      </c>
      <c r="CE5" s="225" t="str">
        <f aca="false">Cockpit!CC46</f>
        <v>Plan</v>
      </c>
      <c r="CF5" s="225" t="str">
        <f aca="false">Cockpit!CD46</f>
        <v>Plan</v>
      </c>
      <c r="CG5" s="225" t="str">
        <f aca="false">Cockpit!CE46</f>
        <v>Plan</v>
      </c>
      <c r="CH5" s="225" t="str">
        <f aca="false">Cockpit!CF46</f>
        <v>Plan</v>
      </c>
      <c r="CI5" s="225" t="str">
        <f aca="false">Cockpit!CG46</f>
        <v>Plan</v>
      </c>
      <c r="CJ5" s="225" t="str">
        <f aca="false">Cockpit!CH46</f>
        <v>Plan</v>
      </c>
      <c r="CK5" s="225" t="str">
        <f aca="false">Cockpit!CI46</f>
        <v>Plan</v>
      </c>
    </row>
    <row r="6" s="305" customFormat="true" ht="11.25" hidden="false" customHeight="true" outlineLevel="0" collapsed="false">
      <c r="C6" s="227"/>
      <c r="D6" s="228" t="str">
        <f aca="false">Cockpit!$C$4</f>
        <v>Template</v>
      </c>
      <c r="E6" s="228"/>
      <c r="F6" s="293" t="n">
        <f aca="false">Cockpit!D45</f>
        <v>44592</v>
      </c>
      <c r="G6" s="293" t="n">
        <f aca="false">Cockpit!E45</f>
        <v>44620</v>
      </c>
      <c r="H6" s="293" t="n">
        <f aca="false">Cockpit!F45</f>
        <v>44651</v>
      </c>
      <c r="I6" s="293" t="n">
        <f aca="false">Cockpit!G45</f>
        <v>44681</v>
      </c>
      <c r="J6" s="293" t="n">
        <f aca="false">Cockpit!H45</f>
        <v>44712</v>
      </c>
      <c r="K6" s="293" t="n">
        <f aca="false">Cockpit!I45</f>
        <v>44742</v>
      </c>
      <c r="L6" s="293" t="n">
        <f aca="false">Cockpit!J45</f>
        <v>44773</v>
      </c>
      <c r="M6" s="293" t="n">
        <f aca="false">Cockpit!K45</f>
        <v>44804</v>
      </c>
      <c r="N6" s="293" t="n">
        <f aca="false">Cockpit!L45</f>
        <v>44834</v>
      </c>
      <c r="O6" s="293" t="n">
        <f aca="false">Cockpit!M45</f>
        <v>44865</v>
      </c>
      <c r="P6" s="293" t="n">
        <f aca="false">Cockpit!N45</f>
        <v>44895</v>
      </c>
      <c r="Q6" s="293" t="n">
        <f aca="false">Cockpit!O45</f>
        <v>44926</v>
      </c>
      <c r="R6" s="293" t="n">
        <f aca="false">Cockpit!P45</f>
        <v>44957</v>
      </c>
      <c r="S6" s="293" t="n">
        <f aca="false">Cockpit!Q45</f>
        <v>44985</v>
      </c>
      <c r="T6" s="293" t="n">
        <f aca="false">Cockpit!R45</f>
        <v>45016</v>
      </c>
      <c r="U6" s="293" t="n">
        <f aca="false">Cockpit!S45</f>
        <v>45046</v>
      </c>
      <c r="V6" s="293" t="n">
        <f aca="false">Cockpit!T45</f>
        <v>45077</v>
      </c>
      <c r="W6" s="293" t="n">
        <f aca="false">Cockpit!U45</f>
        <v>45107</v>
      </c>
      <c r="X6" s="293" t="n">
        <f aca="false">Cockpit!V45</f>
        <v>45138</v>
      </c>
      <c r="Y6" s="293" t="n">
        <f aca="false">Cockpit!W45</f>
        <v>45169</v>
      </c>
      <c r="Z6" s="293" t="n">
        <f aca="false">Cockpit!X45</f>
        <v>45199</v>
      </c>
      <c r="AA6" s="293" t="n">
        <f aca="false">Cockpit!Y45</f>
        <v>45230</v>
      </c>
      <c r="AB6" s="293" t="n">
        <f aca="false">Cockpit!Z45</f>
        <v>45260</v>
      </c>
      <c r="AC6" s="293" t="n">
        <f aca="false">Cockpit!AA45</f>
        <v>45291</v>
      </c>
      <c r="AD6" s="293" t="n">
        <f aca="false">Cockpit!AB45</f>
        <v>45322</v>
      </c>
      <c r="AE6" s="293" t="n">
        <f aca="false">Cockpit!AC45</f>
        <v>45351</v>
      </c>
      <c r="AF6" s="293" t="n">
        <f aca="false">Cockpit!AD45</f>
        <v>45382</v>
      </c>
      <c r="AG6" s="293" t="n">
        <f aca="false">Cockpit!AE45</f>
        <v>45412</v>
      </c>
      <c r="AH6" s="293" t="n">
        <f aca="false">Cockpit!AF45</f>
        <v>45443</v>
      </c>
      <c r="AI6" s="293" t="n">
        <f aca="false">Cockpit!AG45</f>
        <v>45473</v>
      </c>
      <c r="AJ6" s="293" t="n">
        <f aca="false">Cockpit!AH45</f>
        <v>45504</v>
      </c>
      <c r="AK6" s="293" t="n">
        <f aca="false">Cockpit!AI45</f>
        <v>45535</v>
      </c>
      <c r="AL6" s="293" t="n">
        <f aca="false">Cockpit!AJ45</f>
        <v>45565</v>
      </c>
      <c r="AM6" s="293" t="n">
        <f aca="false">Cockpit!AK45</f>
        <v>45596</v>
      </c>
      <c r="AN6" s="293" t="n">
        <f aca="false">Cockpit!AL45</f>
        <v>45626</v>
      </c>
      <c r="AO6" s="293" t="n">
        <f aca="false">Cockpit!AM45</f>
        <v>45657</v>
      </c>
      <c r="AP6" s="293" t="n">
        <f aca="false">Cockpit!AN45</f>
        <v>45688</v>
      </c>
      <c r="AQ6" s="293" t="n">
        <f aca="false">Cockpit!AO45</f>
        <v>45716</v>
      </c>
      <c r="AR6" s="293" t="n">
        <f aca="false">Cockpit!AP45</f>
        <v>45747</v>
      </c>
      <c r="AS6" s="293" t="n">
        <f aca="false">Cockpit!AQ45</f>
        <v>45777</v>
      </c>
      <c r="AT6" s="293" t="n">
        <f aca="false">Cockpit!AR45</f>
        <v>45808</v>
      </c>
      <c r="AU6" s="293" t="n">
        <f aca="false">Cockpit!AS45</f>
        <v>45838</v>
      </c>
      <c r="AV6" s="293" t="n">
        <f aca="false">Cockpit!AT45</f>
        <v>45869</v>
      </c>
      <c r="AW6" s="293" t="n">
        <f aca="false">Cockpit!AU45</f>
        <v>45900</v>
      </c>
      <c r="AX6" s="293" t="n">
        <f aca="false">Cockpit!AV45</f>
        <v>45930</v>
      </c>
      <c r="AY6" s="293" t="n">
        <f aca="false">Cockpit!AW45</f>
        <v>45961</v>
      </c>
      <c r="AZ6" s="293" t="n">
        <f aca="false">Cockpit!AX45</f>
        <v>45991</v>
      </c>
      <c r="BA6" s="293" t="n">
        <f aca="false">Cockpit!AY45</f>
        <v>46022</v>
      </c>
      <c r="BB6" s="293" t="n">
        <f aca="false">Cockpit!AZ45</f>
        <v>46053</v>
      </c>
      <c r="BC6" s="293" t="n">
        <f aca="false">Cockpit!BA45</f>
        <v>46081</v>
      </c>
      <c r="BD6" s="293" t="n">
        <f aca="false">Cockpit!BB45</f>
        <v>46112</v>
      </c>
      <c r="BE6" s="293" t="n">
        <f aca="false">Cockpit!BC45</f>
        <v>46142</v>
      </c>
      <c r="BF6" s="293" t="n">
        <f aca="false">Cockpit!BD45</f>
        <v>46173</v>
      </c>
      <c r="BG6" s="293" t="n">
        <f aca="false">Cockpit!BE45</f>
        <v>46203</v>
      </c>
      <c r="BH6" s="293" t="n">
        <f aca="false">Cockpit!BF45</f>
        <v>46234</v>
      </c>
      <c r="BI6" s="293" t="n">
        <f aca="false">Cockpit!BG45</f>
        <v>46265</v>
      </c>
      <c r="BJ6" s="293" t="n">
        <f aca="false">Cockpit!BH45</f>
        <v>46295</v>
      </c>
      <c r="BK6" s="293" t="n">
        <f aca="false">Cockpit!BI45</f>
        <v>46326</v>
      </c>
      <c r="BL6" s="293" t="n">
        <f aca="false">Cockpit!BJ45</f>
        <v>46356</v>
      </c>
      <c r="BM6" s="293" t="n">
        <f aca="false">Cockpit!BK45</f>
        <v>46387</v>
      </c>
      <c r="BN6" s="293" t="n">
        <f aca="false">Cockpit!BL45</f>
        <v>46418</v>
      </c>
      <c r="BO6" s="293" t="n">
        <f aca="false">Cockpit!BM45</f>
        <v>46446</v>
      </c>
      <c r="BP6" s="293" t="n">
        <f aca="false">Cockpit!BN45</f>
        <v>46477</v>
      </c>
      <c r="BQ6" s="293" t="n">
        <f aca="false">Cockpit!BO45</f>
        <v>46507</v>
      </c>
      <c r="BR6" s="293" t="n">
        <f aca="false">Cockpit!BP45</f>
        <v>46538</v>
      </c>
      <c r="BS6" s="293" t="n">
        <f aca="false">Cockpit!BQ45</f>
        <v>46568</v>
      </c>
      <c r="BT6" s="293" t="n">
        <f aca="false">Cockpit!BR45</f>
        <v>46599</v>
      </c>
      <c r="BU6" s="293" t="n">
        <f aca="false">Cockpit!BS45</f>
        <v>46630</v>
      </c>
      <c r="BV6" s="293" t="n">
        <f aca="false">Cockpit!BT45</f>
        <v>46660</v>
      </c>
      <c r="BW6" s="293" t="n">
        <f aca="false">Cockpit!BU45</f>
        <v>46691</v>
      </c>
      <c r="BX6" s="293" t="n">
        <f aca="false">Cockpit!BV45</f>
        <v>46721</v>
      </c>
      <c r="BY6" s="293" t="n">
        <f aca="false">Cockpit!BW45</f>
        <v>46752</v>
      </c>
      <c r="BZ6" s="293" t="n">
        <f aca="false">Cockpit!BX45</f>
        <v>46783</v>
      </c>
      <c r="CA6" s="293" t="n">
        <f aca="false">Cockpit!BY45</f>
        <v>46812</v>
      </c>
      <c r="CB6" s="293" t="n">
        <f aca="false">Cockpit!BZ45</f>
        <v>46843</v>
      </c>
      <c r="CC6" s="293" t="n">
        <f aca="false">Cockpit!CA45</f>
        <v>46873</v>
      </c>
      <c r="CD6" s="293" t="n">
        <f aca="false">Cockpit!CB45</f>
        <v>46904</v>
      </c>
      <c r="CE6" s="293" t="n">
        <f aca="false">Cockpit!CC45</f>
        <v>46934</v>
      </c>
      <c r="CF6" s="293" t="n">
        <f aca="false">Cockpit!CD45</f>
        <v>46965</v>
      </c>
      <c r="CG6" s="293" t="n">
        <f aca="false">Cockpit!CE45</f>
        <v>46996</v>
      </c>
      <c r="CH6" s="293" t="n">
        <f aca="false">Cockpit!CF45</f>
        <v>47026</v>
      </c>
      <c r="CI6" s="293" t="n">
        <f aca="false">Cockpit!CG45</f>
        <v>47057</v>
      </c>
      <c r="CJ6" s="293" t="n">
        <f aca="false">Cockpit!CH45</f>
        <v>47087</v>
      </c>
      <c r="CK6" s="293" t="n">
        <f aca="false">Cockpit!CI45</f>
        <v>47118</v>
      </c>
    </row>
    <row r="7" s="305" customFormat="true" ht="11.25" hidden="false" customHeight="true" outlineLevel="0" collapsed="false">
      <c r="C7" s="227"/>
      <c r="D7" s="228" t="str">
        <f aca="false">"in k"&amp;Cockpit!$C$5</f>
        <v>in kEUR</v>
      </c>
      <c r="E7" s="228"/>
      <c r="F7" s="293" t="str">
        <f aca="false">Cockpit!D46</f>
        <v>IST</v>
      </c>
      <c r="G7" s="293" t="str">
        <f aca="false">Cockpit!E46</f>
        <v>IST</v>
      </c>
      <c r="H7" s="293" t="str">
        <f aca="false">Cockpit!F46</f>
        <v>IST</v>
      </c>
      <c r="I7" s="293" t="str">
        <f aca="false">Cockpit!G46</f>
        <v>IST</v>
      </c>
      <c r="J7" s="293" t="str">
        <f aca="false">Cockpit!H46</f>
        <v>IST</v>
      </c>
      <c r="K7" s="293" t="str">
        <f aca="false">Cockpit!I46</f>
        <v>IST</v>
      </c>
      <c r="L7" s="293" t="str">
        <f aca="false">Cockpit!J46</f>
        <v>IST</v>
      </c>
      <c r="M7" s="293" t="str">
        <f aca="false">Cockpit!K46</f>
        <v>IST</v>
      </c>
      <c r="N7" s="293" t="str">
        <f aca="false">Cockpit!L46</f>
        <v>IST</v>
      </c>
      <c r="O7" s="293" t="str">
        <f aca="false">Cockpit!M46</f>
        <v>IST</v>
      </c>
      <c r="P7" s="293" t="str">
        <f aca="false">Cockpit!N46</f>
        <v>IST</v>
      </c>
      <c r="Q7" s="293" t="str">
        <f aca="false">Cockpit!O46</f>
        <v>IST</v>
      </c>
      <c r="R7" s="293" t="str">
        <f aca="false">Cockpit!P46</f>
        <v>IST</v>
      </c>
      <c r="S7" s="293" t="str">
        <f aca="false">Cockpit!Q46</f>
        <v>IST</v>
      </c>
      <c r="T7" s="293" t="str">
        <f aca="false">Cockpit!R46</f>
        <v>IST</v>
      </c>
      <c r="U7" s="293" t="str">
        <f aca="false">Cockpit!S46</f>
        <v>IST</v>
      </c>
      <c r="V7" s="293" t="str">
        <f aca="false">Cockpit!T46</f>
        <v>IST</v>
      </c>
      <c r="W7" s="293" t="str">
        <f aca="false">Cockpit!U46</f>
        <v>IST</v>
      </c>
      <c r="X7" s="293" t="str">
        <f aca="false">Cockpit!V46</f>
        <v>IST</v>
      </c>
      <c r="Y7" s="293" t="str">
        <f aca="false">Cockpit!W46</f>
        <v>IST</v>
      </c>
      <c r="Z7" s="293" t="str">
        <f aca="false">Cockpit!X46</f>
        <v>IST</v>
      </c>
      <c r="AA7" s="293" t="str">
        <f aca="false">Cockpit!Y46</f>
        <v>IST</v>
      </c>
      <c r="AB7" s="293" t="str">
        <f aca="false">Cockpit!Z46</f>
        <v>IST</v>
      </c>
      <c r="AC7" s="293" t="str">
        <f aca="false">Cockpit!AA46</f>
        <v>IST</v>
      </c>
      <c r="AD7" s="293" t="str">
        <f aca="false">Cockpit!AB46</f>
        <v>IST</v>
      </c>
      <c r="AE7" s="293" t="str">
        <f aca="false">Cockpit!AC46</f>
        <v>IST</v>
      </c>
      <c r="AF7" s="293" t="str">
        <f aca="false">Cockpit!AD46</f>
        <v>IST</v>
      </c>
      <c r="AG7" s="293" t="str">
        <f aca="false">Cockpit!AE46</f>
        <v>IST</v>
      </c>
      <c r="AH7" s="293" t="str">
        <f aca="false">Cockpit!AF46</f>
        <v>IST</v>
      </c>
      <c r="AI7" s="293" t="str">
        <f aca="false">Cockpit!AG46</f>
        <v>IST</v>
      </c>
      <c r="AJ7" s="293" t="str">
        <f aca="false">Cockpit!AH46</f>
        <v>IST</v>
      </c>
      <c r="AK7" s="293" t="str">
        <f aca="false">Cockpit!AI46</f>
        <v>IST</v>
      </c>
      <c r="AL7" s="293" t="str">
        <f aca="false">Cockpit!AJ46</f>
        <v>IST</v>
      </c>
      <c r="AM7" s="293" t="str">
        <f aca="false">Cockpit!AK46</f>
        <v>IST</v>
      </c>
      <c r="AN7" s="293" t="str">
        <f aca="false">Cockpit!AL46</f>
        <v>IST</v>
      </c>
      <c r="AO7" s="293" t="str">
        <f aca="false">Cockpit!AM46</f>
        <v>IST</v>
      </c>
      <c r="AP7" s="293" t="str">
        <f aca="false">Cockpit!AN46</f>
        <v>IST</v>
      </c>
      <c r="AQ7" s="293" t="str">
        <f aca="false">Cockpit!AO46</f>
        <v>IST</v>
      </c>
      <c r="AR7" s="293" t="str">
        <f aca="false">Cockpit!AP46</f>
        <v>IST</v>
      </c>
      <c r="AS7" s="293" t="str">
        <f aca="false">Cockpit!AQ46</f>
        <v>IST</v>
      </c>
      <c r="AT7" s="293" t="str">
        <f aca="false">Cockpit!AR46</f>
        <v>IST</v>
      </c>
      <c r="AU7" s="293" t="str">
        <f aca="false">Cockpit!AS46</f>
        <v>Plan</v>
      </c>
      <c r="AV7" s="293" t="str">
        <f aca="false">Cockpit!AT46</f>
        <v>Plan</v>
      </c>
      <c r="AW7" s="293" t="str">
        <f aca="false">Cockpit!AU46</f>
        <v>Plan</v>
      </c>
      <c r="AX7" s="293" t="str">
        <f aca="false">Cockpit!AV46</f>
        <v>Plan</v>
      </c>
      <c r="AY7" s="293" t="str">
        <f aca="false">Cockpit!AW46</f>
        <v>Plan</v>
      </c>
      <c r="AZ7" s="293" t="str">
        <f aca="false">Cockpit!AX46</f>
        <v>Plan</v>
      </c>
      <c r="BA7" s="293" t="str">
        <f aca="false">Cockpit!AY46</f>
        <v>Plan</v>
      </c>
      <c r="BB7" s="293" t="str">
        <f aca="false">Cockpit!AZ46</f>
        <v>Plan</v>
      </c>
      <c r="BC7" s="293" t="str">
        <f aca="false">Cockpit!BA46</f>
        <v>Plan</v>
      </c>
      <c r="BD7" s="293" t="str">
        <f aca="false">Cockpit!BB46</f>
        <v>Plan</v>
      </c>
      <c r="BE7" s="293" t="str">
        <f aca="false">Cockpit!BC46</f>
        <v>Plan</v>
      </c>
      <c r="BF7" s="293" t="str">
        <f aca="false">Cockpit!BD46</f>
        <v>Plan</v>
      </c>
      <c r="BG7" s="293" t="str">
        <f aca="false">Cockpit!BE46</f>
        <v>Plan</v>
      </c>
      <c r="BH7" s="293" t="str">
        <f aca="false">Cockpit!BF46</f>
        <v>Plan</v>
      </c>
      <c r="BI7" s="293" t="str">
        <f aca="false">Cockpit!BG46</f>
        <v>Plan</v>
      </c>
      <c r="BJ7" s="293" t="str">
        <f aca="false">Cockpit!BH46</f>
        <v>Plan</v>
      </c>
      <c r="BK7" s="293" t="str">
        <f aca="false">Cockpit!BI46</f>
        <v>Plan</v>
      </c>
      <c r="BL7" s="293" t="str">
        <f aca="false">Cockpit!BJ46</f>
        <v>Plan</v>
      </c>
      <c r="BM7" s="293" t="str">
        <f aca="false">Cockpit!BK46</f>
        <v>Plan</v>
      </c>
      <c r="BN7" s="293" t="str">
        <f aca="false">Cockpit!BL46</f>
        <v>Plan</v>
      </c>
      <c r="BO7" s="293" t="str">
        <f aca="false">Cockpit!BM46</f>
        <v>Plan</v>
      </c>
      <c r="BP7" s="293" t="str">
        <f aca="false">Cockpit!BN46</f>
        <v>Plan</v>
      </c>
      <c r="BQ7" s="293" t="str">
        <f aca="false">Cockpit!BO46</f>
        <v>Plan</v>
      </c>
      <c r="BR7" s="293" t="str">
        <f aca="false">Cockpit!BP46</f>
        <v>Plan</v>
      </c>
      <c r="BS7" s="293" t="str">
        <f aca="false">Cockpit!BQ46</f>
        <v>Plan</v>
      </c>
      <c r="BT7" s="293" t="str">
        <f aca="false">Cockpit!BR46</f>
        <v>Plan</v>
      </c>
      <c r="BU7" s="293" t="str">
        <f aca="false">Cockpit!BS46</f>
        <v>Plan</v>
      </c>
      <c r="BV7" s="293" t="str">
        <f aca="false">Cockpit!BT46</f>
        <v>Plan</v>
      </c>
      <c r="BW7" s="293" t="str">
        <f aca="false">Cockpit!BU46</f>
        <v>Plan</v>
      </c>
      <c r="BX7" s="293" t="str">
        <f aca="false">Cockpit!BV46</f>
        <v>Plan</v>
      </c>
      <c r="BY7" s="293" t="str">
        <f aca="false">Cockpit!BW46</f>
        <v>Plan</v>
      </c>
      <c r="BZ7" s="293" t="str">
        <f aca="false">Cockpit!BX46</f>
        <v>Plan</v>
      </c>
      <c r="CA7" s="293" t="str">
        <f aca="false">Cockpit!BY46</f>
        <v>Plan</v>
      </c>
      <c r="CB7" s="293" t="str">
        <f aca="false">Cockpit!BZ46</f>
        <v>Plan</v>
      </c>
      <c r="CC7" s="293" t="str">
        <f aca="false">Cockpit!CA46</f>
        <v>Plan</v>
      </c>
      <c r="CD7" s="293" t="str">
        <f aca="false">Cockpit!CB46</f>
        <v>Plan</v>
      </c>
      <c r="CE7" s="293" t="str">
        <f aca="false">Cockpit!CC46</f>
        <v>Plan</v>
      </c>
      <c r="CF7" s="293" t="str">
        <f aca="false">Cockpit!CD46</f>
        <v>Plan</v>
      </c>
      <c r="CG7" s="293" t="str">
        <f aca="false">Cockpit!CE46</f>
        <v>Plan</v>
      </c>
      <c r="CH7" s="293" t="str">
        <f aca="false">Cockpit!CF46</f>
        <v>Plan</v>
      </c>
      <c r="CI7" s="293" t="str">
        <f aca="false">Cockpit!CG46</f>
        <v>Plan</v>
      </c>
      <c r="CJ7" s="293" t="str">
        <f aca="false">Cockpit!CH46</f>
        <v>Plan</v>
      </c>
      <c r="CK7" s="293" t="str">
        <f aca="false">Cockpit!CI46</f>
        <v>Plan</v>
      </c>
      <c r="CN7" s="89" t="s">
        <v>409</v>
      </c>
    </row>
    <row r="8" customFormat="false" ht="4.5" hidden="false" customHeight="true" outlineLevel="0" collapsed="false">
      <c r="C8" s="51"/>
      <c r="D8" s="51"/>
      <c r="E8" s="51"/>
      <c r="F8" s="51"/>
      <c r="G8" s="51"/>
      <c r="H8" s="51"/>
      <c r="I8" s="51"/>
      <c r="J8" s="51"/>
      <c r="K8" s="51"/>
      <c r="L8" s="51"/>
      <c r="M8" s="51"/>
      <c r="N8" s="51"/>
      <c r="O8" s="51"/>
      <c r="P8" s="51"/>
      <c r="Q8" s="51"/>
      <c r="R8" s="51"/>
      <c r="S8" s="51"/>
      <c r="T8" s="51"/>
      <c r="U8" s="51"/>
      <c r="V8" s="51"/>
      <c r="W8" s="51"/>
      <c r="X8" s="51"/>
      <c r="Y8" s="51"/>
      <c r="Z8" s="51"/>
      <c r="AA8" s="51"/>
      <c r="AB8" s="51"/>
      <c r="AC8" s="51"/>
      <c r="AD8" s="51"/>
      <c r="AE8" s="51"/>
      <c r="AF8" s="51"/>
      <c r="AG8" s="51"/>
      <c r="AH8" s="51"/>
      <c r="AI8" s="51"/>
      <c r="AJ8" s="51"/>
      <c r="AK8" s="51"/>
      <c r="AL8" s="51"/>
      <c r="AM8" s="51"/>
      <c r="AN8" s="51"/>
      <c r="AO8" s="51"/>
      <c r="AP8" s="51"/>
      <c r="AQ8" s="51"/>
      <c r="AR8" s="51"/>
      <c r="AS8" s="51"/>
      <c r="AT8" s="51"/>
      <c r="AU8" s="51"/>
      <c r="AV8" s="51"/>
      <c r="AW8" s="51"/>
      <c r="AX8" s="51"/>
      <c r="AY8" s="51"/>
      <c r="AZ8" s="51"/>
      <c r="BA8" s="51"/>
      <c r="BB8" s="51"/>
      <c r="BC8" s="51"/>
      <c r="BD8" s="51"/>
      <c r="BE8" s="51"/>
      <c r="BF8" s="51"/>
      <c r="BG8" s="51"/>
      <c r="BH8" s="51"/>
      <c r="BI8" s="51"/>
      <c r="BJ8" s="51"/>
      <c r="BK8" s="51"/>
      <c r="BL8" s="51"/>
      <c r="BM8" s="51"/>
      <c r="BN8" s="51"/>
      <c r="BO8" s="51"/>
      <c r="BP8" s="51"/>
      <c r="BQ8" s="51"/>
      <c r="BR8" s="51"/>
      <c r="BS8" s="51"/>
      <c r="BT8" s="51"/>
      <c r="BU8" s="51"/>
      <c r="BV8" s="51"/>
      <c r="BW8" s="51"/>
      <c r="BX8" s="51"/>
      <c r="BY8" s="51"/>
      <c r="BZ8" s="51"/>
      <c r="CA8" s="51"/>
      <c r="CB8" s="51"/>
      <c r="CC8" s="51"/>
      <c r="CD8" s="51"/>
      <c r="CE8" s="51"/>
      <c r="CF8" s="51"/>
      <c r="CG8" s="51"/>
      <c r="CH8" s="51"/>
      <c r="CI8" s="51"/>
      <c r="CJ8" s="51"/>
      <c r="CK8" s="51"/>
    </row>
    <row r="9" customFormat="false" ht="11.25" hidden="false" customHeight="true" outlineLevel="0" collapsed="false">
      <c r="C9" s="51" t="str">
        <f aca="false">'Lead PL'!C9</f>
        <v>Umsatzerlöse</v>
      </c>
      <c r="D9" s="51" t="str">
        <f aca="false">'Lead PL'!D9</f>
        <v>Revenues</v>
      </c>
      <c r="E9" s="51"/>
      <c r="F9" s="159"/>
      <c r="G9" s="159"/>
      <c r="H9" s="159"/>
      <c r="I9" s="159"/>
      <c r="J9" s="159"/>
      <c r="K9" s="159"/>
      <c r="L9" s="159"/>
      <c r="M9" s="159"/>
      <c r="N9" s="159"/>
      <c r="O9" s="159"/>
      <c r="P9" s="159"/>
      <c r="Q9" s="159"/>
      <c r="R9" s="159"/>
      <c r="S9" s="159"/>
      <c r="T9" s="159"/>
      <c r="U9" s="159"/>
      <c r="V9" s="159"/>
      <c r="W9" s="159"/>
      <c r="X9" s="159"/>
      <c r="Y9" s="159"/>
      <c r="Z9" s="159"/>
      <c r="AA9" s="159"/>
      <c r="AB9" s="159"/>
      <c r="AC9" s="159"/>
      <c r="AD9" s="159"/>
      <c r="AE9" s="159"/>
      <c r="AF9" s="159"/>
      <c r="AG9" s="159"/>
      <c r="AH9" s="159"/>
      <c r="AI9" s="159"/>
      <c r="AJ9" s="159"/>
      <c r="AK9" s="159"/>
      <c r="AL9" s="159"/>
      <c r="AM9" s="159"/>
      <c r="AN9" s="159"/>
      <c r="AO9" s="159"/>
      <c r="AP9" s="159"/>
      <c r="AQ9" s="159"/>
      <c r="AR9" s="159"/>
      <c r="AS9" s="159"/>
      <c r="AT9" s="159"/>
      <c r="AU9" s="308"/>
      <c r="AV9" s="308"/>
      <c r="AW9" s="308"/>
      <c r="AX9" s="308"/>
      <c r="AY9" s="308"/>
      <c r="AZ9" s="308"/>
      <c r="BA9" s="308"/>
      <c r="BB9" s="308"/>
      <c r="BC9" s="308"/>
      <c r="BD9" s="308"/>
      <c r="BE9" s="308"/>
      <c r="BF9" s="308"/>
      <c r="BG9" s="308"/>
      <c r="BH9" s="308"/>
      <c r="BI9" s="308"/>
      <c r="BJ9" s="308"/>
      <c r="BK9" s="308"/>
      <c r="BL9" s="308"/>
      <c r="BM9" s="308"/>
      <c r="BN9" s="308"/>
      <c r="BO9" s="308"/>
      <c r="BP9" s="308"/>
      <c r="BQ9" s="308"/>
      <c r="BR9" s="308"/>
      <c r="BS9" s="308"/>
      <c r="BT9" s="308"/>
      <c r="BU9" s="308"/>
      <c r="BV9" s="308"/>
      <c r="BW9" s="308"/>
      <c r="BX9" s="308"/>
      <c r="BY9" s="308"/>
      <c r="BZ9" s="308"/>
      <c r="CA9" s="308"/>
      <c r="CB9" s="308"/>
      <c r="CC9" s="308"/>
      <c r="CD9" s="308"/>
      <c r="CE9" s="308"/>
      <c r="CF9" s="308"/>
      <c r="CG9" s="308"/>
      <c r="CH9" s="308"/>
      <c r="CI9" s="308"/>
      <c r="CJ9" s="308"/>
      <c r="CK9" s="308"/>
      <c r="CN9" s="105" t="s">
        <v>269</v>
      </c>
    </row>
    <row r="10" customFormat="false" ht="11.25" hidden="false" customHeight="true" outlineLevel="2" collapsed="false">
      <c r="C10" s="51" t="str">
        <f aca="false">'Lead PL'!C18</f>
        <v>Bestandsveränderung</v>
      </c>
      <c r="D10" s="51" t="str">
        <f aca="false">'Lead PL'!D18</f>
        <v>Change in inventory</v>
      </c>
      <c r="E10" s="51"/>
      <c r="F10" s="159"/>
      <c r="G10" s="159"/>
      <c r="H10" s="159"/>
      <c r="I10" s="159"/>
      <c r="J10" s="159"/>
      <c r="K10" s="159"/>
      <c r="L10" s="159"/>
      <c r="M10" s="159"/>
      <c r="N10" s="159"/>
      <c r="O10" s="159"/>
      <c r="P10" s="159"/>
      <c r="Q10" s="159"/>
      <c r="R10" s="159"/>
      <c r="S10" s="159"/>
      <c r="T10" s="159"/>
      <c r="U10" s="159"/>
      <c r="V10" s="159"/>
      <c r="W10" s="159"/>
      <c r="X10" s="159"/>
      <c r="Y10" s="159"/>
      <c r="Z10" s="159"/>
      <c r="AA10" s="159"/>
      <c r="AB10" s="159"/>
      <c r="AC10" s="159"/>
      <c r="AD10" s="159"/>
      <c r="AE10" s="159"/>
      <c r="AF10" s="159"/>
      <c r="AG10" s="159"/>
      <c r="AH10" s="159"/>
      <c r="AI10" s="159"/>
      <c r="AJ10" s="159"/>
      <c r="AK10" s="159"/>
      <c r="AL10" s="159"/>
      <c r="AM10" s="159"/>
      <c r="AN10" s="159"/>
      <c r="AO10" s="159"/>
      <c r="AP10" s="159"/>
      <c r="AQ10" s="159"/>
      <c r="AR10" s="159"/>
      <c r="AS10" s="159"/>
      <c r="AT10" s="159"/>
      <c r="AU10" s="308"/>
      <c r="AV10" s="308"/>
      <c r="AW10" s="308"/>
      <c r="AX10" s="308"/>
      <c r="AY10" s="308"/>
      <c r="AZ10" s="308"/>
      <c r="BA10" s="308"/>
      <c r="BB10" s="308"/>
      <c r="BC10" s="308"/>
      <c r="BD10" s="308"/>
      <c r="BE10" s="308"/>
      <c r="BF10" s="308"/>
      <c r="BG10" s="308"/>
      <c r="BH10" s="308"/>
      <c r="BI10" s="308"/>
      <c r="BJ10" s="308"/>
      <c r="BK10" s="308"/>
      <c r="BL10" s="308"/>
      <c r="BM10" s="308"/>
      <c r="BN10" s="308"/>
      <c r="BO10" s="308"/>
      <c r="BP10" s="308"/>
      <c r="BQ10" s="308"/>
      <c r="BR10" s="308"/>
      <c r="BS10" s="308"/>
      <c r="BT10" s="308"/>
      <c r="BU10" s="308"/>
      <c r="BV10" s="308"/>
      <c r="BW10" s="308"/>
      <c r="BX10" s="308"/>
      <c r="BY10" s="308"/>
      <c r="BZ10" s="308"/>
      <c r="CA10" s="308"/>
      <c r="CB10" s="308"/>
      <c r="CC10" s="308"/>
      <c r="CD10" s="308"/>
      <c r="CE10" s="308"/>
      <c r="CF10" s="308"/>
      <c r="CG10" s="308"/>
      <c r="CH10" s="308"/>
      <c r="CI10" s="308"/>
      <c r="CJ10" s="308"/>
      <c r="CK10" s="308"/>
      <c r="CN10" s="105" t="s">
        <v>273</v>
      </c>
    </row>
    <row r="11" customFormat="false" ht="11.25" hidden="false" customHeight="true" outlineLevel="2" collapsed="false">
      <c r="C11" s="51" t="str">
        <f aca="false">'Lead PL'!C27</f>
        <v>Aktivierte Eigenleistungen</v>
      </c>
      <c r="D11" s="51" t="str">
        <f aca="false">'Lead PL'!D27</f>
        <v>Own work capitalized</v>
      </c>
      <c r="E11" s="51"/>
      <c r="F11" s="159"/>
      <c r="G11" s="159"/>
      <c r="H11" s="159"/>
      <c r="I11" s="159"/>
      <c r="J11" s="159"/>
      <c r="K11" s="159"/>
      <c r="L11" s="159"/>
      <c r="M11" s="159"/>
      <c r="N11" s="159"/>
      <c r="O11" s="159"/>
      <c r="P11" s="159"/>
      <c r="Q11" s="159"/>
      <c r="R11" s="159"/>
      <c r="S11" s="159"/>
      <c r="T11" s="159"/>
      <c r="U11" s="159"/>
      <c r="V11" s="159"/>
      <c r="W11" s="159"/>
      <c r="X11" s="159"/>
      <c r="Y11" s="159"/>
      <c r="Z11" s="159"/>
      <c r="AA11" s="159"/>
      <c r="AB11" s="159"/>
      <c r="AC11" s="159"/>
      <c r="AD11" s="159"/>
      <c r="AE11" s="159"/>
      <c r="AF11" s="159"/>
      <c r="AG11" s="159"/>
      <c r="AH11" s="159"/>
      <c r="AI11" s="159"/>
      <c r="AJ11" s="159"/>
      <c r="AK11" s="159"/>
      <c r="AL11" s="159"/>
      <c r="AM11" s="159"/>
      <c r="AN11" s="159"/>
      <c r="AO11" s="159"/>
      <c r="AP11" s="159"/>
      <c r="AQ11" s="159"/>
      <c r="AR11" s="159"/>
      <c r="AS11" s="159"/>
      <c r="AT11" s="159"/>
      <c r="AU11" s="308"/>
      <c r="AV11" s="308"/>
      <c r="AW11" s="308"/>
      <c r="AX11" s="308"/>
      <c r="AY11" s="308"/>
      <c r="AZ11" s="308"/>
      <c r="BA11" s="308"/>
      <c r="BB11" s="308"/>
      <c r="BC11" s="308"/>
      <c r="BD11" s="308"/>
      <c r="BE11" s="308"/>
      <c r="BF11" s="308"/>
      <c r="BG11" s="308"/>
      <c r="BH11" s="308"/>
      <c r="BI11" s="308"/>
      <c r="BJ11" s="308"/>
      <c r="BK11" s="308"/>
      <c r="BL11" s="308"/>
      <c r="BM11" s="308"/>
      <c r="BN11" s="308"/>
      <c r="BO11" s="308"/>
      <c r="BP11" s="308"/>
      <c r="BQ11" s="308"/>
      <c r="BR11" s="308"/>
      <c r="BS11" s="308"/>
      <c r="BT11" s="308"/>
      <c r="BU11" s="308"/>
      <c r="BV11" s="308"/>
      <c r="BW11" s="308"/>
      <c r="BX11" s="308"/>
      <c r="BY11" s="308"/>
      <c r="BZ11" s="308"/>
      <c r="CA11" s="308"/>
      <c r="CB11" s="308"/>
      <c r="CC11" s="308"/>
      <c r="CD11" s="308"/>
      <c r="CE11" s="308"/>
      <c r="CF11" s="308"/>
      <c r="CG11" s="308"/>
      <c r="CH11" s="308"/>
      <c r="CI11" s="308"/>
      <c r="CJ11" s="308"/>
      <c r="CK11" s="308"/>
      <c r="CN11" s="105" t="s">
        <v>275</v>
      </c>
    </row>
    <row r="12" customFormat="false" ht="11.25" hidden="false" customHeight="true" outlineLevel="2" collapsed="false">
      <c r="C12" s="51" t="str">
        <f aca="false">'Lead PL'!C36</f>
        <v>Dummy 1</v>
      </c>
      <c r="D12" s="51" t="str">
        <f aca="false">'Lead PL'!D36</f>
        <v>Dummy 1</v>
      </c>
      <c r="E12" s="51"/>
      <c r="F12" s="159"/>
      <c r="G12" s="159"/>
      <c r="H12" s="159"/>
      <c r="I12" s="159"/>
      <c r="J12" s="159"/>
      <c r="K12" s="159"/>
      <c r="L12" s="159"/>
      <c r="M12" s="159"/>
      <c r="N12" s="159"/>
      <c r="O12" s="159"/>
      <c r="P12" s="159"/>
      <c r="Q12" s="159"/>
      <c r="R12" s="159"/>
      <c r="S12" s="159"/>
      <c r="T12" s="159"/>
      <c r="U12" s="159"/>
      <c r="V12" s="159"/>
      <c r="W12" s="159"/>
      <c r="X12" s="159"/>
      <c r="Y12" s="159"/>
      <c r="Z12" s="159"/>
      <c r="AA12" s="159"/>
      <c r="AB12" s="159"/>
      <c r="AC12" s="159"/>
      <c r="AD12" s="159"/>
      <c r="AE12" s="159"/>
      <c r="AF12" s="159"/>
      <c r="AG12" s="159"/>
      <c r="AH12" s="159"/>
      <c r="AI12" s="159"/>
      <c r="AJ12" s="159"/>
      <c r="AK12" s="159"/>
      <c r="AL12" s="159"/>
      <c r="AM12" s="159"/>
      <c r="AN12" s="159"/>
      <c r="AO12" s="159"/>
      <c r="AP12" s="159"/>
      <c r="AQ12" s="159"/>
      <c r="AR12" s="159"/>
      <c r="AS12" s="159"/>
      <c r="AT12" s="159"/>
      <c r="AU12" s="308"/>
      <c r="AV12" s="308"/>
      <c r="AW12" s="308"/>
      <c r="AX12" s="308"/>
      <c r="AY12" s="308"/>
      <c r="AZ12" s="308"/>
      <c r="BA12" s="308"/>
      <c r="BB12" s="308"/>
      <c r="BC12" s="308"/>
      <c r="BD12" s="308"/>
      <c r="BE12" s="308"/>
      <c r="BF12" s="308"/>
      <c r="BG12" s="308"/>
      <c r="BH12" s="308"/>
      <c r="BI12" s="308"/>
      <c r="BJ12" s="308"/>
      <c r="BK12" s="308"/>
      <c r="BL12" s="308"/>
      <c r="BM12" s="308"/>
      <c r="BN12" s="308"/>
      <c r="BO12" s="308"/>
      <c r="BP12" s="308"/>
      <c r="BQ12" s="308"/>
      <c r="BR12" s="308"/>
      <c r="BS12" s="308"/>
      <c r="BT12" s="308"/>
      <c r="BU12" s="308"/>
      <c r="BV12" s="308"/>
      <c r="BW12" s="308"/>
      <c r="BX12" s="308"/>
      <c r="BY12" s="308"/>
      <c r="BZ12" s="308"/>
      <c r="CA12" s="308"/>
      <c r="CB12" s="308"/>
      <c r="CC12" s="308"/>
      <c r="CD12" s="308"/>
      <c r="CE12" s="308"/>
      <c r="CF12" s="308"/>
      <c r="CG12" s="308"/>
      <c r="CH12" s="308"/>
      <c r="CI12" s="308"/>
      <c r="CJ12" s="308"/>
      <c r="CK12" s="308"/>
      <c r="CN12" s="105"/>
    </row>
    <row r="13" customFormat="false" ht="11.25" hidden="false" customHeight="true" outlineLevel="2" collapsed="false">
      <c r="C13" s="51" t="str">
        <f aca="false">'Lead PL'!C37</f>
        <v>Dummy 2</v>
      </c>
      <c r="D13" s="51" t="str">
        <f aca="false">'Lead PL'!D37</f>
        <v>Dummy 2</v>
      </c>
      <c r="E13" s="51"/>
      <c r="F13" s="159"/>
      <c r="G13" s="159"/>
      <c r="H13" s="159"/>
      <c r="I13" s="159"/>
      <c r="J13" s="159"/>
      <c r="K13" s="159"/>
      <c r="L13" s="159"/>
      <c r="M13" s="159"/>
      <c r="N13" s="159"/>
      <c r="O13" s="159"/>
      <c r="P13" s="159"/>
      <c r="Q13" s="159"/>
      <c r="R13" s="159"/>
      <c r="S13" s="159"/>
      <c r="T13" s="159"/>
      <c r="U13" s="159"/>
      <c r="V13" s="159"/>
      <c r="W13" s="159"/>
      <c r="X13" s="159"/>
      <c r="Y13" s="159"/>
      <c r="Z13" s="159"/>
      <c r="AA13" s="159"/>
      <c r="AB13" s="159"/>
      <c r="AC13" s="159"/>
      <c r="AD13" s="159"/>
      <c r="AE13" s="159"/>
      <c r="AF13" s="159"/>
      <c r="AG13" s="159"/>
      <c r="AH13" s="159"/>
      <c r="AI13" s="159"/>
      <c r="AJ13" s="159"/>
      <c r="AK13" s="159"/>
      <c r="AL13" s="159"/>
      <c r="AM13" s="159"/>
      <c r="AN13" s="159"/>
      <c r="AO13" s="159"/>
      <c r="AP13" s="159"/>
      <c r="AQ13" s="159"/>
      <c r="AR13" s="159"/>
      <c r="AS13" s="159"/>
      <c r="AT13" s="159"/>
      <c r="AU13" s="308"/>
      <c r="AV13" s="308"/>
      <c r="AW13" s="308"/>
      <c r="AX13" s="308"/>
      <c r="AY13" s="308"/>
      <c r="AZ13" s="308"/>
      <c r="BA13" s="308"/>
      <c r="BB13" s="308"/>
      <c r="BC13" s="308"/>
      <c r="BD13" s="308"/>
      <c r="BE13" s="308"/>
      <c r="BF13" s="308"/>
      <c r="BG13" s="308"/>
      <c r="BH13" s="308"/>
      <c r="BI13" s="308"/>
      <c r="BJ13" s="308"/>
      <c r="BK13" s="308"/>
      <c r="BL13" s="308"/>
      <c r="BM13" s="308"/>
      <c r="BN13" s="308"/>
      <c r="BO13" s="308"/>
      <c r="BP13" s="308"/>
      <c r="BQ13" s="308"/>
      <c r="BR13" s="308"/>
      <c r="BS13" s="308"/>
      <c r="BT13" s="308"/>
      <c r="BU13" s="308"/>
      <c r="BV13" s="308"/>
      <c r="BW13" s="308"/>
      <c r="BX13" s="308"/>
      <c r="BY13" s="308"/>
      <c r="BZ13" s="308"/>
      <c r="CA13" s="308"/>
      <c r="CB13" s="308"/>
      <c r="CC13" s="308"/>
      <c r="CD13" s="308"/>
      <c r="CE13" s="308"/>
      <c r="CF13" s="308"/>
      <c r="CG13" s="308"/>
      <c r="CH13" s="308"/>
      <c r="CI13" s="308"/>
      <c r="CJ13" s="308"/>
      <c r="CK13" s="308"/>
      <c r="CN13" s="105"/>
    </row>
    <row r="14" customFormat="false" ht="11.25" hidden="false" customHeight="true" outlineLevel="2" collapsed="false">
      <c r="C14" s="51" t="str">
        <f aca="false">'Lead PL'!C38</f>
        <v>Dummy 3</v>
      </c>
      <c r="D14" s="51" t="str">
        <f aca="false">'Lead PL'!D38</f>
        <v>Dummy 3</v>
      </c>
      <c r="E14" s="51"/>
      <c r="F14" s="162"/>
      <c r="G14" s="162"/>
      <c r="H14" s="162"/>
      <c r="I14" s="162"/>
      <c r="J14" s="162"/>
      <c r="K14" s="162"/>
      <c r="L14" s="162"/>
      <c r="M14" s="162"/>
      <c r="N14" s="162"/>
      <c r="O14" s="162"/>
      <c r="P14" s="162"/>
      <c r="Q14" s="162"/>
      <c r="R14" s="162"/>
      <c r="S14" s="162"/>
      <c r="T14" s="162"/>
      <c r="U14" s="162"/>
      <c r="V14" s="162"/>
      <c r="W14" s="162"/>
      <c r="X14" s="162"/>
      <c r="Y14" s="162"/>
      <c r="Z14" s="162"/>
      <c r="AA14" s="162"/>
      <c r="AB14" s="162"/>
      <c r="AC14" s="162"/>
      <c r="AD14" s="162"/>
      <c r="AE14" s="162"/>
      <c r="AF14" s="162"/>
      <c r="AG14" s="162"/>
      <c r="AH14" s="162"/>
      <c r="AI14" s="162"/>
      <c r="AJ14" s="162"/>
      <c r="AK14" s="162"/>
      <c r="AL14" s="162"/>
      <c r="AM14" s="162"/>
      <c r="AN14" s="162"/>
      <c r="AO14" s="162"/>
      <c r="AP14" s="162"/>
      <c r="AQ14" s="162"/>
      <c r="AR14" s="162"/>
      <c r="AS14" s="162"/>
      <c r="AT14" s="162"/>
      <c r="AU14" s="191"/>
      <c r="AV14" s="191"/>
      <c r="AW14" s="191"/>
      <c r="AX14" s="191"/>
      <c r="AY14" s="191"/>
      <c r="AZ14" s="191"/>
      <c r="BA14" s="191"/>
      <c r="BB14" s="191"/>
      <c r="BC14" s="191"/>
      <c r="BD14" s="191"/>
      <c r="BE14" s="191"/>
      <c r="BF14" s="191"/>
      <c r="BG14" s="191"/>
      <c r="BH14" s="191"/>
      <c r="BI14" s="191"/>
      <c r="BJ14" s="191"/>
      <c r="BK14" s="191"/>
      <c r="BL14" s="191"/>
      <c r="BM14" s="191"/>
      <c r="BN14" s="191"/>
      <c r="BO14" s="191"/>
      <c r="BP14" s="191"/>
      <c r="BQ14" s="191"/>
      <c r="BR14" s="191"/>
      <c r="BS14" s="191"/>
      <c r="BT14" s="191"/>
      <c r="BU14" s="191"/>
      <c r="BV14" s="191"/>
      <c r="BW14" s="191"/>
      <c r="BX14" s="191"/>
      <c r="BY14" s="191"/>
      <c r="BZ14" s="191"/>
      <c r="CA14" s="191"/>
      <c r="CB14" s="191"/>
      <c r="CC14" s="191"/>
      <c r="CD14" s="191"/>
      <c r="CE14" s="191"/>
      <c r="CF14" s="191"/>
      <c r="CG14" s="191"/>
      <c r="CH14" s="191"/>
      <c r="CI14" s="191"/>
      <c r="CJ14" s="191"/>
      <c r="CK14" s="191"/>
      <c r="CN14" s="105"/>
    </row>
    <row r="15" customFormat="false" ht="11.25" hidden="false" customHeight="true" outlineLevel="0" collapsed="false">
      <c r="C15" s="165" t="str">
        <f aca="false">'Lead PL'!C39</f>
        <v>Gesamtleistung</v>
      </c>
      <c r="D15" s="165" t="str">
        <f aca="false">'Lead PL'!D39</f>
        <v>Total output</v>
      </c>
      <c r="E15" s="165"/>
      <c r="F15" s="165" t="n">
        <f aca="false">SUM(F9:F14)</f>
        <v>0</v>
      </c>
      <c r="G15" s="165" t="n">
        <f aca="false">SUM(G9:G14)</f>
        <v>0</v>
      </c>
      <c r="H15" s="165" t="n">
        <f aca="false">SUM(H9:H14)</f>
        <v>0</v>
      </c>
      <c r="I15" s="165" t="n">
        <f aca="false">SUM(I9:I14)</f>
        <v>0</v>
      </c>
      <c r="J15" s="165" t="n">
        <f aca="false">SUM(J9:J14)</f>
        <v>0</v>
      </c>
      <c r="K15" s="165" t="n">
        <f aca="false">SUM(K9:K14)</f>
        <v>0</v>
      </c>
      <c r="L15" s="165" t="n">
        <f aca="false">SUM(L9:L14)</f>
        <v>0</v>
      </c>
      <c r="M15" s="165" t="n">
        <f aca="false">SUM(M9:M14)</f>
        <v>0</v>
      </c>
      <c r="N15" s="165" t="n">
        <f aca="false">SUM(N9:N14)</f>
        <v>0</v>
      </c>
      <c r="O15" s="165" t="n">
        <f aca="false">SUM(O9:O14)</f>
        <v>0</v>
      </c>
      <c r="P15" s="165" t="n">
        <f aca="false">SUM(P9:P14)</f>
        <v>0</v>
      </c>
      <c r="Q15" s="165" t="n">
        <f aca="false">SUM(Q9:Q14)</f>
        <v>0</v>
      </c>
      <c r="R15" s="165" t="n">
        <f aca="false">SUM(R9:R14)</f>
        <v>0</v>
      </c>
      <c r="S15" s="165" t="n">
        <f aca="false">SUM(S9:S14)</f>
        <v>0</v>
      </c>
      <c r="T15" s="165" t="n">
        <f aca="false">SUM(T9:T14)</f>
        <v>0</v>
      </c>
      <c r="U15" s="165" t="n">
        <f aca="false">SUM(U9:U14)</f>
        <v>0</v>
      </c>
      <c r="V15" s="165" t="n">
        <f aca="false">SUM(V9:V14)</f>
        <v>0</v>
      </c>
      <c r="W15" s="165" t="n">
        <f aca="false">SUM(W9:W14)</f>
        <v>0</v>
      </c>
      <c r="X15" s="165" t="n">
        <f aca="false">SUM(X9:X14)</f>
        <v>0</v>
      </c>
      <c r="Y15" s="165" t="n">
        <f aca="false">SUM(Y9:Y14)</f>
        <v>0</v>
      </c>
      <c r="Z15" s="165" t="n">
        <f aca="false">SUM(Z9:Z14)</f>
        <v>0</v>
      </c>
      <c r="AA15" s="165" t="n">
        <f aca="false">SUM(AA9:AA14)</f>
        <v>0</v>
      </c>
      <c r="AB15" s="165" t="n">
        <f aca="false">SUM(AB9:AB14)</f>
        <v>0</v>
      </c>
      <c r="AC15" s="165" t="n">
        <f aca="false">SUM(AC9:AC14)</f>
        <v>0</v>
      </c>
      <c r="AD15" s="165" t="n">
        <f aca="false">SUM(AD9:AD14)</f>
        <v>0</v>
      </c>
      <c r="AE15" s="165" t="n">
        <f aca="false">SUM(AE9:AE14)</f>
        <v>0</v>
      </c>
      <c r="AF15" s="165" t="n">
        <f aca="false">SUM(AF9:AF14)</f>
        <v>0</v>
      </c>
      <c r="AG15" s="165" t="n">
        <f aca="false">SUM(AG9:AG14)</f>
        <v>0</v>
      </c>
      <c r="AH15" s="165" t="n">
        <f aca="false">SUM(AH9:AH14)</f>
        <v>0</v>
      </c>
      <c r="AI15" s="165" t="n">
        <f aca="false">SUM(AI9:AI14)</f>
        <v>0</v>
      </c>
      <c r="AJ15" s="165" t="n">
        <f aca="false">SUM(AJ9:AJ14)</f>
        <v>0</v>
      </c>
      <c r="AK15" s="165" t="n">
        <f aca="false">SUM(AK9:AK14)</f>
        <v>0</v>
      </c>
      <c r="AL15" s="165" t="n">
        <f aca="false">SUM(AL9:AL14)</f>
        <v>0</v>
      </c>
      <c r="AM15" s="165" t="n">
        <f aca="false">SUM(AM9:AM14)</f>
        <v>0</v>
      </c>
      <c r="AN15" s="165" t="n">
        <f aca="false">SUM(AN9:AN14)</f>
        <v>0</v>
      </c>
      <c r="AO15" s="165" t="n">
        <f aca="false">SUM(AO9:AO14)</f>
        <v>0</v>
      </c>
      <c r="AP15" s="165" t="n">
        <f aca="false">SUM(AP9:AP14)</f>
        <v>0</v>
      </c>
      <c r="AQ15" s="165" t="n">
        <f aca="false">SUM(AQ9:AQ14)</f>
        <v>0</v>
      </c>
      <c r="AR15" s="165" t="n">
        <f aca="false">SUM(AR9:AR14)</f>
        <v>0</v>
      </c>
      <c r="AS15" s="165" t="n">
        <f aca="false">SUM(AS9:AS14)</f>
        <v>0</v>
      </c>
      <c r="AT15" s="165" t="n">
        <f aca="false">SUM(AT9:AT14)</f>
        <v>0</v>
      </c>
      <c r="AU15" s="344" t="n">
        <f aca="false">SUM(AU9:AU14)</f>
        <v>0</v>
      </c>
      <c r="AV15" s="344" t="n">
        <f aca="false">SUM(AV9:AV14)</f>
        <v>0</v>
      </c>
      <c r="AW15" s="344" t="n">
        <f aca="false">SUM(AW9:AW14)</f>
        <v>0</v>
      </c>
      <c r="AX15" s="344" t="n">
        <f aca="false">SUM(AX9:AX14)</f>
        <v>0</v>
      </c>
      <c r="AY15" s="344" t="n">
        <f aca="false">SUM(AY9:AY14)</f>
        <v>0</v>
      </c>
      <c r="AZ15" s="344" t="n">
        <f aca="false">SUM(AZ9:AZ14)</f>
        <v>0</v>
      </c>
      <c r="BA15" s="344" t="n">
        <f aca="false">SUM(BA9:BA14)</f>
        <v>0</v>
      </c>
      <c r="BB15" s="344" t="n">
        <f aca="false">SUM(BB9:BB14)</f>
        <v>0</v>
      </c>
      <c r="BC15" s="344" t="n">
        <f aca="false">SUM(BC9:BC14)</f>
        <v>0</v>
      </c>
      <c r="BD15" s="344" t="n">
        <f aca="false">SUM(BD9:BD14)</f>
        <v>0</v>
      </c>
      <c r="BE15" s="344" t="n">
        <f aca="false">SUM(BE9:BE14)</f>
        <v>0</v>
      </c>
      <c r="BF15" s="344" t="n">
        <f aca="false">SUM(BF9:BF14)</f>
        <v>0</v>
      </c>
      <c r="BG15" s="344" t="n">
        <f aca="false">SUM(BG9:BG14)</f>
        <v>0</v>
      </c>
      <c r="BH15" s="344" t="n">
        <f aca="false">SUM(BH9:BH14)</f>
        <v>0</v>
      </c>
      <c r="BI15" s="344" t="n">
        <f aca="false">SUM(BI9:BI14)</f>
        <v>0</v>
      </c>
      <c r="BJ15" s="344" t="n">
        <f aca="false">SUM(BJ9:BJ14)</f>
        <v>0</v>
      </c>
      <c r="BK15" s="344" t="n">
        <f aca="false">SUM(BK9:BK14)</f>
        <v>0</v>
      </c>
      <c r="BL15" s="344" t="n">
        <f aca="false">SUM(BL9:BL14)</f>
        <v>0</v>
      </c>
      <c r="BM15" s="344" t="n">
        <f aca="false">SUM(BM9:BM14)</f>
        <v>0</v>
      </c>
      <c r="BN15" s="344" t="n">
        <f aca="false">SUM(BN9:BN14)</f>
        <v>0</v>
      </c>
      <c r="BO15" s="344" t="n">
        <f aca="false">SUM(BO9:BO14)</f>
        <v>0</v>
      </c>
      <c r="BP15" s="344" t="n">
        <f aca="false">SUM(BP9:BP14)</f>
        <v>0</v>
      </c>
      <c r="BQ15" s="344" t="n">
        <f aca="false">SUM(BQ9:BQ14)</f>
        <v>0</v>
      </c>
      <c r="BR15" s="344" t="n">
        <f aca="false">SUM(BR9:BR14)</f>
        <v>0</v>
      </c>
      <c r="BS15" s="344" t="n">
        <f aca="false">SUM(BS9:BS14)</f>
        <v>0</v>
      </c>
      <c r="BT15" s="344" t="n">
        <f aca="false">SUM(BT9:BT14)</f>
        <v>0</v>
      </c>
      <c r="BU15" s="344" t="n">
        <f aca="false">SUM(BU9:BU14)</f>
        <v>0</v>
      </c>
      <c r="BV15" s="344" t="n">
        <f aca="false">SUM(BV9:BV14)</f>
        <v>0</v>
      </c>
      <c r="BW15" s="344" t="n">
        <f aca="false">SUM(BW9:BW14)</f>
        <v>0</v>
      </c>
      <c r="BX15" s="344" t="n">
        <f aca="false">SUM(BX9:BX14)</f>
        <v>0</v>
      </c>
      <c r="BY15" s="344" t="n">
        <f aca="false">SUM(BY9:BY14)</f>
        <v>0</v>
      </c>
      <c r="BZ15" s="344" t="n">
        <f aca="false">SUM(BZ9:BZ14)</f>
        <v>0</v>
      </c>
      <c r="CA15" s="344" t="n">
        <f aca="false">SUM(CA9:CA14)</f>
        <v>0</v>
      </c>
      <c r="CB15" s="344" t="n">
        <f aca="false">SUM(CB9:CB14)</f>
        <v>0</v>
      </c>
      <c r="CC15" s="344" t="n">
        <f aca="false">SUM(CC9:CC14)</f>
        <v>0</v>
      </c>
      <c r="CD15" s="344" t="n">
        <f aca="false">SUM(CD9:CD14)</f>
        <v>0</v>
      </c>
      <c r="CE15" s="344" t="n">
        <f aca="false">SUM(CE9:CE14)</f>
        <v>0</v>
      </c>
      <c r="CF15" s="344" t="n">
        <f aca="false">SUM(CF9:CF14)</f>
        <v>0</v>
      </c>
      <c r="CG15" s="344" t="n">
        <f aca="false">SUM(CG9:CG14)</f>
        <v>0</v>
      </c>
      <c r="CH15" s="344" t="n">
        <f aca="false">SUM(CH9:CH14)</f>
        <v>0</v>
      </c>
      <c r="CI15" s="344" t="n">
        <f aca="false">SUM(CI9:CI14)</f>
        <v>0</v>
      </c>
      <c r="CJ15" s="344" t="n">
        <f aca="false">SUM(CJ9:CJ14)</f>
        <v>0</v>
      </c>
      <c r="CK15" s="344" t="n">
        <f aca="false">SUM(CK9:CK14)</f>
        <v>0</v>
      </c>
    </row>
    <row r="16" customFormat="false" ht="11.25" hidden="false" customHeight="true" outlineLevel="0" collapsed="false">
      <c r="C16" s="51" t="str">
        <f aca="false">'Lead PL'!C40</f>
        <v>Materialaufwand</v>
      </c>
      <c r="D16" s="51" t="str">
        <f aca="false">'Lead PL'!D40</f>
        <v>Cost of materials</v>
      </c>
      <c r="E16" s="51"/>
      <c r="F16" s="159"/>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59"/>
      <c r="AE16" s="159"/>
      <c r="AF16" s="159"/>
      <c r="AG16" s="159"/>
      <c r="AH16" s="159"/>
      <c r="AI16" s="159"/>
      <c r="AJ16" s="159"/>
      <c r="AK16" s="159"/>
      <c r="AL16" s="159"/>
      <c r="AM16" s="159"/>
      <c r="AN16" s="159"/>
      <c r="AO16" s="159"/>
      <c r="AP16" s="159"/>
      <c r="AQ16" s="159"/>
      <c r="AR16" s="159"/>
      <c r="AS16" s="159"/>
      <c r="AT16" s="159"/>
      <c r="AU16" s="308"/>
      <c r="AV16" s="308"/>
      <c r="AW16" s="308"/>
      <c r="AX16" s="308"/>
      <c r="AY16" s="308"/>
      <c r="AZ16" s="308"/>
      <c r="BA16" s="308"/>
      <c r="BB16" s="308"/>
      <c r="BC16" s="308"/>
      <c r="BD16" s="308"/>
      <c r="BE16" s="308"/>
      <c r="BF16" s="308"/>
      <c r="BG16" s="308"/>
      <c r="BH16" s="308"/>
      <c r="BI16" s="308"/>
      <c r="BJ16" s="308"/>
      <c r="BK16" s="308"/>
      <c r="BL16" s="308"/>
      <c r="BM16" s="308"/>
      <c r="BN16" s="308"/>
      <c r="BO16" s="308"/>
      <c r="BP16" s="308"/>
      <c r="BQ16" s="308"/>
      <c r="BR16" s="308"/>
      <c r="BS16" s="308"/>
      <c r="BT16" s="308"/>
      <c r="BU16" s="308"/>
      <c r="BV16" s="308"/>
      <c r="BW16" s="308"/>
      <c r="BX16" s="308"/>
      <c r="BY16" s="308"/>
      <c r="BZ16" s="308"/>
      <c r="CA16" s="308"/>
      <c r="CB16" s="308"/>
      <c r="CC16" s="308"/>
      <c r="CD16" s="308"/>
      <c r="CE16" s="308"/>
      <c r="CF16" s="308"/>
      <c r="CG16" s="308"/>
      <c r="CH16" s="308"/>
      <c r="CI16" s="308"/>
      <c r="CJ16" s="308"/>
      <c r="CK16" s="308"/>
      <c r="CN16" s="105" t="s">
        <v>289</v>
      </c>
    </row>
    <row r="17" customFormat="false" ht="11.25" hidden="false" customHeight="true" outlineLevel="2" collapsed="false">
      <c r="C17" s="51" t="str">
        <f aca="false">'Lead PL'!C49</f>
        <v>Dummy 1</v>
      </c>
      <c r="D17" s="51" t="str">
        <f aca="false">'Lead PL'!D49</f>
        <v>Dummy 1</v>
      </c>
      <c r="E17" s="51"/>
      <c r="F17" s="159"/>
      <c r="G17" s="159"/>
      <c r="H17" s="159"/>
      <c r="I17" s="159"/>
      <c r="J17" s="159"/>
      <c r="K17" s="159"/>
      <c r="L17" s="159"/>
      <c r="M17" s="159"/>
      <c r="N17" s="159"/>
      <c r="O17" s="159"/>
      <c r="P17" s="159"/>
      <c r="Q17" s="159"/>
      <c r="R17" s="159"/>
      <c r="S17" s="159"/>
      <c r="T17" s="159"/>
      <c r="U17" s="159"/>
      <c r="V17" s="159"/>
      <c r="W17" s="159"/>
      <c r="X17" s="159"/>
      <c r="Y17" s="159"/>
      <c r="Z17" s="159"/>
      <c r="AA17" s="159"/>
      <c r="AB17" s="159"/>
      <c r="AC17" s="159"/>
      <c r="AD17" s="159"/>
      <c r="AE17" s="159"/>
      <c r="AF17" s="159"/>
      <c r="AG17" s="159"/>
      <c r="AH17" s="159"/>
      <c r="AI17" s="159"/>
      <c r="AJ17" s="159"/>
      <c r="AK17" s="159"/>
      <c r="AL17" s="159"/>
      <c r="AM17" s="159"/>
      <c r="AN17" s="159"/>
      <c r="AO17" s="159"/>
      <c r="AP17" s="159"/>
      <c r="AQ17" s="159"/>
      <c r="AR17" s="159"/>
      <c r="AS17" s="159"/>
      <c r="AT17" s="159"/>
      <c r="AU17" s="308"/>
      <c r="AV17" s="308"/>
      <c r="AW17" s="308"/>
      <c r="AX17" s="308"/>
      <c r="AY17" s="308"/>
      <c r="AZ17" s="308"/>
      <c r="BA17" s="308"/>
      <c r="BB17" s="308"/>
      <c r="BC17" s="308"/>
      <c r="BD17" s="308"/>
      <c r="BE17" s="308"/>
      <c r="BF17" s="308"/>
      <c r="BG17" s="308"/>
      <c r="BH17" s="308"/>
      <c r="BI17" s="308"/>
      <c r="BJ17" s="308"/>
      <c r="BK17" s="308"/>
      <c r="BL17" s="308"/>
      <c r="BM17" s="308"/>
      <c r="BN17" s="308"/>
      <c r="BO17" s="308"/>
      <c r="BP17" s="308"/>
      <c r="BQ17" s="308"/>
      <c r="BR17" s="308"/>
      <c r="BS17" s="308"/>
      <c r="BT17" s="308"/>
      <c r="BU17" s="308"/>
      <c r="BV17" s="308"/>
      <c r="BW17" s="308"/>
      <c r="BX17" s="308"/>
      <c r="BY17" s="308"/>
      <c r="BZ17" s="308"/>
      <c r="CA17" s="308"/>
      <c r="CB17" s="308"/>
      <c r="CC17" s="308"/>
      <c r="CD17" s="308"/>
      <c r="CE17" s="308"/>
      <c r="CF17" s="308"/>
      <c r="CG17" s="308"/>
      <c r="CH17" s="308"/>
      <c r="CI17" s="308"/>
      <c r="CJ17" s="308"/>
      <c r="CK17" s="308"/>
      <c r="CN17" s="105"/>
    </row>
    <row r="18" customFormat="false" ht="11.25" hidden="false" customHeight="true" outlineLevel="2" collapsed="false">
      <c r="C18" s="51" t="str">
        <f aca="false">'Lead PL'!C50</f>
        <v>Dummy 2</v>
      </c>
      <c r="D18" s="51" t="str">
        <f aca="false">'Lead PL'!D50</f>
        <v>Dummy 2</v>
      </c>
      <c r="E18" s="51"/>
      <c r="F18" s="159"/>
      <c r="G18" s="159"/>
      <c r="H18" s="159"/>
      <c r="I18" s="159"/>
      <c r="J18" s="159"/>
      <c r="K18" s="159"/>
      <c r="L18" s="159"/>
      <c r="M18" s="159"/>
      <c r="N18" s="159"/>
      <c r="O18" s="159"/>
      <c r="P18" s="159"/>
      <c r="Q18" s="159"/>
      <c r="R18" s="159"/>
      <c r="S18" s="159"/>
      <c r="T18" s="159"/>
      <c r="U18" s="159"/>
      <c r="V18" s="159"/>
      <c r="W18" s="159"/>
      <c r="X18" s="159"/>
      <c r="Y18" s="159"/>
      <c r="Z18" s="159"/>
      <c r="AA18" s="159"/>
      <c r="AB18" s="159"/>
      <c r="AC18" s="159"/>
      <c r="AD18" s="159"/>
      <c r="AE18" s="159"/>
      <c r="AF18" s="159"/>
      <c r="AG18" s="159"/>
      <c r="AH18" s="159"/>
      <c r="AI18" s="159"/>
      <c r="AJ18" s="159"/>
      <c r="AK18" s="159"/>
      <c r="AL18" s="159"/>
      <c r="AM18" s="159"/>
      <c r="AN18" s="159"/>
      <c r="AO18" s="159"/>
      <c r="AP18" s="159"/>
      <c r="AQ18" s="159"/>
      <c r="AR18" s="159"/>
      <c r="AS18" s="159"/>
      <c r="AT18" s="159"/>
      <c r="AU18" s="308"/>
      <c r="AV18" s="308"/>
      <c r="AW18" s="308"/>
      <c r="AX18" s="308"/>
      <c r="AY18" s="308"/>
      <c r="AZ18" s="308"/>
      <c r="BA18" s="308"/>
      <c r="BB18" s="308"/>
      <c r="BC18" s="308"/>
      <c r="BD18" s="308"/>
      <c r="BE18" s="308"/>
      <c r="BF18" s="308"/>
      <c r="BG18" s="308"/>
      <c r="BH18" s="308"/>
      <c r="BI18" s="308"/>
      <c r="BJ18" s="308"/>
      <c r="BK18" s="308"/>
      <c r="BL18" s="308"/>
      <c r="BM18" s="308"/>
      <c r="BN18" s="308"/>
      <c r="BO18" s="308"/>
      <c r="BP18" s="308"/>
      <c r="BQ18" s="308"/>
      <c r="BR18" s="308"/>
      <c r="BS18" s="308"/>
      <c r="BT18" s="308"/>
      <c r="BU18" s="308"/>
      <c r="BV18" s="308"/>
      <c r="BW18" s="308"/>
      <c r="BX18" s="308"/>
      <c r="BY18" s="308"/>
      <c r="BZ18" s="308"/>
      <c r="CA18" s="308"/>
      <c r="CB18" s="308"/>
      <c r="CC18" s="308"/>
      <c r="CD18" s="308"/>
      <c r="CE18" s="308"/>
      <c r="CF18" s="308"/>
      <c r="CG18" s="308"/>
      <c r="CH18" s="308"/>
      <c r="CI18" s="308"/>
      <c r="CJ18" s="308"/>
      <c r="CK18" s="308"/>
      <c r="CN18" s="105"/>
    </row>
    <row r="19" customFormat="false" ht="11.25" hidden="false" customHeight="true" outlineLevel="2" collapsed="false">
      <c r="C19" s="54" t="str">
        <f aca="false">'Lead PL'!C51</f>
        <v>Dummy 3</v>
      </c>
      <c r="D19" s="54" t="str">
        <f aca="false">'Lead PL'!D51</f>
        <v>Dummy 3</v>
      </c>
      <c r="E19" s="54"/>
      <c r="F19" s="162"/>
      <c r="G19" s="162"/>
      <c r="H19" s="162"/>
      <c r="I19" s="162"/>
      <c r="J19" s="162"/>
      <c r="K19" s="162"/>
      <c r="L19" s="162"/>
      <c r="M19" s="162"/>
      <c r="N19" s="162"/>
      <c r="O19" s="162"/>
      <c r="P19" s="162"/>
      <c r="Q19" s="162"/>
      <c r="R19" s="162"/>
      <c r="S19" s="162"/>
      <c r="T19" s="162"/>
      <c r="U19" s="162"/>
      <c r="V19" s="162"/>
      <c r="W19" s="162"/>
      <c r="X19" s="162"/>
      <c r="Y19" s="162"/>
      <c r="Z19" s="162"/>
      <c r="AA19" s="162"/>
      <c r="AB19" s="162"/>
      <c r="AC19" s="162"/>
      <c r="AD19" s="162"/>
      <c r="AE19" s="162"/>
      <c r="AF19" s="162"/>
      <c r="AG19" s="162"/>
      <c r="AH19" s="162"/>
      <c r="AI19" s="162"/>
      <c r="AJ19" s="162"/>
      <c r="AK19" s="162"/>
      <c r="AL19" s="162"/>
      <c r="AM19" s="162"/>
      <c r="AN19" s="162"/>
      <c r="AO19" s="162"/>
      <c r="AP19" s="162"/>
      <c r="AQ19" s="162"/>
      <c r="AR19" s="162"/>
      <c r="AS19" s="162"/>
      <c r="AT19" s="162"/>
      <c r="AU19" s="191"/>
      <c r="AV19" s="191"/>
      <c r="AW19" s="191"/>
      <c r="AX19" s="191"/>
      <c r="AY19" s="191"/>
      <c r="AZ19" s="191"/>
      <c r="BA19" s="191"/>
      <c r="BB19" s="191"/>
      <c r="BC19" s="191"/>
      <c r="BD19" s="191"/>
      <c r="BE19" s="191"/>
      <c r="BF19" s="191"/>
      <c r="BG19" s="191"/>
      <c r="BH19" s="191"/>
      <c r="BI19" s="191"/>
      <c r="BJ19" s="191"/>
      <c r="BK19" s="191"/>
      <c r="BL19" s="191"/>
      <c r="BM19" s="191"/>
      <c r="BN19" s="191"/>
      <c r="BO19" s="191"/>
      <c r="BP19" s="191"/>
      <c r="BQ19" s="191"/>
      <c r="BR19" s="191"/>
      <c r="BS19" s="191"/>
      <c r="BT19" s="191"/>
      <c r="BU19" s="191"/>
      <c r="BV19" s="191"/>
      <c r="BW19" s="191"/>
      <c r="BX19" s="191"/>
      <c r="BY19" s="191"/>
      <c r="BZ19" s="191"/>
      <c r="CA19" s="191"/>
      <c r="CB19" s="191"/>
      <c r="CC19" s="191"/>
      <c r="CD19" s="191"/>
      <c r="CE19" s="191"/>
      <c r="CF19" s="191"/>
      <c r="CG19" s="191"/>
      <c r="CH19" s="191"/>
      <c r="CI19" s="191"/>
      <c r="CJ19" s="191"/>
      <c r="CK19" s="191"/>
      <c r="CN19" s="105"/>
    </row>
    <row r="20" customFormat="false" ht="11.25" hidden="false" customHeight="true" outlineLevel="0" collapsed="false">
      <c r="C20" s="165" t="str">
        <f aca="false">'Lead PL'!C52</f>
        <v>Rohergebnis</v>
      </c>
      <c r="D20" s="165" t="str">
        <f aca="false">'Lead PL'!D52</f>
        <v>Gross profit</v>
      </c>
      <c r="E20" s="165"/>
      <c r="F20" s="165" t="n">
        <f aca="false">SUM(F15:F19)</f>
        <v>0</v>
      </c>
      <c r="G20" s="165" t="n">
        <f aca="false">SUM(G15:G19)</f>
        <v>0</v>
      </c>
      <c r="H20" s="165" t="n">
        <f aca="false">SUM(H15:H19)</f>
        <v>0</v>
      </c>
      <c r="I20" s="165" t="n">
        <f aca="false">SUM(I15:I19)</f>
        <v>0</v>
      </c>
      <c r="J20" s="165" t="n">
        <f aca="false">SUM(J15:J19)</f>
        <v>0</v>
      </c>
      <c r="K20" s="165" t="n">
        <f aca="false">SUM(K15:K19)</f>
        <v>0</v>
      </c>
      <c r="L20" s="165" t="n">
        <f aca="false">SUM(L15:L19)</f>
        <v>0</v>
      </c>
      <c r="M20" s="165" t="n">
        <f aca="false">SUM(M15:M19)</f>
        <v>0</v>
      </c>
      <c r="N20" s="165" t="n">
        <f aca="false">SUM(N15:N19)</f>
        <v>0</v>
      </c>
      <c r="O20" s="165" t="n">
        <f aca="false">SUM(O15:O19)</f>
        <v>0</v>
      </c>
      <c r="P20" s="165" t="n">
        <f aca="false">SUM(P15:P19)</f>
        <v>0</v>
      </c>
      <c r="Q20" s="165" t="n">
        <f aca="false">SUM(Q15:Q19)</f>
        <v>0</v>
      </c>
      <c r="R20" s="165" t="n">
        <f aca="false">SUM(R15:R19)</f>
        <v>0</v>
      </c>
      <c r="S20" s="165" t="n">
        <f aca="false">SUM(S15:S19)</f>
        <v>0</v>
      </c>
      <c r="T20" s="165" t="n">
        <f aca="false">SUM(T15:T19)</f>
        <v>0</v>
      </c>
      <c r="U20" s="165" t="n">
        <f aca="false">SUM(U15:U19)</f>
        <v>0</v>
      </c>
      <c r="V20" s="165" t="n">
        <f aca="false">SUM(V15:V19)</f>
        <v>0</v>
      </c>
      <c r="W20" s="165" t="n">
        <f aca="false">SUM(W15:W19)</f>
        <v>0</v>
      </c>
      <c r="X20" s="165" t="n">
        <f aca="false">SUM(X15:X19)</f>
        <v>0</v>
      </c>
      <c r="Y20" s="165" t="n">
        <f aca="false">SUM(Y15:Y19)</f>
        <v>0</v>
      </c>
      <c r="Z20" s="165" t="n">
        <f aca="false">SUM(Z15:Z19)</f>
        <v>0</v>
      </c>
      <c r="AA20" s="165" t="n">
        <f aca="false">SUM(AA15:AA19)</f>
        <v>0</v>
      </c>
      <c r="AB20" s="165" t="n">
        <f aca="false">SUM(AB15:AB19)</f>
        <v>0</v>
      </c>
      <c r="AC20" s="165" t="n">
        <f aca="false">SUM(AC15:AC19)</f>
        <v>0</v>
      </c>
      <c r="AD20" s="165" t="n">
        <f aca="false">SUM(AD15:AD19)</f>
        <v>0</v>
      </c>
      <c r="AE20" s="165" t="n">
        <f aca="false">SUM(AE15:AE19)</f>
        <v>0</v>
      </c>
      <c r="AF20" s="165" t="n">
        <f aca="false">SUM(AF15:AF19)</f>
        <v>0</v>
      </c>
      <c r="AG20" s="165" t="n">
        <f aca="false">SUM(AG15:AG19)</f>
        <v>0</v>
      </c>
      <c r="AH20" s="165" t="n">
        <f aca="false">SUM(AH15:AH19)</f>
        <v>0</v>
      </c>
      <c r="AI20" s="165" t="n">
        <f aca="false">SUM(AI15:AI19)</f>
        <v>0</v>
      </c>
      <c r="AJ20" s="165" t="n">
        <f aca="false">SUM(AJ15:AJ19)</f>
        <v>0</v>
      </c>
      <c r="AK20" s="165" t="n">
        <f aca="false">SUM(AK15:AK19)</f>
        <v>0</v>
      </c>
      <c r="AL20" s="165" t="n">
        <f aca="false">SUM(AL15:AL19)</f>
        <v>0</v>
      </c>
      <c r="AM20" s="165" t="n">
        <f aca="false">SUM(AM15:AM19)</f>
        <v>0</v>
      </c>
      <c r="AN20" s="165" t="n">
        <f aca="false">SUM(AN15:AN19)</f>
        <v>0</v>
      </c>
      <c r="AO20" s="165" t="n">
        <f aca="false">SUM(AO15:AO19)</f>
        <v>0</v>
      </c>
      <c r="AP20" s="165" t="n">
        <f aca="false">SUM(AP15:AP19)</f>
        <v>0</v>
      </c>
      <c r="AQ20" s="165" t="n">
        <f aca="false">SUM(AQ15:AQ19)</f>
        <v>0</v>
      </c>
      <c r="AR20" s="165" t="n">
        <f aca="false">SUM(AR15:AR19)</f>
        <v>0</v>
      </c>
      <c r="AS20" s="165" t="n">
        <f aca="false">SUM(AS15:AS19)</f>
        <v>0</v>
      </c>
      <c r="AT20" s="165" t="n">
        <f aca="false">SUM(AT15:AT19)</f>
        <v>0</v>
      </c>
      <c r="AU20" s="344" t="n">
        <f aca="false">SUM(AU15:AU19)</f>
        <v>0</v>
      </c>
      <c r="AV20" s="344" t="n">
        <f aca="false">SUM(AV15:AV19)</f>
        <v>0</v>
      </c>
      <c r="AW20" s="344" t="n">
        <f aca="false">SUM(AW15:AW19)</f>
        <v>0</v>
      </c>
      <c r="AX20" s="344" t="n">
        <f aca="false">SUM(AX15:AX19)</f>
        <v>0</v>
      </c>
      <c r="AY20" s="344" t="n">
        <f aca="false">SUM(AY15:AY19)</f>
        <v>0</v>
      </c>
      <c r="AZ20" s="344" t="n">
        <f aca="false">SUM(AZ15:AZ19)</f>
        <v>0</v>
      </c>
      <c r="BA20" s="344" t="n">
        <f aca="false">SUM(BA15:BA19)</f>
        <v>0</v>
      </c>
      <c r="BB20" s="344" t="n">
        <f aca="false">SUM(BB15:BB19)</f>
        <v>0</v>
      </c>
      <c r="BC20" s="344" t="n">
        <f aca="false">SUM(BC15:BC19)</f>
        <v>0</v>
      </c>
      <c r="BD20" s="344" t="n">
        <f aca="false">SUM(BD15:BD19)</f>
        <v>0</v>
      </c>
      <c r="BE20" s="344" t="n">
        <f aca="false">SUM(BE15:BE19)</f>
        <v>0</v>
      </c>
      <c r="BF20" s="344" t="n">
        <f aca="false">SUM(BF15:BF19)</f>
        <v>0</v>
      </c>
      <c r="BG20" s="344" t="n">
        <f aca="false">SUM(BG15:BG19)</f>
        <v>0</v>
      </c>
      <c r="BH20" s="344" t="n">
        <f aca="false">SUM(BH15:BH19)</f>
        <v>0</v>
      </c>
      <c r="BI20" s="344" t="n">
        <f aca="false">SUM(BI15:BI19)</f>
        <v>0</v>
      </c>
      <c r="BJ20" s="344" t="n">
        <f aca="false">SUM(BJ15:BJ19)</f>
        <v>0</v>
      </c>
      <c r="BK20" s="344" t="n">
        <f aca="false">SUM(BK15:BK19)</f>
        <v>0</v>
      </c>
      <c r="BL20" s="344" t="n">
        <f aca="false">SUM(BL15:BL19)</f>
        <v>0</v>
      </c>
      <c r="BM20" s="344" t="n">
        <f aca="false">SUM(BM15:BM19)</f>
        <v>0</v>
      </c>
      <c r="BN20" s="344" t="n">
        <f aca="false">SUM(BN15:BN19)</f>
        <v>0</v>
      </c>
      <c r="BO20" s="344" t="n">
        <f aca="false">SUM(BO15:BO19)</f>
        <v>0</v>
      </c>
      <c r="BP20" s="344" t="n">
        <f aca="false">SUM(BP15:BP19)</f>
        <v>0</v>
      </c>
      <c r="BQ20" s="344" t="n">
        <f aca="false">SUM(BQ15:BQ19)</f>
        <v>0</v>
      </c>
      <c r="BR20" s="344" t="n">
        <f aca="false">SUM(BR15:BR19)</f>
        <v>0</v>
      </c>
      <c r="BS20" s="344" t="n">
        <f aca="false">SUM(BS15:BS19)</f>
        <v>0</v>
      </c>
      <c r="BT20" s="344" t="n">
        <f aca="false">SUM(BT15:BT19)</f>
        <v>0</v>
      </c>
      <c r="BU20" s="344" t="n">
        <f aca="false">SUM(BU15:BU19)</f>
        <v>0</v>
      </c>
      <c r="BV20" s="344" t="n">
        <f aca="false">SUM(BV15:BV19)</f>
        <v>0</v>
      </c>
      <c r="BW20" s="344" t="n">
        <f aca="false">SUM(BW15:BW19)</f>
        <v>0</v>
      </c>
      <c r="BX20" s="344" t="n">
        <f aca="false">SUM(BX15:BX19)</f>
        <v>0</v>
      </c>
      <c r="BY20" s="344" t="n">
        <f aca="false">SUM(BY15:BY19)</f>
        <v>0</v>
      </c>
      <c r="BZ20" s="344" t="n">
        <f aca="false">SUM(BZ15:BZ19)</f>
        <v>0</v>
      </c>
      <c r="CA20" s="344" t="n">
        <f aca="false">SUM(CA15:CA19)</f>
        <v>0</v>
      </c>
      <c r="CB20" s="344" t="n">
        <f aca="false">SUM(CB15:CB19)</f>
        <v>0</v>
      </c>
      <c r="CC20" s="344" t="n">
        <f aca="false">SUM(CC15:CC19)</f>
        <v>0</v>
      </c>
      <c r="CD20" s="344" t="n">
        <f aca="false">SUM(CD15:CD19)</f>
        <v>0</v>
      </c>
      <c r="CE20" s="344" t="n">
        <f aca="false">SUM(CE15:CE19)</f>
        <v>0</v>
      </c>
      <c r="CF20" s="344" t="n">
        <f aca="false">SUM(CF15:CF19)</f>
        <v>0</v>
      </c>
      <c r="CG20" s="344" t="n">
        <f aca="false">SUM(CG15:CG19)</f>
        <v>0</v>
      </c>
      <c r="CH20" s="344" t="n">
        <f aca="false">SUM(CH15:CH19)</f>
        <v>0</v>
      </c>
      <c r="CI20" s="344" t="n">
        <f aca="false">SUM(CI15:CI19)</f>
        <v>0</v>
      </c>
      <c r="CJ20" s="344" t="n">
        <f aca="false">SUM(CJ15:CJ19)</f>
        <v>0</v>
      </c>
      <c r="CK20" s="344" t="n">
        <f aca="false">SUM(CK15:CK19)</f>
        <v>0</v>
      </c>
    </row>
    <row r="21" customFormat="false" ht="11.25" hidden="false" customHeight="true" outlineLevel="0" collapsed="false">
      <c r="C21" s="51" t="str">
        <f aca="false">'Lead PL'!C53</f>
        <v>Personalaufwand</v>
      </c>
      <c r="D21" s="51" t="str">
        <f aca="false">'Lead PL'!D53</f>
        <v>Personnel expenses</v>
      </c>
      <c r="E21" s="51"/>
      <c r="F21" s="159"/>
      <c r="G21" s="159"/>
      <c r="H21" s="159"/>
      <c r="I21" s="159"/>
      <c r="J21" s="159"/>
      <c r="K21" s="159"/>
      <c r="L21" s="159"/>
      <c r="M21" s="159"/>
      <c r="N21" s="159"/>
      <c r="O21" s="159"/>
      <c r="P21" s="159"/>
      <c r="Q21" s="159"/>
      <c r="R21" s="159"/>
      <c r="S21" s="159"/>
      <c r="T21" s="159"/>
      <c r="U21" s="159"/>
      <c r="V21" s="159"/>
      <c r="W21" s="159"/>
      <c r="X21" s="159"/>
      <c r="Y21" s="159"/>
      <c r="Z21" s="159"/>
      <c r="AA21" s="159"/>
      <c r="AB21" s="159"/>
      <c r="AC21" s="159"/>
      <c r="AD21" s="159"/>
      <c r="AE21" s="159"/>
      <c r="AF21" s="159"/>
      <c r="AG21" s="159"/>
      <c r="AH21" s="159"/>
      <c r="AI21" s="159"/>
      <c r="AJ21" s="159"/>
      <c r="AK21" s="159"/>
      <c r="AL21" s="159"/>
      <c r="AM21" s="159"/>
      <c r="AN21" s="159"/>
      <c r="AO21" s="159"/>
      <c r="AP21" s="159"/>
      <c r="AQ21" s="159"/>
      <c r="AR21" s="159"/>
      <c r="AS21" s="159"/>
      <c r="AT21" s="159"/>
      <c r="AU21" s="308"/>
      <c r="AV21" s="308"/>
      <c r="AW21" s="308"/>
      <c r="AX21" s="308"/>
      <c r="AY21" s="308"/>
      <c r="AZ21" s="308"/>
      <c r="BA21" s="308"/>
      <c r="BB21" s="308"/>
      <c r="BC21" s="308"/>
      <c r="BD21" s="308"/>
      <c r="BE21" s="308"/>
      <c r="BF21" s="308"/>
      <c r="BG21" s="308"/>
      <c r="BH21" s="308"/>
      <c r="BI21" s="308"/>
      <c r="BJ21" s="308"/>
      <c r="BK21" s="308"/>
      <c r="BL21" s="308"/>
      <c r="BM21" s="308"/>
      <c r="BN21" s="308"/>
      <c r="BO21" s="308"/>
      <c r="BP21" s="308"/>
      <c r="BQ21" s="308"/>
      <c r="BR21" s="308"/>
      <c r="BS21" s="308"/>
      <c r="BT21" s="308"/>
      <c r="BU21" s="308"/>
      <c r="BV21" s="308"/>
      <c r="BW21" s="308"/>
      <c r="BX21" s="308"/>
      <c r="BY21" s="308"/>
      <c r="BZ21" s="308"/>
      <c r="CA21" s="308"/>
      <c r="CB21" s="308"/>
      <c r="CC21" s="308"/>
      <c r="CD21" s="308"/>
      <c r="CE21" s="308"/>
      <c r="CF21" s="308"/>
      <c r="CG21" s="308"/>
      <c r="CH21" s="308"/>
      <c r="CI21" s="308"/>
      <c r="CJ21" s="308"/>
      <c r="CK21" s="308"/>
      <c r="CN21" s="105" t="s">
        <v>291</v>
      </c>
    </row>
    <row r="22" customFormat="false" ht="11.25" hidden="false" customHeight="true" outlineLevel="0" collapsed="false">
      <c r="C22" s="51" t="str">
        <f aca="false">'Lead PL'!C62</f>
        <v>Raumkosten</v>
      </c>
      <c r="D22" s="51" t="str">
        <f aca="false">'Lead PL'!D62</f>
        <v>Premise costs</v>
      </c>
      <c r="E22" s="51"/>
      <c r="F22" s="159"/>
      <c r="G22" s="159"/>
      <c r="H22" s="159"/>
      <c r="I22" s="159"/>
      <c r="J22" s="159"/>
      <c r="K22" s="159"/>
      <c r="L22" s="159"/>
      <c r="M22" s="159"/>
      <c r="N22" s="159"/>
      <c r="O22" s="159"/>
      <c r="P22" s="159"/>
      <c r="Q22" s="159"/>
      <c r="R22" s="159"/>
      <c r="S22" s="159"/>
      <c r="T22" s="159"/>
      <c r="U22" s="159"/>
      <c r="V22" s="159"/>
      <c r="W22" s="159"/>
      <c r="X22" s="159"/>
      <c r="Y22" s="159"/>
      <c r="Z22" s="159"/>
      <c r="AA22" s="159"/>
      <c r="AB22" s="159"/>
      <c r="AC22" s="159"/>
      <c r="AD22" s="159"/>
      <c r="AE22" s="159"/>
      <c r="AF22" s="159"/>
      <c r="AG22" s="159"/>
      <c r="AH22" s="159"/>
      <c r="AI22" s="159"/>
      <c r="AJ22" s="159"/>
      <c r="AK22" s="159"/>
      <c r="AL22" s="159"/>
      <c r="AM22" s="159"/>
      <c r="AN22" s="159"/>
      <c r="AO22" s="159"/>
      <c r="AP22" s="159"/>
      <c r="AQ22" s="159"/>
      <c r="AR22" s="159"/>
      <c r="AS22" s="159"/>
      <c r="AT22" s="159"/>
      <c r="AU22" s="308"/>
      <c r="AV22" s="308"/>
      <c r="AW22" s="308"/>
      <c r="AX22" s="308"/>
      <c r="AY22" s="308"/>
      <c r="AZ22" s="308"/>
      <c r="BA22" s="308"/>
      <c r="BB22" s="308"/>
      <c r="BC22" s="308"/>
      <c r="BD22" s="308"/>
      <c r="BE22" s="308"/>
      <c r="BF22" s="308"/>
      <c r="BG22" s="308"/>
      <c r="BH22" s="308"/>
      <c r="BI22" s="308"/>
      <c r="BJ22" s="308"/>
      <c r="BK22" s="308"/>
      <c r="BL22" s="308"/>
      <c r="BM22" s="308"/>
      <c r="BN22" s="308"/>
      <c r="BO22" s="308"/>
      <c r="BP22" s="308"/>
      <c r="BQ22" s="308"/>
      <c r="BR22" s="308"/>
      <c r="BS22" s="308"/>
      <c r="BT22" s="308"/>
      <c r="BU22" s="308"/>
      <c r="BV22" s="308"/>
      <c r="BW22" s="308"/>
      <c r="BX22" s="308"/>
      <c r="BY22" s="308"/>
      <c r="BZ22" s="308"/>
      <c r="CA22" s="308"/>
      <c r="CB22" s="308"/>
      <c r="CC22" s="308"/>
      <c r="CD22" s="308"/>
      <c r="CE22" s="308"/>
      <c r="CF22" s="308"/>
      <c r="CG22" s="308"/>
      <c r="CH22" s="308"/>
      <c r="CI22" s="308"/>
      <c r="CJ22" s="308"/>
      <c r="CK22" s="308"/>
      <c r="CN22" s="105" t="s">
        <v>397</v>
      </c>
    </row>
    <row r="23" customFormat="false" ht="11.25" hidden="false" customHeight="true" outlineLevel="0" collapsed="false">
      <c r="C23" s="51" t="str">
        <f aca="false">'Lead PL'!C71</f>
        <v>Reparaturen und Instandhaltungen</v>
      </c>
      <c r="D23" s="51" t="str">
        <f aca="false">'Lead PL'!D71</f>
        <v>Repair and maintenance</v>
      </c>
      <c r="E23" s="51"/>
      <c r="F23" s="159"/>
      <c r="G23" s="159"/>
      <c r="H23" s="159"/>
      <c r="I23" s="159"/>
      <c r="J23" s="159"/>
      <c r="K23" s="159"/>
      <c r="L23" s="159"/>
      <c r="M23" s="159"/>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59"/>
      <c r="AQ23" s="159"/>
      <c r="AR23" s="159"/>
      <c r="AS23" s="159"/>
      <c r="AT23" s="159"/>
      <c r="AU23" s="308"/>
      <c r="AV23" s="308"/>
      <c r="AW23" s="308"/>
      <c r="AX23" s="308"/>
      <c r="AY23" s="308"/>
      <c r="AZ23" s="308"/>
      <c r="BA23" s="308"/>
      <c r="BB23" s="308"/>
      <c r="BC23" s="308"/>
      <c r="BD23" s="308"/>
      <c r="BE23" s="308"/>
      <c r="BF23" s="308"/>
      <c r="BG23" s="308"/>
      <c r="BH23" s="308"/>
      <c r="BI23" s="308"/>
      <c r="BJ23" s="308"/>
      <c r="BK23" s="308"/>
      <c r="BL23" s="308"/>
      <c r="BM23" s="308"/>
      <c r="BN23" s="308"/>
      <c r="BO23" s="308"/>
      <c r="BP23" s="308"/>
      <c r="BQ23" s="308"/>
      <c r="BR23" s="308"/>
      <c r="BS23" s="308"/>
      <c r="BT23" s="308"/>
      <c r="BU23" s="308"/>
      <c r="BV23" s="308"/>
      <c r="BW23" s="308"/>
      <c r="BX23" s="308"/>
      <c r="BY23" s="308"/>
      <c r="BZ23" s="308"/>
      <c r="CA23" s="308"/>
      <c r="CB23" s="308"/>
      <c r="CC23" s="308"/>
      <c r="CD23" s="308"/>
      <c r="CE23" s="308"/>
      <c r="CF23" s="308"/>
      <c r="CG23" s="308"/>
      <c r="CH23" s="308"/>
      <c r="CI23" s="308"/>
      <c r="CJ23" s="308"/>
      <c r="CK23" s="308"/>
      <c r="CN23" s="105" t="s">
        <v>398</v>
      </c>
    </row>
    <row r="24" customFormat="false" ht="11.25" hidden="false" customHeight="true" outlineLevel="2" collapsed="false">
      <c r="C24" s="51" t="str">
        <f aca="false">'Lead PL'!C80</f>
        <v>Vertriebskosten</v>
      </c>
      <c r="D24" s="51" t="str">
        <f aca="false">'Lead PL'!D80</f>
        <v>Sales costs</v>
      </c>
      <c r="E24" s="51"/>
      <c r="F24" s="159"/>
      <c r="G24" s="159"/>
      <c r="H24" s="159"/>
      <c r="I24" s="159"/>
      <c r="J24" s="159"/>
      <c r="K24" s="159"/>
      <c r="L24" s="159"/>
      <c r="M24" s="159"/>
      <c r="N24" s="159"/>
      <c r="O24" s="159"/>
      <c r="P24" s="159"/>
      <c r="Q24" s="159"/>
      <c r="R24" s="159"/>
      <c r="S24" s="159"/>
      <c r="T24" s="159"/>
      <c r="U24" s="159"/>
      <c r="V24" s="159"/>
      <c r="W24" s="159"/>
      <c r="X24" s="159"/>
      <c r="Y24" s="159"/>
      <c r="Z24" s="159"/>
      <c r="AA24" s="159"/>
      <c r="AB24" s="159"/>
      <c r="AC24" s="159"/>
      <c r="AD24" s="159"/>
      <c r="AE24" s="159"/>
      <c r="AF24" s="159"/>
      <c r="AG24" s="159"/>
      <c r="AH24" s="159"/>
      <c r="AI24" s="159"/>
      <c r="AJ24" s="159"/>
      <c r="AK24" s="159"/>
      <c r="AL24" s="159"/>
      <c r="AM24" s="159"/>
      <c r="AN24" s="159"/>
      <c r="AO24" s="159"/>
      <c r="AP24" s="159"/>
      <c r="AQ24" s="159"/>
      <c r="AR24" s="159"/>
      <c r="AS24" s="159"/>
      <c r="AT24" s="159"/>
      <c r="AU24" s="308"/>
      <c r="AV24" s="308"/>
      <c r="AW24" s="308"/>
      <c r="AX24" s="308"/>
      <c r="AY24" s="308"/>
      <c r="AZ24" s="308"/>
      <c r="BA24" s="308"/>
      <c r="BB24" s="308"/>
      <c r="BC24" s="308"/>
      <c r="BD24" s="308"/>
      <c r="BE24" s="308"/>
      <c r="BF24" s="308"/>
      <c r="BG24" s="308"/>
      <c r="BH24" s="308"/>
      <c r="BI24" s="308"/>
      <c r="BJ24" s="308"/>
      <c r="BK24" s="308"/>
      <c r="BL24" s="308"/>
      <c r="BM24" s="308"/>
      <c r="BN24" s="308"/>
      <c r="BO24" s="308"/>
      <c r="BP24" s="308"/>
      <c r="BQ24" s="308"/>
      <c r="BR24" s="308"/>
      <c r="BS24" s="308"/>
      <c r="BT24" s="308"/>
      <c r="BU24" s="308"/>
      <c r="BV24" s="308"/>
      <c r="BW24" s="308"/>
      <c r="BX24" s="308"/>
      <c r="BY24" s="308"/>
      <c r="BZ24" s="308"/>
      <c r="CA24" s="308"/>
      <c r="CB24" s="308"/>
      <c r="CC24" s="308"/>
      <c r="CD24" s="308"/>
      <c r="CE24" s="308"/>
      <c r="CF24" s="308"/>
      <c r="CG24" s="308"/>
      <c r="CH24" s="308"/>
      <c r="CI24" s="308"/>
      <c r="CJ24" s="308"/>
      <c r="CK24" s="308"/>
      <c r="CN24" s="105" t="s">
        <v>399</v>
      </c>
    </row>
    <row r="25" customFormat="false" ht="11.25" hidden="false" customHeight="true" outlineLevel="2" collapsed="false">
      <c r="C25" s="51" t="str">
        <f aca="false">'Lead PL'!C89</f>
        <v>Kosten der Warenabgabe</v>
      </c>
      <c r="D25" s="51" t="str">
        <f aca="false">'Lead PL'!D89</f>
        <v>Delivery costs</v>
      </c>
      <c r="E25" s="51"/>
      <c r="F25" s="159"/>
      <c r="G25" s="159"/>
      <c r="H25" s="159"/>
      <c r="I25" s="159"/>
      <c r="J25" s="159"/>
      <c r="K25" s="159"/>
      <c r="L25" s="159"/>
      <c r="M25" s="159"/>
      <c r="N25" s="159"/>
      <c r="O25" s="159"/>
      <c r="P25" s="159"/>
      <c r="Q25" s="159"/>
      <c r="R25" s="159"/>
      <c r="S25" s="159"/>
      <c r="T25" s="159"/>
      <c r="U25" s="159"/>
      <c r="V25" s="159"/>
      <c r="W25" s="159"/>
      <c r="X25" s="159"/>
      <c r="Y25" s="159"/>
      <c r="Z25" s="159"/>
      <c r="AA25" s="159"/>
      <c r="AB25" s="159"/>
      <c r="AC25" s="159"/>
      <c r="AD25" s="159"/>
      <c r="AE25" s="159"/>
      <c r="AF25" s="159"/>
      <c r="AG25" s="159"/>
      <c r="AH25" s="159"/>
      <c r="AI25" s="159"/>
      <c r="AJ25" s="159"/>
      <c r="AK25" s="159"/>
      <c r="AL25" s="159"/>
      <c r="AM25" s="159"/>
      <c r="AN25" s="159"/>
      <c r="AO25" s="159"/>
      <c r="AP25" s="159"/>
      <c r="AQ25" s="159"/>
      <c r="AR25" s="159"/>
      <c r="AS25" s="159"/>
      <c r="AT25" s="159"/>
      <c r="AU25" s="308"/>
      <c r="AV25" s="308"/>
      <c r="AW25" s="308"/>
      <c r="AX25" s="308"/>
      <c r="AY25" s="308"/>
      <c r="AZ25" s="308"/>
      <c r="BA25" s="308"/>
      <c r="BB25" s="308"/>
      <c r="BC25" s="308"/>
      <c r="BD25" s="308"/>
      <c r="BE25" s="308"/>
      <c r="BF25" s="308"/>
      <c r="BG25" s="308"/>
      <c r="BH25" s="308"/>
      <c r="BI25" s="308"/>
      <c r="BJ25" s="308"/>
      <c r="BK25" s="308"/>
      <c r="BL25" s="308"/>
      <c r="BM25" s="308"/>
      <c r="BN25" s="308"/>
      <c r="BO25" s="308"/>
      <c r="BP25" s="308"/>
      <c r="BQ25" s="308"/>
      <c r="BR25" s="308"/>
      <c r="BS25" s="308"/>
      <c r="BT25" s="308"/>
      <c r="BU25" s="308"/>
      <c r="BV25" s="308"/>
      <c r="BW25" s="308"/>
      <c r="BX25" s="308"/>
      <c r="BY25" s="308"/>
      <c r="BZ25" s="308"/>
      <c r="CA25" s="308"/>
      <c r="CB25" s="308"/>
      <c r="CC25" s="308"/>
      <c r="CD25" s="308"/>
      <c r="CE25" s="308"/>
      <c r="CF25" s="308"/>
      <c r="CG25" s="308"/>
      <c r="CH25" s="308"/>
      <c r="CI25" s="308"/>
      <c r="CJ25" s="308"/>
      <c r="CK25" s="308"/>
      <c r="CN25" s="105" t="s">
        <v>400</v>
      </c>
    </row>
    <row r="26" customFormat="false" ht="11.25" hidden="false" customHeight="true" outlineLevel="2" collapsed="false">
      <c r="C26" s="51" t="str">
        <f aca="false">'Lead PL'!C98</f>
        <v>Fahrzeugkosten</v>
      </c>
      <c r="D26" s="51" t="str">
        <f aca="false">'Lead PL'!D98</f>
        <v>Vehicle costs</v>
      </c>
      <c r="E26" s="51"/>
      <c r="F26" s="159"/>
      <c r="G26" s="159"/>
      <c r="H26" s="159"/>
      <c r="I26" s="159"/>
      <c r="J26" s="159"/>
      <c r="K26" s="159"/>
      <c r="L26" s="159"/>
      <c r="M26" s="159"/>
      <c r="N26" s="159"/>
      <c r="O26" s="159"/>
      <c r="P26" s="159"/>
      <c r="Q26" s="159"/>
      <c r="R26" s="159"/>
      <c r="S26" s="159"/>
      <c r="T26" s="159"/>
      <c r="U26" s="159"/>
      <c r="V26" s="159"/>
      <c r="W26" s="159"/>
      <c r="X26" s="159"/>
      <c r="Y26" s="159"/>
      <c r="Z26" s="159"/>
      <c r="AA26" s="159"/>
      <c r="AB26" s="159"/>
      <c r="AC26" s="159"/>
      <c r="AD26" s="159"/>
      <c r="AE26" s="159"/>
      <c r="AF26" s="159"/>
      <c r="AG26" s="159"/>
      <c r="AH26" s="159"/>
      <c r="AI26" s="159"/>
      <c r="AJ26" s="159"/>
      <c r="AK26" s="159"/>
      <c r="AL26" s="159"/>
      <c r="AM26" s="159"/>
      <c r="AN26" s="159"/>
      <c r="AO26" s="159"/>
      <c r="AP26" s="159"/>
      <c r="AQ26" s="159"/>
      <c r="AR26" s="159"/>
      <c r="AS26" s="159"/>
      <c r="AT26" s="159"/>
      <c r="AU26" s="308"/>
      <c r="AV26" s="308"/>
      <c r="AW26" s="308"/>
      <c r="AX26" s="308"/>
      <c r="AY26" s="308"/>
      <c r="AZ26" s="308"/>
      <c r="BA26" s="308"/>
      <c r="BB26" s="308"/>
      <c r="BC26" s="308"/>
      <c r="BD26" s="308"/>
      <c r="BE26" s="308"/>
      <c r="BF26" s="308"/>
      <c r="BG26" s="308"/>
      <c r="BH26" s="308"/>
      <c r="BI26" s="308"/>
      <c r="BJ26" s="308"/>
      <c r="BK26" s="308"/>
      <c r="BL26" s="308"/>
      <c r="BM26" s="308"/>
      <c r="BN26" s="308"/>
      <c r="BO26" s="308"/>
      <c r="BP26" s="308"/>
      <c r="BQ26" s="308"/>
      <c r="BR26" s="308"/>
      <c r="BS26" s="308"/>
      <c r="BT26" s="308"/>
      <c r="BU26" s="308"/>
      <c r="BV26" s="308"/>
      <c r="BW26" s="308"/>
      <c r="BX26" s="308"/>
      <c r="BY26" s="308"/>
      <c r="BZ26" s="308"/>
      <c r="CA26" s="308"/>
      <c r="CB26" s="308"/>
      <c r="CC26" s="308"/>
      <c r="CD26" s="308"/>
      <c r="CE26" s="308"/>
      <c r="CF26" s="308"/>
      <c r="CG26" s="308"/>
      <c r="CH26" s="308"/>
      <c r="CI26" s="308"/>
      <c r="CJ26" s="308"/>
      <c r="CK26" s="308"/>
      <c r="CN26" s="105" t="s">
        <v>401</v>
      </c>
    </row>
    <row r="27" customFormat="false" ht="11.25" hidden="false" customHeight="true" outlineLevel="2" collapsed="false">
      <c r="C27" s="51" t="str">
        <f aca="false">'Lead PL'!C107</f>
        <v>Versicherung, Beiträge und Abgaben</v>
      </c>
      <c r="D27" s="51" t="str">
        <f aca="false">'Lead PL'!D107</f>
        <v>Insurance, contributions and levies expenses</v>
      </c>
      <c r="E27" s="51"/>
      <c r="F27" s="159"/>
      <c r="G27" s="159"/>
      <c r="H27" s="159"/>
      <c r="I27" s="159"/>
      <c r="J27" s="159"/>
      <c r="K27" s="159"/>
      <c r="L27" s="159"/>
      <c r="M27" s="159"/>
      <c r="N27" s="159"/>
      <c r="O27" s="159"/>
      <c r="P27" s="159"/>
      <c r="Q27" s="159"/>
      <c r="R27" s="159"/>
      <c r="S27" s="159"/>
      <c r="T27" s="159"/>
      <c r="U27" s="159"/>
      <c r="V27" s="159"/>
      <c r="W27" s="159"/>
      <c r="X27" s="159"/>
      <c r="Y27" s="159"/>
      <c r="Z27" s="159"/>
      <c r="AA27" s="159"/>
      <c r="AB27" s="159"/>
      <c r="AC27" s="159"/>
      <c r="AD27" s="159"/>
      <c r="AE27" s="159"/>
      <c r="AF27" s="159"/>
      <c r="AG27" s="159"/>
      <c r="AH27" s="159"/>
      <c r="AI27" s="159"/>
      <c r="AJ27" s="159"/>
      <c r="AK27" s="159"/>
      <c r="AL27" s="159"/>
      <c r="AM27" s="159"/>
      <c r="AN27" s="159"/>
      <c r="AO27" s="159"/>
      <c r="AP27" s="159"/>
      <c r="AQ27" s="159"/>
      <c r="AR27" s="159"/>
      <c r="AS27" s="159"/>
      <c r="AT27" s="159"/>
      <c r="AU27" s="308"/>
      <c r="AV27" s="308"/>
      <c r="AW27" s="308"/>
      <c r="AX27" s="308"/>
      <c r="AY27" s="308"/>
      <c r="AZ27" s="308"/>
      <c r="BA27" s="308"/>
      <c r="BB27" s="308"/>
      <c r="BC27" s="308"/>
      <c r="BD27" s="308"/>
      <c r="BE27" s="308"/>
      <c r="BF27" s="308"/>
      <c r="BG27" s="308"/>
      <c r="BH27" s="308"/>
      <c r="BI27" s="308"/>
      <c r="BJ27" s="308"/>
      <c r="BK27" s="308"/>
      <c r="BL27" s="308"/>
      <c r="BM27" s="308"/>
      <c r="BN27" s="308"/>
      <c r="BO27" s="308"/>
      <c r="BP27" s="308"/>
      <c r="BQ27" s="308"/>
      <c r="BR27" s="308"/>
      <c r="BS27" s="308"/>
      <c r="BT27" s="308"/>
      <c r="BU27" s="308"/>
      <c r="BV27" s="308"/>
      <c r="BW27" s="308"/>
      <c r="BX27" s="308"/>
      <c r="BY27" s="308"/>
      <c r="BZ27" s="308"/>
      <c r="CA27" s="308"/>
      <c r="CB27" s="308"/>
      <c r="CC27" s="308"/>
      <c r="CD27" s="308"/>
      <c r="CE27" s="308"/>
      <c r="CF27" s="308"/>
      <c r="CG27" s="308"/>
      <c r="CH27" s="308"/>
      <c r="CI27" s="308"/>
      <c r="CJ27" s="308"/>
      <c r="CK27" s="308"/>
      <c r="CN27" s="105" t="s">
        <v>402</v>
      </c>
    </row>
    <row r="28" customFormat="false" ht="11.25" hidden="false" customHeight="true" outlineLevel="2" collapsed="false">
      <c r="C28" s="51" t="str">
        <f aca="false">'Lead PL'!C116</f>
        <v>Werbe- und Reisekosten</v>
      </c>
      <c r="D28" s="51" t="str">
        <f aca="false">'Lead PL'!D116</f>
        <v>Advertising and travel expenses</v>
      </c>
      <c r="E28" s="51"/>
      <c r="F28" s="159"/>
      <c r="G28" s="159"/>
      <c r="H28" s="159"/>
      <c r="I28" s="159"/>
      <c r="J28" s="159"/>
      <c r="K28" s="159"/>
      <c r="L28" s="159"/>
      <c r="M28" s="159"/>
      <c r="N28" s="159"/>
      <c r="O28" s="159"/>
      <c r="P28" s="159"/>
      <c r="Q28" s="159"/>
      <c r="R28" s="159"/>
      <c r="S28" s="159"/>
      <c r="T28" s="159"/>
      <c r="U28" s="159"/>
      <c r="V28" s="159"/>
      <c r="W28" s="159"/>
      <c r="X28" s="159"/>
      <c r="Y28" s="159"/>
      <c r="Z28" s="159"/>
      <c r="AA28" s="159"/>
      <c r="AB28" s="159"/>
      <c r="AC28" s="159"/>
      <c r="AD28" s="159"/>
      <c r="AE28" s="159"/>
      <c r="AF28" s="159"/>
      <c r="AG28" s="159"/>
      <c r="AH28" s="159"/>
      <c r="AI28" s="159"/>
      <c r="AJ28" s="159"/>
      <c r="AK28" s="159"/>
      <c r="AL28" s="159"/>
      <c r="AM28" s="159"/>
      <c r="AN28" s="159"/>
      <c r="AO28" s="159"/>
      <c r="AP28" s="159"/>
      <c r="AQ28" s="159"/>
      <c r="AR28" s="159"/>
      <c r="AS28" s="159"/>
      <c r="AT28" s="159"/>
      <c r="AU28" s="308"/>
      <c r="AV28" s="308"/>
      <c r="AW28" s="308"/>
      <c r="AX28" s="308"/>
      <c r="AY28" s="308"/>
      <c r="AZ28" s="308"/>
      <c r="BA28" s="308"/>
      <c r="BB28" s="308"/>
      <c r="BC28" s="308"/>
      <c r="BD28" s="308"/>
      <c r="BE28" s="308"/>
      <c r="BF28" s="308"/>
      <c r="BG28" s="308"/>
      <c r="BH28" s="308"/>
      <c r="BI28" s="308"/>
      <c r="BJ28" s="308"/>
      <c r="BK28" s="308"/>
      <c r="BL28" s="308"/>
      <c r="BM28" s="308"/>
      <c r="BN28" s="308"/>
      <c r="BO28" s="308"/>
      <c r="BP28" s="308"/>
      <c r="BQ28" s="308"/>
      <c r="BR28" s="308"/>
      <c r="BS28" s="308"/>
      <c r="BT28" s="308"/>
      <c r="BU28" s="308"/>
      <c r="BV28" s="308"/>
      <c r="BW28" s="308"/>
      <c r="BX28" s="308"/>
      <c r="BY28" s="308"/>
      <c r="BZ28" s="308"/>
      <c r="CA28" s="308"/>
      <c r="CB28" s="308"/>
      <c r="CC28" s="308"/>
      <c r="CD28" s="308"/>
      <c r="CE28" s="308"/>
      <c r="CF28" s="308"/>
      <c r="CG28" s="308"/>
      <c r="CH28" s="308"/>
      <c r="CI28" s="308"/>
      <c r="CJ28" s="308"/>
      <c r="CK28" s="308"/>
      <c r="CN28" s="105" t="s">
        <v>403</v>
      </c>
    </row>
    <row r="29" customFormat="false" ht="11.25" hidden="false" customHeight="true" outlineLevel="2" collapsed="false">
      <c r="C29" s="51" t="str">
        <f aca="false">'Lead PL'!C125</f>
        <v>Sonstige betriebliche Erträge</v>
      </c>
      <c r="D29" s="51" t="str">
        <f aca="false">'Lead PL'!D125</f>
        <v>Other operating income</v>
      </c>
      <c r="E29" s="51"/>
      <c r="F29" s="159"/>
      <c r="G29" s="159"/>
      <c r="H29" s="159"/>
      <c r="I29" s="159"/>
      <c r="J29" s="159"/>
      <c r="K29" s="159"/>
      <c r="L29" s="159"/>
      <c r="M29" s="159"/>
      <c r="N29" s="159"/>
      <c r="O29" s="159"/>
      <c r="P29" s="159"/>
      <c r="Q29" s="159"/>
      <c r="R29" s="159"/>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59"/>
      <c r="AP29" s="159"/>
      <c r="AQ29" s="159"/>
      <c r="AR29" s="159"/>
      <c r="AS29" s="159"/>
      <c r="AT29" s="159"/>
      <c r="AU29" s="308"/>
      <c r="AV29" s="308"/>
      <c r="AW29" s="308"/>
      <c r="AX29" s="308"/>
      <c r="AY29" s="308"/>
      <c r="AZ29" s="308"/>
      <c r="BA29" s="308"/>
      <c r="BB29" s="308"/>
      <c r="BC29" s="308"/>
      <c r="BD29" s="308"/>
      <c r="BE29" s="308"/>
      <c r="BF29" s="308"/>
      <c r="BG29" s="308"/>
      <c r="BH29" s="308"/>
      <c r="BI29" s="308"/>
      <c r="BJ29" s="308"/>
      <c r="BK29" s="308"/>
      <c r="BL29" s="308"/>
      <c r="BM29" s="308"/>
      <c r="BN29" s="308"/>
      <c r="BO29" s="308"/>
      <c r="BP29" s="308"/>
      <c r="BQ29" s="308"/>
      <c r="BR29" s="308"/>
      <c r="BS29" s="308"/>
      <c r="BT29" s="308"/>
      <c r="BU29" s="308"/>
      <c r="BV29" s="308"/>
      <c r="BW29" s="308"/>
      <c r="BX29" s="308"/>
      <c r="BY29" s="308"/>
      <c r="BZ29" s="308"/>
      <c r="CA29" s="308"/>
      <c r="CB29" s="308"/>
      <c r="CC29" s="308"/>
      <c r="CD29" s="308"/>
      <c r="CE29" s="308"/>
      <c r="CF29" s="308"/>
      <c r="CG29" s="308"/>
      <c r="CH29" s="308"/>
      <c r="CI29" s="308"/>
      <c r="CJ29" s="308"/>
      <c r="CK29" s="308"/>
      <c r="CN29" s="105" t="s">
        <v>283</v>
      </c>
    </row>
    <row r="30" customFormat="false" ht="11.25" hidden="false" customHeight="true" outlineLevel="2" collapsed="false">
      <c r="C30" s="51" t="str">
        <f aca="false">'Lead PL'!C134</f>
        <v>Sonstige betriebliche Aufwendungen</v>
      </c>
      <c r="D30" s="51" t="str">
        <f aca="false">'Lead PL'!D134</f>
        <v>Other operating expenses</v>
      </c>
      <c r="E30" s="51"/>
      <c r="F30" s="159"/>
      <c r="G30" s="159"/>
      <c r="H30" s="159"/>
      <c r="I30" s="159"/>
      <c r="J30" s="159"/>
      <c r="K30" s="159"/>
      <c r="L30" s="159"/>
      <c r="M30" s="159"/>
      <c r="N30" s="159"/>
      <c r="O30" s="159"/>
      <c r="P30" s="159"/>
      <c r="Q30" s="159"/>
      <c r="R30" s="159"/>
      <c r="S30" s="159"/>
      <c r="T30" s="159"/>
      <c r="U30" s="159"/>
      <c r="V30" s="159"/>
      <c r="W30" s="159"/>
      <c r="X30" s="159"/>
      <c r="Y30" s="159"/>
      <c r="Z30" s="159"/>
      <c r="AA30" s="159"/>
      <c r="AB30" s="159"/>
      <c r="AC30" s="159"/>
      <c r="AD30" s="159"/>
      <c r="AE30" s="159"/>
      <c r="AF30" s="159"/>
      <c r="AG30" s="159"/>
      <c r="AH30" s="159"/>
      <c r="AI30" s="159"/>
      <c r="AJ30" s="159"/>
      <c r="AK30" s="159"/>
      <c r="AL30" s="159"/>
      <c r="AM30" s="159"/>
      <c r="AN30" s="159"/>
      <c r="AO30" s="159"/>
      <c r="AP30" s="159"/>
      <c r="AQ30" s="159"/>
      <c r="AR30" s="159"/>
      <c r="AS30" s="159"/>
      <c r="AT30" s="159"/>
      <c r="AU30" s="308"/>
      <c r="AV30" s="308"/>
      <c r="AW30" s="308"/>
      <c r="AX30" s="308"/>
      <c r="AY30" s="308"/>
      <c r="AZ30" s="308"/>
      <c r="BA30" s="308"/>
      <c r="BB30" s="308"/>
      <c r="BC30" s="308"/>
      <c r="BD30" s="308"/>
      <c r="BE30" s="308"/>
      <c r="BF30" s="308"/>
      <c r="BG30" s="308"/>
      <c r="BH30" s="308"/>
      <c r="BI30" s="308"/>
      <c r="BJ30" s="308"/>
      <c r="BK30" s="308"/>
      <c r="BL30" s="308"/>
      <c r="BM30" s="308"/>
      <c r="BN30" s="308"/>
      <c r="BO30" s="308"/>
      <c r="BP30" s="308"/>
      <c r="BQ30" s="308"/>
      <c r="BR30" s="308"/>
      <c r="BS30" s="308"/>
      <c r="BT30" s="308"/>
      <c r="BU30" s="308"/>
      <c r="BV30" s="308"/>
      <c r="BW30" s="308"/>
      <c r="BX30" s="308"/>
      <c r="BY30" s="308"/>
      <c r="BZ30" s="308"/>
      <c r="CA30" s="308"/>
      <c r="CB30" s="308"/>
      <c r="CC30" s="308"/>
      <c r="CD30" s="308"/>
      <c r="CE30" s="308"/>
      <c r="CF30" s="308"/>
      <c r="CG30" s="308"/>
      <c r="CH30" s="308"/>
      <c r="CI30" s="308"/>
      <c r="CJ30" s="308"/>
      <c r="CK30" s="308"/>
      <c r="CN30" s="105" t="s">
        <v>303</v>
      </c>
    </row>
    <row r="31" customFormat="false" ht="11.25" hidden="false" customHeight="true" outlineLevel="2" collapsed="false">
      <c r="C31" s="51" t="str">
        <f aca="false">'Lead PL'!C143</f>
        <v>Dummy 1</v>
      </c>
      <c r="D31" s="51" t="str">
        <f aca="false">'Lead PL'!D143</f>
        <v>Dummy 1</v>
      </c>
      <c r="E31" s="51"/>
      <c r="F31" s="159"/>
      <c r="G31" s="159"/>
      <c r="H31" s="159"/>
      <c r="I31" s="159"/>
      <c r="J31" s="159"/>
      <c r="K31" s="159"/>
      <c r="L31" s="159"/>
      <c r="M31" s="159"/>
      <c r="N31" s="159"/>
      <c r="O31" s="159"/>
      <c r="P31" s="159"/>
      <c r="Q31" s="159"/>
      <c r="R31" s="159"/>
      <c r="S31" s="159"/>
      <c r="T31" s="159"/>
      <c r="U31" s="159"/>
      <c r="V31" s="159"/>
      <c r="W31" s="159"/>
      <c r="X31" s="159"/>
      <c r="Y31" s="159"/>
      <c r="Z31" s="159"/>
      <c r="AA31" s="159"/>
      <c r="AB31" s="159"/>
      <c r="AC31" s="159"/>
      <c r="AD31" s="159"/>
      <c r="AE31" s="159"/>
      <c r="AF31" s="159"/>
      <c r="AG31" s="159"/>
      <c r="AH31" s="159"/>
      <c r="AI31" s="159"/>
      <c r="AJ31" s="159"/>
      <c r="AK31" s="159"/>
      <c r="AL31" s="159"/>
      <c r="AM31" s="159"/>
      <c r="AN31" s="159"/>
      <c r="AO31" s="159"/>
      <c r="AP31" s="159"/>
      <c r="AQ31" s="159"/>
      <c r="AR31" s="159"/>
      <c r="AS31" s="159"/>
      <c r="AT31" s="159"/>
      <c r="AU31" s="308"/>
      <c r="AV31" s="308"/>
      <c r="AW31" s="308"/>
      <c r="AX31" s="308"/>
      <c r="AY31" s="308"/>
      <c r="AZ31" s="308"/>
      <c r="BA31" s="308"/>
      <c r="BB31" s="308"/>
      <c r="BC31" s="308"/>
      <c r="BD31" s="308"/>
      <c r="BE31" s="308"/>
      <c r="BF31" s="308"/>
      <c r="BG31" s="308"/>
      <c r="BH31" s="308"/>
      <c r="BI31" s="308"/>
      <c r="BJ31" s="308"/>
      <c r="BK31" s="308"/>
      <c r="BL31" s="308"/>
      <c r="BM31" s="308"/>
      <c r="BN31" s="308"/>
      <c r="BO31" s="308"/>
      <c r="BP31" s="308"/>
      <c r="BQ31" s="308"/>
      <c r="BR31" s="308"/>
      <c r="BS31" s="308"/>
      <c r="BT31" s="308"/>
      <c r="BU31" s="308"/>
      <c r="BV31" s="308"/>
      <c r="BW31" s="308"/>
      <c r="BX31" s="308"/>
      <c r="BY31" s="308"/>
      <c r="BZ31" s="308"/>
      <c r="CA31" s="308"/>
      <c r="CB31" s="308"/>
      <c r="CC31" s="308"/>
      <c r="CD31" s="308"/>
      <c r="CE31" s="308"/>
      <c r="CF31" s="308"/>
      <c r="CG31" s="308"/>
      <c r="CH31" s="308"/>
      <c r="CI31" s="308"/>
      <c r="CJ31" s="308"/>
      <c r="CK31" s="308"/>
      <c r="CN31" s="105"/>
    </row>
    <row r="32" customFormat="false" ht="11.25" hidden="false" customHeight="true" outlineLevel="2" collapsed="false">
      <c r="C32" s="51" t="str">
        <f aca="false">'Lead PL'!C144</f>
        <v>Dummy 2</v>
      </c>
      <c r="D32" s="51" t="str">
        <f aca="false">'Lead PL'!D144</f>
        <v>Dummy 2</v>
      </c>
      <c r="E32" s="51"/>
      <c r="F32" s="159"/>
      <c r="G32" s="159"/>
      <c r="H32" s="159"/>
      <c r="I32" s="159"/>
      <c r="J32" s="159"/>
      <c r="K32" s="159"/>
      <c r="L32" s="159"/>
      <c r="M32" s="159"/>
      <c r="N32" s="159"/>
      <c r="O32" s="159"/>
      <c r="P32" s="159"/>
      <c r="Q32" s="159"/>
      <c r="R32" s="159"/>
      <c r="S32" s="159"/>
      <c r="T32" s="159"/>
      <c r="U32" s="159"/>
      <c r="V32" s="159"/>
      <c r="W32" s="159"/>
      <c r="X32" s="159"/>
      <c r="Y32" s="159"/>
      <c r="Z32" s="159"/>
      <c r="AA32" s="159"/>
      <c r="AB32" s="159"/>
      <c r="AC32" s="159"/>
      <c r="AD32" s="159"/>
      <c r="AE32" s="159"/>
      <c r="AF32" s="159"/>
      <c r="AG32" s="159"/>
      <c r="AH32" s="159"/>
      <c r="AI32" s="159"/>
      <c r="AJ32" s="159"/>
      <c r="AK32" s="159"/>
      <c r="AL32" s="159"/>
      <c r="AM32" s="159"/>
      <c r="AN32" s="159"/>
      <c r="AO32" s="159"/>
      <c r="AP32" s="159"/>
      <c r="AQ32" s="159"/>
      <c r="AR32" s="159"/>
      <c r="AS32" s="159"/>
      <c r="AT32" s="159"/>
      <c r="AU32" s="308"/>
      <c r="AV32" s="308"/>
      <c r="AW32" s="308"/>
      <c r="AX32" s="308"/>
      <c r="AY32" s="308"/>
      <c r="AZ32" s="308"/>
      <c r="BA32" s="308"/>
      <c r="BB32" s="308"/>
      <c r="BC32" s="308"/>
      <c r="BD32" s="308"/>
      <c r="BE32" s="308"/>
      <c r="BF32" s="308"/>
      <c r="BG32" s="308"/>
      <c r="BH32" s="308"/>
      <c r="BI32" s="308"/>
      <c r="BJ32" s="308"/>
      <c r="BK32" s="308"/>
      <c r="BL32" s="308"/>
      <c r="BM32" s="308"/>
      <c r="BN32" s="308"/>
      <c r="BO32" s="308"/>
      <c r="BP32" s="308"/>
      <c r="BQ32" s="308"/>
      <c r="BR32" s="308"/>
      <c r="BS32" s="308"/>
      <c r="BT32" s="308"/>
      <c r="BU32" s="308"/>
      <c r="BV32" s="308"/>
      <c r="BW32" s="308"/>
      <c r="BX32" s="308"/>
      <c r="BY32" s="308"/>
      <c r="BZ32" s="308"/>
      <c r="CA32" s="308"/>
      <c r="CB32" s="308"/>
      <c r="CC32" s="308"/>
      <c r="CD32" s="308"/>
      <c r="CE32" s="308"/>
      <c r="CF32" s="308"/>
      <c r="CG32" s="308"/>
      <c r="CH32" s="308"/>
      <c r="CI32" s="308"/>
      <c r="CJ32" s="308"/>
      <c r="CK32" s="308"/>
      <c r="CN32" s="105"/>
    </row>
    <row r="33" customFormat="false" ht="11.25" hidden="false" customHeight="true" outlineLevel="2" collapsed="false">
      <c r="C33" s="51" t="str">
        <f aca="false">'Lead PL'!C145</f>
        <v>Dummy 3</v>
      </c>
      <c r="D33" s="51" t="str">
        <f aca="false">'Lead PL'!D145</f>
        <v>Dummy 3</v>
      </c>
      <c r="E33" s="51"/>
      <c r="F33" s="162"/>
      <c r="G33" s="162"/>
      <c r="H33" s="162"/>
      <c r="I33" s="162"/>
      <c r="J33" s="162"/>
      <c r="K33" s="162"/>
      <c r="L33" s="162"/>
      <c r="M33" s="162"/>
      <c r="N33" s="162"/>
      <c r="O33" s="162"/>
      <c r="P33" s="162"/>
      <c r="Q33" s="162"/>
      <c r="R33" s="162"/>
      <c r="S33" s="162"/>
      <c r="T33" s="162"/>
      <c r="U33" s="162"/>
      <c r="V33" s="162"/>
      <c r="W33" s="162"/>
      <c r="X33" s="162"/>
      <c r="Y33" s="162"/>
      <c r="Z33" s="162"/>
      <c r="AA33" s="162"/>
      <c r="AB33" s="162"/>
      <c r="AC33" s="162"/>
      <c r="AD33" s="162"/>
      <c r="AE33" s="162"/>
      <c r="AF33" s="162"/>
      <c r="AG33" s="162"/>
      <c r="AH33" s="162"/>
      <c r="AI33" s="162"/>
      <c r="AJ33" s="162"/>
      <c r="AK33" s="162"/>
      <c r="AL33" s="162"/>
      <c r="AM33" s="162"/>
      <c r="AN33" s="162"/>
      <c r="AO33" s="162"/>
      <c r="AP33" s="162"/>
      <c r="AQ33" s="162"/>
      <c r="AR33" s="162"/>
      <c r="AS33" s="162"/>
      <c r="AT33" s="162"/>
      <c r="AU33" s="191"/>
      <c r="AV33" s="191"/>
      <c r="AW33" s="191"/>
      <c r="AX33" s="191"/>
      <c r="AY33" s="191"/>
      <c r="AZ33" s="191"/>
      <c r="BA33" s="191"/>
      <c r="BB33" s="191"/>
      <c r="BC33" s="191"/>
      <c r="BD33" s="191"/>
      <c r="BE33" s="191"/>
      <c r="BF33" s="191"/>
      <c r="BG33" s="191"/>
      <c r="BH33" s="191"/>
      <c r="BI33" s="191"/>
      <c r="BJ33" s="191"/>
      <c r="BK33" s="191"/>
      <c r="BL33" s="191"/>
      <c r="BM33" s="191"/>
      <c r="BN33" s="191"/>
      <c r="BO33" s="191"/>
      <c r="BP33" s="191"/>
      <c r="BQ33" s="191"/>
      <c r="BR33" s="191"/>
      <c r="BS33" s="191"/>
      <c r="BT33" s="191"/>
      <c r="BU33" s="191"/>
      <c r="BV33" s="191"/>
      <c r="BW33" s="191"/>
      <c r="BX33" s="191"/>
      <c r="BY33" s="191"/>
      <c r="BZ33" s="191"/>
      <c r="CA33" s="191"/>
      <c r="CB33" s="191"/>
      <c r="CC33" s="191"/>
      <c r="CD33" s="191"/>
      <c r="CE33" s="191"/>
      <c r="CF33" s="191"/>
      <c r="CG33" s="191"/>
      <c r="CH33" s="191"/>
      <c r="CI33" s="191"/>
      <c r="CJ33" s="191"/>
      <c r="CK33" s="191"/>
      <c r="CN33" s="105"/>
    </row>
    <row r="34" customFormat="false" ht="11.25" hidden="false" customHeight="true" outlineLevel="0" collapsed="false">
      <c r="C34" s="165" t="str">
        <f aca="false">'Lead PL'!C146</f>
        <v>EBITDA</v>
      </c>
      <c r="D34" s="165" t="str">
        <f aca="false">'Lead PL'!D146</f>
        <v>EBITDA</v>
      </c>
      <c r="E34" s="165"/>
      <c r="F34" s="165" t="n">
        <f aca="false">SUM(F20:F33)</f>
        <v>0</v>
      </c>
      <c r="G34" s="165" t="n">
        <f aca="false">SUM(G20:G33)</f>
        <v>0</v>
      </c>
      <c r="H34" s="165" t="n">
        <f aca="false">SUM(H20:H33)</f>
        <v>0</v>
      </c>
      <c r="I34" s="165" t="n">
        <f aca="false">SUM(I20:I33)</f>
        <v>0</v>
      </c>
      <c r="J34" s="165" t="n">
        <f aca="false">SUM(J20:J33)</f>
        <v>0</v>
      </c>
      <c r="K34" s="165" t="n">
        <f aca="false">SUM(K20:K33)</f>
        <v>0</v>
      </c>
      <c r="L34" s="165" t="n">
        <f aca="false">SUM(L20:L33)</f>
        <v>0</v>
      </c>
      <c r="M34" s="165" t="n">
        <f aca="false">SUM(M20:M33)</f>
        <v>0</v>
      </c>
      <c r="N34" s="165" t="n">
        <f aca="false">SUM(N20:N33)</f>
        <v>0</v>
      </c>
      <c r="O34" s="165" t="n">
        <f aca="false">SUM(O20:O33)</f>
        <v>0</v>
      </c>
      <c r="P34" s="165" t="n">
        <f aca="false">SUM(P20:P33)</f>
        <v>0</v>
      </c>
      <c r="Q34" s="165" t="n">
        <f aca="false">SUM(Q20:Q33)</f>
        <v>0</v>
      </c>
      <c r="R34" s="165" t="n">
        <f aca="false">SUM(R20:R33)</f>
        <v>0</v>
      </c>
      <c r="S34" s="165" t="n">
        <f aca="false">SUM(S20:S33)</f>
        <v>0</v>
      </c>
      <c r="T34" s="165" t="n">
        <f aca="false">SUM(T20:T33)</f>
        <v>0</v>
      </c>
      <c r="U34" s="165" t="n">
        <f aca="false">SUM(U20:U33)</f>
        <v>0</v>
      </c>
      <c r="V34" s="165" t="n">
        <f aca="false">SUM(V20:V33)</f>
        <v>0</v>
      </c>
      <c r="W34" s="165" t="n">
        <f aca="false">SUM(W20:W33)</f>
        <v>0</v>
      </c>
      <c r="X34" s="165" t="n">
        <f aca="false">SUM(X20:X33)</f>
        <v>0</v>
      </c>
      <c r="Y34" s="165" t="n">
        <f aca="false">SUM(Y20:Y33)</f>
        <v>0</v>
      </c>
      <c r="Z34" s="165" t="n">
        <f aca="false">SUM(Z20:Z33)</f>
        <v>0</v>
      </c>
      <c r="AA34" s="165" t="n">
        <f aca="false">SUM(AA20:AA33)</f>
        <v>0</v>
      </c>
      <c r="AB34" s="165" t="n">
        <f aca="false">SUM(AB20:AB33)</f>
        <v>0</v>
      </c>
      <c r="AC34" s="165" t="n">
        <f aca="false">SUM(AC20:AC33)</f>
        <v>0</v>
      </c>
      <c r="AD34" s="165" t="n">
        <f aca="false">SUM(AD20:AD33)</f>
        <v>0</v>
      </c>
      <c r="AE34" s="165" t="n">
        <f aca="false">SUM(AE20:AE33)</f>
        <v>0</v>
      </c>
      <c r="AF34" s="165" t="n">
        <f aca="false">SUM(AF20:AF33)</f>
        <v>0</v>
      </c>
      <c r="AG34" s="165" t="n">
        <f aca="false">SUM(AG20:AG33)</f>
        <v>0</v>
      </c>
      <c r="AH34" s="165" t="n">
        <f aca="false">SUM(AH20:AH33)</f>
        <v>0</v>
      </c>
      <c r="AI34" s="165" t="n">
        <f aca="false">SUM(AI20:AI33)</f>
        <v>0</v>
      </c>
      <c r="AJ34" s="165" t="n">
        <f aca="false">SUM(AJ20:AJ33)</f>
        <v>0</v>
      </c>
      <c r="AK34" s="165" t="n">
        <f aca="false">SUM(AK20:AK33)</f>
        <v>0</v>
      </c>
      <c r="AL34" s="165" t="n">
        <f aca="false">SUM(AL20:AL33)</f>
        <v>0</v>
      </c>
      <c r="AM34" s="165" t="n">
        <f aca="false">SUM(AM20:AM33)</f>
        <v>0</v>
      </c>
      <c r="AN34" s="165" t="n">
        <f aca="false">SUM(AN20:AN33)</f>
        <v>0</v>
      </c>
      <c r="AO34" s="165" t="n">
        <f aca="false">SUM(AO20:AO33)</f>
        <v>0</v>
      </c>
      <c r="AP34" s="165" t="n">
        <f aca="false">SUM(AP20:AP33)</f>
        <v>0</v>
      </c>
      <c r="AQ34" s="165" t="n">
        <f aca="false">SUM(AQ20:AQ33)</f>
        <v>0</v>
      </c>
      <c r="AR34" s="165" t="n">
        <f aca="false">SUM(AR20:AR33)</f>
        <v>0</v>
      </c>
      <c r="AS34" s="165" t="n">
        <f aca="false">SUM(AS20:AS33)</f>
        <v>0</v>
      </c>
      <c r="AT34" s="165" t="n">
        <f aca="false">SUM(AT20:AT33)</f>
        <v>0</v>
      </c>
      <c r="AU34" s="344" t="n">
        <f aca="false">SUM(AU20:AU33)</f>
        <v>0</v>
      </c>
      <c r="AV34" s="344" t="n">
        <f aca="false">SUM(AV20:AV33)</f>
        <v>0</v>
      </c>
      <c r="AW34" s="344" t="n">
        <f aca="false">SUM(AW20:AW33)</f>
        <v>0</v>
      </c>
      <c r="AX34" s="344" t="n">
        <f aca="false">SUM(AX20:AX33)</f>
        <v>0</v>
      </c>
      <c r="AY34" s="344" t="n">
        <f aca="false">SUM(AY20:AY33)</f>
        <v>0</v>
      </c>
      <c r="AZ34" s="344" t="n">
        <f aca="false">SUM(AZ20:AZ33)</f>
        <v>0</v>
      </c>
      <c r="BA34" s="344" t="n">
        <f aca="false">SUM(BA20:BA33)</f>
        <v>0</v>
      </c>
      <c r="BB34" s="344" t="n">
        <f aca="false">SUM(BB20:BB33)</f>
        <v>0</v>
      </c>
      <c r="BC34" s="344" t="n">
        <f aca="false">SUM(BC20:BC33)</f>
        <v>0</v>
      </c>
      <c r="BD34" s="344" t="n">
        <f aca="false">SUM(BD20:BD33)</f>
        <v>0</v>
      </c>
      <c r="BE34" s="344" t="n">
        <f aca="false">SUM(BE20:BE33)</f>
        <v>0</v>
      </c>
      <c r="BF34" s="344" t="n">
        <f aca="false">SUM(BF20:BF33)</f>
        <v>0</v>
      </c>
      <c r="BG34" s="344" t="n">
        <f aca="false">SUM(BG20:BG33)</f>
        <v>0</v>
      </c>
      <c r="BH34" s="344" t="n">
        <f aca="false">SUM(BH20:BH33)</f>
        <v>0</v>
      </c>
      <c r="BI34" s="344" t="n">
        <f aca="false">SUM(BI20:BI33)</f>
        <v>0</v>
      </c>
      <c r="BJ34" s="344" t="n">
        <f aca="false">SUM(BJ20:BJ33)</f>
        <v>0</v>
      </c>
      <c r="BK34" s="344" t="n">
        <f aca="false">SUM(BK20:BK33)</f>
        <v>0</v>
      </c>
      <c r="BL34" s="344" t="n">
        <f aca="false">SUM(BL20:BL33)</f>
        <v>0</v>
      </c>
      <c r="BM34" s="344" t="n">
        <f aca="false">SUM(BM20:BM33)</f>
        <v>0</v>
      </c>
      <c r="BN34" s="344" t="n">
        <f aca="false">SUM(BN20:BN33)</f>
        <v>0</v>
      </c>
      <c r="BO34" s="344" t="n">
        <f aca="false">SUM(BO20:BO33)</f>
        <v>0</v>
      </c>
      <c r="BP34" s="344" t="n">
        <f aca="false">SUM(BP20:BP33)</f>
        <v>0</v>
      </c>
      <c r="BQ34" s="344" t="n">
        <f aca="false">SUM(BQ20:BQ33)</f>
        <v>0</v>
      </c>
      <c r="BR34" s="344" t="n">
        <f aca="false">SUM(BR20:BR33)</f>
        <v>0</v>
      </c>
      <c r="BS34" s="344" t="n">
        <f aca="false">SUM(BS20:BS33)</f>
        <v>0</v>
      </c>
      <c r="BT34" s="344" t="n">
        <f aca="false">SUM(BT20:BT33)</f>
        <v>0</v>
      </c>
      <c r="BU34" s="344" t="n">
        <f aca="false">SUM(BU20:BU33)</f>
        <v>0</v>
      </c>
      <c r="BV34" s="344" t="n">
        <f aca="false">SUM(BV20:BV33)</f>
        <v>0</v>
      </c>
      <c r="BW34" s="344" t="n">
        <f aca="false">SUM(BW20:BW33)</f>
        <v>0</v>
      </c>
      <c r="BX34" s="344" t="n">
        <f aca="false">SUM(BX20:BX33)</f>
        <v>0</v>
      </c>
      <c r="BY34" s="344" t="n">
        <f aca="false">SUM(BY20:BY33)</f>
        <v>0</v>
      </c>
      <c r="BZ34" s="344" t="n">
        <f aca="false">SUM(BZ20:BZ33)</f>
        <v>0</v>
      </c>
      <c r="CA34" s="344" t="n">
        <f aca="false">SUM(CA20:CA33)</f>
        <v>0</v>
      </c>
      <c r="CB34" s="344" t="n">
        <f aca="false">SUM(CB20:CB33)</f>
        <v>0</v>
      </c>
      <c r="CC34" s="344" t="n">
        <f aca="false">SUM(CC20:CC33)</f>
        <v>0</v>
      </c>
      <c r="CD34" s="344" t="n">
        <f aca="false">SUM(CD20:CD33)</f>
        <v>0</v>
      </c>
      <c r="CE34" s="344" t="n">
        <f aca="false">SUM(CE20:CE33)</f>
        <v>0</v>
      </c>
      <c r="CF34" s="344" t="n">
        <f aca="false">SUM(CF20:CF33)</f>
        <v>0</v>
      </c>
      <c r="CG34" s="344" t="n">
        <f aca="false">SUM(CG20:CG33)</f>
        <v>0</v>
      </c>
      <c r="CH34" s="344" t="n">
        <f aca="false">SUM(CH20:CH33)</f>
        <v>0</v>
      </c>
      <c r="CI34" s="344" t="n">
        <f aca="false">SUM(CI20:CI33)</f>
        <v>0</v>
      </c>
      <c r="CJ34" s="344" t="n">
        <f aca="false">SUM(CJ20:CJ33)</f>
        <v>0</v>
      </c>
      <c r="CK34" s="344" t="n">
        <f aca="false">SUM(CK20:CK33)</f>
        <v>0</v>
      </c>
    </row>
    <row r="35" customFormat="false" ht="11.25" hidden="false" customHeight="true" outlineLevel="0" collapsed="false">
      <c r="C35" s="51" t="str">
        <f aca="false">'Lead PL'!C147</f>
        <v>Abschreibungen</v>
      </c>
      <c r="D35" s="51" t="str">
        <f aca="false">'Lead PL'!D147</f>
        <v>Depreciation</v>
      </c>
      <c r="E35" s="51"/>
      <c r="F35" s="159"/>
      <c r="G35" s="159"/>
      <c r="H35" s="159"/>
      <c r="I35" s="159"/>
      <c r="J35" s="159"/>
      <c r="K35" s="159"/>
      <c r="L35" s="159"/>
      <c r="M35" s="159"/>
      <c r="N35" s="159"/>
      <c r="O35" s="159"/>
      <c r="P35" s="159"/>
      <c r="Q35" s="159"/>
      <c r="R35" s="159"/>
      <c r="S35" s="159"/>
      <c r="T35" s="159"/>
      <c r="U35" s="159"/>
      <c r="V35" s="159"/>
      <c r="W35" s="159"/>
      <c r="X35" s="159"/>
      <c r="Y35" s="159"/>
      <c r="Z35" s="159"/>
      <c r="AA35" s="159"/>
      <c r="AB35" s="159"/>
      <c r="AC35" s="159"/>
      <c r="AD35" s="159"/>
      <c r="AE35" s="159"/>
      <c r="AF35" s="159"/>
      <c r="AG35" s="159"/>
      <c r="AH35" s="159"/>
      <c r="AI35" s="159"/>
      <c r="AJ35" s="159"/>
      <c r="AK35" s="159"/>
      <c r="AL35" s="159"/>
      <c r="AM35" s="159"/>
      <c r="AN35" s="159"/>
      <c r="AO35" s="159"/>
      <c r="AP35" s="159"/>
      <c r="AQ35" s="159"/>
      <c r="AR35" s="159"/>
      <c r="AS35" s="159"/>
      <c r="AT35" s="159"/>
      <c r="AU35" s="308"/>
      <c r="AV35" s="308"/>
      <c r="AW35" s="308"/>
      <c r="AX35" s="308"/>
      <c r="AY35" s="308"/>
      <c r="AZ35" s="308"/>
      <c r="BA35" s="308"/>
      <c r="BB35" s="308"/>
      <c r="BC35" s="308"/>
      <c r="BD35" s="308"/>
      <c r="BE35" s="308"/>
      <c r="BF35" s="308"/>
      <c r="BG35" s="308"/>
      <c r="BH35" s="308"/>
      <c r="BI35" s="308"/>
      <c r="BJ35" s="308"/>
      <c r="BK35" s="308"/>
      <c r="BL35" s="308"/>
      <c r="BM35" s="308"/>
      <c r="BN35" s="308"/>
      <c r="BO35" s="308"/>
      <c r="BP35" s="308"/>
      <c r="BQ35" s="308"/>
      <c r="BR35" s="308"/>
      <c r="BS35" s="308"/>
      <c r="BT35" s="308"/>
      <c r="BU35" s="308"/>
      <c r="BV35" s="308"/>
      <c r="BW35" s="308"/>
      <c r="BX35" s="308"/>
      <c r="BY35" s="308"/>
      <c r="BZ35" s="308"/>
      <c r="CA35" s="308"/>
      <c r="CB35" s="308"/>
      <c r="CC35" s="308"/>
      <c r="CD35" s="308"/>
      <c r="CE35" s="308"/>
      <c r="CF35" s="308"/>
      <c r="CG35" s="308"/>
      <c r="CH35" s="308"/>
      <c r="CI35" s="308"/>
      <c r="CJ35" s="308"/>
      <c r="CK35" s="308"/>
      <c r="CN35" s="105" t="s">
        <v>293</v>
      </c>
    </row>
    <row r="36" customFormat="false" ht="11.25" hidden="false" customHeight="true" outlineLevel="2" collapsed="false">
      <c r="C36" s="51" t="str">
        <f aca="false">'Lead PL'!C156</f>
        <v>Dummy 1</v>
      </c>
      <c r="D36" s="51" t="str">
        <f aca="false">'Lead PL'!D156</f>
        <v>Dummy 1</v>
      </c>
      <c r="E36" s="51"/>
      <c r="F36" s="159"/>
      <c r="G36" s="159"/>
      <c r="H36" s="159"/>
      <c r="I36" s="159"/>
      <c r="J36" s="159"/>
      <c r="K36" s="159"/>
      <c r="L36" s="159"/>
      <c r="M36" s="159"/>
      <c r="N36" s="159"/>
      <c r="O36" s="159"/>
      <c r="P36" s="159"/>
      <c r="Q36" s="159"/>
      <c r="R36" s="159"/>
      <c r="S36" s="159"/>
      <c r="T36" s="159"/>
      <c r="U36" s="159"/>
      <c r="V36" s="159"/>
      <c r="W36" s="159"/>
      <c r="X36" s="159"/>
      <c r="Y36" s="159"/>
      <c r="Z36" s="159"/>
      <c r="AA36" s="159"/>
      <c r="AB36" s="159"/>
      <c r="AC36" s="159"/>
      <c r="AD36" s="159"/>
      <c r="AE36" s="159"/>
      <c r="AF36" s="159"/>
      <c r="AG36" s="159"/>
      <c r="AH36" s="159"/>
      <c r="AI36" s="159"/>
      <c r="AJ36" s="159"/>
      <c r="AK36" s="159"/>
      <c r="AL36" s="159"/>
      <c r="AM36" s="159"/>
      <c r="AN36" s="159"/>
      <c r="AO36" s="159"/>
      <c r="AP36" s="159"/>
      <c r="AQ36" s="159"/>
      <c r="AR36" s="159"/>
      <c r="AS36" s="159"/>
      <c r="AT36" s="159"/>
      <c r="AU36" s="308"/>
      <c r="AV36" s="308"/>
      <c r="AW36" s="308"/>
      <c r="AX36" s="308"/>
      <c r="AY36" s="308"/>
      <c r="AZ36" s="308"/>
      <c r="BA36" s="308"/>
      <c r="BB36" s="308"/>
      <c r="BC36" s="308"/>
      <c r="BD36" s="308"/>
      <c r="BE36" s="308"/>
      <c r="BF36" s="308"/>
      <c r="BG36" s="308"/>
      <c r="BH36" s="308"/>
      <c r="BI36" s="308"/>
      <c r="BJ36" s="308"/>
      <c r="BK36" s="308"/>
      <c r="BL36" s="308"/>
      <c r="BM36" s="308"/>
      <c r="BN36" s="308"/>
      <c r="BO36" s="308"/>
      <c r="BP36" s="308"/>
      <c r="BQ36" s="308"/>
      <c r="BR36" s="308"/>
      <c r="BS36" s="308"/>
      <c r="BT36" s="308"/>
      <c r="BU36" s="308"/>
      <c r="BV36" s="308"/>
      <c r="BW36" s="308"/>
      <c r="BX36" s="308"/>
      <c r="BY36" s="308"/>
      <c r="BZ36" s="308"/>
      <c r="CA36" s="308"/>
      <c r="CB36" s="308"/>
      <c r="CC36" s="308"/>
      <c r="CD36" s="308"/>
      <c r="CE36" s="308"/>
      <c r="CF36" s="308"/>
      <c r="CG36" s="308"/>
      <c r="CH36" s="308"/>
      <c r="CI36" s="308"/>
      <c r="CJ36" s="308"/>
      <c r="CK36" s="308"/>
      <c r="CN36" s="105"/>
    </row>
    <row r="37" customFormat="false" ht="11.25" hidden="false" customHeight="true" outlineLevel="2" collapsed="false">
      <c r="C37" s="51" t="str">
        <f aca="false">'Lead PL'!C157</f>
        <v>Dummy 2</v>
      </c>
      <c r="D37" s="51" t="str">
        <f aca="false">'Lead PL'!D157</f>
        <v>Dummy 2</v>
      </c>
      <c r="E37" s="51"/>
      <c r="F37" s="159"/>
      <c r="G37" s="159"/>
      <c r="H37" s="159"/>
      <c r="I37" s="159"/>
      <c r="J37" s="159"/>
      <c r="K37" s="159"/>
      <c r="L37" s="159"/>
      <c r="M37" s="159"/>
      <c r="N37" s="159"/>
      <c r="O37" s="159"/>
      <c r="P37" s="159"/>
      <c r="Q37" s="159"/>
      <c r="R37" s="159"/>
      <c r="S37" s="159"/>
      <c r="T37" s="159"/>
      <c r="U37" s="159"/>
      <c r="V37" s="159"/>
      <c r="W37" s="159"/>
      <c r="X37" s="159"/>
      <c r="Y37" s="159"/>
      <c r="Z37" s="159"/>
      <c r="AA37" s="159"/>
      <c r="AB37" s="159"/>
      <c r="AC37" s="159"/>
      <c r="AD37" s="159"/>
      <c r="AE37" s="159"/>
      <c r="AF37" s="159"/>
      <c r="AG37" s="159"/>
      <c r="AH37" s="159"/>
      <c r="AI37" s="159"/>
      <c r="AJ37" s="159"/>
      <c r="AK37" s="159"/>
      <c r="AL37" s="159"/>
      <c r="AM37" s="159"/>
      <c r="AN37" s="159"/>
      <c r="AO37" s="159"/>
      <c r="AP37" s="159"/>
      <c r="AQ37" s="159"/>
      <c r="AR37" s="159"/>
      <c r="AS37" s="159"/>
      <c r="AT37" s="159"/>
      <c r="AU37" s="308"/>
      <c r="AV37" s="308"/>
      <c r="AW37" s="308"/>
      <c r="AX37" s="308"/>
      <c r="AY37" s="308"/>
      <c r="AZ37" s="308"/>
      <c r="BA37" s="308"/>
      <c r="BB37" s="308"/>
      <c r="BC37" s="308"/>
      <c r="BD37" s="308"/>
      <c r="BE37" s="308"/>
      <c r="BF37" s="308"/>
      <c r="BG37" s="308"/>
      <c r="BH37" s="308"/>
      <c r="BI37" s="308"/>
      <c r="BJ37" s="308"/>
      <c r="BK37" s="308"/>
      <c r="BL37" s="308"/>
      <c r="BM37" s="308"/>
      <c r="BN37" s="308"/>
      <c r="BO37" s="308"/>
      <c r="BP37" s="308"/>
      <c r="BQ37" s="308"/>
      <c r="BR37" s="308"/>
      <c r="BS37" s="308"/>
      <c r="BT37" s="308"/>
      <c r="BU37" s="308"/>
      <c r="BV37" s="308"/>
      <c r="BW37" s="308"/>
      <c r="BX37" s="308"/>
      <c r="BY37" s="308"/>
      <c r="BZ37" s="308"/>
      <c r="CA37" s="308"/>
      <c r="CB37" s="308"/>
      <c r="CC37" s="308"/>
      <c r="CD37" s="308"/>
      <c r="CE37" s="308"/>
      <c r="CF37" s="308"/>
      <c r="CG37" s="308"/>
      <c r="CH37" s="308"/>
      <c r="CI37" s="308"/>
      <c r="CJ37" s="308"/>
      <c r="CK37" s="308"/>
      <c r="CN37" s="105"/>
    </row>
    <row r="38" customFormat="false" ht="11.25" hidden="false" customHeight="true" outlineLevel="2" collapsed="false">
      <c r="C38" s="54" t="str">
        <f aca="false">'Lead PL'!C158</f>
        <v>Dummy 3</v>
      </c>
      <c r="D38" s="54" t="str">
        <f aca="false">'Lead PL'!D158</f>
        <v>Dummy 3</v>
      </c>
      <c r="E38" s="54"/>
      <c r="F38" s="162"/>
      <c r="G38" s="162"/>
      <c r="H38" s="162"/>
      <c r="I38" s="162"/>
      <c r="J38" s="162"/>
      <c r="K38" s="162"/>
      <c r="L38" s="162"/>
      <c r="M38" s="162"/>
      <c r="N38" s="162"/>
      <c r="O38" s="162"/>
      <c r="P38" s="162"/>
      <c r="Q38" s="162"/>
      <c r="R38" s="162"/>
      <c r="S38" s="162"/>
      <c r="T38" s="162"/>
      <c r="U38" s="162"/>
      <c r="V38" s="162"/>
      <c r="W38" s="162"/>
      <c r="X38" s="162"/>
      <c r="Y38" s="162"/>
      <c r="Z38" s="162"/>
      <c r="AA38" s="162"/>
      <c r="AB38" s="162"/>
      <c r="AC38" s="162"/>
      <c r="AD38" s="162"/>
      <c r="AE38" s="162"/>
      <c r="AF38" s="162"/>
      <c r="AG38" s="162"/>
      <c r="AH38" s="162"/>
      <c r="AI38" s="162"/>
      <c r="AJ38" s="162"/>
      <c r="AK38" s="162"/>
      <c r="AL38" s="162"/>
      <c r="AM38" s="162"/>
      <c r="AN38" s="162"/>
      <c r="AO38" s="162"/>
      <c r="AP38" s="162"/>
      <c r="AQ38" s="162"/>
      <c r="AR38" s="162"/>
      <c r="AS38" s="162"/>
      <c r="AT38" s="162"/>
      <c r="AU38" s="191"/>
      <c r="AV38" s="191"/>
      <c r="AW38" s="191"/>
      <c r="AX38" s="191"/>
      <c r="AY38" s="191"/>
      <c r="AZ38" s="191"/>
      <c r="BA38" s="191"/>
      <c r="BB38" s="191"/>
      <c r="BC38" s="191"/>
      <c r="BD38" s="191"/>
      <c r="BE38" s="191"/>
      <c r="BF38" s="191"/>
      <c r="BG38" s="191"/>
      <c r="BH38" s="191"/>
      <c r="BI38" s="191"/>
      <c r="BJ38" s="191"/>
      <c r="BK38" s="191"/>
      <c r="BL38" s="191"/>
      <c r="BM38" s="191"/>
      <c r="BN38" s="191"/>
      <c r="BO38" s="191"/>
      <c r="BP38" s="191"/>
      <c r="BQ38" s="191"/>
      <c r="BR38" s="191"/>
      <c r="BS38" s="191"/>
      <c r="BT38" s="191"/>
      <c r="BU38" s="191"/>
      <c r="BV38" s="191"/>
      <c r="BW38" s="191"/>
      <c r="BX38" s="191"/>
      <c r="BY38" s="191"/>
      <c r="BZ38" s="191"/>
      <c r="CA38" s="191"/>
      <c r="CB38" s="191"/>
      <c r="CC38" s="191"/>
      <c r="CD38" s="191"/>
      <c r="CE38" s="191"/>
      <c r="CF38" s="191"/>
      <c r="CG38" s="191"/>
      <c r="CH38" s="191"/>
      <c r="CI38" s="191"/>
      <c r="CJ38" s="191"/>
      <c r="CK38" s="191"/>
      <c r="CN38" s="105"/>
    </row>
    <row r="39" customFormat="false" ht="11.25" hidden="false" customHeight="true" outlineLevel="0" collapsed="false">
      <c r="C39" s="165" t="str">
        <f aca="false">'Lead PL'!C159</f>
        <v>EBIT</v>
      </c>
      <c r="D39" s="165" t="str">
        <f aca="false">'Lead PL'!D159</f>
        <v>EBIT</v>
      </c>
      <c r="E39" s="165"/>
      <c r="F39" s="165" t="n">
        <f aca="false">SUM(F34:F38)</f>
        <v>0</v>
      </c>
      <c r="G39" s="165" t="n">
        <f aca="false">SUM(G34:G38)</f>
        <v>0</v>
      </c>
      <c r="H39" s="165" t="n">
        <f aca="false">SUM(H34:H38)</f>
        <v>0</v>
      </c>
      <c r="I39" s="165" t="n">
        <f aca="false">SUM(I34:I38)</f>
        <v>0</v>
      </c>
      <c r="J39" s="165" t="n">
        <f aca="false">SUM(J34:J38)</f>
        <v>0</v>
      </c>
      <c r="K39" s="165" t="n">
        <f aca="false">SUM(K34:K38)</f>
        <v>0</v>
      </c>
      <c r="L39" s="165" t="n">
        <f aca="false">SUM(L34:L38)</f>
        <v>0</v>
      </c>
      <c r="M39" s="165" t="n">
        <f aca="false">SUM(M34:M38)</f>
        <v>0</v>
      </c>
      <c r="N39" s="165" t="n">
        <f aca="false">SUM(N34:N38)</f>
        <v>0</v>
      </c>
      <c r="O39" s="165" t="n">
        <f aca="false">SUM(O34:O38)</f>
        <v>0</v>
      </c>
      <c r="P39" s="165" t="n">
        <f aca="false">SUM(P34:P38)</f>
        <v>0</v>
      </c>
      <c r="Q39" s="165" t="n">
        <f aca="false">SUM(Q34:Q38)</f>
        <v>0</v>
      </c>
      <c r="R39" s="165" t="n">
        <f aca="false">SUM(R34:R38)</f>
        <v>0</v>
      </c>
      <c r="S39" s="165" t="n">
        <f aca="false">SUM(S34:S38)</f>
        <v>0</v>
      </c>
      <c r="T39" s="165" t="n">
        <f aca="false">SUM(T34:T38)</f>
        <v>0</v>
      </c>
      <c r="U39" s="165" t="n">
        <f aca="false">SUM(U34:U38)</f>
        <v>0</v>
      </c>
      <c r="V39" s="165" t="n">
        <f aca="false">SUM(V34:V38)</f>
        <v>0</v>
      </c>
      <c r="W39" s="165" t="n">
        <f aca="false">SUM(W34:W38)</f>
        <v>0</v>
      </c>
      <c r="X39" s="165" t="n">
        <f aca="false">SUM(X34:X38)</f>
        <v>0</v>
      </c>
      <c r="Y39" s="165" t="n">
        <f aca="false">SUM(Y34:Y38)</f>
        <v>0</v>
      </c>
      <c r="Z39" s="165" t="n">
        <f aca="false">SUM(Z34:Z38)</f>
        <v>0</v>
      </c>
      <c r="AA39" s="165" t="n">
        <f aca="false">SUM(AA34:AA38)</f>
        <v>0</v>
      </c>
      <c r="AB39" s="165" t="n">
        <f aca="false">SUM(AB34:AB38)</f>
        <v>0</v>
      </c>
      <c r="AC39" s="165" t="n">
        <f aca="false">SUM(AC34:AC38)</f>
        <v>0</v>
      </c>
      <c r="AD39" s="165" t="n">
        <f aca="false">SUM(AD34:AD38)</f>
        <v>0</v>
      </c>
      <c r="AE39" s="165" t="n">
        <f aca="false">SUM(AE34:AE38)</f>
        <v>0</v>
      </c>
      <c r="AF39" s="165" t="n">
        <f aca="false">SUM(AF34:AF38)</f>
        <v>0</v>
      </c>
      <c r="AG39" s="165" t="n">
        <f aca="false">SUM(AG34:AG38)</f>
        <v>0</v>
      </c>
      <c r="AH39" s="165" t="n">
        <f aca="false">SUM(AH34:AH38)</f>
        <v>0</v>
      </c>
      <c r="AI39" s="165" t="n">
        <f aca="false">SUM(AI34:AI38)</f>
        <v>0</v>
      </c>
      <c r="AJ39" s="165" t="n">
        <f aca="false">SUM(AJ34:AJ38)</f>
        <v>0</v>
      </c>
      <c r="AK39" s="165" t="n">
        <f aca="false">SUM(AK34:AK38)</f>
        <v>0</v>
      </c>
      <c r="AL39" s="165" t="n">
        <f aca="false">SUM(AL34:AL38)</f>
        <v>0</v>
      </c>
      <c r="AM39" s="165" t="n">
        <f aca="false">SUM(AM34:AM38)</f>
        <v>0</v>
      </c>
      <c r="AN39" s="165" t="n">
        <f aca="false">SUM(AN34:AN38)</f>
        <v>0</v>
      </c>
      <c r="AO39" s="165" t="n">
        <f aca="false">SUM(AO34:AO38)</f>
        <v>0</v>
      </c>
      <c r="AP39" s="165" t="n">
        <f aca="false">SUM(AP34:AP38)</f>
        <v>0</v>
      </c>
      <c r="AQ39" s="165" t="n">
        <f aca="false">SUM(AQ34:AQ38)</f>
        <v>0</v>
      </c>
      <c r="AR39" s="165" t="n">
        <f aca="false">SUM(AR34:AR38)</f>
        <v>0</v>
      </c>
      <c r="AS39" s="165" t="n">
        <f aca="false">SUM(AS34:AS38)</f>
        <v>0</v>
      </c>
      <c r="AT39" s="165" t="n">
        <f aca="false">SUM(AT34:AT38)</f>
        <v>0</v>
      </c>
      <c r="AU39" s="344" t="n">
        <f aca="false">SUM(AU34:AU38)</f>
        <v>0</v>
      </c>
      <c r="AV39" s="344" t="n">
        <f aca="false">SUM(AV34:AV38)</f>
        <v>0</v>
      </c>
      <c r="AW39" s="344" t="n">
        <f aca="false">SUM(AW34:AW38)</f>
        <v>0</v>
      </c>
      <c r="AX39" s="344" t="n">
        <f aca="false">SUM(AX34:AX38)</f>
        <v>0</v>
      </c>
      <c r="AY39" s="344" t="n">
        <f aca="false">SUM(AY34:AY38)</f>
        <v>0</v>
      </c>
      <c r="AZ39" s="344" t="n">
        <f aca="false">SUM(AZ34:AZ38)</f>
        <v>0</v>
      </c>
      <c r="BA39" s="344" t="n">
        <f aca="false">SUM(BA34:BA38)</f>
        <v>0</v>
      </c>
      <c r="BB39" s="344" t="n">
        <f aca="false">SUM(BB34:BB38)</f>
        <v>0</v>
      </c>
      <c r="BC39" s="344" t="n">
        <f aca="false">SUM(BC34:BC38)</f>
        <v>0</v>
      </c>
      <c r="BD39" s="344" t="n">
        <f aca="false">SUM(BD34:BD38)</f>
        <v>0</v>
      </c>
      <c r="BE39" s="344" t="n">
        <f aca="false">SUM(BE34:BE38)</f>
        <v>0</v>
      </c>
      <c r="BF39" s="344" t="n">
        <f aca="false">SUM(BF34:BF38)</f>
        <v>0</v>
      </c>
      <c r="BG39" s="344" t="n">
        <f aca="false">SUM(BG34:BG38)</f>
        <v>0</v>
      </c>
      <c r="BH39" s="344" t="n">
        <f aca="false">SUM(BH34:BH38)</f>
        <v>0</v>
      </c>
      <c r="BI39" s="344" t="n">
        <f aca="false">SUM(BI34:BI38)</f>
        <v>0</v>
      </c>
      <c r="BJ39" s="344" t="n">
        <f aca="false">SUM(BJ34:BJ38)</f>
        <v>0</v>
      </c>
      <c r="BK39" s="344" t="n">
        <f aca="false">SUM(BK34:BK38)</f>
        <v>0</v>
      </c>
      <c r="BL39" s="344" t="n">
        <f aca="false">SUM(BL34:BL38)</f>
        <v>0</v>
      </c>
      <c r="BM39" s="344" t="n">
        <f aca="false">SUM(BM34:BM38)</f>
        <v>0</v>
      </c>
      <c r="BN39" s="344" t="n">
        <f aca="false">SUM(BN34:BN38)</f>
        <v>0</v>
      </c>
      <c r="BO39" s="344" t="n">
        <f aca="false">SUM(BO34:BO38)</f>
        <v>0</v>
      </c>
      <c r="BP39" s="344" t="n">
        <f aca="false">SUM(BP34:BP38)</f>
        <v>0</v>
      </c>
      <c r="BQ39" s="344" t="n">
        <f aca="false">SUM(BQ34:BQ38)</f>
        <v>0</v>
      </c>
      <c r="BR39" s="344" t="n">
        <f aca="false">SUM(BR34:BR38)</f>
        <v>0</v>
      </c>
      <c r="BS39" s="344" t="n">
        <f aca="false">SUM(BS34:BS38)</f>
        <v>0</v>
      </c>
      <c r="BT39" s="344" t="n">
        <f aca="false">SUM(BT34:BT38)</f>
        <v>0</v>
      </c>
      <c r="BU39" s="344" t="n">
        <f aca="false">SUM(BU34:BU38)</f>
        <v>0</v>
      </c>
      <c r="BV39" s="344" t="n">
        <f aca="false">SUM(BV34:BV38)</f>
        <v>0</v>
      </c>
      <c r="BW39" s="344" t="n">
        <f aca="false">SUM(BW34:BW38)</f>
        <v>0</v>
      </c>
      <c r="BX39" s="344" t="n">
        <f aca="false">SUM(BX34:BX38)</f>
        <v>0</v>
      </c>
      <c r="BY39" s="344" t="n">
        <f aca="false">SUM(BY34:BY38)</f>
        <v>0</v>
      </c>
      <c r="BZ39" s="344" t="n">
        <f aca="false">SUM(BZ34:BZ38)</f>
        <v>0</v>
      </c>
      <c r="CA39" s="344" t="n">
        <f aca="false">SUM(CA34:CA38)</f>
        <v>0</v>
      </c>
      <c r="CB39" s="344" t="n">
        <f aca="false">SUM(CB34:CB38)</f>
        <v>0</v>
      </c>
      <c r="CC39" s="344" t="n">
        <f aca="false">SUM(CC34:CC38)</f>
        <v>0</v>
      </c>
      <c r="CD39" s="344" t="n">
        <f aca="false">SUM(CD34:CD38)</f>
        <v>0</v>
      </c>
      <c r="CE39" s="344" t="n">
        <f aca="false">SUM(CE34:CE38)</f>
        <v>0</v>
      </c>
      <c r="CF39" s="344" t="n">
        <f aca="false">SUM(CF34:CF38)</f>
        <v>0</v>
      </c>
      <c r="CG39" s="344" t="n">
        <f aca="false">SUM(CG34:CG38)</f>
        <v>0</v>
      </c>
      <c r="CH39" s="344" t="n">
        <f aca="false">SUM(CH34:CH38)</f>
        <v>0</v>
      </c>
      <c r="CI39" s="344" t="n">
        <f aca="false">SUM(CI34:CI38)</f>
        <v>0</v>
      </c>
      <c r="CJ39" s="344" t="n">
        <f aca="false">SUM(CJ34:CJ38)</f>
        <v>0</v>
      </c>
      <c r="CK39" s="344" t="n">
        <f aca="false">SUM(CK34:CK38)</f>
        <v>0</v>
      </c>
    </row>
    <row r="40" customFormat="false" ht="11.25" hidden="false" customHeight="true" outlineLevel="1" collapsed="false">
      <c r="C40" s="186" t="str">
        <f aca="false">'Lead PL'!C160</f>
        <v>Beteiligungsergebnis</v>
      </c>
      <c r="D40" s="186" t="str">
        <f aca="false">'Lead PL'!D160</f>
        <v>Investment income</v>
      </c>
      <c r="E40" s="186"/>
      <c r="F40" s="159"/>
      <c r="G40" s="159"/>
      <c r="H40" s="159"/>
      <c r="I40" s="159"/>
      <c r="J40" s="159"/>
      <c r="K40" s="159"/>
      <c r="L40" s="159"/>
      <c r="M40" s="159"/>
      <c r="N40" s="159"/>
      <c r="O40" s="159"/>
      <c r="P40" s="159"/>
      <c r="Q40" s="159"/>
      <c r="R40" s="159"/>
      <c r="S40" s="159"/>
      <c r="T40" s="159"/>
      <c r="U40" s="159"/>
      <c r="V40" s="159"/>
      <c r="W40" s="159"/>
      <c r="X40" s="159"/>
      <c r="Y40" s="159"/>
      <c r="Z40" s="159"/>
      <c r="AA40" s="159"/>
      <c r="AB40" s="159"/>
      <c r="AC40" s="159"/>
      <c r="AD40" s="159"/>
      <c r="AE40" s="159"/>
      <c r="AF40" s="159"/>
      <c r="AG40" s="159"/>
      <c r="AH40" s="159"/>
      <c r="AI40" s="159"/>
      <c r="AJ40" s="159"/>
      <c r="AK40" s="159"/>
      <c r="AL40" s="159"/>
      <c r="AM40" s="159"/>
      <c r="AN40" s="159"/>
      <c r="AO40" s="159"/>
      <c r="AP40" s="159"/>
      <c r="AQ40" s="159"/>
      <c r="AR40" s="159"/>
      <c r="AS40" s="159"/>
      <c r="AT40" s="159"/>
      <c r="AU40" s="308"/>
      <c r="AV40" s="308"/>
      <c r="AW40" s="308"/>
      <c r="AX40" s="308"/>
      <c r="AY40" s="308"/>
      <c r="AZ40" s="308"/>
      <c r="BA40" s="308"/>
      <c r="BB40" s="308"/>
      <c r="BC40" s="308"/>
      <c r="BD40" s="308"/>
      <c r="BE40" s="308"/>
      <c r="BF40" s="308"/>
      <c r="BG40" s="308"/>
      <c r="BH40" s="308"/>
      <c r="BI40" s="308"/>
      <c r="BJ40" s="308"/>
      <c r="BK40" s="308"/>
      <c r="BL40" s="308"/>
      <c r="BM40" s="308"/>
      <c r="BN40" s="308"/>
      <c r="BO40" s="308"/>
      <c r="BP40" s="308"/>
      <c r="BQ40" s="308"/>
      <c r="BR40" s="308"/>
      <c r="BS40" s="308"/>
      <c r="BT40" s="308"/>
      <c r="BU40" s="308"/>
      <c r="BV40" s="308"/>
      <c r="BW40" s="308"/>
      <c r="BX40" s="308"/>
      <c r="BY40" s="308"/>
      <c r="BZ40" s="308"/>
      <c r="CA40" s="308"/>
      <c r="CB40" s="308"/>
      <c r="CC40" s="308"/>
      <c r="CD40" s="308"/>
      <c r="CE40" s="308"/>
      <c r="CF40" s="308"/>
      <c r="CG40" s="308"/>
      <c r="CH40" s="308"/>
      <c r="CI40" s="308"/>
      <c r="CJ40" s="308"/>
      <c r="CK40" s="308"/>
      <c r="CN40" s="105" t="s">
        <v>277</v>
      </c>
    </row>
    <row r="41" customFormat="false" ht="11.25" hidden="false" customHeight="true" outlineLevel="1" collapsed="false">
      <c r="C41" s="186" t="str">
        <f aca="false">'Lead PL'!C169</f>
        <v>Zinserträge</v>
      </c>
      <c r="D41" s="186" t="str">
        <f aca="false">'Lead PL'!D169</f>
        <v>Interest income</v>
      </c>
      <c r="E41" s="186"/>
      <c r="F41" s="159"/>
      <c r="G41" s="159"/>
      <c r="H41" s="159"/>
      <c r="I41" s="159"/>
      <c r="J41" s="159"/>
      <c r="K41" s="159"/>
      <c r="L41" s="159"/>
      <c r="M41" s="159"/>
      <c r="N41" s="159"/>
      <c r="O41" s="159"/>
      <c r="P41" s="159"/>
      <c r="Q41" s="159"/>
      <c r="R41" s="159"/>
      <c r="S41" s="159"/>
      <c r="T41" s="159"/>
      <c r="U41" s="159"/>
      <c r="V41" s="159"/>
      <c r="W41" s="159"/>
      <c r="X41" s="159"/>
      <c r="Y41" s="159"/>
      <c r="Z41" s="159"/>
      <c r="AA41" s="159"/>
      <c r="AB41" s="159"/>
      <c r="AC41" s="159"/>
      <c r="AD41" s="159"/>
      <c r="AE41" s="159"/>
      <c r="AF41" s="159"/>
      <c r="AG41" s="159"/>
      <c r="AH41" s="159"/>
      <c r="AI41" s="159"/>
      <c r="AJ41" s="159"/>
      <c r="AK41" s="159"/>
      <c r="AL41" s="159"/>
      <c r="AM41" s="159"/>
      <c r="AN41" s="159"/>
      <c r="AO41" s="159"/>
      <c r="AP41" s="159"/>
      <c r="AQ41" s="159"/>
      <c r="AR41" s="159"/>
      <c r="AS41" s="159"/>
      <c r="AT41" s="159"/>
      <c r="AU41" s="308"/>
      <c r="AV41" s="308"/>
      <c r="AW41" s="308"/>
      <c r="AX41" s="308"/>
      <c r="AY41" s="308"/>
      <c r="AZ41" s="308"/>
      <c r="BA41" s="308"/>
      <c r="BB41" s="308"/>
      <c r="BC41" s="308"/>
      <c r="BD41" s="308"/>
      <c r="BE41" s="308"/>
      <c r="BF41" s="308"/>
      <c r="BG41" s="308"/>
      <c r="BH41" s="308"/>
      <c r="BI41" s="308"/>
      <c r="BJ41" s="308"/>
      <c r="BK41" s="308"/>
      <c r="BL41" s="308"/>
      <c r="BM41" s="308"/>
      <c r="BN41" s="308"/>
      <c r="BO41" s="308"/>
      <c r="BP41" s="308"/>
      <c r="BQ41" s="308"/>
      <c r="BR41" s="308"/>
      <c r="BS41" s="308"/>
      <c r="BT41" s="308"/>
      <c r="BU41" s="308"/>
      <c r="BV41" s="308"/>
      <c r="BW41" s="308"/>
      <c r="BX41" s="308"/>
      <c r="BY41" s="308"/>
      <c r="BZ41" s="308"/>
      <c r="CA41" s="308"/>
      <c r="CB41" s="308"/>
      <c r="CC41" s="308"/>
      <c r="CD41" s="308"/>
      <c r="CE41" s="308"/>
      <c r="CF41" s="308"/>
      <c r="CG41" s="308"/>
      <c r="CH41" s="308"/>
      <c r="CI41" s="308"/>
      <c r="CJ41" s="308"/>
      <c r="CK41" s="308"/>
      <c r="CN41" s="105" t="s">
        <v>281</v>
      </c>
    </row>
    <row r="42" customFormat="false" ht="11.25" hidden="false" customHeight="true" outlineLevel="1" collapsed="false">
      <c r="C42" s="186" t="str">
        <f aca="false">'Lead PL'!C178</f>
        <v>Zinsaufwendungen</v>
      </c>
      <c r="D42" s="186" t="str">
        <f aca="false">'Lead PL'!D178</f>
        <v>Interest expenses</v>
      </c>
      <c r="E42" s="186"/>
      <c r="F42" s="159"/>
      <c r="G42" s="159"/>
      <c r="H42" s="159"/>
      <c r="I42" s="159"/>
      <c r="J42" s="159"/>
      <c r="K42" s="159"/>
      <c r="L42" s="159"/>
      <c r="M42" s="159"/>
      <c r="N42" s="159"/>
      <c r="O42" s="159"/>
      <c r="P42" s="159"/>
      <c r="Q42" s="159"/>
      <c r="R42" s="159"/>
      <c r="S42" s="159"/>
      <c r="T42" s="159"/>
      <c r="U42" s="159"/>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59"/>
      <c r="AT42" s="159"/>
      <c r="AU42" s="308"/>
      <c r="AV42" s="308"/>
      <c r="AW42" s="308"/>
      <c r="AX42" s="308"/>
      <c r="AY42" s="308"/>
      <c r="AZ42" s="308"/>
      <c r="BA42" s="308"/>
      <c r="BB42" s="308"/>
      <c r="BC42" s="308"/>
      <c r="BD42" s="308"/>
      <c r="BE42" s="308"/>
      <c r="BF42" s="308"/>
      <c r="BG42" s="308"/>
      <c r="BH42" s="308"/>
      <c r="BI42" s="308"/>
      <c r="BJ42" s="308"/>
      <c r="BK42" s="308"/>
      <c r="BL42" s="308"/>
      <c r="BM42" s="308"/>
      <c r="BN42" s="308"/>
      <c r="BO42" s="308"/>
      <c r="BP42" s="308"/>
      <c r="BQ42" s="308"/>
      <c r="BR42" s="308"/>
      <c r="BS42" s="308"/>
      <c r="BT42" s="308"/>
      <c r="BU42" s="308"/>
      <c r="BV42" s="308"/>
      <c r="BW42" s="308"/>
      <c r="BX42" s="308"/>
      <c r="BY42" s="308"/>
      <c r="BZ42" s="308"/>
      <c r="CA42" s="308"/>
      <c r="CB42" s="308"/>
      <c r="CC42" s="308"/>
      <c r="CD42" s="308"/>
      <c r="CE42" s="308"/>
      <c r="CF42" s="308"/>
      <c r="CG42" s="308"/>
      <c r="CH42" s="308"/>
      <c r="CI42" s="308"/>
      <c r="CJ42" s="308"/>
      <c r="CK42" s="308"/>
      <c r="CN42" s="105" t="s">
        <v>295</v>
      </c>
    </row>
    <row r="43" customFormat="false" ht="11.25" hidden="false" customHeight="true" outlineLevel="2" collapsed="false">
      <c r="C43" s="186" t="str">
        <f aca="false">'Lead PL'!C187</f>
        <v>Dummy 1</v>
      </c>
      <c r="D43" s="186" t="str">
        <f aca="false">'Lead PL'!D187</f>
        <v>Dummy 1</v>
      </c>
      <c r="E43" s="186"/>
      <c r="F43" s="159"/>
      <c r="G43" s="159"/>
      <c r="H43" s="159"/>
      <c r="I43" s="159"/>
      <c r="J43" s="159"/>
      <c r="K43" s="159"/>
      <c r="L43" s="159"/>
      <c r="M43" s="159"/>
      <c r="N43" s="159"/>
      <c r="O43" s="159"/>
      <c r="P43" s="159"/>
      <c r="Q43" s="159"/>
      <c r="R43" s="159"/>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308"/>
      <c r="AV43" s="308"/>
      <c r="AW43" s="308"/>
      <c r="AX43" s="308"/>
      <c r="AY43" s="308"/>
      <c r="AZ43" s="308"/>
      <c r="BA43" s="308"/>
      <c r="BB43" s="308"/>
      <c r="BC43" s="308"/>
      <c r="BD43" s="308"/>
      <c r="BE43" s="308"/>
      <c r="BF43" s="308"/>
      <c r="BG43" s="308"/>
      <c r="BH43" s="308"/>
      <c r="BI43" s="308"/>
      <c r="BJ43" s="308"/>
      <c r="BK43" s="308"/>
      <c r="BL43" s="308"/>
      <c r="BM43" s="308"/>
      <c r="BN43" s="308"/>
      <c r="BO43" s="308"/>
      <c r="BP43" s="308"/>
      <c r="BQ43" s="308"/>
      <c r="BR43" s="308"/>
      <c r="BS43" s="308"/>
      <c r="BT43" s="308"/>
      <c r="BU43" s="308"/>
      <c r="BV43" s="308"/>
      <c r="BW43" s="308"/>
      <c r="BX43" s="308"/>
      <c r="BY43" s="308"/>
      <c r="BZ43" s="308"/>
      <c r="CA43" s="308"/>
      <c r="CB43" s="308"/>
      <c r="CC43" s="308"/>
      <c r="CD43" s="308"/>
      <c r="CE43" s="308"/>
      <c r="CF43" s="308"/>
      <c r="CG43" s="308"/>
      <c r="CH43" s="308"/>
      <c r="CI43" s="308"/>
      <c r="CJ43" s="308"/>
      <c r="CK43" s="308"/>
      <c r="CN43" s="105"/>
    </row>
    <row r="44" customFormat="false" ht="11.25" hidden="false" customHeight="true" outlineLevel="2" collapsed="false">
      <c r="C44" s="186" t="str">
        <f aca="false">'Lead PL'!C188</f>
        <v>Dummy 2</v>
      </c>
      <c r="D44" s="186" t="str">
        <f aca="false">'Lead PL'!D188</f>
        <v>Dummy 2</v>
      </c>
      <c r="E44" s="186"/>
      <c r="F44" s="159"/>
      <c r="G44" s="159"/>
      <c r="H44" s="159"/>
      <c r="I44" s="159"/>
      <c r="J44" s="159"/>
      <c r="K44" s="159"/>
      <c r="L44" s="159"/>
      <c r="M44" s="159"/>
      <c r="N44" s="159"/>
      <c r="O44" s="159"/>
      <c r="P44" s="159"/>
      <c r="Q44" s="159"/>
      <c r="R44" s="159"/>
      <c r="S44" s="159"/>
      <c r="T44" s="159"/>
      <c r="U44" s="159"/>
      <c r="V44" s="159"/>
      <c r="W44" s="159"/>
      <c r="X44" s="159"/>
      <c r="Y44" s="159"/>
      <c r="Z44" s="159"/>
      <c r="AA44" s="159"/>
      <c r="AB44" s="159"/>
      <c r="AC44" s="159"/>
      <c r="AD44" s="159"/>
      <c r="AE44" s="159"/>
      <c r="AF44" s="159"/>
      <c r="AG44" s="159"/>
      <c r="AH44" s="159"/>
      <c r="AI44" s="159"/>
      <c r="AJ44" s="159"/>
      <c r="AK44" s="159"/>
      <c r="AL44" s="159"/>
      <c r="AM44" s="159"/>
      <c r="AN44" s="159"/>
      <c r="AO44" s="159"/>
      <c r="AP44" s="159"/>
      <c r="AQ44" s="159"/>
      <c r="AR44" s="159"/>
      <c r="AS44" s="159"/>
      <c r="AT44" s="159"/>
      <c r="AU44" s="308"/>
      <c r="AV44" s="308"/>
      <c r="AW44" s="308"/>
      <c r="AX44" s="308"/>
      <c r="AY44" s="308"/>
      <c r="AZ44" s="308"/>
      <c r="BA44" s="308"/>
      <c r="BB44" s="308"/>
      <c r="BC44" s="308"/>
      <c r="BD44" s="308"/>
      <c r="BE44" s="308"/>
      <c r="BF44" s="308"/>
      <c r="BG44" s="308"/>
      <c r="BH44" s="308"/>
      <c r="BI44" s="308"/>
      <c r="BJ44" s="308"/>
      <c r="BK44" s="308"/>
      <c r="BL44" s="308"/>
      <c r="BM44" s="308"/>
      <c r="BN44" s="308"/>
      <c r="BO44" s="308"/>
      <c r="BP44" s="308"/>
      <c r="BQ44" s="308"/>
      <c r="BR44" s="308"/>
      <c r="BS44" s="308"/>
      <c r="BT44" s="308"/>
      <c r="BU44" s="308"/>
      <c r="BV44" s="308"/>
      <c r="BW44" s="308"/>
      <c r="BX44" s="308"/>
      <c r="BY44" s="308"/>
      <c r="BZ44" s="308"/>
      <c r="CA44" s="308"/>
      <c r="CB44" s="308"/>
      <c r="CC44" s="308"/>
      <c r="CD44" s="308"/>
      <c r="CE44" s="308"/>
      <c r="CF44" s="308"/>
      <c r="CG44" s="308"/>
      <c r="CH44" s="308"/>
      <c r="CI44" s="308"/>
      <c r="CJ44" s="308"/>
      <c r="CK44" s="308"/>
      <c r="CN44" s="105"/>
    </row>
    <row r="45" customFormat="false" ht="11.25" hidden="false" customHeight="true" outlineLevel="2" collapsed="false">
      <c r="C45" s="186" t="str">
        <f aca="false">'Lead PL'!C189</f>
        <v>Dummy 3</v>
      </c>
      <c r="D45" s="186" t="str">
        <f aca="false">'Lead PL'!D189</f>
        <v>Dummy 3</v>
      </c>
      <c r="E45" s="186"/>
      <c r="F45" s="159"/>
      <c r="G45" s="159"/>
      <c r="H45" s="159"/>
      <c r="I45" s="159"/>
      <c r="J45" s="159"/>
      <c r="K45" s="159"/>
      <c r="L45" s="159"/>
      <c r="M45" s="159"/>
      <c r="N45" s="159"/>
      <c r="O45" s="159"/>
      <c r="P45" s="159"/>
      <c r="Q45" s="159"/>
      <c r="R45" s="159"/>
      <c r="S45" s="159"/>
      <c r="T45" s="159"/>
      <c r="U45" s="159"/>
      <c r="V45" s="159"/>
      <c r="W45" s="159"/>
      <c r="X45" s="159"/>
      <c r="Y45" s="159"/>
      <c r="Z45" s="159"/>
      <c r="AA45" s="159"/>
      <c r="AB45" s="159"/>
      <c r="AC45" s="159"/>
      <c r="AD45" s="159"/>
      <c r="AE45" s="159"/>
      <c r="AF45" s="159"/>
      <c r="AG45" s="159"/>
      <c r="AH45" s="159"/>
      <c r="AI45" s="159"/>
      <c r="AJ45" s="159"/>
      <c r="AK45" s="159"/>
      <c r="AL45" s="159"/>
      <c r="AM45" s="159"/>
      <c r="AN45" s="159"/>
      <c r="AO45" s="159"/>
      <c r="AP45" s="159"/>
      <c r="AQ45" s="159"/>
      <c r="AR45" s="159"/>
      <c r="AS45" s="159"/>
      <c r="AT45" s="159"/>
      <c r="AU45" s="308"/>
      <c r="AV45" s="308"/>
      <c r="AW45" s="308"/>
      <c r="AX45" s="308"/>
      <c r="AY45" s="308"/>
      <c r="AZ45" s="308"/>
      <c r="BA45" s="308"/>
      <c r="BB45" s="308"/>
      <c r="BC45" s="308"/>
      <c r="BD45" s="308"/>
      <c r="BE45" s="308"/>
      <c r="BF45" s="308"/>
      <c r="BG45" s="308"/>
      <c r="BH45" s="308"/>
      <c r="BI45" s="308"/>
      <c r="BJ45" s="308"/>
      <c r="BK45" s="308"/>
      <c r="BL45" s="308"/>
      <c r="BM45" s="308"/>
      <c r="BN45" s="308"/>
      <c r="BO45" s="308"/>
      <c r="BP45" s="308"/>
      <c r="BQ45" s="308"/>
      <c r="BR45" s="308"/>
      <c r="BS45" s="308"/>
      <c r="BT45" s="308"/>
      <c r="BU45" s="308"/>
      <c r="BV45" s="308"/>
      <c r="BW45" s="308"/>
      <c r="BX45" s="308"/>
      <c r="BY45" s="308"/>
      <c r="BZ45" s="308"/>
      <c r="CA45" s="308"/>
      <c r="CB45" s="308"/>
      <c r="CC45" s="308"/>
      <c r="CD45" s="308"/>
      <c r="CE45" s="308"/>
      <c r="CF45" s="308"/>
      <c r="CG45" s="308"/>
      <c r="CH45" s="308"/>
      <c r="CI45" s="308"/>
      <c r="CJ45" s="308"/>
      <c r="CK45" s="308"/>
      <c r="CN45" s="105"/>
    </row>
    <row r="46" customFormat="false" ht="11.25" hidden="false" customHeight="true" outlineLevel="0" collapsed="false">
      <c r="C46" s="54" t="str">
        <f aca="false">'Lead PL'!C190</f>
        <v>Finanzergebnis</v>
      </c>
      <c r="D46" s="54" t="str">
        <f aca="false">'Lead PL'!D190</f>
        <v>Financial result</v>
      </c>
      <c r="E46" s="54"/>
      <c r="F46" s="162" t="n">
        <f aca="false">SUM(F40:F45)</f>
        <v>0</v>
      </c>
      <c r="G46" s="162" t="n">
        <f aca="false">SUM(G40:G45)</f>
        <v>0</v>
      </c>
      <c r="H46" s="162" t="n">
        <f aca="false">SUM(H40:H45)</f>
        <v>0</v>
      </c>
      <c r="I46" s="162" t="n">
        <f aca="false">SUM(I40:I45)</f>
        <v>0</v>
      </c>
      <c r="J46" s="162" t="n">
        <f aca="false">SUM(J40:J45)</f>
        <v>0</v>
      </c>
      <c r="K46" s="162" t="n">
        <f aca="false">SUM(K40:K45)</f>
        <v>0</v>
      </c>
      <c r="L46" s="162" t="n">
        <f aca="false">SUM(L40:L45)</f>
        <v>0</v>
      </c>
      <c r="M46" s="162" t="n">
        <f aca="false">SUM(M40:M45)</f>
        <v>0</v>
      </c>
      <c r="N46" s="162" t="n">
        <f aca="false">SUM(N40:N45)</f>
        <v>0</v>
      </c>
      <c r="O46" s="162" t="n">
        <f aca="false">SUM(O40:O45)</f>
        <v>0</v>
      </c>
      <c r="P46" s="162" t="n">
        <f aca="false">SUM(P40:P45)</f>
        <v>0</v>
      </c>
      <c r="Q46" s="162" t="n">
        <f aca="false">SUM(Q40:Q45)</f>
        <v>0</v>
      </c>
      <c r="R46" s="162" t="n">
        <f aca="false">SUM(R40:R45)</f>
        <v>0</v>
      </c>
      <c r="S46" s="162" t="n">
        <f aca="false">SUM(S40:S45)</f>
        <v>0</v>
      </c>
      <c r="T46" s="162" t="n">
        <f aca="false">SUM(T40:T45)</f>
        <v>0</v>
      </c>
      <c r="U46" s="162" t="n">
        <f aca="false">SUM(U40:U45)</f>
        <v>0</v>
      </c>
      <c r="V46" s="162" t="n">
        <f aca="false">SUM(V40:V45)</f>
        <v>0</v>
      </c>
      <c r="W46" s="162" t="n">
        <f aca="false">SUM(W40:W45)</f>
        <v>0</v>
      </c>
      <c r="X46" s="162" t="n">
        <f aca="false">SUM(X40:X45)</f>
        <v>0</v>
      </c>
      <c r="Y46" s="162" t="n">
        <f aca="false">SUM(Y40:Y45)</f>
        <v>0</v>
      </c>
      <c r="Z46" s="162" t="n">
        <f aca="false">SUM(Z40:Z45)</f>
        <v>0</v>
      </c>
      <c r="AA46" s="162" t="n">
        <f aca="false">SUM(AA40:AA45)</f>
        <v>0</v>
      </c>
      <c r="AB46" s="162" t="n">
        <f aca="false">SUM(AB40:AB45)</f>
        <v>0</v>
      </c>
      <c r="AC46" s="162" t="n">
        <f aca="false">SUM(AC40:AC45)</f>
        <v>0</v>
      </c>
      <c r="AD46" s="162" t="n">
        <f aca="false">SUM(AD40:AD45)</f>
        <v>0</v>
      </c>
      <c r="AE46" s="162" t="n">
        <f aca="false">SUM(AE40:AE45)</f>
        <v>0</v>
      </c>
      <c r="AF46" s="162" t="n">
        <f aca="false">SUM(AF40:AF45)</f>
        <v>0</v>
      </c>
      <c r="AG46" s="162" t="n">
        <f aca="false">SUM(AG40:AG45)</f>
        <v>0</v>
      </c>
      <c r="AH46" s="162" t="n">
        <f aca="false">SUM(AH40:AH45)</f>
        <v>0</v>
      </c>
      <c r="AI46" s="162" t="n">
        <f aca="false">SUM(AI40:AI45)</f>
        <v>0</v>
      </c>
      <c r="AJ46" s="162" t="n">
        <f aca="false">SUM(AJ40:AJ45)</f>
        <v>0</v>
      </c>
      <c r="AK46" s="162" t="n">
        <f aca="false">SUM(AK40:AK45)</f>
        <v>0</v>
      </c>
      <c r="AL46" s="162" t="n">
        <f aca="false">SUM(AL40:AL45)</f>
        <v>0</v>
      </c>
      <c r="AM46" s="162" t="n">
        <f aca="false">SUM(AM40:AM45)</f>
        <v>0</v>
      </c>
      <c r="AN46" s="162" t="n">
        <f aca="false">SUM(AN40:AN45)</f>
        <v>0</v>
      </c>
      <c r="AO46" s="162" t="n">
        <f aca="false">SUM(AO40:AO45)</f>
        <v>0</v>
      </c>
      <c r="AP46" s="162" t="n">
        <f aca="false">SUM(AP40:AP45)</f>
        <v>0</v>
      </c>
      <c r="AQ46" s="162" t="n">
        <f aca="false">SUM(AQ40:AQ45)</f>
        <v>0</v>
      </c>
      <c r="AR46" s="162" t="n">
        <f aca="false">SUM(AR40:AR45)</f>
        <v>0</v>
      </c>
      <c r="AS46" s="162" t="n">
        <f aca="false">SUM(AS40:AS45)</f>
        <v>0</v>
      </c>
      <c r="AT46" s="162" t="n">
        <f aca="false">SUM(AT40:AT45)</f>
        <v>0</v>
      </c>
      <c r="AU46" s="191" t="n">
        <f aca="false">SUM(AU40:AU45)</f>
        <v>0</v>
      </c>
      <c r="AV46" s="191" t="n">
        <f aca="false">SUM(AV40:AV45)</f>
        <v>0</v>
      </c>
      <c r="AW46" s="191" t="n">
        <f aca="false">SUM(AW40:AW45)</f>
        <v>0</v>
      </c>
      <c r="AX46" s="191" t="n">
        <f aca="false">SUM(AX40:AX45)</f>
        <v>0</v>
      </c>
      <c r="AY46" s="191" t="n">
        <f aca="false">SUM(AY40:AY45)</f>
        <v>0</v>
      </c>
      <c r="AZ46" s="191" t="n">
        <f aca="false">SUM(AZ40:AZ45)</f>
        <v>0</v>
      </c>
      <c r="BA46" s="191" t="n">
        <f aca="false">SUM(BA40:BA45)</f>
        <v>0</v>
      </c>
      <c r="BB46" s="191" t="n">
        <f aca="false">SUM(BB40:BB45)</f>
        <v>0</v>
      </c>
      <c r="BC46" s="191" t="n">
        <f aca="false">SUM(BC40:BC45)</f>
        <v>0</v>
      </c>
      <c r="BD46" s="191" t="n">
        <f aca="false">SUM(BD40:BD45)</f>
        <v>0</v>
      </c>
      <c r="BE46" s="191" t="n">
        <f aca="false">SUM(BE40:BE45)</f>
        <v>0</v>
      </c>
      <c r="BF46" s="191" t="n">
        <f aca="false">SUM(BF40:BF45)</f>
        <v>0</v>
      </c>
      <c r="BG46" s="191" t="n">
        <f aca="false">SUM(BG40:BG45)</f>
        <v>0</v>
      </c>
      <c r="BH46" s="191" t="n">
        <f aca="false">SUM(BH40:BH45)</f>
        <v>0</v>
      </c>
      <c r="BI46" s="191" t="n">
        <f aca="false">SUM(BI40:BI45)</f>
        <v>0</v>
      </c>
      <c r="BJ46" s="191" t="n">
        <f aca="false">SUM(BJ40:BJ45)</f>
        <v>0</v>
      </c>
      <c r="BK46" s="191" t="n">
        <f aca="false">SUM(BK40:BK45)</f>
        <v>0</v>
      </c>
      <c r="BL46" s="191" t="n">
        <f aca="false">SUM(BL40:BL45)</f>
        <v>0</v>
      </c>
      <c r="BM46" s="191" t="n">
        <f aca="false">SUM(BM40:BM45)</f>
        <v>0</v>
      </c>
      <c r="BN46" s="191" t="n">
        <f aca="false">SUM(BN40:BN45)</f>
        <v>0</v>
      </c>
      <c r="BO46" s="191" t="n">
        <f aca="false">SUM(BO40:BO45)</f>
        <v>0</v>
      </c>
      <c r="BP46" s="191" t="n">
        <f aca="false">SUM(BP40:BP45)</f>
        <v>0</v>
      </c>
      <c r="BQ46" s="191" t="n">
        <f aca="false">SUM(BQ40:BQ45)</f>
        <v>0</v>
      </c>
      <c r="BR46" s="191" t="n">
        <f aca="false">SUM(BR40:BR45)</f>
        <v>0</v>
      </c>
      <c r="BS46" s="191" t="n">
        <f aca="false">SUM(BS40:BS45)</f>
        <v>0</v>
      </c>
      <c r="BT46" s="191" t="n">
        <f aca="false">SUM(BT40:BT45)</f>
        <v>0</v>
      </c>
      <c r="BU46" s="191" t="n">
        <f aca="false">SUM(BU40:BU45)</f>
        <v>0</v>
      </c>
      <c r="BV46" s="191" t="n">
        <f aca="false">SUM(BV40:BV45)</f>
        <v>0</v>
      </c>
      <c r="BW46" s="191" t="n">
        <f aca="false">SUM(BW40:BW45)</f>
        <v>0</v>
      </c>
      <c r="BX46" s="191" t="n">
        <f aca="false">SUM(BX40:BX45)</f>
        <v>0</v>
      </c>
      <c r="BY46" s="191" t="n">
        <f aca="false">SUM(BY40:BY45)</f>
        <v>0</v>
      </c>
      <c r="BZ46" s="191" t="n">
        <f aca="false">SUM(BZ40:BZ45)</f>
        <v>0</v>
      </c>
      <c r="CA46" s="191" t="n">
        <f aca="false">SUM(CA40:CA45)</f>
        <v>0</v>
      </c>
      <c r="CB46" s="191" t="n">
        <f aca="false">SUM(CB40:CB45)</f>
        <v>0</v>
      </c>
      <c r="CC46" s="191" t="n">
        <f aca="false">SUM(CC40:CC45)</f>
        <v>0</v>
      </c>
      <c r="CD46" s="191" t="n">
        <f aca="false">SUM(CD40:CD45)</f>
        <v>0</v>
      </c>
      <c r="CE46" s="191" t="n">
        <f aca="false">SUM(CE40:CE45)</f>
        <v>0</v>
      </c>
      <c r="CF46" s="191" t="n">
        <f aca="false">SUM(CF40:CF45)</f>
        <v>0</v>
      </c>
      <c r="CG46" s="191" t="n">
        <f aca="false">SUM(CG40:CG45)</f>
        <v>0</v>
      </c>
      <c r="CH46" s="191" t="n">
        <f aca="false">SUM(CH40:CH45)</f>
        <v>0</v>
      </c>
      <c r="CI46" s="191" t="n">
        <f aca="false">SUM(CI40:CI45)</f>
        <v>0</v>
      </c>
      <c r="CJ46" s="191" t="n">
        <f aca="false">SUM(CJ40:CJ45)</f>
        <v>0</v>
      </c>
      <c r="CK46" s="191" t="n">
        <f aca="false">SUM(CK40:CK45)</f>
        <v>0</v>
      </c>
    </row>
    <row r="47" customFormat="false" ht="11.25" hidden="false" customHeight="true" outlineLevel="0" collapsed="false">
      <c r="C47" s="165" t="str">
        <f aca="false">'Lead PL'!C191</f>
        <v>EBT</v>
      </c>
      <c r="D47" s="165" t="str">
        <f aca="false">'Lead PL'!D191</f>
        <v>EBT</v>
      </c>
      <c r="E47" s="165"/>
      <c r="F47" s="165" t="n">
        <f aca="false">F46+F39</f>
        <v>0</v>
      </c>
      <c r="G47" s="165" t="n">
        <f aca="false">G46+G39</f>
        <v>0</v>
      </c>
      <c r="H47" s="165" t="n">
        <f aca="false">H46+H39</f>
        <v>0</v>
      </c>
      <c r="I47" s="165" t="n">
        <f aca="false">I46+I39</f>
        <v>0</v>
      </c>
      <c r="J47" s="165" t="n">
        <f aca="false">J46+J39</f>
        <v>0</v>
      </c>
      <c r="K47" s="165" t="n">
        <f aca="false">K46+K39</f>
        <v>0</v>
      </c>
      <c r="L47" s="165" t="n">
        <f aca="false">L46+L39</f>
        <v>0</v>
      </c>
      <c r="M47" s="165" t="n">
        <f aca="false">M46+M39</f>
        <v>0</v>
      </c>
      <c r="N47" s="165" t="n">
        <f aca="false">N46+N39</f>
        <v>0</v>
      </c>
      <c r="O47" s="165" t="n">
        <f aca="false">O46+O39</f>
        <v>0</v>
      </c>
      <c r="P47" s="165" t="n">
        <f aca="false">P46+P39</f>
        <v>0</v>
      </c>
      <c r="Q47" s="165" t="n">
        <f aca="false">Q46+Q39</f>
        <v>0</v>
      </c>
      <c r="R47" s="165" t="n">
        <f aca="false">R46+R39</f>
        <v>0</v>
      </c>
      <c r="S47" s="165" t="n">
        <f aca="false">S46+S39</f>
        <v>0</v>
      </c>
      <c r="T47" s="165" t="n">
        <f aca="false">T46+T39</f>
        <v>0</v>
      </c>
      <c r="U47" s="165" t="n">
        <f aca="false">U46+U39</f>
        <v>0</v>
      </c>
      <c r="V47" s="165" t="n">
        <f aca="false">V46+V39</f>
        <v>0</v>
      </c>
      <c r="W47" s="165" t="n">
        <f aca="false">W46+W39</f>
        <v>0</v>
      </c>
      <c r="X47" s="165" t="n">
        <f aca="false">X46+X39</f>
        <v>0</v>
      </c>
      <c r="Y47" s="165" t="n">
        <f aca="false">Y46+Y39</f>
        <v>0</v>
      </c>
      <c r="Z47" s="165" t="n">
        <f aca="false">Z46+Z39</f>
        <v>0</v>
      </c>
      <c r="AA47" s="165" t="n">
        <f aca="false">AA46+AA39</f>
        <v>0</v>
      </c>
      <c r="AB47" s="165" t="n">
        <f aca="false">AB46+AB39</f>
        <v>0</v>
      </c>
      <c r="AC47" s="165" t="n">
        <f aca="false">AC46+AC39</f>
        <v>0</v>
      </c>
      <c r="AD47" s="165" t="n">
        <f aca="false">AD46+AD39</f>
        <v>0</v>
      </c>
      <c r="AE47" s="165" t="n">
        <f aca="false">AE46+AE39</f>
        <v>0</v>
      </c>
      <c r="AF47" s="165" t="n">
        <f aca="false">AF46+AF39</f>
        <v>0</v>
      </c>
      <c r="AG47" s="165" t="n">
        <f aca="false">AG46+AG39</f>
        <v>0</v>
      </c>
      <c r="AH47" s="165" t="n">
        <f aca="false">AH46+AH39</f>
        <v>0</v>
      </c>
      <c r="AI47" s="165" t="n">
        <f aca="false">AI46+AI39</f>
        <v>0</v>
      </c>
      <c r="AJ47" s="165" t="n">
        <f aca="false">AJ46+AJ39</f>
        <v>0</v>
      </c>
      <c r="AK47" s="165" t="n">
        <f aca="false">AK46+AK39</f>
        <v>0</v>
      </c>
      <c r="AL47" s="165" t="n">
        <f aca="false">AL46+AL39</f>
        <v>0</v>
      </c>
      <c r="AM47" s="165" t="n">
        <f aca="false">AM46+AM39</f>
        <v>0</v>
      </c>
      <c r="AN47" s="165" t="n">
        <f aca="false">AN46+AN39</f>
        <v>0</v>
      </c>
      <c r="AO47" s="165" t="n">
        <f aca="false">AO46+AO39</f>
        <v>0</v>
      </c>
      <c r="AP47" s="165" t="n">
        <f aca="false">AP46+AP39</f>
        <v>0</v>
      </c>
      <c r="AQ47" s="165" t="n">
        <f aca="false">AQ46+AQ39</f>
        <v>0</v>
      </c>
      <c r="AR47" s="165" t="n">
        <f aca="false">AR46+AR39</f>
        <v>0</v>
      </c>
      <c r="AS47" s="165" t="n">
        <f aca="false">AS46+AS39</f>
        <v>0</v>
      </c>
      <c r="AT47" s="165" t="n">
        <f aca="false">AT46+AT39</f>
        <v>0</v>
      </c>
      <c r="AU47" s="344" t="n">
        <f aca="false">AU46+AU39</f>
        <v>0</v>
      </c>
      <c r="AV47" s="344" t="n">
        <f aca="false">AV46+AV39</f>
        <v>0</v>
      </c>
      <c r="AW47" s="344" t="n">
        <f aca="false">AW46+AW39</f>
        <v>0</v>
      </c>
      <c r="AX47" s="344" t="n">
        <f aca="false">AX46+AX39</f>
        <v>0</v>
      </c>
      <c r="AY47" s="344" t="n">
        <f aca="false">AY46+AY39</f>
        <v>0</v>
      </c>
      <c r="AZ47" s="344" t="n">
        <f aca="false">AZ46+AZ39</f>
        <v>0</v>
      </c>
      <c r="BA47" s="344" t="n">
        <f aca="false">BA46+BA39</f>
        <v>0</v>
      </c>
      <c r="BB47" s="344" t="n">
        <f aca="false">BB46+BB39</f>
        <v>0</v>
      </c>
      <c r="BC47" s="344" t="n">
        <f aca="false">BC46+BC39</f>
        <v>0</v>
      </c>
      <c r="BD47" s="344" t="n">
        <f aca="false">BD46+BD39</f>
        <v>0</v>
      </c>
      <c r="BE47" s="344" t="n">
        <f aca="false">BE46+BE39</f>
        <v>0</v>
      </c>
      <c r="BF47" s="344" t="n">
        <f aca="false">BF46+BF39</f>
        <v>0</v>
      </c>
      <c r="BG47" s="344" t="n">
        <f aca="false">BG46+BG39</f>
        <v>0</v>
      </c>
      <c r="BH47" s="344" t="n">
        <f aca="false">BH46+BH39</f>
        <v>0</v>
      </c>
      <c r="BI47" s="344" t="n">
        <f aca="false">BI46+BI39</f>
        <v>0</v>
      </c>
      <c r="BJ47" s="344" t="n">
        <f aca="false">BJ46+BJ39</f>
        <v>0</v>
      </c>
      <c r="BK47" s="344" t="n">
        <f aca="false">BK46+BK39</f>
        <v>0</v>
      </c>
      <c r="BL47" s="344" t="n">
        <f aca="false">BL46+BL39</f>
        <v>0</v>
      </c>
      <c r="BM47" s="344" t="n">
        <f aca="false">BM46+BM39</f>
        <v>0</v>
      </c>
      <c r="BN47" s="344" t="n">
        <f aca="false">BN46+BN39</f>
        <v>0</v>
      </c>
      <c r="BO47" s="344" t="n">
        <f aca="false">BO46+BO39</f>
        <v>0</v>
      </c>
      <c r="BP47" s="344" t="n">
        <f aca="false">BP46+BP39</f>
        <v>0</v>
      </c>
      <c r="BQ47" s="344" t="n">
        <f aca="false">BQ46+BQ39</f>
        <v>0</v>
      </c>
      <c r="BR47" s="344" t="n">
        <f aca="false">BR46+BR39</f>
        <v>0</v>
      </c>
      <c r="BS47" s="344" t="n">
        <f aca="false">BS46+BS39</f>
        <v>0</v>
      </c>
      <c r="BT47" s="344" t="n">
        <f aca="false">BT46+BT39</f>
        <v>0</v>
      </c>
      <c r="BU47" s="344" t="n">
        <f aca="false">BU46+BU39</f>
        <v>0</v>
      </c>
      <c r="BV47" s="344" t="n">
        <f aca="false">BV46+BV39</f>
        <v>0</v>
      </c>
      <c r="BW47" s="344" t="n">
        <f aca="false">BW46+BW39</f>
        <v>0</v>
      </c>
      <c r="BX47" s="344" t="n">
        <f aca="false">BX46+BX39</f>
        <v>0</v>
      </c>
      <c r="BY47" s="344" t="n">
        <f aca="false">BY46+BY39</f>
        <v>0</v>
      </c>
      <c r="BZ47" s="344" t="n">
        <f aca="false">BZ46+BZ39</f>
        <v>0</v>
      </c>
      <c r="CA47" s="344" t="n">
        <f aca="false">CA46+CA39</f>
        <v>0</v>
      </c>
      <c r="CB47" s="344" t="n">
        <f aca="false">CB46+CB39</f>
        <v>0</v>
      </c>
      <c r="CC47" s="344" t="n">
        <f aca="false">CC46+CC39</f>
        <v>0</v>
      </c>
      <c r="CD47" s="344" t="n">
        <f aca="false">CD46+CD39</f>
        <v>0</v>
      </c>
      <c r="CE47" s="344" t="n">
        <f aca="false">CE46+CE39</f>
        <v>0</v>
      </c>
      <c r="CF47" s="344" t="n">
        <f aca="false">CF46+CF39</f>
        <v>0</v>
      </c>
      <c r="CG47" s="344" t="n">
        <f aca="false">CG46+CG39</f>
        <v>0</v>
      </c>
      <c r="CH47" s="344" t="n">
        <f aca="false">CH46+CH39</f>
        <v>0</v>
      </c>
      <c r="CI47" s="344" t="n">
        <f aca="false">CI46+CI39</f>
        <v>0</v>
      </c>
      <c r="CJ47" s="344" t="n">
        <f aca="false">CJ46+CJ39</f>
        <v>0</v>
      </c>
      <c r="CK47" s="344" t="n">
        <f aca="false">CK46+CK39</f>
        <v>0</v>
      </c>
    </row>
    <row r="48" customFormat="false" ht="11.25" hidden="false" customHeight="true" outlineLevel="0" collapsed="false">
      <c r="C48" s="51" t="str">
        <f aca="false">'Lead PL'!C192</f>
        <v>Ertragssteuern</v>
      </c>
      <c r="D48" s="51" t="str">
        <f aca="false">'Lead PL'!D192</f>
        <v>Income taxes</v>
      </c>
      <c r="E48" s="51"/>
      <c r="F48" s="159"/>
      <c r="G48" s="159"/>
      <c r="H48" s="159"/>
      <c r="I48" s="159"/>
      <c r="J48" s="159"/>
      <c r="K48" s="159"/>
      <c r="L48" s="159"/>
      <c r="M48" s="159"/>
      <c r="N48" s="159"/>
      <c r="O48" s="159"/>
      <c r="P48" s="159"/>
      <c r="Q48" s="159"/>
      <c r="R48" s="159"/>
      <c r="S48" s="159"/>
      <c r="T48" s="159"/>
      <c r="U48" s="159"/>
      <c r="V48" s="159"/>
      <c r="W48" s="159"/>
      <c r="X48" s="159"/>
      <c r="Y48" s="159"/>
      <c r="Z48" s="159"/>
      <c r="AA48" s="159"/>
      <c r="AB48" s="159"/>
      <c r="AC48" s="159"/>
      <c r="AD48" s="159"/>
      <c r="AE48" s="159"/>
      <c r="AF48" s="159"/>
      <c r="AG48" s="159"/>
      <c r="AH48" s="159"/>
      <c r="AI48" s="159"/>
      <c r="AJ48" s="159"/>
      <c r="AK48" s="159"/>
      <c r="AL48" s="159"/>
      <c r="AM48" s="159"/>
      <c r="AN48" s="159"/>
      <c r="AO48" s="159"/>
      <c r="AP48" s="159"/>
      <c r="AQ48" s="159"/>
      <c r="AR48" s="159"/>
      <c r="AS48" s="159"/>
      <c r="AT48" s="159"/>
      <c r="AU48" s="308"/>
      <c r="AV48" s="308"/>
      <c r="AW48" s="308"/>
      <c r="AX48" s="308"/>
      <c r="AY48" s="308"/>
      <c r="AZ48" s="308"/>
      <c r="BA48" s="308"/>
      <c r="BB48" s="308"/>
      <c r="BC48" s="308"/>
      <c r="BD48" s="308"/>
      <c r="BE48" s="308"/>
      <c r="BF48" s="308"/>
      <c r="BG48" s="308"/>
      <c r="BH48" s="308"/>
      <c r="BI48" s="308"/>
      <c r="BJ48" s="308"/>
      <c r="BK48" s="308"/>
      <c r="BL48" s="308"/>
      <c r="BM48" s="308"/>
      <c r="BN48" s="308"/>
      <c r="BO48" s="308"/>
      <c r="BP48" s="308"/>
      <c r="BQ48" s="308"/>
      <c r="BR48" s="308"/>
      <c r="BS48" s="308"/>
      <c r="BT48" s="308"/>
      <c r="BU48" s="308"/>
      <c r="BV48" s="308"/>
      <c r="BW48" s="308"/>
      <c r="BX48" s="308"/>
      <c r="BY48" s="308"/>
      <c r="BZ48" s="308"/>
      <c r="CA48" s="308"/>
      <c r="CB48" s="308"/>
      <c r="CC48" s="308"/>
      <c r="CD48" s="308"/>
      <c r="CE48" s="308"/>
      <c r="CF48" s="308"/>
      <c r="CG48" s="308"/>
      <c r="CH48" s="308"/>
      <c r="CI48" s="308"/>
      <c r="CJ48" s="308"/>
      <c r="CK48" s="308"/>
      <c r="CN48" s="105" t="s">
        <v>299</v>
      </c>
    </row>
    <row r="49" customFormat="false" ht="11.25" hidden="false" customHeight="true" outlineLevel="0" collapsed="false">
      <c r="C49" s="54" t="str">
        <f aca="false">'Lead PL'!C201</f>
        <v>Sonstige Steuern</v>
      </c>
      <c r="D49" s="54" t="str">
        <f aca="false">'Lead PL'!D201</f>
        <v>Other taxes</v>
      </c>
      <c r="E49" s="54"/>
      <c r="F49" s="162"/>
      <c r="G49" s="162"/>
      <c r="H49" s="162"/>
      <c r="I49" s="162"/>
      <c r="J49" s="162"/>
      <c r="K49" s="162"/>
      <c r="L49" s="162"/>
      <c r="M49" s="162"/>
      <c r="N49" s="162"/>
      <c r="O49" s="162"/>
      <c r="P49" s="162"/>
      <c r="Q49" s="162"/>
      <c r="R49" s="162"/>
      <c r="S49" s="162"/>
      <c r="T49" s="162"/>
      <c r="U49" s="162"/>
      <c r="V49" s="162"/>
      <c r="W49" s="162"/>
      <c r="X49" s="162"/>
      <c r="Y49" s="162"/>
      <c r="Z49" s="162"/>
      <c r="AA49" s="162"/>
      <c r="AB49" s="162"/>
      <c r="AC49" s="162"/>
      <c r="AD49" s="162"/>
      <c r="AE49" s="162"/>
      <c r="AF49" s="162"/>
      <c r="AG49" s="162"/>
      <c r="AH49" s="162"/>
      <c r="AI49" s="162"/>
      <c r="AJ49" s="162"/>
      <c r="AK49" s="162"/>
      <c r="AL49" s="162"/>
      <c r="AM49" s="162"/>
      <c r="AN49" s="162"/>
      <c r="AO49" s="162"/>
      <c r="AP49" s="162"/>
      <c r="AQ49" s="162"/>
      <c r="AR49" s="162"/>
      <c r="AS49" s="162"/>
      <c r="AT49" s="162"/>
      <c r="AU49" s="191"/>
      <c r="AV49" s="191"/>
      <c r="AW49" s="191"/>
      <c r="AX49" s="191"/>
      <c r="AY49" s="191"/>
      <c r="AZ49" s="191"/>
      <c r="BA49" s="191"/>
      <c r="BB49" s="191"/>
      <c r="BC49" s="191"/>
      <c r="BD49" s="191"/>
      <c r="BE49" s="191"/>
      <c r="BF49" s="191"/>
      <c r="BG49" s="191"/>
      <c r="BH49" s="191"/>
      <c r="BI49" s="191"/>
      <c r="BJ49" s="191"/>
      <c r="BK49" s="191"/>
      <c r="BL49" s="191"/>
      <c r="BM49" s="191"/>
      <c r="BN49" s="191"/>
      <c r="BO49" s="191"/>
      <c r="BP49" s="191"/>
      <c r="BQ49" s="191"/>
      <c r="BR49" s="191"/>
      <c r="BS49" s="191"/>
      <c r="BT49" s="191"/>
      <c r="BU49" s="191"/>
      <c r="BV49" s="191"/>
      <c r="BW49" s="191"/>
      <c r="BX49" s="191"/>
      <c r="BY49" s="191"/>
      <c r="BZ49" s="191"/>
      <c r="CA49" s="191"/>
      <c r="CB49" s="191"/>
      <c r="CC49" s="191"/>
      <c r="CD49" s="191"/>
      <c r="CE49" s="191"/>
      <c r="CF49" s="191"/>
      <c r="CG49" s="191"/>
      <c r="CH49" s="191"/>
      <c r="CI49" s="191"/>
      <c r="CJ49" s="191"/>
      <c r="CK49" s="191"/>
      <c r="CN49" s="105" t="s">
        <v>301</v>
      </c>
    </row>
    <row r="50" customFormat="false" ht="11.25" hidden="false" customHeight="true" outlineLevel="0" collapsed="false">
      <c r="C50" s="171" t="str">
        <f aca="false">'Lead PL'!C210</f>
        <v>Jahresüberschuss</v>
      </c>
      <c r="D50" s="171" t="str">
        <f aca="false">'Lead PL'!D210</f>
        <v>Profit / Loss</v>
      </c>
      <c r="E50" s="171"/>
      <c r="F50" s="210" t="n">
        <f aca="false">SUM(F47:F49)</f>
        <v>0</v>
      </c>
      <c r="G50" s="210" t="n">
        <f aca="false">SUM(G47:G49)</f>
        <v>0</v>
      </c>
      <c r="H50" s="210" t="n">
        <f aca="false">SUM(H47:H49)</f>
        <v>0</v>
      </c>
      <c r="I50" s="210" t="n">
        <f aca="false">SUM(I47:I49)</f>
        <v>0</v>
      </c>
      <c r="J50" s="210" t="n">
        <f aca="false">SUM(J47:J49)</f>
        <v>0</v>
      </c>
      <c r="K50" s="210" t="n">
        <f aca="false">SUM(K47:K49)</f>
        <v>0</v>
      </c>
      <c r="L50" s="210" t="n">
        <f aca="false">SUM(L47:L49)</f>
        <v>0</v>
      </c>
      <c r="M50" s="210" t="n">
        <f aca="false">SUM(M47:M49)</f>
        <v>0</v>
      </c>
      <c r="N50" s="210" t="n">
        <f aca="false">SUM(N47:N49)</f>
        <v>0</v>
      </c>
      <c r="O50" s="210" t="n">
        <f aca="false">SUM(O47:O49)</f>
        <v>0</v>
      </c>
      <c r="P50" s="210" t="n">
        <f aca="false">SUM(P47:P49)</f>
        <v>0</v>
      </c>
      <c r="Q50" s="210" t="n">
        <f aca="false">SUM(Q47:Q49)</f>
        <v>0</v>
      </c>
      <c r="R50" s="210" t="n">
        <f aca="false">SUM(R47:R49)</f>
        <v>0</v>
      </c>
      <c r="S50" s="210" t="n">
        <f aca="false">SUM(S47:S49)</f>
        <v>0</v>
      </c>
      <c r="T50" s="210" t="n">
        <f aca="false">SUM(T47:T49)</f>
        <v>0</v>
      </c>
      <c r="U50" s="210" t="n">
        <f aca="false">SUM(U47:U49)</f>
        <v>0</v>
      </c>
      <c r="V50" s="210" t="n">
        <f aca="false">SUM(V47:V49)</f>
        <v>0</v>
      </c>
      <c r="W50" s="210" t="n">
        <f aca="false">SUM(W47:W49)</f>
        <v>0</v>
      </c>
      <c r="X50" s="210" t="n">
        <f aca="false">SUM(X47:X49)</f>
        <v>0</v>
      </c>
      <c r="Y50" s="210" t="n">
        <f aca="false">SUM(Y47:Y49)</f>
        <v>0</v>
      </c>
      <c r="Z50" s="210" t="n">
        <f aca="false">SUM(Z47:Z49)</f>
        <v>0</v>
      </c>
      <c r="AA50" s="210" t="n">
        <f aca="false">SUM(AA47:AA49)</f>
        <v>0</v>
      </c>
      <c r="AB50" s="210" t="n">
        <f aca="false">SUM(AB47:AB49)</f>
        <v>0</v>
      </c>
      <c r="AC50" s="210" t="n">
        <f aca="false">SUM(AC47:AC49)</f>
        <v>0</v>
      </c>
      <c r="AD50" s="210" t="n">
        <f aca="false">SUM(AD47:AD49)</f>
        <v>0</v>
      </c>
      <c r="AE50" s="210" t="n">
        <f aca="false">SUM(AE47:AE49)</f>
        <v>0</v>
      </c>
      <c r="AF50" s="210" t="n">
        <f aca="false">SUM(AF47:AF49)</f>
        <v>0</v>
      </c>
      <c r="AG50" s="210" t="n">
        <f aca="false">SUM(AG47:AG49)</f>
        <v>0</v>
      </c>
      <c r="AH50" s="210" t="n">
        <f aca="false">SUM(AH47:AH49)</f>
        <v>0</v>
      </c>
      <c r="AI50" s="210" t="n">
        <f aca="false">SUM(AI47:AI49)</f>
        <v>0</v>
      </c>
      <c r="AJ50" s="210" t="n">
        <f aca="false">SUM(AJ47:AJ49)</f>
        <v>0</v>
      </c>
      <c r="AK50" s="210" t="n">
        <f aca="false">SUM(AK47:AK49)</f>
        <v>0</v>
      </c>
      <c r="AL50" s="210" t="n">
        <f aca="false">SUM(AL47:AL49)</f>
        <v>0</v>
      </c>
      <c r="AM50" s="210" t="n">
        <f aca="false">SUM(AM47:AM49)</f>
        <v>0</v>
      </c>
      <c r="AN50" s="210" t="n">
        <f aca="false">SUM(AN47:AN49)</f>
        <v>0</v>
      </c>
      <c r="AO50" s="210" t="n">
        <f aca="false">SUM(AO47:AO49)</f>
        <v>0</v>
      </c>
      <c r="AP50" s="210" t="n">
        <f aca="false">SUM(AP47:AP49)</f>
        <v>0</v>
      </c>
      <c r="AQ50" s="210" t="n">
        <f aca="false">SUM(AQ47:AQ49)</f>
        <v>0</v>
      </c>
      <c r="AR50" s="210" t="n">
        <f aca="false">SUM(AR47:AR49)</f>
        <v>0</v>
      </c>
      <c r="AS50" s="210" t="n">
        <f aca="false">SUM(AS47:AS49)</f>
        <v>0</v>
      </c>
      <c r="AT50" s="210" t="n">
        <f aca="false">SUM(AT47:AT49)</f>
        <v>0</v>
      </c>
      <c r="AU50" s="402" t="n">
        <f aca="false">SUM(AU47:AU49)</f>
        <v>0</v>
      </c>
      <c r="AV50" s="402" t="n">
        <f aca="false">SUM(AV47:AV49)</f>
        <v>0</v>
      </c>
      <c r="AW50" s="402" t="n">
        <f aca="false">SUM(AW47:AW49)</f>
        <v>0</v>
      </c>
      <c r="AX50" s="402" t="n">
        <f aca="false">SUM(AX47:AX49)</f>
        <v>0</v>
      </c>
      <c r="AY50" s="402" t="n">
        <f aca="false">SUM(AY47:AY49)</f>
        <v>0</v>
      </c>
      <c r="AZ50" s="402" t="n">
        <f aca="false">SUM(AZ47:AZ49)</f>
        <v>0</v>
      </c>
      <c r="BA50" s="402" t="n">
        <f aca="false">SUM(BA47:BA49)</f>
        <v>0</v>
      </c>
      <c r="BB50" s="402" t="n">
        <f aca="false">SUM(BB47:BB49)</f>
        <v>0</v>
      </c>
      <c r="BC50" s="402" t="n">
        <f aca="false">SUM(BC47:BC49)</f>
        <v>0</v>
      </c>
      <c r="BD50" s="402" t="n">
        <f aca="false">SUM(BD47:BD49)</f>
        <v>0</v>
      </c>
      <c r="BE50" s="402" t="n">
        <f aca="false">SUM(BE47:BE49)</f>
        <v>0</v>
      </c>
      <c r="BF50" s="402" t="n">
        <f aca="false">SUM(BF47:BF49)</f>
        <v>0</v>
      </c>
      <c r="BG50" s="402" t="n">
        <f aca="false">SUM(BG47:BG49)</f>
        <v>0</v>
      </c>
      <c r="BH50" s="402" t="n">
        <f aca="false">SUM(BH47:BH49)</f>
        <v>0</v>
      </c>
      <c r="BI50" s="402" t="n">
        <f aca="false">SUM(BI47:BI49)</f>
        <v>0</v>
      </c>
      <c r="BJ50" s="402" t="n">
        <f aca="false">SUM(BJ47:BJ49)</f>
        <v>0</v>
      </c>
      <c r="BK50" s="402" t="n">
        <f aca="false">SUM(BK47:BK49)</f>
        <v>0</v>
      </c>
      <c r="BL50" s="402" t="n">
        <f aca="false">SUM(BL47:BL49)</f>
        <v>0</v>
      </c>
      <c r="BM50" s="402" t="n">
        <f aca="false">SUM(BM47:BM49)</f>
        <v>0</v>
      </c>
      <c r="BN50" s="402" t="n">
        <f aca="false">SUM(BN47:BN49)</f>
        <v>0</v>
      </c>
      <c r="BO50" s="402" t="n">
        <f aca="false">SUM(BO47:BO49)</f>
        <v>0</v>
      </c>
      <c r="BP50" s="402" t="n">
        <f aca="false">SUM(BP47:BP49)</f>
        <v>0</v>
      </c>
      <c r="BQ50" s="402" t="n">
        <f aca="false">SUM(BQ47:BQ49)</f>
        <v>0</v>
      </c>
      <c r="BR50" s="402" t="n">
        <f aca="false">SUM(BR47:BR49)</f>
        <v>0</v>
      </c>
      <c r="BS50" s="402" t="n">
        <f aca="false">SUM(BS47:BS49)</f>
        <v>0</v>
      </c>
      <c r="BT50" s="402" t="n">
        <f aca="false">SUM(BT47:BT49)</f>
        <v>0</v>
      </c>
      <c r="BU50" s="402" t="n">
        <f aca="false">SUM(BU47:BU49)</f>
        <v>0</v>
      </c>
      <c r="BV50" s="402" t="n">
        <f aca="false">SUM(BV47:BV49)</f>
        <v>0</v>
      </c>
      <c r="BW50" s="402" t="n">
        <f aca="false">SUM(BW47:BW49)</f>
        <v>0</v>
      </c>
      <c r="BX50" s="402" t="n">
        <f aca="false">SUM(BX47:BX49)</f>
        <v>0</v>
      </c>
      <c r="BY50" s="402" t="n">
        <f aca="false">SUM(BY47:BY49)</f>
        <v>0</v>
      </c>
      <c r="BZ50" s="402" t="n">
        <f aca="false">SUM(BZ47:BZ49)</f>
        <v>0</v>
      </c>
      <c r="CA50" s="402" t="n">
        <f aca="false">SUM(CA47:CA49)</f>
        <v>0</v>
      </c>
      <c r="CB50" s="402" t="n">
        <f aca="false">SUM(CB47:CB49)</f>
        <v>0</v>
      </c>
      <c r="CC50" s="402" t="n">
        <f aca="false">SUM(CC47:CC49)</f>
        <v>0</v>
      </c>
      <c r="CD50" s="402" t="n">
        <f aca="false">SUM(CD47:CD49)</f>
        <v>0</v>
      </c>
      <c r="CE50" s="402" t="n">
        <f aca="false">SUM(CE47:CE49)</f>
        <v>0</v>
      </c>
      <c r="CF50" s="402" t="n">
        <f aca="false">SUM(CF47:CF49)</f>
        <v>0</v>
      </c>
      <c r="CG50" s="402" t="n">
        <f aca="false">SUM(CG47:CG49)</f>
        <v>0</v>
      </c>
      <c r="CH50" s="402" t="n">
        <f aca="false">SUM(CH47:CH49)</f>
        <v>0</v>
      </c>
      <c r="CI50" s="402" t="n">
        <f aca="false">SUM(CI47:CI49)</f>
        <v>0</v>
      </c>
      <c r="CJ50" s="402" t="n">
        <f aca="false">SUM(CJ47:CJ49)</f>
        <v>0</v>
      </c>
      <c r="CK50" s="402" t="n">
        <f aca="false">SUM(CK47:CK49)</f>
        <v>0</v>
      </c>
    </row>
    <row r="51" customFormat="false" ht="11.25" hidden="false" customHeight="true" outlineLevel="0" collapsed="false">
      <c r="C51" s="132"/>
      <c r="D51" s="132"/>
      <c r="E51" s="132"/>
      <c r="F51" s="159"/>
      <c r="G51" s="159"/>
      <c r="H51" s="159"/>
      <c r="I51" s="159"/>
      <c r="J51" s="159"/>
      <c r="K51" s="159"/>
      <c r="L51" s="159"/>
      <c r="M51" s="159"/>
      <c r="N51" s="159"/>
      <c r="O51" s="159"/>
      <c r="P51" s="159"/>
      <c r="Q51" s="159"/>
      <c r="R51" s="159"/>
      <c r="S51" s="159"/>
      <c r="T51" s="159"/>
      <c r="U51" s="159"/>
      <c r="V51" s="159"/>
      <c r="W51" s="159"/>
      <c r="X51" s="159"/>
      <c r="Y51" s="159"/>
      <c r="Z51" s="159"/>
      <c r="AA51" s="159"/>
      <c r="AB51" s="159"/>
      <c r="AC51" s="159"/>
      <c r="AD51" s="159"/>
      <c r="AE51" s="159"/>
      <c r="AF51" s="159"/>
      <c r="AG51" s="159"/>
      <c r="AH51" s="159"/>
      <c r="AI51" s="159"/>
      <c r="AJ51" s="159"/>
      <c r="AK51" s="159"/>
      <c r="AL51" s="159"/>
      <c r="AM51" s="159"/>
      <c r="AN51" s="159"/>
      <c r="AO51" s="159"/>
      <c r="AP51" s="159"/>
      <c r="AQ51" s="159"/>
      <c r="AR51" s="159"/>
      <c r="AS51" s="159"/>
      <c r="AT51" s="159"/>
      <c r="AU51" s="308"/>
      <c r="AV51" s="308"/>
      <c r="AW51" s="308"/>
      <c r="AX51" s="308"/>
      <c r="AY51" s="308"/>
      <c r="AZ51" s="308"/>
      <c r="BA51" s="308"/>
      <c r="BB51" s="308"/>
      <c r="BC51" s="308"/>
      <c r="BD51" s="308"/>
      <c r="BE51" s="308"/>
      <c r="BF51" s="308"/>
      <c r="BG51" s="308"/>
      <c r="BH51" s="308"/>
      <c r="BI51" s="308"/>
      <c r="BJ51" s="308"/>
      <c r="BK51" s="308"/>
      <c r="BL51" s="308"/>
      <c r="BM51" s="308"/>
      <c r="BN51" s="308"/>
      <c r="BO51" s="308"/>
      <c r="BP51" s="308"/>
      <c r="BQ51" s="308"/>
      <c r="BR51" s="308"/>
      <c r="BS51" s="308"/>
      <c r="BT51" s="308"/>
      <c r="BU51" s="308"/>
      <c r="BV51" s="308"/>
      <c r="BW51" s="308"/>
      <c r="BX51" s="308"/>
      <c r="BY51" s="308"/>
      <c r="BZ51" s="308"/>
      <c r="CA51" s="308"/>
      <c r="CB51" s="308"/>
      <c r="CC51" s="308"/>
      <c r="CD51" s="308"/>
      <c r="CE51" s="308"/>
      <c r="CF51" s="308"/>
      <c r="CG51" s="308"/>
      <c r="CH51" s="308"/>
      <c r="CI51" s="308"/>
      <c r="CJ51" s="308"/>
      <c r="CK51" s="308"/>
    </row>
    <row r="52" s="143" customFormat="true" ht="11.25" hidden="false" customHeight="true" outlineLevel="0" collapsed="false">
      <c r="C52" s="132" t="str">
        <f aca="false">'Lead PL'!C218</f>
        <v>In % der Gesamtleistung</v>
      </c>
      <c r="D52" s="132" t="str">
        <f aca="false">'Lead PL'!D218</f>
        <v>In % of Total output</v>
      </c>
      <c r="E52" s="132"/>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c r="AH52" s="57"/>
      <c r="AI52" s="57"/>
      <c r="AJ52" s="57"/>
      <c r="AK52" s="57"/>
      <c r="AL52" s="57"/>
      <c r="AM52" s="57"/>
      <c r="AN52" s="57"/>
      <c r="AO52" s="57"/>
      <c r="AP52" s="57"/>
      <c r="AQ52" s="57"/>
      <c r="AR52" s="57"/>
      <c r="AS52" s="57"/>
      <c r="AT52" s="57"/>
      <c r="AU52" s="403"/>
      <c r="AV52" s="403"/>
      <c r="AW52" s="403"/>
      <c r="AX52" s="403"/>
      <c r="AY52" s="403"/>
      <c r="AZ52" s="403"/>
      <c r="BA52" s="403"/>
      <c r="BB52" s="403"/>
      <c r="BC52" s="403"/>
      <c r="BD52" s="403"/>
      <c r="BE52" s="403"/>
      <c r="BF52" s="403"/>
      <c r="BG52" s="403"/>
      <c r="BH52" s="403"/>
      <c r="BI52" s="403"/>
      <c r="BJ52" s="403"/>
      <c r="BK52" s="403"/>
      <c r="BL52" s="403"/>
      <c r="BM52" s="403"/>
      <c r="BN52" s="403"/>
      <c r="BO52" s="403"/>
      <c r="BP52" s="403"/>
      <c r="BQ52" s="403"/>
      <c r="BR52" s="403"/>
      <c r="BS52" s="403"/>
      <c r="BT52" s="403"/>
      <c r="BU52" s="403"/>
      <c r="BV52" s="403"/>
      <c r="BW52" s="403"/>
      <c r="BX52" s="403"/>
      <c r="BY52" s="403"/>
      <c r="BZ52" s="403"/>
      <c r="CA52" s="403"/>
      <c r="CB52" s="403"/>
      <c r="CC52" s="403"/>
      <c r="CD52" s="403"/>
      <c r="CE52" s="403"/>
      <c r="CF52" s="403"/>
      <c r="CG52" s="403"/>
      <c r="CH52" s="403"/>
      <c r="CI52" s="403"/>
      <c r="CJ52" s="403"/>
      <c r="CK52" s="403"/>
    </row>
    <row r="53" s="143" customFormat="true" ht="11.25" hidden="false" customHeight="true" outlineLevel="0" collapsed="false">
      <c r="C53" s="51" t="str">
        <f aca="false">C9</f>
        <v>Umsatzerlöse</v>
      </c>
      <c r="D53" s="51" t="str">
        <f aca="false">D9</f>
        <v>Revenues</v>
      </c>
      <c r="E53" s="51"/>
      <c r="F53" s="57" t="str">
        <f aca="false">IFERROR(F9/F$15,"n/a")</f>
        <v>n/a</v>
      </c>
      <c r="G53" s="57" t="str">
        <f aca="false">IFERROR(G9/G$15,"n/a")</f>
        <v>n/a</v>
      </c>
      <c r="H53" s="57" t="str">
        <f aca="false">IFERROR(H9/H$15,"n/a")</f>
        <v>n/a</v>
      </c>
      <c r="I53" s="57" t="str">
        <f aca="false">IFERROR(I9/I$15,"n/a")</f>
        <v>n/a</v>
      </c>
      <c r="J53" s="57" t="str">
        <f aca="false">IFERROR(J9/J$15,"n/a")</f>
        <v>n/a</v>
      </c>
      <c r="K53" s="57" t="str">
        <f aca="false">IFERROR(K9/K$15,"n/a")</f>
        <v>n/a</v>
      </c>
      <c r="L53" s="57" t="str">
        <f aca="false">IFERROR(L9/L$15,"n/a")</f>
        <v>n/a</v>
      </c>
      <c r="M53" s="57" t="str">
        <f aca="false">IFERROR(M9/M$15,"n/a")</f>
        <v>n/a</v>
      </c>
      <c r="N53" s="57" t="str">
        <f aca="false">IFERROR(N9/N$15,"n/a")</f>
        <v>n/a</v>
      </c>
      <c r="O53" s="57" t="str">
        <f aca="false">IFERROR(O9/O$15,"n/a")</f>
        <v>n/a</v>
      </c>
      <c r="P53" s="57" t="str">
        <f aca="false">IFERROR(P9/P$15,"n/a")</f>
        <v>n/a</v>
      </c>
      <c r="Q53" s="57" t="str">
        <f aca="false">IFERROR(Q9/Q$15,"n/a")</f>
        <v>n/a</v>
      </c>
      <c r="R53" s="57" t="str">
        <f aca="false">IFERROR(R9/R$15,"n/a")</f>
        <v>n/a</v>
      </c>
      <c r="S53" s="57" t="str">
        <f aca="false">IFERROR(S9/S$15,"n/a")</f>
        <v>n/a</v>
      </c>
      <c r="T53" s="57" t="str">
        <f aca="false">IFERROR(T9/T$15,"n/a")</f>
        <v>n/a</v>
      </c>
      <c r="U53" s="57" t="str">
        <f aca="false">IFERROR(U9/U$15,"n/a")</f>
        <v>n/a</v>
      </c>
      <c r="V53" s="57" t="str">
        <f aca="false">IFERROR(V9/V$15,"n/a")</f>
        <v>n/a</v>
      </c>
      <c r="W53" s="57" t="str">
        <f aca="false">IFERROR(W9/W$15,"n/a")</f>
        <v>n/a</v>
      </c>
      <c r="X53" s="57" t="str">
        <f aca="false">IFERROR(X9/X$15,"n/a")</f>
        <v>n/a</v>
      </c>
      <c r="Y53" s="57" t="str">
        <f aca="false">IFERROR(Y9/Y$15,"n/a")</f>
        <v>n/a</v>
      </c>
      <c r="Z53" s="57" t="str">
        <f aca="false">IFERROR(Z9/Z$15,"n/a")</f>
        <v>n/a</v>
      </c>
      <c r="AA53" s="57" t="str">
        <f aca="false">IFERROR(AA9/AA$15,"n/a")</f>
        <v>n/a</v>
      </c>
      <c r="AB53" s="57" t="str">
        <f aca="false">IFERROR(AB9/AB$15,"n/a")</f>
        <v>n/a</v>
      </c>
      <c r="AC53" s="57" t="str">
        <f aca="false">IFERROR(AC9/AC$15,"n/a")</f>
        <v>n/a</v>
      </c>
      <c r="AD53" s="57" t="str">
        <f aca="false">IFERROR(AD9/AD$15,"n/a")</f>
        <v>n/a</v>
      </c>
      <c r="AE53" s="57" t="str">
        <f aca="false">IFERROR(AE9/AE$15,"n/a")</f>
        <v>n/a</v>
      </c>
      <c r="AF53" s="57" t="str">
        <f aca="false">IFERROR(AF9/AF$15,"n/a")</f>
        <v>n/a</v>
      </c>
      <c r="AG53" s="57" t="str">
        <f aca="false">IFERROR(AG9/AG$15,"n/a")</f>
        <v>n/a</v>
      </c>
      <c r="AH53" s="57" t="str">
        <f aca="false">IFERROR(AH9/AH$15,"n/a")</f>
        <v>n/a</v>
      </c>
      <c r="AI53" s="57" t="str">
        <f aca="false">IFERROR(AI9/AI$15,"n/a")</f>
        <v>n/a</v>
      </c>
      <c r="AJ53" s="57" t="str">
        <f aca="false">IFERROR(AJ9/AJ$15,"n/a")</f>
        <v>n/a</v>
      </c>
      <c r="AK53" s="57" t="str">
        <f aca="false">IFERROR(AK9/AK$15,"n/a")</f>
        <v>n/a</v>
      </c>
      <c r="AL53" s="57" t="str">
        <f aca="false">IFERROR(AL9/AL$15,"n/a")</f>
        <v>n/a</v>
      </c>
      <c r="AM53" s="57" t="str">
        <f aca="false">IFERROR(AM9/AM$15,"n/a")</f>
        <v>n/a</v>
      </c>
      <c r="AN53" s="57" t="str">
        <f aca="false">IFERROR(AN9/AN$15,"n/a")</f>
        <v>n/a</v>
      </c>
      <c r="AO53" s="57" t="str">
        <f aca="false">IFERROR(AO9/AO$15,"n/a")</f>
        <v>n/a</v>
      </c>
      <c r="AP53" s="57" t="str">
        <f aca="false">IFERROR(AP9/AP$15,"n/a")</f>
        <v>n/a</v>
      </c>
      <c r="AQ53" s="57" t="str">
        <f aca="false">IFERROR(AQ9/AQ$15,"n/a")</f>
        <v>n/a</v>
      </c>
      <c r="AR53" s="57" t="str">
        <f aca="false">IFERROR(AR9/AR$15,"n/a")</f>
        <v>n/a</v>
      </c>
      <c r="AS53" s="57" t="str">
        <f aca="false">IFERROR(AS9/AS$15,"n/a")</f>
        <v>n/a</v>
      </c>
      <c r="AT53" s="57" t="str">
        <f aca="false">IFERROR(AT9/AT$15,"n/a")</f>
        <v>n/a</v>
      </c>
      <c r="AU53" s="403" t="str">
        <f aca="false">IFERROR(AU9/AU$15,"n/a")</f>
        <v>n/a</v>
      </c>
      <c r="AV53" s="403" t="str">
        <f aca="false">IFERROR(AV9/AV$15,"n/a")</f>
        <v>n/a</v>
      </c>
      <c r="AW53" s="403" t="str">
        <f aca="false">IFERROR(AW9/AW$15,"n/a")</f>
        <v>n/a</v>
      </c>
      <c r="AX53" s="403" t="str">
        <f aca="false">IFERROR(AX9/AX$15,"n/a")</f>
        <v>n/a</v>
      </c>
      <c r="AY53" s="403" t="str">
        <f aca="false">IFERROR(AY9/AY$15,"n/a")</f>
        <v>n/a</v>
      </c>
      <c r="AZ53" s="403" t="str">
        <f aca="false">IFERROR(AZ9/AZ$15,"n/a")</f>
        <v>n/a</v>
      </c>
      <c r="BA53" s="403" t="str">
        <f aca="false">IFERROR(BA9/BA$15,"n/a")</f>
        <v>n/a</v>
      </c>
      <c r="BB53" s="403" t="str">
        <f aca="false">IFERROR(BB9/BB$15,"n/a")</f>
        <v>n/a</v>
      </c>
      <c r="BC53" s="403" t="str">
        <f aca="false">IFERROR(BC9/BC$15,"n/a")</f>
        <v>n/a</v>
      </c>
      <c r="BD53" s="403" t="str">
        <f aca="false">IFERROR(BD9/BD$15,"n/a")</f>
        <v>n/a</v>
      </c>
      <c r="BE53" s="403" t="str">
        <f aca="false">IFERROR(BE9/BE$15,"n/a")</f>
        <v>n/a</v>
      </c>
      <c r="BF53" s="403" t="str">
        <f aca="false">IFERROR(BF9/BF$15,"n/a")</f>
        <v>n/a</v>
      </c>
      <c r="BG53" s="403" t="str">
        <f aca="false">IFERROR(BG9/BG$15,"n/a")</f>
        <v>n/a</v>
      </c>
      <c r="BH53" s="403" t="str">
        <f aca="false">IFERROR(BH9/BH$15,"n/a")</f>
        <v>n/a</v>
      </c>
      <c r="BI53" s="403" t="str">
        <f aca="false">IFERROR(BI9/BI$15,"n/a")</f>
        <v>n/a</v>
      </c>
      <c r="BJ53" s="403" t="str">
        <f aca="false">IFERROR(BJ9/BJ$15,"n/a")</f>
        <v>n/a</v>
      </c>
      <c r="BK53" s="403" t="str">
        <f aca="false">IFERROR(BK9/BK$15,"n/a")</f>
        <v>n/a</v>
      </c>
      <c r="BL53" s="403" t="str">
        <f aca="false">IFERROR(BL9/BL$15,"n/a")</f>
        <v>n/a</v>
      </c>
      <c r="BM53" s="403" t="str">
        <f aca="false">IFERROR(BM9/BM$15,"n/a")</f>
        <v>n/a</v>
      </c>
      <c r="BN53" s="403" t="str">
        <f aca="false">IFERROR(BN9/BN$15,"n/a")</f>
        <v>n/a</v>
      </c>
      <c r="BO53" s="403" t="str">
        <f aca="false">IFERROR(BO9/BO$15,"n/a")</f>
        <v>n/a</v>
      </c>
      <c r="BP53" s="403" t="str">
        <f aca="false">IFERROR(BP9/BP$15,"n/a")</f>
        <v>n/a</v>
      </c>
      <c r="BQ53" s="403" t="str">
        <f aca="false">IFERROR(BQ9/BQ$15,"n/a")</f>
        <v>n/a</v>
      </c>
      <c r="BR53" s="403" t="str">
        <f aca="false">IFERROR(BR9/BR$15,"n/a")</f>
        <v>n/a</v>
      </c>
      <c r="BS53" s="403" t="str">
        <f aca="false">IFERROR(BS9/BS$15,"n/a")</f>
        <v>n/a</v>
      </c>
      <c r="BT53" s="403" t="str">
        <f aca="false">IFERROR(BT9/BT$15,"n/a")</f>
        <v>n/a</v>
      </c>
      <c r="BU53" s="403" t="str">
        <f aca="false">IFERROR(BU9/BU$15,"n/a")</f>
        <v>n/a</v>
      </c>
      <c r="BV53" s="403" t="str">
        <f aca="false">IFERROR(BV9/BV$15,"n/a")</f>
        <v>n/a</v>
      </c>
      <c r="BW53" s="403" t="str">
        <f aca="false">IFERROR(BW9/BW$15,"n/a")</f>
        <v>n/a</v>
      </c>
      <c r="BX53" s="403" t="str">
        <f aca="false">IFERROR(BX9/BX$15,"n/a")</f>
        <v>n/a</v>
      </c>
      <c r="BY53" s="403" t="str">
        <f aca="false">IFERROR(BY9/BY$15,"n/a")</f>
        <v>n/a</v>
      </c>
      <c r="BZ53" s="403" t="str">
        <f aca="false">IFERROR(BZ9/BZ$15,"n/a")</f>
        <v>n/a</v>
      </c>
      <c r="CA53" s="403" t="str">
        <f aca="false">IFERROR(CA9/CA$15,"n/a")</f>
        <v>n/a</v>
      </c>
      <c r="CB53" s="403" t="str">
        <f aca="false">IFERROR(CB9/CB$15,"n/a")</f>
        <v>n/a</v>
      </c>
      <c r="CC53" s="403" t="str">
        <f aca="false">IFERROR(CC9/CC$15,"n/a")</f>
        <v>n/a</v>
      </c>
      <c r="CD53" s="403" t="str">
        <f aca="false">IFERROR(CD9/CD$15,"n/a")</f>
        <v>n/a</v>
      </c>
      <c r="CE53" s="403" t="str">
        <f aca="false">IFERROR(CE9/CE$15,"n/a")</f>
        <v>n/a</v>
      </c>
      <c r="CF53" s="403" t="str">
        <f aca="false">IFERROR(CF9/CF$15,"n/a")</f>
        <v>n/a</v>
      </c>
      <c r="CG53" s="403" t="str">
        <f aca="false">IFERROR(CG9/CG$15,"n/a")</f>
        <v>n/a</v>
      </c>
      <c r="CH53" s="403" t="str">
        <f aca="false">IFERROR(CH9/CH$15,"n/a")</f>
        <v>n/a</v>
      </c>
      <c r="CI53" s="403" t="str">
        <f aca="false">IFERROR(CI9/CI$15,"n/a")</f>
        <v>n/a</v>
      </c>
      <c r="CJ53" s="403" t="str">
        <f aca="false">IFERROR(CJ9/CJ$15,"n/a")</f>
        <v>n/a</v>
      </c>
      <c r="CK53" s="403" t="str">
        <f aca="false">IFERROR(CK9/CK$15,"n/a")</f>
        <v>n/a</v>
      </c>
    </row>
    <row r="54" s="143" customFormat="true" ht="11.25" hidden="false" customHeight="true" outlineLevel="2" collapsed="false">
      <c r="C54" s="51" t="str">
        <f aca="false">C10</f>
        <v>Bestandsveränderung</v>
      </c>
      <c r="D54" s="51" t="str">
        <f aca="false">D10</f>
        <v>Change in inventory</v>
      </c>
      <c r="E54" s="51"/>
      <c r="F54" s="57" t="str">
        <f aca="false">IFERROR(F10/F$15,"n/a")</f>
        <v>n/a</v>
      </c>
      <c r="G54" s="57" t="str">
        <f aca="false">IFERROR(G10/G$15,"n/a")</f>
        <v>n/a</v>
      </c>
      <c r="H54" s="57" t="str">
        <f aca="false">IFERROR(H10/H$15,"n/a")</f>
        <v>n/a</v>
      </c>
      <c r="I54" s="57" t="str">
        <f aca="false">IFERROR(I10/I$15,"n/a")</f>
        <v>n/a</v>
      </c>
      <c r="J54" s="57" t="str">
        <f aca="false">IFERROR(J10/J$15,"n/a")</f>
        <v>n/a</v>
      </c>
      <c r="K54" s="57" t="str">
        <f aca="false">IFERROR(K10/K$15,"n/a")</f>
        <v>n/a</v>
      </c>
      <c r="L54" s="57" t="str">
        <f aca="false">IFERROR(L10/L$15,"n/a")</f>
        <v>n/a</v>
      </c>
      <c r="M54" s="57" t="str">
        <f aca="false">IFERROR(M10/M$15,"n/a")</f>
        <v>n/a</v>
      </c>
      <c r="N54" s="57" t="str">
        <f aca="false">IFERROR(N10/N$15,"n/a")</f>
        <v>n/a</v>
      </c>
      <c r="O54" s="57" t="str">
        <f aca="false">IFERROR(O10/O$15,"n/a")</f>
        <v>n/a</v>
      </c>
      <c r="P54" s="57" t="str">
        <f aca="false">IFERROR(P10/P$15,"n/a")</f>
        <v>n/a</v>
      </c>
      <c r="Q54" s="57" t="str">
        <f aca="false">IFERROR(Q10/Q$15,"n/a")</f>
        <v>n/a</v>
      </c>
      <c r="R54" s="57" t="str">
        <f aca="false">IFERROR(R10/R$15,"n/a")</f>
        <v>n/a</v>
      </c>
      <c r="S54" s="57" t="str">
        <f aca="false">IFERROR(S10/S$15,"n/a")</f>
        <v>n/a</v>
      </c>
      <c r="T54" s="57" t="str">
        <f aca="false">IFERROR(T10/T$15,"n/a")</f>
        <v>n/a</v>
      </c>
      <c r="U54" s="57" t="str">
        <f aca="false">IFERROR(U10/U$15,"n/a")</f>
        <v>n/a</v>
      </c>
      <c r="V54" s="57" t="str">
        <f aca="false">IFERROR(V10/V$15,"n/a")</f>
        <v>n/a</v>
      </c>
      <c r="W54" s="57" t="str">
        <f aca="false">IFERROR(W10/W$15,"n/a")</f>
        <v>n/a</v>
      </c>
      <c r="X54" s="57" t="str">
        <f aca="false">IFERROR(X10/X$15,"n/a")</f>
        <v>n/a</v>
      </c>
      <c r="Y54" s="57" t="str">
        <f aca="false">IFERROR(Y10/Y$15,"n/a")</f>
        <v>n/a</v>
      </c>
      <c r="Z54" s="57" t="str">
        <f aca="false">IFERROR(Z10/Z$15,"n/a")</f>
        <v>n/a</v>
      </c>
      <c r="AA54" s="57" t="str">
        <f aca="false">IFERROR(AA10/AA$15,"n/a")</f>
        <v>n/a</v>
      </c>
      <c r="AB54" s="57" t="str">
        <f aca="false">IFERROR(AB10/AB$15,"n/a")</f>
        <v>n/a</v>
      </c>
      <c r="AC54" s="57" t="str">
        <f aca="false">IFERROR(AC10/AC$15,"n/a")</f>
        <v>n/a</v>
      </c>
      <c r="AD54" s="57" t="str">
        <f aca="false">IFERROR(AD10/AD$15,"n/a")</f>
        <v>n/a</v>
      </c>
      <c r="AE54" s="57" t="str">
        <f aca="false">IFERROR(AE10/AE$15,"n/a")</f>
        <v>n/a</v>
      </c>
      <c r="AF54" s="57" t="str">
        <f aca="false">IFERROR(AF10/AF$15,"n/a")</f>
        <v>n/a</v>
      </c>
      <c r="AG54" s="57" t="str">
        <f aca="false">IFERROR(AG10/AG$15,"n/a")</f>
        <v>n/a</v>
      </c>
      <c r="AH54" s="57" t="str">
        <f aca="false">IFERROR(AH10/AH$15,"n/a")</f>
        <v>n/a</v>
      </c>
      <c r="AI54" s="57" t="str">
        <f aca="false">IFERROR(AI10/AI$15,"n/a")</f>
        <v>n/a</v>
      </c>
      <c r="AJ54" s="57" t="str">
        <f aca="false">IFERROR(AJ10/AJ$15,"n/a")</f>
        <v>n/a</v>
      </c>
      <c r="AK54" s="57" t="str">
        <f aca="false">IFERROR(AK10/AK$15,"n/a")</f>
        <v>n/a</v>
      </c>
      <c r="AL54" s="57" t="str">
        <f aca="false">IFERROR(AL10/AL$15,"n/a")</f>
        <v>n/a</v>
      </c>
      <c r="AM54" s="57" t="str">
        <f aca="false">IFERROR(AM10/AM$15,"n/a")</f>
        <v>n/a</v>
      </c>
      <c r="AN54" s="57" t="str">
        <f aca="false">IFERROR(AN10/AN$15,"n/a")</f>
        <v>n/a</v>
      </c>
      <c r="AO54" s="57" t="str">
        <f aca="false">IFERROR(AO10/AO$15,"n/a")</f>
        <v>n/a</v>
      </c>
      <c r="AP54" s="57" t="str">
        <f aca="false">IFERROR(AP10/AP$15,"n/a")</f>
        <v>n/a</v>
      </c>
      <c r="AQ54" s="57" t="str">
        <f aca="false">IFERROR(AQ10/AQ$15,"n/a")</f>
        <v>n/a</v>
      </c>
      <c r="AR54" s="57" t="str">
        <f aca="false">IFERROR(AR10/AR$15,"n/a")</f>
        <v>n/a</v>
      </c>
      <c r="AS54" s="57" t="str">
        <f aca="false">IFERROR(AS10/AS$15,"n/a")</f>
        <v>n/a</v>
      </c>
      <c r="AT54" s="57" t="str">
        <f aca="false">IFERROR(AT10/AT$15,"n/a")</f>
        <v>n/a</v>
      </c>
      <c r="AU54" s="403" t="str">
        <f aca="false">IFERROR(AU10/AU$15,"n/a")</f>
        <v>n/a</v>
      </c>
      <c r="AV54" s="403" t="str">
        <f aca="false">IFERROR(AV10/AV$15,"n/a")</f>
        <v>n/a</v>
      </c>
      <c r="AW54" s="403" t="str">
        <f aca="false">IFERROR(AW10/AW$15,"n/a")</f>
        <v>n/a</v>
      </c>
      <c r="AX54" s="403" t="str">
        <f aca="false">IFERROR(AX10/AX$15,"n/a")</f>
        <v>n/a</v>
      </c>
      <c r="AY54" s="403" t="str">
        <f aca="false">IFERROR(AY10/AY$15,"n/a")</f>
        <v>n/a</v>
      </c>
      <c r="AZ54" s="403" t="str">
        <f aca="false">IFERROR(AZ10/AZ$15,"n/a")</f>
        <v>n/a</v>
      </c>
      <c r="BA54" s="403" t="str">
        <f aca="false">IFERROR(BA10/BA$15,"n/a")</f>
        <v>n/a</v>
      </c>
      <c r="BB54" s="403" t="str">
        <f aca="false">IFERROR(BB10/BB$15,"n/a")</f>
        <v>n/a</v>
      </c>
      <c r="BC54" s="403" t="str">
        <f aca="false">IFERROR(BC10/BC$15,"n/a")</f>
        <v>n/a</v>
      </c>
      <c r="BD54" s="403" t="str">
        <f aca="false">IFERROR(BD10/BD$15,"n/a")</f>
        <v>n/a</v>
      </c>
      <c r="BE54" s="403" t="str">
        <f aca="false">IFERROR(BE10/BE$15,"n/a")</f>
        <v>n/a</v>
      </c>
      <c r="BF54" s="403" t="str">
        <f aca="false">IFERROR(BF10/BF$15,"n/a")</f>
        <v>n/a</v>
      </c>
      <c r="BG54" s="403" t="str">
        <f aca="false">IFERROR(BG10/BG$15,"n/a")</f>
        <v>n/a</v>
      </c>
      <c r="BH54" s="403" t="str">
        <f aca="false">IFERROR(BH10/BH$15,"n/a")</f>
        <v>n/a</v>
      </c>
      <c r="BI54" s="403" t="str">
        <f aca="false">IFERROR(BI10/BI$15,"n/a")</f>
        <v>n/a</v>
      </c>
      <c r="BJ54" s="403" t="str">
        <f aca="false">IFERROR(BJ10/BJ$15,"n/a")</f>
        <v>n/a</v>
      </c>
      <c r="BK54" s="403" t="str">
        <f aca="false">IFERROR(BK10/BK$15,"n/a")</f>
        <v>n/a</v>
      </c>
      <c r="BL54" s="403" t="str">
        <f aca="false">IFERROR(BL10/BL$15,"n/a")</f>
        <v>n/a</v>
      </c>
      <c r="BM54" s="403" t="str">
        <f aca="false">IFERROR(BM10/BM$15,"n/a")</f>
        <v>n/a</v>
      </c>
      <c r="BN54" s="403" t="str">
        <f aca="false">IFERROR(BN10/BN$15,"n/a")</f>
        <v>n/a</v>
      </c>
      <c r="BO54" s="403" t="str">
        <f aca="false">IFERROR(BO10/BO$15,"n/a")</f>
        <v>n/a</v>
      </c>
      <c r="BP54" s="403" t="str">
        <f aca="false">IFERROR(BP10/BP$15,"n/a")</f>
        <v>n/a</v>
      </c>
      <c r="BQ54" s="403" t="str">
        <f aca="false">IFERROR(BQ10/BQ$15,"n/a")</f>
        <v>n/a</v>
      </c>
      <c r="BR54" s="403" t="str">
        <f aca="false">IFERROR(BR10/BR$15,"n/a")</f>
        <v>n/a</v>
      </c>
      <c r="BS54" s="403" t="str">
        <f aca="false">IFERROR(BS10/BS$15,"n/a")</f>
        <v>n/a</v>
      </c>
      <c r="BT54" s="403" t="str">
        <f aca="false">IFERROR(BT10/BT$15,"n/a")</f>
        <v>n/a</v>
      </c>
      <c r="BU54" s="403" t="str">
        <f aca="false">IFERROR(BU10/BU$15,"n/a")</f>
        <v>n/a</v>
      </c>
      <c r="BV54" s="403" t="str">
        <f aca="false">IFERROR(BV10/BV$15,"n/a")</f>
        <v>n/a</v>
      </c>
      <c r="BW54" s="403" t="str">
        <f aca="false">IFERROR(BW10/BW$15,"n/a")</f>
        <v>n/a</v>
      </c>
      <c r="BX54" s="403" t="str">
        <f aca="false">IFERROR(BX10/BX$15,"n/a")</f>
        <v>n/a</v>
      </c>
      <c r="BY54" s="403" t="str">
        <f aca="false">IFERROR(BY10/BY$15,"n/a")</f>
        <v>n/a</v>
      </c>
      <c r="BZ54" s="403" t="str">
        <f aca="false">IFERROR(BZ10/BZ$15,"n/a")</f>
        <v>n/a</v>
      </c>
      <c r="CA54" s="403" t="str">
        <f aca="false">IFERROR(CA10/CA$15,"n/a")</f>
        <v>n/a</v>
      </c>
      <c r="CB54" s="403" t="str">
        <f aca="false">IFERROR(CB10/CB$15,"n/a")</f>
        <v>n/a</v>
      </c>
      <c r="CC54" s="403" t="str">
        <f aca="false">IFERROR(CC10/CC$15,"n/a")</f>
        <v>n/a</v>
      </c>
      <c r="CD54" s="403" t="str">
        <f aca="false">IFERROR(CD10/CD$15,"n/a")</f>
        <v>n/a</v>
      </c>
      <c r="CE54" s="403" t="str">
        <f aca="false">IFERROR(CE10/CE$15,"n/a")</f>
        <v>n/a</v>
      </c>
      <c r="CF54" s="403" t="str">
        <f aca="false">IFERROR(CF10/CF$15,"n/a")</f>
        <v>n/a</v>
      </c>
      <c r="CG54" s="403" t="str">
        <f aca="false">IFERROR(CG10/CG$15,"n/a")</f>
        <v>n/a</v>
      </c>
      <c r="CH54" s="403" t="str">
        <f aca="false">IFERROR(CH10/CH$15,"n/a")</f>
        <v>n/a</v>
      </c>
      <c r="CI54" s="403" t="str">
        <f aca="false">IFERROR(CI10/CI$15,"n/a")</f>
        <v>n/a</v>
      </c>
      <c r="CJ54" s="403" t="str">
        <f aca="false">IFERROR(CJ10/CJ$15,"n/a")</f>
        <v>n/a</v>
      </c>
      <c r="CK54" s="403" t="str">
        <f aca="false">IFERROR(CK10/CK$15,"n/a")</f>
        <v>n/a</v>
      </c>
    </row>
    <row r="55" s="143" customFormat="true" ht="11.25" hidden="false" customHeight="true" outlineLevel="2" collapsed="false">
      <c r="C55" s="51" t="str">
        <f aca="false">C11</f>
        <v>Aktivierte Eigenleistungen</v>
      </c>
      <c r="D55" s="51" t="str">
        <f aca="false">D11</f>
        <v>Own work capitalized</v>
      </c>
      <c r="E55" s="51"/>
      <c r="F55" s="57" t="str">
        <f aca="false">IFERROR(F11/F$15,"n/a")</f>
        <v>n/a</v>
      </c>
      <c r="G55" s="57" t="str">
        <f aca="false">IFERROR(G11/G$15,"n/a")</f>
        <v>n/a</v>
      </c>
      <c r="H55" s="57" t="str">
        <f aca="false">IFERROR(H11/H$15,"n/a")</f>
        <v>n/a</v>
      </c>
      <c r="I55" s="57" t="str">
        <f aca="false">IFERROR(I11/I$15,"n/a")</f>
        <v>n/a</v>
      </c>
      <c r="J55" s="57" t="str">
        <f aca="false">IFERROR(J11/J$15,"n/a")</f>
        <v>n/a</v>
      </c>
      <c r="K55" s="57" t="str">
        <f aca="false">IFERROR(K11/K$15,"n/a")</f>
        <v>n/a</v>
      </c>
      <c r="L55" s="57" t="str">
        <f aca="false">IFERROR(L11/L$15,"n/a")</f>
        <v>n/a</v>
      </c>
      <c r="M55" s="57" t="str">
        <f aca="false">IFERROR(M11/M$15,"n/a")</f>
        <v>n/a</v>
      </c>
      <c r="N55" s="57" t="str">
        <f aca="false">IFERROR(N11/N$15,"n/a")</f>
        <v>n/a</v>
      </c>
      <c r="O55" s="57" t="str">
        <f aca="false">IFERROR(O11/O$15,"n/a")</f>
        <v>n/a</v>
      </c>
      <c r="P55" s="57" t="str">
        <f aca="false">IFERROR(P11/P$15,"n/a")</f>
        <v>n/a</v>
      </c>
      <c r="Q55" s="57" t="str">
        <f aca="false">IFERROR(Q11/Q$15,"n/a")</f>
        <v>n/a</v>
      </c>
      <c r="R55" s="57" t="str">
        <f aca="false">IFERROR(R11/R$15,"n/a")</f>
        <v>n/a</v>
      </c>
      <c r="S55" s="57" t="str">
        <f aca="false">IFERROR(S11/S$15,"n/a")</f>
        <v>n/a</v>
      </c>
      <c r="T55" s="57" t="str">
        <f aca="false">IFERROR(T11/T$15,"n/a")</f>
        <v>n/a</v>
      </c>
      <c r="U55" s="57" t="str">
        <f aca="false">IFERROR(U11/U$15,"n/a")</f>
        <v>n/a</v>
      </c>
      <c r="V55" s="57" t="str">
        <f aca="false">IFERROR(V11/V$15,"n/a")</f>
        <v>n/a</v>
      </c>
      <c r="W55" s="57" t="str">
        <f aca="false">IFERROR(W11/W$15,"n/a")</f>
        <v>n/a</v>
      </c>
      <c r="X55" s="57" t="str">
        <f aca="false">IFERROR(X11/X$15,"n/a")</f>
        <v>n/a</v>
      </c>
      <c r="Y55" s="57" t="str">
        <f aca="false">IFERROR(Y11/Y$15,"n/a")</f>
        <v>n/a</v>
      </c>
      <c r="Z55" s="57" t="str">
        <f aca="false">IFERROR(Z11/Z$15,"n/a")</f>
        <v>n/a</v>
      </c>
      <c r="AA55" s="57" t="str">
        <f aca="false">IFERROR(AA11/AA$15,"n/a")</f>
        <v>n/a</v>
      </c>
      <c r="AB55" s="57" t="str">
        <f aca="false">IFERROR(AB11/AB$15,"n/a")</f>
        <v>n/a</v>
      </c>
      <c r="AC55" s="57" t="str">
        <f aca="false">IFERROR(AC11/AC$15,"n/a")</f>
        <v>n/a</v>
      </c>
      <c r="AD55" s="57" t="str">
        <f aca="false">IFERROR(AD11/AD$15,"n/a")</f>
        <v>n/a</v>
      </c>
      <c r="AE55" s="57" t="str">
        <f aca="false">IFERROR(AE11/AE$15,"n/a")</f>
        <v>n/a</v>
      </c>
      <c r="AF55" s="57" t="str">
        <f aca="false">IFERROR(AF11/AF$15,"n/a")</f>
        <v>n/a</v>
      </c>
      <c r="AG55" s="57" t="str">
        <f aca="false">IFERROR(AG11/AG$15,"n/a")</f>
        <v>n/a</v>
      </c>
      <c r="AH55" s="57" t="str">
        <f aca="false">IFERROR(AH11/AH$15,"n/a")</f>
        <v>n/a</v>
      </c>
      <c r="AI55" s="57" t="str">
        <f aca="false">IFERROR(AI11/AI$15,"n/a")</f>
        <v>n/a</v>
      </c>
      <c r="AJ55" s="57" t="str">
        <f aca="false">IFERROR(AJ11/AJ$15,"n/a")</f>
        <v>n/a</v>
      </c>
      <c r="AK55" s="57" t="str">
        <f aca="false">IFERROR(AK11/AK$15,"n/a")</f>
        <v>n/a</v>
      </c>
      <c r="AL55" s="57" t="str">
        <f aca="false">IFERROR(AL11/AL$15,"n/a")</f>
        <v>n/a</v>
      </c>
      <c r="AM55" s="57" t="str">
        <f aca="false">IFERROR(AM11/AM$15,"n/a")</f>
        <v>n/a</v>
      </c>
      <c r="AN55" s="57" t="str">
        <f aca="false">IFERROR(AN11/AN$15,"n/a")</f>
        <v>n/a</v>
      </c>
      <c r="AO55" s="57" t="str">
        <f aca="false">IFERROR(AO11/AO$15,"n/a")</f>
        <v>n/a</v>
      </c>
      <c r="AP55" s="57" t="str">
        <f aca="false">IFERROR(AP11/AP$15,"n/a")</f>
        <v>n/a</v>
      </c>
      <c r="AQ55" s="57" t="str">
        <f aca="false">IFERROR(AQ11/AQ$15,"n/a")</f>
        <v>n/a</v>
      </c>
      <c r="AR55" s="57" t="str">
        <f aca="false">IFERROR(AR11/AR$15,"n/a")</f>
        <v>n/a</v>
      </c>
      <c r="AS55" s="57" t="str">
        <f aca="false">IFERROR(AS11/AS$15,"n/a")</f>
        <v>n/a</v>
      </c>
      <c r="AT55" s="57" t="str">
        <f aca="false">IFERROR(AT11/AT$15,"n/a")</f>
        <v>n/a</v>
      </c>
      <c r="AU55" s="403" t="str">
        <f aca="false">IFERROR(AU11/AU$15,"n/a")</f>
        <v>n/a</v>
      </c>
      <c r="AV55" s="403" t="str">
        <f aca="false">IFERROR(AV11/AV$15,"n/a")</f>
        <v>n/a</v>
      </c>
      <c r="AW55" s="403" t="str">
        <f aca="false">IFERROR(AW11/AW$15,"n/a")</f>
        <v>n/a</v>
      </c>
      <c r="AX55" s="403" t="str">
        <f aca="false">IFERROR(AX11/AX$15,"n/a")</f>
        <v>n/a</v>
      </c>
      <c r="AY55" s="403" t="str">
        <f aca="false">IFERROR(AY11/AY$15,"n/a")</f>
        <v>n/a</v>
      </c>
      <c r="AZ55" s="403" t="str">
        <f aca="false">IFERROR(AZ11/AZ$15,"n/a")</f>
        <v>n/a</v>
      </c>
      <c r="BA55" s="403" t="str">
        <f aca="false">IFERROR(BA11/BA$15,"n/a")</f>
        <v>n/a</v>
      </c>
      <c r="BB55" s="403" t="str">
        <f aca="false">IFERROR(BB11/BB$15,"n/a")</f>
        <v>n/a</v>
      </c>
      <c r="BC55" s="403" t="str">
        <f aca="false">IFERROR(BC11/BC$15,"n/a")</f>
        <v>n/a</v>
      </c>
      <c r="BD55" s="403" t="str">
        <f aca="false">IFERROR(BD11/BD$15,"n/a")</f>
        <v>n/a</v>
      </c>
      <c r="BE55" s="403" t="str">
        <f aca="false">IFERROR(BE11/BE$15,"n/a")</f>
        <v>n/a</v>
      </c>
      <c r="BF55" s="403" t="str">
        <f aca="false">IFERROR(BF11/BF$15,"n/a")</f>
        <v>n/a</v>
      </c>
      <c r="BG55" s="403" t="str">
        <f aca="false">IFERROR(BG11/BG$15,"n/a")</f>
        <v>n/a</v>
      </c>
      <c r="BH55" s="403" t="str">
        <f aca="false">IFERROR(BH11/BH$15,"n/a")</f>
        <v>n/a</v>
      </c>
      <c r="BI55" s="403" t="str">
        <f aca="false">IFERROR(BI11/BI$15,"n/a")</f>
        <v>n/a</v>
      </c>
      <c r="BJ55" s="403" t="str">
        <f aca="false">IFERROR(BJ11/BJ$15,"n/a")</f>
        <v>n/a</v>
      </c>
      <c r="BK55" s="403" t="str">
        <f aca="false">IFERROR(BK11/BK$15,"n/a")</f>
        <v>n/a</v>
      </c>
      <c r="BL55" s="403" t="str">
        <f aca="false">IFERROR(BL11/BL$15,"n/a")</f>
        <v>n/a</v>
      </c>
      <c r="BM55" s="403" t="str">
        <f aca="false">IFERROR(BM11/BM$15,"n/a")</f>
        <v>n/a</v>
      </c>
      <c r="BN55" s="403" t="str">
        <f aca="false">IFERROR(BN11/BN$15,"n/a")</f>
        <v>n/a</v>
      </c>
      <c r="BO55" s="403" t="str">
        <f aca="false">IFERROR(BO11/BO$15,"n/a")</f>
        <v>n/a</v>
      </c>
      <c r="BP55" s="403" t="str">
        <f aca="false">IFERROR(BP11/BP$15,"n/a")</f>
        <v>n/a</v>
      </c>
      <c r="BQ55" s="403" t="str">
        <f aca="false">IFERROR(BQ11/BQ$15,"n/a")</f>
        <v>n/a</v>
      </c>
      <c r="BR55" s="403" t="str">
        <f aca="false">IFERROR(BR11/BR$15,"n/a")</f>
        <v>n/a</v>
      </c>
      <c r="BS55" s="403" t="str">
        <f aca="false">IFERROR(BS11/BS$15,"n/a")</f>
        <v>n/a</v>
      </c>
      <c r="BT55" s="403" t="str">
        <f aca="false">IFERROR(BT11/BT$15,"n/a")</f>
        <v>n/a</v>
      </c>
      <c r="BU55" s="403" t="str">
        <f aca="false">IFERROR(BU11/BU$15,"n/a")</f>
        <v>n/a</v>
      </c>
      <c r="BV55" s="403" t="str">
        <f aca="false">IFERROR(BV11/BV$15,"n/a")</f>
        <v>n/a</v>
      </c>
      <c r="BW55" s="403" t="str">
        <f aca="false">IFERROR(BW11/BW$15,"n/a")</f>
        <v>n/a</v>
      </c>
      <c r="BX55" s="403" t="str">
        <f aca="false">IFERROR(BX11/BX$15,"n/a")</f>
        <v>n/a</v>
      </c>
      <c r="BY55" s="403" t="str">
        <f aca="false">IFERROR(BY11/BY$15,"n/a")</f>
        <v>n/a</v>
      </c>
      <c r="BZ55" s="403" t="str">
        <f aca="false">IFERROR(BZ11/BZ$15,"n/a")</f>
        <v>n/a</v>
      </c>
      <c r="CA55" s="403" t="str">
        <f aca="false">IFERROR(CA11/CA$15,"n/a")</f>
        <v>n/a</v>
      </c>
      <c r="CB55" s="403" t="str">
        <f aca="false">IFERROR(CB11/CB$15,"n/a")</f>
        <v>n/a</v>
      </c>
      <c r="CC55" s="403" t="str">
        <f aca="false">IFERROR(CC11/CC$15,"n/a")</f>
        <v>n/a</v>
      </c>
      <c r="CD55" s="403" t="str">
        <f aca="false">IFERROR(CD11/CD$15,"n/a")</f>
        <v>n/a</v>
      </c>
      <c r="CE55" s="403" t="str">
        <f aca="false">IFERROR(CE11/CE$15,"n/a")</f>
        <v>n/a</v>
      </c>
      <c r="CF55" s="403" t="str">
        <f aca="false">IFERROR(CF11/CF$15,"n/a")</f>
        <v>n/a</v>
      </c>
      <c r="CG55" s="403" t="str">
        <f aca="false">IFERROR(CG11/CG$15,"n/a")</f>
        <v>n/a</v>
      </c>
      <c r="CH55" s="403" t="str">
        <f aca="false">IFERROR(CH11/CH$15,"n/a")</f>
        <v>n/a</v>
      </c>
      <c r="CI55" s="403" t="str">
        <f aca="false">IFERROR(CI11/CI$15,"n/a")</f>
        <v>n/a</v>
      </c>
      <c r="CJ55" s="403" t="str">
        <f aca="false">IFERROR(CJ11/CJ$15,"n/a")</f>
        <v>n/a</v>
      </c>
      <c r="CK55" s="403" t="str">
        <f aca="false">IFERROR(CK11/CK$15,"n/a")</f>
        <v>n/a</v>
      </c>
    </row>
    <row r="56" s="143" customFormat="true" ht="11.25" hidden="false" customHeight="true" outlineLevel="2" collapsed="false">
      <c r="C56" s="51" t="str">
        <f aca="false">C12</f>
        <v>Dummy 1</v>
      </c>
      <c r="D56" s="51" t="str">
        <f aca="false">D12</f>
        <v>Dummy 1</v>
      </c>
      <c r="E56" s="51"/>
      <c r="F56" s="57" t="str">
        <f aca="false">IFERROR(F12/F$15,"n/a")</f>
        <v>n/a</v>
      </c>
      <c r="G56" s="57" t="str">
        <f aca="false">IFERROR(G12/G$15,"n/a")</f>
        <v>n/a</v>
      </c>
      <c r="H56" s="57" t="str">
        <f aca="false">IFERROR(H12/H$15,"n/a")</f>
        <v>n/a</v>
      </c>
      <c r="I56" s="57" t="str">
        <f aca="false">IFERROR(I12/I$15,"n/a")</f>
        <v>n/a</v>
      </c>
      <c r="J56" s="57" t="str">
        <f aca="false">IFERROR(J12/J$15,"n/a")</f>
        <v>n/a</v>
      </c>
      <c r="K56" s="57" t="str">
        <f aca="false">IFERROR(K12/K$15,"n/a")</f>
        <v>n/a</v>
      </c>
      <c r="L56" s="57" t="str">
        <f aca="false">IFERROR(L12/L$15,"n/a")</f>
        <v>n/a</v>
      </c>
      <c r="M56" s="57" t="str">
        <f aca="false">IFERROR(M12/M$15,"n/a")</f>
        <v>n/a</v>
      </c>
      <c r="N56" s="57" t="str">
        <f aca="false">IFERROR(N12/N$15,"n/a")</f>
        <v>n/a</v>
      </c>
      <c r="O56" s="57" t="str">
        <f aca="false">IFERROR(O12/O$15,"n/a")</f>
        <v>n/a</v>
      </c>
      <c r="P56" s="57" t="str">
        <f aca="false">IFERROR(P12/P$15,"n/a")</f>
        <v>n/a</v>
      </c>
      <c r="Q56" s="57" t="str">
        <f aca="false">IFERROR(Q12/Q$15,"n/a")</f>
        <v>n/a</v>
      </c>
      <c r="R56" s="57" t="str">
        <f aca="false">IFERROR(R12/R$15,"n/a")</f>
        <v>n/a</v>
      </c>
      <c r="S56" s="57" t="str">
        <f aca="false">IFERROR(S12/S$15,"n/a")</f>
        <v>n/a</v>
      </c>
      <c r="T56" s="57" t="str">
        <f aca="false">IFERROR(T12/T$15,"n/a")</f>
        <v>n/a</v>
      </c>
      <c r="U56" s="57" t="str">
        <f aca="false">IFERROR(U12/U$15,"n/a")</f>
        <v>n/a</v>
      </c>
      <c r="V56" s="57" t="str">
        <f aca="false">IFERROR(V12/V$15,"n/a")</f>
        <v>n/a</v>
      </c>
      <c r="W56" s="57" t="str">
        <f aca="false">IFERROR(W12/W$15,"n/a")</f>
        <v>n/a</v>
      </c>
      <c r="X56" s="57" t="str">
        <f aca="false">IFERROR(X12/X$15,"n/a")</f>
        <v>n/a</v>
      </c>
      <c r="Y56" s="57" t="str">
        <f aca="false">IFERROR(Y12/Y$15,"n/a")</f>
        <v>n/a</v>
      </c>
      <c r="Z56" s="57" t="str">
        <f aca="false">IFERROR(Z12/Z$15,"n/a")</f>
        <v>n/a</v>
      </c>
      <c r="AA56" s="57" t="str">
        <f aca="false">IFERROR(AA12/AA$15,"n/a")</f>
        <v>n/a</v>
      </c>
      <c r="AB56" s="57" t="str">
        <f aca="false">IFERROR(AB12/AB$15,"n/a")</f>
        <v>n/a</v>
      </c>
      <c r="AC56" s="57" t="str">
        <f aca="false">IFERROR(AC12/AC$15,"n/a")</f>
        <v>n/a</v>
      </c>
      <c r="AD56" s="57" t="str">
        <f aca="false">IFERROR(AD12/AD$15,"n/a")</f>
        <v>n/a</v>
      </c>
      <c r="AE56" s="57" t="str">
        <f aca="false">IFERROR(AE12/AE$15,"n/a")</f>
        <v>n/a</v>
      </c>
      <c r="AF56" s="57" t="str">
        <f aca="false">IFERROR(AF12/AF$15,"n/a")</f>
        <v>n/a</v>
      </c>
      <c r="AG56" s="57" t="str">
        <f aca="false">IFERROR(AG12/AG$15,"n/a")</f>
        <v>n/a</v>
      </c>
      <c r="AH56" s="57" t="str">
        <f aca="false">IFERROR(AH12/AH$15,"n/a")</f>
        <v>n/a</v>
      </c>
      <c r="AI56" s="57" t="str">
        <f aca="false">IFERROR(AI12/AI$15,"n/a")</f>
        <v>n/a</v>
      </c>
      <c r="AJ56" s="57" t="str">
        <f aca="false">IFERROR(AJ12/AJ$15,"n/a")</f>
        <v>n/a</v>
      </c>
      <c r="AK56" s="57" t="str">
        <f aca="false">IFERROR(AK12/AK$15,"n/a")</f>
        <v>n/a</v>
      </c>
      <c r="AL56" s="57" t="str">
        <f aca="false">IFERROR(AL12/AL$15,"n/a")</f>
        <v>n/a</v>
      </c>
      <c r="AM56" s="57" t="str">
        <f aca="false">IFERROR(AM12/AM$15,"n/a")</f>
        <v>n/a</v>
      </c>
      <c r="AN56" s="57" t="str">
        <f aca="false">IFERROR(AN12/AN$15,"n/a")</f>
        <v>n/a</v>
      </c>
      <c r="AO56" s="57" t="str">
        <f aca="false">IFERROR(AO12/AO$15,"n/a")</f>
        <v>n/a</v>
      </c>
      <c r="AP56" s="57" t="str">
        <f aca="false">IFERROR(AP12/AP$15,"n/a")</f>
        <v>n/a</v>
      </c>
      <c r="AQ56" s="57" t="str">
        <f aca="false">IFERROR(AQ12/AQ$15,"n/a")</f>
        <v>n/a</v>
      </c>
      <c r="AR56" s="57" t="str">
        <f aca="false">IFERROR(AR12/AR$15,"n/a")</f>
        <v>n/a</v>
      </c>
      <c r="AS56" s="57" t="str">
        <f aca="false">IFERROR(AS12/AS$15,"n/a")</f>
        <v>n/a</v>
      </c>
      <c r="AT56" s="57" t="str">
        <f aca="false">IFERROR(AT12/AT$15,"n/a")</f>
        <v>n/a</v>
      </c>
      <c r="AU56" s="403" t="str">
        <f aca="false">IFERROR(AU12/AU$15,"n/a")</f>
        <v>n/a</v>
      </c>
      <c r="AV56" s="403" t="str">
        <f aca="false">IFERROR(AV12/AV$15,"n/a")</f>
        <v>n/a</v>
      </c>
      <c r="AW56" s="403" t="str">
        <f aca="false">IFERROR(AW12/AW$15,"n/a")</f>
        <v>n/a</v>
      </c>
      <c r="AX56" s="403" t="str">
        <f aca="false">IFERROR(AX12/AX$15,"n/a")</f>
        <v>n/a</v>
      </c>
      <c r="AY56" s="403" t="str">
        <f aca="false">IFERROR(AY12/AY$15,"n/a")</f>
        <v>n/a</v>
      </c>
      <c r="AZ56" s="403" t="str">
        <f aca="false">IFERROR(AZ12/AZ$15,"n/a")</f>
        <v>n/a</v>
      </c>
      <c r="BA56" s="403" t="str">
        <f aca="false">IFERROR(BA12/BA$15,"n/a")</f>
        <v>n/a</v>
      </c>
      <c r="BB56" s="403" t="str">
        <f aca="false">IFERROR(BB12/BB$15,"n/a")</f>
        <v>n/a</v>
      </c>
      <c r="BC56" s="403" t="str">
        <f aca="false">IFERROR(BC12/BC$15,"n/a")</f>
        <v>n/a</v>
      </c>
      <c r="BD56" s="403" t="str">
        <f aca="false">IFERROR(BD12/BD$15,"n/a")</f>
        <v>n/a</v>
      </c>
      <c r="BE56" s="403" t="str">
        <f aca="false">IFERROR(BE12/BE$15,"n/a")</f>
        <v>n/a</v>
      </c>
      <c r="BF56" s="403" t="str">
        <f aca="false">IFERROR(BF12/BF$15,"n/a")</f>
        <v>n/a</v>
      </c>
      <c r="BG56" s="403" t="str">
        <f aca="false">IFERROR(BG12/BG$15,"n/a")</f>
        <v>n/a</v>
      </c>
      <c r="BH56" s="403" t="str">
        <f aca="false">IFERROR(BH12/BH$15,"n/a")</f>
        <v>n/a</v>
      </c>
      <c r="BI56" s="403" t="str">
        <f aca="false">IFERROR(BI12/BI$15,"n/a")</f>
        <v>n/a</v>
      </c>
      <c r="BJ56" s="403" t="str">
        <f aca="false">IFERROR(BJ12/BJ$15,"n/a")</f>
        <v>n/a</v>
      </c>
      <c r="BK56" s="403" t="str">
        <f aca="false">IFERROR(BK12/BK$15,"n/a")</f>
        <v>n/a</v>
      </c>
      <c r="BL56" s="403" t="str">
        <f aca="false">IFERROR(BL12/BL$15,"n/a")</f>
        <v>n/a</v>
      </c>
      <c r="BM56" s="403" t="str">
        <f aca="false">IFERROR(BM12/BM$15,"n/a")</f>
        <v>n/a</v>
      </c>
      <c r="BN56" s="403" t="str">
        <f aca="false">IFERROR(BN12/BN$15,"n/a")</f>
        <v>n/a</v>
      </c>
      <c r="BO56" s="403" t="str">
        <f aca="false">IFERROR(BO12/BO$15,"n/a")</f>
        <v>n/a</v>
      </c>
      <c r="BP56" s="403" t="str">
        <f aca="false">IFERROR(BP12/BP$15,"n/a")</f>
        <v>n/a</v>
      </c>
      <c r="BQ56" s="403" t="str">
        <f aca="false">IFERROR(BQ12/BQ$15,"n/a")</f>
        <v>n/a</v>
      </c>
      <c r="BR56" s="403" t="str">
        <f aca="false">IFERROR(BR12/BR$15,"n/a")</f>
        <v>n/a</v>
      </c>
      <c r="BS56" s="403" t="str">
        <f aca="false">IFERROR(BS12/BS$15,"n/a")</f>
        <v>n/a</v>
      </c>
      <c r="BT56" s="403" t="str">
        <f aca="false">IFERROR(BT12/BT$15,"n/a")</f>
        <v>n/a</v>
      </c>
      <c r="BU56" s="403" t="str">
        <f aca="false">IFERROR(BU12/BU$15,"n/a")</f>
        <v>n/a</v>
      </c>
      <c r="BV56" s="403" t="str">
        <f aca="false">IFERROR(BV12/BV$15,"n/a")</f>
        <v>n/a</v>
      </c>
      <c r="BW56" s="403" t="str">
        <f aca="false">IFERROR(BW12/BW$15,"n/a")</f>
        <v>n/a</v>
      </c>
      <c r="BX56" s="403" t="str">
        <f aca="false">IFERROR(BX12/BX$15,"n/a")</f>
        <v>n/a</v>
      </c>
      <c r="BY56" s="403" t="str">
        <f aca="false">IFERROR(BY12/BY$15,"n/a")</f>
        <v>n/a</v>
      </c>
      <c r="BZ56" s="403" t="str">
        <f aca="false">IFERROR(BZ12/BZ$15,"n/a")</f>
        <v>n/a</v>
      </c>
      <c r="CA56" s="403" t="str">
        <f aca="false">IFERROR(CA12/CA$15,"n/a")</f>
        <v>n/a</v>
      </c>
      <c r="CB56" s="403" t="str">
        <f aca="false">IFERROR(CB12/CB$15,"n/a")</f>
        <v>n/a</v>
      </c>
      <c r="CC56" s="403" t="str">
        <f aca="false">IFERROR(CC12/CC$15,"n/a")</f>
        <v>n/a</v>
      </c>
      <c r="CD56" s="403" t="str">
        <f aca="false">IFERROR(CD12/CD$15,"n/a")</f>
        <v>n/a</v>
      </c>
      <c r="CE56" s="403" t="str">
        <f aca="false">IFERROR(CE12/CE$15,"n/a")</f>
        <v>n/a</v>
      </c>
      <c r="CF56" s="403" t="str">
        <f aca="false">IFERROR(CF12/CF$15,"n/a")</f>
        <v>n/a</v>
      </c>
      <c r="CG56" s="403" t="str">
        <f aca="false">IFERROR(CG12/CG$15,"n/a")</f>
        <v>n/a</v>
      </c>
      <c r="CH56" s="403" t="str">
        <f aca="false">IFERROR(CH12/CH$15,"n/a")</f>
        <v>n/a</v>
      </c>
      <c r="CI56" s="403" t="str">
        <f aca="false">IFERROR(CI12/CI$15,"n/a")</f>
        <v>n/a</v>
      </c>
      <c r="CJ56" s="403" t="str">
        <f aca="false">IFERROR(CJ12/CJ$15,"n/a")</f>
        <v>n/a</v>
      </c>
      <c r="CK56" s="403" t="str">
        <f aca="false">IFERROR(CK12/CK$15,"n/a")</f>
        <v>n/a</v>
      </c>
    </row>
    <row r="57" s="143" customFormat="true" ht="11.25" hidden="false" customHeight="true" outlineLevel="2" collapsed="false">
      <c r="C57" s="51" t="str">
        <f aca="false">C13</f>
        <v>Dummy 2</v>
      </c>
      <c r="D57" s="51" t="str">
        <f aca="false">D13</f>
        <v>Dummy 2</v>
      </c>
      <c r="E57" s="51"/>
      <c r="F57" s="57" t="str">
        <f aca="false">IFERROR(F13/F$15,"n/a")</f>
        <v>n/a</v>
      </c>
      <c r="G57" s="57" t="str">
        <f aca="false">IFERROR(G13/G$15,"n/a")</f>
        <v>n/a</v>
      </c>
      <c r="H57" s="57" t="str">
        <f aca="false">IFERROR(H13/H$15,"n/a")</f>
        <v>n/a</v>
      </c>
      <c r="I57" s="57" t="str">
        <f aca="false">IFERROR(I13/I$15,"n/a")</f>
        <v>n/a</v>
      </c>
      <c r="J57" s="57" t="str">
        <f aca="false">IFERROR(J13/J$15,"n/a")</f>
        <v>n/a</v>
      </c>
      <c r="K57" s="57" t="str">
        <f aca="false">IFERROR(K13/K$15,"n/a")</f>
        <v>n/a</v>
      </c>
      <c r="L57" s="57" t="str">
        <f aca="false">IFERROR(L13/L$15,"n/a")</f>
        <v>n/a</v>
      </c>
      <c r="M57" s="57" t="str">
        <f aca="false">IFERROR(M13/M$15,"n/a")</f>
        <v>n/a</v>
      </c>
      <c r="N57" s="57" t="str">
        <f aca="false">IFERROR(N13/N$15,"n/a")</f>
        <v>n/a</v>
      </c>
      <c r="O57" s="57" t="str">
        <f aca="false">IFERROR(O13/O$15,"n/a")</f>
        <v>n/a</v>
      </c>
      <c r="P57" s="57" t="str">
        <f aca="false">IFERROR(P13/P$15,"n/a")</f>
        <v>n/a</v>
      </c>
      <c r="Q57" s="57" t="str">
        <f aca="false">IFERROR(Q13/Q$15,"n/a")</f>
        <v>n/a</v>
      </c>
      <c r="R57" s="57" t="str">
        <f aca="false">IFERROR(R13/R$15,"n/a")</f>
        <v>n/a</v>
      </c>
      <c r="S57" s="57" t="str">
        <f aca="false">IFERROR(S13/S$15,"n/a")</f>
        <v>n/a</v>
      </c>
      <c r="T57" s="57" t="str">
        <f aca="false">IFERROR(T13/T$15,"n/a")</f>
        <v>n/a</v>
      </c>
      <c r="U57" s="57" t="str">
        <f aca="false">IFERROR(U13/U$15,"n/a")</f>
        <v>n/a</v>
      </c>
      <c r="V57" s="57" t="str">
        <f aca="false">IFERROR(V13/V$15,"n/a")</f>
        <v>n/a</v>
      </c>
      <c r="W57" s="57" t="str">
        <f aca="false">IFERROR(W13/W$15,"n/a")</f>
        <v>n/a</v>
      </c>
      <c r="X57" s="57" t="str">
        <f aca="false">IFERROR(X13/X$15,"n/a")</f>
        <v>n/a</v>
      </c>
      <c r="Y57" s="57" t="str">
        <f aca="false">IFERROR(Y13/Y$15,"n/a")</f>
        <v>n/a</v>
      </c>
      <c r="Z57" s="57" t="str">
        <f aca="false">IFERROR(Z13/Z$15,"n/a")</f>
        <v>n/a</v>
      </c>
      <c r="AA57" s="57" t="str">
        <f aca="false">IFERROR(AA13/AA$15,"n/a")</f>
        <v>n/a</v>
      </c>
      <c r="AB57" s="57" t="str">
        <f aca="false">IFERROR(AB13/AB$15,"n/a")</f>
        <v>n/a</v>
      </c>
      <c r="AC57" s="57" t="str">
        <f aca="false">IFERROR(AC13/AC$15,"n/a")</f>
        <v>n/a</v>
      </c>
      <c r="AD57" s="57" t="str">
        <f aca="false">IFERROR(AD13/AD$15,"n/a")</f>
        <v>n/a</v>
      </c>
      <c r="AE57" s="57" t="str">
        <f aca="false">IFERROR(AE13/AE$15,"n/a")</f>
        <v>n/a</v>
      </c>
      <c r="AF57" s="57" t="str">
        <f aca="false">IFERROR(AF13/AF$15,"n/a")</f>
        <v>n/a</v>
      </c>
      <c r="AG57" s="57" t="str">
        <f aca="false">IFERROR(AG13/AG$15,"n/a")</f>
        <v>n/a</v>
      </c>
      <c r="AH57" s="57" t="str">
        <f aca="false">IFERROR(AH13/AH$15,"n/a")</f>
        <v>n/a</v>
      </c>
      <c r="AI57" s="57" t="str">
        <f aca="false">IFERROR(AI13/AI$15,"n/a")</f>
        <v>n/a</v>
      </c>
      <c r="AJ57" s="57" t="str">
        <f aca="false">IFERROR(AJ13/AJ$15,"n/a")</f>
        <v>n/a</v>
      </c>
      <c r="AK57" s="57" t="str">
        <f aca="false">IFERROR(AK13/AK$15,"n/a")</f>
        <v>n/a</v>
      </c>
      <c r="AL57" s="57" t="str">
        <f aca="false">IFERROR(AL13/AL$15,"n/a")</f>
        <v>n/a</v>
      </c>
      <c r="AM57" s="57" t="str">
        <f aca="false">IFERROR(AM13/AM$15,"n/a")</f>
        <v>n/a</v>
      </c>
      <c r="AN57" s="57" t="str">
        <f aca="false">IFERROR(AN13/AN$15,"n/a")</f>
        <v>n/a</v>
      </c>
      <c r="AO57" s="57" t="str">
        <f aca="false">IFERROR(AO13/AO$15,"n/a")</f>
        <v>n/a</v>
      </c>
      <c r="AP57" s="57" t="str">
        <f aca="false">IFERROR(AP13/AP$15,"n/a")</f>
        <v>n/a</v>
      </c>
      <c r="AQ57" s="57" t="str">
        <f aca="false">IFERROR(AQ13/AQ$15,"n/a")</f>
        <v>n/a</v>
      </c>
      <c r="AR57" s="57" t="str">
        <f aca="false">IFERROR(AR13/AR$15,"n/a")</f>
        <v>n/a</v>
      </c>
      <c r="AS57" s="57" t="str">
        <f aca="false">IFERROR(AS13/AS$15,"n/a")</f>
        <v>n/a</v>
      </c>
      <c r="AT57" s="57" t="str">
        <f aca="false">IFERROR(AT13/AT$15,"n/a")</f>
        <v>n/a</v>
      </c>
      <c r="AU57" s="403" t="str">
        <f aca="false">IFERROR(AU13/AU$15,"n/a")</f>
        <v>n/a</v>
      </c>
      <c r="AV57" s="403" t="str">
        <f aca="false">IFERROR(AV13/AV$15,"n/a")</f>
        <v>n/a</v>
      </c>
      <c r="AW57" s="403" t="str">
        <f aca="false">IFERROR(AW13/AW$15,"n/a")</f>
        <v>n/a</v>
      </c>
      <c r="AX57" s="403" t="str">
        <f aca="false">IFERROR(AX13/AX$15,"n/a")</f>
        <v>n/a</v>
      </c>
      <c r="AY57" s="403" t="str">
        <f aca="false">IFERROR(AY13/AY$15,"n/a")</f>
        <v>n/a</v>
      </c>
      <c r="AZ57" s="403" t="str">
        <f aca="false">IFERROR(AZ13/AZ$15,"n/a")</f>
        <v>n/a</v>
      </c>
      <c r="BA57" s="403" t="str">
        <f aca="false">IFERROR(BA13/BA$15,"n/a")</f>
        <v>n/a</v>
      </c>
      <c r="BB57" s="403" t="str">
        <f aca="false">IFERROR(BB13/BB$15,"n/a")</f>
        <v>n/a</v>
      </c>
      <c r="BC57" s="403" t="str">
        <f aca="false">IFERROR(BC13/BC$15,"n/a")</f>
        <v>n/a</v>
      </c>
      <c r="BD57" s="403" t="str">
        <f aca="false">IFERROR(BD13/BD$15,"n/a")</f>
        <v>n/a</v>
      </c>
      <c r="BE57" s="403" t="str">
        <f aca="false">IFERROR(BE13/BE$15,"n/a")</f>
        <v>n/a</v>
      </c>
      <c r="BF57" s="403" t="str">
        <f aca="false">IFERROR(BF13/BF$15,"n/a")</f>
        <v>n/a</v>
      </c>
      <c r="BG57" s="403" t="str">
        <f aca="false">IFERROR(BG13/BG$15,"n/a")</f>
        <v>n/a</v>
      </c>
      <c r="BH57" s="403" t="str">
        <f aca="false">IFERROR(BH13/BH$15,"n/a")</f>
        <v>n/a</v>
      </c>
      <c r="BI57" s="403" t="str">
        <f aca="false">IFERROR(BI13/BI$15,"n/a")</f>
        <v>n/a</v>
      </c>
      <c r="BJ57" s="403" t="str">
        <f aca="false">IFERROR(BJ13/BJ$15,"n/a")</f>
        <v>n/a</v>
      </c>
      <c r="BK57" s="403" t="str">
        <f aca="false">IFERROR(BK13/BK$15,"n/a")</f>
        <v>n/a</v>
      </c>
      <c r="BL57" s="403" t="str">
        <f aca="false">IFERROR(BL13/BL$15,"n/a")</f>
        <v>n/a</v>
      </c>
      <c r="BM57" s="403" t="str">
        <f aca="false">IFERROR(BM13/BM$15,"n/a")</f>
        <v>n/a</v>
      </c>
      <c r="BN57" s="403" t="str">
        <f aca="false">IFERROR(BN13/BN$15,"n/a")</f>
        <v>n/a</v>
      </c>
      <c r="BO57" s="403" t="str">
        <f aca="false">IFERROR(BO13/BO$15,"n/a")</f>
        <v>n/a</v>
      </c>
      <c r="BP57" s="403" t="str">
        <f aca="false">IFERROR(BP13/BP$15,"n/a")</f>
        <v>n/a</v>
      </c>
      <c r="BQ57" s="403" t="str">
        <f aca="false">IFERROR(BQ13/BQ$15,"n/a")</f>
        <v>n/a</v>
      </c>
      <c r="BR57" s="403" t="str">
        <f aca="false">IFERROR(BR13/BR$15,"n/a")</f>
        <v>n/a</v>
      </c>
      <c r="BS57" s="403" t="str">
        <f aca="false">IFERROR(BS13/BS$15,"n/a")</f>
        <v>n/a</v>
      </c>
      <c r="BT57" s="403" t="str">
        <f aca="false">IFERROR(BT13/BT$15,"n/a")</f>
        <v>n/a</v>
      </c>
      <c r="BU57" s="403" t="str">
        <f aca="false">IFERROR(BU13/BU$15,"n/a")</f>
        <v>n/a</v>
      </c>
      <c r="BV57" s="403" t="str">
        <f aca="false">IFERROR(BV13/BV$15,"n/a")</f>
        <v>n/a</v>
      </c>
      <c r="BW57" s="403" t="str">
        <f aca="false">IFERROR(BW13/BW$15,"n/a")</f>
        <v>n/a</v>
      </c>
      <c r="BX57" s="403" t="str">
        <f aca="false">IFERROR(BX13/BX$15,"n/a")</f>
        <v>n/a</v>
      </c>
      <c r="BY57" s="403" t="str">
        <f aca="false">IFERROR(BY13/BY$15,"n/a")</f>
        <v>n/a</v>
      </c>
      <c r="BZ57" s="403" t="str">
        <f aca="false">IFERROR(BZ13/BZ$15,"n/a")</f>
        <v>n/a</v>
      </c>
      <c r="CA57" s="403" t="str">
        <f aca="false">IFERROR(CA13/CA$15,"n/a")</f>
        <v>n/a</v>
      </c>
      <c r="CB57" s="403" t="str">
        <f aca="false">IFERROR(CB13/CB$15,"n/a")</f>
        <v>n/a</v>
      </c>
      <c r="CC57" s="403" t="str">
        <f aca="false">IFERROR(CC13/CC$15,"n/a")</f>
        <v>n/a</v>
      </c>
      <c r="CD57" s="403" t="str">
        <f aca="false">IFERROR(CD13/CD$15,"n/a")</f>
        <v>n/a</v>
      </c>
      <c r="CE57" s="403" t="str">
        <f aca="false">IFERROR(CE13/CE$15,"n/a")</f>
        <v>n/a</v>
      </c>
      <c r="CF57" s="403" t="str">
        <f aca="false">IFERROR(CF13/CF$15,"n/a")</f>
        <v>n/a</v>
      </c>
      <c r="CG57" s="403" t="str">
        <f aca="false">IFERROR(CG13/CG$15,"n/a")</f>
        <v>n/a</v>
      </c>
      <c r="CH57" s="403" t="str">
        <f aca="false">IFERROR(CH13/CH$15,"n/a")</f>
        <v>n/a</v>
      </c>
      <c r="CI57" s="403" t="str">
        <f aca="false">IFERROR(CI13/CI$15,"n/a")</f>
        <v>n/a</v>
      </c>
      <c r="CJ57" s="403" t="str">
        <f aca="false">IFERROR(CJ13/CJ$15,"n/a")</f>
        <v>n/a</v>
      </c>
      <c r="CK57" s="403" t="str">
        <f aca="false">IFERROR(CK13/CK$15,"n/a")</f>
        <v>n/a</v>
      </c>
    </row>
    <row r="58" s="143" customFormat="true" ht="11.25" hidden="false" customHeight="true" outlineLevel="2" collapsed="false">
      <c r="C58" s="51" t="str">
        <f aca="false">C14</f>
        <v>Dummy 3</v>
      </c>
      <c r="D58" s="51" t="str">
        <f aca="false">D14</f>
        <v>Dummy 3</v>
      </c>
      <c r="E58" s="51"/>
      <c r="F58" s="57" t="str">
        <f aca="false">IFERROR(F14/F$15,"n/a")</f>
        <v>n/a</v>
      </c>
      <c r="G58" s="57" t="str">
        <f aca="false">IFERROR(G14/G$15,"n/a")</f>
        <v>n/a</v>
      </c>
      <c r="H58" s="57" t="str">
        <f aca="false">IFERROR(H14/H$15,"n/a")</f>
        <v>n/a</v>
      </c>
      <c r="I58" s="57" t="str">
        <f aca="false">IFERROR(I14/I$15,"n/a")</f>
        <v>n/a</v>
      </c>
      <c r="J58" s="57" t="str">
        <f aca="false">IFERROR(J14/J$15,"n/a")</f>
        <v>n/a</v>
      </c>
      <c r="K58" s="57" t="str">
        <f aca="false">IFERROR(K14/K$15,"n/a")</f>
        <v>n/a</v>
      </c>
      <c r="L58" s="57" t="str">
        <f aca="false">IFERROR(L14/L$15,"n/a")</f>
        <v>n/a</v>
      </c>
      <c r="M58" s="57" t="str">
        <f aca="false">IFERROR(M14/M$15,"n/a")</f>
        <v>n/a</v>
      </c>
      <c r="N58" s="57" t="str">
        <f aca="false">IFERROR(N14/N$15,"n/a")</f>
        <v>n/a</v>
      </c>
      <c r="O58" s="57" t="str">
        <f aca="false">IFERROR(O14/O$15,"n/a")</f>
        <v>n/a</v>
      </c>
      <c r="P58" s="57" t="str">
        <f aca="false">IFERROR(P14/P$15,"n/a")</f>
        <v>n/a</v>
      </c>
      <c r="Q58" s="57" t="str">
        <f aca="false">IFERROR(Q14/Q$15,"n/a")</f>
        <v>n/a</v>
      </c>
      <c r="R58" s="57" t="str">
        <f aca="false">IFERROR(R14/R$15,"n/a")</f>
        <v>n/a</v>
      </c>
      <c r="S58" s="57" t="str">
        <f aca="false">IFERROR(S14/S$15,"n/a")</f>
        <v>n/a</v>
      </c>
      <c r="T58" s="57" t="str">
        <f aca="false">IFERROR(T14/T$15,"n/a")</f>
        <v>n/a</v>
      </c>
      <c r="U58" s="57" t="str">
        <f aca="false">IFERROR(U14/U$15,"n/a")</f>
        <v>n/a</v>
      </c>
      <c r="V58" s="57" t="str">
        <f aca="false">IFERROR(V14/V$15,"n/a")</f>
        <v>n/a</v>
      </c>
      <c r="W58" s="57" t="str">
        <f aca="false">IFERROR(W14/W$15,"n/a")</f>
        <v>n/a</v>
      </c>
      <c r="X58" s="57" t="str">
        <f aca="false">IFERROR(X14/X$15,"n/a")</f>
        <v>n/a</v>
      </c>
      <c r="Y58" s="57" t="str">
        <f aca="false">IFERROR(Y14/Y$15,"n/a")</f>
        <v>n/a</v>
      </c>
      <c r="Z58" s="57" t="str">
        <f aca="false">IFERROR(Z14/Z$15,"n/a")</f>
        <v>n/a</v>
      </c>
      <c r="AA58" s="57" t="str">
        <f aca="false">IFERROR(AA14/AA$15,"n/a")</f>
        <v>n/a</v>
      </c>
      <c r="AB58" s="57" t="str">
        <f aca="false">IFERROR(AB14/AB$15,"n/a")</f>
        <v>n/a</v>
      </c>
      <c r="AC58" s="57" t="str">
        <f aca="false">IFERROR(AC14/AC$15,"n/a")</f>
        <v>n/a</v>
      </c>
      <c r="AD58" s="57" t="str">
        <f aca="false">IFERROR(AD14/AD$15,"n/a")</f>
        <v>n/a</v>
      </c>
      <c r="AE58" s="57" t="str">
        <f aca="false">IFERROR(AE14/AE$15,"n/a")</f>
        <v>n/a</v>
      </c>
      <c r="AF58" s="57" t="str">
        <f aca="false">IFERROR(AF14/AF$15,"n/a")</f>
        <v>n/a</v>
      </c>
      <c r="AG58" s="57" t="str">
        <f aca="false">IFERROR(AG14/AG$15,"n/a")</f>
        <v>n/a</v>
      </c>
      <c r="AH58" s="57" t="str">
        <f aca="false">IFERROR(AH14/AH$15,"n/a")</f>
        <v>n/a</v>
      </c>
      <c r="AI58" s="57" t="str">
        <f aca="false">IFERROR(AI14/AI$15,"n/a")</f>
        <v>n/a</v>
      </c>
      <c r="AJ58" s="57" t="str">
        <f aca="false">IFERROR(AJ14/AJ$15,"n/a")</f>
        <v>n/a</v>
      </c>
      <c r="AK58" s="57" t="str">
        <f aca="false">IFERROR(AK14/AK$15,"n/a")</f>
        <v>n/a</v>
      </c>
      <c r="AL58" s="57" t="str">
        <f aca="false">IFERROR(AL14/AL$15,"n/a")</f>
        <v>n/a</v>
      </c>
      <c r="AM58" s="57" t="str">
        <f aca="false">IFERROR(AM14/AM$15,"n/a")</f>
        <v>n/a</v>
      </c>
      <c r="AN58" s="57" t="str">
        <f aca="false">IFERROR(AN14/AN$15,"n/a")</f>
        <v>n/a</v>
      </c>
      <c r="AO58" s="57" t="str">
        <f aca="false">IFERROR(AO14/AO$15,"n/a")</f>
        <v>n/a</v>
      </c>
      <c r="AP58" s="57" t="str">
        <f aca="false">IFERROR(AP14/AP$15,"n/a")</f>
        <v>n/a</v>
      </c>
      <c r="AQ58" s="57" t="str">
        <f aca="false">IFERROR(AQ14/AQ$15,"n/a")</f>
        <v>n/a</v>
      </c>
      <c r="AR58" s="57" t="str">
        <f aca="false">IFERROR(AR14/AR$15,"n/a")</f>
        <v>n/a</v>
      </c>
      <c r="AS58" s="57" t="str">
        <f aca="false">IFERROR(AS14/AS$15,"n/a")</f>
        <v>n/a</v>
      </c>
      <c r="AT58" s="57" t="str">
        <f aca="false">IFERROR(AT14/AT$15,"n/a")</f>
        <v>n/a</v>
      </c>
      <c r="AU58" s="403" t="str">
        <f aca="false">IFERROR(AU14/AU$15,"n/a")</f>
        <v>n/a</v>
      </c>
      <c r="AV58" s="403" t="str">
        <f aca="false">IFERROR(AV14/AV$15,"n/a")</f>
        <v>n/a</v>
      </c>
      <c r="AW58" s="403" t="str">
        <f aca="false">IFERROR(AW14/AW$15,"n/a")</f>
        <v>n/a</v>
      </c>
      <c r="AX58" s="403" t="str">
        <f aca="false">IFERROR(AX14/AX$15,"n/a")</f>
        <v>n/a</v>
      </c>
      <c r="AY58" s="403" t="str">
        <f aca="false">IFERROR(AY14/AY$15,"n/a")</f>
        <v>n/a</v>
      </c>
      <c r="AZ58" s="403" t="str">
        <f aca="false">IFERROR(AZ14/AZ$15,"n/a")</f>
        <v>n/a</v>
      </c>
      <c r="BA58" s="403" t="str">
        <f aca="false">IFERROR(BA14/BA$15,"n/a")</f>
        <v>n/a</v>
      </c>
      <c r="BB58" s="403" t="str">
        <f aca="false">IFERROR(BB14/BB$15,"n/a")</f>
        <v>n/a</v>
      </c>
      <c r="BC58" s="403" t="str">
        <f aca="false">IFERROR(BC14/BC$15,"n/a")</f>
        <v>n/a</v>
      </c>
      <c r="BD58" s="403" t="str">
        <f aca="false">IFERROR(BD14/BD$15,"n/a")</f>
        <v>n/a</v>
      </c>
      <c r="BE58" s="403" t="str">
        <f aca="false">IFERROR(BE14/BE$15,"n/a")</f>
        <v>n/a</v>
      </c>
      <c r="BF58" s="403" t="str">
        <f aca="false">IFERROR(BF14/BF$15,"n/a")</f>
        <v>n/a</v>
      </c>
      <c r="BG58" s="403" t="str">
        <f aca="false">IFERROR(BG14/BG$15,"n/a")</f>
        <v>n/a</v>
      </c>
      <c r="BH58" s="403" t="str">
        <f aca="false">IFERROR(BH14/BH$15,"n/a")</f>
        <v>n/a</v>
      </c>
      <c r="BI58" s="403" t="str">
        <f aca="false">IFERROR(BI14/BI$15,"n/a")</f>
        <v>n/a</v>
      </c>
      <c r="BJ58" s="403" t="str">
        <f aca="false">IFERROR(BJ14/BJ$15,"n/a")</f>
        <v>n/a</v>
      </c>
      <c r="BK58" s="403" t="str">
        <f aca="false">IFERROR(BK14/BK$15,"n/a")</f>
        <v>n/a</v>
      </c>
      <c r="BL58" s="403" t="str">
        <f aca="false">IFERROR(BL14/BL$15,"n/a")</f>
        <v>n/a</v>
      </c>
      <c r="BM58" s="403" t="str">
        <f aca="false">IFERROR(BM14/BM$15,"n/a")</f>
        <v>n/a</v>
      </c>
      <c r="BN58" s="403" t="str">
        <f aca="false">IFERROR(BN14/BN$15,"n/a")</f>
        <v>n/a</v>
      </c>
      <c r="BO58" s="403" t="str">
        <f aca="false">IFERROR(BO14/BO$15,"n/a")</f>
        <v>n/a</v>
      </c>
      <c r="BP58" s="403" t="str">
        <f aca="false">IFERROR(BP14/BP$15,"n/a")</f>
        <v>n/a</v>
      </c>
      <c r="BQ58" s="403" t="str">
        <f aca="false">IFERROR(BQ14/BQ$15,"n/a")</f>
        <v>n/a</v>
      </c>
      <c r="BR58" s="403" t="str">
        <f aca="false">IFERROR(BR14/BR$15,"n/a")</f>
        <v>n/a</v>
      </c>
      <c r="BS58" s="403" t="str">
        <f aca="false">IFERROR(BS14/BS$15,"n/a")</f>
        <v>n/a</v>
      </c>
      <c r="BT58" s="403" t="str">
        <f aca="false">IFERROR(BT14/BT$15,"n/a")</f>
        <v>n/a</v>
      </c>
      <c r="BU58" s="403" t="str">
        <f aca="false">IFERROR(BU14/BU$15,"n/a")</f>
        <v>n/a</v>
      </c>
      <c r="BV58" s="403" t="str">
        <f aca="false">IFERROR(BV14/BV$15,"n/a")</f>
        <v>n/a</v>
      </c>
      <c r="BW58" s="403" t="str">
        <f aca="false">IFERROR(BW14/BW$15,"n/a")</f>
        <v>n/a</v>
      </c>
      <c r="BX58" s="403" t="str">
        <f aca="false">IFERROR(BX14/BX$15,"n/a")</f>
        <v>n/a</v>
      </c>
      <c r="BY58" s="403" t="str">
        <f aca="false">IFERROR(BY14/BY$15,"n/a")</f>
        <v>n/a</v>
      </c>
      <c r="BZ58" s="403" t="str">
        <f aca="false">IFERROR(BZ14/BZ$15,"n/a")</f>
        <v>n/a</v>
      </c>
      <c r="CA58" s="403" t="str">
        <f aca="false">IFERROR(CA14/CA$15,"n/a")</f>
        <v>n/a</v>
      </c>
      <c r="CB58" s="403" t="str">
        <f aca="false">IFERROR(CB14/CB$15,"n/a")</f>
        <v>n/a</v>
      </c>
      <c r="CC58" s="403" t="str">
        <f aca="false">IFERROR(CC14/CC$15,"n/a")</f>
        <v>n/a</v>
      </c>
      <c r="CD58" s="403" t="str">
        <f aca="false">IFERROR(CD14/CD$15,"n/a")</f>
        <v>n/a</v>
      </c>
      <c r="CE58" s="403" t="str">
        <f aca="false">IFERROR(CE14/CE$15,"n/a")</f>
        <v>n/a</v>
      </c>
      <c r="CF58" s="403" t="str">
        <f aca="false">IFERROR(CF14/CF$15,"n/a")</f>
        <v>n/a</v>
      </c>
      <c r="CG58" s="403" t="str">
        <f aca="false">IFERROR(CG14/CG$15,"n/a")</f>
        <v>n/a</v>
      </c>
      <c r="CH58" s="403" t="str">
        <f aca="false">IFERROR(CH14/CH$15,"n/a")</f>
        <v>n/a</v>
      </c>
      <c r="CI58" s="403" t="str">
        <f aca="false">IFERROR(CI14/CI$15,"n/a")</f>
        <v>n/a</v>
      </c>
      <c r="CJ58" s="403" t="str">
        <f aca="false">IFERROR(CJ14/CJ$15,"n/a")</f>
        <v>n/a</v>
      </c>
      <c r="CK58" s="403" t="str">
        <f aca="false">IFERROR(CK14/CK$15,"n/a")</f>
        <v>n/a</v>
      </c>
    </row>
    <row r="59" s="143" customFormat="true" ht="11.25" hidden="false" customHeight="true" outlineLevel="0" collapsed="false">
      <c r="C59" s="132" t="str">
        <f aca="false">C15</f>
        <v>Gesamtleistung</v>
      </c>
      <c r="D59" s="132" t="str">
        <f aca="false">D15</f>
        <v>Total output</v>
      </c>
      <c r="E59" s="132"/>
      <c r="F59" s="144" t="str">
        <f aca="false">IFERROR(F15/F$15,"n/a")</f>
        <v>n/a</v>
      </c>
      <c r="G59" s="144" t="str">
        <f aca="false">IFERROR(G15/G$15,"n/a")</f>
        <v>n/a</v>
      </c>
      <c r="H59" s="144" t="str">
        <f aca="false">IFERROR(H15/H$15,"n/a")</f>
        <v>n/a</v>
      </c>
      <c r="I59" s="144" t="str">
        <f aca="false">IFERROR(I15/I$15,"n/a")</f>
        <v>n/a</v>
      </c>
      <c r="J59" s="144" t="str">
        <f aca="false">IFERROR(J15/J$15,"n/a")</f>
        <v>n/a</v>
      </c>
      <c r="K59" s="144" t="str">
        <f aca="false">IFERROR(K15/K$15,"n/a")</f>
        <v>n/a</v>
      </c>
      <c r="L59" s="144" t="str">
        <f aca="false">IFERROR(L15/L$15,"n/a")</f>
        <v>n/a</v>
      </c>
      <c r="M59" s="144" t="str">
        <f aca="false">IFERROR(M15/M$15,"n/a")</f>
        <v>n/a</v>
      </c>
      <c r="N59" s="144" t="str">
        <f aca="false">IFERROR(N15/N$15,"n/a")</f>
        <v>n/a</v>
      </c>
      <c r="O59" s="144" t="str">
        <f aca="false">IFERROR(O15/O$15,"n/a")</f>
        <v>n/a</v>
      </c>
      <c r="P59" s="144" t="str">
        <f aca="false">IFERROR(P15/P$15,"n/a")</f>
        <v>n/a</v>
      </c>
      <c r="Q59" s="144" t="str">
        <f aca="false">IFERROR(Q15/Q$15,"n/a")</f>
        <v>n/a</v>
      </c>
      <c r="R59" s="144" t="str">
        <f aca="false">IFERROR(R15/R$15,"n/a")</f>
        <v>n/a</v>
      </c>
      <c r="S59" s="144" t="str">
        <f aca="false">IFERROR(S15/S$15,"n/a")</f>
        <v>n/a</v>
      </c>
      <c r="T59" s="144" t="str">
        <f aca="false">IFERROR(T15/T$15,"n/a")</f>
        <v>n/a</v>
      </c>
      <c r="U59" s="144" t="str">
        <f aca="false">IFERROR(U15/U$15,"n/a")</f>
        <v>n/a</v>
      </c>
      <c r="V59" s="144" t="str">
        <f aca="false">IFERROR(V15/V$15,"n/a")</f>
        <v>n/a</v>
      </c>
      <c r="W59" s="144" t="str">
        <f aca="false">IFERROR(W15/W$15,"n/a")</f>
        <v>n/a</v>
      </c>
      <c r="X59" s="144" t="str">
        <f aca="false">IFERROR(X15/X$15,"n/a")</f>
        <v>n/a</v>
      </c>
      <c r="Y59" s="144" t="str">
        <f aca="false">IFERROR(Y15/Y$15,"n/a")</f>
        <v>n/a</v>
      </c>
      <c r="Z59" s="144" t="str">
        <f aca="false">IFERROR(Z15/Z$15,"n/a")</f>
        <v>n/a</v>
      </c>
      <c r="AA59" s="144" t="str">
        <f aca="false">IFERROR(AA15/AA$15,"n/a")</f>
        <v>n/a</v>
      </c>
      <c r="AB59" s="144" t="str">
        <f aca="false">IFERROR(AB15/AB$15,"n/a")</f>
        <v>n/a</v>
      </c>
      <c r="AC59" s="144" t="str">
        <f aca="false">IFERROR(AC15/AC$15,"n/a")</f>
        <v>n/a</v>
      </c>
      <c r="AD59" s="144" t="str">
        <f aca="false">IFERROR(AD15/AD$15,"n/a")</f>
        <v>n/a</v>
      </c>
      <c r="AE59" s="144" t="str">
        <f aca="false">IFERROR(AE15/AE$15,"n/a")</f>
        <v>n/a</v>
      </c>
      <c r="AF59" s="144" t="str">
        <f aca="false">IFERROR(AF15/AF$15,"n/a")</f>
        <v>n/a</v>
      </c>
      <c r="AG59" s="144" t="str">
        <f aca="false">IFERROR(AG15/AG$15,"n/a")</f>
        <v>n/a</v>
      </c>
      <c r="AH59" s="144" t="str">
        <f aca="false">IFERROR(AH15/AH$15,"n/a")</f>
        <v>n/a</v>
      </c>
      <c r="AI59" s="144" t="str">
        <f aca="false">IFERROR(AI15/AI$15,"n/a")</f>
        <v>n/a</v>
      </c>
      <c r="AJ59" s="144" t="str">
        <f aca="false">IFERROR(AJ15/AJ$15,"n/a")</f>
        <v>n/a</v>
      </c>
      <c r="AK59" s="144" t="str">
        <f aca="false">IFERROR(AK15/AK$15,"n/a")</f>
        <v>n/a</v>
      </c>
      <c r="AL59" s="144" t="str">
        <f aca="false">IFERROR(AL15/AL$15,"n/a")</f>
        <v>n/a</v>
      </c>
      <c r="AM59" s="144" t="str">
        <f aca="false">IFERROR(AM15/AM$15,"n/a")</f>
        <v>n/a</v>
      </c>
      <c r="AN59" s="144" t="str">
        <f aca="false">IFERROR(AN15/AN$15,"n/a")</f>
        <v>n/a</v>
      </c>
      <c r="AO59" s="144" t="str">
        <f aca="false">IFERROR(AO15/AO$15,"n/a")</f>
        <v>n/a</v>
      </c>
      <c r="AP59" s="144" t="str">
        <f aca="false">IFERROR(AP15/AP$15,"n/a")</f>
        <v>n/a</v>
      </c>
      <c r="AQ59" s="144" t="str">
        <f aca="false">IFERROR(AQ15/AQ$15,"n/a")</f>
        <v>n/a</v>
      </c>
      <c r="AR59" s="144" t="str">
        <f aca="false">IFERROR(AR15/AR$15,"n/a")</f>
        <v>n/a</v>
      </c>
      <c r="AS59" s="144" t="str">
        <f aca="false">IFERROR(AS15/AS$15,"n/a")</f>
        <v>n/a</v>
      </c>
      <c r="AT59" s="144" t="str">
        <f aca="false">IFERROR(AT15/AT$15,"n/a")</f>
        <v>n/a</v>
      </c>
      <c r="AU59" s="404" t="str">
        <f aca="false">IFERROR(AU15/AU$15,"n/a")</f>
        <v>n/a</v>
      </c>
      <c r="AV59" s="404" t="str">
        <f aca="false">IFERROR(AV15/AV$15,"n/a")</f>
        <v>n/a</v>
      </c>
      <c r="AW59" s="404" t="str">
        <f aca="false">IFERROR(AW15/AW$15,"n/a")</f>
        <v>n/a</v>
      </c>
      <c r="AX59" s="404" t="str">
        <f aca="false">IFERROR(AX15/AX$15,"n/a")</f>
        <v>n/a</v>
      </c>
      <c r="AY59" s="404" t="str">
        <f aca="false">IFERROR(AY15/AY$15,"n/a")</f>
        <v>n/a</v>
      </c>
      <c r="AZ59" s="404" t="str">
        <f aca="false">IFERROR(AZ15/AZ$15,"n/a")</f>
        <v>n/a</v>
      </c>
      <c r="BA59" s="404" t="str">
        <f aca="false">IFERROR(BA15/BA$15,"n/a")</f>
        <v>n/a</v>
      </c>
      <c r="BB59" s="404" t="str">
        <f aca="false">IFERROR(BB15/BB$15,"n/a")</f>
        <v>n/a</v>
      </c>
      <c r="BC59" s="404" t="str">
        <f aca="false">IFERROR(BC15/BC$15,"n/a")</f>
        <v>n/a</v>
      </c>
      <c r="BD59" s="404" t="str">
        <f aca="false">IFERROR(BD15/BD$15,"n/a")</f>
        <v>n/a</v>
      </c>
      <c r="BE59" s="404" t="str">
        <f aca="false">IFERROR(BE15/BE$15,"n/a")</f>
        <v>n/a</v>
      </c>
      <c r="BF59" s="404" t="str">
        <f aca="false">IFERROR(BF15/BF$15,"n/a")</f>
        <v>n/a</v>
      </c>
      <c r="BG59" s="404" t="str">
        <f aca="false">IFERROR(BG15/BG$15,"n/a")</f>
        <v>n/a</v>
      </c>
      <c r="BH59" s="404" t="str">
        <f aca="false">IFERROR(BH15/BH$15,"n/a")</f>
        <v>n/a</v>
      </c>
      <c r="BI59" s="404" t="str">
        <f aca="false">IFERROR(BI15/BI$15,"n/a")</f>
        <v>n/a</v>
      </c>
      <c r="BJ59" s="404" t="str">
        <f aca="false">IFERROR(BJ15/BJ$15,"n/a")</f>
        <v>n/a</v>
      </c>
      <c r="BK59" s="404" t="str">
        <f aca="false">IFERROR(BK15/BK$15,"n/a")</f>
        <v>n/a</v>
      </c>
      <c r="BL59" s="404" t="str">
        <f aca="false">IFERROR(BL15/BL$15,"n/a")</f>
        <v>n/a</v>
      </c>
      <c r="BM59" s="404" t="str">
        <f aca="false">IFERROR(BM15/BM$15,"n/a")</f>
        <v>n/a</v>
      </c>
      <c r="BN59" s="404" t="str">
        <f aca="false">IFERROR(BN15/BN$15,"n/a")</f>
        <v>n/a</v>
      </c>
      <c r="BO59" s="404" t="str">
        <f aca="false">IFERROR(BO15/BO$15,"n/a")</f>
        <v>n/a</v>
      </c>
      <c r="BP59" s="404" t="str">
        <f aca="false">IFERROR(BP15/BP$15,"n/a")</f>
        <v>n/a</v>
      </c>
      <c r="BQ59" s="404" t="str">
        <f aca="false">IFERROR(BQ15/BQ$15,"n/a")</f>
        <v>n/a</v>
      </c>
      <c r="BR59" s="404" t="str">
        <f aca="false">IFERROR(BR15/BR$15,"n/a")</f>
        <v>n/a</v>
      </c>
      <c r="BS59" s="404" t="str">
        <f aca="false">IFERROR(BS15/BS$15,"n/a")</f>
        <v>n/a</v>
      </c>
      <c r="BT59" s="404" t="str">
        <f aca="false">IFERROR(BT15/BT$15,"n/a")</f>
        <v>n/a</v>
      </c>
      <c r="BU59" s="404" t="str">
        <f aca="false">IFERROR(BU15/BU$15,"n/a")</f>
        <v>n/a</v>
      </c>
      <c r="BV59" s="404" t="str">
        <f aca="false">IFERROR(BV15/BV$15,"n/a")</f>
        <v>n/a</v>
      </c>
      <c r="BW59" s="404" t="str">
        <f aca="false">IFERROR(BW15/BW$15,"n/a")</f>
        <v>n/a</v>
      </c>
      <c r="BX59" s="404" t="str">
        <f aca="false">IFERROR(BX15/BX$15,"n/a")</f>
        <v>n/a</v>
      </c>
      <c r="BY59" s="404" t="str">
        <f aca="false">IFERROR(BY15/BY$15,"n/a")</f>
        <v>n/a</v>
      </c>
      <c r="BZ59" s="404" t="str">
        <f aca="false">IFERROR(BZ15/BZ$15,"n/a")</f>
        <v>n/a</v>
      </c>
      <c r="CA59" s="404" t="str">
        <f aca="false">IFERROR(CA15/CA$15,"n/a")</f>
        <v>n/a</v>
      </c>
      <c r="CB59" s="404" t="str">
        <f aca="false">IFERROR(CB15/CB$15,"n/a")</f>
        <v>n/a</v>
      </c>
      <c r="CC59" s="404" t="str">
        <f aca="false">IFERROR(CC15/CC$15,"n/a")</f>
        <v>n/a</v>
      </c>
      <c r="CD59" s="404" t="str">
        <f aca="false">IFERROR(CD15/CD$15,"n/a")</f>
        <v>n/a</v>
      </c>
      <c r="CE59" s="404" t="str">
        <f aca="false">IFERROR(CE15/CE$15,"n/a")</f>
        <v>n/a</v>
      </c>
      <c r="CF59" s="404" t="str">
        <f aca="false">IFERROR(CF15/CF$15,"n/a")</f>
        <v>n/a</v>
      </c>
      <c r="CG59" s="404" t="str">
        <f aca="false">IFERROR(CG15/CG$15,"n/a")</f>
        <v>n/a</v>
      </c>
      <c r="CH59" s="404" t="str">
        <f aca="false">IFERROR(CH15/CH$15,"n/a")</f>
        <v>n/a</v>
      </c>
      <c r="CI59" s="404" t="str">
        <f aca="false">IFERROR(CI15/CI$15,"n/a")</f>
        <v>n/a</v>
      </c>
      <c r="CJ59" s="404" t="str">
        <f aca="false">IFERROR(CJ15/CJ$15,"n/a")</f>
        <v>n/a</v>
      </c>
      <c r="CK59" s="404" t="str">
        <f aca="false">IFERROR(CK15/CK$15,"n/a")</f>
        <v>n/a</v>
      </c>
    </row>
    <row r="60" s="143" customFormat="true" ht="11.25" hidden="false" customHeight="true" outlineLevel="0" collapsed="false">
      <c r="C60" s="51" t="str">
        <f aca="false">C16</f>
        <v>Materialaufwand</v>
      </c>
      <c r="D60" s="51" t="str">
        <f aca="false">D16</f>
        <v>Cost of materials</v>
      </c>
      <c r="E60" s="51"/>
      <c r="F60" s="57" t="str">
        <f aca="false">IFERROR(F16/F$15,"n/a")</f>
        <v>n/a</v>
      </c>
      <c r="G60" s="57" t="str">
        <f aca="false">IFERROR(G16/G$15,"n/a")</f>
        <v>n/a</v>
      </c>
      <c r="H60" s="57" t="str">
        <f aca="false">IFERROR(H16/H$15,"n/a")</f>
        <v>n/a</v>
      </c>
      <c r="I60" s="57" t="str">
        <f aca="false">IFERROR(I16/I$15,"n/a")</f>
        <v>n/a</v>
      </c>
      <c r="J60" s="57" t="str">
        <f aca="false">IFERROR(J16/J$15,"n/a")</f>
        <v>n/a</v>
      </c>
      <c r="K60" s="57" t="str">
        <f aca="false">IFERROR(K16/K$15,"n/a")</f>
        <v>n/a</v>
      </c>
      <c r="L60" s="57" t="str">
        <f aca="false">IFERROR(L16/L$15,"n/a")</f>
        <v>n/a</v>
      </c>
      <c r="M60" s="57" t="str">
        <f aca="false">IFERROR(M16/M$15,"n/a")</f>
        <v>n/a</v>
      </c>
      <c r="N60" s="57" t="str">
        <f aca="false">IFERROR(N16/N$15,"n/a")</f>
        <v>n/a</v>
      </c>
      <c r="O60" s="57" t="str">
        <f aca="false">IFERROR(O16/O$15,"n/a")</f>
        <v>n/a</v>
      </c>
      <c r="P60" s="57" t="str">
        <f aca="false">IFERROR(P16/P$15,"n/a")</f>
        <v>n/a</v>
      </c>
      <c r="Q60" s="57" t="str">
        <f aca="false">IFERROR(Q16/Q$15,"n/a")</f>
        <v>n/a</v>
      </c>
      <c r="R60" s="57" t="str">
        <f aca="false">IFERROR(R16/R$15,"n/a")</f>
        <v>n/a</v>
      </c>
      <c r="S60" s="57" t="str">
        <f aca="false">IFERROR(S16/S$15,"n/a")</f>
        <v>n/a</v>
      </c>
      <c r="T60" s="57" t="str">
        <f aca="false">IFERROR(T16/T$15,"n/a")</f>
        <v>n/a</v>
      </c>
      <c r="U60" s="57" t="str">
        <f aca="false">IFERROR(U16/U$15,"n/a")</f>
        <v>n/a</v>
      </c>
      <c r="V60" s="57" t="str">
        <f aca="false">IFERROR(V16/V$15,"n/a")</f>
        <v>n/a</v>
      </c>
      <c r="W60" s="57" t="str">
        <f aca="false">IFERROR(W16/W$15,"n/a")</f>
        <v>n/a</v>
      </c>
      <c r="X60" s="57" t="str">
        <f aca="false">IFERROR(X16/X$15,"n/a")</f>
        <v>n/a</v>
      </c>
      <c r="Y60" s="57" t="str">
        <f aca="false">IFERROR(Y16/Y$15,"n/a")</f>
        <v>n/a</v>
      </c>
      <c r="Z60" s="57" t="str">
        <f aca="false">IFERROR(Z16/Z$15,"n/a")</f>
        <v>n/a</v>
      </c>
      <c r="AA60" s="57" t="str">
        <f aca="false">IFERROR(AA16/AA$15,"n/a")</f>
        <v>n/a</v>
      </c>
      <c r="AB60" s="57" t="str">
        <f aca="false">IFERROR(AB16/AB$15,"n/a")</f>
        <v>n/a</v>
      </c>
      <c r="AC60" s="57" t="str">
        <f aca="false">IFERROR(AC16/AC$15,"n/a")</f>
        <v>n/a</v>
      </c>
      <c r="AD60" s="57" t="str">
        <f aca="false">IFERROR(AD16/AD$15,"n/a")</f>
        <v>n/a</v>
      </c>
      <c r="AE60" s="57" t="str">
        <f aca="false">IFERROR(AE16/AE$15,"n/a")</f>
        <v>n/a</v>
      </c>
      <c r="AF60" s="57" t="str">
        <f aca="false">IFERROR(AF16/AF$15,"n/a")</f>
        <v>n/a</v>
      </c>
      <c r="AG60" s="57" t="str">
        <f aca="false">IFERROR(AG16/AG$15,"n/a")</f>
        <v>n/a</v>
      </c>
      <c r="AH60" s="57" t="str">
        <f aca="false">IFERROR(AH16/AH$15,"n/a")</f>
        <v>n/a</v>
      </c>
      <c r="AI60" s="57" t="str">
        <f aca="false">IFERROR(AI16/AI$15,"n/a")</f>
        <v>n/a</v>
      </c>
      <c r="AJ60" s="57" t="str">
        <f aca="false">IFERROR(AJ16/AJ$15,"n/a")</f>
        <v>n/a</v>
      </c>
      <c r="AK60" s="57" t="str">
        <f aca="false">IFERROR(AK16/AK$15,"n/a")</f>
        <v>n/a</v>
      </c>
      <c r="AL60" s="57" t="str">
        <f aca="false">IFERROR(AL16/AL$15,"n/a")</f>
        <v>n/a</v>
      </c>
      <c r="AM60" s="57" t="str">
        <f aca="false">IFERROR(AM16/AM$15,"n/a")</f>
        <v>n/a</v>
      </c>
      <c r="AN60" s="57" t="str">
        <f aca="false">IFERROR(AN16/AN$15,"n/a")</f>
        <v>n/a</v>
      </c>
      <c r="AO60" s="57" t="str">
        <f aca="false">IFERROR(AO16/AO$15,"n/a")</f>
        <v>n/a</v>
      </c>
      <c r="AP60" s="57" t="str">
        <f aca="false">IFERROR(AP16/AP$15,"n/a")</f>
        <v>n/a</v>
      </c>
      <c r="AQ60" s="57" t="str">
        <f aca="false">IFERROR(AQ16/AQ$15,"n/a")</f>
        <v>n/a</v>
      </c>
      <c r="AR60" s="57" t="str">
        <f aca="false">IFERROR(AR16/AR$15,"n/a")</f>
        <v>n/a</v>
      </c>
      <c r="AS60" s="57" t="str">
        <f aca="false">IFERROR(AS16/AS$15,"n/a")</f>
        <v>n/a</v>
      </c>
      <c r="AT60" s="57" t="str">
        <f aca="false">IFERROR(AT16/AT$15,"n/a")</f>
        <v>n/a</v>
      </c>
      <c r="AU60" s="403" t="str">
        <f aca="false">IFERROR(AU16/AU$15,"n/a")</f>
        <v>n/a</v>
      </c>
      <c r="AV60" s="403" t="str">
        <f aca="false">IFERROR(AV16/AV$15,"n/a")</f>
        <v>n/a</v>
      </c>
      <c r="AW60" s="403" t="str">
        <f aca="false">IFERROR(AW16/AW$15,"n/a")</f>
        <v>n/a</v>
      </c>
      <c r="AX60" s="403" t="str">
        <f aca="false">IFERROR(AX16/AX$15,"n/a")</f>
        <v>n/a</v>
      </c>
      <c r="AY60" s="403" t="str">
        <f aca="false">IFERROR(AY16/AY$15,"n/a")</f>
        <v>n/a</v>
      </c>
      <c r="AZ60" s="403" t="str">
        <f aca="false">IFERROR(AZ16/AZ$15,"n/a")</f>
        <v>n/a</v>
      </c>
      <c r="BA60" s="403" t="str">
        <f aca="false">IFERROR(BA16/BA$15,"n/a")</f>
        <v>n/a</v>
      </c>
      <c r="BB60" s="403" t="str">
        <f aca="false">IFERROR(BB16/BB$15,"n/a")</f>
        <v>n/a</v>
      </c>
      <c r="BC60" s="403" t="str">
        <f aca="false">IFERROR(BC16/BC$15,"n/a")</f>
        <v>n/a</v>
      </c>
      <c r="BD60" s="403" t="str">
        <f aca="false">IFERROR(BD16/BD$15,"n/a")</f>
        <v>n/a</v>
      </c>
      <c r="BE60" s="403" t="str">
        <f aca="false">IFERROR(BE16/BE$15,"n/a")</f>
        <v>n/a</v>
      </c>
      <c r="BF60" s="403" t="str">
        <f aca="false">IFERROR(BF16/BF$15,"n/a")</f>
        <v>n/a</v>
      </c>
      <c r="BG60" s="403" t="str">
        <f aca="false">IFERROR(BG16/BG$15,"n/a")</f>
        <v>n/a</v>
      </c>
      <c r="BH60" s="403" t="str">
        <f aca="false">IFERROR(BH16/BH$15,"n/a")</f>
        <v>n/a</v>
      </c>
      <c r="BI60" s="403" t="str">
        <f aca="false">IFERROR(BI16/BI$15,"n/a")</f>
        <v>n/a</v>
      </c>
      <c r="BJ60" s="403" t="str">
        <f aca="false">IFERROR(BJ16/BJ$15,"n/a")</f>
        <v>n/a</v>
      </c>
      <c r="BK60" s="403" t="str">
        <f aca="false">IFERROR(BK16/BK$15,"n/a")</f>
        <v>n/a</v>
      </c>
      <c r="BL60" s="403" t="str">
        <f aca="false">IFERROR(BL16/BL$15,"n/a")</f>
        <v>n/a</v>
      </c>
      <c r="BM60" s="403" t="str">
        <f aca="false">IFERROR(BM16/BM$15,"n/a")</f>
        <v>n/a</v>
      </c>
      <c r="BN60" s="403" t="str">
        <f aca="false">IFERROR(BN16/BN$15,"n/a")</f>
        <v>n/a</v>
      </c>
      <c r="BO60" s="403" t="str">
        <f aca="false">IFERROR(BO16/BO$15,"n/a")</f>
        <v>n/a</v>
      </c>
      <c r="BP60" s="403" t="str">
        <f aca="false">IFERROR(BP16/BP$15,"n/a")</f>
        <v>n/a</v>
      </c>
      <c r="BQ60" s="403" t="str">
        <f aca="false">IFERROR(BQ16/BQ$15,"n/a")</f>
        <v>n/a</v>
      </c>
      <c r="BR60" s="403" t="str">
        <f aca="false">IFERROR(BR16/BR$15,"n/a")</f>
        <v>n/a</v>
      </c>
      <c r="BS60" s="403" t="str">
        <f aca="false">IFERROR(BS16/BS$15,"n/a")</f>
        <v>n/a</v>
      </c>
      <c r="BT60" s="403" t="str">
        <f aca="false">IFERROR(BT16/BT$15,"n/a")</f>
        <v>n/a</v>
      </c>
      <c r="BU60" s="403" t="str">
        <f aca="false">IFERROR(BU16/BU$15,"n/a")</f>
        <v>n/a</v>
      </c>
      <c r="BV60" s="403" t="str">
        <f aca="false">IFERROR(BV16/BV$15,"n/a")</f>
        <v>n/a</v>
      </c>
      <c r="BW60" s="403" t="str">
        <f aca="false">IFERROR(BW16/BW$15,"n/a")</f>
        <v>n/a</v>
      </c>
      <c r="BX60" s="403" t="str">
        <f aca="false">IFERROR(BX16/BX$15,"n/a")</f>
        <v>n/a</v>
      </c>
      <c r="BY60" s="403" t="str">
        <f aca="false">IFERROR(BY16/BY$15,"n/a")</f>
        <v>n/a</v>
      </c>
      <c r="BZ60" s="403" t="str">
        <f aca="false">IFERROR(BZ16/BZ$15,"n/a")</f>
        <v>n/a</v>
      </c>
      <c r="CA60" s="403" t="str">
        <f aca="false">IFERROR(CA16/CA$15,"n/a")</f>
        <v>n/a</v>
      </c>
      <c r="CB60" s="403" t="str">
        <f aca="false">IFERROR(CB16/CB$15,"n/a")</f>
        <v>n/a</v>
      </c>
      <c r="CC60" s="403" t="str">
        <f aca="false">IFERROR(CC16/CC$15,"n/a")</f>
        <v>n/a</v>
      </c>
      <c r="CD60" s="403" t="str">
        <f aca="false">IFERROR(CD16/CD$15,"n/a")</f>
        <v>n/a</v>
      </c>
      <c r="CE60" s="403" t="str">
        <f aca="false">IFERROR(CE16/CE$15,"n/a")</f>
        <v>n/a</v>
      </c>
      <c r="CF60" s="403" t="str">
        <f aca="false">IFERROR(CF16/CF$15,"n/a")</f>
        <v>n/a</v>
      </c>
      <c r="CG60" s="403" t="str">
        <f aca="false">IFERROR(CG16/CG$15,"n/a")</f>
        <v>n/a</v>
      </c>
      <c r="CH60" s="403" t="str">
        <f aca="false">IFERROR(CH16/CH$15,"n/a")</f>
        <v>n/a</v>
      </c>
      <c r="CI60" s="403" t="str">
        <f aca="false">IFERROR(CI16/CI$15,"n/a")</f>
        <v>n/a</v>
      </c>
      <c r="CJ60" s="403" t="str">
        <f aca="false">IFERROR(CJ16/CJ$15,"n/a")</f>
        <v>n/a</v>
      </c>
      <c r="CK60" s="403" t="str">
        <f aca="false">IFERROR(CK16/CK$15,"n/a")</f>
        <v>n/a</v>
      </c>
    </row>
    <row r="61" s="143" customFormat="true" ht="11.25" hidden="false" customHeight="true" outlineLevel="2" collapsed="false">
      <c r="C61" s="51" t="str">
        <f aca="false">C17</f>
        <v>Dummy 1</v>
      </c>
      <c r="D61" s="51" t="str">
        <f aca="false">D17</f>
        <v>Dummy 1</v>
      </c>
      <c r="E61" s="51"/>
      <c r="F61" s="57" t="str">
        <f aca="false">IFERROR(F17/F$15,"n/a")</f>
        <v>n/a</v>
      </c>
      <c r="G61" s="57" t="str">
        <f aca="false">IFERROR(G17/G$15,"n/a")</f>
        <v>n/a</v>
      </c>
      <c r="H61" s="57" t="str">
        <f aca="false">IFERROR(H17/H$15,"n/a")</f>
        <v>n/a</v>
      </c>
      <c r="I61" s="57" t="str">
        <f aca="false">IFERROR(I17/I$15,"n/a")</f>
        <v>n/a</v>
      </c>
      <c r="J61" s="57" t="str">
        <f aca="false">IFERROR(J17/J$15,"n/a")</f>
        <v>n/a</v>
      </c>
      <c r="K61" s="57" t="str">
        <f aca="false">IFERROR(K17/K$15,"n/a")</f>
        <v>n/a</v>
      </c>
      <c r="L61" s="57" t="str">
        <f aca="false">IFERROR(L17/L$15,"n/a")</f>
        <v>n/a</v>
      </c>
      <c r="M61" s="57" t="str">
        <f aca="false">IFERROR(M17/M$15,"n/a")</f>
        <v>n/a</v>
      </c>
      <c r="N61" s="57" t="str">
        <f aca="false">IFERROR(N17/N$15,"n/a")</f>
        <v>n/a</v>
      </c>
      <c r="O61" s="57" t="str">
        <f aca="false">IFERROR(O17/O$15,"n/a")</f>
        <v>n/a</v>
      </c>
      <c r="P61" s="57" t="str">
        <f aca="false">IFERROR(P17/P$15,"n/a")</f>
        <v>n/a</v>
      </c>
      <c r="Q61" s="57" t="str">
        <f aca="false">IFERROR(Q17/Q$15,"n/a")</f>
        <v>n/a</v>
      </c>
      <c r="R61" s="57" t="str">
        <f aca="false">IFERROR(R17/R$15,"n/a")</f>
        <v>n/a</v>
      </c>
      <c r="S61" s="57" t="str">
        <f aca="false">IFERROR(S17/S$15,"n/a")</f>
        <v>n/a</v>
      </c>
      <c r="T61" s="57" t="str">
        <f aca="false">IFERROR(T17/T$15,"n/a")</f>
        <v>n/a</v>
      </c>
      <c r="U61" s="57" t="str">
        <f aca="false">IFERROR(U17/U$15,"n/a")</f>
        <v>n/a</v>
      </c>
      <c r="V61" s="57" t="str">
        <f aca="false">IFERROR(V17/V$15,"n/a")</f>
        <v>n/a</v>
      </c>
      <c r="W61" s="57" t="str">
        <f aca="false">IFERROR(W17/W$15,"n/a")</f>
        <v>n/a</v>
      </c>
      <c r="X61" s="57" t="str">
        <f aca="false">IFERROR(X17/X$15,"n/a")</f>
        <v>n/a</v>
      </c>
      <c r="Y61" s="57" t="str">
        <f aca="false">IFERROR(Y17/Y$15,"n/a")</f>
        <v>n/a</v>
      </c>
      <c r="Z61" s="57" t="str">
        <f aca="false">IFERROR(Z17/Z$15,"n/a")</f>
        <v>n/a</v>
      </c>
      <c r="AA61" s="57" t="str">
        <f aca="false">IFERROR(AA17/AA$15,"n/a")</f>
        <v>n/a</v>
      </c>
      <c r="AB61" s="57" t="str">
        <f aca="false">IFERROR(AB17/AB$15,"n/a")</f>
        <v>n/a</v>
      </c>
      <c r="AC61" s="57" t="str">
        <f aca="false">IFERROR(AC17/AC$15,"n/a")</f>
        <v>n/a</v>
      </c>
      <c r="AD61" s="57" t="str">
        <f aca="false">IFERROR(AD17/AD$15,"n/a")</f>
        <v>n/a</v>
      </c>
      <c r="AE61" s="57" t="str">
        <f aca="false">IFERROR(AE17/AE$15,"n/a")</f>
        <v>n/a</v>
      </c>
      <c r="AF61" s="57" t="str">
        <f aca="false">IFERROR(AF17/AF$15,"n/a")</f>
        <v>n/a</v>
      </c>
      <c r="AG61" s="57" t="str">
        <f aca="false">IFERROR(AG17/AG$15,"n/a")</f>
        <v>n/a</v>
      </c>
      <c r="AH61" s="57" t="str">
        <f aca="false">IFERROR(AH17/AH$15,"n/a")</f>
        <v>n/a</v>
      </c>
      <c r="AI61" s="57" t="str">
        <f aca="false">IFERROR(AI17/AI$15,"n/a")</f>
        <v>n/a</v>
      </c>
      <c r="AJ61" s="57" t="str">
        <f aca="false">IFERROR(AJ17/AJ$15,"n/a")</f>
        <v>n/a</v>
      </c>
      <c r="AK61" s="57" t="str">
        <f aca="false">IFERROR(AK17/AK$15,"n/a")</f>
        <v>n/a</v>
      </c>
      <c r="AL61" s="57" t="str">
        <f aca="false">IFERROR(AL17/AL$15,"n/a")</f>
        <v>n/a</v>
      </c>
      <c r="AM61" s="57" t="str">
        <f aca="false">IFERROR(AM17/AM$15,"n/a")</f>
        <v>n/a</v>
      </c>
      <c r="AN61" s="57" t="str">
        <f aca="false">IFERROR(AN17/AN$15,"n/a")</f>
        <v>n/a</v>
      </c>
      <c r="AO61" s="57" t="str">
        <f aca="false">IFERROR(AO17/AO$15,"n/a")</f>
        <v>n/a</v>
      </c>
      <c r="AP61" s="57" t="str">
        <f aca="false">IFERROR(AP17/AP$15,"n/a")</f>
        <v>n/a</v>
      </c>
      <c r="AQ61" s="57" t="str">
        <f aca="false">IFERROR(AQ17/AQ$15,"n/a")</f>
        <v>n/a</v>
      </c>
      <c r="AR61" s="57" t="str">
        <f aca="false">IFERROR(AR17/AR$15,"n/a")</f>
        <v>n/a</v>
      </c>
      <c r="AS61" s="57" t="str">
        <f aca="false">IFERROR(AS17/AS$15,"n/a")</f>
        <v>n/a</v>
      </c>
      <c r="AT61" s="57" t="str">
        <f aca="false">IFERROR(AT17/AT$15,"n/a")</f>
        <v>n/a</v>
      </c>
      <c r="AU61" s="403" t="str">
        <f aca="false">IFERROR(AU17/AU$15,"n/a")</f>
        <v>n/a</v>
      </c>
      <c r="AV61" s="403" t="str">
        <f aca="false">IFERROR(AV17/AV$15,"n/a")</f>
        <v>n/a</v>
      </c>
      <c r="AW61" s="403" t="str">
        <f aca="false">IFERROR(AW17/AW$15,"n/a")</f>
        <v>n/a</v>
      </c>
      <c r="AX61" s="403" t="str">
        <f aca="false">IFERROR(AX17/AX$15,"n/a")</f>
        <v>n/a</v>
      </c>
      <c r="AY61" s="403" t="str">
        <f aca="false">IFERROR(AY17/AY$15,"n/a")</f>
        <v>n/a</v>
      </c>
      <c r="AZ61" s="403" t="str">
        <f aca="false">IFERROR(AZ17/AZ$15,"n/a")</f>
        <v>n/a</v>
      </c>
      <c r="BA61" s="403" t="str">
        <f aca="false">IFERROR(BA17/BA$15,"n/a")</f>
        <v>n/a</v>
      </c>
      <c r="BB61" s="403" t="str">
        <f aca="false">IFERROR(BB17/BB$15,"n/a")</f>
        <v>n/a</v>
      </c>
      <c r="BC61" s="403" t="str">
        <f aca="false">IFERROR(BC17/BC$15,"n/a")</f>
        <v>n/a</v>
      </c>
      <c r="BD61" s="403" t="str">
        <f aca="false">IFERROR(BD17/BD$15,"n/a")</f>
        <v>n/a</v>
      </c>
      <c r="BE61" s="403" t="str">
        <f aca="false">IFERROR(BE17/BE$15,"n/a")</f>
        <v>n/a</v>
      </c>
      <c r="BF61" s="403" t="str">
        <f aca="false">IFERROR(BF17/BF$15,"n/a")</f>
        <v>n/a</v>
      </c>
      <c r="BG61" s="403" t="str">
        <f aca="false">IFERROR(BG17/BG$15,"n/a")</f>
        <v>n/a</v>
      </c>
      <c r="BH61" s="403" t="str">
        <f aca="false">IFERROR(BH17/BH$15,"n/a")</f>
        <v>n/a</v>
      </c>
      <c r="BI61" s="403" t="str">
        <f aca="false">IFERROR(BI17/BI$15,"n/a")</f>
        <v>n/a</v>
      </c>
      <c r="BJ61" s="403" t="str">
        <f aca="false">IFERROR(BJ17/BJ$15,"n/a")</f>
        <v>n/a</v>
      </c>
      <c r="BK61" s="403" t="str">
        <f aca="false">IFERROR(BK17/BK$15,"n/a")</f>
        <v>n/a</v>
      </c>
      <c r="BL61" s="403" t="str">
        <f aca="false">IFERROR(BL17/BL$15,"n/a")</f>
        <v>n/a</v>
      </c>
      <c r="BM61" s="403" t="str">
        <f aca="false">IFERROR(BM17/BM$15,"n/a")</f>
        <v>n/a</v>
      </c>
      <c r="BN61" s="403" t="str">
        <f aca="false">IFERROR(BN17/BN$15,"n/a")</f>
        <v>n/a</v>
      </c>
      <c r="BO61" s="403" t="str">
        <f aca="false">IFERROR(BO17/BO$15,"n/a")</f>
        <v>n/a</v>
      </c>
      <c r="BP61" s="403" t="str">
        <f aca="false">IFERROR(BP17/BP$15,"n/a")</f>
        <v>n/a</v>
      </c>
      <c r="BQ61" s="403" t="str">
        <f aca="false">IFERROR(BQ17/BQ$15,"n/a")</f>
        <v>n/a</v>
      </c>
      <c r="BR61" s="403" t="str">
        <f aca="false">IFERROR(BR17/BR$15,"n/a")</f>
        <v>n/a</v>
      </c>
      <c r="BS61" s="403" t="str">
        <f aca="false">IFERROR(BS17/BS$15,"n/a")</f>
        <v>n/a</v>
      </c>
      <c r="BT61" s="403" t="str">
        <f aca="false">IFERROR(BT17/BT$15,"n/a")</f>
        <v>n/a</v>
      </c>
      <c r="BU61" s="403" t="str">
        <f aca="false">IFERROR(BU17/BU$15,"n/a")</f>
        <v>n/a</v>
      </c>
      <c r="BV61" s="403" t="str">
        <f aca="false">IFERROR(BV17/BV$15,"n/a")</f>
        <v>n/a</v>
      </c>
      <c r="BW61" s="403" t="str">
        <f aca="false">IFERROR(BW17/BW$15,"n/a")</f>
        <v>n/a</v>
      </c>
      <c r="BX61" s="403" t="str">
        <f aca="false">IFERROR(BX17/BX$15,"n/a")</f>
        <v>n/a</v>
      </c>
      <c r="BY61" s="403" t="str">
        <f aca="false">IFERROR(BY17/BY$15,"n/a")</f>
        <v>n/a</v>
      </c>
      <c r="BZ61" s="403" t="str">
        <f aca="false">IFERROR(BZ17/BZ$15,"n/a")</f>
        <v>n/a</v>
      </c>
      <c r="CA61" s="403" t="str">
        <f aca="false">IFERROR(CA17/CA$15,"n/a")</f>
        <v>n/a</v>
      </c>
      <c r="CB61" s="403" t="str">
        <f aca="false">IFERROR(CB17/CB$15,"n/a")</f>
        <v>n/a</v>
      </c>
      <c r="CC61" s="403" t="str">
        <f aca="false">IFERROR(CC17/CC$15,"n/a")</f>
        <v>n/a</v>
      </c>
      <c r="CD61" s="403" t="str">
        <f aca="false">IFERROR(CD17/CD$15,"n/a")</f>
        <v>n/a</v>
      </c>
      <c r="CE61" s="403" t="str">
        <f aca="false">IFERROR(CE17/CE$15,"n/a")</f>
        <v>n/a</v>
      </c>
      <c r="CF61" s="403" t="str">
        <f aca="false">IFERROR(CF17/CF$15,"n/a")</f>
        <v>n/a</v>
      </c>
      <c r="CG61" s="403" t="str">
        <f aca="false">IFERROR(CG17/CG$15,"n/a")</f>
        <v>n/a</v>
      </c>
      <c r="CH61" s="403" t="str">
        <f aca="false">IFERROR(CH17/CH$15,"n/a")</f>
        <v>n/a</v>
      </c>
      <c r="CI61" s="403" t="str">
        <f aca="false">IFERROR(CI17/CI$15,"n/a")</f>
        <v>n/a</v>
      </c>
      <c r="CJ61" s="403" t="str">
        <f aca="false">IFERROR(CJ17/CJ$15,"n/a")</f>
        <v>n/a</v>
      </c>
      <c r="CK61" s="403" t="str">
        <f aca="false">IFERROR(CK17/CK$15,"n/a")</f>
        <v>n/a</v>
      </c>
    </row>
    <row r="62" s="143" customFormat="true" ht="11.25" hidden="false" customHeight="true" outlineLevel="2" collapsed="false">
      <c r="C62" s="51" t="str">
        <f aca="false">C18</f>
        <v>Dummy 2</v>
      </c>
      <c r="D62" s="51" t="str">
        <f aca="false">D18</f>
        <v>Dummy 2</v>
      </c>
      <c r="E62" s="51"/>
      <c r="F62" s="57" t="str">
        <f aca="false">IFERROR(F18/F$15,"n/a")</f>
        <v>n/a</v>
      </c>
      <c r="G62" s="57" t="str">
        <f aca="false">IFERROR(G18/G$15,"n/a")</f>
        <v>n/a</v>
      </c>
      <c r="H62" s="57" t="str">
        <f aca="false">IFERROR(H18/H$15,"n/a")</f>
        <v>n/a</v>
      </c>
      <c r="I62" s="57" t="str">
        <f aca="false">IFERROR(I18/I$15,"n/a")</f>
        <v>n/a</v>
      </c>
      <c r="J62" s="57" t="str">
        <f aca="false">IFERROR(J18/J$15,"n/a")</f>
        <v>n/a</v>
      </c>
      <c r="K62" s="57" t="str">
        <f aca="false">IFERROR(K18/K$15,"n/a")</f>
        <v>n/a</v>
      </c>
      <c r="L62" s="57" t="str">
        <f aca="false">IFERROR(L18/L$15,"n/a")</f>
        <v>n/a</v>
      </c>
      <c r="M62" s="57" t="str">
        <f aca="false">IFERROR(M18/M$15,"n/a")</f>
        <v>n/a</v>
      </c>
      <c r="N62" s="57" t="str">
        <f aca="false">IFERROR(N18/N$15,"n/a")</f>
        <v>n/a</v>
      </c>
      <c r="O62" s="57" t="str">
        <f aca="false">IFERROR(O18/O$15,"n/a")</f>
        <v>n/a</v>
      </c>
      <c r="P62" s="57" t="str">
        <f aca="false">IFERROR(P18/P$15,"n/a")</f>
        <v>n/a</v>
      </c>
      <c r="Q62" s="57" t="str">
        <f aca="false">IFERROR(Q18/Q$15,"n/a")</f>
        <v>n/a</v>
      </c>
      <c r="R62" s="57" t="str">
        <f aca="false">IFERROR(R18/R$15,"n/a")</f>
        <v>n/a</v>
      </c>
      <c r="S62" s="57" t="str">
        <f aca="false">IFERROR(S18/S$15,"n/a")</f>
        <v>n/a</v>
      </c>
      <c r="T62" s="57" t="str">
        <f aca="false">IFERROR(T18/T$15,"n/a")</f>
        <v>n/a</v>
      </c>
      <c r="U62" s="57" t="str">
        <f aca="false">IFERROR(U18/U$15,"n/a")</f>
        <v>n/a</v>
      </c>
      <c r="V62" s="57" t="str">
        <f aca="false">IFERROR(V18/V$15,"n/a")</f>
        <v>n/a</v>
      </c>
      <c r="W62" s="57" t="str">
        <f aca="false">IFERROR(W18/W$15,"n/a")</f>
        <v>n/a</v>
      </c>
      <c r="X62" s="57" t="str">
        <f aca="false">IFERROR(X18/X$15,"n/a")</f>
        <v>n/a</v>
      </c>
      <c r="Y62" s="57" t="str">
        <f aca="false">IFERROR(Y18/Y$15,"n/a")</f>
        <v>n/a</v>
      </c>
      <c r="Z62" s="57" t="str">
        <f aca="false">IFERROR(Z18/Z$15,"n/a")</f>
        <v>n/a</v>
      </c>
      <c r="AA62" s="57" t="str">
        <f aca="false">IFERROR(AA18/AA$15,"n/a")</f>
        <v>n/a</v>
      </c>
      <c r="AB62" s="57" t="str">
        <f aca="false">IFERROR(AB18/AB$15,"n/a")</f>
        <v>n/a</v>
      </c>
      <c r="AC62" s="57" t="str">
        <f aca="false">IFERROR(AC18/AC$15,"n/a")</f>
        <v>n/a</v>
      </c>
      <c r="AD62" s="57" t="str">
        <f aca="false">IFERROR(AD18/AD$15,"n/a")</f>
        <v>n/a</v>
      </c>
      <c r="AE62" s="57" t="str">
        <f aca="false">IFERROR(AE18/AE$15,"n/a")</f>
        <v>n/a</v>
      </c>
      <c r="AF62" s="57" t="str">
        <f aca="false">IFERROR(AF18/AF$15,"n/a")</f>
        <v>n/a</v>
      </c>
      <c r="AG62" s="57" t="str">
        <f aca="false">IFERROR(AG18/AG$15,"n/a")</f>
        <v>n/a</v>
      </c>
      <c r="AH62" s="57" t="str">
        <f aca="false">IFERROR(AH18/AH$15,"n/a")</f>
        <v>n/a</v>
      </c>
      <c r="AI62" s="57" t="str">
        <f aca="false">IFERROR(AI18/AI$15,"n/a")</f>
        <v>n/a</v>
      </c>
      <c r="AJ62" s="57" t="str">
        <f aca="false">IFERROR(AJ18/AJ$15,"n/a")</f>
        <v>n/a</v>
      </c>
      <c r="AK62" s="57" t="str">
        <f aca="false">IFERROR(AK18/AK$15,"n/a")</f>
        <v>n/a</v>
      </c>
      <c r="AL62" s="57" t="str">
        <f aca="false">IFERROR(AL18/AL$15,"n/a")</f>
        <v>n/a</v>
      </c>
      <c r="AM62" s="57" t="str">
        <f aca="false">IFERROR(AM18/AM$15,"n/a")</f>
        <v>n/a</v>
      </c>
      <c r="AN62" s="57" t="str">
        <f aca="false">IFERROR(AN18/AN$15,"n/a")</f>
        <v>n/a</v>
      </c>
      <c r="AO62" s="57" t="str">
        <f aca="false">IFERROR(AO18/AO$15,"n/a")</f>
        <v>n/a</v>
      </c>
      <c r="AP62" s="57" t="str">
        <f aca="false">IFERROR(AP18/AP$15,"n/a")</f>
        <v>n/a</v>
      </c>
      <c r="AQ62" s="57" t="str">
        <f aca="false">IFERROR(AQ18/AQ$15,"n/a")</f>
        <v>n/a</v>
      </c>
      <c r="AR62" s="57" t="str">
        <f aca="false">IFERROR(AR18/AR$15,"n/a")</f>
        <v>n/a</v>
      </c>
      <c r="AS62" s="57" t="str">
        <f aca="false">IFERROR(AS18/AS$15,"n/a")</f>
        <v>n/a</v>
      </c>
      <c r="AT62" s="57" t="str">
        <f aca="false">IFERROR(AT18/AT$15,"n/a")</f>
        <v>n/a</v>
      </c>
      <c r="AU62" s="403" t="str">
        <f aca="false">IFERROR(AU18/AU$15,"n/a")</f>
        <v>n/a</v>
      </c>
      <c r="AV62" s="403" t="str">
        <f aca="false">IFERROR(AV18/AV$15,"n/a")</f>
        <v>n/a</v>
      </c>
      <c r="AW62" s="403" t="str">
        <f aca="false">IFERROR(AW18/AW$15,"n/a")</f>
        <v>n/a</v>
      </c>
      <c r="AX62" s="403" t="str">
        <f aca="false">IFERROR(AX18/AX$15,"n/a")</f>
        <v>n/a</v>
      </c>
      <c r="AY62" s="403" t="str">
        <f aca="false">IFERROR(AY18/AY$15,"n/a")</f>
        <v>n/a</v>
      </c>
      <c r="AZ62" s="403" t="str">
        <f aca="false">IFERROR(AZ18/AZ$15,"n/a")</f>
        <v>n/a</v>
      </c>
      <c r="BA62" s="403" t="str">
        <f aca="false">IFERROR(BA18/BA$15,"n/a")</f>
        <v>n/a</v>
      </c>
      <c r="BB62" s="403" t="str">
        <f aca="false">IFERROR(BB18/BB$15,"n/a")</f>
        <v>n/a</v>
      </c>
      <c r="BC62" s="403" t="str">
        <f aca="false">IFERROR(BC18/BC$15,"n/a")</f>
        <v>n/a</v>
      </c>
      <c r="BD62" s="403" t="str">
        <f aca="false">IFERROR(BD18/BD$15,"n/a")</f>
        <v>n/a</v>
      </c>
      <c r="BE62" s="403" t="str">
        <f aca="false">IFERROR(BE18/BE$15,"n/a")</f>
        <v>n/a</v>
      </c>
      <c r="BF62" s="403" t="str">
        <f aca="false">IFERROR(BF18/BF$15,"n/a")</f>
        <v>n/a</v>
      </c>
      <c r="BG62" s="403" t="str">
        <f aca="false">IFERROR(BG18/BG$15,"n/a")</f>
        <v>n/a</v>
      </c>
      <c r="BH62" s="403" t="str">
        <f aca="false">IFERROR(BH18/BH$15,"n/a")</f>
        <v>n/a</v>
      </c>
      <c r="BI62" s="403" t="str">
        <f aca="false">IFERROR(BI18/BI$15,"n/a")</f>
        <v>n/a</v>
      </c>
      <c r="BJ62" s="403" t="str">
        <f aca="false">IFERROR(BJ18/BJ$15,"n/a")</f>
        <v>n/a</v>
      </c>
      <c r="BK62" s="403" t="str">
        <f aca="false">IFERROR(BK18/BK$15,"n/a")</f>
        <v>n/a</v>
      </c>
      <c r="BL62" s="403" t="str">
        <f aca="false">IFERROR(BL18/BL$15,"n/a")</f>
        <v>n/a</v>
      </c>
      <c r="BM62" s="403" t="str">
        <f aca="false">IFERROR(BM18/BM$15,"n/a")</f>
        <v>n/a</v>
      </c>
      <c r="BN62" s="403" t="str">
        <f aca="false">IFERROR(BN18/BN$15,"n/a")</f>
        <v>n/a</v>
      </c>
      <c r="BO62" s="403" t="str">
        <f aca="false">IFERROR(BO18/BO$15,"n/a")</f>
        <v>n/a</v>
      </c>
      <c r="BP62" s="403" t="str">
        <f aca="false">IFERROR(BP18/BP$15,"n/a")</f>
        <v>n/a</v>
      </c>
      <c r="BQ62" s="403" t="str">
        <f aca="false">IFERROR(BQ18/BQ$15,"n/a")</f>
        <v>n/a</v>
      </c>
      <c r="BR62" s="403" t="str">
        <f aca="false">IFERROR(BR18/BR$15,"n/a")</f>
        <v>n/a</v>
      </c>
      <c r="BS62" s="403" t="str">
        <f aca="false">IFERROR(BS18/BS$15,"n/a")</f>
        <v>n/a</v>
      </c>
      <c r="BT62" s="403" t="str">
        <f aca="false">IFERROR(BT18/BT$15,"n/a")</f>
        <v>n/a</v>
      </c>
      <c r="BU62" s="403" t="str">
        <f aca="false">IFERROR(BU18/BU$15,"n/a")</f>
        <v>n/a</v>
      </c>
      <c r="BV62" s="403" t="str">
        <f aca="false">IFERROR(BV18/BV$15,"n/a")</f>
        <v>n/a</v>
      </c>
      <c r="BW62" s="403" t="str">
        <f aca="false">IFERROR(BW18/BW$15,"n/a")</f>
        <v>n/a</v>
      </c>
      <c r="BX62" s="403" t="str">
        <f aca="false">IFERROR(BX18/BX$15,"n/a")</f>
        <v>n/a</v>
      </c>
      <c r="BY62" s="403" t="str">
        <f aca="false">IFERROR(BY18/BY$15,"n/a")</f>
        <v>n/a</v>
      </c>
      <c r="BZ62" s="403" t="str">
        <f aca="false">IFERROR(BZ18/BZ$15,"n/a")</f>
        <v>n/a</v>
      </c>
      <c r="CA62" s="403" t="str">
        <f aca="false">IFERROR(CA18/CA$15,"n/a")</f>
        <v>n/a</v>
      </c>
      <c r="CB62" s="403" t="str">
        <f aca="false">IFERROR(CB18/CB$15,"n/a")</f>
        <v>n/a</v>
      </c>
      <c r="CC62" s="403" t="str">
        <f aca="false">IFERROR(CC18/CC$15,"n/a")</f>
        <v>n/a</v>
      </c>
      <c r="CD62" s="403" t="str">
        <f aca="false">IFERROR(CD18/CD$15,"n/a")</f>
        <v>n/a</v>
      </c>
      <c r="CE62" s="403" t="str">
        <f aca="false">IFERROR(CE18/CE$15,"n/a")</f>
        <v>n/a</v>
      </c>
      <c r="CF62" s="403" t="str">
        <f aca="false">IFERROR(CF18/CF$15,"n/a")</f>
        <v>n/a</v>
      </c>
      <c r="CG62" s="403" t="str">
        <f aca="false">IFERROR(CG18/CG$15,"n/a")</f>
        <v>n/a</v>
      </c>
      <c r="CH62" s="403" t="str">
        <f aca="false">IFERROR(CH18/CH$15,"n/a")</f>
        <v>n/a</v>
      </c>
      <c r="CI62" s="403" t="str">
        <f aca="false">IFERROR(CI18/CI$15,"n/a")</f>
        <v>n/a</v>
      </c>
      <c r="CJ62" s="403" t="str">
        <f aca="false">IFERROR(CJ18/CJ$15,"n/a")</f>
        <v>n/a</v>
      </c>
      <c r="CK62" s="403" t="str">
        <f aca="false">IFERROR(CK18/CK$15,"n/a")</f>
        <v>n/a</v>
      </c>
    </row>
    <row r="63" s="143" customFormat="true" ht="11.25" hidden="false" customHeight="true" outlineLevel="2" collapsed="false">
      <c r="C63" s="51" t="str">
        <f aca="false">C19</f>
        <v>Dummy 3</v>
      </c>
      <c r="D63" s="51" t="str">
        <f aca="false">D19</f>
        <v>Dummy 3</v>
      </c>
      <c r="E63" s="51"/>
      <c r="F63" s="57" t="str">
        <f aca="false">IFERROR(F19/F$15,"n/a")</f>
        <v>n/a</v>
      </c>
      <c r="G63" s="57" t="str">
        <f aca="false">IFERROR(G19/G$15,"n/a")</f>
        <v>n/a</v>
      </c>
      <c r="H63" s="57" t="str">
        <f aca="false">IFERROR(H19/H$15,"n/a")</f>
        <v>n/a</v>
      </c>
      <c r="I63" s="57" t="str">
        <f aca="false">IFERROR(I19/I$15,"n/a")</f>
        <v>n/a</v>
      </c>
      <c r="J63" s="57" t="str">
        <f aca="false">IFERROR(J19/J$15,"n/a")</f>
        <v>n/a</v>
      </c>
      <c r="K63" s="57" t="str">
        <f aca="false">IFERROR(K19/K$15,"n/a")</f>
        <v>n/a</v>
      </c>
      <c r="L63" s="57" t="str">
        <f aca="false">IFERROR(L19/L$15,"n/a")</f>
        <v>n/a</v>
      </c>
      <c r="M63" s="57" t="str">
        <f aca="false">IFERROR(M19/M$15,"n/a")</f>
        <v>n/a</v>
      </c>
      <c r="N63" s="57" t="str">
        <f aca="false">IFERROR(N19/N$15,"n/a")</f>
        <v>n/a</v>
      </c>
      <c r="O63" s="57" t="str">
        <f aca="false">IFERROR(O19/O$15,"n/a")</f>
        <v>n/a</v>
      </c>
      <c r="P63" s="57" t="str">
        <f aca="false">IFERROR(P19/P$15,"n/a")</f>
        <v>n/a</v>
      </c>
      <c r="Q63" s="57" t="str">
        <f aca="false">IFERROR(Q19/Q$15,"n/a")</f>
        <v>n/a</v>
      </c>
      <c r="R63" s="57" t="str">
        <f aca="false">IFERROR(R19/R$15,"n/a")</f>
        <v>n/a</v>
      </c>
      <c r="S63" s="57" t="str">
        <f aca="false">IFERROR(S19/S$15,"n/a")</f>
        <v>n/a</v>
      </c>
      <c r="T63" s="57" t="str">
        <f aca="false">IFERROR(T19/T$15,"n/a")</f>
        <v>n/a</v>
      </c>
      <c r="U63" s="57" t="str">
        <f aca="false">IFERROR(U19/U$15,"n/a")</f>
        <v>n/a</v>
      </c>
      <c r="V63" s="57" t="str">
        <f aca="false">IFERROR(V19/V$15,"n/a")</f>
        <v>n/a</v>
      </c>
      <c r="W63" s="57" t="str">
        <f aca="false">IFERROR(W19/W$15,"n/a")</f>
        <v>n/a</v>
      </c>
      <c r="X63" s="57" t="str">
        <f aca="false">IFERROR(X19/X$15,"n/a")</f>
        <v>n/a</v>
      </c>
      <c r="Y63" s="57" t="str">
        <f aca="false">IFERROR(Y19/Y$15,"n/a")</f>
        <v>n/a</v>
      </c>
      <c r="Z63" s="57" t="str">
        <f aca="false">IFERROR(Z19/Z$15,"n/a")</f>
        <v>n/a</v>
      </c>
      <c r="AA63" s="57" t="str">
        <f aca="false">IFERROR(AA19/AA$15,"n/a")</f>
        <v>n/a</v>
      </c>
      <c r="AB63" s="57" t="str">
        <f aca="false">IFERROR(AB19/AB$15,"n/a")</f>
        <v>n/a</v>
      </c>
      <c r="AC63" s="57" t="str">
        <f aca="false">IFERROR(AC19/AC$15,"n/a")</f>
        <v>n/a</v>
      </c>
      <c r="AD63" s="57" t="str">
        <f aca="false">IFERROR(AD19/AD$15,"n/a")</f>
        <v>n/a</v>
      </c>
      <c r="AE63" s="57" t="str">
        <f aca="false">IFERROR(AE19/AE$15,"n/a")</f>
        <v>n/a</v>
      </c>
      <c r="AF63" s="57" t="str">
        <f aca="false">IFERROR(AF19/AF$15,"n/a")</f>
        <v>n/a</v>
      </c>
      <c r="AG63" s="57" t="str">
        <f aca="false">IFERROR(AG19/AG$15,"n/a")</f>
        <v>n/a</v>
      </c>
      <c r="AH63" s="57" t="str">
        <f aca="false">IFERROR(AH19/AH$15,"n/a")</f>
        <v>n/a</v>
      </c>
      <c r="AI63" s="57" t="str">
        <f aca="false">IFERROR(AI19/AI$15,"n/a")</f>
        <v>n/a</v>
      </c>
      <c r="AJ63" s="57" t="str">
        <f aca="false">IFERROR(AJ19/AJ$15,"n/a")</f>
        <v>n/a</v>
      </c>
      <c r="AK63" s="57" t="str">
        <f aca="false">IFERROR(AK19/AK$15,"n/a")</f>
        <v>n/a</v>
      </c>
      <c r="AL63" s="57" t="str">
        <f aca="false">IFERROR(AL19/AL$15,"n/a")</f>
        <v>n/a</v>
      </c>
      <c r="AM63" s="57" t="str">
        <f aca="false">IFERROR(AM19/AM$15,"n/a")</f>
        <v>n/a</v>
      </c>
      <c r="AN63" s="57" t="str">
        <f aca="false">IFERROR(AN19/AN$15,"n/a")</f>
        <v>n/a</v>
      </c>
      <c r="AO63" s="57" t="str">
        <f aca="false">IFERROR(AO19/AO$15,"n/a")</f>
        <v>n/a</v>
      </c>
      <c r="AP63" s="57" t="str">
        <f aca="false">IFERROR(AP19/AP$15,"n/a")</f>
        <v>n/a</v>
      </c>
      <c r="AQ63" s="57" t="str">
        <f aca="false">IFERROR(AQ19/AQ$15,"n/a")</f>
        <v>n/a</v>
      </c>
      <c r="AR63" s="57" t="str">
        <f aca="false">IFERROR(AR19/AR$15,"n/a")</f>
        <v>n/a</v>
      </c>
      <c r="AS63" s="57" t="str">
        <f aca="false">IFERROR(AS19/AS$15,"n/a")</f>
        <v>n/a</v>
      </c>
      <c r="AT63" s="57" t="str">
        <f aca="false">IFERROR(AT19/AT$15,"n/a")</f>
        <v>n/a</v>
      </c>
      <c r="AU63" s="403" t="str">
        <f aca="false">IFERROR(AU19/AU$15,"n/a")</f>
        <v>n/a</v>
      </c>
      <c r="AV63" s="403" t="str">
        <f aca="false">IFERROR(AV19/AV$15,"n/a")</f>
        <v>n/a</v>
      </c>
      <c r="AW63" s="403" t="str">
        <f aca="false">IFERROR(AW19/AW$15,"n/a")</f>
        <v>n/a</v>
      </c>
      <c r="AX63" s="403" t="str">
        <f aca="false">IFERROR(AX19/AX$15,"n/a")</f>
        <v>n/a</v>
      </c>
      <c r="AY63" s="403" t="str">
        <f aca="false">IFERROR(AY19/AY$15,"n/a")</f>
        <v>n/a</v>
      </c>
      <c r="AZ63" s="403" t="str">
        <f aca="false">IFERROR(AZ19/AZ$15,"n/a")</f>
        <v>n/a</v>
      </c>
      <c r="BA63" s="403" t="str">
        <f aca="false">IFERROR(BA19/BA$15,"n/a")</f>
        <v>n/a</v>
      </c>
      <c r="BB63" s="403" t="str">
        <f aca="false">IFERROR(BB19/BB$15,"n/a")</f>
        <v>n/a</v>
      </c>
      <c r="BC63" s="403" t="str">
        <f aca="false">IFERROR(BC19/BC$15,"n/a")</f>
        <v>n/a</v>
      </c>
      <c r="BD63" s="403" t="str">
        <f aca="false">IFERROR(BD19/BD$15,"n/a")</f>
        <v>n/a</v>
      </c>
      <c r="BE63" s="403" t="str">
        <f aca="false">IFERROR(BE19/BE$15,"n/a")</f>
        <v>n/a</v>
      </c>
      <c r="BF63" s="403" t="str">
        <f aca="false">IFERROR(BF19/BF$15,"n/a")</f>
        <v>n/a</v>
      </c>
      <c r="BG63" s="403" t="str">
        <f aca="false">IFERROR(BG19/BG$15,"n/a")</f>
        <v>n/a</v>
      </c>
      <c r="BH63" s="403" t="str">
        <f aca="false">IFERROR(BH19/BH$15,"n/a")</f>
        <v>n/a</v>
      </c>
      <c r="BI63" s="403" t="str">
        <f aca="false">IFERROR(BI19/BI$15,"n/a")</f>
        <v>n/a</v>
      </c>
      <c r="BJ63" s="403" t="str">
        <f aca="false">IFERROR(BJ19/BJ$15,"n/a")</f>
        <v>n/a</v>
      </c>
      <c r="BK63" s="403" t="str">
        <f aca="false">IFERROR(BK19/BK$15,"n/a")</f>
        <v>n/a</v>
      </c>
      <c r="BL63" s="403" t="str">
        <f aca="false">IFERROR(BL19/BL$15,"n/a")</f>
        <v>n/a</v>
      </c>
      <c r="BM63" s="403" t="str">
        <f aca="false">IFERROR(BM19/BM$15,"n/a")</f>
        <v>n/a</v>
      </c>
      <c r="BN63" s="403" t="str">
        <f aca="false">IFERROR(BN19/BN$15,"n/a")</f>
        <v>n/a</v>
      </c>
      <c r="BO63" s="403" t="str">
        <f aca="false">IFERROR(BO19/BO$15,"n/a")</f>
        <v>n/a</v>
      </c>
      <c r="BP63" s="403" t="str">
        <f aca="false">IFERROR(BP19/BP$15,"n/a")</f>
        <v>n/a</v>
      </c>
      <c r="BQ63" s="403" t="str">
        <f aca="false">IFERROR(BQ19/BQ$15,"n/a")</f>
        <v>n/a</v>
      </c>
      <c r="BR63" s="403" t="str">
        <f aca="false">IFERROR(BR19/BR$15,"n/a")</f>
        <v>n/a</v>
      </c>
      <c r="BS63" s="403" t="str">
        <f aca="false">IFERROR(BS19/BS$15,"n/a")</f>
        <v>n/a</v>
      </c>
      <c r="BT63" s="403" t="str">
        <f aca="false">IFERROR(BT19/BT$15,"n/a")</f>
        <v>n/a</v>
      </c>
      <c r="BU63" s="403" t="str">
        <f aca="false">IFERROR(BU19/BU$15,"n/a")</f>
        <v>n/a</v>
      </c>
      <c r="BV63" s="403" t="str">
        <f aca="false">IFERROR(BV19/BV$15,"n/a")</f>
        <v>n/a</v>
      </c>
      <c r="BW63" s="403" t="str">
        <f aca="false">IFERROR(BW19/BW$15,"n/a")</f>
        <v>n/a</v>
      </c>
      <c r="BX63" s="403" t="str">
        <f aca="false">IFERROR(BX19/BX$15,"n/a")</f>
        <v>n/a</v>
      </c>
      <c r="BY63" s="403" t="str">
        <f aca="false">IFERROR(BY19/BY$15,"n/a")</f>
        <v>n/a</v>
      </c>
      <c r="BZ63" s="403" t="str">
        <f aca="false">IFERROR(BZ19/BZ$15,"n/a")</f>
        <v>n/a</v>
      </c>
      <c r="CA63" s="403" t="str">
        <f aca="false">IFERROR(CA19/CA$15,"n/a")</f>
        <v>n/a</v>
      </c>
      <c r="CB63" s="403" t="str">
        <f aca="false">IFERROR(CB19/CB$15,"n/a")</f>
        <v>n/a</v>
      </c>
      <c r="CC63" s="403" t="str">
        <f aca="false">IFERROR(CC19/CC$15,"n/a")</f>
        <v>n/a</v>
      </c>
      <c r="CD63" s="403" t="str">
        <f aca="false">IFERROR(CD19/CD$15,"n/a")</f>
        <v>n/a</v>
      </c>
      <c r="CE63" s="403" t="str">
        <f aca="false">IFERROR(CE19/CE$15,"n/a")</f>
        <v>n/a</v>
      </c>
      <c r="CF63" s="403" t="str">
        <f aca="false">IFERROR(CF19/CF$15,"n/a")</f>
        <v>n/a</v>
      </c>
      <c r="CG63" s="403" t="str">
        <f aca="false">IFERROR(CG19/CG$15,"n/a")</f>
        <v>n/a</v>
      </c>
      <c r="CH63" s="403" t="str">
        <f aca="false">IFERROR(CH19/CH$15,"n/a")</f>
        <v>n/a</v>
      </c>
      <c r="CI63" s="403" t="str">
        <f aca="false">IFERROR(CI19/CI$15,"n/a")</f>
        <v>n/a</v>
      </c>
      <c r="CJ63" s="403" t="str">
        <f aca="false">IFERROR(CJ19/CJ$15,"n/a")</f>
        <v>n/a</v>
      </c>
      <c r="CK63" s="403" t="str">
        <f aca="false">IFERROR(CK19/CK$15,"n/a")</f>
        <v>n/a</v>
      </c>
    </row>
    <row r="64" s="143" customFormat="true" ht="11.25" hidden="false" customHeight="true" outlineLevel="0" collapsed="false">
      <c r="C64" s="132" t="str">
        <f aca="false">C20</f>
        <v>Rohergebnis</v>
      </c>
      <c r="D64" s="132" t="str">
        <f aca="false">D20</f>
        <v>Gross profit</v>
      </c>
      <c r="E64" s="132"/>
      <c r="F64" s="144" t="str">
        <f aca="false">IFERROR(F20/F$15,"n/a")</f>
        <v>n/a</v>
      </c>
      <c r="G64" s="144" t="str">
        <f aca="false">IFERROR(G20/G$15,"n/a")</f>
        <v>n/a</v>
      </c>
      <c r="H64" s="144" t="str">
        <f aca="false">IFERROR(H20/H$15,"n/a")</f>
        <v>n/a</v>
      </c>
      <c r="I64" s="144" t="str">
        <f aca="false">IFERROR(I20/I$15,"n/a")</f>
        <v>n/a</v>
      </c>
      <c r="J64" s="144" t="str">
        <f aca="false">IFERROR(J20/J$15,"n/a")</f>
        <v>n/a</v>
      </c>
      <c r="K64" s="144" t="str">
        <f aca="false">IFERROR(K20/K$15,"n/a")</f>
        <v>n/a</v>
      </c>
      <c r="L64" s="144" t="str">
        <f aca="false">IFERROR(L20/L$15,"n/a")</f>
        <v>n/a</v>
      </c>
      <c r="M64" s="144" t="str">
        <f aca="false">IFERROR(M20/M$15,"n/a")</f>
        <v>n/a</v>
      </c>
      <c r="N64" s="144" t="str">
        <f aca="false">IFERROR(N20/N$15,"n/a")</f>
        <v>n/a</v>
      </c>
      <c r="O64" s="144" t="str">
        <f aca="false">IFERROR(O20/O$15,"n/a")</f>
        <v>n/a</v>
      </c>
      <c r="P64" s="144" t="str">
        <f aca="false">IFERROR(P20/P$15,"n/a")</f>
        <v>n/a</v>
      </c>
      <c r="Q64" s="144" t="str">
        <f aca="false">IFERROR(Q20/Q$15,"n/a")</f>
        <v>n/a</v>
      </c>
      <c r="R64" s="144" t="str">
        <f aca="false">IFERROR(R20/R$15,"n/a")</f>
        <v>n/a</v>
      </c>
      <c r="S64" s="144" t="str">
        <f aca="false">IFERROR(S20/S$15,"n/a")</f>
        <v>n/a</v>
      </c>
      <c r="T64" s="144" t="str">
        <f aca="false">IFERROR(T20/T$15,"n/a")</f>
        <v>n/a</v>
      </c>
      <c r="U64" s="144" t="str">
        <f aca="false">IFERROR(U20/U$15,"n/a")</f>
        <v>n/a</v>
      </c>
      <c r="V64" s="144" t="str">
        <f aca="false">IFERROR(V20/V$15,"n/a")</f>
        <v>n/a</v>
      </c>
      <c r="W64" s="144" t="str">
        <f aca="false">IFERROR(W20/W$15,"n/a")</f>
        <v>n/a</v>
      </c>
      <c r="X64" s="144" t="str">
        <f aca="false">IFERROR(X20/X$15,"n/a")</f>
        <v>n/a</v>
      </c>
      <c r="Y64" s="144" t="str">
        <f aca="false">IFERROR(Y20/Y$15,"n/a")</f>
        <v>n/a</v>
      </c>
      <c r="Z64" s="144" t="str">
        <f aca="false">IFERROR(Z20/Z$15,"n/a")</f>
        <v>n/a</v>
      </c>
      <c r="AA64" s="144" t="str">
        <f aca="false">IFERROR(AA20/AA$15,"n/a")</f>
        <v>n/a</v>
      </c>
      <c r="AB64" s="144" t="str">
        <f aca="false">IFERROR(AB20/AB$15,"n/a")</f>
        <v>n/a</v>
      </c>
      <c r="AC64" s="144" t="str">
        <f aca="false">IFERROR(AC20/AC$15,"n/a")</f>
        <v>n/a</v>
      </c>
      <c r="AD64" s="144" t="str">
        <f aca="false">IFERROR(AD20/AD$15,"n/a")</f>
        <v>n/a</v>
      </c>
      <c r="AE64" s="144" t="str">
        <f aca="false">IFERROR(AE20/AE$15,"n/a")</f>
        <v>n/a</v>
      </c>
      <c r="AF64" s="144" t="str">
        <f aca="false">IFERROR(AF20/AF$15,"n/a")</f>
        <v>n/a</v>
      </c>
      <c r="AG64" s="144" t="str">
        <f aca="false">IFERROR(AG20/AG$15,"n/a")</f>
        <v>n/a</v>
      </c>
      <c r="AH64" s="144" t="str">
        <f aca="false">IFERROR(AH20/AH$15,"n/a")</f>
        <v>n/a</v>
      </c>
      <c r="AI64" s="144" t="str">
        <f aca="false">IFERROR(AI20/AI$15,"n/a")</f>
        <v>n/a</v>
      </c>
      <c r="AJ64" s="144" t="str">
        <f aca="false">IFERROR(AJ20/AJ$15,"n/a")</f>
        <v>n/a</v>
      </c>
      <c r="AK64" s="144" t="str">
        <f aca="false">IFERROR(AK20/AK$15,"n/a")</f>
        <v>n/a</v>
      </c>
      <c r="AL64" s="144" t="str">
        <f aca="false">IFERROR(AL20/AL$15,"n/a")</f>
        <v>n/a</v>
      </c>
      <c r="AM64" s="144" t="str">
        <f aca="false">IFERROR(AM20/AM$15,"n/a")</f>
        <v>n/a</v>
      </c>
      <c r="AN64" s="144" t="str">
        <f aca="false">IFERROR(AN20/AN$15,"n/a")</f>
        <v>n/a</v>
      </c>
      <c r="AO64" s="144" t="str">
        <f aca="false">IFERROR(AO20/AO$15,"n/a")</f>
        <v>n/a</v>
      </c>
      <c r="AP64" s="144" t="str">
        <f aca="false">IFERROR(AP20/AP$15,"n/a")</f>
        <v>n/a</v>
      </c>
      <c r="AQ64" s="144" t="str">
        <f aca="false">IFERROR(AQ20/AQ$15,"n/a")</f>
        <v>n/a</v>
      </c>
      <c r="AR64" s="144" t="str">
        <f aca="false">IFERROR(AR20/AR$15,"n/a")</f>
        <v>n/a</v>
      </c>
      <c r="AS64" s="144" t="str">
        <f aca="false">IFERROR(AS20/AS$15,"n/a")</f>
        <v>n/a</v>
      </c>
      <c r="AT64" s="144" t="str">
        <f aca="false">IFERROR(AT20/AT$15,"n/a")</f>
        <v>n/a</v>
      </c>
      <c r="AU64" s="404" t="str">
        <f aca="false">IFERROR(AU20/AU$15,"n/a")</f>
        <v>n/a</v>
      </c>
      <c r="AV64" s="404" t="str">
        <f aca="false">IFERROR(AV20/AV$15,"n/a")</f>
        <v>n/a</v>
      </c>
      <c r="AW64" s="404" t="str">
        <f aca="false">IFERROR(AW20/AW$15,"n/a")</f>
        <v>n/a</v>
      </c>
      <c r="AX64" s="404" t="str">
        <f aca="false">IFERROR(AX20/AX$15,"n/a")</f>
        <v>n/a</v>
      </c>
      <c r="AY64" s="404" t="str">
        <f aca="false">IFERROR(AY20/AY$15,"n/a")</f>
        <v>n/a</v>
      </c>
      <c r="AZ64" s="404" t="str">
        <f aca="false">IFERROR(AZ20/AZ$15,"n/a")</f>
        <v>n/a</v>
      </c>
      <c r="BA64" s="404" t="str">
        <f aca="false">IFERROR(BA20/BA$15,"n/a")</f>
        <v>n/a</v>
      </c>
      <c r="BB64" s="404" t="str">
        <f aca="false">IFERROR(BB20/BB$15,"n/a")</f>
        <v>n/a</v>
      </c>
      <c r="BC64" s="404" t="str">
        <f aca="false">IFERROR(BC20/BC$15,"n/a")</f>
        <v>n/a</v>
      </c>
      <c r="BD64" s="404" t="str">
        <f aca="false">IFERROR(BD20/BD$15,"n/a")</f>
        <v>n/a</v>
      </c>
      <c r="BE64" s="404" t="str">
        <f aca="false">IFERROR(BE20/BE$15,"n/a")</f>
        <v>n/a</v>
      </c>
      <c r="BF64" s="404" t="str">
        <f aca="false">IFERROR(BF20/BF$15,"n/a")</f>
        <v>n/a</v>
      </c>
      <c r="BG64" s="404" t="str">
        <f aca="false">IFERROR(BG20/BG$15,"n/a")</f>
        <v>n/a</v>
      </c>
      <c r="BH64" s="404" t="str">
        <f aca="false">IFERROR(BH20/BH$15,"n/a")</f>
        <v>n/a</v>
      </c>
      <c r="BI64" s="404" t="str">
        <f aca="false">IFERROR(BI20/BI$15,"n/a")</f>
        <v>n/a</v>
      </c>
      <c r="BJ64" s="404" t="str">
        <f aca="false">IFERROR(BJ20/BJ$15,"n/a")</f>
        <v>n/a</v>
      </c>
      <c r="BK64" s="404" t="str">
        <f aca="false">IFERROR(BK20/BK$15,"n/a")</f>
        <v>n/a</v>
      </c>
      <c r="BL64" s="404" t="str">
        <f aca="false">IFERROR(BL20/BL$15,"n/a")</f>
        <v>n/a</v>
      </c>
      <c r="BM64" s="404" t="str">
        <f aca="false">IFERROR(BM20/BM$15,"n/a")</f>
        <v>n/a</v>
      </c>
      <c r="BN64" s="404" t="str">
        <f aca="false">IFERROR(BN20/BN$15,"n/a")</f>
        <v>n/a</v>
      </c>
      <c r="BO64" s="404" t="str">
        <f aca="false">IFERROR(BO20/BO$15,"n/a")</f>
        <v>n/a</v>
      </c>
      <c r="BP64" s="404" t="str">
        <f aca="false">IFERROR(BP20/BP$15,"n/a")</f>
        <v>n/a</v>
      </c>
      <c r="BQ64" s="404" t="str">
        <f aca="false">IFERROR(BQ20/BQ$15,"n/a")</f>
        <v>n/a</v>
      </c>
      <c r="BR64" s="404" t="str">
        <f aca="false">IFERROR(BR20/BR$15,"n/a")</f>
        <v>n/a</v>
      </c>
      <c r="BS64" s="404" t="str">
        <f aca="false">IFERROR(BS20/BS$15,"n/a")</f>
        <v>n/a</v>
      </c>
      <c r="BT64" s="404" t="str">
        <f aca="false">IFERROR(BT20/BT$15,"n/a")</f>
        <v>n/a</v>
      </c>
      <c r="BU64" s="404" t="str">
        <f aca="false">IFERROR(BU20/BU$15,"n/a")</f>
        <v>n/a</v>
      </c>
      <c r="BV64" s="404" t="str">
        <f aca="false">IFERROR(BV20/BV$15,"n/a")</f>
        <v>n/a</v>
      </c>
      <c r="BW64" s="404" t="str">
        <f aca="false">IFERROR(BW20/BW$15,"n/a")</f>
        <v>n/a</v>
      </c>
      <c r="BX64" s="404" t="str">
        <f aca="false">IFERROR(BX20/BX$15,"n/a")</f>
        <v>n/a</v>
      </c>
      <c r="BY64" s="404" t="str">
        <f aca="false">IFERROR(BY20/BY$15,"n/a")</f>
        <v>n/a</v>
      </c>
      <c r="BZ64" s="404" t="str">
        <f aca="false">IFERROR(BZ20/BZ$15,"n/a")</f>
        <v>n/a</v>
      </c>
      <c r="CA64" s="404" t="str">
        <f aca="false">IFERROR(CA20/CA$15,"n/a")</f>
        <v>n/a</v>
      </c>
      <c r="CB64" s="404" t="str">
        <f aca="false">IFERROR(CB20/CB$15,"n/a")</f>
        <v>n/a</v>
      </c>
      <c r="CC64" s="404" t="str">
        <f aca="false">IFERROR(CC20/CC$15,"n/a")</f>
        <v>n/a</v>
      </c>
      <c r="CD64" s="404" t="str">
        <f aca="false">IFERROR(CD20/CD$15,"n/a")</f>
        <v>n/a</v>
      </c>
      <c r="CE64" s="404" t="str">
        <f aca="false">IFERROR(CE20/CE$15,"n/a")</f>
        <v>n/a</v>
      </c>
      <c r="CF64" s="404" t="str">
        <f aca="false">IFERROR(CF20/CF$15,"n/a")</f>
        <v>n/a</v>
      </c>
      <c r="CG64" s="404" t="str">
        <f aca="false">IFERROR(CG20/CG$15,"n/a")</f>
        <v>n/a</v>
      </c>
      <c r="CH64" s="404" t="str">
        <f aca="false">IFERROR(CH20/CH$15,"n/a")</f>
        <v>n/a</v>
      </c>
      <c r="CI64" s="404" t="str">
        <f aca="false">IFERROR(CI20/CI$15,"n/a")</f>
        <v>n/a</v>
      </c>
      <c r="CJ64" s="404" t="str">
        <f aca="false">IFERROR(CJ20/CJ$15,"n/a")</f>
        <v>n/a</v>
      </c>
      <c r="CK64" s="404" t="str">
        <f aca="false">IFERROR(CK20/CK$15,"n/a")</f>
        <v>n/a</v>
      </c>
    </row>
    <row r="65" s="143" customFormat="true" ht="11.25" hidden="false" customHeight="true" outlineLevel="0" collapsed="false">
      <c r="C65" s="51" t="str">
        <f aca="false">C21</f>
        <v>Personalaufwand</v>
      </c>
      <c r="D65" s="51" t="str">
        <f aca="false">D21</f>
        <v>Personnel expenses</v>
      </c>
      <c r="E65" s="51"/>
      <c r="F65" s="57" t="str">
        <f aca="false">IFERROR(F21/F$15,"n/a")</f>
        <v>n/a</v>
      </c>
      <c r="G65" s="57" t="str">
        <f aca="false">IFERROR(G21/G$15,"n/a")</f>
        <v>n/a</v>
      </c>
      <c r="H65" s="57" t="str">
        <f aca="false">IFERROR(H21/H$15,"n/a")</f>
        <v>n/a</v>
      </c>
      <c r="I65" s="57" t="str">
        <f aca="false">IFERROR(I21/I$15,"n/a")</f>
        <v>n/a</v>
      </c>
      <c r="J65" s="57" t="str">
        <f aca="false">IFERROR(J21/J$15,"n/a")</f>
        <v>n/a</v>
      </c>
      <c r="K65" s="57" t="str">
        <f aca="false">IFERROR(K21/K$15,"n/a")</f>
        <v>n/a</v>
      </c>
      <c r="L65" s="57" t="str">
        <f aca="false">IFERROR(L21/L$15,"n/a")</f>
        <v>n/a</v>
      </c>
      <c r="M65" s="57" t="str">
        <f aca="false">IFERROR(M21/M$15,"n/a")</f>
        <v>n/a</v>
      </c>
      <c r="N65" s="57" t="str">
        <f aca="false">IFERROR(N21/N$15,"n/a")</f>
        <v>n/a</v>
      </c>
      <c r="O65" s="57" t="str">
        <f aca="false">IFERROR(O21/O$15,"n/a")</f>
        <v>n/a</v>
      </c>
      <c r="P65" s="57" t="str">
        <f aca="false">IFERROR(P21/P$15,"n/a")</f>
        <v>n/a</v>
      </c>
      <c r="Q65" s="57" t="str">
        <f aca="false">IFERROR(Q21/Q$15,"n/a")</f>
        <v>n/a</v>
      </c>
      <c r="R65" s="57" t="str">
        <f aca="false">IFERROR(R21/R$15,"n/a")</f>
        <v>n/a</v>
      </c>
      <c r="S65" s="57" t="str">
        <f aca="false">IFERROR(S21/S$15,"n/a")</f>
        <v>n/a</v>
      </c>
      <c r="T65" s="57" t="str">
        <f aca="false">IFERROR(T21/T$15,"n/a")</f>
        <v>n/a</v>
      </c>
      <c r="U65" s="57" t="str">
        <f aca="false">IFERROR(U21/U$15,"n/a")</f>
        <v>n/a</v>
      </c>
      <c r="V65" s="57" t="str">
        <f aca="false">IFERROR(V21/V$15,"n/a")</f>
        <v>n/a</v>
      </c>
      <c r="W65" s="57" t="str">
        <f aca="false">IFERROR(W21/W$15,"n/a")</f>
        <v>n/a</v>
      </c>
      <c r="X65" s="57" t="str">
        <f aca="false">IFERROR(X21/X$15,"n/a")</f>
        <v>n/a</v>
      </c>
      <c r="Y65" s="57" t="str">
        <f aca="false">IFERROR(Y21/Y$15,"n/a")</f>
        <v>n/a</v>
      </c>
      <c r="Z65" s="57" t="str">
        <f aca="false">IFERROR(Z21/Z$15,"n/a")</f>
        <v>n/a</v>
      </c>
      <c r="AA65" s="57" t="str">
        <f aca="false">IFERROR(AA21/AA$15,"n/a")</f>
        <v>n/a</v>
      </c>
      <c r="AB65" s="57" t="str">
        <f aca="false">IFERROR(AB21/AB$15,"n/a")</f>
        <v>n/a</v>
      </c>
      <c r="AC65" s="57" t="str">
        <f aca="false">IFERROR(AC21/AC$15,"n/a")</f>
        <v>n/a</v>
      </c>
      <c r="AD65" s="57" t="str">
        <f aca="false">IFERROR(AD21/AD$15,"n/a")</f>
        <v>n/a</v>
      </c>
      <c r="AE65" s="57" t="str">
        <f aca="false">IFERROR(AE21/AE$15,"n/a")</f>
        <v>n/a</v>
      </c>
      <c r="AF65" s="57" t="str">
        <f aca="false">IFERROR(AF21/AF$15,"n/a")</f>
        <v>n/a</v>
      </c>
      <c r="AG65" s="57" t="str">
        <f aca="false">IFERROR(AG21/AG$15,"n/a")</f>
        <v>n/a</v>
      </c>
      <c r="AH65" s="57" t="str">
        <f aca="false">IFERROR(AH21/AH$15,"n/a")</f>
        <v>n/a</v>
      </c>
      <c r="AI65" s="57" t="str">
        <f aca="false">IFERROR(AI21/AI$15,"n/a")</f>
        <v>n/a</v>
      </c>
      <c r="AJ65" s="57" t="str">
        <f aca="false">IFERROR(AJ21/AJ$15,"n/a")</f>
        <v>n/a</v>
      </c>
      <c r="AK65" s="57" t="str">
        <f aca="false">IFERROR(AK21/AK$15,"n/a")</f>
        <v>n/a</v>
      </c>
      <c r="AL65" s="57" t="str">
        <f aca="false">IFERROR(AL21/AL$15,"n/a")</f>
        <v>n/a</v>
      </c>
      <c r="AM65" s="57" t="str">
        <f aca="false">IFERROR(AM21/AM$15,"n/a")</f>
        <v>n/a</v>
      </c>
      <c r="AN65" s="57" t="str">
        <f aca="false">IFERROR(AN21/AN$15,"n/a")</f>
        <v>n/a</v>
      </c>
      <c r="AO65" s="57" t="str">
        <f aca="false">IFERROR(AO21/AO$15,"n/a")</f>
        <v>n/a</v>
      </c>
      <c r="AP65" s="57" t="str">
        <f aca="false">IFERROR(AP21/AP$15,"n/a")</f>
        <v>n/a</v>
      </c>
      <c r="AQ65" s="57" t="str">
        <f aca="false">IFERROR(AQ21/AQ$15,"n/a")</f>
        <v>n/a</v>
      </c>
      <c r="AR65" s="57" t="str">
        <f aca="false">IFERROR(AR21/AR$15,"n/a")</f>
        <v>n/a</v>
      </c>
      <c r="AS65" s="57" t="str">
        <f aca="false">IFERROR(AS21/AS$15,"n/a")</f>
        <v>n/a</v>
      </c>
      <c r="AT65" s="57" t="str">
        <f aca="false">IFERROR(AT21/AT$15,"n/a")</f>
        <v>n/a</v>
      </c>
      <c r="AU65" s="403" t="str">
        <f aca="false">IFERROR(AU21/AU$15,"n/a")</f>
        <v>n/a</v>
      </c>
      <c r="AV65" s="403" t="str">
        <f aca="false">IFERROR(AV21/AV$15,"n/a")</f>
        <v>n/a</v>
      </c>
      <c r="AW65" s="403" t="str">
        <f aca="false">IFERROR(AW21/AW$15,"n/a")</f>
        <v>n/a</v>
      </c>
      <c r="AX65" s="403" t="str">
        <f aca="false">IFERROR(AX21/AX$15,"n/a")</f>
        <v>n/a</v>
      </c>
      <c r="AY65" s="403" t="str">
        <f aca="false">IFERROR(AY21/AY$15,"n/a")</f>
        <v>n/a</v>
      </c>
      <c r="AZ65" s="403" t="str">
        <f aca="false">IFERROR(AZ21/AZ$15,"n/a")</f>
        <v>n/a</v>
      </c>
      <c r="BA65" s="403" t="str">
        <f aca="false">IFERROR(BA21/BA$15,"n/a")</f>
        <v>n/a</v>
      </c>
      <c r="BB65" s="403" t="str">
        <f aca="false">IFERROR(BB21/BB$15,"n/a")</f>
        <v>n/a</v>
      </c>
      <c r="BC65" s="403" t="str">
        <f aca="false">IFERROR(BC21/BC$15,"n/a")</f>
        <v>n/a</v>
      </c>
      <c r="BD65" s="403" t="str">
        <f aca="false">IFERROR(BD21/BD$15,"n/a")</f>
        <v>n/a</v>
      </c>
      <c r="BE65" s="403" t="str">
        <f aca="false">IFERROR(BE21/BE$15,"n/a")</f>
        <v>n/a</v>
      </c>
      <c r="BF65" s="403" t="str">
        <f aca="false">IFERROR(BF21/BF$15,"n/a")</f>
        <v>n/a</v>
      </c>
      <c r="BG65" s="403" t="str">
        <f aca="false">IFERROR(BG21/BG$15,"n/a")</f>
        <v>n/a</v>
      </c>
      <c r="BH65" s="403" t="str">
        <f aca="false">IFERROR(BH21/BH$15,"n/a")</f>
        <v>n/a</v>
      </c>
      <c r="BI65" s="403" t="str">
        <f aca="false">IFERROR(BI21/BI$15,"n/a")</f>
        <v>n/a</v>
      </c>
      <c r="BJ65" s="403" t="str">
        <f aca="false">IFERROR(BJ21/BJ$15,"n/a")</f>
        <v>n/a</v>
      </c>
      <c r="BK65" s="403" t="str">
        <f aca="false">IFERROR(BK21/BK$15,"n/a")</f>
        <v>n/a</v>
      </c>
      <c r="BL65" s="403" t="str">
        <f aca="false">IFERROR(BL21/BL$15,"n/a")</f>
        <v>n/a</v>
      </c>
      <c r="BM65" s="403" t="str">
        <f aca="false">IFERROR(BM21/BM$15,"n/a")</f>
        <v>n/a</v>
      </c>
      <c r="BN65" s="403" t="str">
        <f aca="false">IFERROR(BN21/BN$15,"n/a")</f>
        <v>n/a</v>
      </c>
      <c r="BO65" s="403" t="str">
        <f aca="false">IFERROR(BO21/BO$15,"n/a")</f>
        <v>n/a</v>
      </c>
      <c r="BP65" s="403" t="str">
        <f aca="false">IFERROR(BP21/BP$15,"n/a")</f>
        <v>n/a</v>
      </c>
      <c r="BQ65" s="403" t="str">
        <f aca="false">IFERROR(BQ21/BQ$15,"n/a")</f>
        <v>n/a</v>
      </c>
      <c r="BR65" s="403" t="str">
        <f aca="false">IFERROR(BR21/BR$15,"n/a")</f>
        <v>n/a</v>
      </c>
      <c r="BS65" s="403" t="str">
        <f aca="false">IFERROR(BS21/BS$15,"n/a")</f>
        <v>n/a</v>
      </c>
      <c r="BT65" s="403" t="str">
        <f aca="false">IFERROR(BT21/BT$15,"n/a")</f>
        <v>n/a</v>
      </c>
      <c r="BU65" s="403" t="str">
        <f aca="false">IFERROR(BU21/BU$15,"n/a")</f>
        <v>n/a</v>
      </c>
      <c r="BV65" s="403" t="str">
        <f aca="false">IFERROR(BV21/BV$15,"n/a")</f>
        <v>n/a</v>
      </c>
      <c r="BW65" s="403" t="str">
        <f aca="false">IFERROR(BW21/BW$15,"n/a")</f>
        <v>n/a</v>
      </c>
      <c r="BX65" s="403" t="str">
        <f aca="false">IFERROR(BX21/BX$15,"n/a")</f>
        <v>n/a</v>
      </c>
      <c r="BY65" s="403" t="str">
        <f aca="false">IFERROR(BY21/BY$15,"n/a")</f>
        <v>n/a</v>
      </c>
      <c r="BZ65" s="403" t="str">
        <f aca="false">IFERROR(BZ21/BZ$15,"n/a")</f>
        <v>n/a</v>
      </c>
      <c r="CA65" s="403" t="str">
        <f aca="false">IFERROR(CA21/CA$15,"n/a")</f>
        <v>n/a</v>
      </c>
      <c r="CB65" s="403" t="str">
        <f aca="false">IFERROR(CB21/CB$15,"n/a")</f>
        <v>n/a</v>
      </c>
      <c r="CC65" s="403" t="str">
        <f aca="false">IFERROR(CC21/CC$15,"n/a")</f>
        <v>n/a</v>
      </c>
      <c r="CD65" s="403" t="str">
        <f aca="false">IFERROR(CD21/CD$15,"n/a")</f>
        <v>n/a</v>
      </c>
      <c r="CE65" s="403" t="str">
        <f aca="false">IFERROR(CE21/CE$15,"n/a")</f>
        <v>n/a</v>
      </c>
      <c r="CF65" s="403" t="str">
        <f aca="false">IFERROR(CF21/CF$15,"n/a")</f>
        <v>n/a</v>
      </c>
      <c r="CG65" s="403" t="str">
        <f aca="false">IFERROR(CG21/CG$15,"n/a")</f>
        <v>n/a</v>
      </c>
      <c r="CH65" s="403" t="str">
        <f aca="false">IFERROR(CH21/CH$15,"n/a")</f>
        <v>n/a</v>
      </c>
      <c r="CI65" s="403" t="str">
        <f aca="false">IFERROR(CI21/CI$15,"n/a")</f>
        <v>n/a</v>
      </c>
      <c r="CJ65" s="403" t="str">
        <f aca="false">IFERROR(CJ21/CJ$15,"n/a")</f>
        <v>n/a</v>
      </c>
      <c r="CK65" s="403" t="str">
        <f aca="false">IFERROR(CK21/CK$15,"n/a")</f>
        <v>n/a</v>
      </c>
    </row>
    <row r="66" s="143" customFormat="true" ht="11.25" hidden="false" customHeight="true" outlineLevel="0" collapsed="false">
      <c r="C66" s="51" t="str">
        <f aca="false">C22</f>
        <v>Raumkosten</v>
      </c>
      <c r="D66" s="51" t="str">
        <f aca="false">D22</f>
        <v>Premise costs</v>
      </c>
      <c r="E66" s="51"/>
      <c r="F66" s="57" t="str">
        <f aca="false">IFERROR(F22/F$15,"n/a")</f>
        <v>n/a</v>
      </c>
      <c r="G66" s="57" t="str">
        <f aca="false">IFERROR(G22/G$15,"n/a")</f>
        <v>n/a</v>
      </c>
      <c r="H66" s="57" t="str">
        <f aca="false">IFERROR(H22/H$15,"n/a")</f>
        <v>n/a</v>
      </c>
      <c r="I66" s="57" t="str">
        <f aca="false">IFERROR(I22/I$15,"n/a")</f>
        <v>n/a</v>
      </c>
      <c r="J66" s="57" t="str">
        <f aca="false">IFERROR(J22/J$15,"n/a")</f>
        <v>n/a</v>
      </c>
      <c r="K66" s="57" t="str">
        <f aca="false">IFERROR(K22/K$15,"n/a")</f>
        <v>n/a</v>
      </c>
      <c r="L66" s="57" t="str">
        <f aca="false">IFERROR(L22/L$15,"n/a")</f>
        <v>n/a</v>
      </c>
      <c r="M66" s="57" t="str">
        <f aca="false">IFERROR(M22/M$15,"n/a")</f>
        <v>n/a</v>
      </c>
      <c r="N66" s="57" t="str">
        <f aca="false">IFERROR(N22/N$15,"n/a")</f>
        <v>n/a</v>
      </c>
      <c r="O66" s="57" t="str">
        <f aca="false">IFERROR(O22/O$15,"n/a")</f>
        <v>n/a</v>
      </c>
      <c r="P66" s="57" t="str">
        <f aca="false">IFERROR(P22/P$15,"n/a")</f>
        <v>n/a</v>
      </c>
      <c r="Q66" s="57" t="str">
        <f aca="false">IFERROR(Q22/Q$15,"n/a")</f>
        <v>n/a</v>
      </c>
      <c r="R66" s="57" t="str">
        <f aca="false">IFERROR(R22/R$15,"n/a")</f>
        <v>n/a</v>
      </c>
      <c r="S66" s="57" t="str">
        <f aca="false">IFERROR(S22/S$15,"n/a")</f>
        <v>n/a</v>
      </c>
      <c r="T66" s="57" t="str">
        <f aca="false">IFERROR(T22/T$15,"n/a")</f>
        <v>n/a</v>
      </c>
      <c r="U66" s="57" t="str">
        <f aca="false">IFERROR(U22/U$15,"n/a")</f>
        <v>n/a</v>
      </c>
      <c r="V66" s="57" t="str">
        <f aca="false">IFERROR(V22/V$15,"n/a")</f>
        <v>n/a</v>
      </c>
      <c r="W66" s="57" t="str">
        <f aca="false">IFERROR(W22/W$15,"n/a")</f>
        <v>n/a</v>
      </c>
      <c r="X66" s="57" t="str">
        <f aca="false">IFERROR(X22/X$15,"n/a")</f>
        <v>n/a</v>
      </c>
      <c r="Y66" s="57" t="str">
        <f aca="false">IFERROR(Y22/Y$15,"n/a")</f>
        <v>n/a</v>
      </c>
      <c r="Z66" s="57" t="str">
        <f aca="false">IFERROR(Z22/Z$15,"n/a")</f>
        <v>n/a</v>
      </c>
      <c r="AA66" s="57" t="str">
        <f aca="false">IFERROR(AA22/AA$15,"n/a")</f>
        <v>n/a</v>
      </c>
      <c r="AB66" s="57" t="str">
        <f aca="false">IFERROR(AB22/AB$15,"n/a")</f>
        <v>n/a</v>
      </c>
      <c r="AC66" s="57" t="str">
        <f aca="false">IFERROR(AC22/AC$15,"n/a")</f>
        <v>n/a</v>
      </c>
      <c r="AD66" s="57" t="str">
        <f aca="false">IFERROR(AD22/AD$15,"n/a")</f>
        <v>n/a</v>
      </c>
      <c r="AE66" s="57" t="str">
        <f aca="false">IFERROR(AE22/AE$15,"n/a")</f>
        <v>n/a</v>
      </c>
      <c r="AF66" s="57" t="str">
        <f aca="false">IFERROR(AF22/AF$15,"n/a")</f>
        <v>n/a</v>
      </c>
      <c r="AG66" s="57" t="str">
        <f aca="false">IFERROR(AG22/AG$15,"n/a")</f>
        <v>n/a</v>
      </c>
      <c r="AH66" s="57" t="str">
        <f aca="false">IFERROR(AH22/AH$15,"n/a")</f>
        <v>n/a</v>
      </c>
      <c r="AI66" s="57" t="str">
        <f aca="false">IFERROR(AI22/AI$15,"n/a")</f>
        <v>n/a</v>
      </c>
      <c r="AJ66" s="57" t="str">
        <f aca="false">IFERROR(AJ22/AJ$15,"n/a")</f>
        <v>n/a</v>
      </c>
      <c r="AK66" s="57" t="str">
        <f aca="false">IFERROR(AK22/AK$15,"n/a")</f>
        <v>n/a</v>
      </c>
      <c r="AL66" s="57" t="str">
        <f aca="false">IFERROR(AL22/AL$15,"n/a")</f>
        <v>n/a</v>
      </c>
      <c r="AM66" s="57" t="str">
        <f aca="false">IFERROR(AM22/AM$15,"n/a")</f>
        <v>n/a</v>
      </c>
      <c r="AN66" s="57" t="str">
        <f aca="false">IFERROR(AN22/AN$15,"n/a")</f>
        <v>n/a</v>
      </c>
      <c r="AO66" s="57" t="str">
        <f aca="false">IFERROR(AO22/AO$15,"n/a")</f>
        <v>n/a</v>
      </c>
      <c r="AP66" s="57" t="str">
        <f aca="false">IFERROR(AP22/AP$15,"n/a")</f>
        <v>n/a</v>
      </c>
      <c r="AQ66" s="57" t="str">
        <f aca="false">IFERROR(AQ22/AQ$15,"n/a")</f>
        <v>n/a</v>
      </c>
      <c r="AR66" s="57" t="str">
        <f aca="false">IFERROR(AR22/AR$15,"n/a")</f>
        <v>n/a</v>
      </c>
      <c r="AS66" s="57" t="str">
        <f aca="false">IFERROR(AS22/AS$15,"n/a")</f>
        <v>n/a</v>
      </c>
      <c r="AT66" s="57" t="str">
        <f aca="false">IFERROR(AT22/AT$15,"n/a")</f>
        <v>n/a</v>
      </c>
      <c r="AU66" s="403" t="str">
        <f aca="false">IFERROR(AU22/AU$15,"n/a")</f>
        <v>n/a</v>
      </c>
      <c r="AV66" s="403" t="str">
        <f aca="false">IFERROR(AV22/AV$15,"n/a")</f>
        <v>n/a</v>
      </c>
      <c r="AW66" s="403" t="str">
        <f aca="false">IFERROR(AW22/AW$15,"n/a")</f>
        <v>n/a</v>
      </c>
      <c r="AX66" s="403" t="str">
        <f aca="false">IFERROR(AX22/AX$15,"n/a")</f>
        <v>n/a</v>
      </c>
      <c r="AY66" s="403" t="str">
        <f aca="false">IFERROR(AY22/AY$15,"n/a")</f>
        <v>n/a</v>
      </c>
      <c r="AZ66" s="403" t="str">
        <f aca="false">IFERROR(AZ22/AZ$15,"n/a")</f>
        <v>n/a</v>
      </c>
      <c r="BA66" s="403" t="str">
        <f aca="false">IFERROR(BA22/BA$15,"n/a")</f>
        <v>n/a</v>
      </c>
      <c r="BB66" s="403" t="str">
        <f aca="false">IFERROR(BB22/BB$15,"n/a")</f>
        <v>n/a</v>
      </c>
      <c r="BC66" s="403" t="str">
        <f aca="false">IFERROR(BC22/BC$15,"n/a")</f>
        <v>n/a</v>
      </c>
      <c r="BD66" s="403" t="str">
        <f aca="false">IFERROR(BD22/BD$15,"n/a")</f>
        <v>n/a</v>
      </c>
      <c r="BE66" s="403" t="str">
        <f aca="false">IFERROR(BE22/BE$15,"n/a")</f>
        <v>n/a</v>
      </c>
      <c r="BF66" s="403" t="str">
        <f aca="false">IFERROR(BF22/BF$15,"n/a")</f>
        <v>n/a</v>
      </c>
      <c r="BG66" s="403" t="str">
        <f aca="false">IFERROR(BG22/BG$15,"n/a")</f>
        <v>n/a</v>
      </c>
      <c r="BH66" s="403" t="str">
        <f aca="false">IFERROR(BH22/BH$15,"n/a")</f>
        <v>n/a</v>
      </c>
      <c r="BI66" s="403" t="str">
        <f aca="false">IFERROR(BI22/BI$15,"n/a")</f>
        <v>n/a</v>
      </c>
      <c r="BJ66" s="403" t="str">
        <f aca="false">IFERROR(BJ22/BJ$15,"n/a")</f>
        <v>n/a</v>
      </c>
      <c r="BK66" s="403" t="str">
        <f aca="false">IFERROR(BK22/BK$15,"n/a")</f>
        <v>n/a</v>
      </c>
      <c r="BL66" s="403" t="str">
        <f aca="false">IFERROR(BL22/BL$15,"n/a")</f>
        <v>n/a</v>
      </c>
      <c r="BM66" s="403" t="str">
        <f aca="false">IFERROR(BM22/BM$15,"n/a")</f>
        <v>n/a</v>
      </c>
      <c r="BN66" s="403" t="str">
        <f aca="false">IFERROR(BN22/BN$15,"n/a")</f>
        <v>n/a</v>
      </c>
      <c r="BO66" s="403" t="str">
        <f aca="false">IFERROR(BO22/BO$15,"n/a")</f>
        <v>n/a</v>
      </c>
      <c r="BP66" s="403" t="str">
        <f aca="false">IFERROR(BP22/BP$15,"n/a")</f>
        <v>n/a</v>
      </c>
      <c r="BQ66" s="403" t="str">
        <f aca="false">IFERROR(BQ22/BQ$15,"n/a")</f>
        <v>n/a</v>
      </c>
      <c r="BR66" s="403" t="str">
        <f aca="false">IFERROR(BR22/BR$15,"n/a")</f>
        <v>n/a</v>
      </c>
      <c r="BS66" s="403" t="str">
        <f aca="false">IFERROR(BS22/BS$15,"n/a")</f>
        <v>n/a</v>
      </c>
      <c r="BT66" s="403" t="str">
        <f aca="false">IFERROR(BT22/BT$15,"n/a")</f>
        <v>n/a</v>
      </c>
      <c r="BU66" s="403" t="str">
        <f aca="false">IFERROR(BU22/BU$15,"n/a")</f>
        <v>n/a</v>
      </c>
      <c r="BV66" s="403" t="str">
        <f aca="false">IFERROR(BV22/BV$15,"n/a")</f>
        <v>n/a</v>
      </c>
      <c r="BW66" s="403" t="str">
        <f aca="false">IFERROR(BW22/BW$15,"n/a")</f>
        <v>n/a</v>
      </c>
      <c r="BX66" s="403" t="str">
        <f aca="false">IFERROR(BX22/BX$15,"n/a")</f>
        <v>n/a</v>
      </c>
      <c r="BY66" s="403" t="str">
        <f aca="false">IFERROR(BY22/BY$15,"n/a")</f>
        <v>n/a</v>
      </c>
      <c r="BZ66" s="403" t="str">
        <f aca="false">IFERROR(BZ22/BZ$15,"n/a")</f>
        <v>n/a</v>
      </c>
      <c r="CA66" s="403" t="str">
        <f aca="false">IFERROR(CA22/CA$15,"n/a")</f>
        <v>n/a</v>
      </c>
      <c r="CB66" s="403" t="str">
        <f aca="false">IFERROR(CB22/CB$15,"n/a")</f>
        <v>n/a</v>
      </c>
      <c r="CC66" s="403" t="str">
        <f aca="false">IFERROR(CC22/CC$15,"n/a")</f>
        <v>n/a</v>
      </c>
      <c r="CD66" s="403" t="str">
        <f aca="false">IFERROR(CD22/CD$15,"n/a")</f>
        <v>n/a</v>
      </c>
      <c r="CE66" s="403" t="str">
        <f aca="false">IFERROR(CE22/CE$15,"n/a")</f>
        <v>n/a</v>
      </c>
      <c r="CF66" s="403" t="str">
        <f aca="false">IFERROR(CF22/CF$15,"n/a")</f>
        <v>n/a</v>
      </c>
      <c r="CG66" s="403" t="str">
        <f aca="false">IFERROR(CG22/CG$15,"n/a")</f>
        <v>n/a</v>
      </c>
      <c r="CH66" s="403" t="str">
        <f aca="false">IFERROR(CH22/CH$15,"n/a")</f>
        <v>n/a</v>
      </c>
      <c r="CI66" s="403" t="str">
        <f aca="false">IFERROR(CI22/CI$15,"n/a")</f>
        <v>n/a</v>
      </c>
      <c r="CJ66" s="403" t="str">
        <f aca="false">IFERROR(CJ22/CJ$15,"n/a")</f>
        <v>n/a</v>
      </c>
      <c r="CK66" s="403" t="str">
        <f aca="false">IFERROR(CK22/CK$15,"n/a")</f>
        <v>n/a</v>
      </c>
    </row>
    <row r="67" s="143" customFormat="true" ht="11.25" hidden="false" customHeight="true" outlineLevel="0" collapsed="false">
      <c r="C67" s="51" t="str">
        <f aca="false">C23</f>
        <v>Reparaturen und Instandhaltungen</v>
      </c>
      <c r="D67" s="51" t="str">
        <f aca="false">D23</f>
        <v>Repair and maintenance</v>
      </c>
      <c r="E67" s="51"/>
      <c r="F67" s="57" t="str">
        <f aca="false">IFERROR(F23/F$15,"n/a")</f>
        <v>n/a</v>
      </c>
      <c r="G67" s="57" t="str">
        <f aca="false">IFERROR(G23/G$15,"n/a")</f>
        <v>n/a</v>
      </c>
      <c r="H67" s="57" t="str">
        <f aca="false">IFERROR(H23/H$15,"n/a")</f>
        <v>n/a</v>
      </c>
      <c r="I67" s="57" t="str">
        <f aca="false">IFERROR(I23/I$15,"n/a")</f>
        <v>n/a</v>
      </c>
      <c r="J67" s="57" t="str">
        <f aca="false">IFERROR(J23/J$15,"n/a")</f>
        <v>n/a</v>
      </c>
      <c r="K67" s="57" t="str">
        <f aca="false">IFERROR(K23/K$15,"n/a")</f>
        <v>n/a</v>
      </c>
      <c r="L67" s="57" t="str">
        <f aca="false">IFERROR(L23/L$15,"n/a")</f>
        <v>n/a</v>
      </c>
      <c r="M67" s="57" t="str">
        <f aca="false">IFERROR(M23/M$15,"n/a")</f>
        <v>n/a</v>
      </c>
      <c r="N67" s="57" t="str">
        <f aca="false">IFERROR(N23/N$15,"n/a")</f>
        <v>n/a</v>
      </c>
      <c r="O67" s="57" t="str">
        <f aca="false">IFERROR(O23/O$15,"n/a")</f>
        <v>n/a</v>
      </c>
      <c r="P67" s="57" t="str">
        <f aca="false">IFERROR(P23/P$15,"n/a")</f>
        <v>n/a</v>
      </c>
      <c r="Q67" s="57" t="str">
        <f aca="false">IFERROR(Q23/Q$15,"n/a")</f>
        <v>n/a</v>
      </c>
      <c r="R67" s="57" t="str">
        <f aca="false">IFERROR(R23/R$15,"n/a")</f>
        <v>n/a</v>
      </c>
      <c r="S67" s="57" t="str">
        <f aca="false">IFERROR(S23/S$15,"n/a")</f>
        <v>n/a</v>
      </c>
      <c r="T67" s="57" t="str">
        <f aca="false">IFERROR(T23/T$15,"n/a")</f>
        <v>n/a</v>
      </c>
      <c r="U67" s="57" t="str">
        <f aca="false">IFERROR(U23/U$15,"n/a")</f>
        <v>n/a</v>
      </c>
      <c r="V67" s="57" t="str">
        <f aca="false">IFERROR(V23/V$15,"n/a")</f>
        <v>n/a</v>
      </c>
      <c r="W67" s="57" t="str">
        <f aca="false">IFERROR(W23/W$15,"n/a")</f>
        <v>n/a</v>
      </c>
      <c r="X67" s="57" t="str">
        <f aca="false">IFERROR(X23/X$15,"n/a")</f>
        <v>n/a</v>
      </c>
      <c r="Y67" s="57" t="str">
        <f aca="false">IFERROR(Y23/Y$15,"n/a")</f>
        <v>n/a</v>
      </c>
      <c r="Z67" s="57" t="str">
        <f aca="false">IFERROR(Z23/Z$15,"n/a")</f>
        <v>n/a</v>
      </c>
      <c r="AA67" s="57" t="str">
        <f aca="false">IFERROR(AA23/AA$15,"n/a")</f>
        <v>n/a</v>
      </c>
      <c r="AB67" s="57" t="str">
        <f aca="false">IFERROR(AB23/AB$15,"n/a")</f>
        <v>n/a</v>
      </c>
      <c r="AC67" s="57" t="str">
        <f aca="false">IFERROR(AC23/AC$15,"n/a")</f>
        <v>n/a</v>
      </c>
      <c r="AD67" s="57" t="str">
        <f aca="false">IFERROR(AD23/AD$15,"n/a")</f>
        <v>n/a</v>
      </c>
      <c r="AE67" s="57" t="str">
        <f aca="false">IFERROR(AE23/AE$15,"n/a")</f>
        <v>n/a</v>
      </c>
      <c r="AF67" s="57" t="str">
        <f aca="false">IFERROR(AF23/AF$15,"n/a")</f>
        <v>n/a</v>
      </c>
      <c r="AG67" s="57" t="str">
        <f aca="false">IFERROR(AG23/AG$15,"n/a")</f>
        <v>n/a</v>
      </c>
      <c r="AH67" s="57" t="str">
        <f aca="false">IFERROR(AH23/AH$15,"n/a")</f>
        <v>n/a</v>
      </c>
      <c r="AI67" s="57" t="str">
        <f aca="false">IFERROR(AI23/AI$15,"n/a")</f>
        <v>n/a</v>
      </c>
      <c r="AJ67" s="57" t="str">
        <f aca="false">IFERROR(AJ23/AJ$15,"n/a")</f>
        <v>n/a</v>
      </c>
      <c r="AK67" s="57" t="str">
        <f aca="false">IFERROR(AK23/AK$15,"n/a")</f>
        <v>n/a</v>
      </c>
      <c r="AL67" s="57" t="str">
        <f aca="false">IFERROR(AL23/AL$15,"n/a")</f>
        <v>n/a</v>
      </c>
      <c r="AM67" s="57" t="str">
        <f aca="false">IFERROR(AM23/AM$15,"n/a")</f>
        <v>n/a</v>
      </c>
      <c r="AN67" s="57" t="str">
        <f aca="false">IFERROR(AN23/AN$15,"n/a")</f>
        <v>n/a</v>
      </c>
      <c r="AO67" s="57" t="str">
        <f aca="false">IFERROR(AO23/AO$15,"n/a")</f>
        <v>n/a</v>
      </c>
      <c r="AP67" s="57" t="str">
        <f aca="false">IFERROR(AP23/AP$15,"n/a")</f>
        <v>n/a</v>
      </c>
      <c r="AQ67" s="57" t="str">
        <f aca="false">IFERROR(AQ23/AQ$15,"n/a")</f>
        <v>n/a</v>
      </c>
      <c r="AR67" s="57" t="str">
        <f aca="false">IFERROR(AR23/AR$15,"n/a")</f>
        <v>n/a</v>
      </c>
      <c r="AS67" s="57" t="str">
        <f aca="false">IFERROR(AS23/AS$15,"n/a")</f>
        <v>n/a</v>
      </c>
      <c r="AT67" s="57" t="str">
        <f aca="false">IFERROR(AT23/AT$15,"n/a")</f>
        <v>n/a</v>
      </c>
      <c r="AU67" s="403" t="str">
        <f aca="false">IFERROR(AU23/AU$15,"n/a")</f>
        <v>n/a</v>
      </c>
      <c r="AV67" s="403" t="str">
        <f aca="false">IFERROR(AV23/AV$15,"n/a")</f>
        <v>n/a</v>
      </c>
      <c r="AW67" s="403" t="str">
        <f aca="false">IFERROR(AW23/AW$15,"n/a")</f>
        <v>n/a</v>
      </c>
      <c r="AX67" s="403" t="str">
        <f aca="false">IFERROR(AX23/AX$15,"n/a")</f>
        <v>n/a</v>
      </c>
      <c r="AY67" s="403" t="str">
        <f aca="false">IFERROR(AY23/AY$15,"n/a")</f>
        <v>n/a</v>
      </c>
      <c r="AZ67" s="403" t="str">
        <f aca="false">IFERROR(AZ23/AZ$15,"n/a")</f>
        <v>n/a</v>
      </c>
      <c r="BA67" s="403" t="str">
        <f aca="false">IFERROR(BA23/BA$15,"n/a")</f>
        <v>n/a</v>
      </c>
      <c r="BB67" s="403" t="str">
        <f aca="false">IFERROR(BB23/BB$15,"n/a")</f>
        <v>n/a</v>
      </c>
      <c r="BC67" s="403" t="str">
        <f aca="false">IFERROR(BC23/BC$15,"n/a")</f>
        <v>n/a</v>
      </c>
      <c r="BD67" s="403" t="str">
        <f aca="false">IFERROR(BD23/BD$15,"n/a")</f>
        <v>n/a</v>
      </c>
      <c r="BE67" s="403" t="str">
        <f aca="false">IFERROR(BE23/BE$15,"n/a")</f>
        <v>n/a</v>
      </c>
      <c r="BF67" s="403" t="str">
        <f aca="false">IFERROR(BF23/BF$15,"n/a")</f>
        <v>n/a</v>
      </c>
      <c r="BG67" s="403" t="str">
        <f aca="false">IFERROR(BG23/BG$15,"n/a")</f>
        <v>n/a</v>
      </c>
      <c r="BH67" s="403" t="str">
        <f aca="false">IFERROR(BH23/BH$15,"n/a")</f>
        <v>n/a</v>
      </c>
      <c r="BI67" s="403" t="str">
        <f aca="false">IFERROR(BI23/BI$15,"n/a")</f>
        <v>n/a</v>
      </c>
      <c r="BJ67" s="403" t="str">
        <f aca="false">IFERROR(BJ23/BJ$15,"n/a")</f>
        <v>n/a</v>
      </c>
      <c r="BK67" s="403" t="str">
        <f aca="false">IFERROR(BK23/BK$15,"n/a")</f>
        <v>n/a</v>
      </c>
      <c r="BL67" s="403" t="str">
        <f aca="false">IFERROR(BL23/BL$15,"n/a")</f>
        <v>n/a</v>
      </c>
      <c r="BM67" s="403" t="str">
        <f aca="false">IFERROR(BM23/BM$15,"n/a")</f>
        <v>n/a</v>
      </c>
      <c r="BN67" s="403" t="str">
        <f aca="false">IFERROR(BN23/BN$15,"n/a")</f>
        <v>n/a</v>
      </c>
      <c r="BO67" s="403" t="str">
        <f aca="false">IFERROR(BO23/BO$15,"n/a")</f>
        <v>n/a</v>
      </c>
      <c r="BP67" s="403" t="str">
        <f aca="false">IFERROR(BP23/BP$15,"n/a")</f>
        <v>n/a</v>
      </c>
      <c r="BQ67" s="403" t="str">
        <f aca="false">IFERROR(BQ23/BQ$15,"n/a")</f>
        <v>n/a</v>
      </c>
      <c r="BR67" s="403" t="str">
        <f aca="false">IFERROR(BR23/BR$15,"n/a")</f>
        <v>n/a</v>
      </c>
      <c r="BS67" s="403" t="str">
        <f aca="false">IFERROR(BS23/BS$15,"n/a")</f>
        <v>n/a</v>
      </c>
      <c r="BT67" s="403" t="str">
        <f aca="false">IFERROR(BT23/BT$15,"n/a")</f>
        <v>n/a</v>
      </c>
      <c r="BU67" s="403" t="str">
        <f aca="false">IFERROR(BU23/BU$15,"n/a")</f>
        <v>n/a</v>
      </c>
      <c r="BV67" s="403" t="str">
        <f aca="false">IFERROR(BV23/BV$15,"n/a")</f>
        <v>n/a</v>
      </c>
      <c r="BW67" s="403" t="str">
        <f aca="false">IFERROR(BW23/BW$15,"n/a")</f>
        <v>n/a</v>
      </c>
      <c r="BX67" s="403" t="str">
        <f aca="false">IFERROR(BX23/BX$15,"n/a")</f>
        <v>n/a</v>
      </c>
      <c r="BY67" s="403" t="str">
        <f aca="false">IFERROR(BY23/BY$15,"n/a")</f>
        <v>n/a</v>
      </c>
      <c r="BZ67" s="403" t="str">
        <f aca="false">IFERROR(BZ23/BZ$15,"n/a")</f>
        <v>n/a</v>
      </c>
      <c r="CA67" s="403" t="str">
        <f aca="false">IFERROR(CA23/CA$15,"n/a")</f>
        <v>n/a</v>
      </c>
      <c r="CB67" s="403" t="str">
        <f aca="false">IFERROR(CB23/CB$15,"n/a")</f>
        <v>n/a</v>
      </c>
      <c r="CC67" s="403" t="str">
        <f aca="false">IFERROR(CC23/CC$15,"n/a")</f>
        <v>n/a</v>
      </c>
      <c r="CD67" s="403" t="str">
        <f aca="false">IFERROR(CD23/CD$15,"n/a")</f>
        <v>n/a</v>
      </c>
      <c r="CE67" s="403" t="str">
        <f aca="false">IFERROR(CE23/CE$15,"n/a")</f>
        <v>n/a</v>
      </c>
      <c r="CF67" s="403" t="str">
        <f aca="false">IFERROR(CF23/CF$15,"n/a")</f>
        <v>n/a</v>
      </c>
      <c r="CG67" s="403" t="str">
        <f aca="false">IFERROR(CG23/CG$15,"n/a")</f>
        <v>n/a</v>
      </c>
      <c r="CH67" s="403" t="str">
        <f aca="false">IFERROR(CH23/CH$15,"n/a")</f>
        <v>n/a</v>
      </c>
      <c r="CI67" s="403" t="str">
        <f aca="false">IFERROR(CI23/CI$15,"n/a")</f>
        <v>n/a</v>
      </c>
      <c r="CJ67" s="403" t="str">
        <f aca="false">IFERROR(CJ23/CJ$15,"n/a")</f>
        <v>n/a</v>
      </c>
      <c r="CK67" s="403" t="str">
        <f aca="false">IFERROR(CK23/CK$15,"n/a")</f>
        <v>n/a</v>
      </c>
    </row>
    <row r="68" s="143" customFormat="true" ht="11.25" hidden="false" customHeight="true" outlineLevel="0" collapsed="false">
      <c r="C68" s="51" t="str">
        <f aca="false">C24</f>
        <v>Vertriebskosten</v>
      </c>
      <c r="D68" s="51" t="str">
        <f aca="false">D24</f>
        <v>Sales costs</v>
      </c>
      <c r="E68" s="51"/>
      <c r="F68" s="57" t="str">
        <f aca="false">IFERROR(F24/F$15,"n/a")</f>
        <v>n/a</v>
      </c>
      <c r="G68" s="57" t="str">
        <f aca="false">IFERROR(G24/G$15,"n/a")</f>
        <v>n/a</v>
      </c>
      <c r="H68" s="57" t="str">
        <f aca="false">IFERROR(H24/H$15,"n/a")</f>
        <v>n/a</v>
      </c>
      <c r="I68" s="57" t="str">
        <f aca="false">IFERROR(I24/I$15,"n/a")</f>
        <v>n/a</v>
      </c>
      <c r="J68" s="57" t="str">
        <f aca="false">IFERROR(J24/J$15,"n/a")</f>
        <v>n/a</v>
      </c>
      <c r="K68" s="57" t="str">
        <f aca="false">IFERROR(K24/K$15,"n/a")</f>
        <v>n/a</v>
      </c>
      <c r="L68" s="57" t="str">
        <f aca="false">IFERROR(L24/L$15,"n/a")</f>
        <v>n/a</v>
      </c>
      <c r="M68" s="57" t="str">
        <f aca="false">IFERROR(M24/M$15,"n/a")</f>
        <v>n/a</v>
      </c>
      <c r="N68" s="57" t="str">
        <f aca="false">IFERROR(N24/N$15,"n/a")</f>
        <v>n/a</v>
      </c>
      <c r="O68" s="57" t="str">
        <f aca="false">IFERROR(O24/O$15,"n/a")</f>
        <v>n/a</v>
      </c>
      <c r="P68" s="57" t="str">
        <f aca="false">IFERROR(P24/P$15,"n/a")</f>
        <v>n/a</v>
      </c>
      <c r="Q68" s="57" t="str">
        <f aca="false">IFERROR(Q24/Q$15,"n/a")</f>
        <v>n/a</v>
      </c>
      <c r="R68" s="57" t="str">
        <f aca="false">IFERROR(R24/R$15,"n/a")</f>
        <v>n/a</v>
      </c>
      <c r="S68" s="57" t="str">
        <f aca="false">IFERROR(S24/S$15,"n/a")</f>
        <v>n/a</v>
      </c>
      <c r="T68" s="57" t="str">
        <f aca="false">IFERROR(T24/T$15,"n/a")</f>
        <v>n/a</v>
      </c>
      <c r="U68" s="57" t="str">
        <f aca="false">IFERROR(U24/U$15,"n/a")</f>
        <v>n/a</v>
      </c>
      <c r="V68" s="57" t="str">
        <f aca="false">IFERROR(V24/V$15,"n/a")</f>
        <v>n/a</v>
      </c>
      <c r="W68" s="57" t="str">
        <f aca="false">IFERROR(W24/W$15,"n/a")</f>
        <v>n/a</v>
      </c>
      <c r="X68" s="57" t="str">
        <f aca="false">IFERROR(X24/X$15,"n/a")</f>
        <v>n/a</v>
      </c>
      <c r="Y68" s="57" t="str">
        <f aca="false">IFERROR(Y24/Y$15,"n/a")</f>
        <v>n/a</v>
      </c>
      <c r="Z68" s="57" t="str">
        <f aca="false">IFERROR(Z24/Z$15,"n/a")</f>
        <v>n/a</v>
      </c>
      <c r="AA68" s="57" t="str">
        <f aca="false">IFERROR(AA24/AA$15,"n/a")</f>
        <v>n/a</v>
      </c>
      <c r="AB68" s="57" t="str">
        <f aca="false">IFERROR(AB24/AB$15,"n/a")</f>
        <v>n/a</v>
      </c>
      <c r="AC68" s="57" t="str">
        <f aca="false">IFERROR(AC24/AC$15,"n/a")</f>
        <v>n/a</v>
      </c>
      <c r="AD68" s="57" t="str">
        <f aca="false">IFERROR(AD24/AD$15,"n/a")</f>
        <v>n/a</v>
      </c>
      <c r="AE68" s="57" t="str">
        <f aca="false">IFERROR(AE24/AE$15,"n/a")</f>
        <v>n/a</v>
      </c>
      <c r="AF68" s="57" t="str">
        <f aca="false">IFERROR(AF24/AF$15,"n/a")</f>
        <v>n/a</v>
      </c>
      <c r="AG68" s="57" t="str">
        <f aca="false">IFERROR(AG24/AG$15,"n/a")</f>
        <v>n/a</v>
      </c>
      <c r="AH68" s="57" t="str">
        <f aca="false">IFERROR(AH24/AH$15,"n/a")</f>
        <v>n/a</v>
      </c>
      <c r="AI68" s="57" t="str">
        <f aca="false">IFERROR(AI24/AI$15,"n/a")</f>
        <v>n/a</v>
      </c>
      <c r="AJ68" s="57" t="str">
        <f aca="false">IFERROR(AJ24/AJ$15,"n/a")</f>
        <v>n/a</v>
      </c>
      <c r="AK68" s="57" t="str">
        <f aca="false">IFERROR(AK24/AK$15,"n/a")</f>
        <v>n/a</v>
      </c>
      <c r="AL68" s="57" t="str">
        <f aca="false">IFERROR(AL24/AL$15,"n/a")</f>
        <v>n/a</v>
      </c>
      <c r="AM68" s="57" t="str">
        <f aca="false">IFERROR(AM24/AM$15,"n/a")</f>
        <v>n/a</v>
      </c>
      <c r="AN68" s="57" t="str">
        <f aca="false">IFERROR(AN24/AN$15,"n/a")</f>
        <v>n/a</v>
      </c>
      <c r="AO68" s="57" t="str">
        <f aca="false">IFERROR(AO24/AO$15,"n/a")</f>
        <v>n/a</v>
      </c>
      <c r="AP68" s="57" t="str">
        <f aca="false">IFERROR(AP24/AP$15,"n/a")</f>
        <v>n/a</v>
      </c>
      <c r="AQ68" s="57" t="str">
        <f aca="false">IFERROR(AQ24/AQ$15,"n/a")</f>
        <v>n/a</v>
      </c>
      <c r="AR68" s="57" t="str">
        <f aca="false">IFERROR(AR24/AR$15,"n/a")</f>
        <v>n/a</v>
      </c>
      <c r="AS68" s="57" t="str">
        <f aca="false">IFERROR(AS24/AS$15,"n/a")</f>
        <v>n/a</v>
      </c>
      <c r="AT68" s="57" t="str">
        <f aca="false">IFERROR(AT24/AT$15,"n/a")</f>
        <v>n/a</v>
      </c>
      <c r="AU68" s="403" t="str">
        <f aca="false">IFERROR(AU24/AU$15,"n/a")</f>
        <v>n/a</v>
      </c>
      <c r="AV68" s="403" t="str">
        <f aca="false">IFERROR(AV24/AV$15,"n/a")</f>
        <v>n/a</v>
      </c>
      <c r="AW68" s="403" t="str">
        <f aca="false">IFERROR(AW24/AW$15,"n/a")</f>
        <v>n/a</v>
      </c>
      <c r="AX68" s="403" t="str">
        <f aca="false">IFERROR(AX24/AX$15,"n/a")</f>
        <v>n/a</v>
      </c>
      <c r="AY68" s="403" t="str">
        <f aca="false">IFERROR(AY24/AY$15,"n/a")</f>
        <v>n/a</v>
      </c>
      <c r="AZ68" s="403" t="str">
        <f aca="false">IFERROR(AZ24/AZ$15,"n/a")</f>
        <v>n/a</v>
      </c>
      <c r="BA68" s="403" t="str">
        <f aca="false">IFERROR(BA24/BA$15,"n/a")</f>
        <v>n/a</v>
      </c>
      <c r="BB68" s="403" t="str">
        <f aca="false">IFERROR(BB24/BB$15,"n/a")</f>
        <v>n/a</v>
      </c>
      <c r="BC68" s="403" t="str">
        <f aca="false">IFERROR(BC24/BC$15,"n/a")</f>
        <v>n/a</v>
      </c>
      <c r="BD68" s="403" t="str">
        <f aca="false">IFERROR(BD24/BD$15,"n/a")</f>
        <v>n/a</v>
      </c>
      <c r="BE68" s="403" t="str">
        <f aca="false">IFERROR(BE24/BE$15,"n/a")</f>
        <v>n/a</v>
      </c>
      <c r="BF68" s="403" t="str">
        <f aca="false">IFERROR(BF24/BF$15,"n/a")</f>
        <v>n/a</v>
      </c>
      <c r="BG68" s="403" t="str">
        <f aca="false">IFERROR(BG24/BG$15,"n/a")</f>
        <v>n/a</v>
      </c>
      <c r="BH68" s="403" t="str">
        <f aca="false">IFERROR(BH24/BH$15,"n/a")</f>
        <v>n/a</v>
      </c>
      <c r="BI68" s="403" t="str">
        <f aca="false">IFERROR(BI24/BI$15,"n/a")</f>
        <v>n/a</v>
      </c>
      <c r="BJ68" s="403" t="str">
        <f aca="false">IFERROR(BJ24/BJ$15,"n/a")</f>
        <v>n/a</v>
      </c>
      <c r="BK68" s="403" t="str">
        <f aca="false">IFERROR(BK24/BK$15,"n/a")</f>
        <v>n/a</v>
      </c>
      <c r="BL68" s="403" t="str">
        <f aca="false">IFERROR(BL24/BL$15,"n/a")</f>
        <v>n/a</v>
      </c>
      <c r="BM68" s="403" t="str">
        <f aca="false">IFERROR(BM24/BM$15,"n/a")</f>
        <v>n/a</v>
      </c>
      <c r="BN68" s="403" t="str">
        <f aca="false">IFERROR(BN24/BN$15,"n/a")</f>
        <v>n/a</v>
      </c>
      <c r="BO68" s="403" t="str">
        <f aca="false">IFERROR(BO24/BO$15,"n/a")</f>
        <v>n/a</v>
      </c>
      <c r="BP68" s="403" t="str">
        <f aca="false">IFERROR(BP24/BP$15,"n/a")</f>
        <v>n/a</v>
      </c>
      <c r="BQ68" s="403" t="str">
        <f aca="false">IFERROR(BQ24/BQ$15,"n/a")</f>
        <v>n/a</v>
      </c>
      <c r="BR68" s="403" t="str">
        <f aca="false">IFERROR(BR24/BR$15,"n/a")</f>
        <v>n/a</v>
      </c>
      <c r="BS68" s="403" t="str">
        <f aca="false">IFERROR(BS24/BS$15,"n/a")</f>
        <v>n/a</v>
      </c>
      <c r="BT68" s="403" t="str">
        <f aca="false">IFERROR(BT24/BT$15,"n/a")</f>
        <v>n/a</v>
      </c>
      <c r="BU68" s="403" t="str">
        <f aca="false">IFERROR(BU24/BU$15,"n/a")</f>
        <v>n/a</v>
      </c>
      <c r="BV68" s="403" t="str">
        <f aca="false">IFERROR(BV24/BV$15,"n/a")</f>
        <v>n/a</v>
      </c>
      <c r="BW68" s="403" t="str">
        <f aca="false">IFERROR(BW24/BW$15,"n/a")</f>
        <v>n/a</v>
      </c>
      <c r="BX68" s="403" t="str">
        <f aca="false">IFERROR(BX24/BX$15,"n/a")</f>
        <v>n/a</v>
      </c>
      <c r="BY68" s="403" t="str">
        <f aca="false">IFERROR(BY24/BY$15,"n/a")</f>
        <v>n/a</v>
      </c>
      <c r="BZ68" s="403" t="str">
        <f aca="false">IFERROR(BZ24/BZ$15,"n/a")</f>
        <v>n/a</v>
      </c>
      <c r="CA68" s="403" t="str">
        <f aca="false">IFERROR(CA24/CA$15,"n/a")</f>
        <v>n/a</v>
      </c>
      <c r="CB68" s="403" t="str">
        <f aca="false">IFERROR(CB24/CB$15,"n/a")</f>
        <v>n/a</v>
      </c>
      <c r="CC68" s="403" t="str">
        <f aca="false">IFERROR(CC24/CC$15,"n/a")</f>
        <v>n/a</v>
      </c>
      <c r="CD68" s="403" t="str">
        <f aca="false">IFERROR(CD24/CD$15,"n/a")</f>
        <v>n/a</v>
      </c>
      <c r="CE68" s="403" t="str">
        <f aca="false">IFERROR(CE24/CE$15,"n/a")</f>
        <v>n/a</v>
      </c>
      <c r="CF68" s="403" t="str">
        <f aca="false">IFERROR(CF24/CF$15,"n/a")</f>
        <v>n/a</v>
      </c>
      <c r="CG68" s="403" t="str">
        <f aca="false">IFERROR(CG24/CG$15,"n/a")</f>
        <v>n/a</v>
      </c>
      <c r="CH68" s="403" t="str">
        <f aca="false">IFERROR(CH24/CH$15,"n/a")</f>
        <v>n/a</v>
      </c>
      <c r="CI68" s="403" t="str">
        <f aca="false">IFERROR(CI24/CI$15,"n/a")</f>
        <v>n/a</v>
      </c>
      <c r="CJ68" s="403" t="str">
        <f aca="false">IFERROR(CJ24/CJ$15,"n/a")</f>
        <v>n/a</v>
      </c>
      <c r="CK68" s="403" t="str">
        <f aca="false">IFERROR(CK24/CK$15,"n/a")</f>
        <v>n/a</v>
      </c>
    </row>
    <row r="69" s="143" customFormat="true" ht="11.25" hidden="false" customHeight="true" outlineLevel="0" collapsed="false">
      <c r="C69" s="51" t="str">
        <f aca="false">C25</f>
        <v>Kosten der Warenabgabe</v>
      </c>
      <c r="D69" s="51" t="str">
        <f aca="false">D25</f>
        <v>Delivery costs</v>
      </c>
      <c r="E69" s="51"/>
      <c r="F69" s="57" t="str">
        <f aca="false">IFERROR(F25/F$15,"n/a")</f>
        <v>n/a</v>
      </c>
      <c r="G69" s="57" t="str">
        <f aca="false">IFERROR(G25/G$15,"n/a")</f>
        <v>n/a</v>
      </c>
      <c r="H69" s="57" t="str">
        <f aca="false">IFERROR(H25/H$15,"n/a")</f>
        <v>n/a</v>
      </c>
      <c r="I69" s="57" t="str">
        <f aca="false">IFERROR(I25/I$15,"n/a")</f>
        <v>n/a</v>
      </c>
      <c r="J69" s="57" t="str">
        <f aca="false">IFERROR(J25/J$15,"n/a")</f>
        <v>n/a</v>
      </c>
      <c r="K69" s="57" t="str">
        <f aca="false">IFERROR(K25/K$15,"n/a")</f>
        <v>n/a</v>
      </c>
      <c r="L69" s="57" t="str">
        <f aca="false">IFERROR(L25/L$15,"n/a")</f>
        <v>n/a</v>
      </c>
      <c r="M69" s="57" t="str">
        <f aca="false">IFERROR(M25/M$15,"n/a")</f>
        <v>n/a</v>
      </c>
      <c r="N69" s="57" t="str">
        <f aca="false">IFERROR(N25/N$15,"n/a")</f>
        <v>n/a</v>
      </c>
      <c r="O69" s="57" t="str">
        <f aca="false">IFERROR(O25/O$15,"n/a")</f>
        <v>n/a</v>
      </c>
      <c r="P69" s="57" t="str">
        <f aca="false">IFERROR(P25/P$15,"n/a")</f>
        <v>n/a</v>
      </c>
      <c r="Q69" s="57" t="str">
        <f aca="false">IFERROR(Q25/Q$15,"n/a")</f>
        <v>n/a</v>
      </c>
      <c r="R69" s="57" t="str">
        <f aca="false">IFERROR(R25/R$15,"n/a")</f>
        <v>n/a</v>
      </c>
      <c r="S69" s="57" t="str">
        <f aca="false">IFERROR(S25/S$15,"n/a")</f>
        <v>n/a</v>
      </c>
      <c r="T69" s="57" t="str">
        <f aca="false">IFERROR(T25/T$15,"n/a")</f>
        <v>n/a</v>
      </c>
      <c r="U69" s="57" t="str">
        <f aca="false">IFERROR(U25/U$15,"n/a")</f>
        <v>n/a</v>
      </c>
      <c r="V69" s="57" t="str">
        <f aca="false">IFERROR(V25/V$15,"n/a")</f>
        <v>n/a</v>
      </c>
      <c r="W69" s="57" t="str">
        <f aca="false">IFERROR(W25/W$15,"n/a")</f>
        <v>n/a</v>
      </c>
      <c r="X69" s="57" t="str">
        <f aca="false">IFERROR(X25/X$15,"n/a")</f>
        <v>n/a</v>
      </c>
      <c r="Y69" s="57" t="str">
        <f aca="false">IFERROR(Y25/Y$15,"n/a")</f>
        <v>n/a</v>
      </c>
      <c r="Z69" s="57" t="str">
        <f aca="false">IFERROR(Z25/Z$15,"n/a")</f>
        <v>n/a</v>
      </c>
      <c r="AA69" s="57" t="str">
        <f aca="false">IFERROR(AA25/AA$15,"n/a")</f>
        <v>n/a</v>
      </c>
      <c r="AB69" s="57" t="str">
        <f aca="false">IFERROR(AB25/AB$15,"n/a")</f>
        <v>n/a</v>
      </c>
      <c r="AC69" s="57" t="str">
        <f aca="false">IFERROR(AC25/AC$15,"n/a")</f>
        <v>n/a</v>
      </c>
      <c r="AD69" s="57" t="str">
        <f aca="false">IFERROR(AD25/AD$15,"n/a")</f>
        <v>n/a</v>
      </c>
      <c r="AE69" s="57" t="str">
        <f aca="false">IFERROR(AE25/AE$15,"n/a")</f>
        <v>n/a</v>
      </c>
      <c r="AF69" s="57" t="str">
        <f aca="false">IFERROR(AF25/AF$15,"n/a")</f>
        <v>n/a</v>
      </c>
      <c r="AG69" s="57" t="str">
        <f aca="false">IFERROR(AG25/AG$15,"n/a")</f>
        <v>n/a</v>
      </c>
      <c r="AH69" s="57" t="str">
        <f aca="false">IFERROR(AH25/AH$15,"n/a")</f>
        <v>n/a</v>
      </c>
      <c r="AI69" s="57" t="str">
        <f aca="false">IFERROR(AI25/AI$15,"n/a")</f>
        <v>n/a</v>
      </c>
      <c r="AJ69" s="57" t="str">
        <f aca="false">IFERROR(AJ25/AJ$15,"n/a")</f>
        <v>n/a</v>
      </c>
      <c r="AK69" s="57" t="str">
        <f aca="false">IFERROR(AK25/AK$15,"n/a")</f>
        <v>n/a</v>
      </c>
      <c r="AL69" s="57" t="str">
        <f aca="false">IFERROR(AL25/AL$15,"n/a")</f>
        <v>n/a</v>
      </c>
      <c r="AM69" s="57" t="str">
        <f aca="false">IFERROR(AM25/AM$15,"n/a")</f>
        <v>n/a</v>
      </c>
      <c r="AN69" s="57" t="str">
        <f aca="false">IFERROR(AN25/AN$15,"n/a")</f>
        <v>n/a</v>
      </c>
      <c r="AO69" s="57" t="str">
        <f aca="false">IFERROR(AO25/AO$15,"n/a")</f>
        <v>n/a</v>
      </c>
      <c r="AP69" s="57" t="str">
        <f aca="false">IFERROR(AP25/AP$15,"n/a")</f>
        <v>n/a</v>
      </c>
      <c r="AQ69" s="57" t="str">
        <f aca="false">IFERROR(AQ25/AQ$15,"n/a")</f>
        <v>n/a</v>
      </c>
      <c r="AR69" s="57" t="str">
        <f aca="false">IFERROR(AR25/AR$15,"n/a")</f>
        <v>n/a</v>
      </c>
      <c r="AS69" s="57" t="str">
        <f aca="false">IFERROR(AS25/AS$15,"n/a")</f>
        <v>n/a</v>
      </c>
      <c r="AT69" s="57" t="str">
        <f aca="false">IFERROR(AT25/AT$15,"n/a")</f>
        <v>n/a</v>
      </c>
      <c r="AU69" s="403" t="str">
        <f aca="false">IFERROR(AU25/AU$15,"n/a")</f>
        <v>n/a</v>
      </c>
      <c r="AV69" s="403" t="str">
        <f aca="false">IFERROR(AV25/AV$15,"n/a")</f>
        <v>n/a</v>
      </c>
      <c r="AW69" s="403" t="str">
        <f aca="false">IFERROR(AW25/AW$15,"n/a")</f>
        <v>n/a</v>
      </c>
      <c r="AX69" s="403" t="str">
        <f aca="false">IFERROR(AX25/AX$15,"n/a")</f>
        <v>n/a</v>
      </c>
      <c r="AY69" s="403" t="str">
        <f aca="false">IFERROR(AY25/AY$15,"n/a")</f>
        <v>n/a</v>
      </c>
      <c r="AZ69" s="403" t="str">
        <f aca="false">IFERROR(AZ25/AZ$15,"n/a")</f>
        <v>n/a</v>
      </c>
      <c r="BA69" s="403" t="str">
        <f aca="false">IFERROR(BA25/BA$15,"n/a")</f>
        <v>n/a</v>
      </c>
      <c r="BB69" s="403" t="str">
        <f aca="false">IFERROR(BB25/BB$15,"n/a")</f>
        <v>n/a</v>
      </c>
      <c r="BC69" s="403" t="str">
        <f aca="false">IFERROR(BC25/BC$15,"n/a")</f>
        <v>n/a</v>
      </c>
      <c r="BD69" s="403" t="str">
        <f aca="false">IFERROR(BD25/BD$15,"n/a")</f>
        <v>n/a</v>
      </c>
      <c r="BE69" s="403" t="str">
        <f aca="false">IFERROR(BE25/BE$15,"n/a")</f>
        <v>n/a</v>
      </c>
      <c r="BF69" s="403" t="str">
        <f aca="false">IFERROR(BF25/BF$15,"n/a")</f>
        <v>n/a</v>
      </c>
      <c r="BG69" s="403" t="str">
        <f aca="false">IFERROR(BG25/BG$15,"n/a")</f>
        <v>n/a</v>
      </c>
      <c r="BH69" s="403" t="str">
        <f aca="false">IFERROR(BH25/BH$15,"n/a")</f>
        <v>n/a</v>
      </c>
      <c r="BI69" s="403" t="str">
        <f aca="false">IFERROR(BI25/BI$15,"n/a")</f>
        <v>n/a</v>
      </c>
      <c r="BJ69" s="403" t="str">
        <f aca="false">IFERROR(BJ25/BJ$15,"n/a")</f>
        <v>n/a</v>
      </c>
      <c r="BK69" s="403" t="str">
        <f aca="false">IFERROR(BK25/BK$15,"n/a")</f>
        <v>n/a</v>
      </c>
      <c r="BL69" s="403" t="str">
        <f aca="false">IFERROR(BL25/BL$15,"n/a")</f>
        <v>n/a</v>
      </c>
      <c r="BM69" s="403" t="str">
        <f aca="false">IFERROR(BM25/BM$15,"n/a")</f>
        <v>n/a</v>
      </c>
      <c r="BN69" s="403" t="str">
        <f aca="false">IFERROR(BN25/BN$15,"n/a")</f>
        <v>n/a</v>
      </c>
      <c r="BO69" s="403" t="str">
        <f aca="false">IFERROR(BO25/BO$15,"n/a")</f>
        <v>n/a</v>
      </c>
      <c r="BP69" s="403" t="str">
        <f aca="false">IFERROR(BP25/BP$15,"n/a")</f>
        <v>n/a</v>
      </c>
      <c r="BQ69" s="403" t="str">
        <f aca="false">IFERROR(BQ25/BQ$15,"n/a")</f>
        <v>n/a</v>
      </c>
      <c r="BR69" s="403" t="str">
        <f aca="false">IFERROR(BR25/BR$15,"n/a")</f>
        <v>n/a</v>
      </c>
      <c r="BS69" s="403" t="str">
        <f aca="false">IFERROR(BS25/BS$15,"n/a")</f>
        <v>n/a</v>
      </c>
      <c r="BT69" s="403" t="str">
        <f aca="false">IFERROR(BT25/BT$15,"n/a")</f>
        <v>n/a</v>
      </c>
      <c r="BU69" s="403" t="str">
        <f aca="false">IFERROR(BU25/BU$15,"n/a")</f>
        <v>n/a</v>
      </c>
      <c r="BV69" s="403" t="str">
        <f aca="false">IFERROR(BV25/BV$15,"n/a")</f>
        <v>n/a</v>
      </c>
      <c r="BW69" s="403" t="str">
        <f aca="false">IFERROR(BW25/BW$15,"n/a")</f>
        <v>n/a</v>
      </c>
      <c r="BX69" s="403" t="str">
        <f aca="false">IFERROR(BX25/BX$15,"n/a")</f>
        <v>n/a</v>
      </c>
      <c r="BY69" s="403" t="str">
        <f aca="false">IFERROR(BY25/BY$15,"n/a")</f>
        <v>n/a</v>
      </c>
      <c r="BZ69" s="403" t="str">
        <f aca="false">IFERROR(BZ25/BZ$15,"n/a")</f>
        <v>n/a</v>
      </c>
      <c r="CA69" s="403" t="str">
        <f aca="false">IFERROR(CA25/CA$15,"n/a")</f>
        <v>n/a</v>
      </c>
      <c r="CB69" s="403" t="str">
        <f aca="false">IFERROR(CB25/CB$15,"n/a")</f>
        <v>n/a</v>
      </c>
      <c r="CC69" s="403" t="str">
        <f aca="false">IFERROR(CC25/CC$15,"n/a")</f>
        <v>n/a</v>
      </c>
      <c r="CD69" s="403" t="str">
        <f aca="false">IFERROR(CD25/CD$15,"n/a")</f>
        <v>n/a</v>
      </c>
      <c r="CE69" s="403" t="str">
        <f aca="false">IFERROR(CE25/CE$15,"n/a")</f>
        <v>n/a</v>
      </c>
      <c r="CF69" s="403" t="str">
        <f aca="false">IFERROR(CF25/CF$15,"n/a")</f>
        <v>n/a</v>
      </c>
      <c r="CG69" s="403" t="str">
        <f aca="false">IFERROR(CG25/CG$15,"n/a")</f>
        <v>n/a</v>
      </c>
      <c r="CH69" s="403" t="str">
        <f aca="false">IFERROR(CH25/CH$15,"n/a")</f>
        <v>n/a</v>
      </c>
      <c r="CI69" s="403" t="str">
        <f aca="false">IFERROR(CI25/CI$15,"n/a")</f>
        <v>n/a</v>
      </c>
      <c r="CJ69" s="403" t="str">
        <f aca="false">IFERROR(CJ25/CJ$15,"n/a")</f>
        <v>n/a</v>
      </c>
      <c r="CK69" s="403" t="str">
        <f aca="false">IFERROR(CK25/CK$15,"n/a")</f>
        <v>n/a</v>
      </c>
    </row>
    <row r="70" s="143" customFormat="true" ht="11.25" hidden="false" customHeight="true" outlineLevel="0" collapsed="false">
      <c r="C70" s="51" t="str">
        <f aca="false">C26</f>
        <v>Fahrzeugkosten</v>
      </c>
      <c r="D70" s="51" t="str">
        <f aca="false">D26</f>
        <v>Vehicle costs</v>
      </c>
      <c r="E70" s="51"/>
      <c r="F70" s="57" t="str">
        <f aca="false">IFERROR(F26/F$15,"n/a")</f>
        <v>n/a</v>
      </c>
      <c r="G70" s="57" t="str">
        <f aca="false">IFERROR(G26/G$15,"n/a")</f>
        <v>n/a</v>
      </c>
      <c r="H70" s="57" t="str">
        <f aca="false">IFERROR(H26/H$15,"n/a")</f>
        <v>n/a</v>
      </c>
      <c r="I70" s="57" t="str">
        <f aca="false">IFERROR(I26/I$15,"n/a")</f>
        <v>n/a</v>
      </c>
      <c r="J70" s="57" t="str">
        <f aca="false">IFERROR(J26/J$15,"n/a")</f>
        <v>n/a</v>
      </c>
      <c r="K70" s="57" t="str">
        <f aca="false">IFERROR(K26/K$15,"n/a")</f>
        <v>n/a</v>
      </c>
      <c r="L70" s="57" t="str">
        <f aca="false">IFERROR(L26/L$15,"n/a")</f>
        <v>n/a</v>
      </c>
      <c r="M70" s="57" t="str">
        <f aca="false">IFERROR(M26/M$15,"n/a")</f>
        <v>n/a</v>
      </c>
      <c r="N70" s="57" t="str">
        <f aca="false">IFERROR(N26/N$15,"n/a")</f>
        <v>n/a</v>
      </c>
      <c r="O70" s="57" t="str">
        <f aca="false">IFERROR(O26/O$15,"n/a")</f>
        <v>n/a</v>
      </c>
      <c r="P70" s="57" t="str">
        <f aca="false">IFERROR(P26/P$15,"n/a")</f>
        <v>n/a</v>
      </c>
      <c r="Q70" s="57" t="str">
        <f aca="false">IFERROR(Q26/Q$15,"n/a")</f>
        <v>n/a</v>
      </c>
      <c r="R70" s="57" t="str">
        <f aca="false">IFERROR(R26/R$15,"n/a")</f>
        <v>n/a</v>
      </c>
      <c r="S70" s="57" t="str">
        <f aca="false">IFERROR(S26/S$15,"n/a")</f>
        <v>n/a</v>
      </c>
      <c r="T70" s="57" t="str">
        <f aca="false">IFERROR(T26/T$15,"n/a")</f>
        <v>n/a</v>
      </c>
      <c r="U70" s="57" t="str">
        <f aca="false">IFERROR(U26/U$15,"n/a")</f>
        <v>n/a</v>
      </c>
      <c r="V70" s="57" t="str">
        <f aca="false">IFERROR(V26/V$15,"n/a")</f>
        <v>n/a</v>
      </c>
      <c r="W70" s="57" t="str">
        <f aca="false">IFERROR(W26/W$15,"n/a")</f>
        <v>n/a</v>
      </c>
      <c r="X70" s="57" t="str">
        <f aca="false">IFERROR(X26/X$15,"n/a")</f>
        <v>n/a</v>
      </c>
      <c r="Y70" s="57" t="str">
        <f aca="false">IFERROR(Y26/Y$15,"n/a")</f>
        <v>n/a</v>
      </c>
      <c r="Z70" s="57" t="str">
        <f aca="false">IFERROR(Z26/Z$15,"n/a")</f>
        <v>n/a</v>
      </c>
      <c r="AA70" s="57" t="str">
        <f aca="false">IFERROR(AA26/AA$15,"n/a")</f>
        <v>n/a</v>
      </c>
      <c r="AB70" s="57" t="str">
        <f aca="false">IFERROR(AB26/AB$15,"n/a")</f>
        <v>n/a</v>
      </c>
      <c r="AC70" s="57" t="str">
        <f aca="false">IFERROR(AC26/AC$15,"n/a")</f>
        <v>n/a</v>
      </c>
      <c r="AD70" s="57" t="str">
        <f aca="false">IFERROR(AD26/AD$15,"n/a")</f>
        <v>n/a</v>
      </c>
      <c r="AE70" s="57" t="str">
        <f aca="false">IFERROR(AE26/AE$15,"n/a")</f>
        <v>n/a</v>
      </c>
      <c r="AF70" s="57" t="str">
        <f aca="false">IFERROR(AF26/AF$15,"n/a")</f>
        <v>n/a</v>
      </c>
      <c r="AG70" s="57" t="str">
        <f aca="false">IFERROR(AG26/AG$15,"n/a")</f>
        <v>n/a</v>
      </c>
      <c r="AH70" s="57" t="str">
        <f aca="false">IFERROR(AH26/AH$15,"n/a")</f>
        <v>n/a</v>
      </c>
      <c r="AI70" s="57" t="str">
        <f aca="false">IFERROR(AI26/AI$15,"n/a")</f>
        <v>n/a</v>
      </c>
      <c r="AJ70" s="57" t="str">
        <f aca="false">IFERROR(AJ26/AJ$15,"n/a")</f>
        <v>n/a</v>
      </c>
      <c r="AK70" s="57" t="str">
        <f aca="false">IFERROR(AK26/AK$15,"n/a")</f>
        <v>n/a</v>
      </c>
      <c r="AL70" s="57" t="str">
        <f aca="false">IFERROR(AL26/AL$15,"n/a")</f>
        <v>n/a</v>
      </c>
      <c r="AM70" s="57" t="str">
        <f aca="false">IFERROR(AM26/AM$15,"n/a")</f>
        <v>n/a</v>
      </c>
      <c r="AN70" s="57" t="str">
        <f aca="false">IFERROR(AN26/AN$15,"n/a")</f>
        <v>n/a</v>
      </c>
      <c r="AO70" s="57" t="str">
        <f aca="false">IFERROR(AO26/AO$15,"n/a")</f>
        <v>n/a</v>
      </c>
      <c r="AP70" s="57" t="str">
        <f aca="false">IFERROR(AP26/AP$15,"n/a")</f>
        <v>n/a</v>
      </c>
      <c r="AQ70" s="57" t="str">
        <f aca="false">IFERROR(AQ26/AQ$15,"n/a")</f>
        <v>n/a</v>
      </c>
      <c r="AR70" s="57" t="str">
        <f aca="false">IFERROR(AR26/AR$15,"n/a")</f>
        <v>n/a</v>
      </c>
      <c r="AS70" s="57" t="str">
        <f aca="false">IFERROR(AS26/AS$15,"n/a")</f>
        <v>n/a</v>
      </c>
      <c r="AT70" s="57" t="str">
        <f aca="false">IFERROR(AT26/AT$15,"n/a")</f>
        <v>n/a</v>
      </c>
      <c r="AU70" s="403" t="str">
        <f aca="false">IFERROR(AU26/AU$15,"n/a")</f>
        <v>n/a</v>
      </c>
      <c r="AV70" s="403" t="str">
        <f aca="false">IFERROR(AV26/AV$15,"n/a")</f>
        <v>n/a</v>
      </c>
      <c r="AW70" s="403" t="str">
        <f aca="false">IFERROR(AW26/AW$15,"n/a")</f>
        <v>n/a</v>
      </c>
      <c r="AX70" s="403" t="str">
        <f aca="false">IFERROR(AX26/AX$15,"n/a")</f>
        <v>n/a</v>
      </c>
      <c r="AY70" s="403" t="str">
        <f aca="false">IFERROR(AY26/AY$15,"n/a")</f>
        <v>n/a</v>
      </c>
      <c r="AZ70" s="403" t="str">
        <f aca="false">IFERROR(AZ26/AZ$15,"n/a")</f>
        <v>n/a</v>
      </c>
      <c r="BA70" s="403" t="str">
        <f aca="false">IFERROR(BA26/BA$15,"n/a")</f>
        <v>n/a</v>
      </c>
      <c r="BB70" s="403" t="str">
        <f aca="false">IFERROR(BB26/BB$15,"n/a")</f>
        <v>n/a</v>
      </c>
      <c r="BC70" s="403" t="str">
        <f aca="false">IFERROR(BC26/BC$15,"n/a")</f>
        <v>n/a</v>
      </c>
      <c r="BD70" s="403" t="str">
        <f aca="false">IFERROR(BD26/BD$15,"n/a")</f>
        <v>n/a</v>
      </c>
      <c r="BE70" s="403" t="str">
        <f aca="false">IFERROR(BE26/BE$15,"n/a")</f>
        <v>n/a</v>
      </c>
      <c r="BF70" s="403" t="str">
        <f aca="false">IFERROR(BF26/BF$15,"n/a")</f>
        <v>n/a</v>
      </c>
      <c r="BG70" s="403" t="str">
        <f aca="false">IFERROR(BG26/BG$15,"n/a")</f>
        <v>n/a</v>
      </c>
      <c r="BH70" s="403" t="str">
        <f aca="false">IFERROR(BH26/BH$15,"n/a")</f>
        <v>n/a</v>
      </c>
      <c r="BI70" s="403" t="str">
        <f aca="false">IFERROR(BI26/BI$15,"n/a")</f>
        <v>n/a</v>
      </c>
      <c r="BJ70" s="403" t="str">
        <f aca="false">IFERROR(BJ26/BJ$15,"n/a")</f>
        <v>n/a</v>
      </c>
      <c r="BK70" s="403" t="str">
        <f aca="false">IFERROR(BK26/BK$15,"n/a")</f>
        <v>n/a</v>
      </c>
      <c r="BL70" s="403" t="str">
        <f aca="false">IFERROR(BL26/BL$15,"n/a")</f>
        <v>n/a</v>
      </c>
      <c r="BM70" s="403" t="str">
        <f aca="false">IFERROR(BM26/BM$15,"n/a")</f>
        <v>n/a</v>
      </c>
      <c r="BN70" s="403" t="str">
        <f aca="false">IFERROR(BN26/BN$15,"n/a")</f>
        <v>n/a</v>
      </c>
      <c r="BO70" s="403" t="str">
        <f aca="false">IFERROR(BO26/BO$15,"n/a")</f>
        <v>n/a</v>
      </c>
      <c r="BP70" s="403" t="str">
        <f aca="false">IFERROR(BP26/BP$15,"n/a")</f>
        <v>n/a</v>
      </c>
      <c r="BQ70" s="403" t="str">
        <f aca="false">IFERROR(BQ26/BQ$15,"n/a")</f>
        <v>n/a</v>
      </c>
      <c r="BR70" s="403" t="str">
        <f aca="false">IFERROR(BR26/BR$15,"n/a")</f>
        <v>n/a</v>
      </c>
      <c r="BS70" s="403" t="str">
        <f aca="false">IFERROR(BS26/BS$15,"n/a")</f>
        <v>n/a</v>
      </c>
      <c r="BT70" s="403" t="str">
        <f aca="false">IFERROR(BT26/BT$15,"n/a")</f>
        <v>n/a</v>
      </c>
      <c r="BU70" s="403" t="str">
        <f aca="false">IFERROR(BU26/BU$15,"n/a")</f>
        <v>n/a</v>
      </c>
      <c r="BV70" s="403" t="str">
        <f aca="false">IFERROR(BV26/BV$15,"n/a")</f>
        <v>n/a</v>
      </c>
      <c r="BW70" s="403" t="str">
        <f aca="false">IFERROR(BW26/BW$15,"n/a")</f>
        <v>n/a</v>
      </c>
      <c r="BX70" s="403" t="str">
        <f aca="false">IFERROR(BX26/BX$15,"n/a")</f>
        <v>n/a</v>
      </c>
      <c r="BY70" s="403" t="str">
        <f aca="false">IFERROR(BY26/BY$15,"n/a")</f>
        <v>n/a</v>
      </c>
      <c r="BZ70" s="403" t="str">
        <f aca="false">IFERROR(BZ26/BZ$15,"n/a")</f>
        <v>n/a</v>
      </c>
      <c r="CA70" s="403" t="str">
        <f aca="false">IFERROR(CA26/CA$15,"n/a")</f>
        <v>n/a</v>
      </c>
      <c r="CB70" s="403" t="str">
        <f aca="false">IFERROR(CB26/CB$15,"n/a")</f>
        <v>n/a</v>
      </c>
      <c r="CC70" s="403" t="str">
        <f aca="false">IFERROR(CC26/CC$15,"n/a")</f>
        <v>n/a</v>
      </c>
      <c r="CD70" s="403" t="str">
        <f aca="false">IFERROR(CD26/CD$15,"n/a")</f>
        <v>n/a</v>
      </c>
      <c r="CE70" s="403" t="str">
        <f aca="false">IFERROR(CE26/CE$15,"n/a")</f>
        <v>n/a</v>
      </c>
      <c r="CF70" s="403" t="str">
        <f aca="false">IFERROR(CF26/CF$15,"n/a")</f>
        <v>n/a</v>
      </c>
      <c r="CG70" s="403" t="str">
        <f aca="false">IFERROR(CG26/CG$15,"n/a")</f>
        <v>n/a</v>
      </c>
      <c r="CH70" s="403" t="str">
        <f aca="false">IFERROR(CH26/CH$15,"n/a")</f>
        <v>n/a</v>
      </c>
      <c r="CI70" s="403" t="str">
        <f aca="false">IFERROR(CI26/CI$15,"n/a")</f>
        <v>n/a</v>
      </c>
      <c r="CJ70" s="403" t="str">
        <f aca="false">IFERROR(CJ26/CJ$15,"n/a")</f>
        <v>n/a</v>
      </c>
      <c r="CK70" s="403" t="str">
        <f aca="false">IFERROR(CK26/CK$15,"n/a")</f>
        <v>n/a</v>
      </c>
    </row>
    <row r="71" s="143" customFormat="true" ht="11.25" hidden="false" customHeight="true" outlineLevel="0" collapsed="false">
      <c r="C71" s="51" t="str">
        <f aca="false">C27</f>
        <v>Versicherung, Beiträge und Abgaben</v>
      </c>
      <c r="D71" s="51" t="str">
        <f aca="false">D27</f>
        <v>Insurance, contributions and levies expenses</v>
      </c>
      <c r="E71" s="51"/>
      <c r="F71" s="57" t="str">
        <f aca="false">IFERROR(F27/F$15,"n/a")</f>
        <v>n/a</v>
      </c>
      <c r="G71" s="57" t="str">
        <f aca="false">IFERROR(G27/G$15,"n/a")</f>
        <v>n/a</v>
      </c>
      <c r="H71" s="57" t="str">
        <f aca="false">IFERROR(H27/H$15,"n/a")</f>
        <v>n/a</v>
      </c>
      <c r="I71" s="57" t="str">
        <f aca="false">IFERROR(I27/I$15,"n/a")</f>
        <v>n/a</v>
      </c>
      <c r="J71" s="57" t="str">
        <f aca="false">IFERROR(J27/J$15,"n/a")</f>
        <v>n/a</v>
      </c>
      <c r="K71" s="57" t="str">
        <f aca="false">IFERROR(K27/K$15,"n/a")</f>
        <v>n/a</v>
      </c>
      <c r="L71" s="57" t="str">
        <f aca="false">IFERROR(L27/L$15,"n/a")</f>
        <v>n/a</v>
      </c>
      <c r="M71" s="57" t="str">
        <f aca="false">IFERROR(M27/M$15,"n/a")</f>
        <v>n/a</v>
      </c>
      <c r="N71" s="57" t="str">
        <f aca="false">IFERROR(N27/N$15,"n/a")</f>
        <v>n/a</v>
      </c>
      <c r="O71" s="57" t="str">
        <f aca="false">IFERROR(O27/O$15,"n/a")</f>
        <v>n/a</v>
      </c>
      <c r="P71" s="57" t="str">
        <f aca="false">IFERROR(P27/P$15,"n/a")</f>
        <v>n/a</v>
      </c>
      <c r="Q71" s="57" t="str">
        <f aca="false">IFERROR(Q27/Q$15,"n/a")</f>
        <v>n/a</v>
      </c>
      <c r="R71" s="57" t="str">
        <f aca="false">IFERROR(R27/R$15,"n/a")</f>
        <v>n/a</v>
      </c>
      <c r="S71" s="57" t="str">
        <f aca="false">IFERROR(S27/S$15,"n/a")</f>
        <v>n/a</v>
      </c>
      <c r="T71" s="57" t="str">
        <f aca="false">IFERROR(T27/T$15,"n/a")</f>
        <v>n/a</v>
      </c>
      <c r="U71" s="57" t="str">
        <f aca="false">IFERROR(U27/U$15,"n/a")</f>
        <v>n/a</v>
      </c>
      <c r="V71" s="57" t="str">
        <f aca="false">IFERROR(V27/V$15,"n/a")</f>
        <v>n/a</v>
      </c>
      <c r="W71" s="57" t="str">
        <f aca="false">IFERROR(W27/W$15,"n/a")</f>
        <v>n/a</v>
      </c>
      <c r="X71" s="57" t="str">
        <f aca="false">IFERROR(X27/X$15,"n/a")</f>
        <v>n/a</v>
      </c>
      <c r="Y71" s="57" t="str">
        <f aca="false">IFERROR(Y27/Y$15,"n/a")</f>
        <v>n/a</v>
      </c>
      <c r="Z71" s="57" t="str">
        <f aca="false">IFERROR(Z27/Z$15,"n/a")</f>
        <v>n/a</v>
      </c>
      <c r="AA71" s="57" t="str">
        <f aca="false">IFERROR(AA27/AA$15,"n/a")</f>
        <v>n/a</v>
      </c>
      <c r="AB71" s="57" t="str">
        <f aca="false">IFERROR(AB27/AB$15,"n/a")</f>
        <v>n/a</v>
      </c>
      <c r="AC71" s="57" t="str">
        <f aca="false">IFERROR(AC27/AC$15,"n/a")</f>
        <v>n/a</v>
      </c>
      <c r="AD71" s="57" t="str">
        <f aca="false">IFERROR(AD27/AD$15,"n/a")</f>
        <v>n/a</v>
      </c>
      <c r="AE71" s="57" t="str">
        <f aca="false">IFERROR(AE27/AE$15,"n/a")</f>
        <v>n/a</v>
      </c>
      <c r="AF71" s="57" t="str">
        <f aca="false">IFERROR(AF27/AF$15,"n/a")</f>
        <v>n/a</v>
      </c>
      <c r="AG71" s="57" t="str">
        <f aca="false">IFERROR(AG27/AG$15,"n/a")</f>
        <v>n/a</v>
      </c>
      <c r="AH71" s="57" t="str">
        <f aca="false">IFERROR(AH27/AH$15,"n/a")</f>
        <v>n/a</v>
      </c>
      <c r="AI71" s="57" t="str">
        <f aca="false">IFERROR(AI27/AI$15,"n/a")</f>
        <v>n/a</v>
      </c>
      <c r="AJ71" s="57" t="str">
        <f aca="false">IFERROR(AJ27/AJ$15,"n/a")</f>
        <v>n/a</v>
      </c>
      <c r="AK71" s="57" t="str">
        <f aca="false">IFERROR(AK27/AK$15,"n/a")</f>
        <v>n/a</v>
      </c>
      <c r="AL71" s="57" t="str">
        <f aca="false">IFERROR(AL27/AL$15,"n/a")</f>
        <v>n/a</v>
      </c>
      <c r="AM71" s="57" t="str">
        <f aca="false">IFERROR(AM27/AM$15,"n/a")</f>
        <v>n/a</v>
      </c>
      <c r="AN71" s="57" t="str">
        <f aca="false">IFERROR(AN27/AN$15,"n/a")</f>
        <v>n/a</v>
      </c>
      <c r="AO71" s="57" t="str">
        <f aca="false">IFERROR(AO27/AO$15,"n/a")</f>
        <v>n/a</v>
      </c>
      <c r="AP71" s="57" t="str">
        <f aca="false">IFERROR(AP27/AP$15,"n/a")</f>
        <v>n/a</v>
      </c>
      <c r="AQ71" s="57" t="str">
        <f aca="false">IFERROR(AQ27/AQ$15,"n/a")</f>
        <v>n/a</v>
      </c>
      <c r="AR71" s="57" t="str">
        <f aca="false">IFERROR(AR27/AR$15,"n/a")</f>
        <v>n/a</v>
      </c>
      <c r="AS71" s="57" t="str">
        <f aca="false">IFERROR(AS27/AS$15,"n/a")</f>
        <v>n/a</v>
      </c>
      <c r="AT71" s="57" t="str">
        <f aca="false">IFERROR(AT27/AT$15,"n/a")</f>
        <v>n/a</v>
      </c>
      <c r="AU71" s="403" t="str">
        <f aca="false">IFERROR(AU27/AU$15,"n/a")</f>
        <v>n/a</v>
      </c>
      <c r="AV71" s="403" t="str">
        <f aca="false">IFERROR(AV27/AV$15,"n/a")</f>
        <v>n/a</v>
      </c>
      <c r="AW71" s="403" t="str">
        <f aca="false">IFERROR(AW27/AW$15,"n/a")</f>
        <v>n/a</v>
      </c>
      <c r="AX71" s="403" t="str">
        <f aca="false">IFERROR(AX27/AX$15,"n/a")</f>
        <v>n/a</v>
      </c>
      <c r="AY71" s="403" t="str">
        <f aca="false">IFERROR(AY27/AY$15,"n/a")</f>
        <v>n/a</v>
      </c>
      <c r="AZ71" s="403" t="str">
        <f aca="false">IFERROR(AZ27/AZ$15,"n/a")</f>
        <v>n/a</v>
      </c>
      <c r="BA71" s="403" t="str">
        <f aca="false">IFERROR(BA27/BA$15,"n/a")</f>
        <v>n/a</v>
      </c>
      <c r="BB71" s="403" t="str">
        <f aca="false">IFERROR(BB27/BB$15,"n/a")</f>
        <v>n/a</v>
      </c>
      <c r="BC71" s="403" t="str">
        <f aca="false">IFERROR(BC27/BC$15,"n/a")</f>
        <v>n/a</v>
      </c>
      <c r="BD71" s="403" t="str">
        <f aca="false">IFERROR(BD27/BD$15,"n/a")</f>
        <v>n/a</v>
      </c>
      <c r="BE71" s="403" t="str">
        <f aca="false">IFERROR(BE27/BE$15,"n/a")</f>
        <v>n/a</v>
      </c>
      <c r="BF71" s="403" t="str">
        <f aca="false">IFERROR(BF27/BF$15,"n/a")</f>
        <v>n/a</v>
      </c>
      <c r="BG71" s="403" t="str">
        <f aca="false">IFERROR(BG27/BG$15,"n/a")</f>
        <v>n/a</v>
      </c>
      <c r="BH71" s="403" t="str">
        <f aca="false">IFERROR(BH27/BH$15,"n/a")</f>
        <v>n/a</v>
      </c>
      <c r="BI71" s="403" t="str">
        <f aca="false">IFERROR(BI27/BI$15,"n/a")</f>
        <v>n/a</v>
      </c>
      <c r="BJ71" s="403" t="str">
        <f aca="false">IFERROR(BJ27/BJ$15,"n/a")</f>
        <v>n/a</v>
      </c>
      <c r="BK71" s="403" t="str">
        <f aca="false">IFERROR(BK27/BK$15,"n/a")</f>
        <v>n/a</v>
      </c>
      <c r="BL71" s="403" t="str">
        <f aca="false">IFERROR(BL27/BL$15,"n/a")</f>
        <v>n/a</v>
      </c>
      <c r="BM71" s="403" t="str">
        <f aca="false">IFERROR(BM27/BM$15,"n/a")</f>
        <v>n/a</v>
      </c>
      <c r="BN71" s="403" t="str">
        <f aca="false">IFERROR(BN27/BN$15,"n/a")</f>
        <v>n/a</v>
      </c>
      <c r="BO71" s="403" t="str">
        <f aca="false">IFERROR(BO27/BO$15,"n/a")</f>
        <v>n/a</v>
      </c>
      <c r="BP71" s="403" t="str">
        <f aca="false">IFERROR(BP27/BP$15,"n/a")</f>
        <v>n/a</v>
      </c>
      <c r="BQ71" s="403" t="str">
        <f aca="false">IFERROR(BQ27/BQ$15,"n/a")</f>
        <v>n/a</v>
      </c>
      <c r="BR71" s="403" t="str">
        <f aca="false">IFERROR(BR27/BR$15,"n/a")</f>
        <v>n/a</v>
      </c>
      <c r="BS71" s="403" t="str">
        <f aca="false">IFERROR(BS27/BS$15,"n/a")</f>
        <v>n/a</v>
      </c>
      <c r="BT71" s="403" t="str">
        <f aca="false">IFERROR(BT27/BT$15,"n/a")</f>
        <v>n/a</v>
      </c>
      <c r="BU71" s="403" t="str">
        <f aca="false">IFERROR(BU27/BU$15,"n/a")</f>
        <v>n/a</v>
      </c>
      <c r="BV71" s="403" t="str">
        <f aca="false">IFERROR(BV27/BV$15,"n/a")</f>
        <v>n/a</v>
      </c>
      <c r="BW71" s="403" t="str">
        <f aca="false">IFERROR(BW27/BW$15,"n/a")</f>
        <v>n/a</v>
      </c>
      <c r="BX71" s="403" t="str">
        <f aca="false">IFERROR(BX27/BX$15,"n/a")</f>
        <v>n/a</v>
      </c>
      <c r="BY71" s="403" t="str">
        <f aca="false">IFERROR(BY27/BY$15,"n/a")</f>
        <v>n/a</v>
      </c>
      <c r="BZ71" s="403" t="str">
        <f aca="false">IFERROR(BZ27/BZ$15,"n/a")</f>
        <v>n/a</v>
      </c>
      <c r="CA71" s="403" t="str">
        <f aca="false">IFERROR(CA27/CA$15,"n/a")</f>
        <v>n/a</v>
      </c>
      <c r="CB71" s="403" t="str">
        <f aca="false">IFERROR(CB27/CB$15,"n/a")</f>
        <v>n/a</v>
      </c>
      <c r="CC71" s="403" t="str">
        <f aca="false">IFERROR(CC27/CC$15,"n/a")</f>
        <v>n/a</v>
      </c>
      <c r="CD71" s="403" t="str">
        <f aca="false">IFERROR(CD27/CD$15,"n/a")</f>
        <v>n/a</v>
      </c>
      <c r="CE71" s="403" t="str">
        <f aca="false">IFERROR(CE27/CE$15,"n/a")</f>
        <v>n/a</v>
      </c>
      <c r="CF71" s="403" t="str">
        <f aca="false">IFERROR(CF27/CF$15,"n/a")</f>
        <v>n/a</v>
      </c>
      <c r="CG71" s="403" t="str">
        <f aca="false">IFERROR(CG27/CG$15,"n/a")</f>
        <v>n/a</v>
      </c>
      <c r="CH71" s="403" t="str">
        <f aca="false">IFERROR(CH27/CH$15,"n/a")</f>
        <v>n/a</v>
      </c>
      <c r="CI71" s="403" t="str">
        <f aca="false">IFERROR(CI27/CI$15,"n/a")</f>
        <v>n/a</v>
      </c>
      <c r="CJ71" s="403" t="str">
        <f aca="false">IFERROR(CJ27/CJ$15,"n/a")</f>
        <v>n/a</v>
      </c>
      <c r="CK71" s="403" t="str">
        <f aca="false">IFERROR(CK27/CK$15,"n/a")</f>
        <v>n/a</v>
      </c>
    </row>
    <row r="72" s="143" customFormat="true" ht="11.25" hidden="false" customHeight="true" outlineLevel="0" collapsed="false">
      <c r="C72" s="51" t="str">
        <f aca="false">C28</f>
        <v>Werbe- und Reisekosten</v>
      </c>
      <c r="D72" s="51" t="str">
        <f aca="false">D28</f>
        <v>Advertising and travel expenses</v>
      </c>
      <c r="E72" s="51"/>
      <c r="F72" s="57" t="str">
        <f aca="false">IFERROR(F28/F$15,"n/a")</f>
        <v>n/a</v>
      </c>
      <c r="G72" s="57" t="str">
        <f aca="false">IFERROR(G28/G$15,"n/a")</f>
        <v>n/a</v>
      </c>
      <c r="H72" s="57" t="str">
        <f aca="false">IFERROR(H28/H$15,"n/a")</f>
        <v>n/a</v>
      </c>
      <c r="I72" s="57" t="str">
        <f aca="false">IFERROR(I28/I$15,"n/a")</f>
        <v>n/a</v>
      </c>
      <c r="J72" s="57" t="str">
        <f aca="false">IFERROR(J28/J$15,"n/a")</f>
        <v>n/a</v>
      </c>
      <c r="K72" s="57" t="str">
        <f aca="false">IFERROR(K28/K$15,"n/a")</f>
        <v>n/a</v>
      </c>
      <c r="L72" s="57" t="str">
        <f aca="false">IFERROR(L28/L$15,"n/a")</f>
        <v>n/a</v>
      </c>
      <c r="M72" s="57" t="str">
        <f aca="false">IFERROR(M28/M$15,"n/a")</f>
        <v>n/a</v>
      </c>
      <c r="N72" s="57" t="str">
        <f aca="false">IFERROR(N28/N$15,"n/a")</f>
        <v>n/a</v>
      </c>
      <c r="O72" s="57" t="str">
        <f aca="false">IFERROR(O28/O$15,"n/a")</f>
        <v>n/a</v>
      </c>
      <c r="P72" s="57" t="str">
        <f aca="false">IFERROR(P28/P$15,"n/a")</f>
        <v>n/a</v>
      </c>
      <c r="Q72" s="57" t="str">
        <f aca="false">IFERROR(Q28/Q$15,"n/a")</f>
        <v>n/a</v>
      </c>
      <c r="R72" s="57" t="str">
        <f aca="false">IFERROR(R28/R$15,"n/a")</f>
        <v>n/a</v>
      </c>
      <c r="S72" s="57" t="str">
        <f aca="false">IFERROR(S28/S$15,"n/a")</f>
        <v>n/a</v>
      </c>
      <c r="T72" s="57" t="str">
        <f aca="false">IFERROR(T28/T$15,"n/a")</f>
        <v>n/a</v>
      </c>
      <c r="U72" s="57" t="str">
        <f aca="false">IFERROR(U28/U$15,"n/a")</f>
        <v>n/a</v>
      </c>
      <c r="V72" s="57" t="str">
        <f aca="false">IFERROR(V28/V$15,"n/a")</f>
        <v>n/a</v>
      </c>
      <c r="W72" s="57" t="str">
        <f aca="false">IFERROR(W28/W$15,"n/a")</f>
        <v>n/a</v>
      </c>
      <c r="X72" s="57" t="str">
        <f aca="false">IFERROR(X28/X$15,"n/a")</f>
        <v>n/a</v>
      </c>
      <c r="Y72" s="57" t="str">
        <f aca="false">IFERROR(Y28/Y$15,"n/a")</f>
        <v>n/a</v>
      </c>
      <c r="Z72" s="57" t="str">
        <f aca="false">IFERROR(Z28/Z$15,"n/a")</f>
        <v>n/a</v>
      </c>
      <c r="AA72" s="57" t="str">
        <f aca="false">IFERROR(AA28/AA$15,"n/a")</f>
        <v>n/a</v>
      </c>
      <c r="AB72" s="57" t="str">
        <f aca="false">IFERROR(AB28/AB$15,"n/a")</f>
        <v>n/a</v>
      </c>
      <c r="AC72" s="57" t="str">
        <f aca="false">IFERROR(AC28/AC$15,"n/a")</f>
        <v>n/a</v>
      </c>
      <c r="AD72" s="57" t="str">
        <f aca="false">IFERROR(AD28/AD$15,"n/a")</f>
        <v>n/a</v>
      </c>
      <c r="AE72" s="57" t="str">
        <f aca="false">IFERROR(AE28/AE$15,"n/a")</f>
        <v>n/a</v>
      </c>
      <c r="AF72" s="57" t="str">
        <f aca="false">IFERROR(AF28/AF$15,"n/a")</f>
        <v>n/a</v>
      </c>
      <c r="AG72" s="57" t="str">
        <f aca="false">IFERROR(AG28/AG$15,"n/a")</f>
        <v>n/a</v>
      </c>
      <c r="AH72" s="57" t="str">
        <f aca="false">IFERROR(AH28/AH$15,"n/a")</f>
        <v>n/a</v>
      </c>
      <c r="AI72" s="57" t="str">
        <f aca="false">IFERROR(AI28/AI$15,"n/a")</f>
        <v>n/a</v>
      </c>
      <c r="AJ72" s="57" t="str">
        <f aca="false">IFERROR(AJ28/AJ$15,"n/a")</f>
        <v>n/a</v>
      </c>
      <c r="AK72" s="57" t="str">
        <f aca="false">IFERROR(AK28/AK$15,"n/a")</f>
        <v>n/a</v>
      </c>
      <c r="AL72" s="57" t="str">
        <f aca="false">IFERROR(AL28/AL$15,"n/a")</f>
        <v>n/a</v>
      </c>
      <c r="AM72" s="57" t="str">
        <f aca="false">IFERROR(AM28/AM$15,"n/a")</f>
        <v>n/a</v>
      </c>
      <c r="AN72" s="57" t="str">
        <f aca="false">IFERROR(AN28/AN$15,"n/a")</f>
        <v>n/a</v>
      </c>
      <c r="AO72" s="57" t="str">
        <f aca="false">IFERROR(AO28/AO$15,"n/a")</f>
        <v>n/a</v>
      </c>
      <c r="AP72" s="57" t="str">
        <f aca="false">IFERROR(AP28/AP$15,"n/a")</f>
        <v>n/a</v>
      </c>
      <c r="AQ72" s="57" t="str">
        <f aca="false">IFERROR(AQ28/AQ$15,"n/a")</f>
        <v>n/a</v>
      </c>
      <c r="AR72" s="57" t="str">
        <f aca="false">IFERROR(AR28/AR$15,"n/a")</f>
        <v>n/a</v>
      </c>
      <c r="AS72" s="57" t="str">
        <f aca="false">IFERROR(AS28/AS$15,"n/a")</f>
        <v>n/a</v>
      </c>
      <c r="AT72" s="57" t="str">
        <f aca="false">IFERROR(AT28/AT$15,"n/a")</f>
        <v>n/a</v>
      </c>
      <c r="AU72" s="403" t="str">
        <f aca="false">IFERROR(AU28/AU$15,"n/a")</f>
        <v>n/a</v>
      </c>
      <c r="AV72" s="403" t="str">
        <f aca="false">IFERROR(AV28/AV$15,"n/a")</f>
        <v>n/a</v>
      </c>
      <c r="AW72" s="403" t="str">
        <f aca="false">IFERROR(AW28/AW$15,"n/a")</f>
        <v>n/a</v>
      </c>
      <c r="AX72" s="403" t="str">
        <f aca="false">IFERROR(AX28/AX$15,"n/a")</f>
        <v>n/a</v>
      </c>
      <c r="AY72" s="403" t="str">
        <f aca="false">IFERROR(AY28/AY$15,"n/a")</f>
        <v>n/a</v>
      </c>
      <c r="AZ72" s="403" t="str">
        <f aca="false">IFERROR(AZ28/AZ$15,"n/a")</f>
        <v>n/a</v>
      </c>
      <c r="BA72" s="403" t="str">
        <f aca="false">IFERROR(BA28/BA$15,"n/a")</f>
        <v>n/a</v>
      </c>
      <c r="BB72" s="403" t="str">
        <f aca="false">IFERROR(BB28/BB$15,"n/a")</f>
        <v>n/a</v>
      </c>
      <c r="BC72" s="403" t="str">
        <f aca="false">IFERROR(BC28/BC$15,"n/a")</f>
        <v>n/a</v>
      </c>
      <c r="BD72" s="403" t="str">
        <f aca="false">IFERROR(BD28/BD$15,"n/a")</f>
        <v>n/a</v>
      </c>
      <c r="BE72" s="403" t="str">
        <f aca="false">IFERROR(BE28/BE$15,"n/a")</f>
        <v>n/a</v>
      </c>
      <c r="BF72" s="403" t="str">
        <f aca="false">IFERROR(BF28/BF$15,"n/a")</f>
        <v>n/a</v>
      </c>
      <c r="BG72" s="403" t="str">
        <f aca="false">IFERROR(BG28/BG$15,"n/a")</f>
        <v>n/a</v>
      </c>
      <c r="BH72" s="403" t="str">
        <f aca="false">IFERROR(BH28/BH$15,"n/a")</f>
        <v>n/a</v>
      </c>
      <c r="BI72" s="403" t="str">
        <f aca="false">IFERROR(BI28/BI$15,"n/a")</f>
        <v>n/a</v>
      </c>
      <c r="BJ72" s="403" t="str">
        <f aca="false">IFERROR(BJ28/BJ$15,"n/a")</f>
        <v>n/a</v>
      </c>
      <c r="BK72" s="403" t="str">
        <f aca="false">IFERROR(BK28/BK$15,"n/a")</f>
        <v>n/a</v>
      </c>
      <c r="BL72" s="403" t="str">
        <f aca="false">IFERROR(BL28/BL$15,"n/a")</f>
        <v>n/a</v>
      </c>
      <c r="BM72" s="403" t="str">
        <f aca="false">IFERROR(BM28/BM$15,"n/a")</f>
        <v>n/a</v>
      </c>
      <c r="BN72" s="403" t="str">
        <f aca="false">IFERROR(BN28/BN$15,"n/a")</f>
        <v>n/a</v>
      </c>
      <c r="BO72" s="403" t="str">
        <f aca="false">IFERROR(BO28/BO$15,"n/a")</f>
        <v>n/a</v>
      </c>
      <c r="BP72" s="403" t="str">
        <f aca="false">IFERROR(BP28/BP$15,"n/a")</f>
        <v>n/a</v>
      </c>
      <c r="BQ72" s="403" t="str">
        <f aca="false">IFERROR(BQ28/BQ$15,"n/a")</f>
        <v>n/a</v>
      </c>
      <c r="BR72" s="403" t="str">
        <f aca="false">IFERROR(BR28/BR$15,"n/a")</f>
        <v>n/a</v>
      </c>
      <c r="BS72" s="403" t="str">
        <f aca="false">IFERROR(BS28/BS$15,"n/a")</f>
        <v>n/a</v>
      </c>
      <c r="BT72" s="403" t="str">
        <f aca="false">IFERROR(BT28/BT$15,"n/a")</f>
        <v>n/a</v>
      </c>
      <c r="BU72" s="403" t="str">
        <f aca="false">IFERROR(BU28/BU$15,"n/a")</f>
        <v>n/a</v>
      </c>
      <c r="BV72" s="403" t="str">
        <f aca="false">IFERROR(BV28/BV$15,"n/a")</f>
        <v>n/a</v>
      </c>
      <c r="BW72" s="403" t="str">
        <f aca="false">IFERROR(BW28/BW$15,"n/a")</f>
        <v>n/a</v>
      </c>
      <c r="BX72" s="403" t="str">
        <f aca="false">IFERROR(BX28/BX$15,"n/a")</f>
        <v>n/a</v>
      </c>
      <c r="BY72" s="403" t="str">
        <f aca="false">IFERROR(BY28/BY$15,"n/a")</f>
        <v>n/a</v>
      </c>
      <c r="BZ72" s="403" t="str">
        <f aca="false">IFERROR(BZ28/BZ$15,"n/a")</f>
        <v>n/a</v>
      </c>
      <c r="CA72" s="403" t="str">
        <f aca="false">IFERROR(CA28/CA$15,"n/a")</f>
        <v>n/a</v>
      </c>
      <c r="CB72" s="403" t="str">
        <f aca="false">IFERROR(CB28/CB$15,"n/a")</f>
        <v>n/a</v>
      </c>
      <c r="CC72" s="403" t="str">
        <f aca="false">IFERROR(CC28/CC$15,"n/a")</f>
        <v>n/a</v>
      </c>
      <c r="CD72" s="403" t="str">
        <f aca="false">IFERROR(CD28/CD$15,"n/a")</f>
        <v>n/a</v>
      </c>
      <c r="CE72" s="403" t="str">
        <f aca="false">IFERROR(CE28/CE$15,"n/a")</f>
        <v>n/a</v>
      </c>
      <c r="CF72" s="403" t="str">
        <f aca="false">IFERROR(CF28/CF$15,"n/a")</f>
        <v>n/a</v>
      </c>
      <c r="CG72" s="403" t="str">
        <f aca="false">IFERROR(CG28/CG$15,"n/a")</f>
        <v>n/a</v>
      </c>
      <c r="CH72" s="403" t="str">
        <f aca="false">IFERROR(CH28/CH$15,"n/a")</f>
        <v>n/a</v>
      </c>
      <c r="CI72" s="403" t="str">
        <f aca="false">IFERROR(CI28/CI$15,"n/a")</f>
        <v>n/a</v>
      </c>
      <c r="CJ72" s="403" t="str">
        <f aca="false">IFERROR(CJ28/CJ$15,"n/a")</f>
        <v>n/a</v>
      </c>
      <c r="CK72" s="403" t="str">
        <f aca="false">IFERROR(CK28/CK$15,"n/a")</f>
        <v>n/a</v>
      </c>
    </row>
    <row r="73" s="143" customFormat="true" ht="11.25" hidden="false" customHeight="true" outlineLevel="2" collapsed="false">
      <c r="C73" s="51" t="str">
        <f aca="false">C29</f>
        <v>Sonstige betriebliche Erträge</v>
      </c>
      <c r="D73" s="51" t="str">
        <f aca="false">D29</f>
        <v>Other operating income</v>
      </c>
      <c r="E73" s="51"/>
      <c r="F73" s="57" t="str">
        <f aca="false">IFERROR(F29/F$15,"n/a")</f>
        <v>n/a</v>
      </c>
      <c r="G73" s="57" t="str">
        <f aca="false">IFERROR(G29/G$15,"n/a")</f>
        <v>n/a</v>
      </c>
      <c r="H73" s="57" t="str">
        <f aca="false">IFERROR(H29/H$15,"n/a")</f>
        <v>n/a</v>
      </c>
      <c r="I73" s="57" t="str">
        <f aca="false">IFERROR(I29/I$15,"n/a")</f>
        <v>n/a</v>
      </c>
      <c r="J73" s="57" t="str">
        <f aca="false">IFERROR(J29/J$15,"n/a")</f>
        <v>n/a</v>
      </c>
      <c r="K73" s="57" t="str">
        <f aca="false">IFERROR(K29/K$15,"n/a")</f>
        <v>n/a</v>
      </c>
      <c r="L73" s="57" t="str">
        <f aca="false">IFERROR(L29/L$15,"n/a")</f>
        <v>n/a</v>
      </c>
      <c r="M73" s="57" t="str">
        <f aca="false">IFERROR(M29/M$15,"n/a")</f>
        <v>n/a</v>
      </c>
      <c r="N73" s="57" t="str">
        <f aca="false">IFERROR(N29/N$15,"n/a")</f>
        <v>n/a</v>
      </c>
      <c r="O73" s="57" t="str">
        <f aca="false">IFERROR(O29/O$15,"n/a")</f>
        <v>n/a</v>
      </c>
      <c r="P73" s="57" t="str">
        <f aca="false">IFERROR(P29/P$15,"n/a")</f>
        <v>n/a</v>
      </c>
      <c r="Q73" s="57" t="str">
        <f aca="false">IFERROR(Q29/Q$15,"n/a")</f>
        <v>n/a</v>
      </c>
      <c r="R73" s="57" t="str">
        <f aca="false">IFERROR(R29/R$15,"n/a")</f>
        <v>n/a</v>
      </c>
      <c r="S73" s="57" t="str">
        <f aca="false">IFERROR(S29/S$15,"n/a")</f>
        <v>n/a</v>
      </c>
      <c r="T73" s="57" t="str">
        <f aca="false">IFERROR(T29/T$15,"n/a")</f>
        <v>n/a</v>
      </c>
      <c r="U73" s="57" t="str">
        <f aca="false">IFERROR(U29/U$15,"n/a")</f>
        <v>n/a</v>
      </c>
      <c r="V73" s="57" t="str">
        <f aca="false">IFERROR(V29/V$15,"n/a")</f>
        <v>n/a</v>
      </c>
      <c r="W73" s="57" t="str">
        <f aca="false">IFERROR(W29/W$15,"n/a")</f>
        <v>n/a</v>
      </c>
      <c r="X73" s="57" t="str">
        <f aca="false">IFERROR(X29/X$15,"n/a")</f>
        <v>n/a</v>
      </c>
      <c r="Y73" s="57" t="str">
        <f aca="false">IFERROR(Y29/Y$15,"n/a")</f>
        <v>n/a</v>
      </c>
      <c r="Z73" s="57" t="str">
        <f aca="false">IFERROR(Z29/Z$15,"n/a")</f>
        <v>n/a</v>
      </c>
      <c r="AA73" s="57" t="str">
        <f aca="false">IFERROR(AA29/AA$15,"n/a")</f>
        <v>n/a</v>
      </c>
      <c r="AB73" s="57" t="str">
        <f aca="false">IFERROR(AB29/AB$15,"n/a")</f>
        <v>n/a</v>
      </c>
      <c r="AC73" s="57" t="str">
        <f aca="false">IFERROR(AC29/AC$15,"n/a")</f>
        <v>n/a</v>
      </c>
      <c r="AD73" s="57" t="str">
        <f aca="false">IFERROR(AD29/AD$15,"n/a")</f>
        <v>n/a</v>
      </c>
      <c r="AE73" s="57" t="str">
        <f aca="false">IFERROR(AE29/AE$15,"n/a")</f>
        <v>n/a</v>
      </c>
      <c r="AF73" s="57" t="str">
        <f aca="false">IFERROR(AF29/AF$15,"n/a")</f>
        <v>n/a</v>
      </c>
      <c r="AG73" s="57" t="str">
        <f aca="false">IFERROR(AG29/AG$15,"n/a")</f>
        <v>n/a</v>
      </c>
      <c r="AH73" s="57" t="str">
        <f aca="false">IFERROR(AH29/AH$15,"n/a")</f>
        <v>n/a</v>
      </c>
      <c r="AI73" s="57" t="str">
        <f aca="false">IFERROR(AI29/AI$15,"n/a")</f>
        <v>n/a</v>
      </c>
      <c r="AJ73" s="57" t="str">
        <f aca="false">IFERROR(AJ29/AJ$15,"n/a")</f>
        <v>n/a</v>
      </c>
      <c r="AK73" s="57" t="str">
        <f aca="false">IFERROR(AK29/AK$15,"n/a")</f>
        <v>n/a</v>
      </c>
      <c r="AL73" s="57" t="str">
        <f aca="false">IFERROR(AL29/AL$15,"n/a")</f>
        <v>n/a</v>
      </c>
      <c r="AM73" s="57" t="str">
        <f aca="false">IFERROR(AM29/AM$15,"n/a")</f>
        <v>n/a</v>
      </c>
      <c r="AN73" s="57" t="str">
        <f aca="false">IFERROR(AN29/AN$15,"n/a")</f>
        <v>n/a</v>
      </c>
      <c r="AO73" s="57" t="str">
        <f aca="false">IFERROR(AO29/AO$15,"n/a")</f>
        <v>n/a</v>
      </c>
      <c r="AP73" s="57" t="str">
        <f aca="false">IFERROR(AP29/AP$15,"n/a")</f>
        <v>n/a</v>
      </c>
      <c r="AQ73" s="57" t="str">
        <f aca="false">IFERROR(AQ29/AQ$15,"n/a")</f>
        <v>n/a</v>
      </c>
      <c r="AR73" s="57" t="str">
        <f aca="false">IFERROR(AR29/AR$15,"n/a")</f>
        <v>n/a</v>
      </c>
      <c r="AS73" s="57" t="str">
        <f aca="false">IFERROR(AS29/AS$15,"n/a")</f>
        <v>n/a</v>
      </c>
      <c r="AT73" s="57" t="str">
        <f aca="false">IFERROR(AT29/AT$15,"n/a")</f>
        <v>n/a</v>
      </c>
      <c r="AU73" s="403" t="str">
        <f aca="false">IFERROR(AU29/AU$15,"n/a")</f>
        <v>n/a</v>
      </c>
      <c r="AV73" s="403" t="str">
        <f aca="false">IFERROR(AV29/AV$15,"n/a")</f>
        <v>n/a</v>
      </c>
      <c r="AW73" s="403" t="str">
        <f aca="false">IFERROR(AW29/AW$15,"n/a")</f>
        <v>n/a</v>
      </c>
      <c r="AX73" s="403" t="str">
        <f aca="false">IFERROR(AX29/AX$15,"n/a")</f>
        <v>n/a</v>
      </c>
      <c r="AY73" s="403" t="str">
        <f aca="false">IFERROR(AY29/AY$15,"n/a")</f>
        <v>n/a</v>
      </c>
      <c r="AZ73" s="403" t="str">
        <f aca="false">IFERROR(AZ29/AZ$15,"n/a")</f>
        <v>n/a</v>
      </c>
      <c r="BA73" s="403" t="str">
        <f aca="false">IFERROR(BA29/BA$15,"n/a")</f>
        <v>n/a</v>
      </c>
      <c r="BB73" s="403" t="str">
        <f aca="false">IFERROR(BB29/BB$15,"n/a")</f>
        <v>n/a</v>
      </c>
      <c r="BC73" s="403" t="str">
        <f aca="false">IFERROR(BC29/BC$15,"n/a")</f>
        <v>n/a</v>
      </c>
      <c r="BD73" s="403" t="str">
        <f aca="false">IFERROR(BD29/BD$15,"n/a")</f>
        <v>n/a</v>
      </c>
      <c r="BE73" s="403" t="str">
        <f aca="false">IFERROR(BE29/BE$15,"n/a")</f>
        <v>n/a</v>
      </c>
      <c r="BF73" s="403" t="str">
        <f aca="false">IFERROR(BF29/BF$15,"n/a")</f>
        <v>n/a</v>
      </c>
      <c r="BG73" s="403" t="str">
        <f aca="false">IFERROR(BG29/BG$15,"n/a")</f>
        <v>n/a</v>
      </c>
      <c r="BH73" s="403" t="str">
        <f aca="false">IFERROR(BH29/BH$15,"n/a")</f>
        <v>n/a</v>
      </c>
      <c r="BI73" s="403" t="str">
        <f aca="false">IFERROR(BI29/BI$15,"n/a")</f>
        <v>n/a</v>
      </c>
      <c r="BJ73" s="403" t="str">
        <f aca="false">IFERROR(BJ29/BJ$15,"n/a")</f>
        <v>n/a</v>
      </c>
      <c r="BK73" s="403" t="str">
        <f aca="false">IFERROR(BK29/BK$15,"n/a")</f>
        <v>n/a</v>
      </c>
      <c r="BL73" s="403" t="str">
        <f aca="false">IFERROR(BL29/BL$15,"n/a")</f>
        <v>n/a</v>
      </c>
      <c r="BM73" s="403" t="str">
        <f aca="false">IFERROR(BM29/BM$15,"n/a")</f>
        <v>n/a</v>
      </c>
      <c r="BN73" s="403" t="str">
        <f aca="false">IFERROR(BN29/BN$15,"n/a")</f>
        <v>n/a</v>
      </c>
      <c r="BO73" s="403" t="str">
        <f aca="false">IFERROR(BO29/BO$15,"n/a")</f>
        <v>n/a</v>
      </c>
      <c r="BP73" s="403" t="str">
        <f aca="false">IFERROR(BP29/BP$15,"n/a")</f>
        <v>n/a</v>
      </c>
      <c r="BQ73" s="403" t="str">
        <f aca="false">IFERROR(BQ29/BQ$15,"n/a")</f>
        <v>n/a</v>
      </c>
      <c r="BR73" s="403" t="str">
        <f aca="false">IFERROR(BR29/BR$15,"n/a")</f>
        <v>n/a</v>
      </c>
      <c r="BS73" s="403" t="str">
        <f aca="false">IFERROR(BS29/BS$15,"n/a")</f>
        <v>n/a</v>
      </c>
      <c r="BT73" s="403" t="str">
        <f aca="false">IFERROR(BT29/BT$15,"n/a")</f>
        <v>n/a</v>
      </c>
      <c r="BU73" s="403" t="str">
        <f aca="false">IFERROR(BU29/BU$15,"n/a")</f>
        <v>n/a</v>
      </c>
      <c r="BV73" s="403" t="str">
        <f aca="false">IFERROR(BV29/BV$15,"n/a")</f>
        <v>n/a</v>
      </c>
      <c r="BW73" s="403" t="str">
        <f aca="false">IFERROR(BW29/BW$15,"n/a")</f>
        <v>n/a</v>
      </c>
      <c r="BX73" s="403" t="str">
        <f aca="false">IFERROR(BX29/BX$15,"n/a")</f>
        <v>n/a</v>
      </c>
      <c r="BY73" s="403" t="str">
        <f aca="false">IFERROR(BY29/BY$15,"n/a")</f>
        <v>n/a</v>
      </c>
      <c r="BZ73" s="403" t="str">
        <f aca="false">IFERROR(BZ29/BZ$15,"n/a")</f>
        <v>n/a</v>
      </c>
      <c r="CA73" s="403" t="str">
        <f aca="false">IFERROR(CA29/CA$15,"n/a")</f>
        <v>n/a</v>
      </c>
      <c r="CB73" s="403" t="str">
        <f aca="false">IFERROR(CB29/CB$15,"n/a")</f>
        <v>n/a</v>
      </c>
      <c r="CC73" s="403" t="str">
        <f aca="false">IFERROR(CC29/CC$15,"n/a")</f>
        <v>n/a</v>
      </c>
      <c r="CD73" s="403" t="str">
        <f aca="false">IFERROR(CD29/CD$15,"n/a")</f>
        <v>n/a</v>
      </c>
      <c r="CE73" s="403" t="str">
        <f aca="false">IFERROR(CE29/CE$15,"n/a")</f>
        <v>n/a</v>
      </c>
      <c r="CF73" s="403" t="str">
        <f aca="false">IFERROR(CF29/CF$15,"n/a")</f>
        <v>n/a</v>
      </c>
      <c r="CG73" s="403" t="str">
        <f aca="false">IFERROR(CG29/CG$15,"n/a")</f>
        <v>n/a</v>
      </c>
      <c r="CH73" s="403" t="str">
        <f aca="false">IFERROR(CH29/CH$15,"n/a")</f>
        <v>n/a</v>
      </c>
      <c r="CI73" s="403" t="str">
        <f aca="false">IFERROR(CI29/CI$15,"n/a")</f>
        <v>n/a</v>
      </c>
      <c r="CJ73" s="403" t="str">
        <f aca="false">IFERROR(CJ29/CJ$15,"n/a")</f>
        <v>n/a</v>
      </c>
      <c r="CK73" s="403" t="str">
        <f aca="false">IFERROR(CK29/CK$15,"n/a")</f>
        <v>n/a</v>
      </c>
    </row>
    <row r="74" s="143" customFormat="true" ht="11.25" hidden="false" customHeight="true" outlineLevel="2" collapsed="false">
      <c r="C74" s="51" t="str">
        <f aca="false">C30</f>
        <v>Sonstige betriebliche Aufwendungen</v>
      </c>
      <c r="D74" s="51" t="str">
        <f aca="false">D30</f>
        <v>Other operating expenses</v>
      </c>
      <c r="E74" s="51"/>
      <c r="F74" s="57" t="str">
        <f aca="false">IFERROR(F30/F$15,"n/a")</f>
        <v>n/a</v>
      </c>
      <c r="G74" s="57" t="str">
        <f aca="false">IFERROR(G30/G$15,"n/a")</f>
        <v>n/a</v>
      </c>
      <c r="H74" s="57" t="str">
        <f aca="false">IFERROR(H30/H$15,"n/a")</f>
        <v>n/a</v>
      </c>
      <c r="I74" s="57" t="str">
        <f aca="false">IFERROR(I30/I$15,"n/a")</f>
        <v>n/a</v>
      </c>
      <c r="J74" s="57" t="str">
        <f aca="false">IFERROR(J30/J$15,"n/a")</f>
        <v>n/a</v>
      </c>
      <c r="K74" s="57" t="str">
        <f aca="false">IFERROR(K30/K$15,"n/a")</f>
        <v>n/a</v>
      </c>
      <c r="L74" s="57" t="str">
        <f aca="false">IFERROR(L30/L$15,"n/a")</f>
        <v>n/a</v>
      </c>
      <c r="M74" s="57" t="str">
        <f aca="false">IFERROR(M30/M$15,"n/a")</f>
        <v>n/a</v>
      </c>
      <c r="N74" s="57" t="str">
        <f aca="false">IFERROR(N30/N$15,"n/a")</f>
        <v>n/a</v>
      </c>
      <c r="O74" s="57" t="str">
        <f aca="false">IFERROR(O30/O$15,"n/a")</f>
        <v>n/a</v>
      </c>
      <c r="P74" s="57" t="str">
        <f aca="false">IFERROR(P30/P$15,"n/a")</f>
        <v>n/a</v>
      </c>
      <c r="Q74" s="57" t="str">
        <f aca="false">IFERROR(Q30/Q$15,"n/a")</f>
        <v>n/a</v>
      </c>
      <c r="R74" s="57" t="str">
        <f aca="false">IFERROR(R30/R$15,"n/a")</f>
        <v>n/a</v>
      </c>
      <c r="S74" s="57" t="str">
        <f aca="false">IFERROR(S30/S$15,"n/a")</f>
        <v>n/a</v>
      </c>
      <c r="T74" s="57" t="str">
        <f aca="false">IFERROR(T30/T$15,"n/a")</f>
        <v>n/a</v>
      </c>
      <c r="U74" s="57" t="str">
        <f aca="false">IFERROR(U30/U$15,"n/a")</f>
        <v>n/a</v>
      </c>
      <c r="V74" s="57" t="str">
        <f aca="false">IFERROR(V30/V$15,"n/a")</f>
        <v>n/a</v>
      </c>
      <c r="W74" s="57" t="str">
        <f aca="false">IFERROR(W30/W$15,"n/a")</f>
        <v>n/a</v>
      </c>
      <c r="X74" s="57" t="str">
        <f aca="false">IFERROR(X30/X$15,"n/a")</f>
        <v>n/a</v>
      </c>
      <c r="Y74" s="57" t="str">
        <f aca="false">IFERROR(Y30/Y$15,"n/a")</f>
        <v>n/a</v>
      </c>
      <c r="Z74" s="57" t="str">
        <f aca="false">IFERROR(Z30/Z$15,"n/a")</f>
        <v>n/a</v>
      </c>
      <c r="AA74" s="57" t="str">
        <f aca="false">IFERROR(AA30/AA$15,"n/a")</f>
        <v>n/a</v>
      </c>
      <c r="AB74" s="57" t="str">
        <f aca="false">IFERROR(AB30/AB$15,"n/a")</f>
        <v>n/a</v>
      </c>
      <c r="AC74" s="57" t="str">
        <f aca="false">IFERROR(AC30/AC$15,"n/a")</f>
        <v>n/a</v>
      </c>
      <c r="AD74" s="57" t="str">
        <f aca="false">IFERROR(AD30/AD$15,"n/a")</f>
        <v>n/a</v>
      </c>
      <c r="AE74" s="57" t="str">
        <f aca="false">IFERROR(AE30/AE$15,"n/a")</f>
        <v>n/a</v>
      </c>
      <c r="AF74" s="57" t="str">
        <f aca="false">IFERROR(AF30/AF$15,"n/a")</f>
        <v>n/a</v>
      </c>
      <c r="AG74" s="57" t="str">
        <f aca="false">IFERROR(AG30/AG$15,"n/a")</f>
        <v>n/a</v>
      </c>
      <c r="AH74" s="57" t="str">
        <f aca="false">IFERROR(AH30/AH$15,"n/a")</f>
        <v>n/a</v>
      </c>
      <c r="AI74" s="57" t="str">
        <f aca="false">IFERROR(AI30/AI$15,"n/a")</f>
        <v>n/a</v>
      </c>
      <c r="AJ74" s="57" t="str">
        <f aca="false">IFERROR(AJ30/AJ$15,"n/a")</f>
        <v>n/a</v>
      </c>
      <c r="AK74" s="57" t="str">
        <f aca="false">IFERROR(AK30/AK$15,"n/a")</f>
        <v>n/a</v>
      </c>
      <c r="AL74" s="57" t="str">
        <f aca="false">IFERROR(AL30/AL$15,"n/a")</f>
        <v>n/a</v>
      </c>
      <c r="AM74" s="57" t="str">
        <f aca="false">IFERROR(AM30/AM$15,"n/a")</f>
        <v>n/a</v>
      </c>
      <c r="AN74" s="57" t="str">
        <f aca="false">IFERROR(AN30/AN$15,"n/a")</f>
        <v>n/a</v>
      </c>
      <c r="AO74" s="57" t="str">
        <f aca="false">IFERROR(AO30/AO$15,"n/a")</f>
        <v>n/a</v>
      </c>
      <c r="AP74" s="57" t="str">
        <f aca="false">IFERROR(AP30/AP$15,"n/a")</f>
        <v>n/a</v>
      </c>
      <c r="AQ74" s="57" t="str">
        <f aca="false">IFERROR(AQ30/AQ$15,"n/a")</f>
        <v>n/a</v>
      </c>
      <c r="AR74" s="57" t="str">
        <f aca="false">IFERROR(AR30/AR$15,"n/a")</f>
        <v>n/a</v>
      </c>
      <c r="AS74" s="57" t="str">
        <f aca="false">IFERROR(AS30/AS$15,"n/a")</f>
        <v>n/a</v>
      </c>
      <c r="AT74" s="57" t="str">
        <f aca="false">IFERROR(AT30/AT$15,"n/a")</f>
        <v>n/a</v>
      </c>
      <c r="AU74" s="403" t="str">
        <f aca="false">IFERROR(AU30/AU$15,"n/a")</f>
        <v>n/a</v>
      </c>
      <c r="AV74" s="403" t="str">
        <f aca="false">IFERROR(AV30/AV$15,"n/a")</f>
        <v>n/a</v>
      </c>
      <c r="AW74" s="403" t="str">
        <f aca="false">IFERROR(AW30/AW$15,"n/a")</f>
        <v>n/a</v>
      </c>
      <c r="AX74" s="403" t="str">
        <f aca="false">IFERROR(AX30/AX$15,"n/a")</f>
        <v>n/a</v>
      </c>
      <c r="AY74" s="403" t="str">
        <f aca="false">IFERROR(AY30/AY$15,"n/a")</f>
        <v>n/a</v>
      </c>
      <c r="AZ74" s="403" t="str">
        <f aca="false">IFERROR(AZ30/AZ$15,"n/a")</f>
        <v>n/a</v>
      </c>
      <c r="BA74" s="403" t="str">
        <f aca="false">IFERROR(BA30/BA$15,"n/a")</f>
        <v>n/a</v>
      </c>
      <c r="BB74" s="403" t="str">
        <f aca="false">IFERROR(BB30/BB$15,"n/a")</f>
        <v>n/a</v>
      </c>
      <c r="BC74" s="403" t="str">
        <f aca="false">IFERROR(BC30/BC$15,"n/a")</f>
        <v>n/a</v>
      </c>
      <c r="BD74" s="403" t="str">
        <f aca="false">IFERROR(BD30/BD$15,"n/a")</f>
        <v>n/a</v>
      </c>
      <c r="BE74" s="403" t="str">
        <f aca="false">IFERROR(BE30/BE$15,"n/a")</f>
        <v>n/a</v>
      </c>
      <c r="BF74" s="403" t="str">
        <f aca="false">IFERROR(BF30/BF$15,"n/a")</f>
        <v>n/a</v>
      </c>
      <c r="BG74" s="403" t="str">
        <f aca="false">IFERROR(BG30/BG$15,"n/a")</f>
        <v>n/a</v>
      </c>
      <c r="BH74" s="403" t="str">
        <f aca="false">IFERROR(BH30/BH$15,"n/a")</f>
        <v>n/a</v>
      </c>
      <c r="BI74" s="403" t="str">
        <f aca="false">IFERROR(BI30/BI$15,"n/a")</f>
        <v>n/a</v>
      </c>
      <c r="BJ74" s="403" t="str">
        <f aca="false">IFERROR(BJ30/BJ$15,"n/a")</f>
        <v>n/a</v>
      </c>
      <c r="BK74" s="403" t="str">
        <f aca="false">IFERROR(BK30/BK$15,"n/a")</f>
        <v>n/a</v>
      </c>
      <c r="BL74" s="403" t="str">
        <f aca="false">IFERROR(BL30/BL$15,"n/a")</f>
        <v>n/a</v>
      </c>
      <c r="BM74" s="403" t="str">
        <f aca="false">IFERROR(BM30/BM$15,"n/a")</f>
        <v>n/a</v>
      </c>
      <c r="BN74" s="403" t="str">
        <f aca="false">IFERROR(BN30/BN$15,"n/a")</f>
        <v>n/a</v>
      </c>
      <c r="BO74" s="403" t="str">
        <f aca="false">IFERROR(BO30/BO$15,"n/a")</f>
        <v>n/a</v>
      </c>
      <c r="BP74" s="403" t="str">
        <f aca="false">IFERROR(BP30/BP$15,"n/a")</f>
        <v>n/a</v>
      </c>
      <c r="BQ74" s="403" t="str">
        <f aca="false">IFERROR(BQ30/BQ$15,"n/a")</f>
        <v>n/a</v>
      </c>
      <c r="BR74" s="403" t="str">
        <f aca="false">IFERROR(BR30/BR$15,"n/a")</f>
        <v>n/a</v>
      </c>
      <c r="BS74" s="403" t="str">
        <f aca="false">IFERROR(BS30/BS$15,"n/a")</f>
        <v>n/a</v>
      </c>
      <c r="BT74" s="403" t="str">
        <f aca="false">IFERROR(BT30/BT$15,"n/a")</f>
        <v>n/a</v>
      </c>
      <c r="BU74" s="403" t="str">
        <f aca="false">IFERROR(BU30/BU$15,"n/a")</f>
        <v>n/a</v>
      </c>
      <c r="BV74" s="403" t="str">
        <f aca="false">IFERROR(BV30/BV$15,"n/a")</f>
        <v>n/a</v>
      </c>
      <c r="BW74" s="403" t="str">
        <f aca="false">IFERROR(BW30/BW$15,"n/a")</f>
        <v>n/a</v>
      </c>
      <c r="BX74" s="403" t="str">
        <f aca="false">IFERROR(BX30/BX$15,"n/a")</f>
        <v>n/a</v>
      </c>
      <c r="BY74" s="403" t="str">
        <f aca="false">IFERROR(BY30/BY$15,"n/a")</f>
        <v>n/a</v>
      </c>
      <c r="BZ74" s="403" t="str">
        <f aca="false">IFERROR(BZ30/BZ$15,"n/a")</f>
        <v>n/a</v>
      </c>
      <c r="CA74" s="403" t="str">
        <f aca="false">IFERROR(CA30/CA$15,"n/a")</f>
        <v>n/a</v>
      </c>
      <c r="CB74" s="403" t="str">
        <f aca="false">IFERROR(CB30/CB$15,"n/a")</f>
        <v>n/a</v>
      </c>
      <c r="CC74" s="403" t="str">
        <f aca="false">IFERROR(CC30/CC$15,"n/a")</f>
        <v>n/a</v>
      </c>
      <c r="CD74" s="403" t="str">
        <f aca="false">IFERROR(CD30/CD$15,"n/a")</f>
        <v>n/a</v>
      </c>
      <c r="CE74" s="403" t="str">
        <f aca="false">IFERROR(CE30/CE$15,"n/a")</f>
        <v>n/a</v>
      </c>
      <c r="CF74" s="403" t="str">
        <f aca="false">IFERROR(CF30/CF$15,"n/a")</f>
        <v>n/a</v>
      </c>
      <c r="CG74" s="403" t="str">
        <f aca="false">IFERROR(CG30/CG$15,"n/a")</f>
        <v>n/a</v>
      </c>
      <c r="CH74" s="403" t="str">
        <f aca="false">IFERROR(CH30/CH$15,"n/a")</f>
        <v>n/a</v>
      </c>
      <c r="CI74" s="403" t="str">
        <f aca="false">IFERROR(CI30/CI$15,"n/a")</f>
        <v>n/a</v>
      </c>
      <c r="CJ74" s="403" t="str">
        <f aca="false">IFERROR(CJ30/CJ$15,"n/a")</f>
        <v>n/a</v>
      </c>
      <c r="CK74" s="403" t="str">
        <f aca="false">IFERROR(CK30/CK$15,"n/a")</f>
        <v>n/a</v>
      </c>
    </row>
    <row r="75" s="143" customFormat="true" ht="11.25" hidden="false" customHeight="true" outlineLevel="2" collapsed="false">
      <c r="C75" s="51" t="str">
        <f aca="false">C31</f>
        <v>Dummy 1</v>
      </c>
      <c r="D75" s="51" t="str">
        <f aca="false">D31</f>
        <v>Dummy 1</v>
      </c>
      <c r="E75" s="51"/>
      <c r="F75" s="57" t="str">
        <f aca="false">IFERROR(F31/F$15,"n/a")</f>
        <v>n/a</v>
      </c>
      <c r="G75" s="57" t="str">
        <f aca="false">IFERROR(G31/G$15,"n/a")</f>
        <v>n/a</v>
      </c>
      <c r="H75" s="57" t="str">
        <f aca="false">IFERROR(H31/H$15,"n/a")</f>
        <v>n/a</v>
      </c>
      <c r="I75" s="57" t="str">
        <f aca="false">IFERROR(I31/I$15,"n/a")</f>
        <v>n/a</v>
      </c>
      <c r="J75" s="57" t="str">
        <f aca="false">IFERROR(J31/J$15,"n/a")</f>
        <v>n/a</v>
      </c>
      <c r="K75" s="57" t="str">
        <f aca="false">IFERROR(K31/K$15,"n/a")</f>
        <v>n/a</v>
      </c>
      <c r="L75" s="57" t="str">
        <f aca="false">IFERROR(L31/L$15,"n/a")</f>
        <v>n/a</v>
      </c>
      <c r="M75" s="57" t="str">
        <f aca="false">IFERROR(M31/M$15,"n/a")</f>
        <v>n/a</v>
      </c>
      <c r="N75" s="57" t="str">
        <f aca="false">IFERROR(N31/N$15,"n/a")</f>
        <v>n/a</v>
      </c>
      <c r="O75" s="57" t="str">
        <f aca="false">IFERROR(O31/O$15,"n/a")</f>
        <v>n/a</v>
      </c>
      <c r="P75" s="57" t="str">
        <f aca="false">IFERROR(P31/P$15,"n/a")</f>
        <v>n/a</v>
      </c>
      <c r="Q75" s="57" t="str">
        <f aca="false">IFERROR(Q31/Q$15,"n/a")</f>
        <v>n/a</v>
      </c>
      <c r="R75" s="57" t="str">
        <f aca="false">IFERROR(R31/R$15,"n/a")</f>
        <v>n/a</v>
      </c>
      <c r="S75" s="57" t="str">
        <f aca="false">IFERROR(S31/S$15,"n/a")</f>
        <v>n/a</v>
      </c>
      <c r="T75" s="57" t="str">
        <f aca="false">IFERROR(T31/T$15,"n/a")</f>
        <v>n/a</v>
      </c>
      <c r="U75" s="57" t="str">
        <f aca="false">IFERROR(U31/U$15,"n/a")</f>
        <v>n/a</v>
      </c>
      <c r="V75" s="57" t="str">
        <f aca="false">IFERROR(V31/V$15,"n/a")</f>
        <v>n/a</v>
      </c>
      <c r="W75" s="57" t="str">
        <f aca="false">IFERROR(W31/W$15,"n/a")</f>
        <v>n/a</v>
      </c>
      <c r="X75" s="57" t="str">
        <f aca="false">IFERROR(X31/X$15,"n/a")</f>
        <v>n/a</v>
      </c>
      <c r="Y75" s="57" t="str">
        <f aca="false">IFERROR(Y31/Y$15,"n/a")</f>
        <v>n/a</v>
      </c>
      <c r="Z75" s="57" t="str">
        <f aca="false">IFERROR(Z31/Z$15,"n/a")</f>
        <v>n/a</v>
      </c>
      <c r="AA75" s="57" t="str">
        <f aca="false">IFERROR(AA31/AA$15,"n/a")</f>
        <v>n/a</v>
      </c>
      <c r="AB75" s="57" t="str">
        <f aca="false">IFERROR(AB31/AB$15,"n/a")</f>
        <v>n/a</v>
      </c>
      <c r="AC75" s="57" t="str">
        <f aca="false">IFERROR(AC31/AC$15,"n/a")</f>
        <v>n/a</v>
      </c>
      <c r="AD75" s="57" t="str">
        <f aca="false">IFERROR(AD31/AD$15,"n/a")</f>
        <v>n/a</v>
      </c>
      <c r="AE75" s="57" t="str">
        <f aca="false">IFERROR(AE31/AE$15,"n/a")</f>
        <v>n/a</v>
      </c>
      <c r="AF75" s="57" t="str">
        <f aca="false">IFERROR(AF31/AF$15,"n/a")</f>
        <v>n/a</v>
      </c>
      <c r="AG75" s="57" t="str">
        <f aca="false">IFERROR(AG31/AG$15,"n/a")</f>
        <v>n/a</v>
      </c>
      <c r="AH75" s="57" t="str">
        <f aca="false">IFERROR(AH31/AH$15,"n/a")</f>
        <v>n/a</v>
      </c>
      <c r="AI75" s="57" t="str">
        <f aca="false">IFERROR(AI31/AI$15,"n/a")</f>
        <v>n/a</v>
      </c>
      <c r="AJ75" s="57" t="str">
        <f aca="false">IFERROR(AJ31/AJ$15,"n/a")</f>
        <v>n/a</v>
      </c>
      <c r="AK75" s="57" t="str">
        <f aca="false">IFERROR(AK31/AK$15,"n/a")</f>
        <v>n/a</v>
      </c>
      <c r="AL75" s="57" t="str">
        <f aca="false">IFERROR(AL31/AL$15,"n/a")</f>
        <v>n/a</v>
      </c>
      <c r="AM75" s="57" t="str">
        <f aca="false">IFERROR(AM31/AM$15,"n/a")</f>
        <v>n/a</v>
      </c>
      <c r="AN75" s="57" t="str">
        <f aca="false">IFERROR(AN31/AN$15,"n/a")</f>
        <v>n/a</v>
      </c>
      <c r="AO75" s="57" t="str">
        <f aca="false">IFERROR(AO31/AO$15,"n/a")</f>
        <v>n/a</v>
      </c>
      <c r="AP75" s="57" t="str">
        <f aca="false">IFERROR(AP31/AP$15,"n/a")</f>
        <v>n/a</v>
      </c>
      <c r="AQ75" s="57" t="str">
        <f aca="false">IFERROR(AQ31/AQ$15,"n/a")</f>
        <v>n/a</v>
      </c>
      <c r="AR75" s="57" t="str">
        <f aca="false">IFERROR(AR31/AR$15,"n/a")</f>
        <v>n/a</v>
      </c>
      <c r="AS75" s="57" t="str">
        <f aca="false">IFERROR(AS31/AS$15,"n/a")</f>
        <v>n/a</v>
      </c>
      <c r="AT75" s="57" t="str">
        <f aca="false">IFERROR(AT31/AT$15,"n/a")</f>
        <v>n/a</v>
      </c>
      <c r="AU75" s="403" t="str">
        <f aca="false">IFERROR(AU31/AU$15,"n/a")</f>
        <v>n/a</v>
      </c>
      <c r="AV75" s="403" t="str">
        <f aca="false">IFERROR(AV31/AV$15,"n/a")</f>
        <v>n/a</v>
      </c>
      <c r="AW75" s="403" t="str">
        <f aca="false">IFERROR(AW31/AW$15,"n/a")</f>
        <v>n/a</v>
      </c>
      <c r="AX75" s="403" t="str">
        <f aca="false">IFERROR(AX31/AX$15,"n/a")</f>
        <v>n/a</v>
      </c>
      <c r="AY75" s="403" t="str">
        <f aca="false">IFERROR(AY31/AY$15,"n/a")</f>
        <v>n/a</v>
      </c>
      <c r="AZ75" s="403" t="str">
        <f aca="false">IFERROR(AZ31/AZ$15,"n/a")</f>
        <v>n/a</v>
      </c>
      <c r="BA75" s="403" t="str">
        <f aca="false">IFERROR(BA31/BA$15,"n/a")</f>
        <v>n/a</v>
      </c>
      <c r="BB75" s="403" t="str">
        <f aca="false">IFERROR(BB31/BB$15,"n/a")</f>
        <v>n/a</v>
      </c>
      <c r="BC75" s="403" t="str">
        <f aca="false">IFERROR(BC31/BC$15,"n/a")</f>
        <v>n/a</v>
      </c>
      <c r="BD75" s="403" t="str">
        <f aca="false">IFERROR(BD31/BD$15,"n/a")</f>
        <v>n/a</v>
      </c>
      <c r="BE75" s="403" t="str">
        <f aca="false">IFERROR(BE31/BE$15,"n/a")</f>
        <v>n/a</v>
      </c>
      <c r="BF75" s="403" t="str">
        <f aca="false">IFERROR(BF31/BF$15,"n/a")</f>
        <v>n/a</v>
      </c>
      <c r="BG75" s="403" t="str">
        <f aca="false">IFERROR(BG31/BG$15,"n/a")</f>
        <v>n/a</v>
      </c>
      <c r="BH75" s="403" t="str">
        <f aca="false">IFERROR(BH31/BH$15,"n/a")</f>
        <v>n/a</v>
      </c>
      <c r="BI75" s="403" t="str">
        <f aca="false">IFERROR(BI31/BI$15,"n/a")</f>
        <v>n/a</v>
      </c>
      <c r="BJ75" s="403" t="str">
        <f aca="false">IFERROR(BJ31/BJ$15,"n/a")</f>
        <v>n/a</v>
      </c>
      <c r="BK75" s="403" t="str">
        <f aca="false">IFERROR(BK31/BK$15,"n/a")</f>
        <v>n/a</v>
      </c>
      <c r="BL75" s="403" t="str">
        <f aca="false">IFERROR(BL31/BL$15,"n/a")</f>
        <v>n/a</v>
      </c>
      <c r="BM75" s="403" t="str">
        <f aca="false">IFERROR(BM31/BM$15,"n/a")</f>
        <v>n/a</v>
      </c>
      <c r="BN75" s="403" t="str">
        <f aca="false">IFERROR(BN31/BN$15,"n/a")</f>
        <v>n/a</v>
      </c>
      <c r="BO75" s="403" t="str">
        <f aca="false">IFERROR(BO31/BO$15,"n/a")</f>
        <v>n/a</v>
      </c>
      <c r="BP75" s="403" t="str">
        <f aca="false">IFERROR(BP31/BP$15,"n/a")</f>
        <v>n/a</v>
      </c>
      <c r="BQ75" s="403" t="str">
        <f aca="false">IFERROR(BQ31/BQ$15,"n/a")</f>
        <v>n/a</v>
      </c>
      <c r="BR75" s="403" t="str">
        <f aca="false">IFERROR(BR31/BR$15,"n/a")</f>
        <v>n/a</v>
      </c>
      <c r="BS75" s="403" t="str">
        <f aca="false">IFERROR(BS31/BS$15,"n/a")</f>
        <v>n/a</v>
      </c>
      <c r="BT75" s="403" t="str">
        <f aca="false">IFERROR(BT31/BT$15,"n/a")</f>
        <v>n/a</v>
      </c>
      <c r="BU75" s="403" t="str">
        <f aca="false">IFERROR(BU31/BU$15,"n/a")</f>
        <v>n/a</v>
      </c>
      <c r="BV75" s="403" t="str">
        <f aca="false">IFERROR(BV31/BV$15,"n/a")</f>
        <v>n/a</v>
      </c>
      <c r="BW75" s="403" t="str">
        <f aca="false">IFERROR(BW31/BW$15,"n/a")</f>
        <v>n/a</v>
      </c>
      <c r="BX75" s="403" t="str">
        <f aca="false">IFERROR(BX31/BX$15,"n/a")</f>
        <v>n/a</v>
      </c>
      <c r="BY75" s="403" t="str">
        <f aca="false">IFERROR(BY31/BY$15,"n/a")</f>
        <v>n/a</v>
      </c>
      <c r="BZ75" s="403" t="str">
        <f aca="false">IFERROR(BZ31/BZ$15,"n/a")</f>
        <v>n/a</v>
      </c>
      <c r="CA75" s="403" t="str">
        <f aca="false">IFERROR(CA31/CA$15,"n/a")</f>
        <v>n/a</v>
      </c>
      <c r="CB75" s="403" t="str">
        <f aca="false">IFERROR(CB31/CB$15,"n/a")</f>
        <v>n/a</v>
      </c>
      <c r="CC75" s="403" t="str">
        <f aca="false">IFERROR(CC31/CC$15,"n/a")</f>
        <v>n/a</v>
      </c>
      <c r="CD75" s="403" t="str">
        <f aca="false">IFERROR(CD31/CD$15,"n/a")</f>
        <v>n/a</v>
      </c>
      <c r="CE75" s="403" t="str">
        <f aca="false">IFERROR(CE31/CE$15,"n/a")</f>
        <v>n/a</v>
      </c>
      <c r="CF75" s="403" t="str">
        <f aca="false">IFERROR(CF31/CF$15,"n/a")</f>
        <v>n/a</v>
      </c>
      <c r="CG75" s="403" t="str">
        <f aca="false">IFERROR(CG31/CG$15,"n/a")</f>
        <v>n/a</v>
      </c>
      <c r="CH75" s="403" t="str">
        <f aca="false">IFERROR(CH31/CH$15,"n/a")</f>
        <v>n/a</v>
      </c>
      <c r="CI75" s="403" t="str">
        <f aca="false">IFERROR(CI31/CI$15,"n/a")</f>
        <v>n/a</v>
      </c>
      <c r="CJ75" s="403" t="str">
        <f aca="false">IFERROR(CJ31/CJ$15,"n/a")</f>
        <v>n/a</v>
      </c>
      <c r="CK75" s="403" t="str">
        <f aca="false">IFERROR(CK31/CK$15,"n/a")</f>
        <v>n/a</v>
      </c>
    </row>
    <row r="76" s="143" customFormat="true" ht="11.25" hidden="false" customHeight="true" outlineLevel="2" collapsed="false">
      <c r="C76" s="51" t="str">
        <f aca="false">C32</f>
        <v>Dummy 2</v>
      </c>
      <c r="D76" s="51" t="str">
        <f aca="false">D32</f>
        <v>Dummy 2</v>
      </c>
      <c r="E76" s="51"/>
      <c r="F76" s="57" t="str">
        <f aca="false">IFERROR(F32/F$15,"n/a")</f>
        <v>n/a</v>
      </c>
      <c r="G76" s="57" t="str">
        <f aca="false">IFERROR(G32/G$15,"n/a")</f>
        <v>n/a</v>
      </c>
      <c r="H76" s="57" t="str">
        <f aca="false">IFERROR(H32/H$15,"n/a")</f>
        <v>n/a</v>
      </c>
      <c r="I76" s="57" t="str">
        <f aca="false">IFERROR(I32/I$15,"n/a")</f>
        <v>n/a</v>
      </c>
      <c r="J76" s="57" t="str">
        <f aca="false">IFERROR(J32/J$15,"n/a")</f>
        <v>n/a</v>
      </c>
      <c r="K76" s="57" t="str">
        <f aca="false">IFERROR(K32/K$15,"n/a")</f>
        <v>n/a</v>
      </c>
      <c r="L76" s="57" t="str">
        <f aca="false">IFERROR(L32/L$15,"n/a")</f>
        <v>n/a</v>
      </c>
      <c r="M76" s="57" t="str">
        <f aca="false">IFERROR(M32/M$15,"n/a")</f>
        <v>n/a</v>
      </c>
      <c r="N76" s="57" t="str">
        <f aca="false">IFERROR(N32/N$15,"n/a")</f>
        <v>n/a</v>
      </c>
      <c r="O76" s="57" t="str">
        <f aca="false">IFERROR(O32/O$15,"n/a")</f>
        <v>n/a</v>
      </c>
      <c r="P76" s="57" t="str">
        <f aca="false">IFERROR(P32/P$15,"n/a")</f>
        <v>n/a</v>
      </c>
      <c r="Q76" s="57" t="str">
        <f aca="false">IFERROR(Q32/Q$15,"n/a")</f>
        <v>n/a</v>
      </c>
      <c r="R76" s="57" t="str">
        <f aca="false">IFERROR(R32/R$15,"n/a")</f>
        <v>n/a</v>
      </c>
      <c r="S76" s="57" t="str">
        <f aca="false">IFERROR(S32/S$15,"n/a")</f>
        <v>n/a</v>
      </c>
      <c r="T76" s="57" t="str">
        <f aca="false">IFERROR(T32/T$15,"n/a")</f>
        <v>n/a</v>
      </c>
      <c r="U76" s="57" t="str">
        <f aca="false">IFERROR(U32/U$15,"n/a")</f>
        <v>n/a</v>
      </c>
      <c r="V76" s="57" t="str">
        <f aca="false">IFERROR(V32/V$15,"n/a")</f>
        <v>n/a</v>
      </c>
      <c r="W76" s="57" t="str">
        <f aca="false">IFERROR(W32/W$15,"n/a")</f>
        <v>n/a</v>
      </c>
      <c r="X76" s="57" t="str">
        <f aca="false">IFERROR(X32/X$15,"n/a")</f>
        <v>n/a</v>
      </c>
      <c r="Y76" s="57" t="str">
        <f aca="false">IFERROR(Y32/Y$15,"n/a")</f>
        <v>n/a</v>
      </c>
      <c r="Z76" s="57" t="str">
        <f aca="false">IFERROR(Z32/Z$15,"n/a")</f>
        <v>n/a</v>
      </c>
      <c r="AA76" s="57" t="str">
        <f aca="false">IFERROR(AA32/AA$15,"n/a")</f>
        <v>n/a</v>
      </c>
      <c r="AB76" s="57" t="str">
        <f aca="false">IFERROR(AB32/AB$15,"n/a")</f>
        <v>n/a</v>
      </c>
      <c r="AC76" s="57" t="str">
        <f aca="false">IFERROR(AC32/AC$15,"n/a")</f>
        <v>n/a</v>
      </c>
      <c r="AD76" s="57" t="str">
        <f aca="false">IFERROR(AD32/AD$15,"n/a")</f>
        <v>n/a</v>
      </c>
      <c r="AE76" s="57" t="str">
        <f aca="false">IFERROR(AE32/AE$15,"n/a")</f>
        <v>n/a</v>
      </c>
      <c r="AF76" s="57" t="str">
        <f aca="false">IFERROR(AF32/AF$15,"n/a")</f>
        <v>n/a</v>
      </c>
      <c r="AG76" s="57" t="str">
        <f aca="false">IFERROR(AG32/AG$15,"n/a")</f>
        <v>n/a</v>
      </c>
      <c r="AH76" s="57" t="str">
        <f aca="false">IFERROR(AH32/AH$15,"n/a")</f>
        <v>n/a</v>
      </c>
      <c r="AI76" s="57" t="str">
        <f aca="false">IFERROR(AI32/AI$15,"n/a")</f>
        <v>n/a</v>
      </c>
      <c r="AJ76" s="57" t="str">
        <f aca="false">IFERROR(AJ32/AJ$15,"n/a")</f>
        <v>n/a</v>
      </c>
      <c r="AK76" s="57" t="str">
        <f aca="false">IFERROR(AK32/AK$15,"n/a")</f>
        <v>n/a</v>
      </c>
      <c r="AL76" s="57" t="str">
        <f aca="false">IFERROR(AL32/AL$15,"n/a")</f>
        <v>n/a</v>
      </c>
      <c r="AM76" s="57" t="str">
        <f aca="false">IFERROR(AM32/AM$15,"n/a")</f>
        <v>n/a</v>
      </c>
      <c r="AN76" s="57" t="str">
        <f aca="false">IFERROR(AN32/AN$15,"n/a")</f>
        <v>n/a</v>
      </c>
      <c r="AO76" s="57" t="str">
        <f aca="false">IFERROR(AO32/AO$15,"n/a")</f>
        <v>n/a</v>
      </c>
      <c r="AP76" s="57" t="str">
        <f aca="false">IFERROR(AP32/AP$15,"n/a")</f>
        <v>n/a</v>
      </c>
      <c r="AQ76" s="57" t="str">
        <f aca="false">IFERROR(AQ32/AQ$15,"n/a")</f>
        <v>n/a</v>
      </c>
      <c r="AR76" s="57" t="str">
        <f aca="false">IFERROR(AR32/AR$15,"n/a")</f>
        <v>n/a</v>
      </c>
      <c r="AS76" s="57" t="str">
        <f aca="false">IFERROR(AS32/AS$15,"n/a")</f>
        <v>n/a</v>
      </c>
      <c r="AT76" s="57" t="str">
        <f aca="false">IFERROR(AT32/AT$15,"n/a")</f>
        <v>n/a</v>
      </c>
      <c r="AU76" s="403" t="str">
        <f aca="false">IFERROR(AU32/AU$15,"n/a")</f>
        <v>n/a</v>
      </c>
      <c r="AV76" s="403" t="str">
        <f aca="false">IFERROR(AV32/AV$15,"n/a")</f>
        <v>n/a</v>
      </c>
      <c r="AW76" s="403" t="str">
        <f aca="false">IFERROR(AW32/AW$15,"n/a")</f>
        <v>n/a</v>
      </c>
      <c r="AX76" s="403" t="str">
        <f aca="false">IFERROR(AX32/AX$15,"n/a")</f>
        <v>n/a</v>
      </c>
      <c r="AY76" s="403" t="str">
        <f aca="false">IFERROR(AY32/AY$15,"n/a")</f>
        <v>n/a</v>
      </c>
      <c r="AZ76" s="403" t="str">
        <f aca="false">IFERROR(AZ32/AZ$15,"n/a")</f>
        <v>n/a</v>
      </c>
      <c r="BA76" s="403" t="str">
        <f aca="false">IFERROR(BA32/BA$15,"n/a")</f>
        <v>n/a</v>
      </c>
      <c r="BB76" s="403" t="str">
        <f aca="false">IFERROR(BB32/BB$15,"n/a")</f>
        <v>n/a</v>
      </c>
      <c r="BC76" s="403" t="str">
        <f aca="false">IFERROR(BC32/BC$15,"n/a")</f>
        <v>n/a</v>
      </c>
      <c r="BD76" s="403" t="str">
        <f aca="false">IFERROR(BD32/BD$15,"n/a")</f>
        <v>n/a</v>
      </c>
      <c r="BE76" s="403" t="str">
        <f aca="false">IFERROR(BE32/BE$15,"n/a")</f>
        <v>n/a</v>
      </c>
      <c r="BF76" s="403" t="str">
        <f aca="false">IFERROR(BF32/BF$15,"n/a")</f>
        <v>n/a</v>
      </c>
      <c r="BG76" s="403" t="str">
        <f aca="false">IFERROR(BG32/BG$15,"n/a")</f>
        <v>n/a</v>
      </c>
      <c r="BH76" s="403" t="str">
        <f aca="false">IFERROR(BH32/BH$15,"n/a")</f>
        <v>n/a</v>
      </c>
      <c r="BI76" s="403" t="str">
        <f aca="false">IFERROR(BI32/BI$15,"n/a")</f>
        <v>n/a</v>
      </c>
      <c r="BJ76" s="403" t="str">
        <f aca="false">IFERROR(BJ32/BJ$15,"n/a")</f>
        <v>n/a</v>
      </c>
      <c r="BK76" s="403" t="str">
        <f aca="false">IFERROR(BK32/BK$15,"n/a")</f>
        <v>n/a</v>
      </c>
      <c r="BL76" s="403" t="str">
        <f aca="false">IFERROR(BL32/BL$15,"n/a")</f>
        <v>n/a</v>
      </c>
      <c r="BM76" s="403" t="str">
        <f aca="false">IFERROR(BM32/BM$15,"n/a")</f>
        <v>n/a</v>
      </c>
      <c r="BN76" s="403" t="str">
        <f aca="false">IFERROR(BN32/BN$15,"n/a")</f>
        <v>n/a</v>
      </c>
      <c r="BO76" s="403" t="str">
        <f aca="false">IFERROR(BO32/BO$15,"n/a")</f>
        <v>n/a</v>
      </c>
      <c r="BP76" s="403" t="str">
        <f aca="false">IFERROR(BP32/BP$15,"n/a")</f>
        <v>n/a</v>
      </c>
      <c r="BQ76" s="403" t="str">
        <f aca="false">IFERROR(BQ32/BQ$15,"n/a")</f>
        <v>n/a</v>
      </c>
      <c r="BR76" s="403" t="str">
        <f aca="false">IFERROR(BR32/BR$15,"n/a")</f>
        <v>n/a</v>
      </c>
      <c r="BS76" s="403" t="str">
        <f aca="false">IFERROR(BS32/BS$15,"n/a")</f>
        <v>n/a</v>
      </c>
      <c r="BT76" s="403" t="str">
        <f aca="false">IFERROR(BT32/BT$15,"n/a")</f>
        <v>n/a</v>
      </c>
      <c r="BU76" s="403" t="str">
        <f aca="false">IFERROR(BU32/BU$15,"n/a")</f>
        <v>n/a</v>
      </c>
      <c r="BV76" s="403" t="str">
        <f aca="false">IFERROR(BV32/BV$15,"n/a")</f>
        <v>n/a</v>
      </c>
      <c r="BW76" s="403" t="str">
        <f aca="false">IFERROR(BW32/BW$15,"n/a")</f>
        <v>n/a</v>
      </c>
      <c r="BX76" s="403" t="str">
        <f aca="false">IFERROR(BX32/BX$15,"n/a")</f>
        <v>n/a</v>
      </c>
      <c r="BY76" s="403" t="str">
        <f aca="false">IFERROR(BY32/BY$15,"n/a")</f>
        <v>n/a</v>
      </c>
      <c r="BZ76" s="403" t="str">
        <f aca="false">IFERROR(BZ32/BZ$15,"n/a")</f>
        <v>n/a</v>
      </c>
      <c r="CA76" s="403" t="str">
        <f aca="false">IFERROR(CA32/CA$15,"n/a")</f>
        <v>n/a</v>
      </c>
      <c r="CB76" s="403" t="str">
        <f aca="false">IFERROR(CB32/CB$15,"n/a")</f>
        <v>n/a</v>
      </c>
      <c r="CC76" s="403" t="str">
        <f aca="false">IFERROR(CC32/CC$15,"n/a")</f>
        <v>n/a</v>
      </c>
      <c r="CD76" s="403" t="str">
        <f aca="false">IFERROR(CD32/CD$15,"n/a")</f>
        <v>n/a</v>
      </c>
      <c r="CE76" s="403" t="str">
        <f aca="false">IFERROR(CE32/CE$15,"n/a")</f>
        <v>n/a</v>
      </c>
      <c r="CF76" s="403" t="str">
        <f aca="false">IFERROR(CF32/CF$15,"n/a")</f>
        <v>n/a</v>
      </c>
      <c r="CG76" s="403" t="str">
        <f aca="false">IFERROR(CG32/CG$15,"n/a")</f>
        <v>n/a</v>
      </c>
      <c r="CH76" s="403" t="str">
        <f aca="false">IFERROR(CH32/CH$15,"n/a")</f>
        <v>n/a</v>
      </c>
      <c r="CI76" s="403" t="str">
        <f aca="false">IFERROR(CI32/CI$15,"n/a")</f>
        <v>n/a</v>
      </c>
      <c r="CJ76" s="403" t="str">
        <f aca="false">IFERROR(CJ32/CJ$15,"n/a")</f>
        <v>n/a</v>
      </c>
      <c r="CK76" s="403" t="str">
        <f aca="false">IFERROR(CK32/CK$15,"n/a")</f>
        <v>n/a</v>
      </c>
    </row>
    <row r="77" s="143" customFormat="true" ht="11.25" hidden="false" customHeight="true" outlineLevel="2" collapsed="false">
      <c r="C77" s="51" t="str">
        <f aca="false">C33</f>
        <v>Dummy 3</v>
      </c>
      <c r="D77" s="51" t="str">
        <f aca="false">D33</f>
        <v>Dummy 3</v>
      </c>
      <c r="E77" s="51"/>
      <c r="F77" s="57" t="str">
        <f aca="false">IFERROR(F33/F$15,"n/a")</f>
        <v>n/a</v>
      </c>
      <c r="G77" s="57" t="str">
        <f aca="false">IFERROR(G33/G$15,"n/a")</f>
        <v>n/a</v>
      </c>
      <c r="H77" s="57" t="str">
        <f aca="false">IFERROR(H33/H$15,"n/a")</f>
        <v>n/a</v>
      </c>
      <c r="I77" s="57" t="str">
        <f aca="false">IFERROR(I33/I$15,"n/a")</f>
        <v>n/a</v>
      </c>
      <c r="J77" s="57" t="str">
        <f aca="false">IFERROR(J33/J$15,"n/a")</f>
        <v>n/a</v>
      </c>
      <c r="K77" s="57" t="str">
        <f aca="false">IFERROR(K33/K$15,"n/a")</f>
        <v>n/a</v>
      </c>
      <c r="L77" s="57" t="str">
        <f aca="false">IFERROR(L33/L$15,"n/a")</f>
        <v>n/a</v>
      </c>
      <c r="M77" s="57" t="str">
        <f aca="false">IFERROR(M33/M$15,"n/a")</f>
        <v>n/a</v>
      </c>
      <c r="N77" s="57" t="str">
        <f aca="false">IFERROR(N33/N$15,"n/a")</f>
        <v>n/a</v>
      </c>
      <c r="O77" s="57" t="str">
        <f aca="false">IFERROR(O33/O$15,"n/a")</f>
        <v>n/a</v>
      </c>
      <c r="P77" s="57" t="str">
        <f aca="false">IFERROR(P33/P$15,"n/a")</f>
        <v>n/a</v>
      </c>
      <c r="Q77" s="57" t="str">
        <f aca="false">IFERROR(Q33/Q$15,"n/a")</f>
        <v>n/a</v>
      </c>
      <c r="R77" s="57" t="str">
        <f aca="false">IFERROR(R33/R$15,"n/a")</f>
        <v>n/a</v>
      </c>
      <c r="S77" s="57" t="str">
        <f aca="false">IFERROR(S33/S$15,"n/a")</f>
        <v>n/a</v>
      </c>
      <c r="T77" s="57" t="str">
        <f aca="false">IFERROR(T33/T$15,"n/a")</f>
        <v>n/a</v>
      </c>
      <c r="U77" s="57" t="str">
        <f aca="false">IFERROR(U33/U$15,"n/a")</f>
        <v>n/a</v>
      </c>
      <c r="V77" s="57" t="str">
        <f aca="false">IFERROR(V33/V$15,"n/a")</f>
        <v>n/a</v>
      </c>
      <c r="W77" s="57" t="str">
        <f aca="false">IFERROR(W33/W$15,"n/a")</f>
        <v>n/a</v>
      </c>
      <c r="X77" s="57" t="str">
        <f aca="false">IFERROR(X33/X$15,"n/a")</f>
        <v>n/a</v>
      </c>
      <c r="Y77" s="57" t="str">
        <f aca="false">IFERROR(Y33/Y$15,"n/a")</f>
        <v>n/a</v>
      </c>
      <c r="Z77" s="57" t="str">
        <f aca="false">IFERROR(Z33/Z$15,"n/a")</f>
        <v>n/a</v>
      </c>
      <c r="AA77" s="57" t="str">
        <f aca="false">IFERROR(AA33/AA$15,"n/a")</f>
        <v>n/a</v>
      </c>
      <c r="AB77" s="57" t="str">
        <f aca="false">IFERROR(AB33/AB$15,"n/a")</f>
        <v>n/a</v>
      </c>
      <c r="AC77" s="57" t="str">
        <f aca="false">IFERROR(AC33/AC$15,"n/a")</f>
        <v>n/a</v>
      </c>
      <c r="AD77" s="57" t="str">
        <f aca="false">IFERROR(AD33/AD$15,"n/a")</f>
        <v>n/a</v>
      </c>
      <c r="AE77" s="57" t="str">
        <f aca="false">IFERROR(AE33/AE$15,"n/a")</f>
        <v>n/a</v>
      </c>
      <c r="AF77" s="57" t="str">
        <f aca="false">IFERROR(AF33/AF$15,"n/a")</f>
        <v>n/a</v>
      </c>
      <c r="AG77" s="57" t="str">
        <f aca="false">IFERROR(AG33/AG$15,"n/a")</f>
        <v>n/a</v>
      </c>
      <c r="AH77" s="57" t="str">
        <f aca="false">IFERROR(AH33/AH$15,"n/a")</f>
        <v>n/a</v>
      </c>
      <c r="AI77" s="57" t="str">
        <f aca="false">IFERROR(AI33/AI$15,"n/a")</f>
        <v>n/a</v>
      </c>
      <c r="AJ77" s="57" t="str">
        <f aca="false">IFERROR(AJ33/AJ$15,"n/a")</f>
        <v>n/a</v>
      </c>
      <c r="AK77" s="57" t="str">
        <f aca="false">IFERROR(AK33/AK$15,"n/a")</f>
        <v>n/a</v>
      </c>
      <c r="AL77" s="57" t="str">
        <f aca="false">IFERROR(AL33/AL$15,"n/a")</f>
        <v>n/a</v>
      </c>
      <c r="AM77" s="57" t="str">
        <f aca="false">IFERROR(AM33/AM$15,"n/a")</f>
        <v>n/a</v>
      </c>
      <c r="AN77" s="57" t="str">
        <f aca="false">IFERROR(AN33/AN$15,"n/a")</f>
        <v>n/a</v>
      </c>
      <c r="AO77" s="57" t="str">
        <f aca="false">IFERROR(AO33/AO$15,"n/a")</f>
        <v>n/a</v>
      </c>
      <c r="AP77" s="57" t="str">
        <f aca="false">IFERROR(AP33/AP$15,"n/a")</f>
        <v>n/a</v>
      </c>
      <c r="AQ77" s="57" t="str">
        <f aca="false">IFERROR(AQ33/AQ$15,"n/a")</f>
        <v>n/a</v>
      </c>
      <c r="AR77" s="57" t="str">
        <f aca="false">IFERROR(AR33/AR$15,"n/a")</f>
        <v>n/a</v>
      </c>
      <c r="AS77" s="57" t="str">
        <f aca="false">IFERROR(AS33/AS$15,"n/a")</f>
        <v>n/a</v>
      </c>
      <c r="AT77" s="57" t="str">
        <f aca="false">IFERROR(AT33/AT$15,"n/a")</f>
        <v>n/a</v>
      </c>
      <c r="AU77" s="403" t="str">
        <f aca="false">IFERROR(AU33/AU$15,"n/a")</f>
        <v>n/a</v>
      </c>
      <c r="AV77" s="403" t="str">
        <f aca="false">IFERROR(AV33/AV$15,"n/a")</f>
        <v>n/a</v>
      </c>
      <c r="AW77" s="403" t="str">
        <f aca="false">IFERROR(AW33/AW$15,"n/a")</f>
        <v>n/a</v>
      </c>
      <c r="AX77" s="403" t="str">
        <f aca="false">IFERROR(AX33/AX$15,"n/a")</f>
        <v>n/a</v>
      </c>
      <c r="AY77" s="403" t="str">
        <f aca="false">IFERROR(AY33/AY$15,"n/a")</f>
        <v>n/a</v>
      </c>
      <c r="AZ77" s="403" t="str">
        <f aca="false">IFERROR(AZ33/AZ$15,"n/a")</f>
        <v>n/a</v>
      </c>
      <c r="BA77" s="403" t="str">
        <f aca="false">IFERROR(BA33/BA$15,"n/a")</f>
        <v>n/a</v>
      </c>
      <c r="BB77" s="403" t="str">
        <f aca="false">IFERROR(BB33/BB$15,"n/a")</f>
        <v>n/a</v>
      </c>
      <c r="BC77" s="403" t="str">
        <f aca="false">IFERROR(BC33/BC$15,"n/a")</f>
        <v>n/a</v>
      </c>
      <c r="BD77" s="403" t="str">
        <f aca="false">IFERROR(BD33/BD$15,"n/a")</f>
        <v>n/a</v>
      </c>
      <c r="BE77" s="403" t="str">
        <f aca="false">IFERROR(BE33/BE$15,"n/a")</f>
        <v>n/a</v>
      </c>
      <c r="BF77" s="403" t="str">
        <f aca="false">IFERROR(BF33/BF$15,"n/a")</f>
        <v>n/a</v>
      </c>
      <c r="BG77" s="403" t="str">
        <f aca="false">IFERROR(BG33/BG$15,"n/a")</f>
        <v>n/a</v>
      </c>
      <c r="BH77" s="403" t="str">
        <f aca="false">IFERROR(BH33/BH$15,"n/a")</f>
        <v>n/a</v>
      </c>
      <c r="BI77" s="403" t="str">
        <f aca="false">IFERROR(BI33/BI$15,"n/a")</f>
        <v>n/a</v>
      </c>
      <c r="BJ77" s="403" t="str">
        <f aca="false">IFERROR(BJ33/BJ$15,"n/a")</f>
        <v>n/a</v>
      </c>
      <c r="BK77" s="403" t="str">
        <f aca="false">IFERROR(BK33/BK$15,"n/a")</f>
        <v>n/a</v>
      </c>
      <c r="BL77" s="403" t="str">
        <f aca="false">IFERROR(BL33/BL$15,"n/a")</f>
        <v>n/a</v>
      </c>
      <c r="BM77" s="403" t="str">
        <f aca="false">IFERROR(BM33/BM$15,"n/a")</f>
        <v>n/a</v>
      </c>
      <c r="BN77" s="403" t="str">
        <f aca="false">IFERROR(BN33/BN$15,"n/a")</f>
        <v>n/a</v>
      </c>
      <c r="BO77" s="403" t="str">
        <f aca="false">IFERROR(BO33/BO$15,"n/a")</f>
        <v>n/a</v>
      </c>
      <c r="BP77" s="403" t="str">
        <f aca="false">IFERROR(BP33/BP$15,"n/a")</f>
        <v>n/a</v>
      </c>
      <c r="BQ77" s="403" t="str">
        <f aca="false">IFERROR(BQ33/BQ$15,"n/a")</f>
        <v>n/a</v>
      </c>
      <c r="BR77" s="403" t="str">
        <f aca="false">IFERROR(BR33/BR$15,"n/a")</f>
        <v>n/a</v>
      </c>
      <c r="BS77" s="403" t="str">
        <f aca="false">IFERROR(BS33/BS$15,"n/a")</f>
        <v>n/a</v>
      </c>
      <c r="BT77" s="403" t="str">
        <f aca="false">IFERROR(BT33/BT$15,"n/a")</f>
        <v>n/a</v>
      </c>
      <c r="BU77" s="403" t="str">
        <f aca="false">IFERROR(BU33/BU$15,"n/a")</f>
        <v>n/a</v>
      </c>
      <c r="BV77" s="403" t="str">
        <f aca="false">IFERROR(BV33/BV$15,"n/a")</f>
        <v>n/a</v>
      </c>
      <c r="BW77" s="403" t="str">
        <f aca="false">IFERROR(BW33/BW$15,"n/a")</f>
        <v>n/a</v>
      </c>
      <c r="BX77" s="403" t="str">
        <f aca="false">IFERROR(BX33/BX$15,"n/a")</f>
        <v>n/a</v>
      </c>
      <c r="BY77" s="403" t="str">
        <f aca="false">IFERROR(BY33/BY$15,"n/a")</f>
        <v>n/a</v>
      </c>
      <c r="BZ77" s="403" t="str">
        <f aca="false">IFERROR(BZ33/BZ$15,"n/a")</f>
        <v>n/a</v>
      </c>
      <c r="CA77" s="403" t="str">
        <f aca="false">IFERROR(CA33/CA$15,"n/a")</f>
        <v>n/a</v>
      </c>
      <c r="CB77" s="403" t="str">
        <f aca="false">IFERROR(CB33/CB$15,"n/a")</f>
        <v>n/a</v>
      </c>
      <c r="CC77" s="403" t="str">
        <f aca="false">IFERROR(CC33/CC$15,"n/a")</f>
        <v>n/a</v>
      </c>
      <c r="CD77" s="403" t="str">
        <f aca="false">IFERROR(CD33/CD$15,"n/a")</f>
        <v>n/a</v>
      </c>
      <c r="CE77" s="403" t="str">
        <f aca="false">IFERROR(CE33/CE$15,"n/a")</f>
        <v>n/a</v>
      </c>
      <c r="CF77" s="403" t="str">
        <f aca="false">IFERROR(CF33/CF$15,"n/a")</f>
        <v>n/a</v>
      </c>
      <c r="CG77" s="403" t="str">
        <f aca="false">IFERROR(CG33/CG$15,"n/a")</f>
        <v>n/a</v>
      </c>
      <c r="CH77" s="403" t="str">
        <f aca="false">IFERROR(CH33/CH$15,"n/a")</f>
        <v>n/a</v>
      </c>
      <c r="CI77" s="403" t="str">
        <f aca="false">IFERROR(CI33/CI$15,"n/a")</f>
        <v>n/a</v>
      </c>
      <c r="CJ77" s="403" t="str">
        <f aca="false">IFERROR(CJ33/CJ$15,"n/a")</f>
        <v>n/a</v>
      </c>
      <c r="CK77" s="403" t="str">
        <f aca="false">IFERROR(CK33/CK$15,"n/a")</f>
        <v>n/a</v>
      </c>
    </row>
    <row r="78" s="143" customFormat="true" ht="11.25" hidden="false" customHeight="true" outlineLevel="0" collapsed="false">
      <c r="C78" s="132" t="str">
        <f aca="false">C34</f>
        <v>EBITDA</v>
      </c>
      <c r="D78" s="132" t="str">
        <f aca="false">D34</f>
        <v>EBITDA</v>
      </c>
      <c r="E78" s="132"/>
      <c r="F78" s="144" t="str">
        <f aca="false">IFERROR(F34/F$15,"n/a")</f>
        <v>n/a</v>
      </c>
      <c r="G78" s="144" t="str">
        <f aca="false">IFERROR(G34/G$15,"n/a")</f>
        <v>n/a</v>
      </c>
      <c r="H78" s="144" t="str">
        <f aca="false">IFERROR(H34/H$15,"n/a")</f>
        <v>n/a</v>
      </c>
      <c r="I78" s="144" t="str">
        <f aca="false">IFERROR(I34/I$15,"n/a")</f>
        <v>n/a</v>
      </c>
      <c r="J78" s="144" t="str">
        <f aca="false">IFERROR(J34/J$15,"n/a")</f>
        <v>n/a</v>
      </c>
      <c r="K78" s="144" t="str">
        <f aca="false">IFERROR(K34/K$15,"n/a")</f>
        <v>n/a</v>
      </c>
      <c r="L78" s="144" t="str">
        <f aca="false">IFERROR(L34/L$15,"n/a")</f>
        <v>n/a</v>
      </c>
      <c r="M78" s="144" t="str">
        <f aca="false">IFERROR(M34/M$15,"n/a")</f>
        <v>n/a</v>
      </c>
      <c r="N78" s="144" t="str">
        <f aca="false">IFERROR(N34/N$15,"n/a")</f>
        <v>n/a</v>
      </c>
      <c r="O78" s="144" t="str">
        <f aca="false">IFERROR(O34/O$15,"n/a")</f>
        <v>n/a</v>
      </c>
      <c r="P78" s="144" t="str">
        <f aca="false">IFERROR(P34/P$15,"n/a")</f>
        <v>n/a</v>
      </c>
      <c r="Q78" s="144" t="str">
        <f aca="false">IFERROR(Q34/Q$15,"n/a")</f>
        <v>n/a</v>
      </c>
      <c r="R78" s="144" t="str">
        <f aca="false">IFERROR(R34/R$15,"n/a")</f>
        <v>n/a</v>
      </c>
      <c r="S78" s="144" t="str">
        <f aca="false">IFERROR(S34/S$15,"n/a")</f>
        <v>n/a</v>
      </c>
      <c r="T78" s="144" t="str">
        <f aca="false">IFERROR(T34/T$15,"n/a")</f>
        <v>n/a</v>
      </c>
      <c r="U78" s="144" t="str">
        <f aca="false">IFERROR(U34/U$15,"n/a")</f>
        <v>n/a</v>
      </c>
      <c r="V78" s="144" t="str">
        <f aca="false">IFERROR(V34/V$15,"n/a")</f>
        <v>n/a</v>
      </c>
      <c r="W78" s="144" t="str">
        <f aca="false">IFERROR(W34/W$15,"n/a")</f>
        <v>n/a</v>
      </c>
      <c r="X78" s="144" t="str">
        <f aca="false">IFERROR(X34/X$15,"n/a")</f>
        <v>n/a</v>
      </c>
      <c r="Y78" s="144" t="str">
        <f aca="false">IFERROR(Y34/Y$15,"n/a")</f>
        <v>n/a</v>
      </c>
      <c r="Z78" s="144" t="str">
        <f aca="false">IFERROR(Z34/Z$15,"n/a")</f>
        <v>n/a</v>
      </c>
      <c r="AA78" s="144" t="str">
        <f aca="false">IFERROR(AA34/AA$15,"n/a")</f>
        <v>n/a</v>
      </c>
      <c r="AB78" s="144" t="str">
        <f aca="false">IFERROR(AB34/AB$15,"n/a")</f>
        <v>n/a</v>
      </c>
      <c r="AC78" s="144" t="str">
        <f aca="false">IFERROR(AC34/AC$15,"n/a")</f>
        <v>n/a</v>
      </c>
      <c r="AD78" s="144" t="str">
        <f aca="false">IFERROR(AD34/AD$15,"n/a")</f>
        <v>n/a</v>
      </c>
      <c r="AE78" s="144" t="str">
        <f aca="false">IFERROR(AE34/AE$15,"n/a")</f>
        <v>n/a</v>
      </c>
      <c r="AF78" s="144" t="str">
        <f aca="false">IFERROR(AF34/AF$15,"n/a")</f>
        <v>n/a</v>
      </c>
      <c r="AG78" s="144" t="str">
        <f aca="false">IFERROR(AG34/AG$15,"n/a")</f>
        <v>n/a</v>
      </c>
      <c r="AH78" s="144" t="str">
        <f aca="false">IFERROR(AH34/AH$15,"n/a")</f>
        <v>n/a</v>
      </c>
      <c r="AI78" s="144" t="str">
        <f aca="false">IFERROR(AI34/AI$15,"n/a")</f>
        <v>n/a</v>
      </c>
      <c r="AJ78" s="144" t="str">
        <f aca="false">IFERROR(AJ34/AJ$15,"n/a")</f>
        <v>n/a</v>
      </c>
      <c r="AK78" s="144" t="str">
        <f aca="false">IFERROR(AK34/AK$15,"n/a")</f>
        <v>n/a</v>
      </c>
      <c r="AL78" s="144" t="str">
        <f aca="false">IFERROR(AL34/AL$15,"n/a")</f>
        <v>n/a</v>
      </c>
      <c r="AM78" s="144" t="str">
        <f aca="false">IFERROR(AM34/AM$15,"n/a")</f>
        <v>n/a</v>
      </c>
      <c r="AN78" s="144" t="str">
        <f aca="false">IFERROR(AN34/AN$15,"n/a")</f>
        <v>n/a</v>
      </c>
      <c r="AO78" s="144" t="str">
        <f aca="false">IFERROR(AO34/AO$15,"n/a")</f>
        <v>n/a</v>
      </c>
      <c r="AP78" s="144" t="str">
        <f aca="false">IFERROR(AP34/AP$15,"n/a")</f>
        <v>n/a</v>
      </c>
      <c r="AQ78" s="144" t="str">
        <f aca="false">IFERROR(AQ34/AQ$15,"n/a")</f>
        <v>n/a</v>
      </c>
      <c r="AR78" s="144" t="str">
        <f aca="false">IFERROR(AR34/AR$15,"n/a")</f>
        <v>n/a</v>
      </c>
      <c r="AS78" s="144" t="str">
        <f aca="false">IFERROR(AS34/AS$15,"n/a")</f>
        <v>n/a</v>
      </c>
      <c r="AT78" s="144" t="str">
        <f aca="false">IFERROR(AT34/AT$15,"n/a")</f>
        <v>n/a</v>
      </c>
      <c r="AU78" s="404" t="str">
        <f aca="false">IFERROR(AU34/AU$15,"n/a")</f>
        <v>n/a</v>
      </c>
      <c r="AV78" s="404" t="str">
        <f aca="false">IFERROR(AV34/AV$15,"n/a")</f>
        <v>n/a</v>
      </c>
      <c r="AW78" s="404" t="str">
        <f aca="false">IFERROR(AW34/AW$15,"n/a")</f>
        <v>n/a</v>
      </c>
      <c r="AX78" s="404" t="str">
        <f aca="false">IFERROR(AX34/AX$15,"n/a")</f>
        <v>n/a</v>
      </c>
      <c r="AY78" s="404" t="str">
        <f aca="false">IFERROR(AY34/AY$15,"n/a")</f>
        <v>n/a</v>
      </c>
      <c r="AZ78" s="404" t="str">
        <f aca="false">IFERROR(AZ34/AZ$15,"n/a")</f>
        <v>n/a</v>
      </c>
      <c r="BA78" s="404" t="str">
        <f aca="false">IFERROR(BA34/BA$15,"n/a")</f>
        <v>n/a</v>
      </c>
      <c r="BB78" s="404" t="str">
        <f aca="false">IFERROR(BB34/BB$15,"n/a")</f>
        <v>n/a</v>
      </c>
      <c r="BC78" s="404" t="str">
        <f aca="false">IFERROR(BC34/BC$15,"n/a")</f>
        <v>n/a</v>
      </c>
      <c r="BD78" s="404" t="str">
        <f aca="false">IFERROR(BD34/BD$15,"n/a")</f>
        <v>n/a</v>
      </c>
      <c r="BE78" s="404" t="str">
        <f aca="false">IFERROR(BE34/BE$15,"n/a")</f>
        <v>n/a</v>
      </c>
      <c r="BF78" s="404" t="str">
        <f aca="false">IFERROR(BF34/BF$15,"n/a")</f>
        <v>n/a</v>
      </c>
      <c r="BG78" s="404" t="str">
        <f aca="false">IFERROR(BG34/BG$15,"n/a")</f>
        <v>n/a</v>
      </c>
      <c r="BH78" s="404" t="str">
        <f aca="false">IFERROR(BH34/BH$15,"n/a")</f>
        <v>n/a</v>
      </c>
      <c r="BI78" s="404" t="str">
        <f aca="false">IFERROR(BI34/BI$15,"n/a")</f>
        <v>n/a</v>
      </c>
      <c r="BJ78" s="404" t="str">
        <f aca="false">IFERROR(BJ34/BJ$15,"n/a")</f>
        <v>n/a</v>
      </c>
      <c r="BK78" s="404" t="str">
        <f aca="false">IFERROR(BK34/BK$15,"n/a")</f>
        <v>n/a</v>
      </c>
      <c r="BL78" s="404" t="str">
        <f aca="false">IFERROR(BL34/BL$15,"n/a")</f>
        <v>n/a</v>
      </c>
      <c r="BM78" s="404" t="str">
        <f aca="false">IFERROR(BM34/BM$15,"n/a")</f>
        <v>n/a</v>
      </c>
      <c r="BN78" s="404" t="str">
        <f aca="false">IFERROR(BN34/BN$15,"n/a")</f>
        <v>n/a</v>
      </c>
      <c r="BO78" s="404" t="str">
        <f aca="false">IFERROR(BO34/BO$15,"n/a")</f>
        <v>n/a</v>
      </c>
      <c r="BP78" s="404" t="str">
        <f aca="false">IFERROR(BP34/BP$15,"n/a")</f>
        <v>n/a</v>
      </c>
      <c r="BQ78" s="404" t="str">
        <f aca="false">IFERROR(BQ34/BQ$15,"n/a")</f>
        <v>n/a</v>
      </c>
      <c r="BR78" s="404" t="str">
        <f aca="false">IFERROR(BR34/BR$15,"n/a")</f>
        <v>n/a</v>
      </c>
      <c r="BS78" s="404" t="str">
        <f aca="false">IFERROR(BS34/BS$15,"n/a")</f>
        <v>n/a</v>
      </c>
      <c r="BT78" s="404" t="str">
        <f aca="false">IFERROR(BT34/BT$15,"n/a")</f>
        <v>n/a</v>
      </c>
      <c r="BU78" s="404" t="str">
        <f aca="false">IFERROR(BU34/BU$15,"n/a")</f>
        <v>n/a</v>
      </c>
      <c r="BV78" s="404" t="str">
        <f aca="false">IFERROR(BV34/BV$15,"n/a")</f>
        <v>n/a</v>
      </c>
      <c r="BW78" s="404" t="str">
        <f aca="false">IFERROR(BW34/BW$15,"n/a")</f>
        <v>n/a</v>
      </c>
      <c r="BX78" s="404" t="str">
        <f aca="false">IFERROR(BX34/BX$15,"n/a")</f>
        <v>n/a</v>
      </c>
      <c r="BY78" s="404" t="str">
        <f aca="false">IFERROR(BY34/BY$15,"n/a")</f>
        <v>n/a</v>
      </c>
      <c r="BZ78" s="404" t="str">
        <f aca="false">IFERROR(BZ34/BZ$15,"n/a")</f>
        <v>n/a</v>
      </c>
      <c r="CA78" s="404" t="str">
        <f aca="false">IFERROR(CA34/CA$15,"n/a")</f>
        <v>n/a</v>
      </c>
      <c r="CB78" s="404" t="str">
        <f aca="false">IFERROR(CB34/CB$15,"n/a")</f>
        <v>n/a</v>
      </c>
      <c r="CC78" s="404" t="str">
        <f aca="false">IFERROR(CC34/CC$15,"n/a")</f>
        <v>n/a</v>
      </c>
      <c r="CD78" s="404" t="str">
        <f aca="false">IFERROR(CD34/CD$15,"n/a")</f>
        <v>n/a</v>
      </c>
      <c r="CE78" s="404" t="str">
        <f aca="false">IFERROR(CE34/CE$15,"n/a")</f>
        <v>n/a</v>
      </c>
      <c r="CF78" s="404" t="str">
        <f aca="false">IFERROR(CF34/CF$15,"n/a")</f>
        <v>n/a</v>
      </c>
      <c r="CG78" s="404" t="str">
        <f aca="false">IFERROR(CG34/CG$15,"n/a")</f>
        <v>n/a</v>
      </c>
      <c r="CH78" s="404" t="str">
        <f aca="false">IFERROR(CH34/CH$15,"n/a")</f>
        <v>n/a</v>
      </c>
      <c r="CI78" s="404" t="str">
        <f aca="false">IFERROR(CI34/CI$15,"n/a")</f>
        <v>n/a</v>
      </c>
      <c r="CJ78" s="404" t="str">
        <f aca="false">IFERROR(CJ34/CJ$15,"n/a")</f>
        <v>n/a</v>
      </c>
      <c r="CK78" s="404" t="str">
        <f aca="false">IFERROR(CK34/CK$15,"n/a")</f>
        <v>n/a</v>
      </c>
    </row>
    <row r="79" s="143" customFormat="true" ht="11.25" hidden="false" customHeight="true" outlineLevel="0" collapsed="false">
      <c r="C79" s="51" t="str">
        <f aca="false">C35</f>
        <v>Abschreibungen</v>
      </c>
      <c r="D79" s="51" t="str">
        <f aca="false">D35</f>
        <v>Depreciation</v>
      </c>
      <c r="E79" s="51"/>
      <c r="F79" s="57" t="str">
        <f aca="false">IFERROR(F35/F$15,"n/a")</f>
        <v>n/a</v>
      </c>
      <c r="G79" s="57" t="str">
        <f aca="false">IFERROR(G35/G$15,"n/a")</f>
        <v>n/a</v>
      </c>
      <c r="H79" s="57" t="str">
        <f aca="false">IFERROR(H35/H$15,"n/a")</f>
        <v>n/a</v>
      </c>
      <c r="I79" s="57" t="str">
        <f aca="false">IFERROR(I35/I$15,"n/a")</f>
        <v>n/a</v>
      </c>
      <c r="J79" s="57" t="str">
        <f aca="false">IFERROR(J35/J$15,"n/a")</f>
        <v>n/a</v>
      </c>
      <c r="K79" s="57" t="str">
        <f aca="false">IFERROR(K35/K$15,"n/a")</f>
        <v>n/a</v>
      </c>
      <c r="L79" s="57" t="str">
        <f aca="false">IFERROR(L35/L$15,"n/a")</f>
        <v>n/a</v>
      </c>
      <c r="M79" s="57" t="str">
        <f aca="false">IFERROR(M35/M$15,"n/a")</f>
        <v>n/a</v>
      </c>
      <c r="N79" s="57" t="str">
        <f aca="false">IFERROR(N35/N$15,"n/a")</f>
        <v>n/a</v>
      </c>
      <c r="O79" s="57" t="str">
        <f aca="false">IFERROR(O35/O$15,"n/a")</f>
        <v>n/a</v>
      </c>
      <c r="P79" s="57" t="str">
        <f aca="false">IFERROR(P35/P$15,"n/a")</f>
        <v>n/a</v>
      </c>
      <c r="Q79" s="57" t="str">
        <f aca="false">IFERROR(Q35/Q$15,"n/a")</f>
        <v>n/a</v>
      </c>
      <c r="R79" s="57" t="str">
        <f aca="false">IFERROR(R35/R$15,"n/a")</f>
        <v>n/a</v>
      </c>
      <c r="S79" s="57" t="str">
        <f aca="false">IFERROR(S35/S$15,"n/a")</f>
        <v>n/a</v>
      </c>
      <c r="T79" s="57" t="str">
        <f aca="false">IFERROR(T35/T$15,"n/a")</f>
        <v>n/a</v>
      </c>
      <c r="U79" s="57" t="str">
        <f aca="false">IFERROR(U35/U$15,"n/a")</f>
        <v>n/a</v>
      </c>
      <c r="V79" s="57" t="str">
        <f aca="false">IFERROR(V35/V$15,"n/a")</f>
        <v>n/a</v>
      </c>
      <c r="W79" s="57" t="str">
        <f aca="false">IFERROR(W35/W$15,"n/a")</f>
        <v>n/a</v>
      </c>
      <c r="X79" s="57" t="str">
        <f aca="false">IFERROR(X35/X$15,"n/a")</f>
        <v>n/a</v>
      </c>
      <c r="Y79" s="57" t="str">
        <f aca="false">IFERROR(Y35/Y$15,"n/a")</f>
        <v>n/a</v>
      </c>
      <c r="Z79" s="57" t="str">
        <f aca="false">IFERROR(Z35/Z$15,"n/a")</f>
        <v>n/a</v>
      </c>
      <c r="AA79" s="57" t="str">
        <f aca="false">IFERROR(AA35/AA$15,"n/a")</f>
        <v>n/a</v>
      </c>
      <c r="AB79" s="57" t="str">
        <f aca="false">IFERROR(AB35/AB$15,"n/a")</f>
        <v>n/a</v>
      </c>
      <c r="AC79" s="57" t="str">
        <f aca="false">IFERROR(AC35/AC$15,"n/a")</f>
        <v>n/a</v>
      </c>
      <c r="AD79" s="57" t="str">
        <f aca="false">IFERROR(AD35/AD$15,"n/a")</f>
        <v>n/a</v>
      </c>
      <c r="AE79" s="57" t="str">
        <f aca="false">IFERROR(AE35/AE$15,"n/a")</f>
        <v>n/a</v>
      </c>
      <c r="AF79" s="57" t="str">
        <f aca="false">IFERROR(AF35/AF$15,"n/a")</f>
        <v>n/a</v>
      </c>
      <c r="AG79" s="57" t="str">
        <f aca="false">IFERROR(AG35/AG$15,"n/a")</f>
        <v>n/a</v>
      </c>
      <c r="AH79" s="57" t="str">
        <f aca="false">IFERROR(AH35/AH$15,"n/a")</f>
        <v>n/a</v>
      </c>
      <c r="AI79" s="57" t="str">
        <f aca="false">IFERROR(AI35/AI$15,"n/a")</f>
        <v>n/a</v>
      </c>
      <c r="AJ79" s="57" t="str">
        <f aca="false">IFERROR(AJ35/AJ$15,"n/a")</f>
        <v>n/a</v>
      </c>
      <c r="AK79" s="57" t="str">
        <f aca="false">IFERROR(AK35/AK$15,"n/a")</f>
        <v>n/a</v>
      </c>
      <c r="AL79" s="57" t="str">
        <f aca="false">IFERROR(AL35/AL$15,"n/a")</f>
        <v>n/a</v>
      </c>
      <c r="AM79" s="57" t="str">
        <f aca="false">IFERROR(AM35/AM$15,"n/a")</f>
        <v>n/a</v>
      </c>
      <c r="AN79" s="57" t="str">
        <f aca="false">IFERROR(AN35/AN$15,"n/a")</f>
        <v>n/a</v>
      </c>
      <c r="AO79" s="57" t="str">
        <f aca="false">IFERROR(AO35/AO$15,"n/a")</f>
        <v>n/a</v>
      </c>
      <c r="AP79" s="57" t="str">
        <f aca="false">IFERROR(AP35/AP$15,"n/a")</f>
        <v>n/a</v>
      </c>
      <c r="AQ79" s="57" t="str">
        <f aca="false">IFERROR(AQ35/AQ$15,"n/a")</f>
        <v>n/a</v>
      </c>
      <c r="AR79" s="57" t="str">
        <f aca="false">IFERROR(AR35/AR$15,"n/a")</f>
        <v>n/a</v>
      </c>
      <c r="AS79" s="57" t="str">
        <f aca="false">IFERROR(AS35/AS$15,"n/a")</f>
        <v>n/a</v>
      </c>
      <c r="AT79" s="57" t="str">
        <f aca="false">IFERROR(AT35/AT$15,"n/a")</f>
        <v>n/a</v>
      </c>
      <c r="AU79" s="403" t="str">
        <f aca="false">IFERROR(AU35/AU$15,"n/a")</f>
        <v>n/a</v>
      </c>
      <c r="AV79" s="403" t="str">
        <f aca="false">IFERROR(AV35/AV$15,"n/a")</f>
        <v>n/a</v>
      </c>
      <c r="AW79" s="403" t="str">
        <f aca="false">IFERROR(AW35/AW$15,"n/a")</f>
        <v>n/a</v>
      </c>
      <c r="AX79" s="403" t="str">
        <f aca="false">IFERROR(AX35/AX$15,"n/a")</f>
        <v>n/a</v>
      </c>
      <c r="AY79" s="403" t="str">
        <f aca="false">IFERROR(AY35/AY$15,"n/a")</f>
        <v>n/a</v>
      </c>
      <c r="AZ79" s="403" t="str">
        <f aca="false">IFERROR(AZ35/AZ$15,"n/a")</f>
        <v>n/a</v>
      </c>
      <c r="BA79" s="403" t="str">
        <f aca="false">IFERROR(BA35/BA$15,"n/a")</f>
        <v>n/a</v>
      </c>
      <c r="BB79" s="403" t="str">
        <f aca="false">IFERROR(BB35/BB$15,"n/a")</f>
        <v>n/a</v>
      </c>
      <c r="BC79" s="403" t="str">
        <f aca="false">IFERROR(BC35/BC$15,"n/a")</f>
        <v>n/a</v>
      </c>
      <c r="BD79" s="403" t="str">
        <f aca="false">IFERROR(BD35/BD$15,"n/a")</f>
        <v>n/a</v>
      </c>
      <c r="BE79" s="403" t="str">
        <f aca="false">IFERROR(BE35/BE$15,"n/a")</f>
        <v>n/a</v>
      </c>
      <c r="BF79" s="403" t="str">
        <f aca="false">IFERROR(BF35/BF$15,"n/a")</f>
        <v>n/a</v>
      </c>
      <c r="BG79" s="403" t="str">
        <f aca="false">IFERROR(BG35/BG$15,"n/a")</f>
        <v>n/a</v>
      </c>
      <c r="BH79" s="403" t="str">
        <f aca="false">IFERROR(BH35/BH$15,"n/a")</f>
        <v>n/a</v>
      </c>
      <c r="BI79" s="403" t="str">
        <f aca="false">IFERROR(BI35/BI$15,"n/a")</f>
        <v>n/a</v>
      </c>
      <c r="BJ79" s="403" t="str">
        <f aca="false">IFERROR(BJ35/BJ$15,"n/a")</f>
        <v>n/a</v>
      </c>
      <c r="BK79" s="403" t="str">
        <f aca="false">IFERROR(BK35/BK$15,"n/a")</f>
        <v>n/a</v>
      </c>
      <c r="BL79" s="403" t="str">
        <f aca="false">IFERROR(BL35/BL$15,"n/a")</f>
        <v>n/a</v>
      </c>
      <c r="BM79" s="403" t="str">
        <f aca="false">IFERROR(BM35/BM$15,"n/a")</f>
        <v>n/a</v>
      </c>
      <c r="BN79" s="403" t="str">
        <f aca="false">IFERROR(BN35/BN$15,"n/a")</f>
        <v>n/a</v>
      </c>
      <c r="BO79" s="403" t="str">
        <f aca="false">IFERROR(BO35/BO$15,"n/a")</f>
        <v>n/a</v>
      </c>
      <c r="BP79" s="403" t="str">
        <f aca="false">IFERROR(BP35/BP$15,"n/a")</f>
        <v>n/a</v>
      </c>
      <c r="BQ79" s="403" t="str">
        <f aca="false">IFERROR(BQ35/BQ$15,"n/a")</f>
        <v>n/a</v>
      </c>
      <c r="BR79" s="403" t="str">
        <f aca="false">IFERROR(BR35/BR$15,"n/a")</f>
        <v>n/a</v>
      </c>
      <c r="BS79" s="403" t="str">
        <f aca="false">IFERROR(BS35/BS$15,"n/a")</f>
        <v>n/a</v>
      </c>
      <c r="BT79" s="403" t="str">
        <f aca="false">IFERROR(BT35/BT$15,"n/a")</f>
        <v>n/a</v>
      </c>
      <c r="BU79" s="403" t="str">
        <f aca="false">IFERROR(BU35/BU$15,"n/a")</f>
        <v>n/a</v>
      </c>
      <c r="BV79" s="403" t="str">
        <f aca="false">IFERROR(BV35/BV$15,"n/a")</f>
        <v>n/a</v>
      </c>
      <c r="BW79" s="403" t="str">
        <f aca="false">IFERROR(BW35/BW$15,"n/a")</f>
        <v>n/a</v>
      </c>
      <c r="BX79" s="403" t="str">
        <f aca="false">IFERROR(BX35/BX$15,"n/a")</f>
        <v>n/a</v>
      </c>
      <c r="BY79" s="403" t="str">
        <f aca="false">IFERROR(BY35/BY$15,"n/a")</f>
        <v>n/a</v>
      </c>
      <c r="BZ79" s="403" t="str">
        <f aca="false">IFERROR(BZ35/BZ$15,"n/a")</f>
        <v>n/a</v>
      </c>
      <c r="CA79" s="403" t="str">
        <f aca="false">IFERROR(CA35/CA$15,"n/a")</f>
        <v>n/a</v>
      </c>
      <c r="CB79" s="403" t="str">
        <f aca="false">IFERROR(CB35/CB$15,"n/a")</f>
        <v>n/a</v>
      </c>
      <c r="CC79" s="403" t="str">
        <f aca="false">IFERROR(CC35/CC$15,"n/a")</f>
        <v>n/a</v>
      </c>
      <c r="CD79" s="403" t="str">
        <f aca="false">IFERROR(CD35/CD$15,"n/a")</f>
        <v>n/a</v>
      </c>
      <c r="CE79" s="403" t="str">
        <f aca="false">IFERROR(CE35/CE$15,"n/a")</f>
        <v>n/a</v>
      </c>
      <c r="CF79" s="403" t="str">
        <f aca="false">IFERROR(CF35/CF$15,"n/a")</f>
        <v>n/a</v>
      </c>
      <c r="CG79" s="403" t="str">
        <f aca="false">IFERROR(CG35/CG$15,"n/a")</f>
        <v>n/a</v>
      </c>
      <c r="CH79" s="403" t="str">
        <f aca="false">IFERROR(CH35/CH$15,"n/a")</f>
        <v>n/a</v>
      </c>
      <c r="CI79" s="403" t="str">
        <f aca="false">IFERROR(CI35/CI$15,"n/a")</f>
        <v>n/a</v>
      </c>
      <c r="CJ79" s="403" t="str">
        <f aca="false">IFERROR(CJ35/CJ$15,"n/a")</f>
        <v>n/a</v>
      </c>
      <c r="CK79" s="403" t="str">
        <f aca="false">IFERROR(CK35/CK$15,"n/a")</f>
        <v>n/a</v>
      </c>
    </row>
    <row r="80" s="143" customFormat="true" ht="11.25" hidden="false" customHeight="true" outlineLevel="2" collapsed="false">
      <c r="C80" s="51" t="str">
        <f aca="false">C36</f>
        <v>Dummy 1</v>
      </c>
      <c r="D80" s="51" t="str">
        <f aca="false">D36</f>
        <v>Dummy 1</v>
      </c>
      <c r="E80" s="51"/>
      <c r="F80" s="57" t="str">
        <f aca="false">IFERROR(F36/F$15,"n/a")</f>
        <v>n/a</v>
      </c>
      <c r="G80" s="57" t="str">
        <f aca="false">IFERROR(G36/G$15,"n/a")</f>
        <v>n/a</v>
      </c>
      <c r="H80" s="57" t="str">
        <f aca="false">IFERROR(H36/H$15,"n/a")</f>
        <v>n/a</v>
      </c>
      <c r="I80" s="57" t="str">
        <f aca="false">IFERROR(I36/I$15,"n/a")</f>
        <v>n/a</v>
      </c>
      <c r="J80" s="57" t="str">
        <f aca="false">IFERROR(J36/J$15,"n/a")</f>
        <v>n/a</v>
      </c>
      <c r="K80" s="57" t="str">
        <f aca="false">IFERROR(K36/K$15,"n/a")</f>
        <v>n/a</v>
      </c>
      <c r="L80" s="57" t="str">
        <f aca="false">IFERROR(L36/L$15,"n/a")</f>
        <v>n/a</v>
      </c>
      <c r="M80" s="57" t="str">
        <f aca="false">IFERROR(M36/M$15,"n/a")</f>
        <v>n/a</v>
      </c>
      <c r="N80" s="57" t="str">
        <f aca="false">IFERROR(N36/N$15,"n/a")</f>
        <v>n/a</v>
      </c>
      <c r="O80" s="57" t="str">
        <f aca="false">IFERROR(O36/O$15,"n/a")</f>
        <v>n/a</v>
      </c>
      <c r="P80" s="57" t="str">
        <f aca="false">IFERROR(P36/P$15,"n/a")</f>
        <v>n/a</v>
      </c>
      <c r="Q80" s="57" t="str">
        <f aca="false">IFERROR(Q36/Q$15,"n/a")</f>
        <v>n/a</v>
      </c>
      <c r="R80" s="57" t="str">
        <f aca="false">IFERROR(R36/R$15,"n/a")</f>
        <v>n/a</v>
      </c>
      <c r="S80" s="57" t="str">
        <f aca="false">IFERROR(S36/S$15,"n/a")</f>
        <v>n/a</v>
      </c>
      <c r="T80" s="57" t="str">
        <f aca="false">IFERROR(T36/T$15,"n/a")</f>
        <v>n/a</v>
      </c>
      <c r="U80" s="57" t="str">
        <f aca="false">IFERROR(U36/U$15,"n/a")</f>
        <v>n/a</v>
      </c>
      <c r="V80" s="57" t="str">
        <f aca="false">IFERROR(V36/V$15,"n/a")</f>
        <v>n/a</v>
      </c>
      <c r="W80" s="57" t="str">
        <f aca="false">IFERROR(W36/W$15,"n/a")</f>
        <v>n/a</v>
      </c>
      <c r="X80" s="57" t="str">
        <f aca="false">IFERROR(X36/X$15,"n/a")</f>
        <v>n/a</v>
      </c>
      <c r="Y80" s="57" t="str">
        <f aca="false">IFERROR(Y36/Y$15,"n/a")</f>
        <v>n/a</v>
      </c>
      <c r="Z80" s="57" t="str">
        <f aca="false">IFERROR(Z36/Z$15,"n/a")</f>
        <v>n/a</v>
      </c>
      <c r="AA80" s="57" t="str">
        <f aca="false">IFERROR(AA36/AA$15,"n/a")</f>
        <v>n/a</v>
      </c>
      <c r="AB80" s="57" t="str">
        <f aca="false">IFERROR(AB36/AB$15,"n/a")</f>
        <v>n/a</v>
      </c>
      <c r="AC80" s="57" t="str">
        <f aca="false">IFERROR(AC36/AC$15,"n/a")</f>
        <v>n/a</v>
      </c>
      <c r="AD80" s="57" t="str">
        <f aca="false">IFERROR(AD36/AD$15,"n/a")</f>
        <v>n/a</v>
      </c>
      <c r="AE80" s="57" t="str">
        <f aca="false">IFERROR(AE36/AE$15,"n/a")</f>
        <v>n/a</v>
      </c>
      <c r="AF80" s="57" t="str">
        <f aca="false">IFERROR(AF36/AF$15,"n/a")</f>
        <v>n/a</v>
      </c>
      <c r="AG80" s="57" t="str">
        <f aca="false">IFERROR(AG36/AG$15,"n/a")</f>
        <v>n/a</v>
      </c>
      <c r="AH80" s="57" t="str">
        <f aca="false">IFERROR(AH36/AH$15,"n/a")</f>
        <v>n/a</v>
      </c>
      <c r="AI80" s="57" t="str">
        <f aca="false">IFERROR(AI36/AI$15,"n/a")</f>
        <v>n/a</v>
      </c>
      <c r="AJ80" s="57" t="str">
        <f aca="false">IFERROR(AJ36/AJ$15,"n/a")</f>
        <v>n/a</v>
      </c>
      <c r="AK80" s="57" t="str">
        <f aca="false">IFERROR(AK36/AK$15,"n/a")</f>
        <v>n/a</v>
      </c>
      <c r="AL80" s="57" t="str">
        <f aca="false">IFERROR(AL36/AL$15,"n/a")</f>
        <v>n/a</v>
      </c>
      <c r="AM80" s="57" t="str">
        <f aca="false">IFERROR(AM36/AM$15,"n/a")</f>
        <v>n/a</v>
      </c>
      <c r="AN80" s="57" t="str">
        <f aca="false">IFERROR(AN36/AN$15,"n/a")</f>
        <v>n/a</v>
      </c>
      <c r="AO80" s="57" t="str">
        <f aca="false">IFERROR(AO36/AO$15,"n/a")</f>
        <v>n/a</v>
      </c>
      <c r="AP80" s="57" t="str">
        <f aca="false">IFERROR(AP36/AP$15,"n/a")</f>
        <v>n/a</v>
      </c>
      <c r="AQ80" s="57" t="str">
        <f aca="false">IFERROR(AQ36/AQ$15,"n/a")</f>
        <v>n/a</v>
      </c>
      <c r="AR80" s="57" t="str">
        <f aca="false">IFERROR(AR36/AR$15,"n/a")</f>
        <v>n/a</v>
      </c>
      <c r="AS80" s="57" t="str">
        <f aca="false">IFERROR(AS36/AS$15,"n/a")</f>
        <v>n/a</v>
      </c>
      <c r="AT80" s="57" t="str">
        <f aca="false">IFERROR(AT36/AT$15,"n/a")</f>
        <v>n/a</v>
      </c>
      <c r="AU80" s="403" t="str">
        <f aca="false">IFERROR(AU36/AU$15,"n/a")</f>
        <v>n/a</v>
      </c>
      <c r="AV80" s="403" t="str">
        <f aca="false">IFERROR(AV36/AV$15,"n/a")</f>
        <v>n/a</v>
      </c>
      <c r="AW80" s="403" t="str">
        <f aca="false">IFERROR(AW36/AW$15,"n/a")</f>
        <v>n/a</v>
      </c>
      <c r="AX80" s="403" t="str">
        <f aca="false">IFERROR(AX36/AX$15,"n/a")</f>
        <v>n/a</v>
      </c>
      <c r="AY80" s="403" t="str">
        <f aca="false">IFERROR(AY36/AY$15,"n/a")</f>
        <v>n/a</v>
      </c>
      <c r="AZ80" s="403" t="str">
        <f aca="false">IFERROR(AZ36/AZ$15,"n/a")</f>
        <v>n/a</v>
      </c>
      <c r="BA80" s="403" t="str">
        <f aca="false">IFERROR(BA36/BA$15,"n/a")</f>
        <v>n/a</v>
      </c>
      <c r="BB80" s="403" t="str">
        <f aca="false">IFERROR(BB36/BB$15,"n/a")</f>
        <v>n/a</v>
      </c>
      <c r="BC80" s="403" t="str">
        <f aca="false">IFERROR(BC36/BC$15,"n/a")</f>
        <v>n/a</v>
      </c>
      <c r="BD80" s="403" t="str">
        <f aca="false">IFERROR(BD36/BD$15,"n/a")</f>
        <v>n/a</v>
      </c>
      <c r="BE80" s="403" t="str">
        <f aca="false">IFERROR(BE36/BE$15,"n/a")</f>
        <v>n/a</v>
      </c>
      <c r="BF80" s="403" t="str">
        <f aca="false">IFERROR(BF36/BF$15,"n/a")</f>
        <v>n/a</v>
      </c>
      <c r="BG80" s="403" t="str">
        <f aca="false">IFERROR(BG36/BG$15,"n/a")</f>
        <v>n/a</v>
      </c>
      <c r="BH80" s="403" t="str">
        <f aca="false">IFERROR(BH36/BH$15,"n/a")</f>
        <v>n/a</v>
      </c>
      <c r="BI80" s="403" t="str">
        <f aca="false">IFERROR(BI36/BI$15,"n/a")</f>
        <v>n/a</v>
      </c>
      <c r="BJ80" s="403" t="str">
        <f aca="false">IFERROR(BJ36/BJ$15,"n/a")</f>
        <v>n/a</v>
      </c>
      <c r="BK80" s="403" t="str">
        <f aca="false">IFERROR(BK36/BK$15,"n/a")</f>
        <v>n/a</v>
      </c>
      <c r="BL80" s="403" t="str">
        <f aca="false">IFERROR(BL36/BL$15,"n/a")</f>
        <v>n/a</v>
      </c>
      <c r="BM80" s="403" t="str">
        <f aca="false">IFERROR(BM36/BM$15,"n/a")</f>
        <v>n/a</v>
      </c>
      <c r="BN80" s="403" t="str">
        <f aca="false">IFERROR(BN36/BN$15,"n/a")</f>
        <v>n/a</v>
      </c>
      <c r="BO80" s="403" t="str">
        <f aca="false">IFERROR(BO36/BO$15,"n/a")</f>
        <v>n/a</v>
      </c>
      <c r="BP80" s="403" t="str">
        <f aca="false">IFERROR(BP36/BP$15,"n/a")</f>
        <v>n/a</v>
      </c>
      <c r="BQ80" s="403" t="str">
        <f aca="false">IFERROR(BQ36/BQ$15,"n/a")</f>
        <v>n/a</v>
      </c>
      <c r="BR80" s="403" t="str">
        <f aca="false">IFERROR(BR36/BR$15,"n/a")</f>
        <v>n/a</v>
      </c>
      <c r="BS80" s="403" t="str">
        <f aca="false">IFERROR(BS36/BS$15,"n/a")</f>
        <v>n/a</v>
      </c>
      <c r="BT80" s="403" t="str">
        <f aca="false">IFERROR(BT36/BT$15,"n/a")</f>
        <v>n/a</v>
      </c>
      <c r="BU80" s="403" t="str">
        <f aca="false">IFERROR(BU36/BU$15,"n/a")</f>
        <v>n/a</v>
      </c>
      <c r="BV80" s="403" t="str">
        <f aca="false">IFERROR(BV36/BV$15,"n/a")</f>
        <v>n/a</v>
      </c>
      <c r="BW80" s="403" t="str">
        <f aca="false">IFERROR(BW36/BW$15,"n/a")</f>
        <v>n/a</v>
      </c>
      <c r="BX80" s="403" t="str">
        <f aca="false">IFERROR(BX36/BX$15,"n/a")</f>
        <v>n/a</v>
      </c>
      <c r="BY80" s="403" t="str">
        <f aca="false">IFERROR(BY36/BY$15,"n/a")</f>
        <v>n/a</v>
      </c>
      <c r="BZ80" s="403" t="str">
        <f aca="false">IFERROR(BZ36/BZ$15,"n/a")</f>
        <v>n/a</v>
      </c>
      <c r="CA80" s="403" t="str">
        <f aca="false">IFERROR(CA36/CA$15,"n/a")</f>
        <v>n/a</v>
      </c>
      <c r="CB80" s="403" t="str">
        <f aca="false">IFERROR(CB36/CB$15,"n/a")</f>
        <v>n/a</v>
      </c>
      <c r="CC80" s="403" t="str">
        <f aca="false">IFERROR(CC36/CC$15,"n/a")</f>
        <v>n/a</v>
      </c>
      <c r="CD80" s="403" t="str">
        <f aca="false">IFERROR(CD36/CD$15,"n/a")</f>
        <v>n/a</v>
      </c>
      <c r="CE80" s="403" t="str">
        <f aca="false">IFERROR(CE36/CE$15,"n/a")</f>
        <v>n/a</v>
      </c>
      <c r="CF80" s="403" t="str">
        <f aca="false">IFERROR(CF36/CF$15,"n/a")</f>
        <v>n/a</v>
      </c>
      <c r="CG80" s="403" t="str">
        <f aca="false">IFERROR(CG36/CG$15,"n/a")</f>
        <v>n/a</v>
      </c>
      <c r="CH80" s="403" t="str">
        <f aca="false">IFERROR(CH36/CH$15,"n/a")</f>
        <v>n/a</v>
      </c>
      <c r="CI80" s="403" t="str">
        <f aca="false">IFERROR(CI36/CI$15,"n/a")</f>
        <v>n/a</v>
      </c>
      <c r="CJ80" s="403" t="str">
        <f aca="false">IFERROR(CJ36/CJ$15,"n/a")</f>
        <v>n/a</v>
      </c>
      <c r="CK80" s="403" t="str">
        <f aca="false">IFERROR(CK36/CK$15,"n/a")</f>
        <v>n/a</v>
      </c>
    </row>
    <row r="81" s="143" customFormat="true" ht="11.25" hidden="false" customHeight="true" outlineLevel="2" collapsed="false">
      <c r="C81" s="51" t="str">
        <f aca="false">C37</f>
        <v>Dummy 2</v>
      </c>
      <c r="D81" s="51" t="str">
        <f aca="false">D37</f>
        <v>Dummy 2</v>
      </c>
      <c r="E81" s="51"/>
      <c r="F81" s="57" t="str">
        <f aca="false">IFERROR(F37/F$15,"n/a")</f>
        <v>n/a</v>
      </c>
      <c r="G81" s="57" t="str">
        <f aca="false">IFERROR(G37/G$15,"n/a")</f>
        <v>n/a</v>
      </c>
      <c r="H81" s="57" t="str">
        <f aca="false">IFERROR(H37/H$15,"n/a")</f>
        <v>n/a</v>
      </c>
      <c r="I81" s="57" t="str">
        <f aca="false">IFERROR(I37/I$15,"n/a")</f>
        <v>n/a</v>
      </c>
      <c r="J81" s="57" t="str">
        <f aca="false">IFERROR(J37/J$15,"n/a")</f>
        <v>n/a</v>
      </c>
      <c r="K81" s="57" t="str">
        <f aca="false">IFERROR(K37/K$15,"n/a")</f>
        <v>n/a</v>
      </c>
      <c r="L81" s="57" t="str">
        <f aca="false">IFERROR(L37/L$15,"n/a")</f>
        <v>n/a</v>
      </c>
      <c r="M81" s="57" t="str">
        <f aca="false">IFERROR(M37/M$15,"n/a")</f>
        <v>n/a</v>
      </c>
      <c r="N81" s="57" t="str">
        <f aca="false">IFERROR(N37/N$15,"n/a")</f>
        <v>n/a</v>
      </c>
      <c r="O81" s="57" t="str">
        <f aca="false">IFERROR(O37/O$15,"n/a")</f>
        <v>n/a</v>
      </c>
      <c r="P81" s="57" t="str">
        <f aca="false">IFERROR(P37/P$15,"n/a")</f>
        <v>n/a</v>
      </c>
      <c r="Q81" s="57" t="str">
        <f aca="false">IFERROR(Q37/Q$15,"n/a")</f>
        <v>n/a</v>
      </c>
      <c r="R81" s="57" t="str">
        <f aca="false">IFERROR(R37/R$15,"n/a")</f>
        <v>n/a</v>
      </c>
      <c r="S81" s="57" t="str">
        <f aca="false">IFERROR(S37/S$15,"n/a")</f>
        <v>n/a</v>
      </c>
      <c r="T81" s="57" t="str">
        <f aca="false">IFERROR(T37/T$15,"n/a")</f>
        <v>n/a</v>
      </c>
      <c r="U81" s="57" t="str">
        <f aca="false">IFERROR(U37/U$15,"n/a")</f>
        <v>n/a</v>
      </c>
      <c r="V81" s="57" t="str">
        <f aca="false">IFERROR(V37/V$15,"n/a")</f>
        <v>n/a</v>
      </c>
      <c r="W81" s="57" t="str">
        <f aca="false">IFERROR(W37/W$15,"n/a")</f>
        <v>n/a</v>
      </c>
      <c r="X81" s="57" t="str">
        <f aca="false">IFERROR(X37/X$15,"n/a")</f>
        <v>n/a</v>
      </c>
      <c r="Y81" s="57" t="str">
        <f aca="false">IFERROR(Y37/Y$15,"n/a")</f>
        <v>n/a</v>
      </c>
      <c r="Z81" s="57" t="str">
        <f aca="false">IFERROR(Z37/Z$15,"n/a")</f>
        <v>n/a</v>
      </c>
      <c r="AA81" s="57" t="str">
        <f aca="false">IFERROR(AA37/AA$15,"n/a")</f>
        <v>n/a</v>
      </c>
      <c r="AB81" s="57" t="str">
        <f aca="false">IFERROR(AB37/AB$15,"n/a")</f>
        <v>n/a</v>
      </c>
      <c r="AC81" s="57" t="str">
        <f aca="false">IFERROR(AC37/AC$15,"n/a")</f>
        <v>n/a</v>
      </c>
      <c r="AD81" s="57" t="str">
        <f aca="false">IFERROR(AD37/AD$15,"n/a")</f>
        <v>n/a</v>
      </c>
      <c r="AE81" s="57" t="str">
        <f aca="false">IFERROR(AE37/AE$15,"n/a")</f>
        <v>n/a</v>
      </c>
      <c r="AF81" s="57" t="str">
        <f aca="false">IFERROR(AF37/AF$15,"n/a")</f>
        <v>n/a</v>
      </c>
      <c r="AG81" s="57" t="str">
        <f aca="false">IFERROR(AG37/AG$15,"n/a")</f>
        <v>n/a</v>
      </c>
      <c r="AH81" s="57" t="str">
        <f aca="false">IFERROR(AH37/AH$15,"n/a")</f>
        <v>n/a</v>
      </c>
      <c r="AI81" s="57" t="str">
        <f aca="false">IFERROR(AI37/AI$15,"n/a")</f>
        <v>n/a</v>
      </c>
      <c r="AJ81" s="57" t="str">
        <f aca="false">IFERROR(AJ37/AJ$15,"n/a")</f>
        <v>n/a</v>
      </c>
      <c r="AK81" s="57" t="str">
        <f aca="false">IFERROR(AK37/AK$15,"n/a")</f>
        <v>n/a</v>
      </c>
      <c r="AL81" s="57" t="str">
        <f aca="false">IFERROR(AL37/AL$15,"n/a")</f>
        <v>n/a</v>
      </c>
      <c r="AM81" s="57" t="str">
        <f aca="false">IFERROR(AM37/AM$15,"n/a")</f>
        <v>n/a</v>
      </c>
      <c r="AN81" s="57" t="str">
        <f aca="false">IFERROR(AN37/AN$15,"n/a")</f>
        <v>n/a</v>
      </c>
      <c r="AO81" s="57" t="str">
        <f aca="false">IFERROR(AO37/AO$15,"n/a")</f>
        <v>n/a</v>
      </c>
      <c r="AP81" s="57" t="str">
        <f aca="false">IFERROR(AP37/AP$15,"n/a")</f>
        <v>n/a</v>
      </c>
      <c r="AQ81" s="57" t="str">
        <f aca="false">IFERROR(AQ37/AQ$15,"n/a")</f>
        <v>n/a</v>
      </c>
      <c r="AR81" s="57" t="str">
        <f aca="false">IFERROR(AR37/AR$15,"n/a")</f>
        <v>n/a</v>
      </c>
      <c r="AS81" s="57" t="str">
        <f aca="false">IFERROR(AS37/AS$15,"n/a")</f>
        <v>n/a</v>
      </c>
      <c r="AT81" s="57" t="str">
        <f aca="false">IFERROR(AT37/AT$15,"n/a")</f>
        <v>n/a</v>
      </c>
      <c r="AU81" s="403" t="str">
        <f aca="false">IFERROR(AU37/AU$15,"n/a")</f>
        <v>n/a</v>
      </c>
      <c r="AV81" s="403" t="str">
        <f aca="false">IFERROR(AV37/AV$15,"n/a")</f>
        <v>n/a</v>
      </c>
      <c r="AW81" s="403" t="str">
        <f aca="false">IFERROR(AW37/AW$15,"n/a")</f>
        <v>n/a</v>
      </c>
      <c r="AX81" s="403" t="str">
        <f aca="false">IFERROR(AX37/AX$15,"n/a")</f>
        <v>n/a</v>
      </c>
      <c r="AY81" s="403" t="str">
        <f aca="false">IFERROR(AY37/AY$15,"n/a")</f>
        <v>n/a</v>
      </c>
      <c r="AZ81" s="403" t="str">
        <f aca="false">IFERROR(AZ37/AZ$15,"n/a")</f>
        <v>n/a</v>
      </c>
      <c r="BA81" s="403" t="str">
        <f aca="false">IFERROR(BA37/BA$15,"n/a")</f>
        <v>n/a</v>
      </c>
      <c r="BB81" s="403" t="str">
        <f aca="false">IFERROR(BB37/BB$15,"n/a")</f>
        <v>n/a</v>
      </c>
      <c r="BC81" s="403" t="str">
        <f aca="false">IFERROR(BC37/BC$15,"n/a")</f>
        <v>n/a</v>
      </c>
      <c r="BD81" s="403" t="str">
        <f aca="false">IFERROR(BD37/BD$15,"n/a")</f>
        <v>n/a</v>
      </c>
      <c r="BE81" s="403" t="str">
        <f aca="false">IFERROR(BE37/BE$15,"n/a")</f>
        <v>n/a</v>
      </c>
      <c r="BF81" s="403" t="str">
        <f aca="false">IFERROR(BF37/BF$15,"n/a")</f>
        <v>n/a</v>
      </c>
      <c r="BG81" s="403" t="str">
        <f aca="false">IFERROR(BG37/BG$15,"n/a")</f>
        <v>n/a</v>
      </c>
      <c r="BH81" s="403" t="str">
        <f aca="false">IFERROR(BH37/BH$15,"n/a")</f>
        <v>n/a</v>
      </c>
      <c r="BI81" s="403" t="str">
        <f aca="false">IFERROR(BI37/BI$15,"n/a")</f>
        <v>n/a</v>
      </c>
      <c r="BJ81" s="403" t="str">
        <f aca="false">IFERROR(BJ37/BJ$15,"n/a")</f>
        <v>n/a</v>
      </c>
      <c r="BK81" s="403" t="str">
        <f aca="false">IFERROR(BK37/BK$15,"n/a")</f>
        <v>n/a</v>
      </c>
      <c r="BL81" s="403" t="str">
        <f aca="false">IFERROR(BL37/BL$15,"n/a")</f>
        <v>n/a</v>
      </c>
      <c r="BM81" s="403" t="str">
        <f aca="false">IFERROR(BM37/BM$15,"n/a")</f>
        <v>n/a</v>
      </c>
      <c r="BN81" s="403" t="str">
        <f aca="false">IFERROR(BN37/BN$15,"n/a")</f>
        <v>n/a</v>
      </c>
      <c r="BO81" s="403" t="str">
        <f aca="false">IFERROR(BO37/BO$15,"n/a")</f>
        <v>n/a</v>
      </c>
      <c r="BP81" s="403" t="str">
        <f aca="false">IFERROR(BP37/BP$15,"n/a")</f>
        <v>n/a</v>
      </c>
      <c r="BQ81" s="403" t="str">
        <f aca="false">IFERROR(BQ37/BQ$15,"n/a")</f>
        <v>n/a</v>
      </c>
      <c r="BR81" s="403" t="str">
        <f aca="false">IFERROR(BR37/BR$15,"n/a")</f>
        <v>n/a</v>
      </c>
      <c r="BS81" s="403" t="str">
        <f aca="false">IFERROR(BS37/BS$15,"n/a")</f>
        <v>n/a</v>
      </c>
      <c r="BT81" s="403" t="str">
        <f aca="false">IFERROR(BT37/BT$15,"n/a")</f>
        <v>n/a</v>
      </c>
      <c r="BU81" s="403" t="str">
        <f aca="false">IFERROR(BU37/BU$15,"n/a")</f>
        <v>n/a</v>
      </c>
      <c r="BV81" s="403" t="str">
        <f aca="false">IFERROR(BV37/BV$15,"n/a")</f>
        <v>n/a</v>
      </c>
      <c r="BW81" s="403" t="str">
        <f aca="false">IFERROR(BW37/BW$15,"n/a")</f>
        <v>n/a</v>
      </c>
      <c r="BX81" s="403" t="str">
        <f aca="false">IFERROR(BX37/BX$15,"n/a")</f>
        <v>n/a</v>
      </c>
      <c r="BY81" s="403" t="str">
        <f aca="false">IFERROR(BY37/BY$15,"n/a")</f>
        <v>n/a</v>
      </c>
      <c r="BZ81" s="403" t="str">
        <f aca="false">IFERROR(BZ37/BZ$15,"n/a")</f>
        <v>n/a</v>
      </c>
      <c r="CA81" s="403" t="str">
        <f aca="false">IFERROR(CA37/CA$15,"n/a")</f>
        <v>n/a</v>
      </c>
      <c r="CB81" s="403" t="str">
        <f aca="false">IFERROR(CB37/CB$15,"n/a")</f>
        <v>n/a</v>
      </c>
      <c r="CC81" s="403" t="str">
        <f aca="false">IFERROR(CC37/CC$15,"n/a")</f>
        <v>n/a</v>
      </c>
      <c r="CD81" s="403" t="str">
        <f aca="false">IFERROR(CD37/CD$15,"n/a")</f>
        <v>n/a</v>
      </c>
      <c r="CE81" s="403" t="str">
        <f aca="false">IFERROR(CE37/CE$15,"n/a")</f>
        <v>n/a</v>
      </c>
      <c r="CF81" s="403" t="str">
        <f aca="false">IFERROR(CF37/CF$15,"n/a")</f>
        <v>n/a</v>
      </c>
      <c r="CG81" s="403" t="str">
        <f aca="false">IFERROR(CG37/CG$15,"n/a")</f>
        <v>n/a</v>
      </c>
      <c r="CH81" s="403" t="str">
        <f aca="false">IFERROR(CH37/CH$15,"n/a")</f>
        <v>n/a</v>
      </c>
      <c r="CI81" s="403" t="str">
        <f aca="false">IFERROR(CI37/CI$15,"n/a")</f>
        <v>n/a</v>
      </c>
      <c r="CJ81" s="403" t="str">
        <f aca="false">IFERROR(CJ37/CJ$15,"n/a")</f>
        <v>n/a</v>
      </c>
      <c r="CK81" s="403" t="str">
        <f aca="false">IFERROR(CK37/CK$15,"n/a")</f>
        <v>n/a</v>
      </c>
    </row>
    <row r="82" s="143" customFormat="true" ht="11.25" hidden="false" customHeight="true" outlineLevel="2" collapsed="false">
      <c r="C82" s="51" t="str">
        <f aca="false">C38</f>
        <v>Dummy 3</v>
      </c>
      <c r="D82" s="51" t="str">
        <f aca="false">D38</f>
        <v>Dummy 3</v>
      </c>
      <c r="E82" s="51"/>
      <c r="F82" s="57" t="str">
        <f aca="false">IFERROR(F38/F$15,"n/a")</f>
        <v>n/a</v>
      </c>
      <c r="G82" s="57" t="str">
        <f aca="false">IFERROR(G38/G$15,"n/a")</f>
        <v>n/a</v>
      </c>
      <c r="H82" s="57" t="str">
        <f aca="false">IFERROR(H38/H$15,"n/a")</f>
        <v>n/a</v>
      </c>
      <c r="I82" s="57" t="str">
        <f aca="false">IFERROR(I38/I$15,"n/a")</f>
        <v>n/a</v>
      </c>
      <c r="J82" s="57" t="str">
        <f aca="false">IFERROR(J38/J$15,"n/a")</f>
        <v>n/a</v>
      </c>
      <c r="K82" s="57" t="str">
        <f aca="false">IFERROR(K38/K$15,"n/a")</f>
        <v>n/a</v>
      </c>
      <c r="L82" s="57" t="str">
        <f aca="false">IFERROR(L38/L$15,"n/a")</f>
        <v>n/a</v>
      </c>
      <c r="M82" s="57" t="str">
        <f aca="false">IFERROR(M38/M$15,"n/a")</f>
        <v>n/a</v>
      </c>
      <c r="N82" s="57" t="str">
        <f aca="false">IFERROR(N38/N$15,"n/a")</f>
        <v>n/a</v>
      </c>
      <c r="O82" s="57" t="str">
        <f aca="false">IFERROR(O38/O$15,"n/a")</f>
        <v>n/a</v>
      </c>
      <c r="P82" s="57" t="str">
        <f aca="false">IFERROR(P38/P$15,"n/a")</f>
        <v>n/a</v>
      </c>
      <c r="Q82" s="57" t="str">
        <f aca="false">IFERROR(Q38/Q$15,"n/a")</f>
        <v>n/a</v>
      </c>
      <c r="R82" s="57" t="str">
        <f aca="false">IFERROR(R38/R$15,"n/a")</f>
        <v>n/a</v>
      </c>
      <c r="S82" s="57" t="str">
        <f aca="false">IFERROR(S38/S$15,"n/a")</f>
        <v>n/a</v>
      </c>
      <c r="T82" s="57" t="str">
        <f aca="false">IFERROR(T38/T$15,"n/a")</f>
        <v>n/a</v>
      </c>
      <c r="U82" s="57" t="str">
        <f aca="false">IFERROR(U38/U$15,"n/a")</f>
        <v>n/a</v>
      </c>
      <c r="V82" s="57" t="str">
        <f aca="false">IFERROR(V38/V$15,"n/a")</f>
        <v>n/a</v>
      </c>
      <c r="W82" s="57" t="str">
        <f aca="false">IFERROR(W38/W$15,"n/a")</f>
        <v>n/a</v>
      </c>
      <c r="X82" s="57" t="str">
        <f aca="false">IFERROR(X38/X$15,"n/a")</f>
        <v>n/a</v>
      </c>
      <c r="Y82" s="57" t="str">
        <f aca="false">IFERROR(Y38/Y$15,"n/a")</f>
        <v>n/a</v>
      </c>
      <c r="Z82" s="57" t="str">
        <f aca="false">IFERROR(Z38/Z$15,"n/a")</f>
        <v>n/a</v>
      </c>
      <c r="AA82" s="57" t="str">
        <f aca="false">IFERROR(AA38/AA$15,"n/a")</f>
        <v>n/a</v>
      </c>
      <c r="AB82" s="57" t="str">
        <f aca="false">IFERROR(AB38/AB$15,"n/a")</f>
        <v>n/a</v>
      </c>
      <c r="AC82" s="57" t="str">
        <f aca="false">IFERROR(AC38/AC$15,"n/a")</f>
        <v>n/a</v>
      </c>
      <c r="AD82" s="57" t="str">
        <f aca="false">IFERROR(AD38/AD$15,"n/a")</f>
        <v>n/a</v>
      </c>
      <c r="AE82" s="57" t="str">
        <f aca="false">IFERROR(AE38/AE$15,"n/a")</f>
        <v>n/a</v>
      </c>
      <c r="AF82" s="57" t="str">
        <f aca="false">IFERROR(AF38/AF$15,"n/a")</f>
        <v>n/a</v>
      </c>
      <c r="AG82" s="57" t="str">
        <f aca="false">IFERROR(AG38/AG$15,"n/a")</f>
        <v>n/a</v>
      </c>
      <c r="AH82" s="57" t="str">
        <f aca="false">IFERROR(AH38/AH$15,"n/a")</f>
        <v>n/a</v>
      </c>
      <c r="AI82" s="57" t="str">
        <f aca="false">IFERROR(AI38/AI$15,"n/a")</f>
        <v>n/a</v>
      </c>
      <c r="AJ82" s="57" t="str">
        <f aca="false">IFERROR(AJ38/AJ$15,"n/a")</f>
        <v>n/a</v>
      </c>
      <c r="AK82" s="57" t="str">
        <f aca="false">IFERROR(AK38/AK$15,"n/a")</f>
        <v>n/a</v>
      </c>
      <c r="AL82" s="57" t="str">
        <f aca="false">IFERROR(AL38/AL$15,"n/a")</f>
        <v>n/a</v>
      </c>
      <c r="AM82" s="57" t="str">
        <f aca="false">IFERROR(AM38/AM$15,"n/a")</f>
        <v>n/a</v>
      </c>
      <c r="AN82" s="57" t="str">
        <f aca="false">IFERROR(AN38/AN$15,"n/a")</f>
        <v>n/a</v>
      </c>
      <c r="AO82" s="57" t="str">
        <f aca="false">IFERROR(AO38/AO$15,"n/a")</f>
        <v>n/a</v>
      </c>
      <c r="AP82" s="57" t="str">
        <f aca="false">IFERROR(AP38/AP$15,"n/a")</f>
        <v>n/a</v>
      </c>
      <c r="AQ82" s="57" t="str">
        <f aca="false">IFERROR(AQ38/AQ$15,"n/a")</f>
        <v>n/a</v>
      </c>
      <c r="AR82" s="57" t="str">
        <f aca="false">IFERROR(AR38/AR$15,"n/a")</f>
        <v>n/a</v>
      </c>
      <c r="AS82" s="57" t="str">
        <f aca="false">IFERROR(AS38/AS$15,"n/a")</f>
        <v>n/a</v>
      </c>
      <c r="AT82" s="57" t="str">
        <f aca="false">IFERROR(AT38/AT$15,"n/a")</f>
        <v>n/a</v>
      </c>
      <c r="AU82" s="403" t="str">
        <f aca="false">IFERROR(AU38/AU$15,"n/a")</f>
        <v>n/a</v>
      </c>
      <c r="AV82" s="403" t="str">
        <f aca="false">IFERROR(AV38/AV$15,"n/a")</f>
        <v>n/a</v>
      </c>
      <c r="AW82" s="403" t="str">
        <f aca="false">IFERROR(AW38/AW$15,"n/a")</f>
        <v>n/a</v>
      </c>
      <c r="AX82" s="403" t="str">
        <f aca="false">IFERROR(AX38/AX$15,"n/a")</f>
        <v>n/a</v>
      </c>
      <c r="AY82" s="403" t="str">
        <f aca="false">IFERROR(AY38/AY$15,"n/a")</f>
        <v>n/a</v>
      </c>
      <c r="AZ82" s="403" t="str">
        <f aca="false">IFERROR(AZ38/AZ$15,"n/a")</f>
        <v>n/a</v>
      </c>
      <c r="BA82" s="403" t="str">
        <f aca="false">IFERROR(BA38/BA$15,"n/a")</f>
        <v>n/a</v>
      </c>
      <c r="BB82" s="403" t="str">
        <f aca="false">IFERROR(BB38/BB$15,"n/a")</f>
        <v>n/a</v>
      </c>
      <c r="BC82" s="403" t="str">
        <f aca="false">IFERROR(BC38/BC$15,"n/a")</f>
        <v>n/a</v>
      </c>
      <c r="BD82" s="403" t="str">
        <f aca="false">IFERROR(BD38/BD$15,"n/a")</f>
        <v>n/a</v>
      </c>
      <c r="BE82" s="403" t="str">
        <f aca="false">IFERROR(BE38/BE$15,"n/a")</f>
        <v>n/a</v>
      </c>
      <c r="BF82" s="403" t="str">
        <f aca="false">IFERROR(BF38/BF$15,"n/a")</f>
        <v>n/a</v>
      </c>
      <c r="BG82" s="403" t="str">
        <f aca="false">IFERROR(BG38/BG$15,"n/a")</f>
        <v>n/a</v>
      </c>
      <c r="BH82" s="403" t="str">
        <f aca="false">IFERROR(BH38/BH$15,"n/a")</f>
        <v>n/a</v>
      </c>
      <c r="BI82" s="403" t="str">
        <f aca="false">IFERROR(BI38/BI$15,"n/a")</f>
        <v>n/a</v>
      </c>
      <c r="BJ82" s="403" t="str">
        <f aca="false">IFERROR(BJ38/BJ$15,"n/a")</f>
        <v>n/a</v>
      </c>
      <c r="BK82" s="403" t="str">
        <f aca="false">IFERROR(BK38/BK$15,"n/a")</f>
        <v>n/a</v>
      </c>
      <c r="BL82" s="403" t="str">
        <f aca="false">IFERROR(BL38/BL$15,"n/a")</f>
        <v>n/a</v>
      </c>
      <c r="BM82" s="403" t="str">
        <f aca="false">IFERROR(BM38/BM$15,"n/a")</f>
        <v>n/a</v>
      </c>
      <c r="BN82" s="403" t="str">
        <f aca="false">IFERROR(BN38/BN$15,"n/a")</f>
        <v>n/a</v>
      </c>
      <c r="BO82" s="403" t="str">
        <f aca="false">IFERROR(BO38/BO$15,"n/a")</f>
        <v>n/a</v>
      </c>
      <c r="BP82" s="403" t="str">
        <f aca="false">IFERROR(BP38/BP$15,"n/a")</f>
        <v>n/a</v>
      </c>
      <c r="BQ82" s="403" t="str">
        <f aca="false">IFERROR(BQ38/BQ$15,"n/a")</f>
        <v>n/a</v>
      </c>
      <c r="BR82" s="403" t="str">
        <f aca="false">IFERROR(BR38/BR$15,"n/a")</f>
        <v>n/a</v>
      </c>
      <c r="BS82" s="403" t="str">
        <f aca="false">IFERROR(BS38/BS$15,"n/a")</f>
        <v>n/a</v>
      </c>
      <c r="BT82" s="403" t="str">
        <f aca="false">IFERROR(BT38/BT$15,"n/a")</f>
        <v>n/a</v>
      </c>
      <c r="BU82" s="403" t="str">
        <f aca="false">IFERROR(BU38/BU$15,"n/a")</f>
        <v>n/a</v>
      </c>
      <c r="BV82" s="403" t="str">
        <f aca="false">IFERROR(BV38/BV$15,"n/a")</f>
        <v>n/a</v>
      </c>
      <c r="BW82" s="403" t="str">
        <f aca="false">IFERROR(BW38/BW$15,"n/a")</f>
        <v>n/a</v>
      </c>
      <c r="BX82" s="403" t="str">
        <f aca="false">IFERROR(BX38/BX$15,"n/a")</f>
        <v>n/a</v>
      </c>
      <c r="BY82" s="403" t="str">
        <f aca="false">IFERROR(BY38/BY$15,"n/a")</f>
        <v>n/a</v>
      </c>
      <c r="BZ82" s="403" t="str">
        <f aca="false">IFERROR(BZ38/BZ$15,"n/a")</f>
        <v>n/a</v>
      </c>
      <c r="CA82" s="403" t="str">
        <f aca="false">IFERROR(CA38/CA$15,"n/a")</f>
        <v>n/a</v>
      </c>
      <c r="CB82" s="403" t="str">
        <f aca="false">IFERROR(CB38/CB$15,"n/a")</f>
        <v>n/a</v>
      </c>
      <c r="CC82" s="403" t="str">
        <f aca="false">IFERROR(CC38/CC$15,"n/a")</f>
        <v>n/a</v>
      </c>
      <c r="CD82" s="403" t="str">
        <f aca="false">IFERROR(CD38/CD$15,"n/a")</f>
        <v>n/a</v>
      </c>
      <c r="CE82" s="403" t="str">
        <f aca="false">IFERROR(CE38/CE$15,"n/a")</f>
        <v>n/a</v>
      </c>
      <c r="CF82" s="403" t="str">
        <f aca="false">IFERROR(CF38/CF$15,"n/a")</f>
        <v>n/a</v>
      </c>
      <c r="CG82" s="403" t="str">
        <f aca="false">IFERROR(CG38/CG$15,"n/a")</f>
        <v>n/a</v>
      </c>
      <c r="CH82" s="403" t="str">
        <f aca="false">IFERROR(CH38/CH$15,"n/a")</f>
        <v>n/a</v>
      </c>
      <c r="CI82" s="403" t="str">
        <f aca="false">IFERROR(CI38/CI$15,"n/a")</f>
        <v>n/a</v>
      </c>
      <c r="CJ82" s="403" t="str">
        <f aca="false">IFERROR(CJ38/CJ$15,"n/a")</f>
        <v>n/a</v>
      </c>
      <c r="CK82" s="403" t="str">
        <f aca="false">IFERROR(CK38/CK$15,"n/a")</f>
        <v>n/a</v>
      </c>
    </row>
    <row r="83" s="143" customFormat="true" ht="11.25" hidden="false" customHeight="true" outlineLevel="0" collapsed="false">
      <c r="C83" s="132" t="str">
        <f aca="false">C39</f>
        <v>EBIT</v>
      </c>
      <c r="D83" s="132" t="str">
        <f aca="false">D39</f>
        <v>EBIT</v>
      </c>
      <c r="E83" s="132"/>
      <c r="F83" s="144" t="str">
        <f aca="false">IFERROR(F39/F$15,"n/a")</f>
        <v>n/a</v>
      </c>
      <c r="G83" s="144" t="str">
        <f aca="false">IFERROR(G39/G$15,"n/a")</f>
        <v>n/a</v>
      </c>
      <c r="H83" s="144" t="str">
        <f aca="false">IFERROR(H39/H$15,"n/a")</f>
        <v>n/a</v>
      </c>
      <c r="I83" s="144" t="str">
        <f aca="false">IFERROR(I39/I$15,"n/a")</f>
        <v>n/a</v>
      </c>
      <c r="J83" s="144" t="str">
        <f aca="false">IFERROR(J39/J$15,"n/a")</f>
        <v>n/a</v>
      </c>
      <c r="K83" s="144" t="str">
        <f aca="false">IFERROR(K39/K$15,"n/a")</f>
        <v>n/a</v>
      </c>
      <c r="L83" s="144" t="str">
        <f aca="false">IFERROR(L39/L$15,"n/a")</f>
        <v>n/a</v>
      </c>
      <c r="M83" s="144" t="str">
        <f aca="false">IFERROR(M39/M$15,"n/a")</f>
        <v>n/a</v>
      </c>
      <c r="N83" s="144" t="str">
        <f aca="false">IFERROR(N39/N$15,"n/a")</f>
        <v>n/a</v>
      </c>
      <c r="O83" s="144" t="str">
        <f aca="false">IFERROR(O39/O$15,"n/a")</f>
        <v>n/a</v>
      </c>
      <c r="P83" s="144" t="str">
        <f aca="false">IFERROR(P39/P$15,"n/a")</f>
        <v>n/a</v>
      </c>
      <c r="Q83" s="144" t="str">
        <f aca="false">IFERROR(Q39/Q$15,"n/a")</f>
        <v>n/a</v>
      </c>
      <c r="R83" s="144" t="str">
        <f aca="false">IFERROR(R39/R$15,"n/a")</f>
        <v>n/a</v>
      </c>
      <c r="S83" s="144" t="str">
        <f aca="false">IFERROR(S39/S$15,"n/a")</f>
        <v>n/a</v>
      </c>
      <c r="T83" s="144" t="str">
        <f aca="false">IFERROR(T39/T$15,"n/a")</f>
        <v>n/a</v>
      </c>
      <c r="U83" s="144" t="str">
        <f aca="false">IFERROR(U39/U$15,"n/a")</f>
        <v>n/a</v>
      </c>
      <c r="V83" s="144" t="str">
        <f aca="false">IFERROR(V39/V$15,"n/a")</f>
        <v>n/a</v>
      </c>
      <c r="W83" s="144" t="str">
        <f aca="false">IFERROR(W39/W$15,"n/a")</f>
        <v>n/a</v>
      </c>
      <c r="X83" s="144" t="str">
        <f aca="false">IFERROR(X39/X$15,"n/a")</f>
        <v>n/a</v>
      </c>
      <c r="Y83" s="144" t="str">
        <f aca="false">IFERROR(Y39/Y$15,"n/a")</f>
        <v>n/a</v>
      </c>
      <c r="Z83" s="144" t="str">
        <f aca="false">IFERROR(Z39/Z$15,"n/a")</f>
        <v>n/a</v>
      </c>
      <c r="AA83" s="144" t="str">
        <f aca="false">IFERROR(AA39/AA$15,"n/a")</f>
        <v>n/a</v>
      </c>
      <c r="AB83" s="144" t="str">
        <f aca="false">IFERROR(AB39/AB$15,"n/a")</f>
        <v>n/a</v>
      </c>
      <c r="AC83" s="144" t="str">
        <f aca="false">IFERROR(AC39/AC$15,"n/a")</f>
        <v>n/a</v>
      </c>
      <c r="AD83" s="144" t="str">
        <f aca="false">IFERROR(AD39/AD$15,"n/a")</f>
        <v>n/a</v>
      </c>
      <c r="AE83" s="144" t="str">
        <f aca="false">IFERROR(AE39/AE$15,"n/a")</f>
        <v>n/a</v>
      </c>
      <c r="AF83" s="144" t="str">
        <f aca="false">IFERROR(AF39/AF$15,"n/a")</f>
        <v>n/a</v>
      </c>
      <c r="AG83" s="144" t="str">
        <f aca="false">IFERROR(AG39/AG$15,"n/a")</f>
        <v>n/a</v>
      </c>
      <c r="AH83" s="144" t="str">
        <f aca="false">IFERROR(AH39/AH$15,"n/a")</f>
        <v>n/a</v>
      </c>
      <c r="AI83" s="144" t="str">
        <f aca="false">IFERROR(AI39/AI$15,"n/a")</f>
        <v>n/a</v>
      </c>
      <c r="AJ83" s="144" t="str">
        <f aca="false">IFERROR(AJ39/AJ$15,"n/a")</f>
        <v>n/a</v>
      </c>
      <c r="AK83" s="144" t="str">
        <f aca="false">IFERROR(AK39/AK$15,"n/a")</f>
        <v>n/a</v>
      </c>
      <c r="AL83" s="144" t="str">
        <f aca="false">IFERROR(AL39/AL$15,"n/a")</f>
        <v>n/a</v>
      </c>
      <c r="AM83" s="144" t="str">
        <f aca="false">IFERROR(AM39/AM$15,"n/a")</f>
        <v>n/a</v>
      </c>
      <c r="AN83" s="144" t="str">
        <f aca="false">IFERROR(AN39/AN$15,"n/a")</f>
        <v>n/a</v>
      </c>
      <c r="AO83" s="144" t="str">
        <f aca="false">IFERROR(AO39/AO$15,"n/a")</f>
        <v>n/a</v>
      </c>
      <c r="AP83" s="144" t="str">
        <f aca="false">IFERROR(AP39/AP$15,"n/a")</f>
        <v>n/a</v>
      </c>
      <c r="AQ83" s="144" t="str">
        <f aca="false">IFERROR(AQ39/AQ$15,"n/a")</f>
        <v>n/a</v>
      </c>
      <c r="AR83" s="144" t="str">
        <f aca="false">IFERROR(AR39/AR$15,"n/a")</f>
        <v>n/a</v>
      </c>
      <c r="AS83" s="144" t="str">
        <f aca="false">IFERROR(AS39/AS$15,"n/a")</f>
        <v>n/a</v>
      </c>
      <c r="AT83" s="144" t="str">
        <f aca="false">IFERROR(AT39/AT$15,"n/a")</f>
        <v>n/a</v>
      </c>
      <c r="AU83" s="404" t="str">
        <f aca="false">IFERROR(AU39/AU$15,"n/a")</f>
        <v>n/a</v>
      </c>
      <c r="AV83" s="404" t="str">
        <f aca="false">IFERROR(AV39/AV$15,"n/a")</f>
        <v>n/a</v>
      </c>
      <c r="AW83" s="404" t="str">
        <f aca="false">IFERROR(AW39/AW$15,"n/a")</f>
        <v>n/a</v>
      </c>
      <c r="AX83" s="404" t="str">
        <f aca="false">IFERROR(AX39/AX$15,"n/a")</f>
        <v>n/a</v>
      </c>
      <c r="AY83" s="404" t="str">
        <f aca="false">IFERROR(AY39/AY$15,"n/a")</f>
        <v>n/a</v>
      </c>
      <c r="AZ83" s="404" t="str">
        <f aca="false">IFERROR(AZ39/AZ$15,"n/a")</f>
        <v>n/a</v>
      </c>
      <c r="BA83" s="404" t="str">
        <f aca="false">IFERROR(BA39/BA$15,"n/a")</f>
        <v>n/a</v>
      </c>
      <c r="BB83" s="404" t="str">
        <f aca="false">IFERROR(BB39/BB$15,"n/a")</f>
        <v>n/a</v>
      </c>
      <c r="BC83" s="404" t="str">
        <f aca="false">IFERROR(BC39/BC$15,"n/a")</f>
        <v>n/a</v>
      </c>
      <c r="BD83" s="404" t="str">
        <f aca="false">IFERROR(BD39/BD$15,"n/a")</f>
        <v>n/a</v>
      </c>
      <c r="BE83" s="404" t="str">
        <f aca="false">IFERROR(BE39/BE$15,"n/a")</f>
        <v>n/a</v>
      </c>
      <c r="BF83" s="404" t="str">
        <f aca="false">IFERROR(BF39/BF$15,"n/a")</f>
        <v>n/a</v>
      </c>
      <c r="BG83" s="404" t="str">
        <f aca="false">IFERROR(BG39/BG$15,"n/a")</f>
        <v>n/a</v>
      </c>
      <c r="BH83" s="404" t="str">
        <f aca="false">IFERROR(BH39/BH$15,"n/a")</f>
        <v>n/a</v>
      </c>
      <c r="BI83" s="404" t="str">
        <f aca="false">IFERROR(BI39/BI$15,"n/a")</f>
        <v>n/a</v>
      </c>
      <c r="BJ83" s="404" t="str">
        <f aca="false">IFERROR(BJ39/BJ$15,"n/a")</f>
        <v>n/a</v>
      </c>
      <c r="BK83" s="404" t="str">
        <f aca="false">IFERROR(BK39/BK$15,"n/a")</f>
        <v>n/a</v>
      </c>
      <c r="BL83" s="404" t="str">
        <f aca="false">IFERROR(BL39/BL$15,"n/a")</f>
        <v>n/a</v>
      </c>
      <c r="BM83" s="404" t="str">
        <f aca="false">IFERROR(BM39/BM$15,"n/a")</f>
        <v>n/a</v>
      </c>
      <c r="BN83" s="404" t="str">
        <f aca="false">IFERROR(BN39/BN$15,"n/a")</f>
        <v>n/a</v>
      </c>
      <c r="BO83" s="404" t="str">
        <f aca="false">IFERROR(BO39/BO$15,"n/a")</f>
        <v>n/a</v>
      </c>
      <c r="BP83" s="404" t="str">
        <f aca="false">IFERROR(BP39/BP$15,"n/a")</f>
        <v>n/a</v>
      </c>
      <c r="BQ83" s="404" t="str">
        <f aca="false">IFERROR(BQ39/BQ$15,"n/a")</f>
        <v>n/a</v>
      </c>
      <c r="BR83" s="404" t="str">
        <f aca="false">IFERROR(BR39/BR$15,"n/a")</f>
        <v>n/a</v>
      </c>
      <c r="BS83" s="404" t="str">
        <f aca="false">IFERROR(BS39/BS$15,"n/a")</f>
        <v>n/a</v>
      </c>
      <c r="BT83" s="404" t="str">
        <f aca="false">IFERROR(BT39/BT$15,"n/a")</f>
        <v>n/a</v>
      </c>
      <c r="BU83" s="404" t="str">
        <f aca="false">IFERROR(BU39/BU$15,"n/a")</f>
        <v>n/a</v>
      </c>
      <c r="BV83" s="404" t="str">
        <f aca="false">IFERROR(BV39/BV$15,"n/a")</f>
        <v>n/a</v>
      </c>
      <c r="BW83" s="404" t="str">
        <f aca="false">IFERROR(BW39/BW$15,"n/a")</f>
        <v>n/a</v>
      </c>
      <c r="BX83" s="404" t="str">
        <f aca="false">IFERROR(BX39/BX$15,"n/a")</f>
        <v>n/a</v>
      </c>
      <c r="BY83" s="404" t="str">
        <f aca="false">IFERROR(BY39/BY$15,"n/a")</f>
        <v>n/a</v>
      </c>
      <c r="BZ83" s="404" t="str">
        <f aca="false">IFERROR(BZ39/BZ$15,"n/a")</f>
        <v>n/a</v>
      </c>
      <c r="CA83" s="404" t="str">
        <f aca="false">IFERROR(CA39/CA$15,"n/a")</f>
        <v>n/a</v>
      </c>
      <c r="CB83" s="404" t="str">
        <f aca="false">IFERROR(CB39/CB$15,"n/a")</f>
        <v>n/a</v>
      </c>
      <c r="CC83" s="404" t="str">
        <f aca="false">IFERROR(CC39/CC$15,"n/a")</f>
        <v>n/a</v>
      </c>
      <c r="CD83" s="404" t="str">
        <f aca="false">IFERROR(CD39/CD$15,"n/a")</f>
        <v>n/a</v>
      </c>
      <c r="CE83" s="404" t="str">
        <f aca="false">IFERROR(CE39/CE$15,"n/a")</f>
        <v>n/a</v>
      </c>
      <c r="CF83" s="404" t="str">
        <f aca="false">IFERROR(CF39/CF$15,"n/a")</f>
        <v>n/a</v>
      </c>
      <c r="CG83" s="404" t="str">
        <f aca="false">IFERROR(CG39/CG$15,"n/a")</f>
        <v>n/a</v>
      </c>
      <c r="CH83" s="404" t="str">
        <f aca="false">IFERROR(CH39/CH$15,"n/a")</f>
        <v>n/a</v>
      </c>
      <c r="CI83" s="404" t="str">
        <f aca="false">IFERROR(CI39/CI$15,"n/a")</f>
        <v>n/a</v>
      </c>
      <c r="CJ83" s="404" t="str">
        <f aca="false">IFERROR(CJ39/CJ$15,"n/a")</f>
        <v>n/a</v>
      </c>
      <c r="CK83" s="404" t="str">
        <f aca="false">IFERROR(CK39/CK$15,"n/a")</f>
        <v>n/a</v>
      </c>
    </row>
    <row r="84" s="143" customFormat="true" ht="11.25" hidden="false" customHeight="true" outlineLevel="1" collapsed="false">
      <c r="C84" s="186" t="str">
        <f aca="false">C40</f>
        <v>Beteiligungsergebnis</v>
      </c>
      <c r="D84" s="186" t="str">
        <f aca="false">D40</f>
        <v>Investment income</v>
      </c>
      <c r="E84" s="186"/>
      <c r="F84" s="57" t="str">
        <f aca="false">IFERROR(F40/F$15,"n/a")</f>
        <v>n/a</v>
      </c>
      <c r="G84" s="57" t="str">
        <f aca="false">IFERROR(G40/G$15,"n/a")</f>
        <v>n/a</v>
      </c>
      <c r="H84" s="57" t="str">
        <f aca="false">IFERROR(H40/H$15,"n/a")</f>
        <v>n/a</v>
      </c>
      <c r="I84" s="57" t="str">
        <f aca="false">IFERROR(I40/I$15,"n/a")</f>
        <v>n/a</v>
      </c>
      <c r="J84" s="57" t="str">
        <f aca="false">IFERROR(J40/J$15,"n/a")</f>
        <v>n/a</v>
      </c>
      <c r="K84" s="57" t="str">
        <f aca="false">IFERROR(K40/K$15,"n/a")</f>
        <v>n/a</v>
      </c>
      <c r="L84" s="57" t="str">
        <f aca="false">IFERROR(L40/L$15,"n/a")</f>
        <v>n/a</v>
      </c>
      <c r="M84" s="57" t="str">
        <f aca="false">IFERROR(M40/M$15,"n/a")</f>
        <v>n/a</v>
      </c>
      <c r="N84" s="57" t="str">
        <f aca="false">IFERROR(N40/N$15,"n/a")</f>
        <v>n/a</v>
      </c>
      <c r="O84" s="57" t="str">
        <f aca="false">IFERROR(O40/O$15,"n/a")</f>
        <v>n/a</v>
      </c>
      <c r="P84" s="57" t="str">
        <f aca="false">IFERROR(P40/P$15,"n/a")</f>
        <v>n/a</v>
      </c>
      <c r="Q84" s="57" t="str">
        <f aca="false">IFERROR(Q40/Q$15,"n/a")</f>
        <v>n/a</v>
      </c>
      <c r="R84" s="57" t="str">
        <f aca="false">IFERROR(R40/R$15,"n/a")</f>
        <v>n/a</v>
      </c>
      <c r="S84" s="57" t="str">
        <f aca="false">IFERROR(S40/S$15,"n/a")</f>
        <v>n/a</v>
      </c>
      <c r="T84" s="57" t="str">
        <f aca="false">IFERROR(T40/T$15,"n/a")</f>
        <v>n/a</v>
      </c>
      <c r="U84" s="57" t="str">
        <f aca="false">IFERROR(U40/U$15,"n/a")</f>
        <v>n/a</v>
      </c>
      <c r="V84" s="57" t="str">
        <f aca="false">IFERROR(V40/V$15,"n/a")</f>
        <v>n/a</v>
      </c>
      <c r="W84" s="57" t="str">
        <f aca="false">IFERROR(W40/W$15,"n/a")</f>
        <v>n/a</v>
      </c>
      <c r="X84" s="57" t="str">
        <f aca="false">IFERROR(X40/X$15,"n/a")</f>
        <v>n/a</v>
      </c>
      <c r="Y84" s="57" t="str">
        <f aca="false">IFERROR(Y40/Y$15,"n/a")</f>
        <v>n/a</v>
      </c>
      <c r="Z84" s="57" t="str">
        <f aca="false">IFERROR(Z40/Z$15,"n/a")</f>
        <v>n/a</v>
      </c>
      <c r="AA84" s="57" t="str">
        <f aca="false">IFERROR(AA40/AA$15,"n/a")</f>
        <v>n/a</v>
      </c>
      <c r="AB84" s="57" t="str">
        <f aca="false">IFERROR(AB40/AB$15,"n/a")</f>
        <v>n/a</v>
      </c>
      <c r="AC84" s="57" t="str">
        <f aca="false">IFERROR(AC40/AC$15,"n/a")</f>
        <v>n/a</v>
      </c>
      <c r="AD84" s="57" t="str">
        <f aca="false">IFERROR(AD40/AD$15,"n/a")</f>
        <v>n/a</v>
      </c>
      <c r="AE84" s="57" t="str">
        <f aca="false">IFERROR(AE40/AE$15,"n/a")</f>
        <v>n/a</v>
      </c>
      <c r="AF84" s="57" t="str">
        <f aca="false">IFERROR(AF40/AF$15,"n/a")</f>
        <v>n/a</v>
      </c>
      <c r="AG84" s="57" t="str">
        <f aca="false">IFERROR(AG40/AG$15,"n/a")</f>
        <v>n/a</v>
      </c>
      <c r="AH84" s="57" t="str">
        <f aca="false">IFERROR(AH40/AH$15,"n/a")</f>
        <v>n/a</v>
      </c>
      <c r="AI84" s="57" t="str">
        <f aca="false">IFERROR(AI40/AI$15,"n/a")</f>
        <v>n/a</v>
      </c>
      <c r="AJ84" s="57" t="str">
        <f aca="false">IFERROR(AJ40/AJ$15,"n/a")</f>
        <v>n/a</v>
      </c>
      <c r="AK84" s="57" t="str">
        <f aca="false">IFERROR(AK40/AK$15,"n/a")</f>
        <v>n/a</v>
      </c>
      <c r="AL84" s="57" t="str">
        <f aca="false">IFERROR(AL40/AL$15,"n/a")</f>
        <v>n/a</v>
      </c>
      <c r="AM84" s="57" t="str">
        <f aca="false">IFERROR(AM40/AM$15,"n/a")</f>
        <v>n/a</v>
      </c>
      <c r="AN84" s="57" t="str">
        <f aca="false">IFERROR(AN40/AN$15,"n/a")</f>
        <v>n/a</v>
      </c>
      <c r="AO84" s="57" t="str">
        <f aca="false">IFERROR(AO40/AO$15,"n/a")</f>
        <v>n/a</v>
      </c>
      <c r="AP84" s="57" t="str">
        <f aca="false">IFERROR(AP40/AP$15,"n/a")</f>
        <v>n/a</v>
      </c>
      <c r="AQ84" s="57" t="str">
        <f aca="false">IFERROR(AQ40/AQ$15,"n/a")</f>
        <v>n/a</v>
      </c>
      <c r="AR84" s="57" t="str">
        <f aca="false">IFERROR(AR40/AR$15,"n/a")</f>
        <v>n/a</v>
      </c>
      <c r="AS84" s="57" t="str">
        <f aca="false">IFERROR(AS40/AS$15,"n/a")</f>
        <v>n/a</v>
      </c>
      <c r="AT84" s="57" t="str">
        <f aca="false">IFERROR(AT40/AT$15,"n/a")</f>
        <v>n/a</v>
      </c>
      <c r="AU84" s="403" t="str">
        <f aca="false">IFERROR(AU40/AU$15,"n/a")</f>
        <v>n/a</v>
      </c>
      <c r="AV84" s="403" t="str">
        <f aca="false">IFERROR(AV40/AV$15,"n/a")</f>
        <v>n/a</v>
      </c>
      <c r="AW84" s="403" t="str">
        <f aca="false">IFERROR(AW40/AW$15,"n/a")</f>
        <v>n/a</v>
      </c>
      <c r="AX84" s="403" t="str">
        <f aca="false">IFERROR(AX40/AX$15,"n/a")</f>
        <v>n/a</v>
      </c>
      <c r="AY84" s="403" t="str">
        <f aca="false">IFERROR(AY40/AY$15,"n/a")</f>
        <v>n/a</v>
      </c>
      <c r="AZ84" s="403" t="str">
        <f aca="false">IFERROR(AZ40/AZ$15,"n/a")</f>
        <v>n/a</v>
      </c>
      <c r="BA84" s="403" t="str">
        <f aca="false">IFERROR(BA40/BA$15,"n/a")</f>
        <v>n/a</v>
      </c>
      <c r="BB84" s="403" t="str">
        <f aca="false">IFERROR(BB40/BB$15,"n/a")</f>
        <v>n/a</v>
      </c>
      <c r="BC84" s="403" t="str">
        <f aca="false">IFERROR(BC40/BC$15,"n/a")</f>
        <v>n/a</v>
      </c>
      <c r="BD84" s="403" t="str">
        <f aca="false">IFERROR(BD40/BD$15,"n/a")</f>
        <v>n/a</v>
      </c>
      <c r="BE84" s="403" t="str">
        <f aca="false">IFERROR(BE40/BE$15,"n/a")</f>
        <v>n/a</v>
      </c>
      <c r="BF84" s="403" t="str">
        <f aca="false">IFERROR(BF40/BF$15,"n/a")</f>
        <v>n/a</v>
      </c>
      <c r="BG84" s="403" t="str">
        <f aca="false">IFERROR(BG40/BG$15,"n/a")</f>
        <v>n/a</v>
      </c>
      <c r="BH84" s="403" t="str">
        <f aca="false">IFERROR(BH40/BH$15,"n/a")</f>
        <v>n/a</v>
      </c>
      <c r="BI84" s="403" t="str">
        <f aca="false">IFERROR(BI40/BI$15,"n/a")</f>
        <v>n/a</v>
      </c>
      <c r="BJ84" s="403" t="str">
        <f aca="false">IFERROR(BJ40/BJ$15,"n/a")</f>
        <v>n/a</v>
      </c>
      <c r="BK84" s="403" t="str">
        <f aca="false">IFERROR(BK40/BK$15,"n/a")</f>
        <v>n/a</v>
      </c>
      <c r="BL84" s="403" t="str">
        <f aca="false">IFERROR(BL40/BL$15,"n/a")</f>
        <v>n/a</v>
      </c>
      <c r="BM84" s="403" t="str">
        <f aca="false">IFERROR(BM40/BM$15,"n/a")</f>
        <v>n/a</v>
      </c>
      <c r="BN84" s="403" t="str">
        <f aca="false">IFERROR(BN40/BN$15,"n/a")</f>
        <v>n/a</v>
      </c>
      <c r="BO84" s="403" t="str">
        <f aca="false">IFERROR(BO40/BO$15,"n/a")</f>
        <v>n/a</v>
      </c>
      <c r="BP84" s="403" t="str">
        <f aca="false">IFERROR(BP40/BP$15,"n/a")</f>
        <v>n/a</v>
      </c>
      <c r="BQ84" s="403" t="str">
        <f aca="false">IFERROR(BQ40/BQ$15,"n/a")</f>
        <v>n/a</v>
      </c>
      <c r="BR84" s="403" t="str">
        <f aca="false">IFERROR(BR40/BR$15,"n/a")</f>
        <v>n/a</v>
      </c>
      <c r="BS84" s="403" t="str">
        <f aca="false">IFERROR(BS40/BS$15,"n/a")</f>
        <v>n/a</v>
      </c>
      <c r="BT84" s="403" t="str">
        <f aca="false">IFERROR(BT40/BT$15,"n/a")</f>
        <v>n/a</v>
      </c>
      <c r="BU84" s="403" t="str">
        <f aca="false">IFERROR(BU40/BU$15,"n/a")</f>
        <v>n/a</v>
      </c>
      <c r="BV84" s="403" t="str">
        <f aca="false">IFERROR(BV40/BV$15,"n/a")</f>
        <v>n/a</v>
      </c>
      <c r="BW84" s="403" t="str">
        <f aca="false">IFERROR(BW40/BW$15,"n/a")</f>
        <v>n/a</v>
      </c>
      <c r="BX84" s="403" t="str">
        <f aca="false">IFERROR(BX40/BX$15,"n/a")</f>
        <v>n/a</v>
      </c>
      <c r="BY84" s="403" t="str">
        <f aca="false">IFERROR(BY40/BY$15,"n/a")</f>
        <v>n/a</v>
      </c>
      <c r="BZ84" s="403" t="str">
        <f aca="false">IFERROR(BZ40/BZ$15,"n/a")</f>
        <v>n/a</v>
      </c>
      <c r="CA84" s="403" t="str">
        <f aca="false">IFERROR(CA40/CA$15,"n/a")</f>
        <v>n/a</v>
      </c>
      <c r="CB84" s="403" t="str">
        <f aca="false">IFERROR(CB40/CB$15,"n/a")</f>
        <v>n/a</v>
      </c>
      <c r="CC84" s="403" t="str">
        <f aca="false">IFERROR(CC40/CC$15,"n/a")</f>
        <v>n/a</v>
      </c>
      <c r="CD84" s="403" t="str">
        <f aca="false">IFERROR(CD40/CD$15,"n/a")</f>
        <v>n/a</v>
      </c>
      <c r="CE84" s="403" t="str">
        <f aca="false">IFERROR(CE40/CE$15,"n/a")</f>
        <v>n/a</v>
      </c>
      <c r="CF84" s="403" t="str">
        <f aca="false">IFERROR(CF40/CF$15,"n/a")</f>
        <v>n/a</v>
      </c>
      <c r="CG84" s="403" t="str">
        <f aca="false">IFERROR(CG40/CG$15,"n/a")</f>
        <v>n/a</v>
      </c>
      <c r="CH84" s="403" t="str">
        <f aca="false">IFERROR(CH40/CH$15,"n/a")</f>
        <v>n/a</v>
      </c>
      <c r="CI84" s="403" t="str">
        <f aca="false">IFERROR(CI40/CI$15,"n/a")</f>
        <v>n/a</v>
      </c>
      <c r="CJ84" s="403" t="str">
        <f aca="false">IFERROR(CJ40/CJ$15,"n/a")</f>
        <v>n/a</v>
      </c>
      <c r="CK84" s="403" t="str">
        <f aca="false">IFERROR(CK40/CK$15,"n/a")</f>
        <v>n/a</v>
      </c>
    </row>
    <row r="85" s="143" customFormat="true" ht="11.25" hidden="false" customHeight="true" outlineLevel="1" collapsed="false">
      <c r="C85" s="186" t="str">
        <f aca="false">C41</f>
        <v>Zinserträge</v>
      </c>
      <c r="D85" s="186" t="str">
        <f aca="false">D41</f>
        <v>Interest income</v>
      </c>
      <c r="E85" s="186"/>
      <c r="F85" s="57" t="str">
        <f aca="false">IFERROR(F41/F$15,"n/a")</f>
        <v>n/a</v>
      </c>
      <c r="G85" s="57" t="str">
        <f aca="false">IFERROR(G41/G$15,"n/a")</f>
        <v>n/a</v>
      </c>
      <c r="H85" s="57" t="str">
        <f aca="false">IFERROR(H41/H$15,"n/a")</f>
        <v>n/a</v>
      </c>
      <c r="I85" s="57" t="str">
        <f aca="false">IFERROR(I41/I$15,"n/a")</f>
        <v>n/a</v>
      </c>
      <c r="J85" s="57" t="str">
        <f aca="false">IFERROR(J41/J$15,"n/a")</f>
        <v>n/a</v>
      </c>
      <c r="K85" s="57" t="str">
        <f aca="false">IFERROR(K41/K$15,"n/a")</f>
        <v>n/a</v>
      </c>
      <c r="L85" s="57" t="str">
        <f aca="false">IFERROR(L41/L$15,"n/a")</f>
        <v>n/a</v>
      </c>
      <c r="M85" s="57" t="str">
        <f aca="false">IFERROR(M41/M$15,"n/a")</f>
        <v>n/a</v>
      </c>
      <c r="N85" s="57" t="str">
        <f aca="false">IFERROR(N41/N$15,"n/a")</f>
        <v>n/a</v>
      </c>
      <c r="O85" s="57" t="str">
        <f aca="false">IFERROR(O41/O$15,"n/a")</f>
        <v>n/a</v>
      </c>
      <c r="P85" s="57" t="str">
        <f aca="false">IFERROR(P41/P$15,"n/a")</f>
        <v>n/a</v>
      </c>
      <c r="Q85" s="57" t="str">
        <f aca="false">IFERROR(Q41/Q$15,"n/a")</f>
        <v>n/a</v>
      </c>
      <c r="R85" s="57" t="str">
        <f aca="false">IFERROR(R41/R$15,"n/a")</f>
        <v>n/a</v>
      </c>
      <c r="S85" s="57" t="str">
        <f aca="false">IFERROR(S41/S$15,"n/a")</f>
        <v>n/a</v>
      </c>
      <c r="T85" s="57" t="str">
        <f aca="false">IFERROR(T41/T$15,"n/a")</f>
        <v>n/a</v>
      </c>
      <c r="U85" s="57" t="str">
        <f aca="false">IFERROR(U41/U$15,"n/a")</f>
        <v>n/a</v>
      </c>
      <c r="V85" s="57" t="str">
        <f aca="false">IFERROR(V41/V$15,"n/a")</f>
        <v>n/a</v>
      </c>
      <c r="W85" s="57" t="str">
        <f aca="false">IFERROR(W41/W$15,"n/a")</f>
        <v>n/a</v>
      </c>
      <c r="X85" s="57" t="str">
        <f aca="false">IFERROR(X41/X$15,"n/a")</f>
        <v>n/a</v>
      </c>
      <c r="Y85" s="57" t="str">
        <f aca="false">IFERROR(Y41/Y$15,"n/a")</f>
        <v>n/a</v>
      </c>
      <c r="Z85" s="57" t="str">
        <f aca="false">IFERROR(Z41/Z$15,"n/a")</f>
        <v>n/a</v>
      </c>
      <c r="AA85" s="57" t="str">
        <f aca="false">IFERROR(AA41/AA$15,"n/a")</f>
        <v>n/a</v>
      </c>
      <c r="AB85" s="57" t="str">
        <f aca="false">IFERROR(AB41/AB$15,"n/a")</f>
        <v>n/a</v>
      </c>
      <c r="AC85" s="57" t="str">
        <f aca="false">IFERROR(AC41/AC$15,"n/a")</f>
        <v>n/a</v>
      </c>
      <c r="AD85" s="57" t="str">
        <f aca="false">IFERROR(AD41/AD$15,"n/a")</f>
        <v>n/a</v>
      </c>
      <c r="AE85" s="57" t="str">
        <f aca="false">IFERROR(AE41/AE$15,"n/a")</f>
        <v>n/a</v>
      </c>
      <c r="AF85" s="57" t="str">
        <f aca="false">IFERROR(AF41/AF$15,"n/a")</f>
        <v>n/a</v>
      </c>
      <c r="AG85" s="57" t="str">
        <f aca="false">IFERROR(AG41/AG$15,"n/a")</f>
        <v>n/a</v>
      </c>
      <c r="AH85" s="57" t="str">
        <f aca="false">IFERROR(AH41/AH$15,"n/a")</f>
        <v>n/a</v>
      </c>
      <c r="AI85" s="57" t="str">
        <f aca="false">IFERROR(AI41/AI$15,"n/a")</f>
        <v>n/a</v>
      </c>
      <c r="AJ85" s="57" t="str">
        <f aca="false">IFERROR(AJ41/AJ$15,"n/a")</f>
        <v>n/a</v>
      </c>
      <c r="AK85" s="57" t="str">
        <f aca="false">IFERROR(AK41/AK$15,"n/a")</f>
        <v>n/a</v>
      </c>
      <c r="AL85" s="57" t="str">
        <f aca="false">IFERROR(AL41/AL$15,"n/a")</f>
        <v>n/a</v>
      </c>
      <c r="AM85" s="57" t="str">
        <f aca="false">IFERROR(AM41/AM$15,"n/a")</f>
        <v>n/a</v>
      </c>
      <c r="AN85" s="57" t="str">
        <f aca="false">IFERROR(AN41/AN$15,"n/a")</f>
        <v>n/a</v>
      </c>
      <c r="AO85" s="57" t="str">
        <f aca="false">IFERROR(AO41/AO$15,"n/a")</f>
        <v>n/a</v>
      </c>
      <c r="AP85" s="57" t="str">
        <f aca="false">IFERROR(AP41/AP$15,"n/a")</f>
        <v>n/a</v>
      </c>
      <c r="AQ85" s="57" t="str">
        <f aca="false">IFERROR(AQ41/AQ$15,"n/a")</f>
        <v>n/a</v>
      </c>
      <c r="AR85" s="57" t="str">
        <f aca="false">IFERROR(AR41/AR$15,"n/a")</f>
        <v>n/a</v>
      </c>
      <c r="AS85" s="57" t="str">
        <f aca="false">IFERROR(AS41/AS$15,"n/a")</f>
        <v>n/a</v>
      </c>
      <c r="AT85" s="57" t="str">
        <f aca="false">IFERROR(AT41/AT$15,"n/a")</f>
        <v>n/a</v>
      </c>
      <c r="AU85" s="403" t="str">
        <f aca="false">IFERROR(AU41/AU$15,"n/a")</f>
        <v>n/a</v>
      </c>
      <c r="AV85" s="403" t="str">
        <f aca="false">IFERROR(AV41/AV$15,"n/a")</f>
        <v>n/a</v>
      </c>
      <c r="AW85" s="403" t="str">
        <f aca="false">IFERROR(AW41/AW$15,"n/a")</f>
        <v>n/a</v>
      </c>
      <c r="AX85" s="403" t="str">
        <f aca="false">IFERROR(AX41/AX$15,"n/a")</f>
        <v>n/a</v>
      </c>
      <c r="AY85" s="403" t="str">
        <f aca="false">IFERROR(AY41/AY$15,"n/a")</f>
        <v>n/a</v>
      </c>
      <c r="AZ85" s="403" t="str">
        <f aca="false">IFERROR(AZ41/AZ$15,"n/a")</f>
        <v>n/a</v>
      </c>
      <c r="BA85" s="403" t="str">
        <f aca="false">IFERROR(BA41/BA$15,"n/a")</f>
        <v>n/a</v>
      </c>
      <c r="BB85" s="403" t="str">
        <f aca="false">IFERROR(BB41/BB$15,"n/a")</f>
        <v>n/a</v>
      </c>
      <c r="BC85" s="403" t="str">
        <f aca="false">IFERROR(BC41/BC$15,"n/a")</f>
        <v>n/a</v>
      </c>
      <c r="BD85" s="403" t="str">
        <f aca="false">IFERROR(BD41/BD$15,"n/a")</f>
        <v>n/a</v>
      </c>
      <c r="BE85" s="403" t="str">
        <f aca="false">IFERROR(BE41/BE$15,"n/a")</f>
        <v>n/a</v>
      </c>
      <c r="BF85" s="403" t="str">
        <f aca="false">IFERROR(BF41/BF$15,"n/a")</f>
        <v>n/a</v>
      </c>
      <c r="BG85" s="403" t="str">
        <f aca="false">IFERROR(BG41/BG$15,"n/a")</f>
        <v>n/a</v>
      </c>
      <c r="BH85" s="403" t="str">
        <f aca="false">IFERROR(BH41/BH$15,"n/a")</f>
        <v>n/a</v>
      </c>
      <c r="BI85" s="403" t="str">
        <f aca="false">IFERROR(BI41/BI$15,"n/a")</f>
        <v>n/a</v>
      </c>
      <c r="BJ85" s="403" t="str">
        <f aca="false">IFERROR(BJ41/BJ$15,"n/a")</f>
        <v>n/a</v>
      </c>
      <c r="BK85" s="403" t="str">
        <f aca="false">IFERROR(BK41/BK$15,"n/a")</f>
        <v>n/a</v>
      </c>
      <c r="BL85" s="403" t="str">
        <f aca="false">IFERROR(BL41/BL$15,"n/a")</f>
        <v>n/a</v>
      </c>
      <c r="BM85" s="403" t="str">
        <f aca="false">IFERROR(BM41/BM$15,"n/a")</f>
        <v>n/a</v>
      </c>
      <c r="BN85" s="403" t="str">
        <f aca="false">IFERROR(BN41/BN$15,"n/a")</f>
        <v>n/a</v>
      </c>
      <c r="BO85" s="403" t="str">
        <f aca="false">IFERROR(BO41/BO$15,"n/a")</f>
        <v>n/a</v>
      </c>
      <c r="BP85" s="403" t="str">
        <f aca="false">IFERROR(BP41/BP$15,"n/a")</f>
        <v>n/a</v>
      </c>
      <c r="BQ85" s="403" t="str">
        <f aca="false">IFERROR(BQ41/BQ$15,"n/a")</f>
        <v>n/a</v>
      </c>
      <c r="BR85" s="403" t="str">
        <f aca="false">IFERROR(BR41/BR$15,"n/a")</f>
        <v>n/a</v>
      </c>
      <c r="BS85" s="403" t="str">
        <f aca="false">IFERROR(BS41/BS$15,"n/a")</f>
        <v>n/a</v>
      </c>
      <c r="BT85" s="403" t="str">
        <f aca="false">IFERROR(BT41/BT$15,"n/a")</f>
        <v>n/a</v>
      </c>
      <c r="BU85" s="403" t="str">
        <f aca="false">IFERROR(BU41/BU$15,"n/a")</f>
        <v>n/a</v>
      </c>
      <c r="BV85" s="403" t="str">
        <f aca="false">IFERROR(BV41/BV$15,"n/a")</f>
        <v>n/a</v>
      </c>
      <c r="BW85" s="403" t="str">
        <f aca="false">IFERROR(BW41/BW$15,"n/a")</f>
        <v>n/a</v>
      </c>
      <c r="BX85" s="403" t="str">
        <f aca="false">IFERROR(BX41/BX$15,"n/a")</f>
        <v>n/a</v>
      </c>
      <c r="BY85" s="403" t="str">
        <f aca="false">IFERROR(BY41/BY$15,"n/a")</f>
        <v>n/a</v>
      </c>
      <c r="BZ85" s="403" t="str">
        <f aca="false">IFERROR(BZ41/BZ$15,"n/a")</f>
        <v>n/a</v>
      </c>
      <c r="CA85" s="403" t="str">
        <f aca="false">IFERROR(CA41/CA$15,"n/a")</f>
        <v>n/a</v>
      </c>
      <c r="CB85" s="403" t="str">
        <f aca="false">IFERROR(CB41/CB$15,"n/a")</f>
        <v>n/a</v>
      </c>
      <c r="CC85" s="403" t="str">
        <f aca="false">IFERROR(CC41/CC$15,"n/a")</f>
        <v>n/a</v>
      </c>
      <c r="CD85" s="403" t="str">
        <f aca="false">IFERROR(CD41/CD$15,"n/a")</f>
        <v>n/a</v>
      </c>
      <c r="CE85" s="403" t="str">
        <f aca="false">IFERROR(CE41/CE$15,"n/a")</f>
        <v>n/a</v>
      </c>
      <c r="CF85" s="403" t="str">
        <f aca="false">IFERROR(CF41/CF$15,"n/a")</f>
        <v>n/a</v>
      </c>
      <c r="CG85" s="403" t="str">
        <f aca="false">IFERROR(CG41/CG$15,"n/a")</f>
        <v>n/a</v>
      </c>
      <c r="CH85" s="403" t="str">
        <f aca="false">IFERROR(CH41/CH$15,"n/a")</f>
        <v>n/a</v>
      </c>
      <c r="CI85" s="403" t="str">
        <f aca="false">IFERROR(CI41/CI$15,"n/a")</f>
        <v>n/a</v>
      </c>
      <c r="CJ85" s="403" t="str">
        <f aca="false">IFERROR(CJ41/CJ$15,"n/a")</f>
        <v>n/a</v>
      </c>
      <c r="CK85" s="403" t="str">
        <f aca="false">IFERROR(CK41/CK$15,"n/a")</f>
        <v>n/a</v>
      </c>
    </row>
    <row r="86" s="143" customFormat="true" ht="11.25" hidden="false" customHeight="true" outlineLevel="1" collapsed="false">
      <c r="C86" s="186" t="str">
        <f aca="false">C42</f>
        <v>Zinsaufwendungen</v>
      </c>
      <c r="D86" s="186" t="str">
        <f aca="false">D42</f>
        <v>Interest expenses</v>
      </c>
      <c r="E86" s="186"/>
      <c r="F86" s="57" t="str">
        <f aca="false">IFERROR(F42/F$15,"n/a")</f>
        <v>n/a</v>
      </c>
      <c r="G86" s="57" t="str">
        <f aca="false">IFERROR(G42/G$15,"n/a")</f>
        <v>n/a</v>
      </c>
      <c r="H86" s="57" t="str">
        <f aca="false">IFERROR(H42/H$15,"n/a")</f>
        <v>n/a</v>
      </c>
      <c r="I86" s="57" t="str">
        <f aca="false">IFERROR(I42/I$15,"n/a")</f>
        <v>n/a</v>
      </c>
      <c r="J86" s="57" t="str">
        <f aca="false">IFERROR(J42/J$15,"n/a")</f>
        <v>n/a</v>
      </c>
      <c r="K86" s="57" t="str">
        <f aca="false">IFERROR(K42/K$15,"n/a")</f>
        <v>n/a</v>
      </c>
      <c r="L86" s="57" t="str">
        <f aca="false">IFERROR(L42/L$15,"n/a")</f>
        <v>n/a</v>
      </c>
      <c r="M86" s="57" t="str">
        <f aca="false">IFERROR(M42/M$15,"n/a")</f>
        <v>n/a</v>
      </c>
      <c r="N86" s="57" t="str">
        <f aca="false">IFERROR(N42/N$15,"n/a")</f>
        <v>n/a</v>
      </c>
      <c r="O86" s="57" t="str">
        <f aca="false">IFERROR(O42/O$15,"n/a")</f>
        <v>n/a</v>
      </c>
      <c r="P86" s="57" t="str">
        <f aca="false">IFERROR(P42/P$15,"n/a")</f>
        <v>n/a</v>
      </c>
      <c r="Q86" s="57" t="str">
        <f aca="false">IFERROR(Q42/Q$15,"n/a")</f>
        <v>n/a</v>
      </c>
      <c r="R86" s="57" t="str">
        <f aca="false">IFERROR(R42/R$15,"n/a")</f>
        <v>n/a</v>
      </c>
      <c r="S86" s="57" t="str">
        <f aca="false">IFERROR(S42/S$15,"n/a")</f>
        <v>n/a</v>
      </c>
      <c r="T86" s="57" t="str">
        <f aca="false">IFERROR(T42/T$15,"n/a")</f>
        <v>n/a</v>
      </c>
      <c r="U86" s="57" t="str">
        <f aca="false">IFERROR(U42/U$15,"n/a")</f>
        <v>n/a</v>
      </c>
      <c r="V86" s="57" t="str">
        <f aca="false">IFERROR(V42/V$15,"n/a")</f>
        <v>n/a</v>
      </c>
      <c r="W86" s="57" t="str">
        <f aca="false">IFERROR(W42/W$15,"n/a")</f>
        <v>n/a</v>
      </c>
      <c r="X86" s="57" t="str">
        <f aca="false">IFERROR(X42/X$15,"n/a")</f>
        <v>n/a</v>
      </c>
      <c r="Y86" s="57" t="str">
        <f aca="false">IFERROR(Y42/Y$15,"n/a")</f>
        <v>n/a</v>
      </c>
      <c r="Z86" s="57" t="str">
        <f aca="false">IFERROR(Z42/Z$15,"n/a")</f>
        <v>n/a</v>
      </c>
      <c r="AA86" s="57" t="str">
        <f aca="false">IFERROR(AA42/AA$15,"n/a")</f>
        <v>n/a</v>
      </c>
      <c r="AB86" s="57" t="str">
        <f aca="false">IFERROR(AB42/AB$15,"n/a")</f>
        <v>n/a</v>
      </c>
      <c r="AC86" s="57" t="str">
        <f aca="false">IFERROR(AC42/AC$15,"n/a")</f>
        <v>n/a</v>
      </c>
      <c r="AD86" s="57" t="str">
        <f aca="false">IFERROR(AD42/AD$15,"n/a")</f>
        <v>n/a</v>
      </c>
      <c r="AE86" s="57" t="str">
        <f aca="false">IFERROR(AE42/AE$15,"n/a")</f>
        <v>n/a</v>
      </c>
      <c r="AF86" s="57" t="str">
        <f aca="false">IFERROR(AF42/AF$15,"n/a")</f>
        <v>n/a</v>
      </c>
      <c r="AG86" s="57" t="str">
        <f aca="false">IFERROR(AG42/AG$15,"n/a")</f>
        <v>n/a</v>
      </c>
      <c r="AH86" s="57" t="str">
        <f aca="false">IFERROR(AH42/AH$15,"n/a")</f>
        <v>n/a</v>
      </c>
      <c r="AI86" s="57" t="str">
        <f aca="false">IFERROR(AI42/AI$15,"n/a")</f>
        <v>n/a</v>
      </c>
      <c r="AJ86" s="57" t="str">
        <f aca="false">IFERROR(AJ42/AJ$15,"n/a")</f>
        <v>n/a</v>
      </c>
      <c r="AK86" s="57" t="str">
        <f aca="false">IFERROR(AK42/AK$15,"n/a")</f>
        <v>n/a</v>
      </c>
      <c r="AL86" s="57" t="str">
        <f aca="false">IFERROR(AL42/AL$15,"n/a")</f>
        <v>n/a</v>
      </c>
      <c r="AM86" s="57" t="str">
        <f aca="false">IFERROR(AM42/AM$15,"n/a")</f>
        <v>n/a</v>
      </c>
      <c r="AN86" s="57" t="str">
        <f aca="false">IFERROR(AN42/AN$15,"n/a")</f>
        <v>n/a</v>
      </c>
      <c r="AO86" s="57" t="str">
        <f aca="false">IFERROR(AO42/AO$15,"n/a")</f>
        <v>n/a</v>
      </c>
      <c r="AP86" s="57" t="str">
        <f aca="false">IFERROR(AP42/AP$15,"n/a")</f>
        <v>n/a</v>
      </c>
      <c r="AQ86" s="57" t="str">
        <f aca="false">IFERROR(AQ42/AQ$15,"n/a")</f>
        <v>n/a</v>
      </c>
      <c r="AR86" s="57" t="str">
        <f aca="false">IFERROR(AR42/AR$15,"n/a")</f>
        <v>n/a</v>
      </c>
      <c r="AS86" s="57" t="str">
        <f aca="false">IFERROR(AS42/AS$15,"n/a")</f>
        <v>n/a</v>
      </c>
      <c r="AT86" s="57" t="str">
        <f aca="false">IFERROR(AT42/AT$15,"n/a")</f>
        <v>n/a</v>
      </c>
      <c r="AU86" s="403" t="str">
        <f aca="false">IFERROR(AU42/AU$15,"n/a")</f>
        <v>n/a</v>
      </c>
      <c r="AV86" s="403" t="str">
        <f aca="false">IFERROR(AV42/AV$15,"n/a")</f>
        <v>n/a</v>
      </c>
      <c r="AW86" s="403" t="str">
        <f aca="false">IFERROR(AW42/AW$15,"n/a")</f>
        <v>n/a</v>
      </c>
      <c r="AX86" s="403" t="str">
        <f aca="false">IFERROR(AX42/AX$15,"n/a")</f>
        <v>n/a</v>
      </c>
      <c r="AY86" s="403" t="str">
        <f aca="false">IFERROR(AY42/AY$15,"n/a")</f>
        <v>n/a</v>
      </c>
      <c r="AZ86" s="403" t="str">
        <f aca="false">IFERROR(AZ42/AZ$15,"n/a")</f>
        <v>n/a</v>
      </c>
      <c r="BA86" s="403" t="str">
        <f aca="false">IFERROR(BA42/BA$15,"n/a")</f>
        <v>n/a</v>
      </c>
      <c r="BB86" s="403" t="str">
        <f aca="false">IFERROR(BB42/BB$15,"n/a")</f>
        <v>n/a</v>
      </c>
      <c r="BC86" s="403" t="str">
        <f aca="false">IFERROR(BC42/BC$15,"n/a")</f>
        <v>n/a</v>
      </c>
      <c r="BD86" s="403" t="str">
        <f aca="false">IFERROR(BD42/BD$15,"n/a")</f>
        <v>n/a</v>
      </c>
      <c r="BE86" s="403" t="str">
        <f aca="false">IFERROR(BE42/BE$15,"n/a")</f>
        <v>n/a</v>
      </c>
      <c r="BF86" s="403" t="str">
        <f aca="false">IFERROR(BF42/BF$15,"n/a")</f>
        <v>n/a</v>
      </c>
      <c r="BG86" s="403" t="str">
        <f aca="false">IFERROR(BG42/BG$15,"n/a")</f>
        <v>n/a</v>
      </c>
      <c r="BH86" s="403" t="str">
        <f aca="false">IFERROR(BH42/BH$15,"n/a")</f>
        <v>n/a</v>
      </c>
      <c r="BI86" s="403" t="str">
        <f aca="false">IFERROR(BI42/BI$15,"n/a")</f>
        <v>n/a</v>
      </c>
      <c r="BJ86" s="403" t="str">
        <f aca="false">IFERROR(BJ42/BJ$15,"n/a")</f>
        <v>n/a</v>
      </c>
      <c r="BK86" s="403" t="str">
        <f aca="false">IFERROR(BK42/BK$15,"n/a")</f>
        <v>n/a</v>
      </c>
      <c r="BL86" s="403" t="str">
        <f aca="false">IFERROR(BL42/BL$15,"n/a")</f>
        <v>n/a</v>
      </c>
      <c r="BM86" s="403" t="str">
        <f aca="false">IFERROR(BM42/BM$15,"n/a")</f>
        <v>n/a</v>
      </c>
      <c r="BN86" s="403" t="str">
        <f aca="false">IFERROR(BN42/BN$15,"n/a")</f>
        <v>n/a</v>
      </c>
      <c r="BO86" s="403" t="str">
        <f aca="false">IFERROR(BO42/BO$15,"n/a")</f>
        <v>n/a</v>
      </c>
      <c r="BP86" s="403" t="str">
        <f aca="false">IFERROR(BP42/BP$15,"n/a")</f>
        <v>n/a</v>
      </c>
      <c r="BQ86" s="403" t="str">
        <f aca="false">IFERROR(BQ42/BQ$15,"n/a")</f>
        <v>n/a</v>
      </c>
      <c r="BR86" s="403" t="str">
        <f aca="false">IFERROR(BR42/BR$15,"n/a")</f>
        <v>n/a</v>
      </c>
      <c r="BS86" s="403" t="str">
        <f aca="false">IFERROR(BS42/BS$15,"n/a")</f>
        <v>n/a</v>
      </c>
      <c r="BT86" s="403" t="str">
        <f aca="false">IFERROR(BT42/BT$15,"n/a")</f>
        <v>n/a</v>
      </c>
      <c r="BU86" s="403" t="str">
        <f aca="false">IFERROR(BU42/BU$15,"n/a")</f>
        <v>n/a</v>
      </c>
      <c r="BV86" s="403" t="str">
        <f aca="false">IFERROR(BV42/BV$15,"n/a")</f>
        <v>n/a</v>
      </c>
      <c r="BW86" s="403" t="str">
        <f aca="false">IFERROR(BW42/BW$15,"n/a")</f>
        <v>n/a</v>
      </c>
      <c r="BX86" s="403" t="str">
        <f aca="false">IFERROR(BX42/BX$15,"n/a")</f>
        <v>n/a</v>
      </c>
      <c r="BY86" s="403" t="str">
        <f aca="false">IFERROR(BY42/BY$15,"n/a")</f>
        <v>n/a</v>
      </c>
      <c r="BZ86" s="403" t="str">
        <f aca="false">IFERROR(BZ42/BZ$15,"n/a")</f>
        <v>n/a</v>
      </c>
      <c r="CA86" s="403" t="str">
        <f aca="false">IFERROR(CA42/CA$15,"n/a")</f>
        <v>n/a</v>
      </c>
      <c r="CB86" s="403" t="str">
        <f aca="false">IFERROR(CB42/CB$15,"n/a")</f>
        <v>n/a</v>
      </c>
      <c r="CC86" s="403" t="str">
        <f aca="false">IFERROR(CC42/CC$15,"n/a")</f>
        <v>n/a</v>
      </c>
      <c r="CD86" s="403" t="str">
        <f aca="false">IFERROR(CD42/CD$15,"n/a")</f>
        <v>n/a</v>
      </c>
      <c r="CE86" s="403" t="str">
        <f aca="false">IFERROR(CE42/CE$15,"n/a")</f>
        <v>n/a</v>
      </c>
      <c r="CF86" s="403" t="str">
        <f aca="false">IFERROR(CF42/CF$15,"n/a")</f>
        <v>n/a</v>
      </c>
      <c r="CG86" s="403" t="str">
        <f aca="false">IFERROR(CG42/CG$15,"n/a")</f>
        <v>n/a</v>
      </c>
      <c r="CH86" s="403" t="str">
        <f aca="false">IFERROR(CH42/CH$15,"n/a")</f>
        <v>n/a</v>
      </c>
      <c r="CI86" s="403" t="str">
        <f aca="false">IFERROR(CI42/CI$15,"n/a")</f>
        <v>n/a</v>
      </c>
      <c r="CJ86" s="403" t="str">
        <f aca="false">IFERROR(CJ42/CJ$15,"n/a")</f>
        <v>n/a</v>
      </c>
      <c r="CK86" s="403" t="str">
        <f aca="false">IFERROR(CK42/CK$15,"n/a")</f>
        <v>n/a</v>
      </c>
    </row>
    <row r="87" s="143" customFormat="true" ht="11.25" hidden="false" customHeight="true" outlineLevel="2" collapsed="false">
      <c r="C87" s="186" t="str">
        <f aca="false">C43</f>
        <v>Dummy 1</v>
      </c>
      <c r="D87" s="186" t="str">
        <f aca="false">D43</f>
        <v>Dummy 1</v>
      </c>
      <c r="E87" s="186"/>
      <c r="F87" s="57" t="str">
        <f aca="false">IFERROR(F43/F$15,"n/a")</f>
        <v>n/a</v>
      </c>
      <c r="G87" s="57" t="str">
        <f aca="false">IFERROR(G43/G$15,"n/a")</f>
        <v>n/a</v>
      </c>
      <c r="H87" s="57" t="str">
        <f aca="false">IFERROR(H43/H$15,"n/a")</f>
        <v>n/a</v>
      </c>
      <c r="I87" s="57" t="str">
        <f aca="false">IFERROR(I43/I$15,"n/a")</f>
        <v>n/a</v>
      </c>
      <c r="J87" s="57" t="str">
        <f aca="false">IFERROR(J43/J$15,"n/a")</f>
        <v>n/a</v>
      </c>
      <c r="K87" s="57" t="str">
        <f aca="false">IFERROR(K43/K$15,"n/a")</f>
        <v>n/a</v>
      </c>
      <c r="L87" s="57" t="str">
        <f aca="false">IFERROR(L43/L$15,"n/a")</f>
        <v>n/a</v>
      </c>
      <c r="M87" s="57" t="str">
        <f aca="false">IFERROR(M43/M$15,"n/a")</f>
        <v>n/a</v>
      </c>
      <c r="N87" s="57" t="str">
        <f aca="false">IFERROR(N43/N$15,"n/a")</f>
        <v>n/a</v>
      </c>
      <c r="O87" s="57" t="str">
        <f aca="false">IFERROR(O43/O$15,"n/a")</f>
        <v>n/a</v>
      </c>
      <c r="P87" s="57" t="str">
        <f aca="false">IFERROR(P43/P$15,"n/a")</f>
        <v>n/a</v>
      </c>
      <c r="Q87" s="57" t="str">
        <f aca="false">IFERROR(Q43/Q$15,"n/a")</f>
        <v>n/a</v>
      </c>
      <c r="R87" s="57" t="str">
        <f aca="false">IFERROR(R43/R$15,"n/a")</f>
        <v>n/a</v>
      </c>
      <c r="S87" s="57" t="str">
        <f aca="false">IFERROR(S43/S$15,"n/a")</f>
        <v>n/a</v>
      </c>
      <c r="T87" s="57" t="str">
        <f aca="false">IFERROR(T43/T$15,"n/a")</f>
        <v>n/a</v>
      </c>
      <c r="U87" s="57" t="str">
        <f aca="false">IFERROR(U43/U$15,"n/a")</f>
        <v>n/a</v>
      </c>
      <c r="V87" s="57" t="str">
        <f aca="false">IFERROR(V43/V$15,"n/a")</f>
        <v>n/a</v>
      </c>
      <c r="W87" s="57" t="str">
        <f aca="false">IFERROR(W43/W$15,"n/a")</f>
        <v>n/a</v>
      </c>
      <c r="X87" s="57" t="str">
        <f aca="false">IFERROR(X43/X$15,"n/a")</f>
        <v>n/a</v>
      </c>
      <c r="Y87" s="57" t="str">
        <f aca="false">IFERROR(Y43/Y$15,"n/a")</f>
        <v>n/a</v>
      </c>
      <c r="Z87" s="57" t="str">
        <f aca="false">IFERROR(Z43/Z$15,"n/a")</f>
        <v>n/a</v>
      </c>
      <c r="AA87" s="57" t="str">
        <f aca="false">IFERROR(AA43/AA$15,"n/a")</f>
        <v>n/a</v>
      </c>
      <c r="AB87" s="57" t="str">
        <f aca="false">IFERROR(AB43/AB$15,"n/a")</f>
        <v>n/a</v>
      </c>
      <c r="AC87" s="57" t="str">
        <f aca="false">IFERROR(AC43/AC$15,"n/a")</f>
        <v>n/a</v>
      </c>
      <c r="AD87" s="57" t="str">
        <f aca="false">IFERROR(AD43/AD$15,"n/a")</f>
        <v>n/a</v>
      </c>
      <c r="AE87" s="57" t="str">
        <f aca="false">IFERROR(AE43/AE$15,"n/a")</f>
        <v>n/a</v>
      </c>
      <c r="AF87" s="57" t="str">
        <f aca="false">IFERROR(AF43/AF$15,"n/a")</f>
        <v>n/a</v>
      </c>
      <c r="AG87" s="57" t="str">
        <f aca="false">IFERROR(AG43/AG$15,"n/a")</f>
        <v>n/a</v>
      </c>
      <c r="AH87" s="57" t="str">
        <f aca="false">IFERROR(AH43/AH$15,"n/a")</f>
        <v>n/a</v>
      </c>
      <c r="AI87" s="57" t="str">
        <f aca="false">IFERROR(AI43/AI$15,"n/a")</f>
        <v>n/a</v>
      </c>
      <c r="AJ87" s="57" t="str">
        <f aca="false">IFERROR(AJ43/AJ$15,"n/a")</f>
        <v>n/a</v>
      </c>
      <c r="AK87" s="57" t="str">
        <f aca="false">IFERROR(AK43/AK$15,"n/a")</f>
        <v>n/a</v>
      </c>
      <c r="AL87" s="57" t="str">
        <f aca="false">IFERROR(AL43/AL$15,"n/a")</f>
        <v>n/a</v>
      </c>
      <c r="AM87" s="57" t="str">
        <f aca="false">IFERROR(AM43/AM$15,"n/a")</f>
        <v>n/a</v>
      </c>
      <c r="AN87" s="57" t="str">
        <f aca="false">IFERROR(AN43/AN$15,"n/a")</f>
        <v>n/a</v>
      </c>
      <c r="AO87" s="57" t="str">
        <f aca="false">IFERROR(AO43/AO$15,"n/a")</f>
        <v>n/a</v>
      </c>
      <c r="AP87" s="57" t="str">
        <f aca="false">IFERROR(AP43/AP$15,"n/a")</f>
        <v>n/a</v>
      </c>
      <c r="AQ87" s="57" t="str">
        <f aca="false">IFERROR(AQ43/AQ$15,"n/a")</f>
        <v>n/a</v>
      </c>
      <c r="AR87" s="57" t="str">
        <f aca="false">IFERROR(AR43/AR$15,"n/a")</f>
        <v>n/a</v>
      </c>
      <c r="AS87" s="57" t="str">
        <f aca="false">IFERROR(AS43/AS$15,"n/a")</f>
        <v>n/a</v>
      </c>
      <c r="AT87" s="57" t="str">
        <f aca="false">IFERROR(AT43/AT$15,"n/a")</f>
        <v>n/a</v>
      </c>
      <c r="AU87" s="403" t="str">
        <f aca="false">IFERROR(AU43/AU$15,"n/a")</f>
        <v>n/a</v>
      </c>
      <c r="AV87" s="403" t="str">
        <f aca="false">IFERROR(AV43/AV$15,"n/a")</f>
        <v>n/a</v>
      </c>
      <c r="AW87" s="403" t="str">
        <f aca="false">IFERROR(AW43/AW$15,"n/a")</f>
        <v>n/a</v>
      </c>
      <c r="AX87" s="403" t="str">
        <f aca="false">IFERROR(AX43/AX$15,"n/a")</f>
        <v>n/a</v>
      </c>
      <c r="AY87" s="403" t="str">
        <f aca="false">IFERROR(AY43/AY$15,"n/a")</f>
        <v>n/a</v>
      </c>
      <c r="AZ87" s="403" t="str">
        <f aca="false">IFERROR(AZ43/AZ$15,"n/a")</f>
        <v>n/a</v>
      </c>
      <c r="BA87" s="403" t="str">
        <f aca="false">IFERROR(BA43/BA$15,"n/a")</f>
        <v>n/a</v>
      </c>
      <c r="BB87" s="403" t="str">
        <f aca="false">IFERROR(BB43/BB$15,"n/a")</f>
        <v>n/a</v>
      </c>
      <c r="BC87" s="403" t="str">
        <f aca="false">IFERROR(BC43/BC$15,"n/a")</f>
        <v>n/a</v>
      </c>
      <c r="BD87" s="403" t="str">
        <f aca="false">IFERROR(BD43/BD$15,"n/a")</f>
        <v>n/a</v>
      </c>
      <c r="BE87" s="403" t="str">
        <f aca="false">IFERROR(BE43/BE$15,"n/a")</f>
        <v>n/a</v>
      </c>
      <c r="BF87" s="403" t="str">
        <f aca="false">IFERROR(BF43/BF$15,"n/a")</f>
        <v>n/a</v>
      </c>
      <c r="BG87" s="403" t="str">
        <f aca="false">IFERROR(BG43/BG$15,"n/a")</f>
        <v>n/a</v>
      </c>
      <c r="BH87" s="403" t="str">
        <f aca="false">IFERROR(BH43/BH$15,"n/a")</f>
        <v>n/a</v>
      </c>
      <c r="BI87" s="403" t="str">
        <f aca="false">IFERROR(BI43/BI$15,"n/a")</f>
        <v>n/a</v>
      </c>
      <c r="BJ87" s="403" t="str">
        <f aca="false">IFERROR(BJ43/BJ$15,"n/a")</f>
        <v>n/a</v>
      </c>
      <c r="BK87" s="403" t="str">
        <f aca="false">IFERROR(BK43/BK$15,"n/a")</f>
        <v>n/a</v>
      </c>
      <c r="BL87" s="403" t="str">
        <f aca="false">IFERROR(BL43/BL$15,"n/a")</f>
        <v>n/a</v>
      </c>
      <c r="BM87" s="403" t="str">
        <f aca="false">IFERROR(BM43/BM$15,"n/a")</f>
        <v>n/a</v>
      </c>
      <c r="BN87" s="403" t="str">
        <f aca="false">IFERROR(BN43/BN$15,"n/a")</f>
        <v>n/a</v>
      </c>
      <c r="BO87" s="403" t="str">
        <f aca="false">IFERROR(BO43/BO$15,"n/a")</f>
        <v>n/a</v>
      </c>
      <c r="BP87" s="403" t="str">
        <f aca="false">IFERROR(BP43/BP$15,"n/a")</f>
        <v>n/a</v>
      </c>
      <c r="BQ87" s="403" t="str">
        <f aca="false">IFERROR(BQ43/BQ$15,"n/a")</f>
        <v>n/a</v>
      </c>
      <c r="BR87" s="403" t="str">
        <f aca="false">IFERROR(BR43/BR$15,"n/a")</f>
        <v>n/a</v>
      </c>
      <c r="BS87" s="403" t="str">
        <f aca="false">IFERROR(BS43/BS$15,"n/a")</f>
        <v>n/a</v>
      </c>
      <c r="BT87" s="403" t="str">
        <f aca="false">IFERROR(BT43/BT$15,"n/a")</f>
        <v>n/a</v>
      </c>
      <c r="BU87" s="403" t="str">
        <f aca="false">IFERROR(BU43/BU$15,"n/a")</f>
        <v>n/a</v>
      </c>
      <c r="BV87" s="403" t="str">
        <f aca="false">IFERROR(BV43/BV$15,"n/a")</f>
        <v>n/a</v>
      </c>
      <c r="BW87" s="403" t="str">
        <f aca="false">IFERROR(BW43/BW$15,"n/a")</f>
        <v>n/a</v>
      </c>
      <c r="BX87" s="403" t="str">
        <f aca="false">IFERROR(BX43/BX$15,"n/a")</f>
        <v>n/a</v>
      </c>
      <c r="BY87" s="403" t="str">
        <f aca="false">IFERROR(BY43/BY$15,"n/a")</f>
        <v>n/a</v>
      </c>
      <c r="BZ87" s="403" t="str">
        <f aca="false">IFERROR(BZ43/BZ$15,"n/a")</f>
        <v>n/a</v>
      </c>
      <c r="CA87" s="403" t="str">
        <f aca="false">IFERROR(CA43/CA$15,"n/a")</f>
        <v>n/a</v>
      </c>
      <c r="CB87" s="403" t="str">
        <f aca="false">IFERROR(CB43/CB$15,"n/a")</f>
        <v>n/a</v>
      </c>
      <c r="CC87" s="403" t="str">
        <f aca="false">IFERROR(CC43/CC$15,"n/a")</f>
        <v>n/a</v>
      </c>
      <c r="CD87" s="403" t="str">
        <f aca="false">IFERROR(CD43/CD$15,"n/a")</f>
        <v>n/a</v>
      </c>
      <c r="CE87" s="403" t="str">
        <f aca="false">IFERROR(CE43/CE$15,"n/a")</f>
        <v>n/a</v>
      </c>
      <c r="CF87" s="403" t="str">
        <f aca="false">IFERROR(CF43/CF$15,"n/a")</f>
        <v>n/a</v>
      </c>
      <c r="CG87" s="403" t="str">
        <f aca="false">IFERROR(CG43/CG$15,"n/a")</f>
        <v>n/a</v>
      </c>
      <c r="CH87" s="403" t="str">
        <f aca="false">IFERROR(CH43/CH$15,"n/a")</f>
        <v>n/a</v>
      </c>
      <c r="CI87" s="403" t="str">
        <f aca="false">IFERROR(CI43/CI$15,"n/a")</f>
        <v>n/a</v>
      </c>
      <c r="CJ87" s="403" t="str">
        <f aca="false">IFERROR(CJ43/CJ$15,"n/a")</f>
        <v>n/a</v>
      </c>
      <c r="CK87" s="403" t="str">
        <f aca="false">IFERROR(CK43/CK$15,"n/a")</f>
        <v>n/a</v>
      </c>
    </row>
    <row r="88" s="143" customFormat="true" ht="11.25" hidden="false" customHeight="true" outlineLevel="2" collapsed="false">
      <c r="C88" s="186" t="str">
        <f aca="false">C44</f>
        <v>Dummy 2</v>
      </c>
      <c r="D88" s="186" t="str">
        <f aca="false">D44</f>
        <v>Dummy 2</v>
      </c>
      <c r="E88" s="186"/>
      <c r="F88" s="57" t="str">
        <f aca="false">IFERROR(F44/F$15,"n/a")</f>
        <v>n/a</v>
      </c>
      <c r="G88" s="57" t="str">
        <f aca="false">IFERROR(G44/G$15,"n/a")</f>
        <v>n/a</v>
      </c>
      <c r="H88" s="57" t="str">
        <f aca="false">IFERROR(H44/H$15,"n/a")</f>
        <v>n/a</v>
      </c>
      <c r="I88" s="57" t="str">
        <f aca="false">IFERROR(I44/I$15,"n/a")</f>
        <v>n/a</v>
      </c>
      <c r="J88" s="57" t="str">
        <f aca="false">IFERROR(J44/J$15,"n/a")</f>
        <v>n/a</v>
      </c>
      <c r="K88" s="57" t="str">
        <f aca="false">IFERROR(K44/K$15,"n/a")</f>
        <v>n/a</v>
      </c>
      <c r="L88" s="57" t="str">
        <f aca="false">IFERROR(L44/L$15,"n/a")</f>
        <v>n/a</v>
      </c>
      <c r="M88" s="57" t="str">
        <f aca="false">IFERROR(M44/M$15,"n/a")</f>
        <v>n/a</v>
      </c>
      <c r="N88" s="57" t="str">
        <f aca="false">IFERROR(N44/N$15,"n/a")</f>
        <v>n/a</v>
      </c>
      <c r="O88" s="57" t="str">
        <f aca="false">IFERROR(O44/O$15,"n/a")</f>
        <v>n/a</v>
      </c>
      <c r="P88" s="57" t="str">
        <f aca="false">IFERROR(P44/P$15,"n/a")</f>
        <v>n/a</v>
      </c>
      <c r="Q88" s="57" t="str">
        <f aca="false">IFERROR(Q44/Q$15,"n/a")</f>
        <v>n/a</v>
      </c>
      <c r="R88" s="57" t="str">
        <f aca="false">IFERROR(R44/R$15,"n/a")</f>
        <v>n/a</v>
      </c>
      <c r="S88" s="57" t="str">
        <f aca="false">IFERROR(S44/S$15,"n/a")</f>
        <v>n/a</v>
      </c>
      <c r="T88" s="57" t="str">
        <f aca="false">IFERROR(T44/T$15,"n/a")</f>
        <v>n/a</v>
      </c>
      <c r="U88" s="57" t="str">
        <f aca="false">IFERROR(U44/U$15,"n/a")</f>
        <v>n/a</v>
      </c>
      <c r="V88" s="57" t="str">
        <f aca="false">IFERROR(V44/V$15,"n/a")</f>
        <v>n/a</v>
      </c>
      <c r="W88" s="57" t="str">
        <f aca="false">IFERROR(W44/W$15,"n/a")</f>
        <v>n/a</v>
      </c>
      <c r="X88" s="57" t="str">
        <f aca="false">IFERROR(X44/X$15,"n/a")</f>
        <v>n/a</v>
      </c>
      <c r="Y88" s="57" t="str">
        <f aca="false">IFERROR(Y44/Y$15,"n/a")</f>
        <v>n/a</v>
      </c>
      <c r="Z88" s="57" t="str">
        <f aca="false">IFERROR(Z44/Z$15,"n/a")</f>
        <v>n/a</v>
      </c>
      <c r="AA88" s="57" t="str">
        <f aca="false">IFERROR(AA44/AA$15,"n/a")</f>
        <v>n/a</v>
      </c>
      <c r="AB88" s="57" t="str">
        <f aca="false">IFERROR(AB44/AB$15,"n/a")</f>
        <v>n/a</v>
      </c>
      <c r="AC88" s="57" t="str">
        <f aca="false">IFERROR(AC44/AC$15,"n/a")</f>
        <v>n/a</v>
      </c>
      <c r="AD88" s="57" t="str">
        <f aca="false">IFERROR(AD44/AD$15,"n/a")</f>
        <v>n/a</v>
      </c>
      <c r="AE88" s="57" t="str">
        <f aca="false">IFERROR(AE44/AE$15,"n/a")</f>
        <v>n/a</v>
      </c>
      <c r="AF88" s="57" t="str">
        <f aca="false">IFERROR(AF44/AF$15,"n/a")</f>
        <v>n/a</v>
      </c>
      <c r="AG88" s="57" t="str">
        <f aca="false">IFERROR(AG44/AG$15,"n/a")</f>
        <v>n/a</v>
      </c>
      <c r="AH88" s="57" t="str">
        <f aca="false">IFERROR(AH44/AH$15,"n/a")</f>
        <v>n/a</v>
      </c>
      <c r="AI88" s="57" t="str">
        <f aca="false">IFERROR(AI44/AI$15,"n/a")</f>
        <v>n/a</v>
      </c>
      <c r="AJ88" s="57" t="str">
        <f aca="false">IFERROR(AJ44/AJ$15,"n/a")</f>
        <v>n/a</v>
      </c>
      <c r="AK88" s="57" t="str">
        <f aca="false">IFERROR(AK44/AK$15,"n/a")</f>
        <v>n/a</v>
      </c>
      <c r="AL88" s="57" t="str">
        <f aca="false">IFERROR(AL44/AL$15,"n/a")</f>
        <v>n/a</v>
      </c>
      <c r="AM88" s="57" t="str">
        <f aca="false">IFERROR(AM44/AM$15,"n/a")</f>
        <v>n/a</v>
      </c>
      <c r="AN88" s="57" t="str">
        <f aca="false">IFERROR(AN44/AN$15,"n/a")</f>
        <v>n/a</v>
      </c>
      <c r="AO88" s="57" t="str">
        <f aca="false">IFERROR(AO44/AO$15,"n/a")</f>
        <v>n/a</v>
      </c>
      <c r="AP88" s="57" t="str">
        <f aca="false">IFERROR(AP44/AP$15,"n/a")</f>
        <v>n/a</v>
      </c>
      <c r="AQ88" s="57" t="str">
        <f aca="false">IFERROR(AQ44/AQ$15,"n/a")</f>
        <v>n/a</v>
      </c>
      <c r="AR88" s="57" t="str">
        <f aca="false">IFERROR(AR44/AR$15,"n/a")</f>
        <v>n/a</v>
      </c>
      <c r="AS88" s="57" t="str">
        <f aca="false">IFERROR(AS44/AS$15,"n/a")</f>
        <v>n/a</v>
      </c>
      <c r="AT88" s="57" t="str">
        <f aca="false">IFERROR(AT44/AT$15,"n/a")</f>
        <v>n/a</v>
      </c>
      <c r="AU88" s="403" t="str">
        <f aca="false">IFERROR(AU44/AU$15,"n/a")</f>
        <v>n/a</v>
      </c>
      <c r="AV88" s="403" t="str">
        <f aca="false">IFERROR(AV44/AV$15,"n/a")</f>
        <v>n/a</v>
      </c>
      <c r="AW88" s="403" t="str">
        <f aca="false">IFERROR(AW44/AW$15,"n/a")</f>
        <v>n/a</v>
      </c>
      <c r="AX88" s="403" t="str">
        <f aca="false">IFERROR(AX44/AX$15,"n/a")</f>
        <v>n/a</v>
      </c>
      <c r="AY88" s="403" t="str">
        <f aca="false">IFERROR(AY44/AY$15,"n/a")</f>
        <v>n/a</v>
      </c>
      <c r="AZ88" s="403" t="str">
        <f aca="false">IFERROR(AZ44/AZ$15,"n/a")</f>
        <v>n/a</v>
      </c>
      <c r="BA88" s="403" t="str">
        <f aca="false">IFERROR(BA44/BA$15,"n/a")</f>
        <v>n/a</v>
      </c>
      <c r="BB88" s="403" t="str">
        <f aca="false">IFERROR(BB44/BB$15,"n/a")</f>
        <v>n/a</v>
      </c>
      <c r="BC88" s="403" t="str">
        <f aca="false">IFERROR(BC44/BC$15,"n/a")</f>
        <v>n/a</v>
      </c>
      <c r="BD88" s="403" t="str">
        <f aca="false">IFERROR(BD44/BD$15,"n/a")</f>
        <v>n/a</v>
      </c>
      <c r="BE88" s="403" t="str">
        <f aca="false">IFERROR(BE44/BE$15,"n/a")</f>
        <v>n/a</v>
      </c>
      <c r="BF88" s="403" t="str">
        <f aca="false">IFERROR(BF44/BF$15,"n/a")</f>
        <v>n/a</v>
      </c>
      <c r="BG88" s="403" t="str">
        <f aca="false">IFERROR(BG44/BG$15,"n/a")</f>
        <v>n/a</v>
      </c>
      <c r="BH88" s="403" t="str">
        <f aca="false">IFERROR(BH44/BH$15,"n/a")</f>
        <v>n/a</v>
      </c>
      <c r="BI88" s="403" t="str">
        <f aca="false">IFERROR(BI44/BI$15,"n/a")</f>
        <v>n/a</v>
      </c>
      <c r="BJ88" s="403" t="str">
        <f aca="false">IFERROR(BJ44/BJ$15,"n/a")</f>
        <v>n/a</v>
      </c>
      <c r="BK88" s="403" t="str">
        <f aca="false">IFERROR(BK44/BK$15,"n/a")</f>
        <v>n/a</v>
      </c>
      <c r="BL88" s="403" t="str">
        <f aca="false">IFERROR(BL44/BL$15,"n/a")</f>
        <v>n/a</v>
      </c>
      <c r="BM88" s="403" t="str">
        <f aca="false">IFERROR(BM44/BM$15,"n/a")</f>
        <v>n/a</v>
      </c>
      <c r="BN88" s="403" t="str">
        <f aca="false">IFERROR(BN44/BN$15,"n/a")</f>
        <v>n/a</v>
      </c>
      <c r="BO88" s="403" t="str">
        <f aca="false">IFERROR(BO44/BO$15,"n/a")</f>
        <v>n/a</v>
      </c>
      <c r="BP88" s="403" t="str">
        <f aca="false">IFERROR(BP44/BP$15,"n/a")</f>
        <v>n/a</v>
      </c>
      <c r="BQ88" s="403" t="str">
        <f aca="false">IFERROR(BQ44/BQ$15,"n/a")</f>
        <v>n/a</v>
      </c>
      <c r="BR88" s="403" t="str">
        <f aca="false">IFERROR(BR44/BR$15,"n/a")</f>
        <v>n/a</v>
      </c>
      <c r="BS88" s="403" t="str">
        <f aca="false">IFERROR(BS44/BS$15,"n/a")</f>
        <v>n/a</v>
      </c>
      <c r="BT88" s="403" t="str">
        <f aca="false">IFERROR(BT44/BT$15,"n/a")</f>
        <v>n/a</v>
      </c>
      <c r="BU88" s="403" t="str">
        <f aca="false">IFERROR(BU44/BU$15,"n/a")</f>
        <v>n/a</v>
      </c>
      <c r="BV88" s="403" t="str">
        <f aca="false">IFERROR(BV44/BV$15,"n/a")</f>
        <v>n/a</v>
      </c>
      <c r="BW88" s="403" t="str">
        <f aca="false">IFERROR(BW44/BW$15,"n/a")</f>
        <v>n/a</v>
      </c>
      <c r="BX88" s="403" t="str">
        <f aca="false">IFERROR(BX44/BX$15,"n/a")</f>
        <v>n/a</v>
      </c>
      <c r="BY88" s="403" t="str">
        <f aca="false">IFERROR(BY44/BY$15,"n/a")</f>
        <v>n/a</v>
      </c>
      <c r="BZ88" s="403" t="str">
        <f aca="false">IFERROR(BZ44/BZ$15,"n/a")</f>
        <v>n/a</v>
      </c>
      <c r="CA88" s="403" t="str">
        <f aca="false">IFERROR(CA44/CA$15,"n/a")</f>
        <v>n/a</v>
      </c>
      <c r="CB88" s="403" t="str">
        <f aca="false">IFERROR(CB44/CB$15,"n/a")</f>
        <v>n/a</v>
      </c>
      <c r="CC88" s="403" t="str">
        <f aca="false">IFERROR(CC44/CC$15,"n/a")</f>
        <v>n/a</v>
      </c>
      <c r="CD88" s="403" t="str">
        <f aca="false">IFERROR(CD44/CD$15,"n/a")</f>
        <v>n/a</v>
      </c>
      <c r="CE88" s="403" t="str">
        <f aca="false">IFERROR(CE44/CE$15,"n/a")</f>
        <v>n/a</v>
      </c>
      <c r="CF88" s="403" t="str">
        <f aca="false">IFERROR(CF44/CF$15,"n/a")</f>
        <v>n/a</v>
      </c>
      <c r="CG88" s="403" t="str">
        <f aca="false">IFERROR(CG44/CG$15,"n/a")</f>
        <v>n/a</v>
      </c>
      <c r="CH88" s="403" t="str">
        <f aca="false">IFERROR(CH44/CH$15,"n/a")</f>
        <v>n/a</v>
      </c>
      <c r="CI88" s="403" t="str">
        <f aca="false">IFERROR(CI44/CI$15,"n/a")</f>
        <v>n/a</v>
      </c>
      <c r="CJ88" s="403" t="str">
        <f aca="false">IFERROR(CJ44/CJ$15,"n/a")</f>
        <v>n/a</v>
      </c>
      <c r="CK88" s="403" t="str">
        <f aca="false">IFERROR(CK44/CK$15,"n/a")</f>
        <v>n/a</v>
      </c>
    </row>
    <row r="89" s="143" customFormat="true" ht="11.25" hidden="false" customHeight="true" outlineLevel="2" collapsed="false">
      <c r="C89" s="186" t="str">
        <f aca="false">C45</f>
        <v>Dummy 3</v>
      </c>
      <c r="D89" s="186" t="str">
        <f aca="false">D45</f>
        <v>Dummy 3</v>
      </c>
      <c r="E89" s="186"/>
      <c r="F89" s="57" t="str">
        <f aca="false">IFERROR(F45/F$15,"n/a")</f>
        <v>n/a</v>
      </c>
      <c r="G89" s="57" t="str">
        <f aca="false">IFERROR(G45/G$15,"n/a")</f>
        <v>n/a</v>
      </c>
      <c r="H89" s="57" t="str">
        <f aca="false">IFERROR(H45/H$15,"n/a")</f>
        <v>n/a</v>
      </c>
      <c r="I89" s="57" t="str">
        <f aca="false">IFERROR(I45/I$15,"n/a")</f>
        <v>n/a</v>
      </c>
      <c r="J89" s="57" t="str">
        <f aca="false">IFERROR(J45/J$15,"n/a")</f>
        <v>n/a</v>
      </c>
      <c r="K89" s="57" t="str">
        <f aca="false">IFERROR(K45/K$15,"n/a")</f>
        <v>n/a</v>
      </c>
      <c r="L89" s="57" t="str">
        <f aca="false">IFERROR(L45/L$15,"n/a")</f>
        <v>n/a</v>
      </c>
      <c r="M89" s="57" t="str">
        <f aca="false">IFERROR(M45/M$15,"n/a")</f>
        <v>n/a</v>
      </c>
      <c r="N89" s="57" t="str">
        <f aca="false">IFERROR(N45/N$15,"n/a")</f>
        <v>n/a</v>
      </c>
      <c r="O89" s="57" t="str">
        <f aca="false">IFERROR(O45/O$15,"n/a")</f>
        <v>n/a</v>
      </c>
      <c r="P89" s="57" t="str">
        <f aca="false">IFERROR(P45/P$15,"n/a")</f>
        <v>n/a</v>
      </c>
      <c r="Q89" s="57" t="str">
        <f aca="false">IFERROR(Q45/Q$15,"n/a")</f>
        <v>n/a</v>
      </c>
      <c r="R89" s="57" t="str">
        <f aca="false">IFERROR(R45/R$15,"n/a")</f>
        <v>n/a</v>
      </c>
      <c r="S89" s="57" t="str">
        <f aca="false">IFERROR(S45/S$15,"n/a")</f>
        <v>n/a</v>
      </c>
      <c r="T89" s="57" t="str">
        <f aca="false">IFERROR(T45/T$15,"n/a")</f>
        <v>n/a</v>
      </c>
      <c r="U89" s="57" t="str">
        <f aca="false">IFERROR(U45/U$15,"n/a")</f>
        <v>n/a</v>
      </c>
      <c r="V89" s="57" t="str">
        <f aca="false">IFERROR(V45/V$15,"n/a")</f>
        <v>n/a</v>
      </c>
      <c r="W89" s="57" t="str">
        <f aca="false">IFERROR(W45/W$15,"n/a")</f>
        <v>n/a</v>
      </c>
      <c r="X89" s="57" t="str">
        <f aca="false">IFERROR(X45/X$15,"n/a")</f>
        <v>n/a</v>
      </c>
      <c r="Y89" s="57" t="str">
        <f aca="false">IFERROR(Y45/Y$15,"n/a")</f>
        <v>n/a</v>
      </c>
      <c r="Z89" s="57" t="str">
        <f aca="false">IFERROR(Z45/Z$15,"n/a")</f>
        <v>n/a</v>
      </c>
      <c r="AA89" s="57" t="str">
        <f aca="false">IFERROR(AA45/AA$15,"n/a")</f>
        <v>n/a</v>
      </c>
      <c r="AB89" s="57" t="str">
        <f aca="false">IFERROR(AB45/AB$15,"n/a")</f>
        <v>n/a</v>
      </c>
      <c r="AC89" s="57" t="str">
        <f aca="false">IFERROR(AC45/AC$15,"n/a")</f>
        <v>n/a</v>
      </c>
      <c r="AD89" s="57" t="str">
        <f aca="false">IFERROR(AD45/AD$15,"n/a")</f>
        <v>n/a</v>
      </c>
      <c r="AE89" s="57" t="str">
        <f aca="false">IFERROR(AE45/AE$15,"n/a")</f>
        <v>n/a</v>
      </c>
      <c r="AF89" s="57" t="str">
        <f aca="false">IFERROR(AF45/AF$15,"n/a")</f>
        <v>n/a</v>
      </c>
      <c r="AG89" s="57" t="str">
        <f aca="false">IFERROR(AG45/AG$15,"n/a")</f>
        <v>n/a</v>
      </c>
      <c r="AH89" s="57" t="str">
        <f aca="false">IFERROR(AH45/AH$15,"n/a")</f>
        <v>n/a</v>
      </c>
      <c r="AI89" s="57" t="str">
        <f aca="false">IFERROR(AI45/AI$15,"n/a")</f>
        <v>n/a</v>
      </c>
      <c r="AJ89" s="57" t="str">
        <f aca="false">IFERROR(AJ45/AJ$15,"n/a")</f>
        <v>n/a</v>
      </c>
      <c r="AK89" s="57" t="str">
        <f aca="false">IFERROR(AK45/AK$15,"n/a")</f>
        <v>n/a</v>
      </c>
      <c r="AL89" s="57" t="str">
        <f aca="false">IFERROR(AL45/AL$15,"n/a")</f>
        <v>n/a</v>
      </c>
      <c r="AM89" s="57" t="str">
        <f aca="false">IFERROR(AM45/AM$15,"n/a")</f>
        <v>n/a</v>
      </c>
      <c r="AN89" s="57" t="str">
        <f aca="false">IFERROR(AN45/AN$15,"n/a")</f>
        <v>n/a</v>
      </c>
      <c r="AO89" s="57" t="str">
        <f aca="false">IFERROR(AO45/AO$15,"n/a")</f>
        <v>n/a</v>
      </c>
      <c r="AP89" s="57" t="str">
        <f aca="false">IFERROR(AP45/AP$15,"n/a")</f>
        <v>n/a</v>
      </c>
      <c r="AQ89" s="57" t="str">
        <f aca="false">IFERROR(AQ45/AQ$15,"n/a")</f>
        <v>n/a</v>
      </c>
      <c r="AR89" s="57" t="str">
        <f aca="false">IFERROR(AR45/AR$15,"n/a")</f>
        <v>n/a</v>
      </c>
      <c r="AS89" s="57" t="str">
        <f aca="false">IFERROR(AS45/AS$15,"n/a")</f>
        <v>n/a</v>
      </c>
      <c r="AT89" s="57" t="str">
        <f aca="false">IFERROR(AT45/AT$15,"n/a")</f>
        <v>n/a</v>
      </c>
      <c r="AU89" s="403" t="str">
        <f aca="false">IFERROR(AU45/AU$15,"n/a")</f>
        <v>n/a</v>
      </c>
      <c r="AV89" s="403" t="str">
        <f aca="false">IFERROR(AV45/AV$15,"n/a")</f>
        <v>n/a</v>
      </c>
      <c r="AW89" s="403" t="str">
        <f aca="false">IFERROR(AW45/AW$15,"n/a")</f>
        <v>n/a</v>
      </c>
      <c r="AX89" s="403" t="str">
        <f aca="false">IFERROR(AX45/AX$15,"n/a")</f>
        <v>n/a</v>
      </c>
      <c r="AY89" s="403" t="str">
        <f aca="false">IFERROR(AY45/AY$15,"n/a")</f>
        <v>n/a</v>
      </c>
      <c r="AZ89" s="403" t="str">
        <f aca="false">IFERROR(AZ45/AZ$15,"n/a")</f>
        <v>n/a</v>
      </c>
      <c r="BA89" s="403" t="str">
        <f aca="false">IFERROR(BA45/BA$15,"n/a")</f>
        <v>n/a</v>
      </c>
      <c r="BB89" s="403" t="str">
        <f aca="false">IFERROR(BB45/BB$15,"n/a")</f>
        <v>n/a</v>
      </c>
      <c r="BC89" s="403" t="str">
        <f aca="false">IFERROR(BC45/BC$15,"n/a")</f>
        <v>n/a</v>
      </c>
      <c r="BD89" s="403" t="str">
        <f aca="false">IFERROR(BD45/BD$15,"n/a")</f>
        <v>n/a</v>
      </c>
      <c r="BE89" s="403" t="str">
        <f aca="false">IFERROR(BE45/BE$15,"n/a")</f>
        <v>n/a</v>
      </c>
      <c r="BF89" s="403" t="str">
        <f aca="false">IFERROR(BF45/BF$15,"n/a")</f>
        <v>n/a</v>
      </c>
      <c r="BG89" s="403" t="str">
        <f aca="false">IFERROR(BG45/BG$15,"n/a")</f>
        <v>n/a</v>
      </c>
      <c r="BH89" s="403" t="str">
        <f aca="false">IFERROR(BH45/BH$15,"n/a")</f>
        <v>n/a</v>
      </c>
      <c r="BI89" s="403" t="str">
        <f aca="false">IFERROR(BI45/BI$15,"n/a")</f>
        <v>n/a</v>
      </c>
      <c r="BJ89" s="403" t="str">
        <f aca="false">IFERROR(BJ45/BJ$15,"n/a")</f>
        <v>n/a</v>
      </c>
      <c r="BK89" s="403" t="str">
        <f aca="false">IFERROR(BK45/BK$15,"n/a")</f>
        <v>n/a</v>
      </c>
      <c r="BL89" s="403" t="str">
        <f aca="false">IFERROR(BL45/BL$15,"n/a")</f>
        <v>n/a</v>
      </c>
      <c r="BM89" s="403" t="str">
        <f aca="false">IFERROR(BM45/BM$15,"n/a")</f>
        <v>n/a</v>
      </c>
      <c r="BN89" s="403" t="str">
        <f aca="false">IFERROR(BN45/BN$15,"n/a")</f>
        <v>n/a</v>
      </c>
      <c r="BO89" s="403" t="str">
        <f aca="false">IFERROR(BO45/BO$15,"n/a")</f>
        <v>n/a</v>
      </c>
      <c r="BP89" s="403" t="str">
        <f aca="false">IFERROR(BP45/BP$15,"n/a")</f>
        <v>n/a</v>
      </c>
      <c r="BQ89" s="403" t="str">
        <f aca="false">IFERROR(BQ45/BQ$15,"n/a")</f>
        <v>n/a</v>
      </c>
      <c r="BR89" s="403" t="str">
        <f aca="false">IFERROR(BR45/BR$15,"n/a")</f>
        <v>n/a</v>
      </c>
      <c r="BS89" s="403" t="str">
        <f aca="false">IFERROR(BS45/BS$15,"n/a")</f>
        <v>n/a</v>
      </c>
      <c r="BT89" s="403" t="str">
        <f aca="false">IFERROR(BT45/BT$15,"n/a")</f>
        <v>n/a</v>
      </c>
      <c r="BU89" s="403" t="str">
        <f aca="false">IFERROR(BU45/BU$15,"n/a")</f>
        <v>n/a</v>
      </c>
      <c r="BV89" s="403" t="str">
        <f aca="false">IFERROR(BV45/BV$15,"n/a")</f>
        <v>n/a</v>
      </c>
      <c r="BW89" s="403" t="str">
        <f aca="false">IFERROR(BW45/BW$15,"n/a")</f>
        <v>n/a</v>
      </c>
      <c r="BX89" s="403" t="str">
        <f aca="false">IFERROR(BX45/BX$15,"n/a")</f>
        <v>n/a</v>
      </c>
      <c r="BY89" s="403" t="str">
        <f aca="false">IFERROR(BY45/BY$15,"n/a")</f>
        <v>n/a</v>
      </c>
      <c r="BZ89" s="403" t="str">
        <f aca="false">IFERROR(BZ45/BZ$15,"n/a")</f>
        <v>n/a</v>
      </c>
      <c r="CA89" s="403" t="str">
        <f aca="false">IFERROR(CA45/CA$15,"n/a")</f>
        <v>n/a</v>
      </c>
      <c r="CB89" s="403" t="str">
        <f aca="false">IFERROR(CB45/CB$15,"n/a")</f>
        <v>n/a</v>
      </c>
      <c r="CC89" s="403" t="str">
        <f aca="false">IFERROR(CC45/CC$15,"n/a")</f>
        <v>n/a</v>
      </c>
      <c r="CD89" s="403" t="str">
        <f aca="false">IFERROR(CD45/CD$15,"n/a")</f>
        <v>n/a</v>
      </c>
      <c r="CE89" s="403" t="str">
        <f aca="false">IFERROR(CE45/CE$15,"n/a")</f>
        <v>n/a</v>
      </c>
      <c r="CF89" s="403" t="str">
        <f aca="false">IFERROR(CF45/CF$15,"n/a")</f>
        <v>n/a</v>
      </c>
      <c r="CG89" s="403" t="str">
        <f aca="false">IFERROR(CG45/CG$15,"n/a")</f>
        <v>n/a</v>
      </c>
      <c r="CH89" s="403" t="str">
        <f aca="false">IFERROR(CH45/CH$15,"n/a")</f>
        <v>n/a</v>
      </c>
      <c r="CI89" s="403" t="str">
        <f aca="false">IFERROR(CI45/CI$15,"n/a")</f>
        <v>n/a</v>
      </c>
      <c r="CJ89" s="403" t="str">
        <f aca="false">IFERROR(CJ45/CJ$15,"n/a")</f>
        <v>n/a</v>
      </c>
      <c r="CK89" s="403" t="str">
        <f aca="false">IFERROR(CK45/CK$15,"n/a")</f>
        <v>n/a</v>
      </c>
    </row>
    <row r="90" s="143" customFormat="true" ht="11.25" hidden="false" customHeight="true" outlineLevel="0" collapsed="false">
      <c r="C90" s="51" t="str">
        <f aca="false">C46</f>
        <v>Finanzergebnis</v>
      </c>
      <c r="D90" s="51" t="str">
        <f aca="false">D46</f>
        <v>Financial result</v>
      </c>
      <c r="E90" s="51"/>
      <c r="F90" s="57" t="str">
        <f aca="false">IFERROR(F46/F$15,"n/a")</f>
        <v>n/a</v>
      </c>
      <c r="G90" s="57" t="str">
        <f aca="false">IFERROR(G46/G$15,"n/a")</f>
        <v>n/a</v>
      </c>
      <c r="H90" s="57" t="str">
        <f aca="false">IFERROR(H46/H$15,"n/a")</f>
        <v>n/a</v>
      </c>
      <c r="I90" s="57" t="str">
        <f aca="false">IFERROR(I46/I$15,"n/a")</f>
        <v>n/a</v>
      </c>
      <c r="J90" s="57" t="str">
        <f aca="false">IFERROR(J46/J$15,"n/a")</f>
        <v>n/a</v>
      </c>
      <c r="K90" s="57" t="str">
        <f aca="false">IFERROR(K46/K$15,"n/a")</f>
        <v>n/a</v>
      </c>
      <c r="L90" s="57" t="str">
        <f aca="false">IFERROR(L46/L$15,"n/a")</f>
        <v>n/a</v>
      </c>
      <c r="M90" s="57" t="str">
        <f aca="false">IFERROR(M46/M$15,"n/a")</f>
        <v>n/a</v>
      </c>
      <c r="N90" s="57" t="str">
        <f aca="false">IFERROR(N46/N$15,"n/a")</f>
        <v>n/a</v>
      </c>
      <c r="O90" s="57" t="str">
        <f aca="false">IFERROR(O46/O$15,"n/a")</f>
        <v>n/a</v>
      </c>
      <c r="P90" s="57" t="str">
        <f aca="false">IFERROR(P46/P$15,"n/a")</f>
        <v>n/a</v>
      </c>
      <c r="Q90" s="57" t="str">
        <f aca="false">IFERROR(Q46/Q$15,"n/a")</f>
        <v>n/a</v>
      </c>
      <c r="R90" s="57" t="str">
        <f aca="false">IFERROR(R46/R$15,"n/a")</f>
        <v>n/a</v>
      </c>
      <c r="S90" s="57" t="str">
        <f aca="false">IFERROR(S46/S$15,"n/a")</f>
        <v>n/a</v>
      </c>
      <c r="T90" s="57" t="str">
        <f aca="false">IFERROR(T46/T$15,"n/a")</f>
        <v>n/a</v>
      </c>
      <c r="U90" s="57" t="str">
        <f aca="false">IFERROR(U46/U$15,"n/a")</f>
        <v>n/a</v>
      </c>
      <c r="V90" s="57" t="str">
        <f aca="false">IFERROR(V46/V$15,"n/a")</f>
        <v>n/a</v>
      </c>
      <c r="W90" s="57" t="str">
        <f aca="false">IFERROR(W46/W$15,"n/a")</f>
        <v>n/a</v>
      </c>
      <c r="X90" s="57" t="str">
        <f aca="false">IFERROR(X46/X$15,"n/a")</f>
        <v>n/a</v>
      </c>
      <c r="Y90" s="57" t="str">
        <f aca="false">IFERROR(Y46/Y$15,"n/a")</f>
        <v>n/a</v>
      </c>
      <c r="Z90" s="57" t="str">
        <f aca="false">IFERROR(Z46/Z$15,"n/a")</f>
        <v>n/a</v>
      </c>
      <c r="AA90" s="57" t="str">
        <f aca="false">IFERROR(AA46/AA$15,"n/a")</f>
        <v>n/a</v>
      </c>
      <c r="AB90" s="57" t="str">
        <f aca="false">IFERROR(AB46/AB$15,"n/a")</f>
        <v>n/a</v>
      </c>
      <c r="AC90" s="57" t="str">
        <f aca="false">IFERROR(AC46/AC$15,"n/a")</f>
        <v>n/a</v>
      </c>
      <c r="AD90" s="57" t="str">
        <f aca="false">IFERROR(AD46/AD$15,"n/a")</f>
        <v>n/a</v>
      </c>
      <c r="AE90" s="57" t="str">
        <f aca="false">IFERROR(AE46/AE$15,"n/a")</f>
        <v>n/a</v>
      </c>
      <c r="AF90" s="57" t="str">
        <f aca="false">IFERROR(AF46/AF$15,"n/a")</f>
        <v>n/a</v>
      </c>
      <c r="AG90" s="57" t="str">
        <f aca="false">IFERROR(AG46/AG$15,"n/a")</f>
        <v>n/a</v>
      </c>
      <c r="AH90" s="57" t="str">
        <f aca="false">IFERROR(AH46/AH$15,"n/a")</f>
        <v>n/a</v>
      </c>
      <c r="AI90" s="57" t="str">
        <f aca="false">IFERROR(AI46/AI$15,"n/a")</f>
        <v>n/a</v>
      </c>
      <c r="AJ90" s="57" t="str">
        <f aca="false">IFERROR(AJ46/AJ$15,"n/a")</f>
        <v>n/a</v>
      </c>
      <c r="AK90" s="57" t="str">
        <f aca="false">IFERROR(AK46/AK$15,"n/a")</f>
        <v>n/a</v>
      </c>
      <c r="AL90" s="57" t="str">
        <f aca="false">IFERROR(AL46/AL$15,"n/a")</f>
        <v>n/a</v>
      </c>
      <c r="AM90" s="57" t="str">
        <f aca="false">IFERROR(AM46/AM$15,"n/a")</f>
        <v>n/a</v>
      </c>
      <c r="AN90" s="57" t="str">
        <f aca="false">IFERROR(AN46/AN$15,"n/a")</f>
        <v>n/a</v>
      </c>
      <c r="AO90" s="57" t="str">
        <f aca="false">IFERROR(AO46/AO$15,"n/a")</f>
        <v>n/a</v>
      </c>
      <c r="AP90" s="57" t="str">
        <f aca="false">IFERROR(AP46/AP$15,"n/a")</f>
        <v>n/a</v>
      </c>
      <c r="AQ90" s="57" t="str">
        <f aca="false">IFERROR(AQ46/AQ$15,"n/a")</f>
        <v>n/a</v>
      </c>
      <c r="AR90" s="57" t="str">
        <f aca="false">IFERROR(AR46/AR$15,"n/a")</f>
        <v>n/a</v>
      </c>
      <c r="AS90" s="57" t="str">
        <f aca="false">IFERROR(AS46/AS$15,"n/a")</f>
        <v>n/a</v>
      </c>
      <c r="AT90" s="57" t="str">
        <f aca="false">IFERROR(AT46/AT$15,"n/a")</f>
        <v>n/a</v>
      </c>
      <c r="AU90" s="403" t="str">
        <f aca="false">IFERROR(AU46/AU$15,"n/a")</f>
        <v>n/a</v>
      </c>
      <c r="AV90" s="403" t="str">
        <f aca="false">IFERROR(AV46/AV$15,"n/a")</f>
        <v>n/a</v>
      </c>
      <c r="AW90" s="403" t="str">
        <f aca="false">IFERROR(AW46/AW$15,"n/a")</f>
        <v>n/a</v>
      </c>
      <c r="AX90" s="403" t="str">
        <f aca="false">IFERROR(AX46/AX$15,"n/a")</f>
        <v>n/a</v>
      </c>
      <c r="AY90" s="403" t="str">
        <f aca="false">IFERROR(AY46/AY$15,"n/a")</f>
        <v>n/a</v>
      </c>
      <c r="AZ90" s="403" t="str">
        <f aca="false">IFERROR(AZ46/AZ$15,"n/a")</f>
        <v>n/a</v>
      </c>
      <c r="BA90" s="403" t="str">
        <f aca="false">IFERROR(BA46/BA$15,"n/a")</f>
        <v>n/a</v>
      </c>
      <c r="BB90" s="403" t="str">
        <f aca="false">IFERROR(BB46/BB$15,"n/a")</f>
        <v>n/a</v>
      </c>
      <c r="BC90" s="403" t="str">
        <f aca="false">IFERROR(BC46/BC$15,"n/a")</f>
        <v>n/a</v>
      </c>
      <c r="BD90" s="403" t="str">
        <f aca="false">IFERROR(BD46/BD$15,"n/a")</f>
        <v>n/a</v>
      </c>
      <c r="BE90" s="403" t="str">
        <f aca="false">IFERROR(BE46/BE$15,"n/a")</f>
        <v>n/a</v>
      </c>
      <c r="BF90" s="403" t="str">
        <f aca="false">IFERROR(BF46/BF$15,"n/a")</f>
        <v>n/a</v>
      </c>
      <c r="BG90" s="403" t="str">
        <f aca="false">IFERROR(BG46/BG$15,"n/a")</f>
        <v>n/a</v>
      </c>
      <c r="BH90" s="403" t="str">
        <f aca="false">IFERROR(BH46/BH$15,"n/a")</f>
        <v>n/a</v>
      </c>
      <c r="BI90" s="403" t="str">
        <f aca="false">IFERROR(BI46/BI$15,"n/a")</f>
        <v>n/a</v>
      </c>
      <c r="BJ90" s="403" t="str">
        <f aca="false">IFERROR(BJ46/BJ$15,"n/a")</f>
        <v>n/a</v>
      </c>
      <c r="BK90" s="403" t="str">
        <f aca="false">IFERROR(BK46/BK$15,"n/a")</f>
        <v>n/a</v>
      </c>
      <c r="BL90" s="403" t="str">
        <f aca="false">IFERROR(BL46/BL$15,"n/a")</f>
        <v>n/a</v>
      </c>
      <c r="BM90" s="403" t="str">
        <f aca="false">IFERROR(BM46/BM$15,"n/a")</f>
        <v>n/a</v>
      </c>
      <c r="BN90" s="403" t="str">
        <f aca="false">IFERROR(BN46/BN$15,"n/a")</f>
        <v>n/a</v>
      </c>
      <c r="BO90" s="403" t="str">
        <f aca="false">IFERROR(BO46/BO$15,"n/a")</f>
        <v>n/a</v>
      </c>
      <c r="BP90" s="403" t="str">
        <f aca="false">IFERROR(BP46/BP$15,"n/a")</f>
        <v>n/a</v>
      </c>
      <c r="BQ90" s="403" t="str">
        <f aca="false">IFERROR(BQ46/BQ$15,"n/a")</f>
        <v>n/a</v>
      </c>
      <c r="BR90" s="403" t="str">
        <f aca="false">IFERROR(BR46/BR$15,"n/a")</f>
        <v>n/a</v>
      </c>
      <c r="BS90" s="403" t="str">
        <f aca="false">IFERROR(BS46/BS$15,"n/a")</f>
        <v>n/a</v>
      </c>
      <c r="BT90" s="403" t="str">
        <f aca="false">IFERROR(BT46/BT$15,"n/a")</f>
        <v>n/a</v>
      </c>
      <c r="BU90" s="403" t="str">
        <f aca="false">IFERROR(BU46/BU$15,"n/a")</f>
        <v>n/a</v>
      </c>
      <c r="BV90" s="403" t="str">
        <f aca="false">IFERROR(BV46/BV$15,"n/a")</f>
        <v>n/a</v>
      </c>
      <c r="BW90" s="403" t="str">
        <f aca="false">IFERROR(BW46/BW$15,"n/a")</f>
        <v>n/a</v>
      </c>
      <c r="BX90" s="403" t="str">
        <f aca="false">IFERROR(BX46/BX$15,"n/a")</f>
        <v>n/a</v>
      </c>
      <c r="BY90" s="403" t="str">
        <f aca="false">IFERROR(BY46/BY$15,"n/a")</f>
        <v>n/a</v>
      </c>
      <c r="BZ90" s="403" t="str">
        <f aca="false">IFERROR(BZ46/BZ$15,"n/a")</f>
        <v>n/a</v>
      </c>
      <c r="CA90" s="403" t="str">
        <f aca="false">IFERROR(CA46/CA$15,"n/a")</f>
        <v>n/a</v>
      </c>
      <c r="CB90" s="403" t="str">
        <f aca="false">IFERROR(CB46/CB$15,"n/a")</f>
        <v>n/a</v>
      </c>
      <c r="CC90" s="403" t="str">
        <f aca="false">IFERROR(CC46/CC$15,"n/a")</f>
        <v>n/a</v>
      </c>
      <c r="CD90" s="403" t="str">
        <f aca="false">IFERROR(CD46/CD$15,"n/a")</f>
        <v>n/a</v>
      </c>
      <c r="CE90" s="403" t="str">
        <f aca="false">IFERROR(CE46/CE$15,"n/a")</f>
        <v>n/a</v>
      </c>
      <c r="CF90" s="403" t="str">
        <f aca="false">IFERROR(CF46/CF$15,"n/a")</f>
        <v>n/a</v>
      </c>
      <c r="CG90" s="403" t="str">
        <f aca="false">IFERROR(CG46/CG$15,"n/a")</f>
        <v>n/a</v>
      </c>
      <c r="CH90" s="403" t="str">
        <f aca="false">IFERROR(CH46/CH$15,"n/a")</f>
        <v>n/a</v>
      </c>
      <c r="CI90" s="403" t="str">
        <f aca="false">IFERROR(CI46/CI$15,"n/a")</f>
        <v>n/a</v>
      </c>
      <c r="CJ90" s="403" t="str">
        <f aca="false">IFERROR(CJ46/CJ$15,"n/a")</f>
        <v>n/a</v>
      </c>
      <c r="CK90" s="403" t="str">
        <f aca="false">IFERROR(CK46/CK$15,"n/a")</f>
        <v>n/a</v>
      </c>
    </row>
    <row r="91" s="143" customFormat="true" ht="11.25" hidden="false" customHeight="true" outlineLevel="0" collapsed="false">
      <c r="C91" s="132" t="str">
        <f aca="false">C47</f>
        <v>EBT</v>
      </c>
      <c r="D91" s="132" t="str">
        <f aca="false">D47</f>
        <v>EBT</v>
      </c>
      <c r="E91" s="132"/>
      <c r="F91" s="144" t="str">
        <f aca="false">IFERROR(F47/F$15,"n/a")</f>
        <v>n/a</v>
      </c>
      <c r="G91" s="144" t="str">
        <f aca="false">IFERROR(G47/G$15,"n/a")</f>
        <v>n/a</v>
      </c>
      <c r="H91" s="144" t="str">
        <f aca="false">IFERROR(H47/H$15,"n/a")</f>
        <v>n/a</v>
      </c>
      <c r="I91" s="144" t="str">
        <f aca="false">IFERROR(I47/I$15,"n/a")</f>
        <v>n/a</v>
      </c>
      <c r="J91" s="144" t="str">
        <f aca="false">IFERROR(J47/J$15,"n/a")</f>
        <v>n/a</v>
      </c>
      <c r="K91" s="144" t="str">
        <f aca="false">IFERROR(K47/K$15,"n/a")</f>
        <v>n/a</v>
      </c>
      <c r="L91" s="144" t="str">
        <f aca="false">IFERROR(L47/L$15,"n/a")</f>
        <v>n/a</v>
      </c>
      <c r="M91" s="144" t="str">
        <f aca="false">IFERROR(M47/M$15,"n/a")</f>
        <v>n/a</v>
      </c>
      <c r="N91" s="144" t="str">
        <f aca="false">IFERROR(N47/N$15,"n/a")</f>
        <v>n/a</v>
      </c>
      <c r="O91" s="144" t="str">
        <f aca="false">IFERROR(O47/O$15,"n/a")</f>
        <v>n/a</v>
      </c>
      <c r="P91" s="144" t="str">
        <f aca="false">IFERROR(P47/P$15,"n/a")</f>
        <v>n/a</v>
      </c>
      <c r="Q91" s="144" t="str">
        <f aca="false">IFERROR(Q47/Q$15,"n/a")</f>
        <v>n/a</v>
      </c>
      <c r="R91" s="144" t="str">
        <f aca="false">IFERROR(R47/R$15,"n/a")</f>
        <v>n/a</v>
      </c>
      <c r="S91" s="144" t="str">
        <f aca="false">IFERROR(S47/S$15,"n/a")</f>
        <v>n/a</v>
      </c>
      <c r="T91" s="144" t="str">
        <f aca="false">IFERROR(T47/T$15,"n/a")</f>
        <v>n/a</v>
      </c>
      <c r="U91" s="144" t="str">
        <f aca="false">IFERROR(U47/U$15,"n/a")</f>
        <v>n/a</v>
      </c>
      <c r="V91" s="144" t="str">
        <f aca="false">IFERROR(V47/V$15,"n/a")</f>
        <v>n/a</v>
      </c>
      <c r="W91" s="144" t="str">
        <f aca="false">IFERROR(W47/W$15,"n/a")</f>
        <v>n/a</v>
      </c>
      <c r="X91" s="144" t="str">
        <f aca="false">IFERROR(X47/X$15,"n/a")</f>
        <v>n/a</v>
      </c>
      <c r="Y91" s="144" t="str">
        <f aca="false">IFERROR(Y47/Y$15,"n/a")</f>
        <v>n/a</v>
      </c>
      <c r="Z91" s="144" t="str">
        <f aca="false">IFERROR(Z47/Z$15,"n/a")</f>
        <v>n/a</v>
      </c>
      <c r="AA91" s="144" t="str">
        <f aca="false">IFERROR(AA47/AA$15,"n/a")</f>
        <v>n/a</v>
      </c>
      <c r="AB91" s="144" t="str">
        <f aca="false">IFERROR(AB47/AB$15,"n/a")</f>
        <v>n/a</v>
      </c>
      <c r="AC91" s="144" t="str">
        <f aca="false">IFERROR(AC47/AC$15,"n/a")</f>
        <v>n/a</v>
      </c>
      <c r="AD91" s="144" t="str">
        <f aca="false">IFERROR(AD47/AD$15,"n/a")</f>
        <v>n/a</v>
      </c>
      <c r="AE91" s="144" t="str">
        <f aca="false">IFERROR(AE47/AE$15,"n/a")</f>
        <v>n/a</v>
      </c>
      <c r="AF91" s="144" t="str">
        <f aca="false">IFERROR(AF47/AF$15,"n/a")</f>
        <v>n/a</v>
      </c>
      <c r="AG91" s="144" t="str">
        <f aca="false">IFERROR(AG47/AG$15,"n/a")</f>
        <v>n/a</v>
      </c>
      <c r="AH91" s="144" t="str">
        <f aca="false">IFERROR(AH47/AH$15,"n/a")</f>
        <v>n/a</v>
      </c>
      <c r="AI91" s="144" t="str">
        <f aca="false">IFERROR(AI47/AI$15,"n/a")</f>
        <v>n/a</v>
      </c>
      <c r="AJ91" s="144" t="str">
        <f aca="false">IFERROR(AJ47/AJ$15,"n/a")</f>
        <v>n/a</v>
      </c>
      <c r="AK91" s="144" t="str">
        <f aca="false">IFERROR(AK47/AK$15,"n/a")</f>
        <v>n/a</v>
      </c>
      <c r="AL91" s="144" t="str">
        <f aca="false">IFERROR(AL47/AL$15,"n/a")</f>
        <v>n/a</v>
      </c>
      <c r="AM91" s="144" t="str">
        <f aca="false">IFERROR(AM47/AM$15,"n/a")</f>
        <v>n/a</v>
      </c>
      <c r="AN91" s="144" t="str">
        <f aca="false">IFERROR(AN47/AN$15,"n/a")</f>
        <v>n/a</v>
      </c>
      <c r="AO91" s="144" t="str">
        <f aca="false">IFERROR(AO47/AO$15,"n/a")</f>
        <v>n/a</v>
      </c>
      <c r="AP91" s="144" t="str">
        <f aca="false">IFERROR(AP47/AP$15,"n/a")</f>
        <v>n/a</v>
      </c>
      <c r="AQ91" s="144" t="str">
        <f aca="false">IFERROR(AQ47/AQ$15,"n/a")</f>
        <v>n/a</v>
      </c>
      <c r="AR91" s="144" t="str">
        <f aca="false">IFERROR(AR47/AR$15,"n/a")</f>
        <v>n/a</v>
      </c>
      <c r="AS91" s="144" t="str">
        <f aca="false">IFERROR(AS47/AS$15,"n/a")</f>
        <v>n/a</v>
      </c>
      <c r="AT91" s="144" t="str">
        <f aca="false">IFERROR(AT47/AT$15,"n/a")</f>
        <v>n/a</v>
      </c>
      <c r="AU91" s="404" t="str">
        <f aca="false">IFERROR(AU47/AU$15,"n/a")</f>
        <v>n/a</v>
      </c>
      <c r="AV91" s="404" t="str">
        <f aca="false">IFERROR(AV47/AV$15,"n/a")</f>
        <v>n/a</v>
      </c>
      <c r="AW91" s="404" t="str">
        <f aca="false">IFERROR(AW47/AW$15,"n/a")</f>
        <v>n/a</v>
      </c>
      <c r="AX91" s="404" t="str">
        <f aca="false">IFERROR(AX47/AX$15,"n/a")</f>
        <v>n/a</v>
      </c>
      <c r="AY91" s="404" t="str">
        <f aca="false">IFERROR(AY47/AY$15,"n/a")</f>
        <v>n/a</v>
      </c>
      <c r="AZ91" s="404" t="str">
        <f aca="false">IFERROR(AZ47/AZ$15,"n/a")</f>
        <v>n/a</v>
      </c>
      <c r="BA91" s="404" t="str">
        <f aca="false">IFERROR(BA47/BA$15,"n/a")</f>
        <v>n/a</v>
      </c>
      <c r="BB91" s="404" t="str">
        <f aca="false">IFERROR(BB47/BB$15,"n/a")</f>
        <v>n/a</v>
      </c>
      <c r="BC91" s="404" t="str">
        <f aca="false">IFERROR(BC47/BC$15,"n/a")</f>
        <v>n/a</v>
      </c>
      <c r="BD91" s="404" t="str">
        <f aca="false">IFERROR(BD47/BD$15,"n/a")</f>
        <v>n/a</v>
      </c>
      <c r="BE91" s="404" t="str">
        <f aca="false">IFERROR(BE47/BE$15,"n/a")</f>
        <v>n/a</v>
      </c>
      <c r="BF91" s="404" t="str">
        <f aca="false">IFERROR(BF47/BF$15,"n/a")</f>
        <v>n/a</v>
      </c>
      <c r="BG91" s="404" t="str">
        <f aca="false">IFERROR(BG47/BG$15,"n/a")</f>
        <v>n/a</v>
      </c>
      <c r="BH91" s="404" t="str">
        <f aca="false">IFERROR(BH47/BH$15,"n/a")</f>
        <v>n/a</v>
      </c>
      <c r="BI91" s="404" t="str">
        <f aca="false">IFERROR(BI47/BI$15,"n/a")</f>
        <v>n/a</v>
      </c>
      <c r="BJ91" s="404" t="str">
        <f aca="false">IFERROR(BJ47/BJ$15,"n/a")</f>
        <v>n/a</v>
      </c>
      <c r="BK91" s="404" t="str">
        <f aca="false">IFERROR(BK47/BK$15,"n/a")</f>
        <v>n/a</v>
      </c>
      <c r="BL91" s="404" t="str">
        <f aca="false">IFERROR(BL47/BL$15,"n/a")</f>
        <v>n/a</v>
      </c>
      <c r="BM91" s="404" t="str">
        <f aca="false">IFERROR(BM47/BM$15,"n/a")</f>
        <v>n/a</v>
      </c>
      <c r="BN91" s="404" t="str">
        <f aca="false">IFERROR(BN47/BN$15,"n/a")</f>
        <v>n/a</v>
      </c>
      <c r="BO91" s="404" t="str">
        <f aca="false">IFERROR(BO47/BO$15,"n/a")</f>
        <v>n/a</v>
      </c>
      <c r="BP91" s="404" t="str">
        <f aca="false">IFERROR(BP47/BP$15,"n/a")</f>
        <v>n/a</v>
      </c>
      <c r="BQ91" s="404" t="str">
        <f aca="false">IFERROR(BQ47/BQ$15,"n/a")</f>
        <v>n/a</v>
      </c>
      <c r="BR91" s="404" t="str">
        <f aca="false">IFERROR(BR47/BR$15,"n/a")</f>
        <v>n/a</v>
      </c>
      <c r="BS91" s="404" t="str">
        <f aca="false">IFERROR(BS47/BS$15,"n/a")</f>
        <v>n/a</v>
      </c>
      <c r="BT91" s="404" t="str">
        <f aca="false">IFERROR(BT47/BT$15,"n/a")</f>
        <v>n/a</v>
      </c>
      <c r="BU91" s="404" t="str">
        <f aca="false">IFERROR(BU47/BU$15,"n/a")</f>
        <v>n/a</v>
      </c>
      <c r="BV91" s="404" t="str">
        <f aca="false">IFERROR(BV47/BV$15,"n/a")</f>
        <v>n/a</v>
      </c>
      <c r="BW91" s="404" t="str">
        <f aca="false">IFERROR(BW47/BW$15,"n/a")</f>
        <v>n/a</v>
      </c>
      <c r="BX91" s="404" t="str">
        <f aca="false">IFERROR(BX47/BX$15,"n/a")</f>
        <v>n/a</v>
      </c>
      <c r="BY91" s="404" t="str">
        <f aca="false">IFERROR(BY47/BY$15,"n/a")</f>
        <v>n/a</v>
      </c>
      <c r="BZ91" s="404" t="str">
        <f aca="false">IFERROR(BZ47/BZ$15,"n/a")</f>
        <v>n/a</v>
      </c>
      <c r="CA91" s="404" t="str">
        <f aca="false">IFERROR(CA47/CA$15,"n/a")</f>
        <v>n/a</v>
      </c>
      <c r="CB91" s="404" t="str">
        <f aca="false">IFERROR(CB47/CB$15,"n/a")</f>
        <v>n/a</v>
      </c>
      <c r="CC91" s="404" t="str">
        <f aca="false">IFERROR(CC47/CC$15,"n/a")</f>
        <v>n/a</v>
      </c>
      <c r="CD91" s="404" t="str">
        <f aca="false">IFERROR(CD47/CD$15,"n/a")</f>
        <v>n/a</v>
      </c>
      <c r="CE91" s="404" t="str">
        <f aca="false">IFERROR(CE47/CE$15,"n/a")</f>
        <v>n/a</v>
      </c>
      <c r="CF91" s="404" t="str">
        <f aca="false">IFERROR(CF47/CF$15,"n/a")</f>
        <v>n/a</v>
      </c>
      <c r="CG91" s="404" t="str">
        <f aca="false">IFERROR(CG47/CG$15,"n/a")</f>
        <v>n/a</v>
      </c>
      <c r="CH91" s="404" t="str">
        <f aca="false">IFERROR(CH47/CH$15,"n/a")</f>
        <v>n/a</v>
      </c>
      <c r="CI91" s="404" t="str">
        <f aca="false">IFERROR(CI47/CI$15,"n/a")</f>
        <v>n/a</v>
      </c>
      <c r="CJ91" s="404" t="str">
        <f aca="false">IFERROR(CJ47/CJ$15,"n/a")</f>
        <v>n/a</v>
      </c>
      <c r="CK91" s="404" t="str">
        <f aca="false">IFERROR(CK47/CK$15,"n/a")</f>
        <v>n/a</v>
      </c>
    </row>
    <row r="92" s="143" customFormat="true" ht="11.25" hidden="false" customHeight="true" outlineLevel="0" collapsed="false">
      <c r="C92" s="51" t="str">
        <f aca="false">C48</f>
        <v>Ertragssteuern</v>
      </c>
      <c r="D92" s="51" t="str">
        <f aca="false">D48</f>
        <v>Income taxes</v>
      </c>
      <c r="E92" s="51"/>
      <c r="F92" s="57" t="str">
        <f aca="false">IFERROR(F48/F$15,"n/a")</f>
        <v>n/a</v>
      </c>
      <c r="G92" s="57" t="str">
        <f aca="false">IFERROR(G48/G$15,"n/a")</f>
        <v>n/a</v>
      </c>
      <c r="H92" s="57" t="str">
        <f aca="false">IFERROR(H48/H$15,"n/a")</f>
        <v>n/a</v>
      </c>
      <c r="I92" s="57" t="str">
        <f aca="false">IFERROR(I48/I$15,"n/a")</f>
        <v>n/a</v>
      </c>
      <c r="J92" s="57" t="str">
        <f aca="false">IFERROR(J48/J$15,"n/a")</f>
        <v>n/a</v>
      </c>
      <c r="K92" s="57" t="str">
        <f aca="false">IFERROR(K48/K$15,"n/a")</f>
        <v>n/a</v>
      </c>
      <c r="L92" s="57" t="str">
        <f aca="false">IFERROR(L48/L$15,"n/a")</f>
        <v>n/a</v>
      </c>
      <c r="M92" s="57" t="str">
        <f aca="false">IFERROR(M48/M$15,"n/a")</f>
        <v>n/a</v>
      </c>
      <c r="N92" s="57" t="str">
        <f aca="false">IFERROR(N48/N$15,"n/a")</f>
        <v>n/a</v>
      </c>
      <c r="O92" s="57" t="str">
        <f aca="false">IFERROR(O48/O$15,"n/a")</f>
        <v>n/a</v>
      </c>
      <c r="P92" s="57" t="str">
        <f aca="false">IFERROR(P48/P$15,"n/a")</f>
        <v>n/a</v>
      </c>
      <c r="Q92" s="57" t="str">
        <f aca="false">IFERROR(Q48/Q$15,"n/a")</f>
        <v>n/a</v>
      </c>
      <c r="R92" s="57" t="str">
        <f aca="false">IFERROR(R48/R$15,"n/a")</f>
        <v>n/a</v>
      </c>
      <c r="S92" s="57" t="str">
        <f aca="false">IFERROR(S48/S$15,"n/a")</f>
        <v>n/a</v>
      </c>
      <c r="T92" s="57" t="str">
        <f aca="false">IFERROR(T48/T$15,"n/a")</f>
        <v>n/a</v>
      </c>
      <c r="U92" s="57" t="str">
        <f aca="false">IFERROR(U48/U$15,"n/a")</f>
        <v>n/a</v>
      </c>
      <c r="V92" s="57" t="str">
        <f aca="false">IFERROR(V48/V$15,"n/a")</f>
        <v>n/a</v>
      </c>
      <c r="W92" s="57" t="str">
        <f aca="false">IFERROR(W48/W$15,"n/a")</f>
        <v>n/a</v>
      </c>
      <c r="X92" s="57" t="str">
        <f aca="false">IFERROR(X48/X$15,"n/a")</f>
        <v>n/a</v>
      </c>
      <c r="Y92" s="57" t="str">
        <f aca="false">IFERROR(Y48/Y$15,"n/a")</f>
        <v>n/a</v>
      </c>
      <c r="Z92" s="57" t="str">
        <f aca="false">IFERROR(Z48/Z$15,"n/a")</f>
        <v>n/a</v>
      </c>
      <c r="AA92" s="57" t="str">
        <f aca="false">IFERROR(AA48/AA$15,"n/a")</f>
        <v>n/a</v>
      </c>
      <c r="AB92" s="57" t="str">
        <f aca="false">IFERROR(AB48/AB$15,"n/a")</f>
        <v>n/a</v>
      </c>
      <c r="AC92" s="57" t="str">
        <f aca="false">IFERROR(AC48/AC$15,"n/a")</f>
        <v>n/a</v>
      </c>
      <c r="AD92" s="57" t="str">
        <f aca="false">IFERROR(AD48/AD$15,"n/a")</f>
        <v>n/a</v>
      </c>
      <c r="AE92" s="57" t="str">
        <f aca="false">IFERROR(AE48/AE$15,"n/a")</f>
        <v>n/a</v>
      </c>
      <c r="AF92" s="57" t="str">
        <f aca="false">IFERROR(AF48/AF$15,"n/a")</f>
        <v>n/a</v>
      </c>
      <c r="AG92" s="57" t="str">
        <f aca="false">IFERROR(AG48/AG$15,"n/a")</f>
        <v>n/a</v>
      </c>
      <c r="AH92" s="57" t="str">
        <f aca="false">IFERROR(AH48/AH$15,"n/a")</f>
        <v>n/a</v>
      </c>
      <c r="AI92" s="57" t="str">
        <f aca="false">IFERROR(AI48/AI$15,"n/a")</f>
        <v>n/a</v>
      </c>
      <c r="AJ92" s="57" t="str">
        <f aca="false">IFERROR(AJ48/AJ$15,"n/a")</f>
        <v>n/a</v>
      </c>
      <c r="AK92" s="57" t="str">
        <f aca="false">IFERROR(AK48/AK$15,"n/a")</f>
        <v>n/a</v>
      </c>
      <c r="AL92" s="57" t="str">
        <f aca="false">IFERROR(AL48/AL$15,"n/a")</f>
        <v>n/a</v>
      </c>
      <c r="AM92" s="57" t="str">
        <f aca="false">IFERROR(AM48/AM$15,"n/a")</f>
        <v>n/a</v>
      </c>
      <c r="AN92" s="57" t="str">
        <f aca="false">IFERROR(AN48/AN$15,"n/a")</f>
        <v>n/a</v>
      </c>
      <c r="AO92" s="57" t="str">
        <f aca="false">IFERROR(AO48/AO$15,"n/a")</f>
        <v>n/a</v>
      </c>
      <c r="AP92" s="57" t="str">
        <f aca="false">IFERROR(AP48/AP$15,"n/a")</f>
        <v>n/a</v>
      </c>
      <c r="AQ92" s="57" t="str">
        <f aca="false">IFERROR(AQ48/AQ$15,"n/a")</f>
        <v>n/a</v>
      </c>
      <c r="AR92" s="57" t="str">
        <f aca="false">IFERROR(AR48/AR$15,"n/a")</f>
        <v>n/a</v>
      </c>
      <c r="AS92" s="57" t="str">
        <f aca="false">IFERROR(AS48/AS$15,"n/a")</f>
        <v>n/a</v>
      </c>
      <c r="AT92" s="57" t="str">
        <f aca="false">IFERROR(AT48/AT$15,"n/a")</f>
        <v>n/a</v>
      </c>
      <c r="AU92" s="403" t="str">
        <f aca="false">IFERROR(AU48/AU$15,"n/a")</f>
        <v>n/a</v>
      </c>
      <c r="AV92" s="403" t="str">
        <f aca="false">IFERROR(AV48/AV$15,"n/a")</f>
        <v>n/a</v>
      </c>
      <c r="AW92" s="403" t="str">
        <f aca="false">IFERROR(AW48/AW$15,"n/a")</f>
        <v>n/a</v>
      </c>
      <c r="AX92" s="403" t="str">
        <f aca="false">IFERROR(AX48/AX$15,"n/a")</f>
        <v>n/a</v>
      </c>
      <c r="AY92" s="403" t="str">
        <f aca="false">IFERROR(AY48/AY$15,"n/a")</f>
        <v>n/a</v>
      </c>
      <c r="AZ92" s="403" t="str">
        <f aca="false">IFERROR(AZ48/AZ$15,"n/a")</f>
        <v>n/a</v>
      </c>
      <c r="BA92" s="403" t="str">
        <f aca="false">IFERROR(BA48/BA$15,"n/a")</f>
        <v>n/a</v>
      </c>
      <c r="BB92" s="403" t="str">
        <f aca="false">IFERROR(BB48/BB$15,"n/a")</f>
        <v>n/a</v>
      </c>
      <c r="BC92" s="403" t="str">
        <f aca="false">IFERROR(BC48/BC$15,"n/a")</f>
        <v>n/a</v>
      </c>
      <c r="BD92" s="403" t="str">
        <f aca="false">IFERROR(BD48/BD$15,"n/a")</f>
        <v>n/a</v>
      </c>
      <c r="BE92" s="403" t="str">
        <f aca="false">IFERROR(BE48/BE$15,"n/a")</f>
        <v>n/a</v>
      </c>
      <c r="BF92" s="403" t="str">
        <f aca="false">IFERROR(BF48/BF$15,"n/a")</f>
        <v>n/a</v>
      </c>
      <c r="BG92" s="403" t="str">
        <f aca="false">IFERROR(BG48/BG$15,"n/a")</f>
        <v>n/a</v>
      </c>
      <c r="BH92" s="403" t="str">
        <f aca="false">IFERROR(BH48/BH$15,"n/a")</f>
        <v>n/a</v>
      </c>
      <c r="BI92" s="403" t="str">
        <f aca="false">IFERROR(BI48/BI$15,"n/a")</f>
        <v>n/a</v>
      </c>
      <c r="BJ92" s="403" t="str">
        <f aca="false">IFERROR(BJ48/BJ$15,"n/a")</f>
        <v>n/a</v>
      </c>
      <c r="BK92" s="403" t="str">
        <f aca="false">IFERROR(BK48/BK$15,"n/a")</f>
        <v>n/a</v>
      </c>
      <c r="BL92" s="403" t="str">
        <f aca="false">IFERROR(BL48/BL$15,"n/a")</f>
        <v>n/a</v>
      </c>
      <c r="BM92" s="403" t="str">
        <f aca="false">IFERROR(BM48/BM$15,"n/a")</f>
        <v>n/a</v>
      </c>
      <c r="BN92" s="403" t="str">
        <f aca="false">IFERROR(BN48/BN$15,"n/a")</f>
        <v>n/a</v>
      </c>
      <c r="BO92" s="403" t="str">
        <f aca="false">IFERROR(BO48/BO$15,"n/a")</f>
        <v>n/a</v>
      </c>
      <c r="BP92" s="403" t="str">
        <f aca="false">IFERROR(BP48/BP$15,"n/a")</f>
        <v>n/a</v>
      </c>
      <c r="BQ92" s="403" t="str">
        <f aca="false">IFERROR(BQ48/BQ$15,"n/a")</f>
        <v>n/a</v>
      </c>
      <c r="BR92" s="403" t="str">
        <f aca="false">IFERROR(BR48/BR$15,"n/a")</f>
        <v>n/a</v>
      </c>
      <c r="BS92" s="403" t="str">
        <f aca="false">IFERROR(BS48/BS$15,"n/a")</f>
        <v>n/a</v>
      </c>
      <c r="BT92" s="403" t="str">
        <f aca="false">IFERROR(BT48/BT$15,"n/a")</f>
        <v>n/a</v>
      </c>
      <c r="BU92" s="403" t="str">
        <f aca="false">IFERROR(BU48/BU$15,"n/a")</f>
        <v>n/a</v>
      </c>
      <c r="BV92" s="403" t="str">
        <f aca="false">IFERROR(BV48/BV$15,"n/a")</f>
        <v>n/a</v>
      </c>
      <c r="BW92" s="403" t="str">
        <f aca="false">IFERROR(BW48/BW$15,"n/a")</f>
        <v>n/a</v>
      </c>
      <c r="BX92" s="403" t="str">
        <f aca="false">IFERROR(BX48/BX$15,"n/a")</f>
        <v>n/a</v>
      </c>
      <c r="BY92" s="403" t="str">
        <f aca="false">IFERROR(BY48/BY$15,"n/a")</f>
        <v>n/a</v>
      </c>
      <c r="BZ92" s="403" t="str">
        <f aca="false">IFERROR(BZ48/BZ$15,"n/a")</f>
        <v>n/a</v>
      </c>
      <c r="CA92" s="403" t="str">
        <f aca="false">IFERROR(CA48/CA$15,"n/a")</f>
        <v>n/a</v>
      </c>
      <c r="CB92" s="403" t="str">
        <f aca="false">IFERROR(CB48/CB$15,"n/a")</f>
        <v>n/a</v>
      </c>
      <c r="CC92" s="403" t="str">
        <f aca="false">IFERROR(CC48/CC$15,"n/a")</f>
        <v>n/a</v>
      </c>
      <c r="CD92" s="403" t="str">
        <f aca="false">IFERROR(CD48/CD$15,"n/a")</f>
        <v>n/a</v>
      </c>
      <c r="CE92" s="403" t="str">
        <f aca="false">IFERROR(CE48/CE$15,"n/a")</f>
        <v>n/a</v>
      </c>
      <c r="CF92" s="403" t="str">
        <f aca="false">IFERROR(CF48/CF$15,"n/a")</f>
        <v>n/a</v>
      </c>
      <c r="CG92" s="403" t="str">
        <f aca="false">IFERROR(CG48/CG$15,"n/a")</f>
        <v>n/a</v>
      </c>
      <c r="CH92" s="403" t="str">
        <f aca="false">IFERROR(CH48/CH$15,"n/a")</f>
        <v>n/a</v>
      </c>
      <c r="CI92" s="403" t="str">
        <f aca="false">IFERROR(CI48/CI$15,"n/a")</f>
        <v>n/a</v>
      </c>
      <c r="CJ92" s="403" t="str">
        <f aca="false">IFERROR(CJ48/CJ$15,"n/a")</f>
        <v>n/a</v>
      </c>
      <c r="CK92" s="403" t="str">
        <f aca="false">IFERROR(CK48/CK$15,"n/a")</f>
        <v>n/a</v>
      </c>
      <c r="CM92" s="1"/>
    </row>
    <row r="93" s="143" customFormat="true" ht="11.25" hidden="false" customHeight="true" outlineLevel="0" collapsed="false">
      <c r="C93" s="51" t="str">
        <f aca="false">C49</f>
        <v>Sonstige Steuern</v>
      </c>
      <c r="D93" s="51" t="str">
        <f aca="false">D49</f>
        <v>Other taxes</v>
      </c>
      <c r="E93" s="51"/>
      <c r="F93" s="57" t="str">
        <f aca="false">IFERROR(F49/F$15,"n/a")</f>
        <v>n/a</v>
      </c>
      <c r="G93" s="57" t="str">
        <f aca="false">IFERROR(G49/G$15,"n/a")</f>
        <v>n/a</v>
      </c>
      <c r="H93" s="57" t="str">
        <f aca="false">IFERROR(H49/H$15,"n/a")</f>
        <v>n/a</v>
      </c>
      <c r="I93" s="57" t="str">
        <f aca="false">IFERROR(I49/I$15,"n/a")</f>
        <v>n/a</v>
      </c>
      <c r="J93" s="57" t="str">
        <f aca="false">IFERROR(J49/J$15,"n/a")</f>
        <v>n/a</v>
      </c>
      <c r="K93" s="57" t="str">
        <f aca="false">IFERROR(K49/K$15,"n/a")</f>
        <v>n/a</v>
      </c>
      <c r="L93" s="57" t="str">
        <f aca="false">IFERROR(L49/L$15,"n/a")</f>
        <v>n/a</v>
      </c>
      <c r="M93" s="57" t="str">
        <f aca="false">IFERROR(M49/M$15,"n/a")</f>
        <v>n/a</v>
      </c>
      <c r="N93" s="57" t="str">
        <f aca="false">IFERROR(N49/N$15,"n/a")</f>
        <v>n/a</v>
      </c>
      <c r="O93" s="57" t="str">
        <f aca="false">IFERROR(O49/O$15,"n/a")</f>
        <v>n/a</v>
      </c>
      <c r="P93" s="57" t="str">
        <f aca="false">IFERROR(P49/P$15,"n/a")</f>
        <v>n/a</v>
      </c>
      <c r="Q93" s="57" t="str">
        <f aca="false">IFERROR(Q49/Q$15,"n/a")</f>
        <v>n/a</v>
      </c>
      <c r="R93" s="57" t="str">
        <f aca="false">IFERROR(R49/R$15,"n/a")</f>
        <v>n/a</v>
      </c>
      <c r="S93" s="57" t="str">
        <f aca="false">IFERROR(S49/S$15,"n/a")</f>
        <v>n/a</v>
      </c>
      <c r="T93" s="57" t="str">
        <f aca="false">IFERROR(T49/T$15,"n/a")</f>
        <v>n/a</v>
      </c>
      <c r="U93" s="57" t="str">
        <f aca="false">IFERROR(U49/U$15,"n/a")</f>
        <v>n/a</v>
      </c>
      <c r="V93" s="57" t="str">
        <f aca="false">IFERROR(V49/V$15,"n/a")</f>
        <v>n/a</v>
      </c>
      <c r="W93" s="57" t="str">
        <f aca="false">IFERROR(W49/W$15,"n/a")</f>
        <v>n/a</v>
      </c>
      <c r="X93" s="57" t="str">
        <f aca="false">IFERROR(X49/X$15,"n/a")</f>
        <v>n/a</v>
      </c>
      <c r="Y93" s="57" t="str">
        <f aca="false">IFERROR(Y49/Y$15,"n/a")</f>
        <v>n/a</v>
      </c>
      <c r="Z93" s="57" t="str">
        <f aca="false">IFERROR(Z49/Z$15,"n/a")</f>
        <v>n/a</v>
      </c>
      <c r="AA93" s="57" t="str">
        <f aca="false">IFERROR(AA49/AA$15,"n/a")</f>
        <v>n/a</v>
      </c>
      <c r="AB93" s="57" t="str">
        <f aca="false">IFERROR(AB49/AB$15,"n/a")</f>
        <v>n/a</v>
      </c>
      <c r="AC93" s="57" t="str">
        <f aca="false">IFERROR(AC49/AC$15,"n/a")</f>
        <v>n/a</v>
      </c>
      <c r="AD93" s="57" t="str">
        <f aca="false">IFERROR(AD49/AD$15,"n/a")</f>
        <v>n/a</v>
      </c>
      <c r="AE93" s="57" t="str">
        <f aca="false">IFERROR(AE49/AE$15,"n/a")</f>
        <v>n/a</v>
      </c>
      <c r="AF93" s="57" t="str">
        <f aca="false">IFERROR(AF49/AF$15,"n/a")</f>
        <v>n/a</v>
      </c>
      <c r="AG93" s="57" t="str">
        <f aca="false">IFERROR(AG49/AG$15,"n/a")</f>
        <v>n/a</v>
      </c>
      <c r="AH93" s="57" t="str">
        <f aca="false">IFERROR(AH49/AH$15,"n/a")</f>
        <v>n/a</v>
      </c>
      <c r="AI93" s="57" t="str">
        <f aca="false">IFERROR(AI49/AI$15,"n/a")</f>
        <v>n/a</v>
      </c>
      <c r="AJ93" s="57" t="str">
        <f aca="false">IFERROR(AJ49/AJ$15,"n/a")</f>
        <v>n/a</v>
      </c>
      <c r="AK93" s="57" t="str">
        <f aca="false">IFERROR(AK49/AK$15,"n/a")</f>
        <v>n/a</v>
      </c>
      <c r="AL93" s="57" t="str">
        <f aca="false">IFERROR(AL49/AL$15,"n/a")</f>
        <v>n/a</v>
      </c>
      <c r="AM93" s="57" t="str">
        <f aca="false">IFERROR(AM49/AM$15,"n/a")</f>
        <v>n/a</v>
      </c>
      <c r="AN93" s="57" t="str">
        <f aca="false">IFERROR(AN49/AN$15,"n/a")</f>
        <v>n/a</v>
      </c>
      <c r="AO93" s="57" t="str">
        <f aca="false">IFERROR(AO49/AO$15,"n/a")</f>
        <v>n/a</v>
      </c>
      <c r="AP93" s="57" t="str">
        <f aca="false">IFERROR(AP49/AP$15,"n/a")</f>
        <v>n/a</v>
      </c>
      <c r="AQ93" s="57" t="str">
        <f aca="false">IFERROR(AQ49/AQ$15,"n/a")</f>
        <v>n/a</v>
      </c>
      <c r="AR93" s="57" t="str">
        <f aca="false">IFERROR(AR49/AR$15,"n/a")</f>
        <v>n/a</v>
      </c>
      <c r="AS93" s="57" t="str">
        <f aca="false">IFERROR(AS49/AS$15,"n/a")</f>
        <v>n/a</v>
      </c>
      <c r="AT93" s="57" t="str">
        <f aca="false">IFERROR(AT49/AT$15,"n/a")</f>
        <v>n/a</v>
      </c>
      <c r="AU93" s="403" t="str">
        <f aca="false">IFERROR(AU49/AU$15,"n/a")</f>
        <v>n/a</v>
      </c>
      <c r="AV93" s="403" t="str">
        <f aca="false">IFERROR(AV49/AV$15,"n/a")</f>
        <v>n/a</v>
      </c>
      <c r="AW93" s="403" t="str">
        <f aca="false">IFERROR(AW49/AW$15,"n/a")</f>
        <v>n/a</v>
      </c>
      <c r="AX93" s="403" t="str">
        <f aca="false">IFERROR(AX49/AX$15,"n/a")</f>
        <v>n/a</v>
      </c>
      <c r="AY93" s="403" t="str">
        <f aca="false">IFERROR(AY49/AY$15,"n/a")</f>
        <v>n/a</v>
      </c>
      <c r="AZ93" s="403" t="str">
        <f aca="false">IFERROR(AZ49/AZ$15,"n/a")</f>
        <v>n/a</v>
      </c>
      <c r="BA93" s="403" t="str">
        <f aca="false">IFERROR(BA49/BA$15,"n/a")</f>
        <v>n/a</v>
      </c>
      <c r="BB93" s="403" t="str">
        <f aca="false">IFERROR(BB49/BB$15,"n/a")</f>
        <v>n/a</v>
      </c>
      <c r="BC93" s="403" t="str">
        <f aca="false">IFERROR(BC49/BC$15,"n/a")</f>
        <v>n/a</v>
      </c>
      <c r="BD93" s="403" t="str">
        <f aca="false">IFERROR(BD49/BD$15,"n/a")</f>
        <v>n/a</v>
      </c>
      <c r="BE93" s="403" t="str">
        <f aca="false">IFERROR(BE49/BE$15,"n/a")</f>
        <v>n/a</v>
      </c>
      <c r="BF93" s="403" t="str">
        <f aca="false">IFERROR(BF49/BF$15,"n/a")</f>
        <v>n/a</v>
      </c>
      <c r="BG93" s="403" t="str">
        <f aca="false">IFERROR(BG49/BG$15,"n/a")</f>
        <v>n/a</v>
      </c>
      <c r="BH93" s="403" t="str">
        <f aca="false">IFERROR(BH49/BH$15,"n/a")</f>
        <v>n/a</v>
      </c>
      <c r="BI93" s="403" t="str">
        <f aca="false">IFERROR(BI49/BI$15,"n/a")</f>
        <v>n/a</v>
      </c>
      <c r="BJ93" s="403" t="str">
        <f aca="false">IFERROR(BJ49/BJ$15,"n/a")</f>
        <v>n/a</v>
      </c>
      <c r="BK93" s="403" t="str">
        <f aca="false">IFERROR(BK49/BK$15,"n/a")</f>
        <v>n/a</v>
      </c>
      <c r="BL93" s="403" t="str">
        <f aca="false">IFERROR(BL49/BL$15,"n/a")</f>
        <v>n/a</v>
      </c>
      <c r="BM93" s="403" t="str">
        <f aca="false">IFERROR(BM49/BM$15,"n/a")</f>
        <v>n/a</v>
      </c>
      <c r="BN93" s="403" t="str">
        <f aca="false">IFERROR(BN49/BN$15,"n/a")</f>
        <v>n/a</v>
      </c>
      <c r="BO93" s="403" t="str">
        <f aca="false">IFERROR(BO49/BO$15,"n/a")</f>
        <v>n/a</v>
      </c>
      <c r="BP93" s="403" t="str">
        <f aca="false">IFERROR(BP49/BP$15,"n/a")</f>
        <v>n/a</v>
      </c>
      <c r="BQ93" s="403" t="str">
        <f aca="false">IFERROR(BQ49/BQ$15,"n/a")</f>
        <v>n/a</v>
      </c>
      <c r="BR93" s="403" t="str">
        <f aca="false">IFERROR(BR49/BR$15,"n/a")</f>
        <v>n/a</v>
      </c>
      <c r="BS93" s="403" t="str">
        <f aca="false">IFERROR(BS49/BS$15,"n/a")</f>
        <v>n/a</v>
      </c>
      <c r="BT93" s="403" t="str">
        <f aca="false">IFERROR(BT49/BT$15,"n/a")</f>
        <v>n/a</v>
      </c>
      <c r="BU93" s="403" t="str">
        <f aca="false">IFERROR(BU49/BU$15,"n/a")</f>
        <v>n/a</v>
      </c>
      <c r="BV93" s="403" t="str">
        <f aca="false">IFERROR(BV49/BV$15,"n/a")</f>
        <v>n/a</v>
      </c>
      <c r="BW93" s="403" t="str">
        <f aca="false">IFERROR(BW49/BW$15,"n/a")</f>
        <v>n/a</v>
      </c>
      <c r="BX93" s="403" t="str">
        <f aca="false">IFERROR(BX49/BX$15,"n/a")</f>
        <v>n/a</v>
      </c>
      <c r="BY93" s="403" t="str">
        <f aca="false">IFERROR(BY49/BY$15,"n/a")</f>
        <v>n/a</v>
      </c>
      <c r="BZ93" s="403" t="str">
        <f aca="false">IFERROR(BZ49/BZ$15,"n/a")</f>
        <v>n/a</v>
      </c>
      <c r="CA93" s="403" t="str">
        <f aca="false">IFERROR(CA49/CA$15,"n/a")</f>
        <v>n/a</v>
      </c>
      <c r="CB93" s="403" t="str">
        <f aca="false">IFERROR(CB49/CB$15,"n/a")</f>
        <v>n/a</v>
      </c>
      <c r="CC93" s="403" t="str">
        <f aca="false">IFERROR(CC49/CC$15,"n/a")</f>
        <v>n/a</v>
      </c>
      <c r="CD93" s="403" t="str">
        <f aca="false">IFERROR(CD49/CD$15,"n/a")</f>
        <v>n/a</v>
      </c>
      <c r="CE93" s="403" t="str">
        <f aca="false">IFERROR(CE49/CE$15,"n/a")</f>
        <v>n/a</v>
      </c>
      <c r="CF93" s="403" t="str">
        <f aca="false">IFERROR(CF49/CF$15,"n/a")</f>
        <v>n/a</v>
      </c>
      <c r="CG93" s="403" t="str">
        <f aca="false">IFERROR(CG49/CG$15,"n/a")</f>
        <v>n/a</v>
      </c>
      <c r="CH93" s="403" t="str">
        <f aca="false">IFERROR(CH49/CH$15,"n/a")</f>
        <v>n/a</v>
      </c>
      <c r="CI93" s="403" t="str">
        <f aca="false">IFERROR(CI49/CI$15,"n/a")</f>
        <v>n/a</v>
      </c>
      <c r="CJ93" s="403" t="str">
        <f aca="false">IFERROR(CJ49/CJ$15,"n/a")</f>
        <v>n/a</v>
      </c>
      <c r="CK93" s="403" t="str">
        <f aca="false">IFERROR(CK49/CK$15,"n/a")</f>
        <v>n/a</v>
      </c>
    </row>
    <row r="94" s="143" customFormat="true" ht="11.25" hidden="false" customHeight="true" outlineLevel="0" collapsed="false">
      <c r="C94" s="132" t="str">
        <f aca="false">C50</f>
        <v>Jahresüberschuss</v>
      </c>
      <c r="D94" s="132" t="str">
        <f aca="false">D50</f>
        <v>Profit / Loss</v>
      </c>
      <c r="E94" s="132"/>
      <c r="F94" s="144" t="str">
        <f aca="false">IFERROR(F50/F$15,"n/a")</f>
        <v>n/a</v>
      </c>
      <c r="G94" s="144" t="str">
        <f aca="false">IFERROR(G50/G$15,"n/a")</f>
        <v>n/a</v>
      </c>
      <c r="H94" s="144" t="str">
        <f aca="false">IFERROR(H50/H$15,"n/a")</f>
        <v>n/a</v>
      </c>
      <c r="I94" s="144" t="str">
        <f aca="false">IFERROR(I50/I$15,"n/a")</f>
        <v>n/a</v>
      </c>
      <c r="J94" s="144" t="str">
        <f aca="false">IFERROR(J50/J$15,"n/a")</f>
        <v>n/a</v>
      </c>
      <c r="K94" s="144" t="str">
        <f aca="false">IFERROR(K50/K$15,"n/a")</f>
        <v>n/a</v>
      </c>
      <c r="L94" s="144" t="str">
        <f aca="false">IFERROR(L50/L$15,"n/a")</f>
        <v>n/a</v>
      </c>
      <c r="M94" s="144" t="str">
        <f aca="false">IFERROR(M50/M$15,"n/a")</f>
        <v>n/a</v>
      </c>
      <c r="N94" s="144" t="str">
        <f aca="false">IFERROR(N50/N$15,"n/a")</f>
        <v>n/a</v>
      </c>
      <c r="O94" s="144" t="str">
        <f aca="false">IFERROR(O50/O$15,"n/a")</f>
        <v>n/a</v>
      </c>
      <c r="P94" s="144" t="str">
        <f aca="false">IFERROR(P50/P$15,"n/a")</f>
        <v>n/a</v>
      </c>
      <c r="Q94" s="144" t="str">
        <f aca="false">IFERROR(Q50/Q$15,"n/a")</f>
        <v>n/a</v>
      </c>
      <c r="R94" s="144" t="str">
        <f aca="false">IFERROR(R50/R$15,"n/a")</f>
        <v>n/a</v>
      </c>
      <c r="S94" s="144" t="str">
        <f aca="false">IFERROR(S50/S$15,"n/a")</f>
        <v>n/a</v>
      </c>
      <c r="T94" s="144" t="str">
        <f aca="false">IFERROR(T50/T$15,"n/a")</f>
        <v>n/a</v>
      </c>
      <c r="U94" s="144" t="str">
        <f aca="false">IFERROR(U50/U$15,"n/a")</f>
        <v>n/a</v>
      </c>
      <c r="V94" s="144" t="str">
        <f aca="false">IFERROR(V50/V$15,"n/a")</f>
        <v>n/a</v>
      </c>
      <c r="W94" s="144" t="str">
        <f aca="false">IFERROR(W50/W$15,"n/a")</f>
        <v>n/a</v>
      </c>
      <c r="X94" s="144" t="str">
        <f aca="false">IFERROR(X50/X$15,"n/a")</f>
        <v>n/a</v>
      </c>
      <c r="Y94" s="144" t="str">
        <f aca="false">IFERROR(Y50/Y$15,"n/a")</f>
        <v>n/a</v>
      </c>
      <c r="Z94" s="144" t="str">
        <f aca="false">IFERROR(Z50/Z$15,"n/a")</f>
        <v>n/a</v>
      </c>
      <c r="AA94" s="144" t="str">
        <f aca="false">IFERROR(AA50/AA$15,"n/a")</f>
        <v>n/a</v>
      </c>
      <c r="AB94" s="144" t="str">
        <f aca="false">IFERROR(AB50/AB$15,"n/a")</f>
        <v>n/a</v>
      </c>
      <c r="AC94" s="144" t="str">
        <f aca="false">IFERROR(AC50/AC$15,"n/a")</f>
        <v>n/a</v>
      </c>
      <c r="AD94" s="144" t="str">
        <f aca="false">IFERROR(AD50/AD$15,"n/a")</f>
        <v>n/a</v>
      </c>
      <c r="AE94" s="144" t="str">
        <f aca="false">IFERROR(AE50/AE$15,"n/a")</f>
        <v>n/a</v>
      </c>
      <c r="AF94" s="144" t="str">
        <f aca="false">IFERROR(AF50/AF$15,"n/a")</f>
        <v>n/a</v>
      </c>
      <c r="AG94" s="144" t="str">
        <f aca="false">IFERROR(AG50/AG$15,"n/a")</f>
        <v>n/a</v>
      </c>
      <c r="AH94" s="144" t="str">
        <f aca="false">IFERROR(AH50/AH$15,"n/a")</f>
        <v>n/a</v>
      </c>
      <c r="AI94" s="144" t="str">
        <f aca="false">IFERROR(AI50/AI$15,"n/a")</f>
        <v>n/a</v>
      </c>
      <c r="AJ94" s="144" t="str">
        <f aca="false">IFERROR(AJ50/AJ$15,"n/a")</f>
        <v>n/a</v>
      </c>
      <c r="AK94" s="144" t="str">
        <f aca="false">IFERROR(AK50/AK$15,"n/a")</f>
        <v>n/a</v>
      </c>
      <c r="AL94" s="144" t="str">
        <f aca="false">IFERROR(AL50/AL$15,"n/a")</f>
        <v>n/a</v>
      </c>
      <c r="AM94" s="144" t="str">
        <f aca="false">IFERROR(AM50/AM$15,"n/a")</f>
        <v>n/a</v>
      </c>
      <c r="AN94" s="144" t="str">
        <f aca="false">IFERROR(AN50/AN$15,"n/a")</f>
        <v>n/a</v>
      </c>
      <c r="AO94" s="144" t="str">
        <f aca="false">IFERROR(AO50/AO$15,"n/a")</f>
        <v>n/a</v>
      </c>
      <c r="AP94" s="144" t="str">
        <f aca="false">IFERROR(AP50/AP$15,"n/a")</f>
        <v>n/a</v>
      </c>
      <c r="AQ94" s="144" t="str">
        <f aca="false">IFERROR(AQ50/AQ$15,"n/a")</f>
        <v>n/a</v>
      </c>
      <c r="AR94" s="144" t="str">
        <f aca="false">IFERROR(AR50/AR$15,"n/a")</f>
        <v>n/a</v>
      </c>
      <c r="AS94" s="144" t="str">
        <f aca="false">IFERROR(AS50/AS$15,"n/a")</f>
        <v>n/a</v>
      </c>
      <c r="AT94" s="144" t="str">
        <f aca="false">IFERROR(AT50/AT$15,"n/a")</f>
        <v>n/a</v>
      </c>
      <c r="AU94" s="404" t="str">
        <f aca="false">IFERROR(AU50/AU$15,"n/a")</f>
        <v>n/a</v>
      </c>
      <c r="AV94" s="404" t="str">
        <f aca="false">IFERROR(AV50/AV$15,"n/a")</f>
        <v>n/a</v>
      </c>
      <c r="AW94" s="404" t="str">
        <f aca="false">IFERROR(AW50/AW$15,"n/a")</f>
        <v>n/a</v>
      </c>
      <c r="AX94" s="404" t="str">
        <f aca="false">IFERROR(AX50/AX$15,"n/a")</f>
        <v>n/a</v>
      </c>
      <c r="AY94" s="404" t="str">
        <f aca="false">IFERROR(AY50/AY$15,"n/a")</f>
        <v>n/a</v>
      </c>
      <c r="AZ94" s="404" t="str">
        <f aca="false">IFERROR(AZ50/AZ$15,"n/a")</f>
        <v>n/a</v>
      </c>
      <c r="BA94" s="404" t="str">
        <f aca="false">IFERROR(BA50/BA$15,"n/a")</f>
        <v>n/a</v>
      </c>
      <c r="BB94" s="404" t="str">
        <f aca="false">IFERROR(BB50/BB$15,"n/a")</f>
        <v>n/a</v>
      </c>
      <c r="BC94" s="404" t="str">
        <f aca="false">IFERROR(BC50/BC$15,"n/a")</f>
        <v>n/a</v>
      </c>
      <c r="BD94" s="404" t="str">
        <f aca="false">IFERROR(BD50/BD$15,"n/a")</f>
        <v>n/a</v>
      </c>
      <c r="BE94" s="404" t="str">
        <f aca="false">IFERROR(BE50/BE$15,"n/a")</f>
        <v>n/a</v>
      </c>
      <c r="BF94" s="404" t="str">
        <f aca="false">IFERROR(BF50/BF$15,"n/a")</f>
        <v>n/a</v>
      </c>
      <c r="BG94" s="404" t="str">
        <f aca="false">IFERROR(BG50/BG$15,"n/a")</f>
        <v>n/a</v>
      </c>
      <c r="BH94" s="404" t="str">
        <f aca="false">IFERROR(BH50/BH$15,"n/a")</f>
        <v>n/a</v>
      </c>
      <c r="BI94" s="404" t="str">
        <f aca="false">IFERROR(BI50/BI$15,"n/a")</f>
        <v>n/a</v>
      </c>
      <c r="BJ94" s="404" t="str">
        <f aca="false">IFERROR(BJ50/BJ$15,"n/a")</f>
        <v>n/a</v>
      </c>
      <c r="BK94" s="404" t="str">
        <f aca="false">IFERROR(BK50/BK$15,"n/a")</f>
        <v>n/a</v>
      </c>
      <c r="BL94" s="404" t="str">
        <f aca="false">IFERROR(BL50/BL$15,"n/a")</f>
        <v>n/a</v>
      </c>
      <c r="BM94" s="404" t="str">
        <f aca="false">IFERROR(BM50/BM$15,"n/a")</f>
        <v>n/a</v>
      </c>
      <c r="BN94" s="404" t="str">
        <f aca="false">IFERROR(BN50/BN$15,"n/a")</f>
        <v>n/a</v>
      </c>
      <c r="BO94" s="404" t="str">
        <f aca="false">IFERROR(BO50/BO$15,"n/a")</f>
        <v>n/a</v>
      </c>
      <c r="BP94" s="404" t="str">
        <f aca="false">IFERROR(BP50/BP$15,"n/a")</f>
        <v>n/a</v>
      </c>
      <c r="BQ94" s="404" t="str">
        <f aca="false">IFERROR(BQ50/BQ$15,"n/a")</f>
        <v>n/a</v>
      </c>
      <c r="BR94" s="404" t="str">
        <f aca="false">IFERROR(BR50/BR$15,"n/a")</f>
        <v>n/a</v>
      </c>
      <c r="BS94" s="404" t="str">
        <f aca="false">IFERROR(BS50/BS$15,"n/a")</f>
        <v>n/a</v>
      </c>
      <c r="BT94" s="404" t="str">
        <f aca="false">IFERROR(BT50/BT$15,"n/a")</f>
        <v>n/a</v>
      </c>
      <c r="BU94" s="404" t="str">
        <f aca="false">IFERROR(BU50/BU$15,"n/a")</f>
        <v>n/a</v>
      </c>
      <c r="BV94" s="404" t="str">
        <f aca="false">IFERROR(BV50/BV$15,"n/a")</f>
        <v>n/a</v>
      </c>
      <c r="BW94" s="404" t="str">
        <f aca="false">IFERROR(BW50/BW$15,"n/a")</f>
        <v>n/a</v>
      </c>
      <c r="BX94" s="404" t="str">
        <f aca="false">IFERROR(BX50/BX$15,"n/a")</f>
        <v>n/a</v>
      </c>
      <c r="BY94" s="404" t="str">
        <f aca="false">IFERROR(BY50/BY$15,"n/a")</f>
        <v>n/a</v>
      </c>
      <c r="BZ94" s="404" t="str">
        <f aca="false">IFERROR(BZ50/BZ$15,"n/a")</f>
        <v>n/a</v>
      </c>
      <c r="CA94" s="404" t="str">
        <f aca="false">IFERROR(CA50/CA$15,"n/a")</f>
        <v>n/a</v>
      </c>
      <c r="CB94" s="404" t="str">
        <f aca="false">IFERROR(CB50/CB$15,"n/a")</f>
        <v>n/a</v>
      </c>
      <c r="CC94" s="404" t="str">
        <f aca="false">IFERROR(CC50/CC$15,"n/a")</f>
        <v>n/a</v>
      </c>
      <c r="CD94" s="404" t="str">
        <f aca="false">IFERROR(CD50/CD$15,"n/a")</f>
        <v>n/a</v>
      </c>
      <c r="CE94" s="404" t="str">
        <f aca="false">IFERROR(CE50/CE$15,"n/a")</f>
        <v>n/a</v>
      </c>
      <c r="CF94" s="404" t="str">
        <f aca="false">IFERROR(CF50/CF$15,"n/a")</f>
        <v>n/a</v>
      </c>
      <c r="CG94" s="404" t="str">
        <f aca="false">IFERROR(CG50/CG$15,"n/a")</f>
        <v>n/a</v>
      </c>
      <c r="CH94" s="404" t="str">
        <f aca="false">IFERROR(CH50/CH$15,"n/a")</f>
        <v>n/a</v>
      </c>
      <c r="CI94" s="404" t="str">
        <f aca="false">IFERROR(CI50/CI$15,"n/a")</f>
        <v>n/a</v>
      </c>
      <c r="CJ94" s="404" t="str">
        <f aca="false">IFERROR(CJ50/CJ$15,"n/a")</f>
        <v>n/a</v>
      </c>
      <c r="CK94" s="404" t="str">
        <f aca="false">IFERROR(CK50/CK$15,"n/a")</f>
        <v>n/a</v>
      </c>
    </row>
    <row r="95" s="143" customFormat="true" ht="4.5" hidden="false" customHeight="true" outlineLevel="0" collapsed="false">
      <c r="C95" s="132"/>
      <c r="D95" s="132"/>
      <c r="E95" s="132"/>
      <c r="F95" s="57"/>
      <c r="G95" s="57"/>
      <c r="H95" s="57"/>
      <c r="I95" s="405"/>
      <c r="J95" s="405"/>
      <c r="K95" s="405"/>
      <c r="L95" s="405"/>
      <c r="M95" s="405"/>
      <c r="N95" s="405"/>
      <c r="O95" s="405"/>
      <c r="P95" s="405"/>
      <c r="Q95" s="405"/>
      <c r="R95" s="405"/>
      <c r="S95" s="405"/>
      <c r="T95" s="405"/>
      <c r="U95" s="405"/>
      <c r="V95" s="405"/>
      <c r="W95" s="405"/>
      <c r="X95" s="405"/>
      <c r="Y95" s="405"/>
      <c r="Z95" s="405"/>
      <c r="AA95" s="405"/>
      <c r="AB95" s="405"/>
      <c r="AC95" s="405"/>
      <c r="AD95" s="405"/>
      <c r="AE95" s="405"/>
      <c r="AF95" s="405"/>
      <c r="AG95" s="405"/>
      <c r="AH95" s="405"/>
      <c r="AI95" s="405"/>
      <c r="AJ95" s="405"/>
      <c r="AK95" s="405"/>
      <c r="AL95" s="405"/>
      <c r="AM95" s="405"/>
      <c r="AN95" s="405"/>
      <c r="AO95" s="405"/>
      <c r="AP95" s="405"/>
      <c r="AQ95" s="405"/>
      <c r="AR95" s="405"/>
      <c r="AS95" s="405"/>
      <c r="AT95" s="405"/>
      <c r="AU95" s="403"/>
      <c r="AV95" s="403"/>
      <c r="AW95" s="403"/>
      <c r="AX95" s="403"/>
      <c r="AY95" s="403"/>
      <c r="AZ95" s="403"/>
      <c r="BA95" s="403"/>
      <c r="BB95" s="403"/>
      <c r="BC95" s="403"/>
      <c r="BD95" s="403"/>
      <c r="BE95" s="403"/>
      <c r="BF95" s="403"/>
      <c r="BG95" s="403"/>
      <c r="BH95" s="403"/>
      <c r="BI95" s="403"/>
      <c r="BJ95" s="403"/>
      <c r="BK95" s="403"/>
      <c r="BL95" s="403"/>
      <c r="BM95" s="403"/>
      <c r="BN95" s="403"/>
      <c r="BO95" s="403"/>
      <c r="BP95" s="403"/>
      <c r="BQ95" s="403"/>
      <c r="BR95" s="403"/>
      <c r="BS95" s="403"/>
      <c r="BT95" s="403"/>
      <c r="BU95" s="403"/>
      <c r="BV95" s="403"/>
      <c r="BW95" s="403"/>
      <c r="BX95" s="403"/>
      <c r="BY95" s="403"/>
      <c r="BZ95" s="403"/>
      <c r="CA95" s="403"/>
      <c r="CB95" s="403"/>
      <c r="CC95" s="403"/>
      <c r="CD95" s="403"/>
      <c r="CE95" s="403"/>
      <c r="CF95" s="403"/>
      <c r="CG95" s="403"/>
      <c r="CH95" s="403"/>
      <c r="CI95" s="403"/>
      <c r="CJ95" s="403"/>
      <c r="CK95" s="403"/>
    </row>
    <row r="96" s="143" customFormat="true" ht="11.25" hidden="false" customHeight="true" outlineLevel="0" collapsed="false">
      <c r="C96" s="54" t="str">
        <f aca="false">"Quelle: "&amp;Cockpit!$C$7</f>
        <v>Quelle: Datenraum/ eigene Analysen</v>
      </c>
      <c r="D96" s="54" t="str">
        <f aca="false">"Source: "&amp;Cockpit!$C$8</f>
        <v>Source: Virtual Data Room/ Company Information</v>
      </c>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4"/>
      <c r="BR96" s="54"/>
      <c r="BS96" s="54"/>
      <c r="BT96" s="54"/>
      <c r="BU96" s="54"/>
      <c r="BV96" s="54"/>
      <c r="BW96" s="54"/>
      <c r="BX96" s="54"/>
      <c r="BY96" s="54"/>
      <c r="BZ96" s="54"/>
      <c r="CA96" s="54"/>
      <c r="CB96" s="54"/>
      <c r="CC96" s="54"/>
      <c r="CD96" s="54"/>
      <c r="CE96" s="54"/>
      <c r="CF96" s="54"/>
      <c r="CG96" s="54"/>
      <c r="CH96" s="54"/>
      <c r="CI96" s="54"/>
      <c r="CJ96" s="54"/>
      <c r="CK96" s="54"/>
    </row>
    <row r="97" customFormat="false" ht="11.25" hidden="false" customHeight="true" outlineLevel="0" collapsed="false"/>
    <row r="98" customFormat="false" ht="11.25" hidden="false" customHeight="true" outlineLevel="0" collapsed="false"/>
    <row r="99" customFormat="false" ht="11.25" hidden="false" customHeight="true" outlineLevel="0" collapsed="false">
      <c r="C99" s="151" t="s">
        <v>883</v>
      </c>
      <c r="D99" s="151" t="s">
        <v>884</v>
      </c>
      <c r="E99" s="151"/>
      <c r="Q99" s="152" t="n">
        <f aca="false">'Lead PL'!F210</f>
        <v>0</v>
      </c>
      <c r="AC99" s="152" t="n">
        <f aca="false">'Lead PL'!G210</f>
        <v>0</v>
      </c>
      <c r="AO99" s="152" t="n">
        <f aca="false">'Lead PL'!H210</f>
        <v>0</v>
      </c>
      <c r="AT99" s="152" t="n">
        <f aca="false">'Lead PL'!J210</f>
        <v>0</v>
      </c>
      <c r="BA99" s="406" t="n">
        <f aca="false">'Lead PL'!K210</f>
        <v>0</v>
      </c>
      <c r="BM99" s="406" t="n">
        <f aca="false">'Lead PL'!L210</f>
        <v>0</v>
      </c>
      <c r="BY99" s="406" t="n">
        <f aca="false">'Lead PL'!M210</f>
        <v>0</v>
      </c>
      <c r="CK99" s="406" t="n">
        <f aca="false">'Lead PL'!N210</f>
        <v>0</v>
      </c>
    </row>
    <row r="100" customFormat="false" ht="11.25" hidden="false" customHeight="true" outlineLevel="0" collapsed="false">
      <c r="C100" s="153" t="s">
        <v>245</v>
      </c>
      <c r="D100" s="407" t="s">
        <v>245</v>
      </c>
      <c r="E100" s="153"/>
      <c r="F100" s="303"/>
      <c r="G100" s="303"/>
      <c r="H100" s="303"/>
      <c r="I100" s="303"/>
      <c r="J100" s="303"/>
      <c r="K100" s="303"/>
      <c r="L100" s="303"/>
      <c r="M100" s="303"/>
      <c r="N100" s="303"/>
      <c r="O100" s="303"/>
      <c r="P100" s="303"/>
      <c r="Q100" s="285" t="n">
        <f aca="false">Q99-SUM(F50:Q50)</f>
        <v>0</v>
      </c>
      <c r="R100" s="303"/>
      <c r="S100" s="303"/>
      <c r="T100" s="303"/>
      <c r="U100" s="303"/>
      <c r="V100" s="303"/>
      <c r="W100" s="303"/>
      <c r="X100" s="303"/>
      <c r="Y100" s="303"/>
      <c r="Z100" s="303"/>
      <c r="AA100" s="303"/>
      <c r="AB100" s="303"/>
      <c r="AC100" s="285" t="n">
        <f aca="false">AC99-SUM(R50:AC50)</f>
        <v>0</v>
      </c>
      <c r="AD100" s="303"/>
      <c r="AE100" s="303"/>
      <c r="AF100" s="303"/>
      <c r="AG100" s="303"/>
      <c r="AH100" s="303"/>
      <c r="AI100" s="303"/>
      <c r="AJ100" s="303"/>
      <c r="AK100" s="303"/>
      <c r="AL100" s="303"/>
      <c r="AM100" s="303"/>
      <c r="AN100" s="303"/>
      <c r="AO100" s="285" t="n">
        <f aca="false">AO99-SUM(AD50:AO50)</f>
        <v>0</v>
      </c>
      <c r="AP100" s="303"/>
      <c r="AQ100" s="303"/>
      <c r="AR100" s="303"/>
      <c r="AS100" s="303"/>
      <c r="AT100" s="285" t="n">
        <f aca="false">AT99-SUM(AP50:AT50)</f>
        <v>0</v>
      </c>
      <c r="AU100" s="408"/>
      <c r="AV100" s="408"/>
      <c r="AW100" s="408"/>
      <c r="AX100" s="408"/>
      <c r="AY100" s="408"/>
      <c r="AZ100" s="408"/>
      <c r="BA100" s="409" t="n">
        <f aca="false">BA99-SUM(AP50:BA50)</f>
        <v>0</v>
      </c>
      <c r="BB100" s="408"/>
      <c r="BC100" s="408"/>
      <c r="BD100" s="408"/>
      <c r="BE100" s="408"/>
      <c r="BF100" s="408"/>
      <c r="BG100" s="408"/>
      <c r="BH100" s="408"/>
      <c r="BI100" s="408"/>
      <c r="BJ100" s="408"/>
      <c r="BK100" s="408"/>
      <c r="BL100" s="408"/>
      <c r="BM100" s="409" t="n">
        <f aca="false">BM99-SUM(BB50:BM50)</f>
        <v>0</v>
      </c>
      <c r="BN100" s="408"/>
      <c r="BO100" s="408"/>
      <c r="BP100" s="408"/>
      <c r="BQ100" s="408"/>
      <c r="BR100" s="408"/>
      <c r="BS100" s="408"/>
      <c r="BT100" s="408"/>
      <c r="BU100" s="408"/>
      <c r="BV100" s="408"/>
      <c r="BW100" s="408"/>
      <c r="BX100" s="408"/>
      <c r="BY100" s="409" t="n">
        <f aca="false">BY99-SUM(BN50:BY50)</f>
        <v>0</v>
      </c>
      <c r="BZ100" s="408"/>
      <c r="CA100" s="408"/>
      <c r="CB100" s="408"/>
      <c r="CC100" s="408"/>
      <c r="CD100" s="408"/>
      <c r="CE100" s="408"/>
      <c r="CF100" s="408"/>
      <c r="CG100" s="408"/>
      <c r="CH100" s="408"/>
      <c r="CI100" s="408"/>
      <c r="CJ100" s="408"/>
      <c r="CK100" s="409" t="n">
        <f aca="false">CK99-SUM(BZ50:CK50)</f>
        <v>0</v>
      </c>
    </row>
    <row r="101" customFormat="false" ht="11.25" hidden="false" customHeight="true" outlineLevel="0" collapsed="false">
      <c r="C101" s="151" t="s">
        <v>885</v>
      </c>
      <c r="D101" s="151" t="s">
        <v>886</v>
      </c>
      <c r="E101" s="151"/>
      <c r="AT101" s="152" t="n">
        <f aca="false">'Lead PL'!I210</f>
        <v>0</v>
      </c>
    </row>
    <row r="102" customFormat="false" ht="11.25" hidden="false" customHeight="true" outlineLevel="0" collapsed="false">
      <c r="C102" s="153" t="s">
        <v>245</v>
      </c>
      <c r="D102" s="407" t="s">
        <v>245</v>
      </c>
      <c r="E102" s="153"/>
      <c r="F102" s="303"/>
      <c r="G102" s="303"/>
      <c r="H102" s="303"/>
      <c r="I102" s="303"/>
      <c r="J102" s="303"/>
      <c r="K102" s="303"/>
      <c r="L102" s="303"/>
      <c r="M102" s="303"/>
      <c r="N102" s="303"/>
      <c r="O102" s="303"/>
      <c r="P102" s="303"/>
      <c r="Q102" s="303"/>
      <c r="R102" s="303"/>
      <c r="S102" s="303"/>
      <c r="T102" s="303"/>
      <c r="U102" s="303"/>
      <c r="V102" s="303"/>
      <c r="W102" s="303"/>
      <c r="X102" s="303"/>
      <c r="Y102" s="303"/>
      <c r="Z102" s="303"/>
      <c r="AA102" s="303"/>
      <c r="AB102" s="303"/>
      <c r="AC102" s="303"/>
      <c r="AD102" s="303"/>
      <c r="AE102" s="303"/>
      <c r="AF102" s="303"/>
      <c r="AG102" s="303"/>
      <c r="AH102" s="303"/>
      <c r="AI102" s="303"/>
      <c r="AJ102" s="303"/>
      <c r="AK102" s="303"/>
      <c r="AL102" s="303"/>
      <c r="AM102" s="303"/>
      <c r="AN102" s="303"/>
      <c r="AO102" s="303"/>
      <c r="AP102" s="303"/>
      <c r="AQ102" s="303"/>
      <c r="AR102" s="303"/>
      <c r="AS102" s="303"/>
      <c r="AT102" s="410" t="n">
        <f aca="false">AT101-SUM(AI50:AT50)</f>
        <v>0</v>
      </c>
    </row>
    <row r="103" customFormat="false" ht="11.25" hidden="false" customHeight="true" outlineLevel="0" collapsed="false"/>
    <row r="104" customFormat="false" ht="11.25" hidden="false" customHeight="true" outlineLevel="0" collapsed="false"/>
    <row r="105" customFormat="false" ht="11.25" hidden="false" customHeight="true" outlineLevel="0" collapsed="false"/>
  </sheetData>
  <conditionalFormatting sqref="AT102">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conditionalFormatting sqref="AT100">
    <cfRule type="cellIs" priority="5" operator="between" aboveAverage="0" equalAverage="0" bottom="0" percent="0" rank="0" text="" dxfId="2">
      <formula>-1</formula>
      <formula>1</formula>
    </cfRule>
    <cfRule type="cellIs" priority="6" operator="lessThan" aboveAverage="0" equalAverage="0" bottom="0" percent="0" rank="0" text="" dxfId="0">
      <formula>-1</formula>
    </cfRule>
    <cfRule type="cellIs" priority="7" operator="greaterThan" aboveAverage="0" equalAverage="0" bottom="0" percent="0" rank="0" text="" dxfId="0">
      <formula>1</formula>
    </cfRule>
  </conditionalFormatting>
  <conditionalFormatting sqref="Q100">
    <cfRule type="cellIs" priority="8" operator="between" aboveAverage="0" equalAverage="0" bottom="0" percent="0" rank="0" text="" dxfId="2">
      <formula>-1</formula>
      <formula>1</formula>
    </cfRule>
    <cfRule type="cellIs" priority="9" operator="lessThan" aboveAverage="0" equalAverage="0" bottom="0" percent="0" rank="0" text="" dxfId="0">
      <formula>-1</formula>
    </cfRule>
    <cfRule type="cellIs" priority="10" operator="greaterThan" aboveAverage="0" equalAverage="0" bottom="0" percent="0" rank="0" text="" dxfId="0">
      <formula>1</formula>
    </cfRule>
  </conditionalFormatting>
  <conditionalFormatting sqref="AC100">
    <cfRule type="cellIs" priority="11" operator="between" aboveAverage="0" equalAverage="0" bottom="0" percent="0" rank="0" text="" dxfId="2">
      <formula>-1</formula>
      <formula>1</formula>
    </cfRule>
    <cfRule type="cellIs" priority="12" operator="lessThan" aboveAverage="0" equalAverage="0" bottom="0" percent="0" rank="0" text="" dxfId="0">
      <formula>-1</formula>
    </cfRule>
    <cfRule type="cellIs" priority="13" operator="greaterThan" aboveAverage="0" equalAverage="0" bottom="0" percent="0" rank="0" text="" dxfId="0">
      <formula>1</formula>
    </cfRule>
  </conditionalFormatting>
  <conditionalFormatting sqref="AO100">
    <cfRule type="cellIs" priority="14" operator="between" aboveAverage="0" equalAverage="0" bottom="0" percent="0" rank="0" text="" dxfId="2">
      <formula>-1</formula>
      <formula>1</formula>
    </cfRule>
    <cfRule type="cellIs" priority="15" operator="lessThan" aboveAverage="0" equalAverage="0" bottom="0" percent="0" rank="0" text="" dxfId="0">
      <formula>-1</formula>
    </cfRule>
    <cfRule type="cellIs" priority="16" operator="greaterThan" aboveAverage="0" equalAverage="0" bottom="0" percent="0" rank="0" text="" dxfId="0">
      <formula>1</formula>
    </cfRule>
  </conditionalFormatting>
  <conditionalFormatting sqref="BA100">
    <cfRule type="cellIs" priority="17" operator="between" aboveAverage="0" equalAverage="0" bottom="0" percent="0" rank="0" text="" dxfId="2">
      <formula>-1</formula>
      <formula>1</formula>
    </cfRule>
    <cfRule type="cellIs" priority="18" operator="lessThan" aboveAverage="0" equalAverage="0" bottom="0" percent="0" rank="0" text="" dxfId="0">
      <formula>-1</formula>
    </cfRule>
    <cfRule type="cellIs" priority="19" operator="greaterThan" aboveAverage="0" equalAverage="0" bottom="0" percent="0" rank="0" text="" dxfId="0">
      <formula>1</formula>
    </cfRule>
  </conditionalFormatting>
  <conditionalFormatting sqref="BM100">
    <cfRule type="cellIs" priority="20" operator="between" aboveAverage="0" equalAverage="0" bottom="0" percent="0" rank="0" text="" dxfId="2">
      <formula>-1</formula>
      <formula>1</formula>
    </cfRule>
    <cfRule type="cellIs" priority="21" operator="lessThan" aboveAverage="0" equalAverage="0" bottom="0" percent="0" rank="0" text="" dxfId="0">
      <formula>-1</formula>
    </cfRule>
    <cfRule type="cellIs" priority="22" operator="greaterThan" aboveAverage="0" equalAverage="0" bottom="0" percent="0" rank="0" text="" dxfId="0">
      <formula>1</formula>
    </cfRule>
  </conditionalFormatting>
  <conditionalFormatting sqref="BY100">
    <cfRule type="cellIs" priority="23" operator="between" aboveAverage="0" equalAverage="0" bottom="0" percent="0" rank="0" text="" dxfId="2">
      <formula>-1</formula>
      <formula>1</formula>
    </cfRule>
    <cfRule type="cellIs" priority="24" operator="lessThan" aboveAverage="0" equalAverage="0" bottom="0" percent="0" rank="0" text="" dxfId="0">
      <formula>-1</formula>
    </cfRule>
    <cfRule type="cellIs" priority="25" operator="greaterThan" aboveAverage="0" equalAverage="0" bottom="0" percent="0" rank="0" text="" dxfId="0">
      <formula>1</formula>
    </cfRule>
  </conditionalFormatting>
  <conditionalFormatting sqref="CK100">
    <cfRule type="cellIs" priority="26" operator="between" aboveAverage="0" equalAverage="0" bottom="0" percent="0" rank="0" text="" dxfId="2">
      <formula>-1</formula>
      <formula>1</formula>
    </cfRule>
    <cfRule type="cellIs" priority="27" operator="lessThan" aboveAverage="0" equalAverage="0" bottom="0" percent="0" rank="0" text="" dxfId="0">
      <formula>-1</formula>
    </cfRule>
    <cfRule type="cellIs" priority="28"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R26"/>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I26" activeCellId="0" sqref="I26"/>
    </sheetView>
  </sheetViews>
  <sheetFormatPr defaultColWidth="11.43359375" defaultRowHeight="11.25" zeroHeight="false" outlineLevelRow="3" outlineLevelCol="2"/>
  <cols>
    <col collapsed="false" customWidth="false" hidden="false" outlineLevel="0" max="1" min="1" style="1" width="11.43"/>
    <col collapsed="false" customWidth="true" hidden="true" outlineLevel="2" max="2" min="2" style="1" width="0.86"/>
    <col collapsed="false" customWidth="true" hidden="true" outlineLevel="2" max="3" min="3" style="1" width="35.57"/>
    <col collapsed="false" customWidth="true" hidden="false" outlineLevel="0" max="4" min="4" style="1" width="35.57"/>
    <col collapsed="false" customWidth="true" hidden="false" outlineLevel="0" max="5" min="5" style="1" width="10.42"/>
    <col collapsed="false" customWidth="true" hidden="false" outlineLevel="0" max="10" min="6" style="1" width="9.42"/>
    <col collapsed="false" customWidth="true" hidden="true" outlineLevel="1" max="14" min="11" style="1" width="9.42"/>
    <col collapsed="false" customWidth="true" hidden="false" outlineLevel="0" max="15" min="15" style="1" width="0.86"/>
    <col collapsed="false" customWidth="true" hidden="true" outlineLevel="1" max="17" min="16" style="1" width="8.42"/>
    <col collapsed="false" customWidth="true" hidden="true" outlineLevel="2" max="18" min="18" style="1" width="0.86"/>
    <col collapsed="true" customWidth="false" hidden="false" outlineLevel="0" max="19" min="19" style="1" width="11.43"/>
    <col collapsed="false" customWidth="false" hidden="false" outlineLevel="0" max="16384" min="20" style="1" width="11.43"/>
  </cols>
  <sheetData>
    <row r="1" customFormat="false" ht="11.25" hidden="true" customHeight="true" outlineLevel="3" collapsed="false">
      <c r="C1" s="31" t="s">
        <v>405</v>
      </c>
      <c r="D1" s="31" t="s">
        <v>405</v>
      </c>
      <c r="E1" s="31"/>
      <c r="F1" s="12" t="n">
        <f aca="false">IFERROR(F4,F6)</f>
        <v>44926</v>
      </c>
      <c r="G1" s="12" t="n">
        <f aca="false">IFERROR(G4,G6)</f>
        <v>45291</v>
      </c>
      <c r="H1" s="12" t="n">
        <f aca="false">IFERROR(H4,H6)</f>
        <v>45657</v>
      </c>
      <c r="I1" s="12" t="n">
        <f aca="false">IFERROR(I4,I6)</f>
        <v>45808</v>
      </c>
      <c r="J1" s="12" t="n">
        <f aca="false">IFERROR(J4,J6)</f>
        <v>45808</v>
      </c>
      <c r="K1" s="12" t="n">
        <f aca="false">IFERROR(K4,K6)</f>
        <v>46022</v>
      </c>
      <c r="L1" s="12" t="n">
        <f aca="false">IFERROR(L4,L6)</f>
        <v>46387</v>
      </c>
      <c r="M1" s="12" t="n">
        <f aca="false">IFERROR(M4,M6)</f>
        <v>46752</v>
      </c>
      <c r="N1" s="12" t="n">
        <f aca="false">IFERROR(N4,N6)</f>
        <v>47118</v>
      </c>
    </row>
    <row r="2" customFormat="false" ht="11.25" hidden="false" customHeight="true" outlineLevel="0" collapsed="false">
      <c r="C2" s="31"/>
      <c r="D2" s="31"/>
      <c r="E2" s="31"/>
      <c r="F2" s="12"/>
      <c r="G2" s="12"/>
      <c r="H2" s="12"/>
      <c r="I2" s="12"/>
      <c r="J2" s="12"/>
      <c r="K2" s="12"/>
      <c r="L2" s="12"/>
      <c r="M2" s="12"/>
      <c r="N2" s="12"/>
    </row>
    <row r="4" customFormat="false" ht="11.25" hidden="true" customHeight="true" outlineLevel="3" collapsed="false">
      <c r="B4" s="57"/>
      <c r="C4" s="220" t="str">
        <f aca="false">Cockpit!$C$4</f>
        <v>Template</v>
      </c>
      <c r="D4" s="221"/>
      <c r="E4" s="221"/>
      <c r="F4" s="221" t="n">
        <f aca="false">'Lead PL'!F4</f>
        <v>44926</v>
      </c>
      <c r="G4" s="221" t="n">
        <f aca="false">'Lead PL'!G4</f>
        <v>45291</v>
      </c>
      <c r="H4" s="221" t="n">
        <f aca="false">'Lead PL'!H4</f>
        <v>45657</v>
      </c>
      <c r="I4" s="225" t="n">
        <f aca="false">'Lead PL'!I4</f>
        <v>45808</v>
      </c>
      <c r="J4" s="225" t="n">
        <f aca="false">'Lead PL'!J4</f>
        <v>45808</v>
      </c>
      <c r="K4" s="221" t="n">
        <f aca="false">'Lead PL'!K4</f>
        <v>46022</v>
      </c>
      <c r="L4" s="221" t="n">
        <f aca="false">'Lead PL'!L4</f>
        <v>46387</v>
      </c>
      <c r="M4" s="221" t="n">
        <f aca="false">'Lead PL'!M4</f>
        <v>46752</v>
      </c>
      <c r="N4" s="221" t="n">
        <f aca="false">'Lead PL'!N4</f>
        <v>47118</v>
      </c>
      <c r="O4" s="57"/>
      <c r="P4" s="221" t="str">
        <f aca="false">'Lead PL'!P4</f>
        <v>CAGR</v>
      </c>
      <c r="Q4" s="221" t="str">
        <f aca="false">'Lead PL'!Q4</f>
        <v>CAGR</v>
      </c>
      <c r="R4" s="57"/>
    </row>
    <row r="5" customFormat="false" ht="11.25" hidden="true" customHeight="true" outlineLevel="3" collapsed="false">
      <c r="B5" s="57"/>
      <c r="C5" s="220" t="str">
        <f aca="false">"in T"&amp;Cockpit!$C$5</f>
        <v>in TEUR</v>
      </c>
      <c r="D5" s="221"/>
      <c r="E5" s="221"/>
      <c r="F5" s="221" t="str">
        <f aca="false">'Lead PL'!F5</f>
        <v>IST</v>
      </c>
      <c r="G5" s="221" t="str">
        <f aca="false">'Lead PL'!G5</f>
        <v>IST</v>
      </c>
      <c r="H5" s="221" t="str">
        <f aca="false">'Lead PL'!H5</f>
        <v>IST</v>
      </c>
      <c r="I5" s="221" t="str">
        <f aca="false">'Lead PL'!I5</f>
        <v>LTM</v>
      </c>
      <c r="J5" s="221" t="str">
        <f aca="false">'Lead PL'!J5</f>
        <v>YTD</v>
      </c>
      <c r="K5" s="221" t="str">
        <f aca="false">'Lead PL'!K5</f>
        <v>Plan</v>
      </c>
      <c r="L5" s="221" t="str">
        <f aca="false">'Lead PL'!L5</f>
        <v>Plan</v>
      </c>
      <c r="M5" s="221" t="str">
        <f aca="false">'Lead PL'!M5</f>
        <v>Plan</v>
      </c>
      <c r="N5" s="221" t="str">
        <f aca="false">'Lead PL'!N5</f>
        <v>Plan</v>
      </c>
      <c r="O5" s="57"/>
      <c r="P5" s="221" t="str">
        <f aca="false">'Lead PL'!P5</f>
        <v>IST</v>
      </c>
      <c r="Q5" s="221" t="str">
        <f aca="false">'Lead PL'!Q5</f>
        <v>Plan</v>
      </c>
      <c r="R5" s="57"/>
    </row>
    <row r="6" customFormat="false" ht="11.25" hidden="false" customHeight="true" outlineLevel="0" collapsed="false">
      <c r="B6" s="86"/>
      <c r="C6" s="227"/>
      <c r="D6" s="228" t="str">
        <f aca="false">Cockpit!$C$4</f>
        <v>Template</v>
      </c>
      <c r="E6" s="228"/>
      <c r="F6" s="227" t="n">
        <f aca="false">'Lead PL'!F6</f>
        <v>44926</v>
      </c>
      <c r="G6" s="227" t="n">
        <f aca="false">'Lead PL'!G6</f>
        <v>45291</v>
      </c>
      <c r="H6" s="227" t="n">
        <f aca="false">'Lead PL'!H6</f>
        <v>45657</v>
      </c>
      <c r="I6" s="293" t="n">
        <f aca="false">'Lead PL'!I6</f>
        <v>45808</v>
      </c>
      <c r="J6" s="293" t="n">
        <f aca="false">'Lead PL'!J6</f>
        <v>45808</v>
      </c>
      <c r="K6" s="227" t="n">
        <f aca="false">'Lead PL'!K6</f>
        <v>46022</v>
      </c>
      <c r="L6" s="227" t="n">
        <f aca="false">'Lead PL'!L6</f>
        <v>46387</v>
      </c>
      <c r="M6" s="227" t="n">
        <f aca="false">'Lead PL'!M6</f>
        <v>46752</v>
      </c>
      <c r="N6" s="227" t="n">
        <f aca="false">'Lead PL'!N6</f>
        <v>47118</v>
      </c>
      <c r="O6" s="86"/>
      <c r="P6" s="227" t="str">
        <f aca="false">'Lead PL'!P6</f>
        <v>CAGR</v>
      </c>
      <c r="Q6" s="227" t="str">
        <f aca="false">'Lead PL'!Q6</f>
        <v>CAGR</v>
      </c>
      <c r="R6" s="86"/>
    </row>
    <row r="7" customFormat="false" ht="11.25" hidden="false" customHeight="true" outlineLevel="0" collapsed="false">
      <c r="B7" s="86"/>
      <c r="C7" s="227"/>
      <c r="D7" s="228" t="str">
        <f aca="false">"in k"&amp;Cockpit!$C$5</f>
        <v>in kEUR</v>
      </c>
      <c r="E7" s="228"/>
      <c r="F7" s="227" t="str">
        <f aca="false">'Lead PL'!F7</f>
        <v>IST</v>
      </c>
      <c r="G7" s="227" t="str">
        <f aca="false">'Lead PL'!G7</f>
        <v>IST</v>
      </c>
      <c r="H7" s="227" t="str">
        <f aca="false">'Lead PL'!H7</f>
        <v>IST</v>
      </c>
      <c r="I7" s="227" t="str">
        <f aca="false">'Lead PL'!I7</f>
        <v>LTM</v>
      </c>
      <c r="J7" s="227" t="str">
        <f aca="false">'Lead PL'!J7</f>
        <v>YTD</v>
      </c>
      <c r="K7" s="227" t="str">
        <f aca="false">'Lead PL'!K7</f>
        <v>Plan</v>
      </c>
      <c r="L7" s="227" t="str">
        <f aca="false">'Lead PL'!L7</f>
        <v>Plan</v>
      </c>
      <c r="M7" s="227" t="str">
        <f aca="false">'Lead PL'!M7</f>
        <v>Plan</v>
      </c>
      <c r="N7" s="227" t="str">
        <f aca="false">'Lead PL'!N7</f>
        <v>Plan</v>
      </c>
      <c r="O7" s="86"/>
      <c r="P7" s="227" t="str">
        <f aca="false">'Lead PL'!P7</f>
        <v>IST</v>
      </c>
      <c r="Q7" s="227" t="str">
        <f aca="false">'Lead PL'!Q7</f>
        <v>Plan</v>
      </c>
      <c r="R7" s="86"/>
    </row>
    <row r="8" customFormat="false" ht="4.5" hidden="false" customHeight="true" outlineLevel="0" collapsed="false">
      <c r="B8" s="411"/>
      <c r="C8" s="51"/>
      <c r="D8" s="51"/>
      <c r="E8" s="51"/>
      <c r="F8" s="51"/>
      <c r="G8" s="51"/>
      <c r="H8" s="51"/>
      <c r="I8" s="51"/>
      <c r="J8" s="51"/>
      <c r="K8" s="51"/>
      <c r="L8" s="51"/>
      <c r="M8" s="51"/>
      <c r="N8" s="51"/>
      <c r="O8" s="411"/>
      <c r="P8" s="57"/>
      <c r="Q8" s="57"/>
      <c r="R8" s="411"/>
    </row>
    <row r="9" customFormat="false" ht="11.25" hidden="false" customHeight="true" outlineLevel="0" collapsed="false">
      <c r="B9" s="411"/>
      <c r="C9" s="51" t="s">
        <v>234</v>
      </c>
      <c r="D9" s="51" t="s">
        <v>234</v>
      </c>
      <c r="E9" s="51"/>
      <c r="F9" s="159"/>
      <c r="G9" s="159"/>
      <c r="H9" s="159"/>
      <c r="I9" s="196"/>
      <c r="J9" s="160"/>
      <c r="K9" s="161"/>
      <c r="L9" s="161"/>
      <c r="M9" s="161"/>
      <c r="N9" s="161"/>
      <c r="O9" s="411"/>
      <c r="P9" s="57" t="str">
        <f aca="false">IFERROR(((H9/F9)^(1/(($H$1-$F$1)/365)))-1,"n/a")</f>
        <v>n/a</v>
      </c>
      <c r="Q9" s="57" t="str">
        <f aca="false">IFERROR(((N9/H9)^(1/(($N$1-$H$1)/365)))-1,"n/a")</f>
        <v>n/a</v>
      </c>
      <c r="R9" s="411"/>
    </row>
    <row r="10" customFormat="false" ht="11.25" hidden="false" customHeight="true" outlineLevel="0" collapsed="false">
      <c r="B10" s="411"/>
      <c r="C10" s="51" t="s">
        <v>235</v>
      </c>
      <c r="D10" s="51" t="s">
        <v>235</v>
      </c>
      <c r="E10" s="51"/>
      <c r="F10" s="159"/>
      <c r="G10" s="159"/>
      <c r="H10" s="159"/>
      <c r="I10" s="196"/>
      <c r="J10" s="160"/>
      <c r="K10" s="161"/>
      <c r="L10" s="161"/>
      <c r="M10" s="161"/>
      <c r="N10" s="161"/>
      <c r="O10" s="411"/>
      <c r="P10" s="57" t="str">
        <f aca="false">IFERROR(((H10/F10)^(1/(($H$1-$F$1)/365)))-1,"n/a")</f>
        <v>n/a</v>
      </c>
      <c r="Q10" s="57" t="str">
        <f aca="false">IFERROR(((N10/H10)^(1/(($N$1-$H$1)/365)))-1,"n/a")</f>
        <v>n/a</v>
      </c>
      <c r="R10" s="411"/>
    </row>
    <row r="11" customFormat="false" ht="11.25" hidden="false" customHeight="true" outlineLevel="0" collapsed="false">
      <c r="B11" s="411"/>
      <c r="C11" s="51" t="s">
        <v>236</v>
      </c>
      <c r="D11" s="51" t="s">
        <v>236</v>
      </c>
      <c r="E11" s="51"/>
      <c r="F11" s="159"/>
      <c r="G11" s="159"/>
      <c r="H11" s="159"/>
      <c r="I11" s="196"/>
      <c r="J11" s="160"/>
      <c r="K11" s="161"/>
      <c r="L11" s="161"/>
      <c r="M11" s="161"/>
      <c r="N11" s="161"/>
      <c r="O11" s="411"/>
      <c r="P11" s="57" t="str">
        <f aca="false">IFERROR(((H11/F11)^(1/(($H$1-$F$1)/365)))-1,"n/a")</f>
        <v>n/a</v>
      </c>
      <c r="Q11" s="57" t="str">
        <f aca="false">IFERROR(((N11/H11)^(1/(($N$1-$H$1)/365)))-1,"n/a")</f>
        <v>n/a</v>
      </c>
      <c r="R11" s="411"/>
    </row>
    <row r="12" customFormat="false" ht="11.25" hidden="false" customHeight="true" outlineLevel="0" collapsed="false">
      <c r="B12" s="411"/>
      <c r="C12" s="54" t="s">
        <v>237</v>
      </c>
      <c r="D12" s="54" t="s">
        <v>237</v>
      </c>
      <c r="E12" s="54"/>
      <c r="F12" s="162"/>
      <c r="G12" s="162"/>
      <c r="H12" s="162"/>
      <c r="I12" s="197"/>
      <c r="J12" s="163"/>
      <c r="K12" s="164"/>
      <c r="L12" s="164"/>
      <c r="M12" s="164"/>
      <c r="N12" s="164"/>
      <c r="O12" s="411"/>
      <c r="P12" s="55" t="str">
        <f aca="false">IFERROR(((H12/F12)^(1/(($H$1-$F$1)/365)))-1,"n/a")</f>
        <v>n/a</v>
      </c>
      <c r="Q12" s="55" t="str">
        <f aca="false">IFERROR(((N12/H12)^(1/(($N$1-$H$1)/365)))-1,"n/a")</f>
        <v>n/a</v>
      </c>
      <c r="R12" s="411"/>
    </row>
    <row r="13" customFormat="false" ht="11.25" hidden="false" customHeight="true" outlineLevel="0" collapsed="false">
      <c r="B13" s="412"/>
      <c r="C13" s="181" t="str">
        <f aca="false">'Lead PL'!C9</f>
        <v>Umsatzerlöse</v>
      </c>
      <c r="D13" s="181" t="str">
        <f aca="false">'Lead PL'!D9</f>
        <v>Revenues</v>
      </c>
      <c r="E13" s="181"/>
      <c r="F13" s="175" t="n">
        <f aca="false">SUM(F9:F12)</f>
        <v>0</v>
      </c>
      <c r="G13" s="175" t="n">
        <f aca="false">SUM(G9:G12)</f>
        <v>0</v>
      </c>
      <c r="H13" s="175" t="n">
        <f aca="false">SUM(H9:H12)</f>
        <v>0</v>
      </c>
      <c r="I13" s="201" t="n">
        <f aca="false">SUM(I9:I12)</f>
        <v>0</v>
      </c>
      <c r="J13" s="176" t="n">
        <f aca="false">SUM(J9:J12)</f>
        <v>0</v>
      </c>
      <c r="K13" s="177" t="n">
        <f aca="false">SUM(K9:K12)</f>
        <v>0</v>
      </c>
      <c r="L13" s="177" t="n">
        <f aca="false">SUM(L9:L12)</f>
        <v>0</v>
      </c>
      <c r="M13" s="177" t="n">
        <f aca="false">SUM(M9:M12)</f>
        <v>0</v>
      </c>
      <c r="N13" s="177" t="n">
        <f aca="false">SUM(N9:N12)</f>
        <v>0</v>
      </c>
      <c r="O13" s="412"/>
      <c r="P13" s="283" t="str">
        <f aca="false">IFERROR(((H13/F13)^(1/(($H$1-$F$1)/365)))-1,"n/a")</f>
        <v>n/a</v>
      </c>
      <c r="Q13" s="283" t="str">
        <f aca="false">IFERROR(((N13/H13)^(1/(($N$1-$H$1)/365)))-1,"n/a")</f>
        <v>n/a</v>
      </c>
      <c r="R13" s="412"/>
    </row>
    <row r="14" customFormat="false" ht="4.5" hidden="false" customHeight="true" outlineLevel="0" collapsed="false">
      <c r="B14" s="411"/>
      <c r="C14" s="51"/>
      <c r="D14" s="51"/>
      <c r="E14" s="51"/>
      <c r="F14" s="159"/>
      <c r="G14" s="159"/>
      <c r="H14" s="159"/>
      <c r="I14" s="196"/>
      <c r="J14" s="160"/>
      <c r="K14" s="161"/>
      <c r="L14" s="161"/>
      <c r="M14" s="161"/>
      <c r="N14" s="161"/>
      <c r="O14" s="411"/>
      <c r="P14" s="57"/>
      <c r="Q14" s="57"/>
      <c r="R14" s="411"/>
    </row>
    <row r="15" customFormat="false" ht="11.25" hidden="false" customHeight="true" outlineLevel="0" collapsed="false">
      <c r="B15" s="411"/>
      <c r="C15" s="132" t="s">
        <v>887</v>
      </c>
      <c r="D15" s="132" t="s">
        <v>888</v>
      </c>
      <c r="E15" s="132"/>
      <c r="F15" s="159"/>
      <c r="G15" s="159"/>
      <c r="H15" s="159"/>
      <c r="I15" s="196"/>
      <c r="J15" s="160"/>
      <c r="K15" s="161"/>
      <c r="L15" s="161"/>
      <c r="M15" s="161"/>
      <c r="N15" s="161"/>
      <c r="O15" s="411"/>
      <c r="P15" s="57"/>
      <c r="Q15" s="57"/>
      <c r="R15" s="411"/>
    </row>
    <row r="16" customFormat="false" ht="11.25" hidden="false" customHeight="true" outlineLevel="0" collapsed="false">
      <c r="B16" s="411"/>
      <c r="C16" s="51" t="str">
        <f aca="false">C9</f>
        <v>Dummy 1</v>
      </c>
      <c r="D16" s="51" t="str">
        <f aca="false">D9</f>
        <v>Dummy 1</v>
      </c>
      <c r="E16" s="51"/>
      <c r="F16" s="57" t="str">
        <f aca="false">IFERROR(F9/F$13,"n/a")</f>
        <v>n/a</v>
      </c>
      <c r="G16" s="57" t="str">
        <f aca="false">IFERROR(G9/G$13,"n/a")</f>
        <v>n/a</v>
      </c>
      <c r="H16" s="57" t="str">
        <f aca="false">IFERROR(H9/H$13,"n/a")</f>
        <v>n/a</v>
      </c>
      <c r="I16" s="141" t="str">
        <f aca="false">IFERROR(I9/I$13,"n/a")</f>
        <v>n/a</v>
      </c>
      <c r="J16" s="142" t="str">
        <f aca="false">IFERROR(J9/J$13,"n/a")</f>
        <v>n/a</v>
      </c>
      <c r="K16" s="139" t="str">
        <f aca="false">IFERROR(K9/K$13,"n/a")</f>
        <v>n/a</v>
      </c>
      <c r="L16" s="139" t="str">
        <f aca="false">IFERROR(L9/L$13,"n/a")</f>
        <v>n/a</v>
      </c>
      <c r="M16" s="139" t="str">
        <f aca="false">IFERROR(M9/M$13,"n/a")</f>
        <v>n/a</v>
      </c>
      <c r="N16" s="139" t="str">
        <f aca="false">IFERROR(N9/N$13,"n/a")</f>
        <v>n/a</v>
      </c>
      <c r="O16" s="411"/>
      <c r="P16" s="57"/>
      <c r="Q16" s="57"/>
      <c r="R16" s="411"/>
    </row>
    <row r="17" customFormat="false" ht="11.25" hidden="false" customHeight="true" outlineLevel="0" collapsed="false">
      <c r="B17" s="411"/>
      <c r="C17" s="51" t="str">
        <f aca="false">C10</f>
        <v>Dummy 2</v>
      </c>
      <c r="D17" s="51" t="str">
        <f aca="false">D10</f>
        <v>Dummy 2</v>
      </c>
      <c r="E17" s="51"/>
      <c r="F17" s="57" t="str">
        <f aca="false">IFERROR(F10/F$13,"n/a")</f>
        <v>n/a</v>
      </c>
      <c r="G17" s="57" t="str">
        <f aca="false">IFERROR(G10/G$13,"n/a")</f>
        <v>n/a</v>
      </c>
      <c r="H17" s="57" t="str">
        <f aca="false">IFERROR(H10/H$13,"n/a")</f>
        <v>n/a</v>
      </c>
      <c r="I17" s="141" t="str">
        <f aca="false">IFERROR(I10/I$13,"n/a")</f>
        <v>n/a</v>
      </c>
      <c r="J17" s="142" t="str">
        <f aca="false">IFERROR(J10/J$13,"n/a")</f>
        <v>n/a</v>
      </c>
      <c r="K17" s="139" t="str">
        <f aca="false">IFERROR(K10/K$13,"n/a")</f>
        <v>n/a</v>
      </c>
      <c r="L17" s="139" t="str">
        <f aca="false">IFERROR(L10/L$13,"n/a")</f>
        <v>n/a</v>
      </c>
      <c r="M17" s="139" t="str">
        <f aca="false">IFERROR(M10/M$13,"n/a")</f>
        <v>n/a</v>
      </c>
      <c r="N17" s="139" t="str">
        <f aca="false">IFERROR(N10/N$13,"n/a")</f>
        <v>n/a</v>
      </c>
      <c r="O17" s="411"/>
      <c r="P17" s="57"/>
      <c r="Q17" s="57"/>
      <c r="R17" s="411"/>
    </row>
    <row r="18" customFormat="false" ht="11.25" hidden="false" customHeight="true" outlineLevel="0" collapsed="false">
      <c r="B18" s="411"/>
      <c r="C18" s="51" t="str">
        <f aca="false">C11</f>
        <v>Dummy 3</v>
      </c>
      <c r="D18" s="51" t="str">
        <f aca="false">D11</f>
        <v>Dummy 3</v>
      </c>
      <c r="E18" s="51"/>
      <c r="F18" s="57" t="str">
        <f aca="false">IFERROR(F11/F$13,"n/a")</f>
        <v>n/a</v>
      </c>
      <c r="G18" s="57" t="str">
        <f aca="false">IFERROR(G11/G$13,"n/a")</f>
        <v>n/a</v>
      </c>
      <c r="H18" s="57" t="str">
        <f aca="false">IFERROR(H11/H$13,"n/a")</f>
        <v>n/a</v>
      </c>
      <c r="I18" s="141" t="str">
        <f aca="false">IFERROR(I11/I$13,"n/a")</f>
        <v>n/a</v>
      </c>
      <c r="J18" s="142" t="str">
        <f aca="false">IFERROR(J11/J$13,"n/a")</f>
        <v>n/a</v>
      </c>
      <c r="K18" s="139" t="str">
        <f aca="false">IFERROR(K11/K$13,"n/a")</f>
        <v>n/a</v>
      </c>
      <c r="L18" s="139" t="str">
        <f aca="false">IFERROR(L11/L$13,"n/a")</f>
        <v>n/a</v>
      </c>
      <c r="M18" s="139" t="str">
        <f aca="false">IFERROR(M11/M$13,"n/a")</f>
        <v>n/a</v>
      </c>
      <c r="N18" s="139" t="str">
        <f aca="false">IFERROR(N11/N$13,"n/a")</f>
        <v>n/a</v>
      </c>
      <c r="O18" s="411"/>
      <c r="P18" s="57"/>
      <c r="Q18" s="57"/>
      <c r="R18" s="411"/>
    </row>
    <row r="19" customFormat="false" ht="11.25" hidden="false" customHeight="true" outlineLevel="0" collapsed="false">
      <c r="B19" s="411"/>
      <c r="C19" s="51" t="str">
        <f aca="false">C12</f>
        <v>Dummy 4</v>
      </c>
      <c r="D19" s="51" t="str">
        <f aca="false">D12</f>
        <v>Dummy 4</v>
      </c>
      <c r="E19" s="51"/>
      <c r="F19" s="57" t="str">
        <f aca="false">IFERROR(F12/F$13,"n/a")</f>
        <v>n/a</v>
      </c>
      <c r="G19" s="57" t="str">
        <f aca="false">IFERROR(G12/G$13,"n/a")</f>
        <v>n/a</v>
      </c>
      <c r="H19" s="57" t="str">
        <f aca="false">IFERROR(H12/H$13,"n/a")</f>
        <v>n/a</v>
      </c>
      <c r="I19" s="141" t="str">
        <f aca="false">IFERROR(I12/I$13,"n/a")</f>
        <v>n/a</v>
      </c>
      <c r="J19" s="142" t="str">
        <f aca="false">IFERROR(J12/J$13,"n/a")</f>
        <v>n/a</v>
      </c>
      <c r="K19" s="139" t="str">
        <f aca="false">IFERROR(K12/K$13,"n/a")</f>
        <v>n/a</v>
      </c>
      <c r="L19" s="139" t="str">
        <f aca="false">IFERROR(L12/L$13,"n/a")</f>
        <v>n/a</v>
      </c>
      <c r="M19" s="139" t="str">
        <f aca="false">IFERROR(M12/M$13,"n/a")</f>
        <v>n/a</v>
      </c>
      <c r="N19" s="139" t="str">
        <f aca="false">IFERROR(N12/N$13,"n/a")</f>
        <v>n/a</v>
      </c>
      <c r="O19" s="411"/>
      <c r="P19" s="57"/>
      <c r="Q19" s="57"/>
      <c r="R19" s="411"/>
    </row>
    <row r="20" customFormat="false" ht="4.5" hidden="false" customHeight="true" outlineLevel="0" collapsed="false">
      <c r="B20" s="411"/>
      <c r="C20" s="51"/>
      <c r="D20" s="51"/>
      <c r="E20" s="51"/>
      <c r="F20" s="57"/>
      <c r="G20" s="57"/>
      <c r="H20" s="57"/>
      <c r="I20" s="196"/>
      <c r="J20" s="160"/>
      <c r="K20" s="161"/>
      <c r="L20" s="161"/>
      <c r="M20" s="161"/>
      <c r="N20" s="161"/>
      <c r="O20" s="411"/>
      <c r="P20" s="57"/>
      <c r="Q20" s="57"/>
      <c r="R20" s="411"/>
    </row>
    <row r="21" customFormat="false" ht="11.25" hidden="false" customHeight="true" outlineLevel="0" collapsed="false">
      <c r="B21" s="57"/>
      <c r="C21" s="54" t="str">
        <f aca="false">"Quelle: "&amp;Cockpit!$C$7</f>
        <v>Quelle: Datenraum/ eigene Analysen</v>
      </c>
      <c r="D21" s="54" t="str">
        <f aca="false">"Source: "&amp;Cockpit!$C$8</f>
        <v>Source: Virtual Data Room/ Company Information</v>
      </c>
      <c r="E21" s="54"/>
      <c r="F21" s="55"/>
      <c r="G21" s="55"/>
      <c r="H21" s="55"/>
      <c r="I21" s="55"/>
      <c r="J21" s="55"/>
      <c r="K21" s="55"/>
      <c r="L21" s="55"/>
      <c r="M21" s="55"/>
      <c r="N21" s="55"/>
      <c r="O21" s="57"/>
      <c r="P21" s="55"/>
      <c r="Q21" s="55"/>
      <c r="R21" s="57"/>
    </row>
    <row r="25" customFormat="false" ht="11.25" hidden="false" customHeight="true" outlineLevel="0" collapsed="false">
      <c r="C25" s="151" t="s">
        <v>889</v>
      </c>
      <c r="D25" s="151" t="s">
        <v>889</v>
      </c>
      <c r="E25" s="151"/>
      <c r="F25" s="152" t="n">
        <f aca="false">'Lead PL'!F9</f>
        <v>0</v>
      </c>
      <c r="G25" s="152" t="n">
        <f aca="false">'Lead PL'!G9</f>
        <v>0</v>
      </c>
      <c r="H25" s="152" t="n">
        <f aca="false">'Lead PL'!H9</f>
        <v>0</v>
      </c>
      <c r="I25" s="152" t="n">
        <f aca="false">'Lead PL'!I9</f>
        <v>0</v>
      </c>
      <c r="J25" s="152" t="n">
        <f aca="false">'Lead PL'!J9</f>
        <v>0</v>
      </c>
      <c r="K25" s="152"/>
      <c r="L25" s="152"/>
      <c r="M25" s="152"/>
      <c r="N25" s="152"/>
      <c r="P25" s="35" t="s">
        <v>890</v>
      </c>
    </row>
    <row r="26" customFormat="false" ht="11.25" hidden="false" customHeight="true" outlineLevel="0" collapsed="false">
      <c r="C26" s="153" t="s">
        <v>245</v>
      </c>
      <c r="D26" s="154" t="s">
        <v>245</v>
      </c>
      <c r="E26" s="153"/>
      <c r="F26" s="155" t="n">
        <f aca="false">F25-F13</f>
        <v>0</v>
      </c>
      <c r="G26" s="155" t="n">
        <f aca="false">G25-G13</f>
        <v>0</v>
      </c>
      <c r="H26" s="155" t="n">
        <f aca="false">H25-H13</f>
        <v>0</v>
      </c>
      <c r="I26" s="155" t="n">
        <f aca="false">I25-I13</f>
        <v>0</v>
      </c>
      <c r="J26" s="155" t="n">
        <f aca="false">J25-J13</f>
        <v>0</v>
      </c>
      <c r="K26" s="155" t="n">
        <f aca="false">K25-K13</f>
        <v>0</v>
      </c>
      <c r="L26" s="155" t="n">
        <f aca="false">L25-L13</f>
        <v>0</v>
      </c>
      <c r="M26" s="155" t="n">
        <f aca="false">M25-M13</f>
        <v>0</v>
      </c>
      <c r="N26" s="155" t="n">
        <f aca="false">N25-N13</f>
        <v>0</v>
      </c>
    </row>
  </sheetData>
  <conditionalFormatting sqref="F26:N26">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53"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19"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B1:R41"/>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A1" activeCellId="0" sqref="A1"/>
    </sheetView>
  </sheetViews>
  <sheetFormatPr defaultColWidth="11.2890625" defaultRowHeight="11.25" zeroHeight="false" outlineLevelRow="3" outlineLevelCol="2"/>
  <cols>
    <col collapsed="false" customWidth="false" hidden="false" outlineLevel="0" max="1" min="1" style="1" width="11.29"/>
    <col collapsed="false" customWidth="true" hidden="true" outlineLevel="2" max="2" min="2" style="1" width="0.86"/>
    <col collapsed="false" customWidth="true" hidden="true" outlineLevel="2" max="3" min="3" style="1" width="29.14"/>
    <col collapsed="false" customWidth="true" hidden="false" outlineLevel="0" max="4" min="4" style="1" width="29.14"/>
    <col collapsed="false" customWidth="true" hidden="false" outlineLevel="0" max="5" min="5" style="1" width="10.42"/>
    <col collapsed="false" customWidth="true" hidden="false" outlineLevel="0" max="10" min="6" style="1" width="9.42"/>
    <col collapsed="false" customWidth="true" hidden="true" outlineLevel="1" max="14" min="11" style="1" width="9.42"/>
    <col collapsed="false" customWidth="true" hidden="true" outlineLevel="1" max="15" min="15" style="1" width="0.86"/>
    <col collapsed="false" customWidth="true" hidden="true" outlineLevel="1" max="17" min="16" style="1" width="8.42"/>
    <col collapsed="false" customWidth="true" hidden="true" outlineLevel="2" max="18" min="18" style="1" width="0.86"/>
    <col collapsed="true" customWidth="false" hidden="false" outlineLevel="0" max="19" min="19" style="1" width="11.29"/>
    <col collapsed="false" customWidth="false" hidden="false" outlineLevel="0" max="16384" min="20" style="1" width="11.29"/>
  </cols>
  <sheetData>
    <row r="1" customFormat="false" ht="11.25" hidden="true" customHeight="true" outlineLevel="3" collapsed="false">
      <c r="C1" s="31" t="s">
        <v>405</v>
      </c>
      <c r="D1" s="31" t="s">
        <v>405</v>
      </c>
      <c r="E1" s="31"/>
      <c r="F1" s="12" t="n">
        <f aca="false">IFERROR(F4,F6)</f>
        <v>44926</v>
      </c>
      <c r="G1" s="12" t="n">
        <f aca="false">IFERROR(G4,G6)</f>
        <v>45291</v>
      </c>
      <c r="H1" s="12" t="n">
        <f aca="false">IFERROR(H4,H6)</f>
        <v>45657</v>
      </c>
      <c r="I1" s="12" t="n">
        <f aca="false">IFERROR(I4,I6)</f>
        <v>45808</v>
      </c>
      <c r="J1" s="12" t="n">
        <f aca="false">IFERROR(J4,J6)</f>
        <v>45808</v>
      </c>
      <c r="K1" s="12" t="n">
        <f aca="false">IFERROR(K4,K6)</f>
        <v>46022</v>
      </c>
      <c r="L1" s="12" t="n">
        <f aca="false">IFERROR(L4,L6)</f>
        <v>46387</v>
      </c>
      <c r="M1" s="12" t="n">
        <f aca="false">IFERROR(M4,M6)</f>
        <v>46752</v>
      </c>
      <c r="N1" s="12" t="n">
        <f aca="false">IFERROR(N4,N6)</f>
        <v>47118</v>
      </c>
    </row>
    <row r="4" customFormat="false" ht="11.25" hidden="true" customHeight="true" outlineLevel="3" collapsed="false">
      <c r="B4" s="92"/>
      <c r="C4" s="220" t="str">
        <f aca="false">Cockpit!$C$4</f>
        <v>Template</v>
      </c>
      <c r="D4" s="221"/>
      <c r="E4" s="221"/>
      <c r="F4" s="221" t="n">
        <f aca="false">'Lead PL'!F4</f>
        <v>44926</v>
      </c>
      <c r="G4" s="221" t="n">
        <f aca="false">'Lead PL'!G4</f>
        <v>45291</v>
      </c>
      <c r="H4" s="221" t="n">
        <f aca="false">'Lead PL'!H4</f>
        <v>45657</v>
      </c>
      <c r="I4" s="225" t="n">
        <f aca="false">'Lead PL'!I4</f>
        <v>45808</v>
      </c>
      <c r="J4" s="225" t="n">
        <f aca="false">'Lead PL'!J4</f>
        <v>45808</v>
      </c>
      <c r="K4" s="221" t="n">
        <f aca="false">'Lead PL'!K4</f>
        <v>46022</v>
      </c>
      <c r="L4" s="221" t="n">
        <f aca="false">'Lead PL'!L4</f>
        <v>46387</v>
      </c>
      <c r="M4" s="221" t="n">
        <f aca="false">'Lead PL'!M4</f>
        <v>46752</v>
      </c>
      <c r="N4" s="221" t="n">
        <f aca="false">'Lead PL'!N4</f>
        <v>47118</v>
      </c>
      <c r="O4" s="92"/>
      <c r="P4" s="221" t="str">
        <f aca="false">'Lead PL'!P4</f>
        <v>CAGR</v>
      </c>
      <c r="Q4" s="221" t="str">
        <f aca="false">'Lead PL'!Q4</f>
        <v>CAGR</v>
      </c>
      <c r="R4" s="92"/>
    </row>
    <row r="5" customFormat="false" ht="11.25" hidden="true" customHeight="true" outlineLevel="3" collapsed="false">
      <c r="B5" s="92"/>
      <c r="C5" s="220" t="str">
        <f aca="false">"in T"&amp;Cockpit!$C$5</f>
        <v>in TEUR</v>
      </c>
      <c r="D5" s="221"/>
      <c r="E5" s="221"/>
      <c r="F5" s="221" t="str">
        <f aca="false">'Lead PL'!F5</f>
        <v>IST</v>
      </c>
      <c r="G5" s="221" t="str">
        <f aca="false">'Lead PL'!G5</f>
        <v>IST</v>
      </c>
      <c r="H5" s="221" t="str">
        <f aca="false">'Lead PL'!H5</f>
        <v>IST</v>
      </c>
      <c r="I5" s="221" t="str">
        <f aca="false">'Lead PL'!I5</f>
        <v>LTM</v>
      </c>
      <c r="J5" s="221" t="str">
        <f aca="false">'Lead PL'!J5</f>
        <v>YTD</v>
      </c>
      <c r="K5" s="221" t="str">
        <f aca="false">'Lead PL'!K5</f>
        <v>Plan</v>
      </c>
      <c r="L5" s="221" t="str">
        <f aca="false">'Lead PL'!L5</f>
        <v>Plan</v>
      </c>
      <c r="M5" s="221" t="str">
        <f aca="false">'Lead PL'!M5</f>
        <v>Plan</v>
      </c>
      <c r="N5" s="221" t="str">
        <f aca="false">'Lead PL'!N5</f>
        <v>Plan</v>
      </c>
      <c r="O5" s="92"/>
      <c r="P5" s="221" t="str">
        <f aca="false">'Lead PL'!P5</f>
        <v>IST</v>
      </c>
      <c r="Q5" s="221" t="str">
        <f aca="false">'Lead PL'!Q5</f>
        <v>Plan</v>
      </c>
      <c r="R5" s="92"/>
    </row>
    <row r="6" customFormat="false" ht="11.25" hidden="false" customHeight="true" outlineLevel="0" collapsed="false">
      <c r="B6" s="92"/>
      <c r="C6" s="227"/>
      <c r="D6" s="228" t="str">
        <f aca="false">Cockpit!$C$4</f>
        <v>Template</v>
      </c>
      <c r="E6" s="228"/>
      <c r="F6" s="227" t="n">
        <f aca="false">'Lead PL'!F6</f>
        <v>44926</v>
      </c>
      <c r="G6" s="227" t="n">
        <f aca="false">'Lead PL'!G6</f>
        <v>45291</v>
      </c>
      <c r="H6" s="227" t="n">
        <f aca="false">'Lead PL'!H6</f>
        <v>45657</v>
      </c>
      <c r="I6" s="293" t="n">
        <f aca="false">'Lead PL'!I6</f>
        <v>45808</v>
      </c>
      <c r="J6" s="293" t="n">
        <f aca="false">'Lead PL'!J6</f>
        <v>45808</v>
      </c>
      <c r="K6" s="227" t="n">
        <f aca="false">'Lead PL'!K6</f>
        <v>46022</v>
      </c>
      <c r="L6" s="227" t="n">
        <f aca="false">'Lead PL'!L6</f>
        <v>46387</v>
      </c>
      <c r="M6" s="227" t="n">
        <f aca="false">'Lead PL'!M6</f>
        <v>46752</v>
      </c>
      <c r="N6" s="227" t="n">
        <f aca="false">'Lead PL'!N6</f>
        <v>47118</v>
      </c>
      <c r="O6" s="92"/>
      <c r="P6" s="227" t="str">
        <f aca="false">'Lead PL'!P6</f>
        <v>CAGR</v>
      </c>
      <c r="Q6" s="227" t="str">
        <f aca="false">'Lead PL'!Q6</f>
        <v>CAGR</v>
      </c>
      <c r="R6" s="92"/>
    </row>
    <row r="7" customFormat="false" ht="11.25" hidden="false" customHeight="true" outlineLevel="0" collapsed="false">
      <c r="B7" s="92"/>
      <c r="C7" s="227"/>
      <c r="D7" s="228" t="str">
        <f aca="false">"in k"&amp;Cockpit!$C$5</f>
        <v>in kEUR</v>
      </c>
      <c r="E7" s="228"/>
      <c r="F7" s="227" t="str">
        <f aca="false">'Lead PL'!F7</f>
        <v>IST</v>
      </c>
      <c r="G7" s="227" t="str">
        <f aca="false">'Lead PL'!G7</f>
        <v>IST</v>
      </c>
      <c r="H7" s="227" t="str">
        <f aca="false">'Lead PL'!H7</f>
        <v>IST</v>
      </c>
      <c r="I7" s="227" t="str">
        <f aca="false">'Lead PL'!I7</f>
        <v>LTM</v>
      </c>
      <c r="J7" s="227" t="str">
        <f aca="false">'Lead PL'!J7</f>
        <v>YTD</v>
      </c>
      <c r="K7" s="227" t="str">
        <f aca="false">'Lead PL'!K7</f>
        <v>Plan</v>
      </c>
      <c r="L7" s="227" t="str">
        <f aca="false">'Lead PL'!L7</f>
        <v>Plan</v>
      </c>
      <c r="M7" s="227" t="str">
        <f aca="false">'Lead PL'!M7</f>
        <v>Plan</v>
      </c>
      <c r="N7" s="227" t="str">
        <f aca="false">'Lead PL'!N7</f>
        <v>Plan</v>
      </c>
      <c r="O7" s="92"/>
      <c r="P7" s="227" t="str">
        <f aca="false">'Lead PL'!P7</f>
        <v>IST</v>
      </c>
      <c r="Q7" s="227" t="str">
        <f aca="false">'Lead PL'!Q7</f>
        <v>Plan</v>
      </c>
      <c r="R7" s="92"/>
    </row>
    <row r="8" customFormat="false" ht="4.5" hidden="false" customHeight="true" outlineLevel="0" collapsed="false">
      <c r="B8" s="92"/>
      <c r="C8" s="51"/>
      <c r="D8" s="51"/>
      <c r="E8" s="51"/>
      <c r="F8" s="159"/>
      <c r="G8" s="159"/>
      <c r="H8" s="159"/>
      <c r="I8" s="159"/>
      <c r="J8" s="159"/>
      <c r="K8" s="159"/>
      <c r="L8" s="159"/>
      <c r="M8" s="159"/>
      <c r="N8" s="159"/>
      <c r="O8" s="92"/>
      <c r="P8" s="159"/>
      <c r="Q8" s="159"/>
      <c r="R8" s="92"/>
    </row>
    <row r="9" customFormat="false" ht="11.25" hidden="false" customHeight="true" outlineLevel="0" collapsed="false">
      <c r="B9" s="92"/>
      <c r="C9" s="51" t="s">
        <v>234</v>
      </c>
      <c r="D9" s="51" t="s">
        <v>234</v>
      </c>
      <c r="E9" s="51"/>
      <c r="F9" s="159"/>
      <c r="G9" s="159"/>
      <c r="H9" s="159"/>
      <c r="I9" s="196"/>
      <c r="J9" s="160"/>
      <c r="K9" s="161"/>
      <c r="L9" s="161"/>
      <c r="M9" s="161"/>
      <c r="N9" s="161"/>
      <c r="O9" s="92"/>
      <c r="P9" s="57" t="str">
        <f aca="false">IFERROR(((H9/F9)^(1/(($H$1-$F$1)/365)))-1,"n/a")</f>
        <v>n/a</v>
      </c>
      <c r="Q9" s="57" t="str">
        <f aca="false">IFERROR(((N9/H9)^(1/(($N$1-$H$1)/365)))-1,"n/a")</f>
        <v>n/a</v>
      </c>
      <c r="R9" s="92"/>
    </row>
    <row r="10" customFormat="false" ht="11.25" hidden="false" customHeight="true" outlineLevel="0" collapsed="false">
      <c r="B10" s="92"/>
      <c r="C10" s="51" t="s">
        <v>235</v>
      </c>
      <c r="D10" s="51" t="s">
        <v>235</v>
      </c>
      <c r="E10" s="51"/>
      <c r="F10" s="159"/>
      <c r="G10" s="159"/>
      <c r="H10" s="159"/>
      <c r="I10" s="196"/>
      <c r="J10" s="160"/>
      <c r="K10" s="161"/>
      <c r="L10" s="161"/>
      <c r="M10" s="161"/>
      <c r="N10" s="161"/>
      <c r="O10" s="92"/>
      <c r="P10" s="57" t="str">
        <f aca="false">IFERROR(((H10/F10)^(1/(($H$1-$F$1)/365)))-1,"n/a")</f>
        <v>n/a</v>
      </c>
      <c r="Q10" s="57" t="str">
        <f aca="false">IFERROR(((N10/H10)^(1/(($N$1-$H$1)/365)))-1,"n/a")</f>
        <v>n/a</v>
      </c>
      <c r="R10" s="92"/>
    </row>
    <row r="11" customFormat="false" ht="11.25" hidden="true" customHeight="true" outlineLevel="2" collapsed="false">
      <c r="B11" s="92"/>
      <c r="C11" s="51" t="s">
        <v>236</v>
      </c>
      <c r="D11" s="51" t="s">
        <v>236</v>
      </c>
      <c r="E11" s="51"/>
      <c r="F11" s="159"/>
      <c r="G11" s="159"/>
      <c r="H11" s="159"/>
      <c r="I11" s="196"/>
      <c r="J11" s="160"/>
      <c r="K11" s="161"/>
      <c r="L11" s="161"/>
      <c r="M11" s="161"/>
      <c r="N11" s="161"/>
      <c r="O11" s="92"/>
      <c r="P11" s="57" t="str">
        <f aca="false">IFERROR(((H11/F11)^(1/(($H$1-$F$1)/365)))-1,"n/a")</f>
        <v>n/a</v>
      </c>
      <c r="Q11" s="57" t="str">
        <f aca="false">IFERROR(((N11/H11)^(1/(($N$1-$H$1)/365)))-1,"n/a")</f>
        <v>n/a</v>
      </c>
      <c r="R11" s="92"/>
    </row>
    <row r="12" customFormat="false" ht="11.25" hidden="true" customHeight="true" outlineLevel="2" collapsed="false">
      <c r="B12" s="57"/>
      <c r="C12" s="54" t="s">
        <v>237</v>
      </c>
      <c r="D12" s="54" t="s">
        <v>237</v>
      </c>
      <c r="E12" s="54"/>
      <c r="F12" s="162"/>
      <c r="G12" s="162"/>
      <c r="H12" s="162"/>
      <c r="I12" s="197"/>
      <c r="J12" s="163"/>
      <c r="K12" s="164"/>
      <c r="L12" s="164"/>
      <c r="M12" s="164"/>
      <c r="N12" s="164"/>
      <c r="O12" s="57"/>
      <c r="P12" s="55" t="str">
        <f aca="false">IFERROR(((H12/F12)^(1/(($H$1-$F$1)/365)))-1,"n/a")</f>
        <v>n/a</v>
      </c>
      <c r="Q12" s="55" t="str">
        <f aca="false">IFERROR(((N12/H12)^(1/(($N$1-$H$1)/365)))-1,"n/a")</f>
        <v>n/a</v>
      </c>
      <c r="R12" s="57"/>
    </row>
    <row r="13" customFormat="false" ht="11.25" hidden="false" customHeight="true" outlineLevel="0" collapsed="false">
      <c r="B13" s="57"/>
      <c r="C13" s="165" t="str">
        <f aca="false">'Lead PL'!C39</f>
        <v>Gesamtleistung</v>
      </c>
      <c r="D13" s="165" t="str">
        <f aca="false">'Lead PL'!D39</f>
        <v>Total output</v>
      </c>
      <c r="E13" s="165"/>
      <c r="F13" s="165" t="n">
        <f aca="false">SUM(F9:F12)</f>
        <v>0</v>
      </c>
      <c r="G13" s="165" t="n">
        <f aca="false">SUM(G9:G12)</f>
        <v>0</v>
      </c>
      <c r="H13" s="165" t="n">
        <f aca="false">SUM(H9:H12)</f>
        <v>0</v>
      </c>
      <c r="I13" s="199" t="n">
        <f aca="false">SUM(I9:I12)</f>
        <v>0</v>
      </c>
      <c r="J13" s="166" t="n">
        <f aca="false">SUM(J9:J12)</f>
        <v>0</v>
      </c>
      <c r="K13" s="167" t="n">
        <f aca="false">SUM(K9:K12)</f>
        <v>0</v>
      </c>
      <c r="L13" s="167" t="n">
        <f aca="false">SUM(L9:L12)</f>
        <v>0</v>
      </c>
      <c r="M13" s="167" t="n">
        <f aca="false">SUM(M9:M12)</f>
        <v>0</v>
      </c>
      <c r="N13" s="167" t="n">
        <f aca="false">SUM(N9:N12)</f>
        <v>0</v>
      </c>
      <c r="O13" s="57"/>
      <c r="P13" s="273" t="str">
        <f aca="false">IFERROR(((H13/F13)^(1/(($H$1-$F$1)/365)))-1,"n/a")</f>
        <v>n/a</v>
      </c>
      <c r="Q13" s="273" t="str">
        <f aca="false">IFERROR(((N13/H13)^(1/(($N$1-$H$1)/365)))-1,"n/a")</f>
        <v>n/a</v>
      </c>
      <c r="R13" s="57"/>
    </row>
    <row r="14" customFormat="false" ht="4.5" hidden="false" customHeight="true" outlineLevel="0" collapsed="false">
      <c r="B14" s="57"/>
      <c r="C14" s="132"/>
      <c r="D14" s="132"/>
      <c r="E14" s="132"/>
      <c r="F14" s="178"/>
      <c r="G14" s="178"/>
      <c r="H14" s="178"/>
      <c r="I14" s="202"/>
      <c r="J14" s="179"/>
      <c r="K14" s="180"/>
      <c r="L14" s="180"/>
      <c r="M14" s="180"/>
      <c r="N14" s="180"/>
      <c r="O14" s="57"/>
      <c r="P14" s="57"/>
      <c r="Q14" s="57"/>
      <c r="R14" s="57"/>
    </row>
    <row r="15" customFormat="false" ht="11.25" hidden="false" customHeight="true" outlineLevel="0" collapsed="false">
      <c r="B15" s="57"/>
      <c r="C15" s="51" t="s">
        <v>234</v>
      </c>
      <c r="D15" s="51" t="s">
        <v>234</v>
      </c>
      <c r="E15" s="51"/>
      <c r="F15" s="159"/>
      <c r="G15" s="159"/>
      <c r="H15" s="159"/>
      <c r="I15" s="196"/>
      <c r="J15" s="160"/>
      <c r="K15" s="161"/>
      <c r="L15" s="161"/>
      <c r="M15" s="161"/>
      <c r="N15" s="161"/>
      <c r="O15" s="57"/>
      <c r="P15" s="57" t="str">
        <f aca="false">IFERROR(((H15/F15)^(1/(($H$1-$F$1)/365)))-1,"n/a")</f>
        <v>n/a</v>
      </c>
      <c r="Q15" s="57" t="str">
        <f aca="false">IFERROR(((N15/H15)^(1/(($N$1-$H$1)/365)))-1,"n/a")</f>
        <v>n/a</v>
      </c>
      <c r="R15" s="57"/>
    </row>
    <row r="16" customFormat="false" ht="11.25" hidden="false" customHeight="true" outlineLevel="0" collapsed="false">
      <c r="B16" s="57"/>
      <c r="C16" s="51" t="s">
        <v>235</v>
      </c>
      <c r="D16" s="51" t="s">
        <v>235</v>
      </c>
      <c r="E16" s="51"/>
      <c r="F16" s="159"/>
      <c r="G16" s="159"/>
      <c r="H16" s="159"/>
      <c r="I16" s="196"/>
      <c r="J16" s="160"/>
      <c r="K16" s="161"/>
      <c r="L16" s="161"/>
      <c r="M16" s="161"/>
      <c r="N16" s="161"/>
      <c r="O16" s="57"/>
      <c r="P16" s="57" t="str">
        <f aca="false">IFERROR(((H16/F16)^(1/(($H$1-$F$1)/365)))-1,"n/a")</f>
        <v>n/a</v>
      </c>
      <c r="Q16" s="57" t="str">
        <f aca="false">IFERROR(((N16/H16)^(1/(($N$1-$H$1)/365)))-1,"n/a")</f>
        <v>n/a</v>
      </c>
      <c r="R16" s="57"/>
    </row>
    <row r="17" customFormat="false" ht="11.25" hidden="true" customHeight="true" outlineLevel="2" collapsed="false">
      <c r="B17" s="57"/>
      <c r="C17" s="51" t="s">
        <v>236</v>
      </c>
      <c r="D17" s="51" t="s">
        <v>236</v>
      </c>
      <c r="E17" s="51"/>
      <c r="F17" s="159"/>
      <c r="G17" s="159"/>
      <c r="H17" s="159"/>
      <c r="I17" s="196"/>
      <c r="J17" s="160"/>
      <c r="K17" s="161"/>
      <c r="L17" s="161"/>
      <c r="M17" s="161"/>
      <c r="N17" s="161"/>
      <c r="O17" s="57"/>
      <c r="P17" s="57" t="str">
        <f aca="false">IFERROR(((H17/F17)^(1/(($H$1-$F$1)/365)))-1,"n/a")</f>
        <v>n/a</v>
      </c>
      <c r="Q17" s="57" t="str">
        <f aca="false">IFERROR(((N17/H17)^(1/(($N$1-$H$1)/365)))-1,"n/a")</f>
        <v>n/a</v>
      </c>
      <c r="R17" s="57"/>
    </row>
    <row r="18" customFormat="false" ht="11.25" hidden="true" customHeight="true" outlineLevel="2" collapsed="false">
      <c r="B18" s="57"/>
      <c r="C18" s="54" t="s">
        <v>237</v>
      </c>
      <c r="D18" s="54" t="s">
        <v>237</v>
      </c>
      <c r="E18" s="54"/>
      <c r="F18" s="162"/>
      <c r="G18" s="162"/>
      <c r="H18" s="162"/>
      <c r="I18" s="197"/>
      <c r="J18" s="163"/>
      <c r="K18" s="164"/>
      <c r="L18" s="164"/>
      <c r="M18" s="164"/>
      <c r="N18" s="164"/>
      <c r="O18" s="57"/>
      <c r="P18" s="55" t="str">
        <f aca="false">IFERROR(((H18/F18)^(1/(($H$1-$F$1)/365)))-1,"n/a")</f>
        <v>n/a</v>
      </c>
      <c r="Q18" s="55" t="str">
        <f aca="false">IFERROR(((N18/H18)^(1/(($N$1-$H$1)/365)))-1,"n/a")</f>
        <v>n/a</v>
      </c>
      <c r="R18" s="57"/>
    </row>
    <row r="19" customFormat="false" ht="11.25" hidden="false" customHeight="true" outlineLevel="0" collapsed="false">
      <c r="B19" s="57"/>
      <c r="C19" s="178" t="str">
        <f aca="false">'Lead PL'!C40</f>
        <v>Materialaufwand</v>
      </c>
      <c r="D19" s="178" t="str">
        <f aca="false">'Lead PL'!D40</f>
        <v>Cost of materials</v>
      </c>
      <c r="E19" s="178"/>
      <c r="F19" s="178" t="n">
        <f aca="false">SUM(F15:F18)</f>
        <v>0</v>
      </c>
      <c r="G19" s="178" t="n">
        <f aca="false">SUM(G15:G18)</f>
        <v>0</v>
      </c>
      <c r="H19" s="178" t="n">
        <f aca="false">SUM(H15:H18)</f>
        <v>0</v>
      </c>
      <c r="I19" s="202" t="n">
        <f aca="false">SUM(I15:I18)</f>
        <v>0</v>
      </c>
      <c r="J19" s="179" t="n">
        <f aca="false">SUM(J15:J18)</f>
        <v>0</v>
      </c>
      <c r="K19" s="180" t="n">
        <f aca="false">SUM(K15:K18)</f>
        <v>0</v>
      </c>
      <c r="L19" s="180" t="n">
        <f aca="false">SUM(L15:L18)</f>
        <v>0</v>
      </c>
      <c r="M19" s="180" t="n">
        <f aca="false">SUM(M15:M18)</f>
        <v>0</v>
      </c>
      <c r="N19" s="180" t="n">
        <f aca="false">SUM(N15:N18)</f>
        <v>0</v>
      </c>
      <c r="O19" s="57"/>
      <c r="P19" s="324" t="str">
        <f aca="false">IFERROR(((H19/F19)^(1/(($H$1-$F$1)/365)))-1,"n/a")</f>
        <v>n/a</v>
      </c>
      <c r="Q19" s="324" t="str">
        <f aca="false">IFERROR(((N19/H19)^(1/(($N$1-$H$1)/365)))-1,"n/a")</f>
        <v>n/a</v>
      </c>
      <c r="R19" s="57"/>
    </row>
    <row r="20" customFormat="false" ht="4.5" hidden="false" customHeight="true" outlineLevel="0" collapsed="false">
      <c r="B20" s="57"/>
      <c r="C20" s="132"/>
      <c r="D20" s="132"/>
      <c r="E20" s="132"/>
      <c r="F20" s="178"/>
      <c r="G20" s="178"/>
      <c r="H20" s="178"/>
      <c r="I20" s="202"/>
      <c r="J20" s="179"/>
      <c r="K20" s="180"/>
      <c r="L20" s="180"/>
      <c r="M20" s="180"/>
      <c r="N20" s="180"/>
      <c r="O20" s="57"/>
      <c r="P20" s="57"/>
      <c r="Q20" s="57"/>
      <c r="R20" s="57"/>
    </row>
    <row r="21" customFormat="false" ht="11.25" hidden="false" customHeight="true" outlineLevel="0" collapsed="false">
      <c r="B21" s="57"/>
      <c r="C21" s="51" t="s">
        <v>234</v>
      </c>
      <c r="D21" s="51" t="s">
        <v>234</v>
      </c>
      <c r="E21" s="51"/>
      <c r="F21" s="159" t="n">
        <f aca="false">F9+F15</f>
        <v>0</v>
      </c>
      <c r="G21" s="159" t="n">
        <f aca="false">G9+G15</f>
        <v>0</v>
      </c>
      <c r="H21" s="159" t="n">
        <f aca="false">H9+H15</f>
        <v>0</v>
      </c>
      <c r="I21" s="196" t="n">
        <f aca="false">I9+I15</f>
        <v>0</v>
      </c>
      <c r="J21" s="160" t="n">
        <f aca="false">J9+J15</f>
        <v>0</v>
      </c>
      <c r="K21" s="161" t="n">
        <f aca="false">K9+K15</f>
        <v>0</v>
      </c>
      <c r="L21" s="161" t="n">
        <f aca="false">L9+L15</f>
        <v>0</v>
      </c>
      <c r="M21" s="161" t="n">
        <f aca="false">M9+M15</f>
        <v>0</v>
      </c>
      <c r="N21" s="161" t="n">
        <f aca="false">N9+N15</f>
        <v>0</v>
      </c>
      <c r="O21" s="57"/>
      <c r="P21" s="57" t="str">
        <f aca="false">IFERROR(((H21/F21)^(1/(($H$1-$F$1)/365)))-1,"n/a")</f>
        <v>n/a</v>
      </c>
      <c r="Q21" s="57" t="str">
        <f aca="false">IFERROR(((N21/H21)^(1/(($N$1-$H$1)/365)))-1,"n/a")</f>
        <v>n/a</v>
      </c>
      <c r="R21" s="57"/>
    </row>
    <row r="22" customFormat="false" ht="11.25" hidden="false" customHeight="true" outlineLevel="0" collapsed="false">
      <c r="B22" s="57"/>
      <c r="C22" s="51" t="s">
        <v>235</v>
      </c>
      <c r="D22" s="51" t="s">
        <v>235</v>
      </c>
      <c r="E22" s="51"/>
      <c r="F22" s="159" t="n">
        <f aca="false">F10+F16</f>
        <v>0</v>
      </c>
      <c r="G22" s="159" t="n">
        <f aca="false">G10+G16</f>
        <v>0</v>
      </c>
      <c r="H22" s="159" t="n">
        <f aca="false">H10+H16</f>
        <v>0</v>
      </c>
      <c r="I22" s="196" t="n">
        <f aca="false">I10+I16</f>
        <v>0</v>
      </c>
      <c r="J22" s="160" t="n">
        <f aca="false">J10+J16</f>
        <v>0</v>
      </c>
      <c r="K22" s="161" t="n">
        <f aca="false">K10+K16</f>
        <v>0</v>
      </c>
      <c r="L22" s="161" t="n">
        <f aca="false">L10+L16</f>
        <v>0</v>
      </c>
      <c r="M22" s="161" t="n">
        <f aca="false">M10+M16</f>
        <v>0</v>
      </c>
      <c r="N22" s="161" t="n">
        <f aca="false">N10+N16</f>
        <v>0</v>
      </c>
      <c r="O22" s="57"/>
      <c r="P22" s="57" t="str">
        <f aca="false">IFERROR(((H22/F22)^(1/(($H$1-$F$1)/365)))-1,"n/a")</f>
        <v>n/a</v>
      </c>
      <c r="Q22" s="57" t="str">
        <f aca="false">IFERROR(((N22/H22)^(1/(($N$1-$H$1)/365)))-1,"n/a")</f>
        <v>n/a</v>
      </c>
      <c r="R22" s="57"/>
    </row>
    <row r="23" customFormat="false" ht="11.25" hidden="true" customHeight="true" outlineLevel="2" collapsed="false">
      <c r="B23" s="57"/>
      <c r="C23" s="51" t="s">
        <v>236</v>
      </c>
      <c r="D23" s="51" t="s">
        <v>236</v>
      </c>
      <c r="E23" s="51"/>
      <c r="F23" s="159" t="n">
        <f aca="false">F11+F17</f>
        <v>0</v>
      </c>
      <c r="G23" s="159" t="n">
        <f aca="false">G11+G17</f>
        <v>0</v>
      </c>
      <c r="H23" s="159" t="n">
        <f aca="false">H11+H17</f>
        <v>0</v>
      </c>
      <c r="I23" s="196" t="n">
        <f aca="false">I11+I17</f>
        <v>0</v>
      </c>
      <c r="J23" s="160" t="n">
        <f aca="false">J11+J17</f>
        <v>0</v>
      </c>
      <c r="K23" s="161" t="n">
        <f aca="false">K11+K17</f>
        <v>0</v>
      </c>
      <c r="L23" s="161" t="n">
        <f aca="false">L11+L17</f>
        <v>0</v>
      </c>
      <c r="M23" s="161" t="n">
        <f aca="false">M11+M17</f>
        <v>0</v>
      </c>
      <c r="N23" s="161" t="n">
        <f aca="false">N11+N17</f>
        <v>0</v>
      </c>
      <c r="O23" s="57"/>
      <c r="P23" s="57" t="str">
        <f aca="false">IFERROR(((H23/F23)^(1/(($H$1-$F$1)/365)))-1,"n/a")</f>
        <v>n/a</v>
      </c>
      <c r="Q23" s="57" t="str">
        <f aca="false">IFERROR(((N23/H23)^(1/(($N$1-$H$1)/365)))-1,"n/a")</f>
        <v>n/a</v>
      </c>
      <c r="R23" s="57"/>
    </row>
    <row r="24" customFormat="false" ht="11.25" hidden="true" customHeight="true" outlineLevel="2" collapsed="false">
      <c r="B24" s="57"/>
      <c r="C24" s="54" t="s">
        <v>237</v>
      </c>
      <c r="D24" s="54" t="s">
        <v>237</v>
      </c>
      <c r="E24" s="54"/>
      <c r="F24" s="162" t="n">
        <f aca="false">F12+F18</f>
        <v>0</v>
      </c>
      <c r="G24" s="162" t="n">
        <f aca="false">G12+G18</f>
        <v>0</v>
      </c>
      <c r="H24" s="162" t="n">
        <f aca="false">H12+H18</f>
        <v>0</v>
      </c>
      <c r="I24" s="197" t="n">
        <f aca="false">I12+I18</f>
        <v>0</v>
      </c>
      <c r="J24" s="163" t="n">
        <f aca="false">J12+J18</f>
        <v>0</v>
      </c>
      <c r="K24" s="164" t="n">
        <f aca="false">K12+K18</f>
        <v>0</v>
      </c>
      <c r="L24" s="164" t="n">
        <f aca="false">L12+L18</f>
        <v>0</v>
      </c>
      <c r="M24" s="164" t="n">
        <f aca="false">M12+M18</f>
        <v>0</v>
      </c>
      <c r="N24" s="164" t="n">
        <f aca="false">N12+N18</f>
        <v>0</v>
      </c>
      <c r="O24" s="57"/>
      <c r="P24" s="55" t="str">
        <f aca="false">IFERROR(((H24/F24)^(1/(($H$1-$F$1)/365)))-1,"n/a")</f>
        <v>n/a</v>
      </c>
      <c r="Q24" s="55" t="str">
        <f aca="false">IFERROR(((N24/H24)^(1/(($N$1-$H$1)/365)))-1,"n/a")</f>
        <v>n/a</v>
      </c>
      <c r="R24" s="57"/>
    </row>
    <row r="25" customFormat="false" ht="11.25" hidden="false" customHeight="true" outlineLevel="0" collapsed="false">
      <c r="B25" s="57"/>
      <c r="C25" s="181" t="str">
        <f aca="false">'Lead PL'!C52</f>
        <v>Rohergebnis</v>
      </c>
      <c r="D25" s="181" t="str">
        <f aca="false">'Lead PL'!D52</f>
        <v>Gross profit</v>
      </c>
      <c r="E25" s="181"/>
      <c r="F25" s="175" t="n">
        <f aca="false">F13+F19</f>
        <v>0</v>
      </c>
      <c r="G25" s="175" t="n">
        <f aca="false">G13+G19</f>
        <v>0</v>
      </c>
      <c r="H25" s="175" t="n">
        <f aca="false">H13+H19</f>
        <v>0</v>
      </c>
      <c r="I25" s="201" t="n">
        <f aca="false">I13+I19</f>
        <v>0</v>
      </c>
      <c r="J25" s="176" t="n">
        <f aca="false">J13+J19</f>
        <v>0</v>
      </c>
      <c r="K25" s="177" t="n">
        <f aca="false">K13+K19</f>
        <v>0</v>
      </c>
      <c r="L25" s="177" t="n">
        <f aca="false">L13+L19</f>
        <v>0</v>
      </c>
      <c r="M25" s="177" t="n">
        <f aca="false">M13+M19</f>
        <v>0</v>
      </c>
      <c r="N25" s="177" t="n">
        <f aca="false">N13+N19</f>
        <v>0</v>
      </c>
      <c r="O25" s="57"/>
      <c r="P25" s="413" t="str">
        <f aca="false">IFERROR(((H25/F25)^(1/(($H$1-$F$1)/365)))-1,"n/a")</f>
        <v>n/a</v>
      </c>
      <c r="Q25" s="413" t="str">
        <f aca="false">IFERROR(((N25/H25)^(1/(($N$1-$H$1)/365)))-1,"n/a")</f>
        <v>n/a</v>
      </c>
      <c r="R25" s="57"/>
    </row>
    <row r="26" customFormat="false" ht="4.5" hidden="false" customHeight="true" outlineLevel="0" collapsed="false">
      <c r="B26" s="57"/>
      <c r="C26" s="51"/>
      <c r="D26" s="51"/>
      <c r="E26" s="51"/>
      <c r="F26" s="159"/>
      <c r="G26" s="159"/>
      <c r="H26" s="159"/>
      <c r="I26" s="196"/>
      <c r="J26" s="160"/>
      <c r="K26" s="161"/>
      <c r="L26" s="161"/>
      <c r="M26" s="161"/>
      <c r="N26" s="161"/>
      <c r="O26" s="57"/>
      <c r="P26" s="57"/>
      <c r="Q26" s="57"/>
      <c r="R26" s="57"/>
    </row>
    <row r="27" customFormat="false" ht="11.25" hidden="false" customHeight="true" outlineLevel="0" collapsed="false">
      <c r="B27" s="57"/>
      <c r="C27" s="132" t="s">
        <v>891</v>
      </c>
      <c r="D27" s="132" t="s">
        <v>892</v>
      </c>
      <c r="E27" s="132"/>
      <c r="F27" s="159"/>
      <c r="G27" s="159"/>
      <c r="H27" s="159"/>
      <c r="I27" s="196"/>
      <c r="J27" s="160"/>
      <c r="K27" s="161"/>
      <c r="L27" s="161"/>
      <c r="M27" s="161"/>
      <c r="N27" s="161"/>
      <c r="O27" s="57"/>
      <c r="P27" s="57"/>
      <c r="Q27" s="57"/>
      <c r="R27" s="57"/>
    </row>
    <row r="28" customFormat="false" ht="11.25" hidden="false" customHeight="true" outlineLevel="0" collapsed="false">
      <c r="B28" s="57"/>
      <c r="C28" s="51" t="str">
        <f aca="false">C9</f>
        <v>Dummy 1</v>
      </c>
      <c r="D28" s="51" t="str">
        <f aca="false">D9</f>
        <v>Dummy 1</v>
      </c>
      <c r="E28" s="51"/>
      <c r="F28" s="57" t="str">
        <f aca="false">IFERROR(F21/F9,"n/a")</f>
        <v>n/a</v>
      </c>
      <c r="G28" s="57" t="str">
        <f aca="false">IFERROR(G21/G9,"n/a")</f>
        <v>n/a</v>
      </c>
      <c r="H28" s="57" t="str">
        <f aca="false">IFERROR(H21/H9,"n/a")</f>
        <v>n/a</v>
      </c>
      <c r="I28" s="141" t="str">
        <f aca="false">IFERROR(I21/I9,"n/a")</f>
        <v>n/a</v>
      </c>
      <c r="J28" s="142" t="str">
        <f aca="false">IFERROR(J21/J9,"n/a")</f>
        <v>n/a</v>
      </c>
      <c r="K28" s="139" t="str">
        <f aca="false">IFERROR(K21/K9,"n/a")</f>
        <v>n/a</v>
      </c>
      <c r="L28" s="139" t="str">
        <f aca="false">IFERROR(L21/L9,"n/a")</f>
        <v>n/a</v>
      </c>
      <c r="M28" s="139" t="str">
        <f aca="false">IFERROR(M21/M9,"n/a")</f>
        <v>n/a</v>
      </c>
      <c r="N28" s="139" t="str">
        <f aca="false">IFERROR(N21/N9,"n/a")</f>
        <v>n/a</v>
      </c>
      <c r="O28" s="57"/>
      <c r="P28" s="57"/>
      <c r="Q28" s="57"/>
      <c r="R28" s="57"/>
    </row>
    <row r="29" customFormat="false" ht="11.25" hidden="false" customHeight="true" outlineLevel="0" collapsed="false">
      <c r="B29" s="57"/>
      <c r="C29" s="51" t="str">
        <f aca="false">C10</f>
        <v>Dummy 2</v>
      </c>
      <c r="D29" s="51" t="str">
        <f aca="false">D10</f>
        <v>Dummy 2</v>
      </c>
      <c r="E29" s="51"/>
      <c r="F29" s="57" t="str">
        <f aca="false">IFERROR(F22/F10,"n/a")</f>
        <v>n/a</v>
      </c>
      <c r="G29" s="57" t="str">
        <f aca="false">IFERROR(G22/G10,"n/a")</f>
        <v>n/a</v>
      </c>
      <c r="H29" s="57" t="str">
        <f aca="false">IFERROR(H22/H10,"n/a")</f>
        <v>n/a</v>
      </c>
      <c r="I29" s="141" t="str">
        <f aca="false">IFERROR(I22/I10,"n/a")</f>
        <v>n/a</v>
      </c>
      <c r="J29" s="142" t="str">
        <f aca="false">IFERROR(J22/J10,"n/a")</f>
        <v>n/a</v>
      </c>
      <c r="K29" s="139" t="str">
        <f aca="false">IFERROR(K22/K10,"n/a")</f>
        <v>n/a</v>
      </c>
      <c r="L29" s="139" t="str">
        <f aca="false">IFERROR(L22/L10,"n/a")</f>
        <v>n/a</v>
      </c>
      <c r="M29" s="139" t="str">
        <f aca="false">IFERROR(M22/M10,"n/a")</f>
        <v>n/a</v>
      </c>
      <c r="N29" s="139" t="str">
        <f aca="false">IFERROR(N22/N10,"n/a")</f>
        <v>n/a</v>
      </c>
      <c r="O29" s="57"/>
      <c r="P29" s="57"/>
      <c r="Q29" s="57"/>
      <c r="R29" s="57"/>
    </row>
    <row r="30" customFormat="false" ht="11.25" hidden="true" customHeight="true" outlineLevel="2" collapsed="false">
      <c r="B30" s="57"/>
      <c r="C30" s="51" t="str">
        <f aca="false">C11</f>
        <v>Dummy 3</v>
      </c>
      <c r="D30" s="51" t="str">
        <f aca="false">D11</f>
        <v>Dummy 3</v>
      </c>
      <c r="E30" s="51"/>
      <c r="F30" s="57" t="str">
        <f aca="false">IFERROR(F23/F11,"n/a")</f>
        <v>n/a</v>
      </c>
      <c r="G30" s="57" t="str">
        <f aca="false">IFERROR(G23/G11,"n/a")</f>
        <v>n/a</v>
      </c>
      <c r="H30" s="57" t="str">
        <f aca="false">IFERROR(H23/H11,"n/a")</f>
        <v>n/a</v>
      </c>
      <c r="I30" s="141" t="str">
        <f aca="false">IFERROR(I23/I11,"n/a")</f>
        <v>n/a</v>
      </c>
      <c r="J30" s="142" t="str">
        <f aca="false">IFERROR(J23/J11,"n/a")</f>
        <v>n/a</v>
      </c>
      <c r="K30" s="139" t="str">
        <f aca="false">IFERROR(K23/K11,"n/a")</f>
        <v>n/a</v>
      </c>
      <c r="L30" s="139" t="str">
        <f aca="false">IFERROR(L23/L11,"n/a")</f>
        <v>n/a</v>
      </c>
      <c r="M30" s="139" t="str">
        <f aca="false">IFERROR(M23/M11,"n/a")</f>
        <v>n/a</v>
      </c>
      <c r="N30" s="139" t="str">
        <f aca="false">IFERROR(N23/N11,"n/a")</f>
        <v>n/a</v>
      </c>
      <c r="O30" s="57"/>
      <c r="P30" s="57"/>
      <c r="Q30" s="57"/>
      <c r="R30" s="57"/>
    </row>
    <row r="31" customFormat="false" ht="11.25" hidden="true" customHeight="true" outlineLevel="2" collapsed="false">
      <c r="B31" s="57"/>
      <c r="C31" s="51" t="str">
        <f aca="false">C12</f>
        <v>Dummy 4</v>
      </c>
      <c r="D31" s="51" t="str">
        <f aca="false">D12</f>
        <v>Dummy 4</v>
      </c>
      <c r="E31" s="51"/>
      <c r="F31" s="57" t="str">
        <f aca="false">IFERROR(F24/F12,"n/a")</f>
        <v>n/a</v>
      </c>
      <c r="G31" s="57" t="str">
        <f aca="false">IFERROR(G24/G12,"n/a")</f>
        <v>n/a</v>
      </c>
      <c r="H31" s="57" t="str">
        <f aca="false">IFERROR(H24/H12,"n/a")</f>
        <v>n/a</v>
      </c>
      <c r="I31" s="141" t="str">
        <f aca="false">IFERROR(I24/I12,"n/a")</f>
        <v>n/a</v>
      </c>
      <c r="J31" s="142" t="str">
        <f aca="false">IFERROR(J24/J12,"n/a")</f>
        <v>n/a</v>
      </c>
      <c r="K31" s="139" t="str">
        <f aca="false">IFERROR(K24/K12,"n/a")</f>
        <v>n/a</v>
      </c>
      <c r="L31" s="139" t="str">
        <f aca="false">IFERROR(L24/L12,"n/a")</f>
        <v>n/a</v>
      </c>
      <c r="M31" s="139" t="str">
        <f aca="false">IFERROR(M24/M12,"n/a")</f>
        <v>n/a</v>
      </c>
      <c r="N31" s="139" t="str">
        <f aca="false">IFERROR(N24/N12,"n/a")</f>
        <v>n/a</v>
      </c>
      <c r="O31" s="57"/>
      <c r="P31" s="57"/>
      <c r="Q31" s="57"/>
      <c r="R31" s="57"/>
    </row>
    <row r="32" customFormat="false" ht="11.25" hidden="false" customHeight="true" outlineLevel="0" collapsed="false">
      <c r="B32" s="57"/>
      <c r="C32" s="132" t="s">
        <v>893</v>
      </c>
      <c r="D32" s="132" t="s">
        <v>894</v>
      </c>
      <c r="E32" s="132"/>
      <c r="F32" s="144" t="str">
        <f aca="false">IFERROR(F25/F13,"n/a")</f>
        <v>n/a</v>
      </c>
      <c r="G32" s="144" t="str">
        <f aca="false">IFERROR(G25/G13,"n/a")</f>
        <v>n/a</v>
      </c>
      <c r="H32" s="144" t="str">
        <f aca="false">IFERROR(H25/H13,"n/a")</f>
        <v>n/a</v>
      </c>
      <c r="I32" s="145" t="str">
        <f aca="false">IFERROR(I25/I13,"n/a")</f>
        <v>n/a</v>
      </c>
      <c r="J32" s="146" t="str">
        <f aca="false">IFERROR(J25/J13,"n/a")</f>
        <v>n/a</v>
      </c>
      <c r="K32" s="147" t="str">
        <f aca="false">IFERROR(K25/K13,"n/a")</f>
        <v>n/a</v>
      </c>
      <c r="L32" s="147" t="str">
        <f aca="false">IFERROR(L25/L13,"n/a")</f>
        <v>n/a</v>
      </c>
      <c r="M32" s="147" t="str">
        <f aca="false">IFERROR(M25/M13,"n/a")</f>
        <v>n/a</v>
      </c>
      <c r="N32" s="147" t="str">
        <f aca="false">IFERROR(N25/N13,"n/a")</f>
        <v>n/a</v>
      </c>
      <c r="O32" s="57"/>
      <c r="P32" s="57"/>
      <c r="Q32" s="57"/>
      <c r="R32" s="57"/>
    </row>
    <row r="33" customFormat="false" ht="4.5" hidden="false" customHeight="true" outlineLevel="0" collapsed="false">
      <c r="B33" s="57"/>
      <c r="C33" s="51"/>
      <c r="D33" s="51"/>
      <c r="E33" s="51"/>
      <c r="F33" s="57"/>
      <c r="G33" s="57"/>
      <c r="H33" s="57"/>
      <c r="I33" s="141"/>
      <c r="J33" s="142"/>
      <c r="K33" s="139"/>
      <c r="L33" s="139"/>
      <c r="M33" s="139"/>
      <c r="N33" s="139"/>
      <c r="O33" s="57"/>
      <c r="P33" s="57"/>
      <c r="Q33" s="57"/>
      <c r="R33" s="57"/>
    </row>
    <row r="34" customFormat="false" ht="11.25" hidden="false" customHeight="true" outlineLevel="0" collapsed="false">
      <c r="B34" s="57"/>
      <c r="C34" s="54" t="str">
        <f aca="false">"Quelle: "&amp;Cockpit!$C$7</f>
        <v>Quelle: Datenraum/ eigene Analysen</v>
      </c>
      <c r="D34" s="54" t="str">
        <f aca="false">"Source: "&amp;Cockpit!$C$8</f>
        <v>Source: Virtual Data Room/ Company Information</v>
      </c>
      <c r="E34" s="54"/>
      <c r="F34" s="55"/>
      <c r="G34" s="55"/>
      <c r="H34" s="55"/>
      <c r="I34" s="56"/>
      <c r="J34" s="56"/>
      <c r="K34" s="279"/>
      <c r="L34" s="279"/>
      <c r="M34" s="279"/>
      <c r="N34" s="279"/>
      <c r="O34" s="57"/>
      <c r="P34" s="55"/>
      <c r="Q34" s="55"/>
      <c r="R34" s="57"/>
    </row>
    <row r="37" customFormat="false" ht="11.25" hidden="false" customHeight="true" outlineLevel="0" collapsed="false">
      <c r="C37" s="151" t="s">
        <v>895</v>
      </c>
      <c r="D37" s="151" t="s">
        <v>896</v>
      </c>
      <c r="E37" s="151"/>
      <c r="F37" s="152" t="n">
        <f aca="false">'Lead PL'!F39</f>
        <v>0</v>
      </c>
      <c r="G37" s="152" t="n">
        <f aca="false">'Lead PL'!G39</f>
        <v>0</v>
      </c>
      <c r="H37" s="152" t="n">
        <f aca="false">'Lead PL'!H39</f>
        <v>0</v>
      </c>
      <c r="I37" s="152" t="n">
        <f aca="false">'Lead PL'!I39</f>
        <v>0</v>
      </c>
      <c r="J37" s="152" t="n">
        <f aca="false">'Lead PL'!J39</f>
        <v>0</v>
      </c>
      <c r="K37" s="152" t="n">
        <f aca="false">'Lead PL'!K39</f>
        <v>0</v>
      </c>
      <c r="L37" s="152" t="n">
        <f aca="false">'Lead PL'!L39</f>
        <v>0</v>
      </c>
      <c r="M37" s="152" t="n">
        <f aca="false">'Lead PL'!M39</f>
        <v>0</v>
      </c>
      <c r="N37" s="152" t="n">
        <f aca="false">'Lead PL'!N39</f>
        <v>0</v>
      </c>
    </row>
    <row r="38" customFormat="false" ht="11.25" hidden="false" customHeight="true" outlineLevel="0" collapsed="false">
      <c r="C38" s="153" t="s">
        <v>245</v>
      </c>
      <c r="D38" s="154" t="s">
        <v>245</v>
      </c>
      <c r="E38" s="153"/>
      <c r="F38" s="155" t="n">
        <f aca="false">F37-F13</f>
        <v>0</v>
      </c>
      <c r="G38" s="155" t="n">
        <f aca="false">G37-G13</f>
        <v>0</v>
      </c>
      <c r="H38" s="155" t="n">
        <f aca="false">H37-H13</f>
        <v>0</v>
      </c>
      <c r="I38" s="155" t="n">
        <f aca="false">I37-I13</f>
        <v>0</v>
      </c>
      <c r="J38" s="155" t="n">
        <f aca="false">J37-J13</f>
        <v>0</v>
      </c>
      <c r="K38" s="155" t="n">
        <f aca="false">K37-K13</f>
        <v>0</v>
      </c>
      <c r="L38" s="155" t="n">
        <f aca="false">L37-L13</f>
        <v>0</v>
      </c>
      <c r="M38" s="155" t="n">
        <f aca="false">M37-M13</f>
        <v>0</v>
      </c>
      <c r="N38" s="155" t="n">
        <f aca="false">N37-N13</f>
        <v>0</v>
      </c>
    </row>
    <row r="40" customFormat="false" ht="11.25" hidden="false" customHeight="true" outlineLevel="0" collapsed="false">
      <c r="C40" s="151" t="s">
        <v>897</v>
      </c>
      <c r="D40" s="151" t="s">
        <v>898</v>
      </c>
      <c r="E40" s="151"/>
      <c r="F40" s="152" t="n">
        <f aca="false">'Lead PL'!F52</f>
        <v>0</v>
      </c>
      <c r="G40" s="152" t="n">
        <f aca="false">'Lead PL'!G52</f>
        <v>0</v>
      </c>
      <c r="H40" s="152" t="n">
        <f aca="false">'Lead PL'!H52</f>
        <v>0</v>
      </c>
      <c r="I40" s="152" t="n">
        <f aca="false">'Lead PL'!I52</f>
        <v>0</v>
      </c>
      <c r="J40" s="152" t="n">
        <f aca="false">'Lead PL'!J52</f>
        <v>0</v>
      </c>
      <c r="K40" s="152" t="n">
        <f aca="false">'Lead PL'!K52</f>
        <v>0</v>
      </c>
      <c r="L40" s="152" t="n">
        <f aca="false">'Lead PL'!L52</f>
        <v>0</v>
      </c>
      <c r="M40" s="152" t="n">
        <f aca="false">'Lead PL'!M52</f>
        <v>0</v>
      </c>
      <c r="N40" s="152" t="n">
        <f aca="false">'Lead PL'!N52</f>
        <v>0</v>
      </c>
    </row>
    <row r="41" customFormat="false" ht="11.25" hidden="false" customHeight="true" outlineLevel="0" collapsed="false">
      <c r="C41" s="153" t="s">
        <v>245</v>
      </c>
      <c r="D41" s="154" t="s">
        <v>245</v>
      </c>
      <c r="E41" s="153"/>
      <c r="F41" s="155" t="n">
        <f aca="false">F40-F25</f>
        <v>0</v>
      </c>
      <c r="G41" s="155" t="n">
        <f aca="false">G40-G25</f>
        <v>0</v>
      </c>
      <c r="H41" s="155" t="n">
        <f aca="false">H40-H25</f>
        <v>0</v>
      </c>
      <c r="I41" s="155" t="n">
        <f aca="false">I40-I25</f>
        <v>0</v>
      </c>
      <c r="J41" s="155" t="n">
        <f aca="false">J40-J25</f>
        <v>0</v>
      </c>
      <c r="K41" s="155" t="n">
        <f aca="false">K40-K25</f>
        <v>0</v>
      </c>
      <c r="L41" s="155" t="n">
        <f aca="false">L40-L25</f>
        <v>0</v>
      </c>
      <c r="M41" s="155" t="n">
        <f aca="false">M40-M25</f>
        <v>0</v>
      </c>
      <c r="N41" s="155" t="n">
        <f aca="false">N40-N25</f>
        <v>0</v>
      </c>
    </row>
  </sheetData>
  <conditionalFormatting sqref="F41:N41">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conditionalFormatting sqref="F38:N38">
    <cfRule type="cellIs" priority="5" operator="between" aboveAverage="0" equalAverage="0" bottom="0" percent="0" rank="0" text="" dxfId="2">
      <formula>-1</formula>
      <formula>1</formula>
    </cfRule>
    <cfRule type="cellIs" priority="6" operator="lessThan" aboveAverage="0" equalAverage="0" bottom="0" percent="0" rank="0" text="" dxfId="0">
      <formula>-1</formula>
    </cfRule>
    <cfRule type="cellIs" priority="7"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53"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19" man="true" max="65535" min="0"/>
  </colBreaks>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B1:Q8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H54" activeCellId="0" sqref="H54"/>
    </sheetView>
  </sheetViews>
  <sheetFormatPr defaultColWidth="11.2890625" defaultRowHeight="11.25" zeroHeight="false" outlineLevelRow="3" outlineLevelCol="2"/>
  <cols>
    <col collapsed="false" customWidth="false" hidden="false" outlineLevel="0" max="1" min="1" style="1" width="11.29"/>
    <col collapsed="false" customWidth="true" hidden="true" outlineLevel="2" max="2" min="2" style="1" width="0.86"/>
    <col collapsed="false" customWidth="true" hidden="true" outlineLevel="2" max="3" min="3" style="1" width="35.57"/>
    <col collapsed="false" customWidth="true" hidden="false" outlineLevel="0" max="4" min="4" style="1" width="35.57"/>
    <col collapsed="false" customWidth="true" hidden="false" outlineLevel="0" max="9" min="5" style="1" width="9.42"/>
    <col collapsed="false" customWidth="true" hidden="true" outlineLevel="1" max="13" min="10" style="1" width="9.42"/>
    <col collapsed="false" customWidth="true" hidden="true" outlineLevel="1" max="14" min="14" style="1" width="0.86"/>
    <col collapsed="false" customWidth="true" hidden="true" outlineLevel="1" max="16" min="15" style="1" width="8.42"/>
    <col collapsed="false" customWidth="true" hidden="true" outlineLevel="2" max="17" min="17" style="1" width="0.86"/>
    <col collapsed="true" customWidth="false" hidden="false" outlineLevel="0" max="18" min="18" style="1" width="11.29"/>
    <col collapsed="false" customWidth="false" hidden="false" outlineLevel="0" max="16384" min="19" style="1" width="11.29"/>
  </cols>
  <sheetData>
    <row r="1" customFormat="false" ht="11.25" hidden="true" customHeight="true" outlineLevel="3" collapsed="false">
      <c r="C1" s="31" t="s">
        <v>405</v>
      </c>
      <c r="D1" s="31" t="s">
        <v>405</v>
      </c>
      <c r="E1" s="12" t="n">
        <f aca="false">IFERROR(E4,E6)</f>
        <v>44926</v>
      </c>
      <c r="F1" s="12" t="n">
        <f aca="false">IFERROR(F4,F6)</f>
        <v>45291</v>
      </c>
      <c r="G1" s="12" t="n">
        <f aca="false">IFERROR(G4,G6)</f>
        <v>45657</v>
      </c>
      <c r="H1" s="12" t="n">
        <f aca="false">IFERROR(H4,H6)</f>
        <v>45808</v>
      </c>
      <c r="I1" s="12" t="n">
        <f aca="false">IFERROR(I4,I6)</f>
        <v>45808</v>
      </c>
      <c r="J1" s="12" t="n">
        <f aca="false">IFERROR(J4,J6)</f>
        <v>46022</v>
      </c>
      <c r="K1" s="12" t="n">
        <f aca="false">IFERROR(K4,K6)</f>
        <v>46387</v>
      </c>
      <c r="L1" s="12" t="n">
        <f aca="false">IFERROR(L4,L6)</f>
        <v>46752</v>
      </c>
      <c r="M1" s="12" t="n">
        <f aca="false">IFERROR(M4,M6)</f>
        <v>47118</v>
      </c>
    </row>
    <row r="4" customFormat="false" ht="11.25" hidden="true" customHeight="true" outlineLevel="3" collapsed="false">
      <c r="B4" s="92"/>
      <c r="C4" s="220" t="str">
        <f aca="false">Cockpit!$C$4</f>
        <v>Template</v>
      </c>
      <c r="D4" s="221"/>
      <c r="E4" s="221" t="n">
        <f aca="false">'Lead PL'!F4</f>
        <v>44926</v>
      </c>
      <c r="F4" s="221" t="n">
        <f aca="false">'Lead PL'!G4</f>
        <v>45291</v>
      </c>
      <c r="G4" s="221" t="n">
        <f aca="false">'Lead PL'!H4</f>
        <v>45657</v>
      </c>
      <c r="H4" s="225" t="n">
        <f aca="false">'Lead PL'!I4</f>
        <v>45808</v>
      </c>
      <c r="I4" s="225" t="n">
        <f aca="false">'Lead PL'!J4</f>
        <v>45808</v>
      </c>
      <c r="J4" s="221" t="n">
        <f aca="false">'Lead PL'!K4</f>
        <v>46022</v>
      </c>
      <c r="K4" s="221" t="n">
        <f aca="false">'Lead PL'!L4</f>
        <v>46387</v>
      </c>
      <c r="L4" s="221" t="n">
        <f aca="false">'Lead PL'!M4</f>
        <v>46752</v>
      </c>
      <c r="M4" s="221" t="n">
        <f aca="false">'Lead PL'!N4</f>
        <v>47118</v>
      </c>
      <c r="N4" s="92"/>
      <c r="O4" s="221" t="str">
        <f aca="false">'Lead PL'!P4</f>
        <v>CAGR</v>
      </c>
      <c r="P4" s="221" t="str">
        <f aca="false">'Lead PL'!Q4</f>
        <v>CAGR</v>
      </c>
      <c r="Q4" s="92"/>
    </row>
    <row r="5" customFormat="false" ht="11.25" hidden="true" customHeight="true" outlineLevel="3" collapsed="false">
      <c r="B5" s="92"/>
      <c r="C5" s="220" t="str">
        <f aca="false">"in T"&amp;Cockpit!$C$5</f>
        <v>in TEUR</v>
      </c>
      <c r="D5" s="221"/>
      <c r="E5" s="221" t="str">
        <f aca="false">'Lead PL'!F5</f>
        <v>IST</v>
      </c>
      <c r="F5" s="221" t="str">
        <f aca="false">'Lead PL'!G5</f>
        <v>IST</v>
      </c>
      <c r="G5" s="221" t="str">
        <f aca="false">'Lead PL'!H5</f>
        <v>IST</v>
      </c>
      <c r="H5" s="221" t="str">
        <f aca="false">'Lead PL'!I5</f>
        <v>LTM</v>
      </c>
      <c r="I5" s="221" t="str">
        <f aca="false">'Lead PL'!J5</f>
        <v>YTD</v>
      </c>
      <c r="J5" s="221" t="str">
        <f aca="false">'Lead PL'!K5</f>
        <v>Plan</v>
      </c>
      <c r="K5" s="221" t="str">
        <f aca="false">'Lead PL'!L5</f>
        <v>Plan</v>
      </c>
      <c r="L5" s="221" t="str">
        <f aca="false">'Lead PL'!M5</f>
        <v>Plan</v>
      </c>
      <c r="M5" s="221" t="str">
        <f aca="false">'Lead PL'!N5</f>
        <v>Plan</v>
      </c>
      <c r="N5" s="92"/>
      <c r="O5" s="221" t="str">
        <f aca="false">'Lead PL'!P5</f>
        <v>IST</v>
      </c>
      <c r="P5" s="221" t="str">
        <f aca="false">'Lead PL'!Q5</f>
        <v>Plan</v>
      </c>
      <c r="Q5" s="92"/>
    </row>
    <row r="6" customFormat="false" ht="11.25" hidden="false" customHeight="true" outlineLevel="0" collapsed="false">
      <c r="B6" s="92"/>
      <c r="C6" s="227"/>
      <c r="D6" s="228" t="str">
        <f aca="false">Cockpit!$C$4</f>
        <v>Template</v>
      </c>
      <c r="E6" s="227" t="n">
        <f aca="false">'Lead PL'!F6</f>
        <v>44926</v>
      </c>
      <c r="F6" s="227" t="n">
        <f aca="false">'Lead PL'!G6</f>
        <v>45291</v>
      </c>
      <c r="G6" s="227" t="n">
        <f aca="false">'Lead PL'!H6</f>
        <v>45657</v>
      </c>
      <c r="H6" s="293" t="n">
        <f aca="false">'Lead PL'!I6</f>
        <v>45808</v>
      </c>
      <c r="I6" s="293" t="n">
        <f aca="false">'Lead PL'!J6</f>
        <v>45808</v>
      </c>
      <c r="J6" s="227" t="n">
        <f aca="false">'Lead PL'!K6</f>
        <v>46022</v>
      </c>
      <c r="K6" s="227" t="n">
        <f aca="false">'Lead PL'!L6</f>
        <v>46387</v>
      </c>
      <c r="L6" s="227" t="n">
        <f aca="false">'Lead PL'!M6</f>
        <v>46752</v>
      </c>
      <c r="M6" s="227" t="n">
        <f aca="false">'Lead PL'!N6</f>
        <v>47118</v>
      </c>
      <c r="N6" s="92"/>
      <c r="O6" s="227" t="str">
        <f aca="false">'Lead PL'!P6</f>
        <v>CAGR</v>
      </c>
      <c r="P6" s="227" t="str">
        <f aca="false">'Lead PL'!Q6</f>
        <v>CAGR</v>
      </c>
      <c r="Q6" s="92"/>
    </row>
    <row r="7" customFormat="false" ht="11.25" hidden="false" customHeight="true" outlineLevel="0" collapsed="false">
      <c r="B7" s="92"/>
      <c r="C7" s="227"/>
      <c r="D7" s="228" t="str">
        <f aca="false">"in k"&amp;Cockpit!$C$5</f>
        <v>in kEUR</v>
      </c>
      <c r="E7" s="227" t="str">
        <f aca="false">'Lead PL'!F7</f>
        <v>IST</v>
      </c>
      <c r="F7" s="227" t="str">
        <f aca="false">'Lead PL'!G7</f>
        <v>IST</v>
      </c>
      <c r="G7" s="227" t="str">
        <f aca="false">'Lead PL'!H7</f>
        <v>IST</v>
      </c>
      <c r="H7" s="227" t="str">
        <f aca="false">'Lead PL'!I7</f>
        <v>LTM</v>
      </c>
      <c r="I7" s="227" t="str">
        <f aca="false">'Lead PL'!J7</f>
        <v>YTD</v>
      </c>
      <c r="J7" s="227" t="str">
        <f aca="false">'Lead PL'!K7</f>
        <v>Plan</v>
      </c>
      <c r="K7" s="227" t="str">
        <f aca="false">'Lead PL'!L7</f>
        <v>Plan</v>
      </c>
      <c r="L7" s="227" t="str">
        <f aca="false">'Lead PL'!M7</f>
        <v>Plan</v>
      </c>
      <c r="M7" s="227" t="str">
        <f aca="false">'Lead PL'!N7</f>
        <v>Plan</v>
      </c>
      <c r="N7" s="92"/>
      <c r="O7" s="227" t="str">
        <f aca="false">'Lead PL'!P7</f>
        <v>IST</v>
      </c>
      <c r="P7" s="227" t="str">
        <f aca="false">'Lead PL'!Q7</f>
        <v>Plan</v>
      </c>
      <c r="Q7" s="92"/>
    </row>
    <row r="8" customFormat="false" ht="4.5" hidden="false" customHeight="true" outlineLevel="0" collapsed="false">
      <c r="B8" s="92"/>
      <c r="C8" s="40"/>
      <c r="D8" s="40"/>
      <c r="E8" s="40"/>
      <c r="F8" s="40"/>
      <c r="G8" s="40"/>
      <c r="H8" s="40"/>
      <c r="I8" s="40"/>
      <c r="J8" s="40"/>
      <c r="K8" s="40"/>
      <c r="L8" s="40"/>
      <c r="M8" s="40"/>
      <c r="N8" s="92"/>
      <c r="O8" s="40"/>
      <c r="P8" s="40"/>
      <c r="Q8" s="92"/>
    </row>
    <row r="9" s="414" customFormat="true" ht="11.25" hidden="false" customHeight="true" outlineLevel="0" collapsed="false">
      <c r="B9" s="92"/>
      <c r="C9" s="415" t="s">
        <v>899</v>
      </c>
      <c r="D9" s="415" t="s">
        <v>260</v>
      </c>
      <c r="E9" s="416"/>
      <c r="F9" s="416"/>
      <c r="G9" s="416"/>
      <c r="H9" s="417"/>
      <c r="I9" s="418"/>
      <c r="J9" s="419"/>
      <c r="K9" s="419"/>
      <c r="L9" s="419"/>
      <c r="M9" s="419"/>
      <c r="N9" s="92"/>
      <c r="O9" s="420"/>
      <c r="P9" s="420"/>
      <c r="Q9" s="92"/>
    </row>
    <row r="10" customFormat="false" ht="11.25" hidden="false" customHeight="true" outlineLevel="0" collapsed="false">
      <c r="B10" s="92"/>
      <c r="C10" s="51" t="s">
        <v>234</v>
      </c>
      <c r="D10" s="51" t="s">
        <v>234</v>
      </c>
      <c r="E10" s="159"/>
      <c r="F10" s="159"/>
      <c r="G10" s="159"/>
      <c r="H10" s="196"/>
      <c r="I10" s="160"/>
      <c r="J10" s="421"/>
      <c r="K10" s="421"/>
      <c r="L10" s="421"/>
      <c r="M10" s="421"/>
      <c r="N10" s="92"/>
      <c r="O10" s="57" t="str">
        <f aca="false">IFERROR(((G10/E10)^(1/(($G$1-$E$1)/365)))-1,"n/a")</f>
        <v>n/a</v>
      </c>
      <c r="P10" s="57" t="str">
        <f aca="false">IFERROR(((M10/G10)^(1/(($M$1-$G$1)/365)))-1,"n/a")</f>
        <v>n/a</v>
      </c>
      <c r="Q10" s="92"/>
    </row>
    <row r="11" customFormat="false" ht="11.25" hidden="false" customHeight="true" outlineLevel="0" collapsed="false">
      <c r="B11" s="92"/>
      <c r="C11" s="51" t="s">
        <v>235</v>
      </c>
      <c r="D11" s="51" t="s">
        <v>235</v>
      </c>
      <c r="E11" s="159"/>
      <c r="F11" s="159"/>
      <c r="G11" s="159"/>
      <c r="H11" s="196"/>
      <c r="I11" s="160"/>
      <c r="J11" s="421"/>
      <c r="K11" s="421"/>
      <c r="L11" s="421"/>
      <c r="M11" s="421"/>
      <c r="N11" s="92"/>
      <c r="O11" s="57" t="str">
        <f aca="false">IFERROR(((G11/E11)^(1/(($G$1-$E$1)/365)))-1,"n/a")</f>
        <v>n/a</v>
      </c>
      <c r="P11" s="57" t="str">
        <f aca="false">IFERROR(((M11/G11)^(1/(($M$1-$G$1)/365)))-1,"n/a")</f>
        <v>n/a</v>
      </c>
      <c r="Q11" s="92"/>
    </row>
    <row r="12" customFormat="false" ht="11.25" hidden="true" customHeight="true" outlineLevel="2" collapsed="false">
      <c r="B12" s="92"/>
      <c r="C12" s="51" t="s">
        <v>236</v>
      </c>
      <c r="D12" s="51" t="s">
        <v>236</v>
      </c>
      <c r="E12" s="159"/>
      <c r="F12" s="159"/>
      <c r="G12" s="159"/>
      <c r="H12" s="196"/>
      <c r="I12" s="160"/>
      <c r="J12" s="421"/>
      <c r="K12" s="421"/>
      <c r="L12" s="421"/>
      <c r="M12" s="421"/>
      <c r="N12" s="92"/>
      <c r="O12" s="57" t="str">
        <f aca="false">IFERROR(((G12/E12)^(1/(($G$1-$E$1)/365)))-1,"n/a")</f>
        <v>n/a</v>
      </c>
      <c r="P12" s="57" t="str">
        <f aca="false">IFERROR(((M12/G12)^(1/(($M$1-$G$1)/365)))-1,"n/a")</f>
        <v>n/a</v>
      </c>
      <c r="Q12" s="92"/>
    </row>
    <row r="13" customFormat="false" ht="11.25" hidden="true" customHeight="true" outlineLevel="2" collapsed="false">
      <c r="B13" s="92"/>
      <c r="C13" s="51" t="s">
        <v>237</v>
      </c>
      <c r="D13" s="51" t="s">
        <v>237</v>
      </c>
      <c r="E13" s="159"/>
      <c r="F13" s="159"/>
      <c r="G13" s="159"/>
      <c r="H13" s="196"/>
      <c r="I13" s="160"/>
      <c r="J13" s="421"/>
      <c r="K13" s="421"/>
      <c r="L13" s="421"/>
      <c r="M13" s="421"/>
      <c r="N13" s="92"/>
      <c r="O13" s="57" t="str">
        <f aca="false">IFERROR(((G13/E13)^(1/(($G$1-$E$1)/365)))-1,"n/a")</f>
        <v>n/a</v>
      </c>
      <c r="P13" s="57" t="str">
        <f aca="false">IFERROR(((M13/G13)^(1/(($M$1-$G$1)/365)))-1,"n/a")</f>
        <v>n/a</v>
      </c>
      <c r="Q13" s="92"/>
    </row>
    <row r="14" customFormat="false" ht="4.5" hidden="false" customHeight="true" outlineLevel="0" collapsed="false">
      <c r="B14" s="92"/>
      <c r="C14" s="51"/>
      <c r="D14" s="51"/>
      <c r="E14" s="159"/>
      <c r="F14" s="159"/>
      <c r="G14" s="159"/>
      <c r="H14" s="196"/>
      <c r="I14" s="160"/>
      <c r="J14" s="421"/>
      <c r="K14" s="421"/>
      <c r="L14" s="421"/>
      <c r="M14" s="421"/>
      <c r="N14" s="92"/>
      <c r="O14" s="57"/>
      <c r="P14" s="57"/>
      <c r="Q14" s="92"/>
    </row>
    <row r="15" customFormat="false" ht="11.25" hidden="false" customHeight="true" outlineLevel="0" collapsed="false">
      <c r="B15" s="92"/>
      <c r="C15" s="132" t="s">
        <v>900</v>
      </c>
      <c r="D15" s="132" t="s">
        <v>901</v>
      </c>
      <c r="E15" s="159"/>
      <c r="F15" s="159"/>
      <c r="G15" s="159"/>
      <c r="H15" s="196"/>
      <c r="I15" s="160"/>
      <c r="J15" s="421"/>
      <c r="K15" s="421"/>
      <c r="L15" s="421"/>
      <c r="M15" s="421"/>
      <c r="N15" s="92"/>
      <c r="O15" s="57"/>
      <c r="P15" s="57"/>
      <c r="Q15" s="92"/>
    </row>
    <row r="16" customFormat="false" ht="11.25" hidden="false" customHeight="true" outlineLevel="0" collapsed="false">
      <c r="B16" s="92"/>
      <c r="C16" s="51" t="str">
        <f aca="false">C10</f>
        <v>Dummy 1</v>
      </c>
      <c r="D16" s="51" t="str">
        <f aca="false">D10</f>
        <v>Dummy 1</v>
      </c>
      <c r="E16" s="159"/>
      <c r="F16" s="159"/>
      <c r="G16" s="159"/>
      <c r="H16" s="196"/>
      <c r="I16" s="160"/>
      <c r="J16" s="421"/>
      <c r="K16" s="421"/>
      <c r="L16" s="421"/>
      <c r="M16" s="421"/>
      <c r="N16" s="92"/>
      <c r="O16" s="57" t="str">
        <f aca="false">IFERROR(((G16/E16)^(1/(($G$1-$E$1)/365)))-1,"n/a")</f>
        <v>n/a</v>
      </c>
      <c r="P16" s="57" t="str">
        <f aca="false">IFERROR(((M16/G16)^(1/(($M$1-$G$1)/365)))-1,"n/a")</f>
        <v>n/a</v>
      </c>
      <c r="Q16" s="92"/>
    </row>
    <row r="17" customFormat="false" ht="11.25" hidden="false" customHeight="true" outlineLevel="0" collapsed="false">
      <c r="B17" s="92"/>
      <c r="C17" s="51" t="str">
        <f aca="false">C11</f>
        <v>Dummy 2</v>
      </c>
      <c r="D17" s="51" t="str">
        <f aca="false">D11</f>
        <v>Dummy 2</v>
      </c>
      <c r="E17" s="159"/>
      <c r="F17" s="159"/>
      <c r="G17" s="159"/>
      <c r="H17" s="196"/>
      <c r="I17" s="160"/>
      <c r="J17" s="421"/>
      <c r="K17" s="421"/>
      <c r="L17" s="421"/>
      <c r="M17" s="421"/>
      <c r="N17" s="92"/>
      <c r="O17" s="57" t="str">
        <f aca="false">IFERROR(((G17/E17)^(1/(($G$1-$E$1)/365)))-1,"n/a")</f>
        <v>n/a</v>
      </c>
      <c r="P17" s="57" t="str">
        <f aca="false">IFERROR(((M17/G17)^(1/(($M$1-$G$1)/365)))-1,"n/a")</f>
        <v>n/a</v>
      </c>
      <c r="Q17" s="92"/>
    </row>
    <row r="18" customFormat="false" ht="11.25" hidden="true" customHeight="true" outlineLevel="2" collapsed="false">
      <c r="B18" s="92"/>
      <c r="C18" s="51" t="str">
        <f aca="false">C12</f>
        <v>Dummy 3</v>
      </c>
      <c r="D18" s="51" t="str">
        <f aca="false">D12</f>
        <v>Dummy 3</v>
      </c>
      <c r="E18" s="159"/>
      <c r="F18" s="159"/>
      <c r="G18" s="159"/>
      <c r="H18" s="196"/>
      <c r="I18" s="160"/>
      <c r="J18" s="421"/>
      <c r="K18" s="421"/>
      <c r="L18" s="421"/>
      <c r="M18" s="421"/>
      <c r="N18" s="92"/>
      <c r="O18" s="57" t="str">
        <f aca="false">IFERROR(((G18/E18)^(1/(($G$1-$E$1)/365)))-1,"n/a")</f>
        <v>n/a</v>
      </c>
      <c r="P18" s="57" t="str">
        <f aca="false">IFERROR(((M18/G18)^(1/(($M$1-$G$1)/365)))-1,"n/a")</f>
        <v>n/a</v>
      </c>
      <c r="Q18" s="92"/>
    </row>
    <row r="19" customFormat="false" ht="11.25" hidden="true" customHeight="true" outlineLevel="2" collapsed="false">
      <c r="B19" s="92"/>
      <c r="C19" s="51" t="str">
        <f aca="false">C13</f>
        <v>Dummy 4</v>
      </c>
      <c r="D19" s="51" t="str">
        <f aca="false">D13</f>
        <v>Dummy 4</v>
      </c>
      <c r="E19" s="159"/>
      <c r="F19" s="159"/>
      <c r="G19" s="159"/>
      <c r="H19" s="196"/>
      <c r="I19" s="160"/>
      <c r="J19" s="421"/>
      <c r="K19" s="421"/>
      <c r="L19" s="421"/>
      <c r="M19" s="421"/>
      <c r="N19" s="92"/>
      <c r="O19" s="57" t="str">
        <f aca="false">IFERROR(((G19/E19)^(1/(($G$1-$E$1)/365)))-1,"n/a")</f>
        <v>n/a</v>
      </c>
      <c r="P19" s="57" t="str">
        <f aca="false">IFERROR(((M19/G19)^(1/(($M$1-$G$1)/365)))-1,"n/a")</f>
        <v>n/a</v>
      </c>
      <c r="Q19" s="92"/>
    </row>
    <row r="20" customFormat="false" ht="4.5" hidden="false" customHeight="true" outlineLevel="0" collapsed="false">
      <c r="B20" s="92"/>
      <c r="C20" s="51"/>
      <c r="D20" s="51"/>
      <c r="E20" s="159"/>
      <c r="F20" s="159"/>
      <c r="G20" s="159"/>
      <c r="H20" s="196"/>
      <c r="I20" s="160"/>
      <c r="J20" s="421"/>
      <c r="K20" s="421"/>
      <c r="L20" s="421"/>
      <c r="M20" s="421"/>
      <c r="N20" s="92"/>
      <c r="O20" s="57"/>
      <c r="P20" s="57"/>
      <c r="Q20" s="92"/>
    </row>
    <row r="21" customFormat="false" ht="11.25" hidden="false" customHeight="true" outlineLevel="0" collapsed="false">
      <c r="B21" s="92"/>
      <c r="C21" s="132" t="s">
        <v>902</v>
      </c>
      <c r="D21" s="132" t="s">
        <v>903</v>
      </c>
      <c r="E21" s="159"/>
      <c r="F21" s="159"/>
      <c r="G21" s="159"/>
      <c r="H21" s="196"/>
      <c r="I21" s="160"/>
      <c r="J21" s="421"/>
      <c r="K21" s="421"/>
      <c r="L21" s="421"/>
      <c r="M21" s="421"/>
      <c r="N21" s="92"/>
      <c r="O21" s="57"/>
      <c r="P21" s="57"/>
      <c r="Q21" s="92"/>
    </row>
    <row r="22" customFormat="false" ht="11.25" hidden="false" customHeight="true" outlineLevel="0" collapsed="false">
      <c r="B22" s="92"/>
      <c r="C22" s="51" t="str">
        <f aca="false">C10</f>
        <v>Dummy 1</v>
      </c>
      <c r="D22" s="51" t="str">
        <f aca="false">D10</f>
        <v>Dummy 1</v>
      </c>
      <c r="E22" s="422" t="str">
        <f aca="false">IFERROR(E10/E16,"n/a")</f>
        <v>n/a</v>
      </c>
      <c r="F22" s="422" t="str">
        <f aca="false">IFERROR(F10/F16,"n/a")</f>
        <v>n/a</v>
      </c>
      <c r="G22" s="422" t="str">
        <f aca="false">IFERROR(G10/G16,"n/a")</f>
        <v>n/a</v>
      </c>
      <c r="H22" s="423" t="str">
        <f aca="false">IFERROR(H10/H16,"n/a")</f>
        <v>n/a</v>
      </c>
      <c r="I22" s="424" t="str">
        <f aca="false">IFERROR(I10/I16,"n/a")</f>
        <v>n/a</v>
      </c>
      <c r="J22" s="425" t="str">
        <f aca="false">IFERROR(J10/J16,"n/a")</f>
        <v>n/a</v>
      </c>
      <c r="K22" s="425" t="str">
        <f aca="false">IFERROR(K10/K16,"n/a")</f>
        <v>n/a</v>
      </c>
      <c r="L22" s="425" t="str">
        <f aca="false">IFERROR(L10/L16,"n/a")</f>
        <v>n/a</v>
      </c>
      <c r="M22" s="425" t="str">
        <f aca="false">IFERROR(M10/M16,"n/a")</f>
        <v>n/a</v>
      </c>
      <c r="N22" s="92"/>
      <c r="O22" s="57" t="str">
        <f aca="false">IFERROR(((G22/E22)^(1/(($G$1-$E$1)/365)))-1,"n/a")</f>
        <v>n/a</v>
      </c>
      <c r="P22" s="57" t="str">
        <f aca="false">IFERROR(((M22/G22)^(1/(($M$1-$G$1)/365)))-1,"n/a")</f>
        <v>n/a</v>
      </c>
      <c r="Q22" s="92"/>
    </row>
    <row r="23" customFormat="false" ht="11.25" hidden="false" customHeight="true" outlineLevel="0" collapsed="false">
      <c r="B23" s="92"/>
      <c r="C23" s="51" t="str">
        <f aca="false">C11</f>
        <v>Dummy 2</v>
      </c>
      <c r="D23" s="51" t="str">
        <f aca="false">D11</f>
        <v>Dummy 2</v>
      </c>
      <c r="E23" s="422" t="str">
        <f aca="false">IFERROR(E11/E17,"n/a")</f>
        <v>n/a</v>
      </c>
      <c r="F23" s="422" t="str">
        <f aca="false">IFERROR(F11/F17,"n/a")</f>
        <v>n/a</v>
      </c>
      <c r="G23" s="422" t="str">
        <f aca="false">IFERROR(G11/G17,"n/a")</f>
        <v>n/a</v>
      </c>
      <c r="H23" s="423" t="str">
        <f aca="false">IFERROR(H11/H17,"n/a")</f>
        <v>n/a</v>
      </c>
      <c r="I23" s="424" t="str">
        <f aca="false">IFERROR(I11/I17,"n/a")</f>
        <v>n/a</v>
      </c>
      <c r="J23" s="425" t="str">
        <f aca="false">IFERROR(J11/J17,"n/a")</f>
        <v>n/a</v>
      </c>
      <c r="K23" s="425" t="str">
        <f aca="false">IFERROR(K11/K17,"n/a")</f>
        <v>n/a</v>
      </c>
      <c r="L23" s="425" t="str">
        <f aca="false">IFERROR(L11/L17,"n/a")</f>
        <v>n/a</v>
      </c>
      <c r="M23" s="425" t="str">
        <f aca="false">IFERROR(M11/M17,"n/a")</f>
        <v>n/a</v>
      </c>
      <c r="N23" s="92"/>
      <c r="O23" s="57" t="str">
        <f aca="false">IFERROR(((G23/E23)^(1/(($G$1-$E$1)/365)))-1,"n/a")</f>
        <v>n/a</v>
      </c>
      <c r="P23" s="57" t="str">
        <f aca="false">IFERROR(((M23/G23)^(1/(($M$1-$G$1)/365)))-1,"n/a")</f>
        <v>n/a</v>
      </c>
      <c r="Q23" s="92"/>
    </row>
    <row r="24" customFormat="false" ht="11.25" hidden="true" customHeight="true" outlineLevel="2" collapsed="false">
      <c r="B24" s="92"/>
      <c r="C24" s="51" t="str">
        <f aca="false">C12</f>
        <v>Dummy 3</v>
      </c>
      <c r="D24" s="51" t="str">
        <f aca="false">D12</f>
        <v>Dummy 3</v>
      </c>
      <c r="E24" s="422" t="str">
        <f aca="false">IFERROR(E12/E18,"n/a")</f>
        <v>n/a</v>
      </c>
      <c r="F24" s="422" t="str">
        <f aca="false">IFERROR(F12/F18,"n/a")</f>
        <v>n/a</v>
      </c>
      <c r="G24" s="422" t="str">
        <f aca="false">IFERROR(G12/G18,"n/a")</f>
        <v>n/a</v>
      </c>
      <c r="H24" s="423" t="str">
        <f aca="false">IFERROR(H12/H18,"n/a")</f>
        <v>n/a</v>
      </c>
      <c r="I24" s="424" t="str">
        <f aca="false">IFERROR(I12/I18,"n/a")</f>
        <v>n/a</v>
      </c>
      <c r="J24" s="425" t="str">
        <f aca="false">IFERROR(J12/J18,"n/a")</f>
        <v>n/a</v>
      </c>
      <c r="K24" s="425" t="str">
        <f aca="false">IFERROR(K12/K18,"n/a")</f>
        <v>n/a</v>
      </c>
      <c r="L24" s="425" t="str">
        <f aca="false">IFERROR(L12/L18,"n/a")</f>
        <v>n/a</v>
      </c>
      <c r="M24" s="425" t="str">
        <f aca="false">IFERROR(M12/M18,"n/a")</f>
        <v>n/a</v>
      </c>
      <c r="N24" s="92"/>
      <c r="O24" s="57" t="str">
        <f aca="false">IFERROR(((G24/E24)^(1/(($G$1-$E$1)/365)))-1,"n/a")</f>
        <v>n/a</v>
      </c>
      <c r="P24" s="57" t="str">
        <f aca="false">IFERROR(((M24/G24)^(1/(($M$1-$G$1)/365)))-1,"n/a")</f>
        <v>n/a</v>
      </c>
      <c r="Q24" s="92"/>
    </row>
    <row r="25" customFormat="false" ht="11.25" hidden="true" customHeight="true" outlineLevel="2" collapsed="false">
      <c r="B25" s="92"/>
      <c r="C25" s="51" t="str">
        <f aca="false">C13</f>
        <v>Dummy 4</v>
      </c>
      <c r="D25" s="51" t="str">
        <f aca="false">D13</f>
        <v>Dummy 4</v>
      </c>
      <c r="E25" s="422" t="str">
        <f aca="false">IFERROR(E13/E19,"n/a")</f>
        <v>n/a</v>
      </c>
      <c r="F25" s="422" t="str">
        <f aca="false">IFERROR(F13/F19,"n/a")</f>
        <v>n/a</v>
      </c>
      <c r="G25" s="422" t="str">
        <f aca="false">IFERROR(G13/G19,"n/a")</f>
        <v>n/a</v>
      </c>
      <c r="H25" s="423" t="str">
        <f aca="false">IFERROR(H13/H19,"n/a")</f>
        <v>n/a</v>
      </c>
      <c r="I25" s="424" t="str">
        <f aca="false">IFERROR(I13/I19,"n/a")</f>
        <v>n/a</v>
      </c>
      <c r="J25" s="425" t="str">
        <f aca="false">IFERROR(J13/J19,"n/a")</f>
        <v>n/a</v>
      </c>
      <c r="K25" s="425" t="str">
        <f aca="false">IFERROR(K13/K19,"n/a")</f>
        <v>n/a</v>
      </c>
      <c r="L25" s="425" t="str">
        <f aca="false">IFERROR(L13/L19,"n/a")</f>
        <v>n/a</v>
      </c>
      <c r="M25" s="425" t="str">
        <f aca="false">IFERROR(M13/M19,"n/a")</f>
        <v>n/a</v>
      </c>
      <c r="N25" s="92"/>
      <c r="O25" s="57" t="str">
        <f aca="false">IFERROR(((G25/E25)^(1/(($G$1-$E$1)/365)))-1,"n/a")</f>
        <v>n/a</v>
      </c>
      <c r="P25" s="57" t="str">
        <f aca="false">IFERROR(((M25/G25)^(1/(($M$1-$G$1)/365)))-1,"n/a")</f>
        <v>n/a</v>
      </c>
      <c r="Q25" s="92"/>
    </row>
    <row r="26" customFormat="false" ht="4.5" hidden="false" customHeight="true" outlineLevel="0" collapsed="false">
      <c r="B26" s="92"/>
      <c r="C26" s="51"/>
      <c r="D26" s="51"/>
      <c r="E26" s="422"/>
      <c r="F26" s="422"/>
      <c r="G26" s="422"/>
      <c r="H26" s="423"/>
      <c r="I26" s="424"/>
      <c r="J26" s="425"/>
      <c r="K26" s="425"/>
      <c r="L26" s="425"/>
      <c r="M26" s="425"/>
      <c r="N26" s="92"/>
      <c r="O26" s="57"/>
      <c r="P26" s="57"/>
      <c r="Q26" s="92"/>
    </row>
    <row r="27" customFormat="false" ht="11.25" hidden="false" customHeight="true" outlineLevel="0" collapsed="false">
      <c r="B27" s="92"/>
      <c r="C27" s="132" t="s">
        <v>465</v>
      </c>
      <c r="D27" s="132" t="s">
        <v>904</v>
      </c>
      <c r="E27" s="422"/>
      <c r="F27" s="422"/>
      <c r="G27" s="422"/>
      <c r="H27" s="423"/>
      <c r="I27" s="424"/>
      <c r="J27" s="425"/>
      <c r="K27" s="425"/>
      <c r="L27" s="425"/>
      <c r="M27" s="425"/>
      <c r="N27" s="92"/>
      <c r="O27" s="57"/>
      <c r="P27" s="57"/>
      <c r="Q27" s="92"/>
    </row>
    <row r="28" customFormat="false" ht="11.25" hidden="false" customHeight="true" outlineLevel="0" collapsed="false">
      <c r="B28" s="92"/>
      <c r="C28" s="132" t="s">
        <v>905</v>
      </c>
      <c r="D28" s="132" t="s">
        <v>906</v>
      </c>
      <c r="E28" s="422"/>
      <c r="F28" s="422"/>
      <c r="G28" s="422"/>
      <c r="H28" s="423"/>
      <c r="I28" s="424"/>
      <c r="J28" s="425"/>
      <c r="K28" s="425"/>
      <c r="L28" s="425"/>
      <c r="M28" s="425"/>
      <c r="N28" s="92"/>
      <c r="O28" s="57"/>
      <c r="P28" s="57"/>
      <c r="Q28" s="92"/>
    </row>
    <row r="29" customFormat="false" ht="11.25" hidden="false" customHeight="true" outlineLevel="0" collapsed="false">
      <c r="B29" s="92"/>
      <c r="C29" s="51" t="str">
        <f aca="false">C16</f>
        <v>Dummy 1</v>
      </c>
      <c r="D29" s="51" t="str">
        <f aca="false">D16</f>
        <v>Dummy 1</v>
      </c>
      <c r="E29" s="137"/>
      <c r="F29" s="57" t="str">
        <f aca="false">IFERROR(IF(F16/E16-1&gt;1,"&gt;100%",IF(F16/E16-1&lt;-1,"&lt;100%",F16/E16-1)),"n/a")</f>
        <v>n/a</v>
      </c>
      <c r="G29" s="57" t="str">
        <f aca="false">IFERROR(IF(G16/F16-1&gt;1,"&gt;100%",IF(G16/F16-1&lt;-1,"&lt;100%",G16/F16-1)),"n/a")</f>
        <v>n/a</v>
      </c>
      <c r="H29" s="138"/>
      <c r="I29" s="138"/>
      <c r="J29" s="426" t="str">
        <f aca="false">IFERROR(IF(J16/G16-1&gt;1,"&gt;100%",IF(J16/G16-1&lt;-1,"&lt;100%",J16/G16-1)),"n/a")</f>
        <v>n/a</v>
      </c>
      <c r="K29" s="426" t="str">
        <f aca="false">IFERROR(IF(K16/J16-1&gt;1,"&gt;100%",IF(K16/J16-1&lt;-1,"&lt;100%",K16/J16-1)),"n/a")</f>
        <v>n/a</v>
      </c>
      <c r="L29" s="426" t="str">
        <f aca="false">IFERROR(IF(L16/K16-1&gt;1,"&gt;100%",IF(L16/K16-1&lt;-1,"&lt;100%",L16/K16-1)),"n/a")</f>
        <v>n/a</v>
      </c>
      <c r="M29" s="426" t="str">
        <f aca="false">IFERROR(IF(M16/L16-1&gt;1,"&gt;100%",IF(M16/L16-1&lt;-1,"&lt;100%",M16/L16-1)),"n/a")</f>
        <v>n/a</v>
      </c>
      <c r="N29" s="92"/>
      <c r="O29" s="57"/>
      <c r="P29" s="57"/>
      <c r="Q29" s="92"/>
    </row>
    <row r="30" customFormat="false" ht="11.25" hidden="false" customHeight="true" outlineLevel="0" collapsed="false">
      <c r="B30" s="92"/>
      <c r="C30" s="51" t="str">
        <f aca="false">C17</f>
        <v>Dummy 2</v>
      </c>
      <c r="D30" s="51" t="str">
        <f aca="false">D17</f>
        <v>Dummy 2</v>
      </c>
      <c r="E30" s="137"/>
      <c r="F30" s="57" t="str">
        <f aca="false">IFERROR(IF(F17/E17-1&gt;1,"&gt;100%",IF(F17/E17-1&lt;-1,"&lt;100%",F17/E17-1)),"n/a")</f>
        <v>n/a</v>
      </c>
      <c r="G30" s="57" t="str">
        <f aca="false">IFERROR(IF(G17/F17-1&gt;1,"&gt;100%",IF(G17/F17-1&lt;-1,"&lt;100%",G17/F17-1)),"n/a")</f>
        <v>n/a</v>
      </c>
      <c r="H30" s="138"/>
      <c r="I30" s="138"/>
      <c r="J30" s="426" t="str">
        <f aca="false">IFERROR(IF(J17/G17-1&gt;1,"&gt;100%",IF(J17/G17-1&lt;-1,"&lt;100%",J17/G17-1)),"n/a")</f>
        <v>n/a</v>
      </c>
      <c r="K30" s="426" t="str">
        <f aca="false">IFERROR(IF(K17/J17-1&gt;1,"&gt;100%",IF(K17/J17-1&lt;-1,"&lt;100%",K17/J17-1)),"n/a")</f>
        <v>n/a</v>
      </c>
      <c r="L30" s="426" t="str">
        <f aca="false">IFERROR(IF(L17/K17-1&gt;1,"&gt;100%",IF(L17/K17-1&lt;-1,"&lt;100%",L17/K17-1)),"n/a")</f>
        <v>n/a</v>
      </c>
      <c r="M30" s="426" t="str">
        <f aca="false">IFERROR(IF(M17/L17-1&gt;1,"&gt;100%",IF(M17/L17-1&lt;-1,"&lt;100%",M17/L17-1)),"n/a")</f>
        <v>n/a</v>
      </c>
      <c r="N30" s="92"/>
      <c r="O30" s="57"/>
      <c r="P30" s="57"/>
      <c r="Q30" s="92"/>
    </row>
    <row r="31" customFormat="false" ht="11.25" hidden="true" customHeight="true" outlineLevel="2" collapsed="false">
      <c r="B31" s="92"/>
      <c r="C31" s="51" t="str">
        <f aca="false">C18</f>
        <v>Dummy 3</v>
      </c>
      <c r="D31" s="51" t="str">
        <f aca="false">D18</f>
        <v>Dummy 3</v>
      </c>
      <c r="E31" s="137"/>
      <c r="F31" s="57" t="str">
        <f aca="false">IFERROR(IF(F18/E18-1&gt;1,"&gt;100%",IF(F18/E18-1&lt;-1,"&lt;100%",F18/E18-1)),"n/a")</f>
        <v>n/a</v>
      </c>
      <c r="G31" s="57" t="str">
        <f aca="false">IFERROR(IF(G18/F18-1&gt;1,"&gt;100%",IF(G18/F18-1&lt;-1,"&lt;100%",G18/F18-1)),"n/a")</f>
        <v>n/a</v>
      </c>
      <c r="H31" s="138"/>
      <c r="I31" s="138"/>
      <c r="J31" s="426" t="str">
        <f aca="false">IFERROR(IF(J18/G18-1&gt;1,"&gt;100%",IF(J18/G18-1&lt;-1,"&lt;100%",J18/G18-1)),"n/a")</f>
        <v>n/a</v>
      </c>
      <c r="K31" s="426" t="str">
        <f aca="false">IFERROR(IF(K18/J18-1&gt;1,"&gt;100%",IF(K18/J18-1&lt;-1,"&lt;100%",K18/J18-1)),"n/a")</f>
        <v>n/a</v>
      </c>
      <c r="L31" s="426" t="str">
        <f aca="false">IFERROR(IF(L18/K18-1&gt;1,"&gt;100%",IF(L18/K18-1&lt;-1,"&lt;100%",L18/K18-1)),"n/a")</f>
        <v>n/a</v>
      </c>
      <c r="M31" s="426" t="str">
        <f aca="false">IFERROR(IF(M18/L18-1&gt;1,"&gt;100%",IF(M18/L18-1&lt;-1,"&lt;100%",M18/L18-1)),"n/a")</f>
        <v>n/a</v>
      </c>
      <c r="N31" s="92"/>
      <c r="O31" s="57"/>
      <c r="P31" s="57"/>
      <c r="Q31" s="92"/>
    </row>
    <row r="32" customFormat="false" ht="11.25" hidden="true" customHeight="true" outlineLevel="2" collapsed="false">
      <c r="B32" s="92"/>
      <c r="C32" s="51" t="str">
        <f aca="false">C19</f>
        <v>Dummy 4</v>
      </c>
      <c r="D32" s="51" t="str">
        <f aca="false">D19</f>
        <v>Dummy 4</v>
      </c>
      <c r="E32" s="137"/>
      <c r="F32" s="57" t="str">
        <f aca="false">IFERROR(IF(F19/E19-1&gt;1,"&gt;100%",IF(F19/E19-1&lt;-1,"&lt;100%",F19/E19-1)),"n/a")</f>
        <v>n/a</v>
      </c>
      <c r="G32" s="57" t="str">
        <f aca="false">IFERROR(IF(G19/F19-1&gt;1,"&gt;100%",IF(G19/F19-1&lt;-1,"&lt;100%",G19/F19-1)),"n/a")</f>
        <v>n/a</v>
      </c>
      <c r="H32" s="138"/>
      <c r="I32" s="138"/>
      <c r="J32" s="426" t="str">
        <f aca="false">IFERROR(IF(J19/G19-1&gt;1,"&gt;100%",IF(J19/G19-1&lt;-1,"&lt;100%",J19/G19-1)),"n/a")</f>
        <v>n/a</v>
      </c>
      <c r="K32" s="426" t="str">
        <f aca="false">IFERROR(IF(K19/J19-1&gt;1,"&gt;100%",IF(K19/J19-1&lt;-1,"&lt;100%",K19/J19-1)),"n/a")</f>
        <v>n/a</v>
      </c>
      <c r="L32" s="426" t="str">
        <f aca="false">IFERROR(IF(L19/K19-1&gt;1,"&gt;100%",IF(L19/K19-1&lt;-1,"&lt;100%",L19/K19-1)),"n/a")</f>
        <v>n/a</v>
      </c>
      <c r="M32" s="426" t="str">
        <f aca="false">IFERROR(IF(M19/L19-1&gt;1,"&gt;100%",IF(M19/L19-1&lt;-1,"&lt;100%",M19/L19-1)),"n/a")</f>
        <v>n/a</v>
      </c>
      <c r="N32" s="92"/>
      <c r="O32" s="57"/>
      <c r="P32" s="57"/>
      <c r="Q32" s="92"/>
    </row>
    <row r="33" customFormat="false" ht="4.5" hidden="false" customHeight="true" outlineLevel="0" collapsed="false">
      <c r="B33" s="92"/>
      <c r="C33" s="51"/>
      <c r="D33" s="51"/>
      <c r="E33" s="422"/>
      <c r="F33" s="422"/>
      <c r="G33" s="422"/>
      <c r="H33" s="141"/>
      <c r="I33" s="142"/>
      <c r="J33" s="425"/>
      <c r="K33" s="425"/>
      <c r="L33" s="425"/>
      <c r="M33" s="425"/>
      <c r="N33" s="92"/>
      <c r="O33" s="57"/>
      <c r="P33" s="57"/>
      <c r="Q33" s="92"/>
    </row>
    <row r="34" customFormat="false" ht="11.25" hidden="false" customHeight="true" outlineLevel="0" collapsed="false">
      <c r="B34" s="92"/>
      <c r="C34" s="132" t="str">
        <f aca="false">C21</f>
        <v>Durchschnittlicher Umsatz pro Stk.</v>
      </c>
      <c r="D34" s="132" t="str">
        <f aca="false">D21</f>
        <v>Average revenue per pc.</v>
      </c>
      <c r="E34" s="422"/>
      <c r="F34" s="422"/>
      <c r="G34" s="422"/>
      <c r="H34" s="141"/>
      <c r="I34" s="142"/>
      <c r="J34" s="425"/>
      <c r="K34" s="425"/>
      <c r="L34" s="425"/>
      <c r="M34" s="425"/>
      <c r="N34" s="92"/>
      <c r="O34" s="57"/>
      <c r="P34" s="57"/>
      <c r="Q34" s="92"/>
    </row>
    <row r="35" customFormat="false" ht="11.25" hidden="false" customHeight="true" outlineLevel="0" collapsed="false">
      <c r="B35" s="92"/>
      <c r="C35" s="51" t="str">
        <f aca="false">C22</f>
        <v>Dummy 1</v>
      </c>
      <c r="D35" s="51" t="str">
        <f aca="false">D22</f>
        <v>Dummy 1</v>
      </c>
      <c r="E35" s="137"/>
      <c r="F35" s="57" t="str">
        <f aca="false">IFERROR(IF(F22/E22-1&gt;1,"&gt;100%",IF(F22/E22-1&lt;-1,"&lt;100%",F22/E22-1)),"n/a")</f>
        <v>n/a</v>
      </c>
      <c r="G35" s="57" t="str">
        <f aca="false">IFERROR(IF(G22/F22-1&gt;1,"&gt;100%",IF(G22/F22-1&lt;-1,"&lt;100%",G22/F22-1)),"n/a")</f>
        <v>n/a</v>
      </c>
      <c r="H35" s="138"/>
      <c r="I35" s="138"/>
      <c r="J35" s="426" t="str">
        <f aca="false">IFERROR(IF(J22/G22-1&gt;1,"&gt;100%",IF(J22/G22-1&lt;-1,"&lt;100%",J22/G22-1)),"n/a")</f>
        <v>n/a</v>
      </c>
      <c r="K35" s="426" t="str">
        <f aca="false">IFERROR(IF(K22/J22-1&gt;1,"&gt;100%",IF(K22/J22-1&lt;-1,"&lt;100%",K22/J22-1)),"n/a")</f>
        <v>n/a</v>
      </c>
      <c r="L35" s="426" t="str">
        <f aca="false">IFERROR(IF(L22/K22-1&gt;1,"&gt;100%",IF(L22/K22-1&lt;-1,"&lt;100%",L22/K22-1)),"n/a")</f>
        <v>n/a</v>
      </c>
      <c r="M35" s="426" t="str">
        <f aca="false">IFERROR(IF(M22/L22-1&gt;1,"&gt;100%",IF(M22/L22-1&lt;-1,"&lt;100%",M22/L22-1)),"n/a")</f>
        <v>n/a</v>
      </c>
      <c r="N35" s="92"/>
      <c r="O35" s="57"/>
      <c r="P35" s="57"/>
      <c r="Q35" s="92"/>
    </row>
    <row r="36" customFormat="false" ht="11.25" hidden="false" customHeight="true" outlineLevel="0" collapsed="false">
      <c r="B36" s="92"/>
      <c r="C36" s="51" t="str">
        <f aca="false">C23</f>
        <v>Dummy 2</v>
      </c>
      <c r="D36" s="51" t="str">
        <f aca="false">D23</f>
        <v>Dummy 2</v>
      </c>
      <c r="E36" s="137"/>
      <c r="F36" s="57" t="str">
        <f aca="false">IFERROR(IF(F23/E23-1&gt;1,"&gt;100%",IF(F23/E23-1&lt;-1,"&lt;100%",F23/E23-1)),"n/a")</f>
        <v>n/a</v>
      </c>
      <c r="G36" s="57" t="str">
        <f aca="false">IFERROR(IF(G23/F23-1&gt;1,"&gt;100%",IF(G23/F23-1&lt;-1,"&lt;100%",G23/F23-1)),"n/a")</f>
        <v>n/a</v>
      </c>
      <c r="H36" s="138"/>
      <c r="I36" s="138"/>
      <c r="J36" s="426" t="str">
        <f aca="false">IFERROR(IF(J23/G23-1&gt;1,"&gt;100%",IF(J23/G23-1&lt;-1,"&lt;100%",J23/G23-1)),"n/a")</f>
        <v>n/a</v>
      </c>
      <c r="K36" s="426" t="str">
        <f aca="false">IFERROR(IF(K23/J23-1&gt;1,"&gt;100%",IF(K23/J23-1&lt;-1,"&lt;100%",K23/J23-1)),"n/a")</f>
        <v>n/a</v>
      </c>
      <c r="L36" s="426" t="str">
        <f aca="false">IFERROR(IF(L23/K23-1&gt;1,"&gt;100%",IF(L23/K23-1&lt;-1,"&lt;100%",L23/K23-1)),"n/a")</f>
        <v>n/a</v>
      </c>
      <c r="M36" s="426" t="str">
        <f aca="false">IFERROR(IF(M23/L23-1&gt;1,"&gt;100%",IF(M23/L23-1&lt;-1,"&lt;100%",M23/L23-1)),"n/a")</f>
        <v>n/a</v>
      </c>
      <c r="N36" s="92"/>
      <c r="O36" s="57"/>
      <c r="P36" s="57"/>
      <c r="Q36" s="92"/>
    </row>
    <row r="37" customFormat="false" ht="11.25" hidden="true" customHeight="true" outlineLevel="2" collapsed="false">
      <c r="B37" s="92"/>
      <c r="C37" s="51" t="str">
        <f aca="false">C24</f>
        <v>Dummy 3</v>
      </c>
      <c r="D37" s="51" t="str">
        <f aca="false">D24</f>
        <v>Dummy 3</v>
      </c>
      <c r="E37" s="137"/>
      <c r="F37" s="57" t="str">
        <f aca="false">IFERROR(IF(F24/E24-1&gt;1,"&gt;100%",IF(F24/E24-1&lt;-1,"&lt;100%",F24/E24-1)),"n/a")</f>
        <v>n/a</v>
      </c>
      <c r="G37" s="57" t="str">
        <f aca="false">IFERROR(IF(G24/F24-1&gt;1,"&gt;100%",IF(G24/F24-1&lt;-1,"&lt;100%",G24/F24-1)),"n/a")</f>
        <v>n/a</v>
      </c>
      <c r="H37" s="138"/>
      <c r="I37" s="138"/>
      <c r="J37" s="426" t="str">
        <f aca="false">IFERROR(IF(J24/G24-1&gt;1,"&gt;100%",IF(J24/G24-1&lt;-1,"&lt;100%",J24/G24-1)),"n/a")</f>
        <v>n/a</v>
      </c>
      <c r="K37" s="426" t="str">
        <f aca="false">IFERROR(IF(K24/J24-1&gt;1,"&gt;100%",IF(K24/J24-1&lt;-1,"&lt;100%",K24/J24-1)),"n/a")</f>
        <v>n/a</v>
      </c>
      <c r="L37" s="426" t="str">
        <f aca="false">IFERROR(IF(L24/K24-1&gt;1,"&gt;100%",IF(L24/K24-1&lt;-1,"&lt;100%",L24/K24-1)),"n/a")</f>
        <v>n/a</v>
      </c>
      <c r="M37" s="426" t="str">
        <f aca="false">IFERROR(IF(M24/L24-1&gt;1,"&gt;100%",IF(M24/L24-1&lt;-1,"&lt;100%",M24/L24-1)),"n/a")</f>
        <v>n/a</v>
      </c>
      <c r="N37" s="92"/>
      <c r="O37" s="57"/>
      <c r="P37" s="57"/>
      <c r="Q37" s="92"/>
    </row>
    <row r="38" customFormat="false" ht="11.25" hidden="true" customHeight="true" outlineLevel="2" collapsed="false">
      <c r="B38" s="92"/>
      <c r="C38" s="51" t="str">
        <f aca="false">C25</f>
        <v>Dummy 4</v>
      </c>
      <c r="D38" s="51" t="str">
        <f aca="false">D25</f>
        <v>Dummy 4</v>
      </c>
      <c r="E38" s="137"/>
      <c r="F38" s="57" t="str">
        <f aca="false">IFERROR(IF(F25/E25-1&gt;1,"&gt;100%",IF(F25/E25-1&lt;-1,"&lt;100%",F25/E25-1)),"n/a")</f>
        <v>n/a</v>
      </c>
      <c r="G38" s="57" t="str">
        <f aca="false">IFERROR(IF(G25/F25-1&gt;1,"&gt;100%",IF(G25/F25-1&lt;-1,"&lt;100%",G25/F25-1)),"n/a")</f>
        <v>n/a</v>
      </c>
      <c r="H38" s="138"/>
      <c r="I38" s="138"/>
      <c r="J38" s="426" t="str">
        <f aca="false">IFERROR(IF(J25/G25-1&gt;1,"&gt;100%",IF(J25/G25-1&lt;-1,"&lt;100%",J25/G25-1)),"n/a")</f>
        <v>n/a</v>
      </c>
      <c r="K38" s="426" t="str">
        <f aca="false">IFERROR(IF(K25/J25-1&gt;1,"&gt;100%",IF(K25/J25-1&lt;-1,"&lt;100%",K25/J25-1)),"n/a")</f>
        <v>n/a</v>
      </c>
      <c r="L38" s="426" t="str">
        <f aca="false">IFERROR(IF(L25/K25-1&gt;1,"&gt;100%",IF(L25/K25-1&lt;-1,"&lt;100%",L25/K25-1)),"n/a")</f>
        <v>n/a</v>
      </c>
      <c r="M38" s="426" t="str">
        <f aca="false">IFERROR(IF(M25/L25-1&gt;1,"&gt;100%",IF(M25/L25-1&lt;-1,"&lt;100%",M25/L25-1)),"n/a")</f>
        <v>n/a</v>
      </c>
      <c r="N38" s="92"/>
      <c r="O38" s="57"/>
      <c r="P38" s="57"/>
      <c r="Q38" s="92"/>
    </row>
    <row r="39" customFormat="false" ht="4.5" hidden="false" customHeight="true" outlineLevel="0" collapsed="false">
      <c r="B39" s="92"/>
      <c r="C39" s="51"/>
      <c r="D39" s="51"/>
      <c r="E39" s="422"/>
      <c r="F39" s="422"/>
      <c r="G39" s="422"/>
      <c r="H39" s="141"/>
      <c r="I39" s="142"/>
      <c r="J39" s="425"/>
      <c r="K39" s="425"/>
      <c r="L39" s="425"/>
      <c r="M39" s="425"/>
      <c r="N39" s="92"/>
      <c r="O39" s="57"/>
      <c r="P39" s="57"/>
      <c r="Q39" s="92"/>
    </row>
    <row r="40" customFormat="false" ht="11.25" hidden="false" customHeight="true" outlineLevel="0" collapsed="false">
      <c r="B40" s="92"/>
      <c r="C40" s="54" t="str">
        <f aca="false">"Quelle: "&amp;Cockpit!$C$7</f>
        <v>Quelle: Datenraum/ eigene Analysen</v>
      </c>
      <c r="D40" s="54" t="str">
        <f aca="false">"Source: "&amp;Cockpit!$C$8</f>
        <v>Source: Virtual Data Room/ Company Information</v>
      </c>
      <c r="E40" s="55"/>
      <c r="F40" s="55"/>
      <c r="G40" s="55"/>
      <c r="H40" s="55"/>
      <c r="I40" s="55"/>
      <c r="J40" s="55"/>
      <c r="K40" s="55"/>
      <c r="L40" s="55"/>
      <c r="M40" s="55"/>
      <c r="N40" s="92"/>
      <c r="O40" s="55"/>
      <c r="P40" s="55"/>
      <c r="Q40" s="92"/>
    </row>
    <row r="41" customFormat="false" ht="11.25" hidden="false" customHeight="true" outlineLevel="0" collapsed="false">
      <c r="B41" s="234"/>
      <c r="N41" s="234"/>
      <c r="Q41" s="234"/>
    </row>
    <row r="42" customFormat="false" ht="11.25" hidden="false" customHeight="true" outlineLevel="0" collapsed="false">
      <c r="B42" s="234"/>
      <c r="N42" s="234"/>
      <c r="Q42" s="234"/>
    </row>
    <row r="43" customFormat="false" ht="11.25" hidden="false" customHeight="true" outlineLevel="0" collapsed="false">
      <c r="B43" s="427"/>
      <c r="C43" s="151" t="s">
        <v>907</v>
      </c>
      <c r="D43" s="151" t="s">
        <v>908</v>
      </c>
      <c r="E43" s="152" t="n">
        <f aca="false">'Lead PL'!F9</f>
        <v>0</v>
      </c>
      <c r="F43" s="152" t="n">
        <f aca="false">'Lead PL'!G9</f>
        <v>0</v>
      </c>
      <c r="G43" s="152" t="n">
        <f aca="false">'Lead PL'!H9</f>
        <v>0</v>
      </c>
      <c r="H43" s="152" t="n">
        <f aca="false">'Lead PL'!I9</f>
        <v>0</v>
      </c>
      <c r="I43" s="152" t="n">
        <f aca="false">'Lead PL'!J9</f>
        <v>0</v>
      </c>
      <c r="J43" s="152" t="n">
        <f aca="false">'Lead PL'!K9</f>
        <v>0</v>
      </c>
      <c r="K43" s="152" t="n">
        <f aca="false">'Lead PL'!L9</f>
        <v>0</v>
      </c>
      <c r="L43" s="152" t="n">
        <f aca="false">'Lead PL'!M9</f>
        <v>0</v>
      </c>
      <c r="M43" s="152" t="n">
        <f aca="false">'Lead PL'!N9</f>
        <v>0</v>
      </c>
      <c r="N43" s="427"/>
      <c r="Q43" s="427"/>
    </row>
    <row r="44" customFormat="false" ht="11.25" hidden="false" customHeight="true" outlineLevel="0" collapsed="false">
      <c r="B44" s="427"/>
      <c r="C44" s="153" t="s">
        <v>245</v>
      </c>
      <c r="D44" s="154" t="s">
        <v>245</v>
      </c>
      <c r="E44" s="155" t="n">
        <f aca="false">E43-SUM(E10:E13)</f>
        <v>0</v>
      </c>
      <c r="F44" s="155" t="n">
        <f aca="false">F43-SUM(F10:F13)</f>
        <v>0</v>
      </c>
      <c r="G44" s="155" t="n">
        <f aca="false">G43-SUM(G10:G13)</f>
        <v>0</v>
      </c>
      <c r="H44" s="155" t="n">
        <f aca="false">H43-SUM(H10:H13)</f>
        <v>0</v>
      </c>
      <c r="I44" s="155" t="n">
        <f aca="false">I43-SUM(I10:I13)</f>
        <v>0</v>
      </c>
      <c r="J44" s="155" t="n">
        <f aca="false">J43-SUM(J10:J13)</f>
        <v>0</v>
      </c>
      <c r="K44" s="155" t="n">
        <f aca="false">K43-SUM(K10:K13)</f>
        <v>0</v>
      </c>
      <c r="L44" s="155" t="n">
        <f aca="false">L43-SUM(L10:L13)</f>
        <v>0</v>
      </c>
      <c r="M44" s="155" t="n">
        <f aca="false">M43-SUM(M10:M13)</f>
        <v>0</v>
      </c>
      <c r="N44" s="427"/>
      <c r="Q44" s="427"/>
    </row>
    <row r="45" customFormat="false" ht="11.25" hidden="false" customHeight="true" outlineLevel="0" collapsed="false">
      <c r="B45" s="427"/>
      <c r="N45" s="427"/>
      <c r="Q45" s="427"/>
    </row>
    <row r="46" customFormat="false" ht="11.25" hidden="false" customHeight="true" outlineLevel="0" collapsed="false">
      <c r="B46" s="427"/>
      <c r="N46" s="427"/>
      <c r="Q46" s="427"/>
    </row>
    <row r="47" customFormat="false" ht="11.25" hidden="false" customHeight="true" outlineLevel="0" collapsed="false">
      <c r="B47" s="427"/>
      <c r="N47" s="427"/>
      <c r="Q47" s="427"/>
    </row>
    <row r="48" customFormat="false" ht="11.25" hidden="false" customHeight="true" outlineLevel="0" collapsed="false">
      <c r="B48" s="427"/>
      <c r="N48" s="427"/>
      <c r="Q48" s="427"/>
    </row>
    <row r="49" customFormat="false" ht="11.25" hidden="false" customHeight="true" outlineLevel="0" collapsed="false">
      <c r="B49" s="427"/>
      <c r="N49" s="427"/>
      <c r="Q49" s="427"/>
    </row>
    <row r="50" customFormat="false" ht="11.25" hidden="false" customHeight="true" outlineLevel="0" collapsed="false">
      <c r="B50" s="427"/>
      <c r="N50" s="427"/>
      <c r="Q50" s="427"/>
    </row>
    <row r="51" customFormat="false" ht="11.25" hidden="false" customHeight="true" outlineLevel="0" collapsed="false">
      <c r="B51" s="427"/>
      <c r="N51" s="427"/>
      <c r="Q51" s="427"/>
    </row>
    <row r="52" customFormat="false" ht="11.25" hidden="false" customHeight="true" outlineLevel="0" collapsed="false">
      <c r="B52" s="427"/>
      <c r="N52" s="427"/>
      <c r="Q52" s="427"/>
    </row>
    <row r="53" customFormat="false" ht="11.25" hidden="false" customHeight="true" outlineLevel="0" collapsed="false">
      <c r="B53" s="427"/>
      <c r="N53" s="427"/>
      <c r="Q53" s="427"/>
    </row>
    <row r="54" customFormat="false" ht="11.25" hidden="false" customHeight="true" outlineLevel="0" collapsed="false">
      <c r="B54" s="427"/>
      <c r="N54" s="427"/>
      <c r="Q54" s="427"/>
    </row>
    <row r="55" customFormat="false" ht="11.25" hidden="false" customHeight="true" outlineLevel="0" collapsed="false">
      <c r="B55" s="427"/>
      <c r="N55" s="427"/>
      <c r="Q55" s="427"/>
    </row>
    <row r="56" customFormat="false" ht="11.25" hidden="false" customHeight="true" outlineLevel="0" collapsed="false">
      <c r="B56" s="427"/>
      <c r="N56" s="427"/>
      <c r="Q56" s="427"/>
    </row>
    <row r="57" customFormat="false" ht="11.25" hidden="false" customHeight="true" outlineLevel="0" collapsed="false">
      <c r="B57" s="427"/>
      <c r="N57" s="427"/>
      <c r="Q57" s="427"/>
    </row>
    <row r="58" customFormat="false" ht="11.25" hidden="false" customHeight="true" outlineLevel="0" collapsed="false">
      <c r="B58" s="427"/>
      <c r="N58" s="427"/>
      <c r="Q58" s="427"/>
    </row>
    <row r="59" customFormat="false" ht="11.25" hidden="false" customHeight="true" outlineLevel="0" collapsed="false">
      <c r="B59" s="427"/>
      <c r="N59" s="427"/>
      <c r="Q59" s="427"/>
    </row>
    <row r="60" customFormat="false" ht="11.25" hidden="false" customHeight="true" outlineLevel="0" collapsed="false">
      <c r="B60" s="427"/>
      <c r="N60" s="427"/>
      <c r="Q60" s="427"/>
    </row>
    <row r="61" customFormat="false" ht="11.25" hidden="false" customHeight="true" outlineLevel="0" collapsed="false">
      <c r="B61" s="427"/>
      <c r="N61" s="427"/>
      <c r="Q61" s="427"/>
    </row>
    <row r="62" customFormat="false" ht="11.25" hidden="false" customHeight="true" outlineLevel="0" collapsed="false">
      <c r="B62" s="427"/>
      <c r="N62" s="427"/>
      <c r="Q62" s="427"/>
    </row>
    <row r="63" customFormat="false" ht="11.25" hidden="false" customHeight="true" outlineLevel="0" collapsed="false">
      <c r="B63" s="427"/>
      <c r="N63" s="427"/>
      <c r="Q63" s="427"/>
    </row>
    <row r="64" customFormat="false" ht="11.25" hidden="false" customHeight="true" outlineLevel="0" collapsed="false">
      <c r="B64" s="427"/>
      <c r="N64" s="427"/>
      <c r="Q64" s="427"/>
    </row>
    <row r="65" customFormat="false" ht="11.25" hidden="false" customHeight="true" outlineLevel="0" collapsed="false">
      <c r="B65" s="427"/>
      <c r="N65" s="427"/>
      <c r="Q65" s="427"/>
    </row>
    <row r="66" customFormat="false" ht="11.25" hidden="false" customHeight="true" outlineLevel="0" collapsed="false">
      <c r="B66" s="427"/>
      <c r="N66" s="427"/>
      <c r="Q66" s="427"/>
    </row>
    <row r="67" customFormat="false" ht="11.25" hidden="false" customHeight="true" outlineLevel="0" collapsed="false">
      <c r="B67" s="427"/>
      <c r="N67" s="427"/>
      <c r="Q67" s="427"/>
    </row>
    <row r="68" customFormat="false" ht="11.25" hidden="false" customHeight="true" outlineLevel="0" collapsed="false">
      <c r="B68" s="427"/>
      <c r="N68" s="427"/>
      <c r="Q68" s="427"/>
    </row>
    <row r="69" customFormat="false" ht="11.25" hidden="false" customHeight="true" outlineLevel="0" collapsed="false">
      <c r="B69" s="427"/>
      <c r="N69" s="427"/>
      <c r="Q69" s="427"/>
    </row>
    <row r="70" customFormat="false" ht="11.25" hidden="false" customHeight="true" outlineLevel="0" collapsed="false">
      <c r="B70" s="427"/>
      <c r="N70" s="427"/>
      <c r="Q70" s="427"/>
    </row>
    <row r="71" customFormat="false" ht="11.25" hidden="false" customHeight="true" outlineLevel="0" collapsed="false">
      <c r="B71" s="427"/>
      <c r="N71" s="427"/>
      <c r="Q71" s="427"/>
    </row>
    <row r="72" customFormat="false" ht="11.25" hidden="false" customHeight="true" outlineLevel="0" collapsed="false">
      <c r="B72" s="427"/>
      <c r="N72" s="427"/>
      <c r="Q72" s="427"/>
    </row>
    <row r="73" customFormat="false" ht="11.25" hidden="false" customHeight="true" outlineLevel="0" collapsed="false">
      <c r="B73" s="427"/>
      <c r="N73" s="427"/>
      <c r="Q73" s="427"/>
    </row>
    <row r="74" customFormat="false" ht="11.25" hidden="false" customHeight="true" outlineLevel="0" collapsed="false">
      <c r="B74" s="427"/>
      <c r="N74" s="427"/>
      <c r="Q74" s="427"/>
    </row>
    <row r="75" customFormat="false" ht="11.25" hidden="false" customHeight="true" outlineLevel="0" collapsed="false">
      <c r="B75" s="427"/>
      <c r="N75" s="427"/>
      <c r="Q75" s="427"/>
    </row>
    <row r="76" customFormat="false" ht="11.25" hidden="false" customHeight="true" outlineLevel="0" collapsed="false">
      <c r="B76" s="427"/>
      <c r="N76" s="427"/>
      <c r="Q76" s="427"/>
    </row>
    <row r="77" customFormat="false" ht="11.25" hidden="false" customHeight="true" outlineLevel="0" collapsed="false">
      <c r="B77" s="427"/>
      <c r="N77" s="427"/>
      <c r="Q77" s="427"/>
    </row>
    <row r="78" customFormat="false" ht="11.25" hidden="false" customHeight="true" outlineLevel="0" collapsed="false">
      <c r="B78" s="427"/>
      <c r="N78" s="427"/>
      <c r="Q78" s="427"/>
    </row>
    <row r="79" customFormat="false" ht="11.25" hidden="false" customHeight="true" outlineLevel="0" collapsed="false">
      <c r="B79" s="427"/>
      <c r="N79" s="427"/>
      <c r="Q79" s="427"/>
    </row>
    <row r="80" customFormat="false" ht="11.25" hidden="false" customHeight="true" outlineLevel="0" collapsed="false">
      <c r="B80" s="427"/>
      <c r="N80" s="427"/>
      <c r="Q80" s="427"/>
    </row>
    <row r="81" customFormat="false" ht="11.25" hidden="false" customHeight="true" outlineLevel="0" collapsed="false">
      <c r="B81" s="427"/>
      <c r="N81" s="427"/>
      <c r="Q81" s="427"/>
    </row>
    <row r="82" customFormat="false" ht="11.25" hidden="false" customHeight="true" outlineLevel="0" collapsed="false">
      <c r="B82" s="427"/>
      <c r="N82" s="427"/>
      <c r="Q82" s="427"/>
    </row>
    <row r="83" customFormat="false" ht="11.25" hidden="false" customHeight="true" outlineLevel="0" collapsed="false">
      <c r="B83" s="427"/>
      <c r="N83" s="427"/>
      <c r="Q83" s="427"/>
    </row>
    <row r="84" customFormat="false" ht="11.25" hidden="false" customHeight="true" outlineLevel="0" collapsed="false">
      <c r="B84" s="427"/>
      <c r="N84" s="427"/>
      <c r="Q84" s="427"/>
    </row>
    <row r="85" customFormat="false" ht="11.25" hidden="false" customHeight="true" outlineLevel="0" collapsed="false">
      <c r="B85" s="428"/>
      <c r="N85" s="428"/>
      <c r="Q85" s="428"/>
    </row>
  </sheetData>
  <conditionalFormatting sqref="E44:M44">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5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BA89"/>
    <pageSetUpPr fitToPage="false"/>
  </sheetPr>
  <dimension ref="C1:CN79"/>
  <sheetViews>
    <sheetView showFormulas="false" showGridLines="true" showRowColHeaders="true" showZeros="true" rightToLeft="false" tabSelected="false" showOutlineSymbols="true" defaultGridColor="true" view="normal" topLeftCell="B2" colorId="64" zoomScale="100" zoomScaleNormal="100" zoomScalePageLayoutView="100" workbookViewId="0">
      <pane xSplit="3" ySplit="6" topLeftCell="CA28" activePane="bottomRight" state="frozen"/>
      <selection pane="topLeft" activeCell="B2" activeCellId="0" sqref="B2"/>
      <selection pane="topRight" activeCell="CA2" activeCellId="0" sqref="CA2"/>
      <selection pane="bottomLeft" activeCell="B28" activeCellId="0" sqref="B28"/>
      <selection pane="bottomRight" activeCell="CB51" activeCellId="0" sqref="CB51"/>
    </sheetView>
  </sheetViews>
  <sheetFormatPr defaultColWidth="11.43359375" defaultRowHeight="12" zeroHeight="false" outlineLevelRow="3" outlineLevelCol="2"/>
  <cols>
    <col collapsed="false" customWidth="false" hidden="false" outlineLevel="0" max="1" min="1" style="1" width="11.43"/>
    <col collapsed="false" customWidth="true" hidden="false" outlineLevel="2" max="2" min="2" style="1" width="0.86"/>
    <col collapsed="false" customWidth="true" hidden="false" outlineLevel="2" max="3" min="3" style="1" width="35.57"/>
    <col collapsed="false" customWidth="true" hidden="false" outlineLevel="0" max="4" min="4" style="1" width="35.57"/>
    <col collapsed="false" customWidth="true" hidden="false" outlineLevel="0" max="89" min="5" style="1" width="9.42"/>
    <col collapsed="false" customWidth="true" hidden="false" outlineLevel="2" max="90" min="90" style="1" width="0.86"/>
    <col collapsed="false" customWidth="false" hidden="false" outlineLevel="0" max="16384" min="91" style="1" width="11.43"/>
  </cols>
  <sheetData>
    <row r="1" customFormat="false" ht="12" hidden="true" customHeight="true" outlineLevel="3" collapsed="false"/>
    <row r="2" customFormat="false" ht="12" hidden="false" customHeight="true" outlineLevel="0" collapsed="false">
      <c r="T2" s="1" t="s">
        <v>837</v>
      </c>
    </row>
    <row r="3" customFormat="false" ht="11.25" hidden="false" customHeight="true" outlineLevel="0" collapsed="false"/>
    <row r="4" customFormat="false" ht="11.25" hidden="false" customHeight="true" outlineLevel="3" collapsed="false">
      <c r="C4" s="36" t="str">
        <f aca="false">Cockpit!$C$4</f>
        <v>Template</v>
      </c>
      <c r="D4" s="36"/>
      <c r="E4" s="225" t="n">
        <f aca="false">Cockpit!C45</f>
        <v>44561</v>
      </c>
      <c r="F4" s="225" t="n">
        <f aca="false">Cockpit!D45</f>
        <v>44592</v>
      </c>
      <c r="G4" s="225" t="n">
        <f aca="false">Cockpit!E45</f>
        <v>44620</v>
      </c>
      <c r="H4" s="225" t="n">
        <f aca="false">Cockpit!F45</f>
        <v>44651</v>
      </c>
      <c r="I4" s="225" t="n">
        <f aca="false">Cockpit!G45</f>
        <v>44681</v>
      </c>
      <c r="J4" s="225" t="n">
        <f aca="false">Cockpit!H45</f>
        <v>44712</v>
      </c>
      <c r="K4" s="225" t="n">
        <f aca="false">Cockpit!I45</f>
        <v>44742</v>
      </c>
      <c r="L4" s="225" t="n">
        <f aca="false">Cockpit!J45</f>
        <v>44773</v>
      </c>
      <c r="M4" s="225" t="n">
        <f aca="false">Cockpit!K45</f>
        <v>44804</v>
      </c>
      <c r="N4" s="225" t="n">
        <f aca="false">Cockpit!L45</f>
        <v>44834</v>
      </c>
      <c r="O4" s="225" t="n">
        <f aca="false">Cockpit!M45</f>
        <v>44865</v>
      </c>
      <c r="P4" s="225" t="n">
        <f aca="false">Cockpit!N45</f>
        <v>44895</v>
      </c>
      <c r="Q4" s="225" t="n">
        <f aca="false">Cockpit!O45</f>
        <v>44926</v>
      </c>
      <c r="R4" s="225" t="n">
        <f aca="false">Cockpit!P45</f>
        <v>44957</v>
      </c>
      <c r="S4" s="225" t="n">
        <f aca="false">Cockpit!Q45</f>
        <v>44985</v>
      </c>
      <c r="T4" s="225" t="n">
        <f aca="false">Cockpit!R45</f>
        <v>45016</v>
      </c>
      <c r="U4" s="225" t="n">
        <f aca="false">Cockpit!S45</f>
        <v>45046</v>
      </c>
      <c r="V4" s="225" t="n">
        <f aca="false">Cockpit!T45</f>
        <v>45077</v>
      </c>
      <c r="W4" s="225" t="n">
        <f aca="false">Cockpit!U45</f>
        <v>45107</v>
      </c>
      <c r="X4" s="225" t="n">
        <f aca="false">Cockpit!V45</f>
        <v>45138</v>
      </c>
      <c r="Y4" s="225" t="n">
        <f aca="false">Cockpit!W45</f>
        <v>45169</v>
      </c>
      <c r="Z4" s="225" t="n">
        <f aca="false">Cockpit!X45</f>
        <v>45199</v>
      </c>
      <c r="AA4" s="225" t="n">
        <f aca="false">Cockpit!Y45</f>
        <v>45230</v>
      </c>
      <c r="AB4" s="225" t="n">
        <f aca="false">Cockpit!Z45</f>
        <v>45260</v>
      </c>
      <c r="AC4" s="225" t="n">
        <f aca="false">Cockpit!AA45</f>
        <v>45291</v>
      </c>
      <c r="AD4" s="225" t="n">
        <f aca="false">Cockpit!AB45</f>
        <v>45322</v>
      </c>
      <c r="AE4" s="225" t="n">
        <f aca="false">Cockpit!AC45</f>
        <v>45351</v>
      </c>
      <c r="AF4" s="225" t="n">
        <f aca="false">Cockpit!AD45</f>
        <v>45382</v>
      </c>
      <c r="AG4" s="225" t="n">
        <f aca="false">Cockpit!AE45</f>
        <v>45412</v>
      </c>
      <c r="AH4" s="225" t="n">
        <f aca="false">Cockpit!AF45</f>
        <v>45443</v>
      </c>
      <c r="AI4" s="225" t="n">
        <f aca="false">Cockpit!AG45</f>
        <v>45473</v>
      </c>
      <c r="AJ4" s="225" t="n">
        <f aca="false">Cockpit!AH45</f>
        <v>45504</v>
      </c>
      <c r="AK4" s="225" t="n">
        <f aca="false">Cockpit!AI45</f>
        <v>45535</v>
      </c>
      <c r="AL4" s="225" t="n">
        <f aca="false">Cockpit!AJ45</f>
        <v>45565</v>
      </c>
      <c r="AM4" s="225" t="n">
        <f aca="false">Cockpit!AK45</f>
        <v>45596</v>
      </c>
      <c r="AN4" s="225" t="n">
        <f aca="false">Cockpit!AL45</f>
        <v>45626</v>
      </c>
      <c r="AO4" s="225" t="n">
        <f aca="false">Cockpit!AM45</f>
        <v>45657</v>
      </c>
      <c r="AP4" s="225" t="n">
        <f aca="false">Cockpit!AN45</f>
        <v>45688</v>
      </c>
      <c r="AQ4" s="225" t="n">
        <f aca="false">Cockpit!AO45</f>
        <v>45716</v>
      </c>
      <c r="AR4" s="225" t="n">
        <f aca="false">Cockpit!AP45</f>
        <v>45747</v>
      </c>
      <c r="AS4" s="225" t="n">
        <f aca="false">Cockpit!AQ45</f>
        <v>45777</v>
      </c>
      <c r="AT4" s="225" t="n">
        <f aca="false">Cockpit!AR45</f>
        <v>45808</v>
      </c>
      <c r="AU4" s="225" t="n">
        <f aca="false">Cockpit!AS45</f>
        <v>45838</v>
      </c>
      <c r="AV4" s="225" t="n">
        <f aca="false">Cockpit!AT45</f>
        <v>45869</v>
      </c>
      <c r="AW4" s="225" t="n">
        <f aca="false">Cockpit!AU45</f>
        <v>45900</v>
      </c>
      <c r="AX4" s="225" t="n">
        <f aca="false">Cockpit!AV45</f>
        <v>45930</v>
      </c>
      <c r="AY4" s="225" t="n">
        <f aca="false">Cockpit!AW45</f>
        <v>45961</v>
      </c>
      <c r="AZ4" s="225" t="n">
        <f aca="false">Cockpit!AX45</f>
        <v>45991</v>
      </c>
      <c r="BA4" s="225" t="n">
        <f aca="false">Cockpit!AY45</f>
        <v>46022</v>
      </c>
      <c r="BB4" s="225" t="n">
        <f aca="false">Cockpit!AZ45</f>
        <v>46053</v>
      </c>
      <c r="BC4" s="225" t="n">
        <f aca="false">Cockpit!BA45</f>
        <v>46081</v>
      </c>
      <c r="BD4" s="225" t="n">
        <f aca="false">Cockpit!BB45</f>
        <v>46112</v>
      </c>
      <c r="BE4" s="225" t="n">
        <f aca="false">Cockpit!BC45</f>
        <v>46142</v>
      </c>
      <c r="BF4" s="225" t="n">
        <f aca="false">Cockpit!BD45</f>
        <v>46173</v>
      </c>
      <c r="BG4" s="225" t="n">
        <f aca="false">Cockpit!BE45</f>
        <v>46203</v>
      </c>
      <c r="BH4" s="225" t="n">
        <f aca="false">Cockpit!BF45</f>
        <v>46234</v>
      </c>
      <c r="BI4" s="225" t="n">
        <f aca="false">Cockpit!BG45</f>
        <v>46265</v>
      </c>
      <c r="BJ4" s="225" t="n">
        <f aca="false">Cockpit!BH45</f>
        <v>46295</v>
      </c>
      <c r="BK4" s="225" t="n">
        <f aca="false">Cockpit!BI45</f>
        <v>46326</v>
      </c>
      <c r="BL4" s="225" t="n">
        <f aca="false">Cockpit!BJ45</f>
        <v>46356</v>
      </c>
      <c r="BM4" s="225" t="n">
        <f aca="false">Cockpit!BK45</f>
        <v>46387</v>
      </c>
      <c r="BN4" s="225" t="n">
        <f aca="false">Cockpit!BL45</f>
        <v>46418</v>
      </c>
      <c r="BO4" s="225" t="n">
        <f aca="false">Cockpit!BM45</f>
        <v>46446</v>
      </c>
      <c r="BP4" s="225" t="n">
        <f aca="false">Cockpit!BN45</f>
        <v>46477</v>
      </c>
      <c r="BQ4" s="225" t="n">
        <f aca="false">Cockpit!BO45</f>
        <v>46507</v>
      </c>
      <c r="BR4" s="225" t="n">
        <f aca="false">Cockpit!BP45</f>
        <v>46538</v>
      </c>
      <c r="BS4" s="225" t="n">
        <f aca="false">Cockpit!BQ45</f>
        <v>46568</v>
      </c>
      <c r="BT4" s="225" t="n">
        <f aca="false">Cockpit!BR45</f>
        <v>46599</v>
      </c>
      <c r="BU4" s="225" t="n">
        <f aca="false">Cockpit!BS45</f>
        <v>46630</v>
      </c>
      <c r="BV4" s="225" t="n">
        <f aca="false">Cockpit!BT45</f>
        <v>46660</v>
      </c>
      <c r="BW4" s="225" t="n">
        <f aca="false">Cockpit!BU45</f>
        <v>46691</v>
      </c>
      <c r="BX4" s="225" t="n">
        <f aca="false">Cockpit!BV45</f>
        <v>46721</v>
      </c>
      <c r="BY4" s="225" t="n">
        <f aca="false">Cockpit!BW45</f>
        <v>46752</v>
      </c>
      <c r="BZ4" s="225" t="n">
        <f aca="false">Cockpit!BX45</f>
        <v>46783</v>
      </c>
      <c r="CA4" s="225" t="n">
        <f aca="false">Cockpit!BY45</f>
        <v>46812</v>
      </c>
      <c r="CB4" s="225" t="n">
        <f aca="false">Cockpit!BZ45</f>
        <v>46843</v>
      </c>
      <c r="CC4" s="225" t="n">
        <f aca="false">Cockpit!CA45</f>
        <v>46873</v>
      </c>
      <c r="CD4" s="225" t="n">
        <f aca="false">Cockpit!CB45</f>
        <v>46904</v>
      </c>
      <c r="CE4" s="225" t="n">
        <f aca="false">Cockpit!CC45</f>
        <v>46934</v>
      </c>
      <c r="CF4" s="225" t="n">
        <f aca="false">Cockpit!CD45</f>
        <v>46965</v>
      </c>
      <c r="CG4" s="225" t="n">
        <f aca="false">Cockpit!CE45</f>
        <v>46996</v>
      </c>
      <c r="CH4" s="225" t="n">
        <f aca="false">Cockpit!CF45</f>
        <v>47026</v>
      </c>
      <c r="CI4" s="225" t="n">
        <f aca="false">Cockpit!CG45</f>
        <v>47057</v>
      </c>
      <c r="CJ4" s="225" t="n">
        <f aca="false">Cockpit!CH45</f>
        <v>47087</v>
      </c>
      <c r="CK4" s="225" t="n">
        <f aca="false">Cockpit!CI45</f>
        <v>47118</v>
      </c>
      <c r="CM4" s="192" t="s">
        <v>562</v>
      </c>
    </row>
    <row r="5" customFormat="false" ht="11.25" hidden="false" customHeight="true" outlineLevel="3" collapsed="false">
      <c r="C5" s="36" t="str">
        <f aca="false">"in T"&amp;Cockpit!$C$5</f>
        <v>in TEUR</v>
      </c>
      <c r="D5" s="36"/>
      <c r="E5" s="221" t="str">
        <f aca="false">Cockpit!C46</f>
        <v>IST</v>
      </c>
      <c r="F5" s="221" t="str">
        <f aca="false">Cockpit!D46</f>
        <v>IST</v>
      </c>
      <c r="G5" s="221" t="str">
        <f aca="false">Cockpit!E46</f>
        <v>IST</v>
      </c>
      <c r="H5" s="221" t="str">
        <f aca="false">Cockpit!F46</f>
        <v>IST</v>
      </c>
      <c r="I5" s="221" t="str">
        <f aca="false">Cockpit!G46</f>
        <v>IST</v>
      </c>
      <c r="J5" s="221" t="str">
        <f aca="false">Cockpit!H46</f>
        <v>IST</v>
      </c>
      <c r="K5" s="221" t="str">
        <f aca="false">Cockpit!I46</f>
        <v>IST</v>
      </c>
      <c r="L5" s="221" t="str">
        <f aca="false">Cockpit!J46</f>
        <v>IST</v>
      </c>
      <c r="M5" s="221" t="str">
        <f aca="false">Cockpit!K46</f>
        <v>IST</v>
      </c>
      <c r="N5" s="221" t="str">
        <f aca="false">Cockpit!L46</f>
        <v>IST</v>
      </c>
      <c r="O5" s="221" t="str">
        <f aca="false">Cockpit!M46</f>
        <v>IST</v>
      </c>
      <c r="P5" s="221" t="str">
        <f aca="false">Cockpit!N46</f>
        <v>IST</v>
      </c>
      <c r="Q5" s="221" t="str">
        <f aca="false">Cockpit!O46</f>
        <v>IST</v>
      </c>
      <c r="R5" s="221" t="str">
        <f aca="false">Cockpit!P46</f>
        <v>IST</v>
      </c>
      <c r="S5" s="221" t="str">
        <f aca="false">Cockpit!Q46</f>
        <v>IST</v>
      </c>
      <c r="T5" s="221" t="str">
        <f aca="false">Cockpit!R46</f>
        <v>IST</v>
      </c>
      <c r="U5" s="221" t="str">
        <f aca="false">Cockpit!S46</f>
        <v>IST</v>
      </c>
      <c r="V5" s="221" t="str">
        <f aca="false">Cockpit!T46</f>
        <v>IST</v>
      </c>
      <c r="W5" s="221" t="str">
        <f aca="false">Cockpit!U46</f>
        <v>IST</v>
      </c>
      <c r="X5" s="221" t="str">
        <f aca="false">Cockpit!V46</f>
        <v>IST</v>
      </c>
      <c r="Y5" s="221" t="str">
        <f aca="false">Cockpit!W46</f>
        <v>IST</v>
      </c>
      <c r="Z5" s="221" t="str">
        <f aca="false">Cockpit!X46</f>
        <v>IST</v>
      </c>
      <c r="AA5" s="221" t="str">
        <f aca="false">Cockpit!Y46</f>
        <v>IST</v>
      </c>
      <c r="AB5" s="221" t="str">
        <f aca="false">Cockpit!Z46</f>
        <v>IST</v>
      </c>
      <c r="AC5" s="221" t="str">
        <f aca="false">Cockpit!AA46</f>
        <v>IST</v>
      </c>
      <c r="AD5" s="221" t="str">
        <f aca="false">Cockpit!AB46</f>
        <v>IST</v>
      </c>
      <c r="AE5" s="221" t="str">
        <f aca="false">Cockpit!AC46</f>
        <v>IST</v>
      </c>
      <c r="AF5" s="221" t="str">
        <f aca="false">Cockpit!AD46</f>
        <v>IST</v>
      </c>
      <c r="AG5" s="221" t="str">
        <f aca="false">Cockpit!AE46</f>
        <v>IST</v>
      </c>
      <c r="AH5" s="221" t="str">
        <f aca="false">Cockpit!AF46</f>
        <v>IST</v>
      </c>
      <c r="AI5" s="221" t="str">
        <f aca="false">Cockpit!AG46</f>
        <v>IST</v>
      </c>
      <c r="AJ5" s="221" t="str">
        <f aca="false">Cockpit!AH46</f>
        <v>IST</v>
      </c>
      <c r="AK5" s="221" t="str">
        <f aca="false">Cockpit!AI46</f>
        <v>IST</v>
      </c>
      <c r="AL5" s="221" t="str">
        <f aca="false">Cockpit!AJ46</f>
        <v>IST</v>
      </c>
      <c r="AM5" s="221" t="str">
        <f aca="false">Cockpit!AK46</f>
        <v>IST</v>
      </c>
      <c r="AN5" s="221" t="str">
        <f aca="false">Cockpit!AL46</f>
        <v>IST</v>
      </c>
      <c r="AO5" s="221" t="str">
        <f aca="false">Cockpit!AM46</f>
        <v>IST</v>
      </c>
      <c r="AP5" s="221" t="str">
        <f aca="false">Cockpit!AN46</f>
        <v>IST</v>
      </c>
      <c r="AQ5" s="221" t="str">
        <f aca="false">Cockpit!AO46</f>
        <v>IST</v>
      </c>
      <c r="AR5" s="221" t="str">
        <f aca="false">Cockpit!AP46</f>
        <v>IST</v>
      </c>
      <c r="AS5" s="221" t="str">
        <f aca="false">Cockpit!AQ46</f>
        <v>IST</v>
      </c>
      <c r="AT5" s="221" t="str">
        <f aca="false">Cockpit!AR46</f>
        <v>IST</v>
      </c>
      <c r="AU5" s="221" t="str">
        <f aca="false">Cockpit!AS46</f>
        <v>Plan</v>
      </c>
      <c r="AV5" s="221" t="str">
        <f aca="false">Cockpit!AT46</f>
        <v>Plan</v>
      </c>
      <c r="AW5" s="221" t="str">
        <f aca="false">Cockpit!AU46</f>
        <v>Plan</v>
      </c>
      <c r="AX5" s="221" t="str">
        <f aca="false">Cockpit!AV46</f>
        <v>Plan</v>
      </c>
      <c r="AY5" s="221" t="str">
        <f aca="false">Cockpit!AW46</f>
        <v>Plan</v>
      </c>
      <c r="AZ5" s="221" t="str">
        <f aca="false">Cockpit!AX46</f>
        <v>Plan</v>
      </c>
      <c r="BA5" s="221" t="str">
        <f aca="false">Cockpit!AY46</f>
        <v>Plan</v>
      </c>
      <c r="BB5" s="221" t="str">
        <f aca="false">Cockpit!AZ46</f>
        <v>Plan</v>
      </c>
      <c r="BC5" s="221" t="str">
        <f aca="false">Cockpit!BA46</f>
        <v>Plan</v>
      </c>
      <c r="BD5" s="221" t="str">
        <f aca="false">Cockpit!BB46</f>
        <v>Plan</v>
      </c>
      <c r="BE5" s="221" t="str">
        <f aca="false">Cockpit!BC46</f>
        <v>Plan</v>
      </c>
      <c r="BF5" s="221" t="str">
        <f aca="false">Cockpit!BD46</f>
        <v>Plan</v>
      </c>
      <c r="BG5" s="221" t="str">
        <f aca="false">Cockpit!BE46</f>
        <v>Plan</v>
      </c>
      <c r="BH5" s="221" t="str">
        <f aca="false">Cockpit!BF46</f>
        <v>Plan</v>
      </c>
      <c r="BI5" s="221" t="str">
        <f aca="false">Cockpit!BG46</f>
        <v>Plan</v>
      </c>
      <c r="BJ5" s="221" t="str">
        <f aca="false">Cockpit!BH46</f>
        <v>Plan</v>
      </c>
      <c r="BK5" s="221" t="str">
        <f aca="false">Cockpit!BI46</f>
        <v>Plan</v>
      </c>
      <c r="BL5" s="221" t="str">
        <f aca="false">Cockpit!BJ46</f>
        <v>Plan</v>
      </c>
      <c r="BM5" s="221" t="str">
        <f aca="false">Cockpit!BK46</f>
        <v>Plan</v>
      </c>
      <c r="BN5" s="221" t="str">
        <f aca="false">Cockpit!BL46</f>
        <v>Plan</v>
      </c>
      <c r="BO5" s="221" t="str">
        <f aca="false">Cockpit!BM46</f>
        <v>Plan</v>
      </c>
      <c r="BP5" s="221" t="str">
        <f aca="false">Cockpit!BN46</f>
        <v>Plan</v>
      </c>
      <c r="BQ5" s="221" t="str">
        <f aca="false">Cockpit!BO46</f>
        <v>Plan</v>
      </c>
      <c r="BR5" s="221" t="str">
        <f aca="false">Cockpit!BP46</f>
        <v>Plan</v>
      </c>
      <c r="BS5" s="221" t="str">
        <f aca="false">Cockpit!BQ46</f>
        <v>Plan</v>
      </c>
      <c r="BT5" s="221" t="str">
        <f aca="false">Cockpit!BR46</f>
        <v>Plan</v>
      </c>
      <c r="BU5" s="221" t="str">
        <f aca="false">Cockpit!BS46</f>
        <v>Plan</v>
      </c>
      <c r="BV5" s="221" t="str">
        <f aca="false">Cockpit!BT46</f>
        <v>Plan</v>
      </c>
      <c r="BW5" s="221" t="str">
        <f aca="false">Cockpit!BU46</f>
        <v>Plan</v>
      </c>
      <c r="BX5" s="221" t="str">
        <f aca="false">Cockpit!BV46</f>
        <v>Plan</v>
      </c>
      <c r="BY5" s="221" t="str">
        <f aca="false">Cockpit!BW46</f>
        <v>Plan</v>
      </c>
      <c r="BZ5" s="221" t="str">
        <f aca="false">Cockpit!BX46</f>
        <v>Plan</v>
      </c>
      <c r="CA5" s="221" t="str">
        <f aca="false">Cockpit!BY46</f>
        <v>Plan</v>
      </c>
      <c r="CB5" s="221" t="str">
        <f aca="false">Cockpit!BZ46</f>
        <v>Plan</v>
      </c>
      <c r="CC5" s="221" t="str">
        <f aca="false">Cockpit!CA46</f>
        <v>Plan</v>
      </c>
      <c r="CD5" s="221" t="str">
        <f aca="false">Cockpit!CB46</f>
        <v>Plan</v>
      </c>
      <c r="CE5" s="221" t="str">
        <f aca="false">Cockpit!CC46</f>
        <v>Plan</v>
      </c>
      <c r="CF5" s="221" t="str">
        <f aca="false">Cockpit!CD46</f>
        <v>Plan</v>
      </c>
      <c r="CG5" s="221" t="str">
        <f aca="false">Cockpit!CE46</f>
        <v>Plan</v>
      </c>
      <c r="CH5" s="221" t="str">
        <f aca="false">Cockpit!CF46</f>
        <v>Plan</v>
      </c>
      <c r="CI5" s="221" t="str">
        <f aca="false">Cockpit!CG46</f>
        <v>Plan</v>
      </c>
      <c r="CJ5" s="221" t="str">
        <f aca="false">Cockpit!CH46</f>
        <v>Plan</v>
      </c>
      <c r="CK5" s="221" t="str">
        <f aca="false">Cockpit!CI46</f>
        <v>Plan</v>
      </c>
    </row>
    <row r="6" customFormat="false" ht="11.25" hidden="false" customHeight="true" outlineLevel="0" collapsed="false">
      <c r="C6" s="10"/>
      <c r="D6" s="10" t="str">
        <f aca="false">Cockpit!$C$4</f>
        <v>Template</v>
      </c>
      <c r="E6" s="293" t="n">
        <f aca="false">Cockpit!C45</f>
        <v>44561</v>
      </c>
      <c r="F6" s="293" t="n">
        <f aca="false">Cockpit!D45</f>
        <v>44592</v>
      </c>
      <c r="G6" s="293" t="n">
        <f aca="false">Cockpit!E45</f>
        <v>44620</v>
      </c>
      <c r="H6" s="293" t="n">
        <f aca="false">Cockpit!F45</f>
        <v>44651</v>
      </c>
      <c r="I6" s="293" t="n">
        <f aca="false">Cockpit!G45</f>
        <v>44681</v>
      </c>
      <c r="J6" s="293" t="n">
        <f aca="false">Cockpit!H45</f>
        <v>44712</v>
      </c>
      <c r="K6" s="293" t="n">
        <f aca="false">Cockpit!I45</f>
        <v>44742</v>
      </c>
      <c r="L6" s="293" t="n">
        <f aca="false">Cockpit!J45</f>
        <v>44773</v>
      </c>
      <c r="M6" s="293" t="n">
        <f aca="false">Cockpit!K45</f>
        <v>44804</v>
      </c>
      <c r="N6" s="293" t="n">
        <f aca="false">Cockpit!L45</f>
        <v>44834</v>
      </c>
      <c r="O6" s="293" t="n">
        <f aca="false">Cockpit!M45</f>
        <v>44865</v>
      </c>
      <c r="P6" s="293" t="n">
        <f aca="false">Cockpit!N45</f>
        <v>44895</v>
      </c>
      <c r="Q6" s="293" t="n">
        <f aca="false">Cockpit!O45</f>
        <v>44926</v>
      </c>
      <c r="R6" s="293" t="n">
        <f aca="false">Cockpit!P45</f>
        <v>44957</v>
      </c>
      <c r="S6" s="293" t="n">
        <f aca="false">Cockpit!Q45</f>
        <v>44985</v>
      </c>
      <c r="T6" s="293" t="n">
        <f aca="false">Cockpit!R45</f>
        <v>45016</v>
      </c>
      <c r="U6" s="293" t="n">
        <f aca="false">Cockpit!S45</f>
        <v>45046</v>
      </c>
      <c r="V6" s="293" t="n">
        <f aca="false">Cockpit!T45</f>
        <v>45077</v>
      </c>
      <c r="W6" s="293" t="n">
        <f aca="false">Cockpit!U45</f>
        <v>45107</v>
      </c>
      <c r="X6" s="293" t="n">
        <f aca="false">Cockpit!V45</f>
        <v>45138</v>
      </c>
      <c r="Y6" s="293" t="n">
        <f aca="false">Cockpit!W45</f>
        <v>45169</v>
      </c>
      <c r="Z6" s="293" t="n">
        <f aca="false">Cockpit!X45</f>
        <v>45199</v>
      </c>
      <c r="AA6" s="293" t="n">
        <f aca="false">Cockpit!Y45</f>
        <v>45230</v>
      </c>
      <c r="AB6" s="293" t="n">
        <f aca="false">Cockpit!Z45</f>
        <v>45260</v>
      </c>
      <c r="AC6" s="293" t="n">
        <f aca="false">Cockpit!AA45</f>
        <v>45291</v>
      </c>
      <c r="AD6" s="293" t="n">
        <f aca="false">Cockpit!AB45</f>
        <v>45322</v>
      </c>
      <c r="AE6" s="293" t="n">
        <f aca="false">Cockpit!AC45</f>
        <v>45351</v>
      </c>
      <c r="AF6" s="293" t="n">
        <f aca="false">Cockpit!AD45</f>
        <v>45382</v>
      </c>
      <c r="AG6" s="293" t="n">
        <f aca="false">Cockpit!AE45</f>
        <v>45412</v>
      </c>
      <c r="AH6" s="293" t="n">
        <f aca="false">Cockpit!AF45</f>
        <v>45443</v>
      </c>
      <c r="AI6" s="293" t="n">
        <f aca="false">Cockpit!AG45</f>
        <v>45473</v>
      </c>
      <c r="AJ6" s="293" t="n">
        <f aca="false">Cockpit!AH45</f>
        <v>45504</v>
      </c>
      <c r="AK6" s="293" t="n">
        <f aca="false">Cockpit!AI45</f>
        <v>45535</v>
      </c>
      <c r="AL6" s="293" t="n">
        <f aca="false">Cockpit!AJ45</f>
        <v>45565</v>
      </c>
      <c r="AM6" s="293" t="n">
        <f aca="false">Cockpit!AK45</f>
        <v>45596</v>
      </c>
      <c r="AN6" s="293" t="n">
        <f aca="false">Cockpit!AL45</f>
        <v>45626</v>
      </c>
      <c r="AO6" s="293" t="n">
        <f aca="false">Cockpit!AM45</f>
        <v>45657</v>
      </c>
      <c r="AP6" s="293" t="n">
        <f aca="false">Cockpit!AN45</f>
        <v>45688</v>
      </c>
      <c r="AQ6" s="293" t="n">
        <f aca="false">Cockpit!AO45</f>
        <v>45716</v>
      </c>
      <c r="AR6" s="293" t="n">
        <f aca="false">Cockpit!AP45</f>
        <v>45747</v>
      </c>
      <c r="AS6" s="293" t="n">
        <f aca="false">Cockpit!AQ45</f>
        <v>45777</v>
      </c>
      <c r="AT6" s="293" t="n">
        <f aca="false">Cockpit!AR45</f>
        <v>45808</v>
      </c>
      <c r="AU6" s="293" t="n">
        <f aca="false">Cockpit!AS45</f>
        <v>45838</v>
      </c>
      <c r="AV6" s="293" t="n">
        <f aca="false">Cockpit!AT45</f>
        <v>45869</v>
      </c>
      <c r="AW6" s="293" t="n">
        <f aca="false">Cockpit!AU45</f>
        <v>45900</v>
      </c>
      <c r="AX6" s="293" t="n">
        <f aca="false">Cockpit!AV45</f>
        <v>45930</v>
      </c>
      <c r="AY6" s="293" t="n">
        <f aca="false">Cockpit!AW45</f>
        <v>45961</v>
      </c>
      <c r="AZ6" s="293" t="n">
        <f aca="false">Cockpit!AX45</f>
        <v>45991</v>
      </c>
      <c r="BA6" s="293" t="n">
        <f aca="false">Cockpit!AY45</f>
        <v>46022</v>
      </c>
      <c r="BB6" s="293" t="n">
        <f aca="false">Cockpit!AZ45</f>
        <v>46053</v>
      </c>
      <c r="BC6" s="293" t="n">
        <f aca="false">Cockpit!BA45</f>
        <v>46081</v>
      </c>
      <c r="BD6" s="293" t="n">
        <f aca="false">Cockpit!BB45</f>
        <v>46112</v>
      </c>
      <c r="BE6" s="293" t="n">
        <f aca="false">Cockpit!BC45</f>
        <v>46142</v>
      </c>
      <c r="BF6" s="293" t="n">
        <f aca="false">Cockpit!BD45</f>
        <v>46173</v>
      </c>
      <c r="BG6" s="293" t="n">
        <f aca="false">Cockpit!BE45</f>
        <v>46203</v>
      </c>
      <c r="BH6" s="293" t="n">
        <f aca="false">Cockpit!BF45</f>
        <v>46234</v>
      </c>
      <c r="BI6" s="293" t="n">
        <f aca="false">Cockpit!BG45</f>
        <v>46265</v>
      </c>
      <c r="BJ6" s="293" t="n">
        <f aca="false">Cockpit!BH45</f>
        <v>46295</v>
      </c>
      <c r="BK6" s="293" t="n">
        <f aca="false">Cockpit!BI45</f>
        <v>46326</v>
      </c>
      <c r="BL6" s="293" t="n">
        <f aca="false">Cockpit!BJ45</f>
        <v>46356</v>
      </c>
      <c r="BM6" s="293" t="n">
        <f aca="false">Cockpit!BK45</f>
        <v>46387</v>
      </c>
      <c r="BN6" s="293" t="n">
        <f aca="false">Cockpit!BL45</f>
        <v>46418</v>
      </c>
      <c r="BO6" s="293" t="n">
        <f aca="false">Cockpit!BM45</f>
        <v>46446</v>
      </c>
      <c r="BP6" s="293" t="n">
        <f aca="false">Cockpit!BN45</f>
        <v>46477</v>
      </c>
      <c r="BQ6" s="293" t="n">
        <f aca="false">Cockpit!BO45</f>
        <v>46507</v>
      </c>
      <c r="BR6" s="293" t="n">
        <f aca="false">Cockpit!BP45</f>
        <v>46538</v>
      </c>
      <c r="BS6" s="293" t="n">
        <f aca="false">Cockpit!BQ45</f>
        <v>46568</v>
      </c>
      <c r="BT6" s="293" t="n">
        <f aca="false">Cockpit!BR45</f>
        <v>46599</v>
      </c>
      <c r="BU6" s="293" t="n">
        <f aca="false">Cockpit!BS45</f>
        <v>46630</v>
      </c>
      <c r="BV6" s="293" t="n">
        <f aca="false">Cockpit!BT45</f>
        <v>46660</v>
      </c>
      <c r="BW6" s="293" t="n">
        <f aca="false">Cockpit!BU45</f>
        <v>46691</v>
      </c>
      <c r="BX6" s="293" t="n">
        <f aca="false">Cockpit!BV45</f>
        <v>46721</v>
      </c>
      <c r="BY6" s="293" t="n">
        <f aca="false">Cockpit!BW45</f>
        <v>46752</v>
      </c>
      <c r="BZ6" s="293" t="n">
        <f aca="false">Cockpit!BX45</f>
        <v>46783</v>
      </c>
      <c r="CA6" s="293" t="n">
        <f aca="false">Cockpit!BY45</f>
        <v>46812</v>
      </c>
      <c r="CB6" s="293" t="n">
        <f aca="false">Cockpit!BZ45</f>
        <v>46843</v>
      </c>
      <c r="CC6" s="293" t="n">
        <f aca="false">Cockpit!CA45</f>
        <v>46873</v>
      </c>
      <c r="CD6" s="293" t="n">
        <f aca="false">Cockpit!CB45</f>
        <v>46904</v>
      </c>
      <c r="CE6" s="293" t="n">
        <f aca="false">Cockpit!CC45</f>
        <v>46934</v>
      </c>
      <c r="CF6" s="293" t="n">
        <f aca="false">Cockpit!CD45</f>
        <v>46965</v>
      </c>
      <c r="CG6" s="293" t="n">
        <f aca="false">Cockpit!CE45</f>
        <v>46996</v>
      </c>
      <c r="CH6" s="293" t="n">
        <f aca="false">Cockpit!CF45</f>
        <v>47026</v>
      </c>
      <c r="CI6" s="293" t="n">
        <f aca="false">Cockpit!CG45</f>
        <v>47057</v>
      </c>
      <c r="CJ6" s="293" t="n">
        <f aca="false">Cockpit!CH45</f>
        <v>47087</v>
      </c>
      <c r="CK6" s="293" t="n">
        <f aca="false">Cockpit!CI45</f>
        <v>47118</v>
      </c>
      <c r="CM6" s="192" t="s">
        <v>562</v>
      </c>
      <c r="CN6" s="78"/>
    </row>
    <row r="7" customFormat="false" ht="11.25" hidden="false" customHeight="true" outlineLevel="0" collapsed="false">
      <c r="C7" s="10"/>
      <c r="D7" s="10" t="str">
        <f aca="false">"in k"&amp;Cockpit!$C$5</f>
        <v>in kEUR</v>
      </c>
      <c r="E7" s="293" t="str">
        <f aca="false">Cockpit!C46</f>
        <v>IST</v>
      </c>
      <c r="F7" s="293" t="str">
        <f aca="false">Cockpit!D46</f>
        <v>IST</v>
      </c>
      <c r="G7" s="293" t="str">
        <f aca="false">Cockpit!E46</f>
        <v>IST</v>
      </c>
      <c r="H7" s="293" t="str">
        <f aca="false">Cockpit!F46</f>
        <v>IST</v>
      </c>
      <c r="I7" s="293" t="str">
        <f aca="false">Cockpit!G46</f>
        <v>IST</v>
      </c>
      <c r="J7" s="293" t="str">
        <f aca="false">Cockpit!H46</f>
        <v>IST</v>
      </c>
      <c r="K7" s="293" t="str">
        <f aca="false">Cockpit!I46</f>
        <v>IST</v>
      </c>
      <c r="L7" s="293" t="str">
        <f aca="false">Cockpit!J46</f>
        <v>IST</v>
      </c>
      <c r="M7" s="293" t="str">
        <f aca="false">Cockpit!K46</f>
        <v>IST</v>
      </c>
      <c r="N7" s="293" t="str">
        <f aca="false">Cockpit!L46</f>
        <v>IST</v>
      </c>
      <c r="O7" s="293" t="str">
        <f aca="false">Cockpit!M46</f>
        <v>IST</v>
      </c>
      <c r="P7" s="293" t="str">
        <f aca="false">Cockpit!N46</f>
        <v>IST</v>
      </c>
      <c r="Q7" s="293" t="str">
        <f aca="false">Cockpit!O46</f>
        <v>IST</v>
      </c>
      <c r="R7" s="293" t="str">
        <f aca="false">Cockpit!P46</f>
        <v>IST</v>
      </c>
      <c r="S7" s="293" t="str">
        <f aca="false">Cockpit!Q46</f>
        <v>IST</v>
      </c>
      <c r="T7" s="293" t="str">
        <f aca="false">Cockpit!R46</f>
        <v>IST</v>
      </c>
      <c r="U7" s="293" t="str">
        <f aca="false">Cockpit!S46</f>
        <v>IST</v>
      </c>
      <c r="V7" s="293" t="str">
        <f aca="false">Cockpit!T46</f>
        <v>IST</v>
      </c>
      <c r="W7" s="293" t="str">
        <f aca="false">Cockpit!U46</f>
        <v>IST</v>
      </c>
      <c r="X7" s="293" t="str">
        <f aca="false">Cockpit!V46</f>
        <v>IST</v>
      </c>
      <c r="Y7" s="293" t="str">
        <f aca="false">Cockpit!W46</f>
        <v>IST</v>
      </c>
      <c r="Z7" s="293" t="str">
        <f aca="false">Cockpit!X46</f>
        <v>IST</v>
      </c>
      <c r="AA7" s="293" t="str">
        <f aca="false">Cockpit!Y46</f>
        <v>IST</v>
      </c>
      <c r="AB7" s="293" t="str">
        <f aca="false">Cockpit!Z46</f>
        <v>IST</v>
      </c>
      <c r="AC7" s="293" t="str">
        <f aca="false">Cockpit!AA46</f>
        <v>IST</v>
      </c>
      <c r="AD7" s="293" t="str">
        <f aca="false">Cockpit!AB46</f>
        <v>IST</v>
      </c>
      <c r="AE7" s="293" t="str">
        <f aca="false">Cockpit!AC46</f>
        <v>IST</v>
      </c>
      <c r="AF7" s="293" t="str">
        <f aca="false">Cockpit!AD46</f>
        <v>IST</v>
      </c>
      <c r="AG7" s="293" t="str">
        <f aca="false">Cockpit!AE46</f>
        <v>IST</v>
      </c>
      <c r="AH7" s="293" t="str">
        <f aca="false">Cockpit!AF46</f>
        <v>IST</v>
      </c>
      <c r="AI7" s="293" t="str">
        <f aca="false">Cockpit!AG46</f>
        <v>IST</v>
      </c>
      <c r="AJ7" s="293" t="str">
        <f aca="false">Cockpit!AH46</f>
        <v>IST</v>
      </c>
      <c r="AK7" s="293" t="str">
        <f aca="false">Cockpit!AI46</f>
        <v>IST</v>
      </c>
      <c r="AL7" s="293" t="str">
        <f aca="false">Cockpit!AJ46</f>
        <v>IST</v>
      </c>
      <c r="AM7" s="293" t="str">
        <f aca="false">Cockpit!AK46</f>
        <v>IST</v>
      </c>
      <c r="AN7" s="293" t="str">
        <f aca="false">Cockpit!AL46</f>
        <v>IST</v>
      </c>
      <c r="AO7" s="293" t="str">
        <f aca="false">Cockpit!AM46</f>
        <v>IST</v>
      </c>
      <c r="AP7" s="293" t="str">
        <f aca="false">Cockpit!AN46</f>
        <v>IST</v>
      </c>
      <c r="AQ7" s="293" t="str">
        <f aca="false">Cockpit!AO46</f>
        <v>IST</v>
      </c>
      <c r="AR7" s="293" t="str">
        <f aca="false">Cockpit!AP46</f>
        <v>IST</v>
      </c>
      <c r="AS7" s="293" t="str">
        <f aca="false">Cockpit!AQ46</f>
        <v>IST</v>
      </c>
      <c r="AT7" s="293" t="str">
        <f aca="false">Cockpit!AR46</f>
        <v>IST</v>
      </c>
      <c r="AU7" s="293" t="str">
        <f aca="false">Cockpit!AS46</f>
        <v>Plan</v>
      </c>
      <c r="AV7" s="293" t="str">
        <f aca="false">Cockpit!AT46</f>
        <v>Plan</v>
      </c>
      <c r="AW7" s="293" t="str">
        <f aca="false">Cockpit!AU46</f>
        <v>Plan</v>
      </c>
      <c r="AX7" s="293" t="str">
        <f aca="false">Cockpit!AV46</f>
        <v>Plan</v>
      </c>
      <c r="AY7" s="293" t="str">
        <f aca="false">Cockpit!AW46</f>
        <v>Plan</v>
      </c>
      <c r="AZ7" s="293" t="str">
        <f aca="false">Cockpit!AX46</f>
        <v>Plan</v>
      </c>
      <c r="BA7" s="293" t="str">
        <f aca="false">Cockpit!AY46</f>
        <v>Plan</v>
      </c>
      <c r="BB7" s="293" t="str">
        <f aca="false">Cockpit!AZ46</f>
        <v>Plan</v>
      </c>
      <c r="BC7" s="293" t="str">
        <f aca="false">Cockpit!BA46</f>
        <v>Plan</v>
      </c>
      <c r="BD7" s="293" t="str">
        <f aca="false">Cockpit!BB46</f>
        <v>Plan</v>
      </c>
      <c r="BE7" s="293" t="str">
        <f aca="false">Cockpit!BC46</f>
        <v>Plan</v>
      </c>
      <c r="BF7" s="293" t="str">
        <f aca="false">Cockpit!BD46</f>
        <v>Plan</v>
      </c>
      <c r="BG7" s="293" t="str">
        <f aca="false">Cockpit!BE46</f>
        <v>Plan</v>
      </c>
      <c r="BH7" s="293" t="str">
        <f aca="false">Cockpit!BF46</f>
        <v>Plan</v>
      </c>
      <c r="BI7" s="293" t="str">
        <f aca="false">Cockpit!BG46</f>
        <v>Plan</v>
      </c>
      <c r="BJ7" s="293" t="str">
        <f aca="false">Cockpit!BH46</f>
        <v>Plan</v>
      </c>
      <c r="BK7" s="293" t="str">
        <f aca="false">Cockpit!BI46</f>
        <v>Plan</v>
      </c>
      <c r="BL7" s="293" t="str">
        <f aca="false">Cockpit!BJ46</f>
        <v>Plan</v>
      </c>
      <c r="BM7" s="293" t="str">
        <f aca="false">Cockpit!BK46</f>
        <v>Plan</v>
      </c>
      <c r="BN7" s="293" t="str">
        <f aca="false">Cockpit!BL46</f>
        <v>Plan</v>
      </c>
      <c r="BO7" s="293" t="str">
        <f aca="false">Cockpit!BM46</f>
        <v>Plan</v>
      </c>
      <c r="BP7" s="293" t="str">
        <f aca="false">Cockpit!BN46</f>
        <v>Plan</v>
      </c>
      <c r="BQ7" s="293" t="str">
        <f aca="false">Cockpit!BO46</f>
        <v>Plan</v>
      </c>
      <c r="BR7" s="293" t="str">
        <f aca="false">Cockpit!BP46</f>
        <v>Plan</v>
      </c>
      <c r="BS7" s="293" t="str">
        <f aca="false">Cockpit!BQ46</f>
        <v>Plan</v>
      </c>
      <c r="BT7" s="293" t="str">
        <f aca="false">Cockpit!BR46</f>
        <v>Plan</v>
      </c>
      <c r="BU7" s="293" t="str">
        <f aca="false">Cockpit!BS46</f>
        <v>Plan</v>
      </c>
      <c r="BV7" s="293" t="str">
        <f aca="false">Cockpit!BT46</f>
        <v>Plan</v>
      </c>
      <c r="BW7" s="293" t="str">
        <f aca="false">Cockpit!BU46</f>
        <v>Plan</v>
      </c>
      <c r="BX7" s="293" t="str">
        <f aca="false">Cockpit!BV46</f>
        <v>Plan</v>
      </c>
      <c r="BY7" s="293" t="str">
        <f aca="false">Cockpit!BW46</f>
        <v>Plan</v>
      </c>
      <c r="BZ7" s="293" t="str">
        <f aca="false">Cockpit!BX46</f>
        <v>Plan</v>
      </c>
      <c r="CA7" s="293" t="str">
        <f aca="false">Cockpit!BY46</f>
        <v>Plan</v>
      </c>
      <c r="CB7" s="293" t="str">
        <f aca="false">Cockpit!BZ46</f>
        <v>Plan</v>
      </c>
      <c r="CC7" s="293" t="str">
        <f aca="false">Cockpit!CA46</f>
        <v>Plan</v>
      </c>
      <c r="CD7" s="293" t="str">
        <f aca="false">Cockpit!CB46</f>
        <v>Plan</v>
      </c>
      <c r="CE7" s="293" t="str">
        <f aca="false">Cockpit!CC46</f>
        <v>Plan</v>
      </c>
      <c r="CF7" s="293" t="str">
        <f aca="false">Cockpit!CD46</f>
        <v>Plan</v>
      </c>
      <c r="CG7" s="293" t="str">
        <f aca="false">Cockpit!CE46</f>
        <v>Plan</v>
      </c>
      <c r="CH7" s="293" t="str">
        <f aca="false">Cockpit!CF46</f>
        <v>Plan</v>
      </c>
      <c r="CI7" s="293" t="str">
        <f aca="false">Cockpit!CG46</f>
        <v>Plan</v>
      </c>
      <c r="CJ7" s="293" t="str">
        <f aca="false">Cockpit!CH46</f>
        <v>Plan</v>
      </c>
      <c r="CK7" s="293" t="str">
        <f aca="false">Cockpit!CI46</f>
        <v>Plan</v>
      </c>
    </row>
    <row r="8" customFormat="false" ht="4.5" hidden="false" customHeight="true" outlineLevel="0" collapsed="false">
      <c r="C8" s="86"/>
      <c r="D8" s="90"/>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c r="BO8" s="86"/>
      <c r="BP8" s="86"/>
      <c r="BQ8" s="86"/>
      <c r="BR8" s="86"/>
      <c r="BS8" s="86"/>
      <c r="BT8" s="86"/>
      <c r="BU8" s="86"/>
      <c r="BV8" s="86"/>
      <c r="BW8" s="86"/>
      <c r="BX8" s="86"/>
      <c r="BY8" s="86"/>
      <c r="BZ8" s="86"/>
      <c r="CA8" s="86"/>
      <c r="CB8" s="86"/>
      <c r="CC8" s="86"/>
      <c r="CD8" s="86"/>
      <c r="CE8" s="86"/>
      <c r="CF8" s="86"/>
      <c r="CG8" s="86"/>
      <c r="CH8" s="86"/>
      <c r="CI8" s="86"/>
      <c r="CJ8" s="86"/>
      <c r="CK8" s="86"/>
    </row>
    <row r="9" customFormat="false" ht="11.25" hidden="false" customHeight="true" outlineLevel="0" collapsed="false">
      <c r="C9" s="132" t="str">
        <f aca="false">'Lead PL'!C146</f>
        <v>EBITDA</v>
      </c>
      <c r="D9" s="132" t="str">
        <f aca="false">'Lead PL'!D146</f>
        <v>EBITDA</v>
      </c>
      <c r="E9" s="193"/>
      <c r="F9" s="193" t="n">
        <f aca="false">PL_monthly!F34</f>
        <v>0</v>
      </c>
      <c r="G9" s="168" t="n">
        <f aca="false">PL_monthly!G34</f>
        <v>0</v>
      </c>
      <c r="H9" s="168" t="n">
        <f aca="false">PL_monthly!H34</f>
        <v>0</v>
      </c>
      <c r="I9" s="168" t="n">
        <f aca="false">PL_monthly!I34</f>
        <v>0</v>
      </c>
      <c r="J9" s="168" t="n">
        <f aca="false">PL_monthly!J34</f>
        <v>0</v>
      </c>
      <c r="K9" s="168" t="n">
        <f aca="false">PL_monthly!K34</f>
        <v>0</v>
      </c>
      <c r="L9" s="168" t="n">
        <f aca="false">PL_monthly!L34</f>
        <v>0</v>
      </c>
      <c r="M9" s="168" t="n">
        <f aca="false">PL_monthly!M34</f>
        <v>0</v>
      </c>
      <c r="N9" s="168" t="n">
        <f aca="false">PL_monthly!N34</f>
        <v>0</v>
      </c>
      <c r="O9" s="168" t="n">
        <f aca="false">PL_monthly!O34</f>
        <v>0</v>
      </c>
      <c r="P9" s="168" t="n">
        <f aca="false">PL_monthly!P34</f>
        <v>0</v>
      </c>
      <c r="Q9" s="168" t="n">
        <f aca="false">PL_monthly!Q34</f>
        <v>0</v>
      </c>
      <c r="R9" s="168" t="n">
        <f aca="false">PL_monthly!R34</f>
        <v>0</v>
      </c>
      <c r="S9" s="168" t="n">
        <f aca="false">PL_monthly!S34</f>
        <v>0</v>
      </c>
      <c r="T9" s="168" t="n">
        <f aca="false">PL_monthly!T34</f>
        <v>0</v>
      </c>
      <c r="U9" s="168" t="n">
        <f aca="false">PL_monthly!U34</f>
        <v>0</v>
      </c>
      <c r="V9" s="168" t="n">
        <f aca="false">PL_monthly!V34</f>
        <v>0</v>
      </c>
      <c r="W9" s="168" t="n">
        <f aca="false">PL_monthly!W34</f>
        <v>0</v>
      </c>
      <c r="X9" s="168" t="n">
        <f aca="false">PL_monthly!X34</f>
        <v>0</v>
      </c>
      <c r="Y9" s="168" t="n">
        <f aca="false">PL_monthly!Y34</f>
        <v>0</v>
      </c>
      <c r="Z9" s="168" t="n">
        <f aca="false">PL_monthly!Z34</f>
        <v>0</v>
      </c>
      <c r="AA9" s="168" t="n">
        <f aca="false">PL_monthly!AA34</f>
        <v>0</v>
      </c>
      <c r="AB9" s="168" t="n">
        <f aca="false">PL_monthly!AB34</f>
        <v>0</v>
      </c>
      <c r="AC9" s="168" t="n">
        <f aca="false">PL_monthly!AC34</f>
        <v>0</v>
      </c>
      <c r="AD9" s="168" t="n">
        <f aca="false">PL_monthly!AD34</f>
        <v>0</v>
      </c>
      <c r="AE9" s="168" t="n">
        <f aca="false">PL_monthly!AE34</f>
        <v>0</v>
      </c>
      <c r="AF9" s="168" t="n">
        <f aca="false">PL_monthly!AF34</f>
        <v>0</v>
      </c>
      <c r="AG9" s="168" t="n">
        <f aca="false">PL_monthly!AG34</f>
        <v>0</v>
      </c>
      <c r="AH9" s="168" t="n">
        <f aca="false">PL_monthly!AH34</f>
        <v>0</v>
      </c>
      <c r="AI9" s="168" t="n">
        <f aca="false">PL_monthly!AI34</f>
        <v>0</v>
      </c>
      <c r="AJ9" s="168" t="n">
        <f aca="false">PL_monthly!AJ34</f>
        <v>0</v>
      </c>
      <c r="AK9" s="168" t="n">
        <f aca="false">PL_monthly!AK34</f>
        <v>0</v>
      </c>
      <c r="AL9" s="168" t="n">
        <f aca="false">PL_monthly!AL34</f>
        <v>0</v>
      </c>
      <c r="AM9" s="168" t="n">
        <f aca="false">PL_monthly!AM34</f>
        <v>0</v>
      </c>
      <c r="AN9" s="168" t="n">
        <f aca="false">PL_monthly!AN34</f>
        <v>0</v>
      </c>
      <c r="AO9" s="168" t="n">
        <f aca="false">PL_monthly!AO34</f>
        <v>0</v>
      </c>
      <c r="AP9" s="168" t="n">
        <f aca="false">PL_monthly!AP34</f>
        <v>0</v>
      </c>
      <c r="AQ9" s="168" t="n">
        <f aca="false">PL_monthly!AQ34</f>
        <v>0</v>
      </c>
      <c r="AR9" s="168" t="n">
        <f aca="false">PL_monthly!AR34</f>
        <v>0</v>
      </c>
      <c r="AS9" s="168" t="n">
        <f aca="false">PL_monthly!AS34</f>
        <v>0</v>
      </c>
      <c r="AT9" s="168" t="n">
        <f aca="false">PL_monthly!AT34</f>
        <v>0</v>
      </c>
      <c r="AU9" s="168" t="n">
        <f aca="false">PL_monthly!AU34</f>
        <v>0</v>
      </c>
      <c r="AV9" s="168" t="n">
        <f aca="false">PL_monthly!AV34</f>
        <v>0</v>
      </c>
      <c r="AW9" s="168" t="n">
        <f aca="false">PL_monthly!AW34</f>
        <v>0</v>
      </c>
      <c r="AX9" s="168" t="n">
        <f aca="false">PL_monthly!AX34</f>
        <v>0</v>
      </c>
      <c r="AY9" s="168" t="n">
        <f aca="false">PL_monthly!AY34</f>
        <v>0</v>
      </c>
      <c r="AZ9" s="168" t="n">
        <f aca="false">PL_monthly!AZ34</f>
        <v>0</v>
      </c>
      <c r="BA9" s="168" t="n">
        <f aca="false">PL_monthly!BA34</f>
        <v>0</v>
      </c>
      <c r="BB9" s="168" t="n">
        <f aca="false">PL_monthly!BB34</f>
        <v>0</v>
      </c>
      <c r="BC9" s="168" t="n">
        <f aca="false">PL_monthly!BC34</f>
        <v>0</v>
      </c>
      <c r="BD9" s="168" t="n">
        <f aca="false">PL_monthly!BD34</f>
        <v>0</v>
      </c>
      <c r="BE9" s="168" t="n">
        <f aca="false">PL_monthly!BE34</f>
        <v>0</v>
      </c>
      <c r="BF9" s="168" t="n">
        <f aca="false">PL_monthly!BF34</f>
        <v>0</v>
      </c>
      <c r="BG9" s="168" t="n">
        <f aca="false">PL_monthly!BG34</f>
        <v>0</v>
      </c>
      <c r="BH9" s="168" t="n">
        <f aca="false">PL_monthly!BH34</f>
        <v>0</v>
      </c>
      <c r="BI9" s="168" t="n">
        <f aca="false">PL_monthly!BI34</f>
        <v>0</v>
      </c>
      <c r="BJ9" s="168" t="n">
        <f aca="false">PL_monthly!BJ34</f>
        <v>0</v>
      </c>
      <c r="BK9" s="168" t="n">
        <f aca="false">PL_monthly!BK34</f>
        <v>0</v>
      </c>
      <c r="BL9" s="168" t="n">
        <f aca="false">PL_monthly!BL34</f>
        <v>0</v>
      </c>
      <c r="BM9" s="168" t="n">
        <f aca="false">PL_monthly!BM34</f>
        <v>0</v>
      </c>
      <c r="BN9" s="168" t="n">
        <f aca="false">PL_monthly!BN34</f>
        <v>0</v>
      </c>
      <c r="BO9" s="168" t="n">
        <f aca="false">PL_monthly!BO34</f>
        <v>0</v>
      </c>
      <c r="BP9" s="168" t="n">
        <f aca="false">PL_monthly!BP34</f>
        <v>0</v>
      </c>
      <c r="BQ9" s="168" t="n">
        <f aca="false">PL_monthly!BQ34</f>
        <v>0</v>
      </c>
      <c r="BR9" s="168" t="n">
        <f aca="false">PL_monthly!BR34</f>
        <v>0</v>
      </c>
      <c r="BS9" s="168" t="n">
        <f aca="false">PL_monthly!BS34</f>
        <v>0</v>
      </c>
      <c r="BT9" s="168" t="n">
        <f aca="false">PL_monthly!BT34</f>
        <v>0</v>
      </c>
      <c r="BU9" s="168" t="n">
        <f aca="false">PL_monthly!BU34</f>
        <v>0</v>
      </c>
      <c r="BV9" s="168" t="n">
        <f aca="false">PL_monthly!BV34</f>
        <v>0</v>
      </c>
      <c r="BW9" s="168" t="n">
        <f aca="false">PL_monthly!BW34</f>
        <v>0</v>
      </c>
      <c r="BX9" s="168" t="n">
        <f aca="false">PL_monthly!BX34</f>
        <v>0</v>
      </c>
      <c r="BY9" s="168" t="n">
        <f aca="false">PL_monthly!BY34</f>
        <v>0</v>
      </c>
      <c r="BZ9" s="168" t="n">
        <f aca="false">PL_monthly!BZ34</f>
        <v>0</v>
      </c>
      <c r="CA9" s="168" t="n">
        <f aca="false">PL_monthly!CA34</f>
        <v>0</v>
      </c>
      <c r="CB9" s="168" t="n">
        <f aca="false">PL_monthly!CB34</f>
        <v>0</v>
      </c>
      <c r="CC9" s="168" t="n">
        <f aca="false">PL_monthly!CC34</f>
        <v>0</v>
      </c>
      <c r="CD9" s="168" t="n">
        <f aca="false">PL_monthly!CD34</f>
        <v>0</v>
      </c>
      <c r="CE9" s="168" t="n">
        <f aca="false">PL_monthly!CE34</f>
        <v>0</v>
      </c>
      <c r="CF9" s="168" t="n">
        <f aca="false">PL_monthly!CF34</f>
        <v>0</v>
      </c>
      <c r="CG9" s="168" t="n">
        <f aca="false">PL_monthly!CG34</f>
        <v>0</v>
      </c>
      <c r="CH9" s="168" t="n">
        <f aca="false">PL_monthly!CH34</f>
        <v>0</v>
      </c>
      <c r="CI9" s="168" t="n">
        <f aca="false">PL_monthly!CI34</f>
        <v>0</v>
      </c>
      <c r="CJ9" s="168" t="n">
        <f aca="false">PL_monthly!CJ34</f>
        <v>0</v>
      </c>
      <c r="CK9" s="168" t="n">
        <f aca="false">PL_monthly!CK34</f>
        <v>0</v>
      </c>
    </row>
    <row r="10" customFormat="false" ht="11.25" hidden="false" customHeight="true" outlineLevel="0" collapsed="false">
      <c r="C10" s="195" t="str">
        <f aca="false">'Lead PL'!C192</f>
        <v>Ertragssteuern</v>
      </c>
      <c r="D10" s="195" t="str">
        <f aca="false">'Lead PL'!D192</f>
        <v>Income taxes</v>
      </c>
      <c r="E10" s="137"/>
      <c r="F10" s="137" t="n">
        <f aca="false">PL_monthly!F48</f>
        <v>0</v>
      </c>
      <c r="G10" s="159" t="n">
        <f aca="false">PL_monthly!G48</f>
        <v>0</v>
      </c>
      <c r="H10" s="159" t="n">
        <f aca="false">PL_monthly!H48</f>
        <v>0</v>
      </c>
      <c r="I10" s="159" t="n">
        <f aca="false">PL_monthly!I48</f>
        <v>0</v>
      </c>
      <c r="J10" s="159" t="n">
        <f aca="false">PL_monthly!J48</f>
        <v>0</v>
      </c>
      <c r="K10" s="159" t="n">
        <f aca="false">PL_monthly!K48</f>
        <v>0</v>
      </c>
      <c r="L10" s="159" t="n">
        <f aca="false">PL_monthly!L48</f>
        <v>0</v>
      </c>
      <c r="M10" s="159" t="n">
        <f aca="false">PL_monthly!M48</f>
        <v>0</v>
      </c>
      <c r="N10" s="159" t="n">
        <f aca="false">PL_monthly!N48</f>
        <v>0</v>
      </c>
      <c r="O10" s="159" t="n">
        <f aca="false">PL_monthly!O48</f>
        <v>0</v>
      </c>
      <c r="P10" s="159" t="n">
        <f aca="false">PL_monthly!P48</f>
        <v>0</v>
      </c>
      <c r="Q10" s="159" t="n">
        <f aca="false">PL_monthly!Q48</f>
        <v>0</v>
      </c>
      <c r="R10" s="159" t="n">
        <f aca="false">PL_monthly!R48</f>
        <v>0</v>
      </c>
      <c r="S10" s="159" t="n">
        <f aca="false">PL_monthly!S48</f>
        <v>0</v>
      </c>
      <c r="T10" s="159" t="n">
        <f aca="false">PL_monthly!T48</f>
        <v>0</v>
      </c>
      <c r="U10" s="159" t="n">
        <f aca="false">PL_monthly!U48</f>
        <v>0</v>
      </c>
      <c r="V10" s="159" t="n">
        <f aca="false">PL_monthly!V48</f>
        <v>0</v>
      </c>
      <c r="W10" s="159" t="n">
        <f aca="false">PL_monthly!W48</f>
        <v>0</v>
      </c>
      <c r="X10" s="159" t="n">
        <f aca="false">PL_monthly!X48</f>
        <v>0</v>
      </c>
      <c r="Y10" s="159" t="n">
        <f aca="false">PL_monthly!Y48</f>
        <v>0</v>
      </c>
      <c r="Z10" s="159" t="n">
        <f aca="false">PL_monthly!Z48</f>
        <v>0</v>
      </c>
      <c r="AA10" s="159" t="n">
        <f aca="false">PL_monthly!AA48</f>
        <v>0</v>
      </c>
      <c r="AB10" s="159" t="n">
        <f aca="false">PL_monthly!AB48</f>
        <v>0</v>
      </c>
      <c r="AC10" s="159" t="n">
        <f aca="false">PL_monthly!AC48</f>
        <v>0</v>
      </c>
      <c r="AD10" s="159" t="n">
        <f aca="false">PL_monthly!AD48</f>
        <v>0</v>
      </c>
      <c r="AE10" s="159" t="n">
        <f aca="false">PL_monthly!AE48</f>
        <v>0</v>
      </c>
      <c r="AF10" s="159" t="n">
        <f aca="false">PL_monthly!AF48</f>
        <v>0</v>
      </c>
      <c r="AG10" s="159" t="n">
        <f aca="false">PL_monthly!AG48</f>
        <v>0</v>
      </c>
      <c r="AH10" s="159" t="n">
        <f aca="false">PL_monthly!AH48</f>
        <v>0</v>
      </c>
      <c r="AI10" s="159" t="n">
        <f aca="false">PL_monthly!AI48</f>
        <v>0</v>
      </c>
      <c r="AJ10" s="159" t="n">
        <f aca="false">PL_monthly!AJ48</f>
        <v>0</v>
      </c>
      <c r="AK10" s="159" t="n">
        <f aca="false">PL_monthly!AK48</f>
        <v>0</v>
      </c>
      <c r="AL10" s="159" t="n">
        <f aca="false">PL_monthly!AL48</f>
        <v>0</v>
      </c>
      <c r="AM10" s="159" t="n">
        <f aca="false">PL_monthly!AM48</f>
        <v>0</v>
      </c>
      <c r="AN10" s="159" t="n">
        <f aca="false">PL_monthly!AN48</f>
        <v>0</v>
      </c>
      <c r="AO10" s="159" t="n">
        <f aca="false">PL_monthly!AO48</f>
        <v>0</v>
      </c>
      <c r="AP10" s="159" t="n">
        <f aca="false">PL_monthly!AP48</f>
        <v>0</v>
      </c>
      <c r="AQ10" s="159" t="n">
        <f aca="false">PL_monthly!AQ48</f>
        <v>0</v>
      </c>
      <c r="AR10" s="159" t="n">
        <f aca="false">PL_monthly!AR48</f>
        <v>0</v>
      </c>
      <c r="AS10" s="159" t="n">
        <f aca="false">PL_monthly!AS48</f>
        <v>0</v>
      </c>
      <c r="AT10" s="159" t="n">
        <f aca="false">PL_monthly!AT48</f>
        <v>0</v>
      </c>
      <c r="AU10" s="159" t="n">
        <f aca="false">PL_monthly!AU48</f>
        <v>0</v>
      </c>
      <c r="AV10" s="159" t="n">
        <f aca="false">PL_monthly!AV48</f>
        <v>0</v>
      </c>
      <c r="AW10" s="159" t="n">
        <f aca="false">PL_monthly!AW48</f>
        <v>0</v>
      </c>
      <c r="AX10" s="159" t="n">
        <f aca="false">PL_monthly!AX48</f>
        <v>0</v>
      </c>
      <c r="AY10" s="159" t="n">
        <f aca="false">PL_monthly!AY48</f>
        <v>0</v>
      </c>
      <c r="AZ10" s="159" t="n">
        <f aca="false">PL_monthly!AZ48</f>
        <v>0</v>
      </c>
      <c r="BA10" s="159" t="n">
        <f aca="false">PL_monthly!BA48</f>
        <v>0</v>
      </c>
      <c r="BB10" s="159" t="n">
        <f aca="false">PL_monthly!BB48</f>
        <v>0</v>
      </c>
      <c r="BC10" s="159" t="n">
        <f aca="false">PL_monthly!BC48</f>
        <v>0</v>
      </c>
      <c r="BD10" s="159" t="n">
        <f aca="false">PL_monthly!BD48</f>
        <v>0</v>
      </c>
      <c r="BE10" s="159" t="n">
        <f aca="false">PL_monthly!BE48</f>
        <v>0</v>
      </c>
      <c r="BF10" s="159" t="n">
        <f aca="false">PL_monthly!BF48</f>
        <v>0</v>
      </c>
      <c r="BG10" s="159" t="n">
        <f aca="false">PL_monthly!BG48</f>
        <v>0</v>
      </c>
      <c r="BH10" s="159" t="n">
        <f aca="false">PL_monthly!BH48</f>
        <v>0</v>
      </c>
      <c r="BI10" s="159" t="n">
        <f aca="false">PL_monthly!BI48</f>
        <v>0</v>
      </c>
      <c r="BJ10" s="159" t="n">
        <f aca="false">PL_monthly!BJ48</f>
        <v>0</v>
      </c>
      <c r="BK10" s="159" t="n">
        <f aca="false">PL_monthly!BK48</f>
        <v>0</v>
      </c>
      <c r="BL10" s="159" t="n">
        <f aca="false">PL_monthly!BL48</f>
        <v>0</v>
      </c>
      <c r="BM10" s="159" t="n">
        <f aca="false">PL_monthly!BM48</f>
        <v>0</v>
      </c>
      <c r="BN10" s="159" t="n">
        <f aca="false">PL_monthly!BN48</f>
        <v>0</v>
      </c>
      <c r="BO10" s="159" t="n">
        <f aca="false">PL_monthly!BO48</f>
        <v>0</v>
      </c>
      <c r="BP10" s="159" t="n">
        <f aca="false">PL_monthly!BP48</f>
        <v>0</v>
      </c>
      <c r="BQ10" s="159" t="n">
        <f aca="false">PL_monthly!BQ48</f>
        <v>0</v>
      </c>
      <c r="BR10" s="159" t="n">
        <f aca="false">PL_monthly!BR48</f>
        <v>0</v>
      </c>
      <c r="BS10" s="159" t="n">
        <f aca="false">PL_monthly!BS48</f>
        <v>0</v>
      </c>
      <c r="BT10" s="159" t="n">
        <f aca="false">PL_monthly!BT48</f>
        <v>0</v>
      </c>
      <c r="BU10" s="159" t="n">
        <f aca="false">PL_monthly!BU48</f>
        <v>0</v>
      </c>
      <c r="BV10" s="159" t="n">
        <f aca="false">PL_monthly!BV48</f>
        <v>0</v>
      </c>
      <c r="BW10" s="159" t="n">
        <f aca="false">PL_monthly!BW48</f>
        <v>0</v>
      </c>
      <c r="BX10" s="159" t="n">
        <f aca="false">PL_monthly!BX48</f>
        <v>0</v>
      </c>
      <c r="BY10" s="159" t="n">
        <f aca="false">PL_monthly!BY48</f>
        <v>0</v>
      </c>
      <c r="BZ10" s="159" t="n">
        <f aca="false">PL_monthly!BZ48</f>
        <v>0</v>
      </c>
      <c r="CA10" s="159" t="n">
        <f aca="false">PL_monthly!CA48</f>
        <v>0</v>
      </c>
      <c r="CB10" s="159" t="n">
        <f aca="false">PL_monthly!CB48</f>
        <v>0</v>
      </c>
      <c r="CC10" s="159" t="n">
        <f aca="false">PL_monthly!CC48</f>
        <v>0</v>
      </c>
      <c r="CD10" s="159" t="n">
        <f aca="false">PL_monthly!CD48</f>
        <v>0</v>
      </c>
      <c r="CE10" s="159" t="n">
        <f aca="false">PL_monthly!CE48</f>
        <v>0</v>
      </c>
      <c r="CF10" s="159" t="n">
        <f aca="false">PL_monthly!CF48</f>
        <v>0</v>
      </c>
      <c r="CG10" s="159" t="n">
        <f aca="false">PL_monthly!CG48</f>
        <v>0</v>
      </c>
      <c r="CH10" s="159" t="n">
        <f aca="false">PL_monthly!CH48</f>
        <v>0</v>
      </c>
      <c r="CI10" s="159" t="n">
        <f aca="false">PL_monthly!CI48</f>
        <v>0</v>
      </c>
      <c r="CJ10" s="159" t="n">
        <f aca="false">PL_monthly!CJ48</f>
        <v>0</v>
      </c>
      <c r="CK10" s="159" t="n">
        <f aca="false">PL_monthly!CK48</f>
        <v>0</v>
      </c>
    </row>
    <row r="11" customFormat="false" ht="11.25" hidden="false" customHeight="true" outlineLevel="0" collapsed="false">
      <c r="C11" s="195" t="str">
        <f aca="false">'Lead PL'!C201</f>
        <v>Sonstige Steuern</v>
      </c>
      <c r="D11" s="195" t="str">
        <f aca="false">'Lead PL'!D201</f>
        <v>Other taxes</v>
      </c>
      <c r="E11" s="137"/>
      <c r="F11" s="137" t="n">
        <f aca="false">PL_monthly!F49</f>
        <v>0</v>
      </c>
      <c r="G11" s="159" t="n">
        <f aca="false">PL_monthly!G49</f>
        <v>0</v>
      </c>
      <c r="H11" s="159" t="n">
        <f aca="false">PL_monthly!H49</f>
        <v>0</v>
      </c>
      <c r="I11" s="159" t="n">
        <f aca="false">PL_monthly!I49</f>
        <v>0</v>
      </c>
      <c r="J11" s="159" t="n">
        <f aca="false">PL_monthly!J49</f>
        <v>0</v>
      </c>
      <c r="K11" s="159" t="n">
        <f aca="false">PL_monthly!K49</f>
        <v>0</v>
      </c>
      <c r="L11" s="159" t="n">
        <f aca="false">PL_monthly!L49</f>
        <v>0</v>
      </c>
      <c r="M11" s="159" t="n">
        <f aca="false">PL_monthly!M49</f>
        <v>0</v>
      </c>
      <c r="N11" s="159" t="n">
        <f aca="false">PL_monthly!N49</f>
        <v>0</v>
      </c>
      <c r="O11" s="159" t="n">
        <f aca="false">PL_monthly!O49</f>
        <v>0</v>
      </c>
      <c r="P11" s="159" t="n">
        <f aca="false">PL_monthly!P49</f>
        <v>0</v>
      </c>
      <c r="Q11" s="159" t="n">
        <f aca="false">PL_monthly!Q49</f>
        <v>0</v>
      </c>
      <c r="R11" s="159" t="n">
        <f aca="false">PL_monthly!R49</f>
        <v>0</v>
      </c>
      <c r="S11" s="159" t="n">
        <f aca="false">PL_monthly!S49</f>
        <v>0</v>
      </c>
      <c r="T11" s="159" t="n">
        <f aca="false">PL_monthly!T49</f>
        <v>0</v>
      </c>
      <c r="U11" s="159" t="n">
        <f aca="false">PL_monthly!U49</f>
        <v>0</v>
      </c>
      <c r="V11" s="159" t="n">
        <f aca="false">PL_monthly!V49</f>
        <v>0</v>
      </c>
      <c r="W11" s="159" t="n">
        <f aca="false">PL_monthly!W49</f>
        <v>0</v>
      </c>
      <c r="X11" s="159" t="n">
        <f aca="false">PL_monthly!X49</f>
        <v>0</v>
      </c>
      <c r="Y11" s="159" t="n">
        <f aca="false">PL_monthly!Y49</f>
        <v>0</v>
      </c>
      <c r="Z11" s="159" t="n">
        <f aca="false">PL_monthly!Z49</f>
        <v>0</v>
      </c>
      <c r="AA11" s="159" t="n">
        <f aca="false">PL_monthly!AA49</f>
        <v>0</v>
      </c>
      <c r="AB11" s="159" t="n">
        <f aca="false">PL_monthly!AB49</f>
        <v>0</v>
      </c>
      <c r="AC11" s="159" t="n">
        <f aca="false">PL_monthly!AC49</f>
        <v>0</v>
      </c>
      <c r="AD11" s="159" t="n">
        <f aca="false">PL_monthly!AD49</f>
        <v>0</v>
      </c>
      <c r="AE11" s="159" t="n">
        <f aca="false">PL_monthly!AE49</f>
        <v>0</v>
      </c>
      <c r="AF11" s="159" t="n">
        <f aca="false">PL_monthly!AF49</f>
        <v>0</v>
      </c>
      <c r="AG11" s="159" t="n">
        <f aca="false">PL_monthly!AG49</f>
        <v>0</v>
      </c>
      <c r="AH11" s="159" t="n">
        <f aca="false">PL_monthly!AH49</f>
        <v>0</v>
      </c>
      <c r="AI11" s="159" t="n">
        <f aca="false">PL_monthly!AI49</f>
        <v>0</v>
      </c>
      <c r="AJ11" s="159" t="n">
        <f aca="false">PL_monthly!AJ49</f>
        <v>0</v>
      </c>
      <c r="AK11" s="159" t="n">
        <f aca="false">PL_monthly!AK49</f>
        <v>0</v>
      </c>
      <c r="AL11" s="159" t="n">
        <f aca="false">PL_monthly!AL49</f>
        <v>0</v>
      </c>
      <c r="AM11" s="159" t="n">
        <f aca="false">PL_monthly!AM49</f>
        <v>0</v>
      </c>
      <c r="AN11" s="159" t="n">
        <f aca="false">PL_monthly!AN49</f>
        <v>0</v>
      </c>
      <c r="AO11" s="159" t="n">
        <f aca="false">PL_monthly!AO49</f>
        <v>0</v>
      </c>
      <c r="AP11" s="159" t="n">
        <f aca="false">PL_monthly!AP49</f>
        <v>0</v>
      </c>
      <c r="AQ11" s="159" t="n">
        <f aca="false">PL_monthly!AQ49</f>
        <v>0</v>
      </c>
      <c r="AR11" s="159" t="n">
        <f aca="false">PL_monthly!AR49</f>
        <v>0</v>
      </c>
      <c r="AS11" s="159" t="n">
        <f aca="false">PL_monthly!AS49</f>
        <v>0</v>
      </c>
      <c r="AT11" s="159" t="n">
        <f aca="false">PL_monthly!AT49</f>
        <v>0</v>
      </c>
      <c r="AU11" s="159" t="n">
        <f aca="false">PL_monthly!AU49</f>
        <v>0</v>
      </c>
      <c r="AV11" s="159" t="n">
        <f aca="false">PL_monthly!AV49</f>
        <v>0</v>
      </c>
      <c r="AW11" s="159" t="n">
        <f aca="false">PL_monthly!AW49</f>
        <v>0</v>
      </c>
      <c r="AX11" s="159" t="n">
        <f aca="false">PL_monthly!AX49</f>
        <v>0</v>
      </c>
      <c r="AY11" s="159" t="n">
        <f aca="false">PL_monthly!AY49</f>
        <v>0</v>
      </c>
      <c r="AZ11" s="159" t="n">
        <f aca="false">PL_monthly!AZ49</f>
        <v>0</v>
      </c>
      <c r="BA11" s="159" t="n">
        <f aca="false">PL_monthly!BA49</f>
        <v>0</v>
      </c>
      <c r="BB11" s="159" t="n">
        <f aca="false">PL_monthly!BB49</f>
        <v>0</v>
      </c>
      <c r="BC11" s="159" t="n">
        <f aca="false">PL_monthly!BC49</f>
        <v>0</v>
      </c>
      <c r="BD11" s="159" t="n">
        <f aca="false">PL_monthly!BD49</f>
        <v>0</v>
      </c>
      <c r="BE11" s="159" t="n">
        <f aca="false">PL_monthly!BE49</f>
        <v>0</v>
      </c>
      <c r="BF11" s="159" t="n">
        <f aca="false">PL_monthly!BF49</f>
        <v>0</v>
      </c>
      <c r="BG11" s="159" t="n">
        <f aca="false">PL_monthly!BG49</f>
        <v>0</v>
      </c>
      <c r="BH11" s="159" t="n">
        <f aca="false">PL_monthly!BH49</f>
        <v>0</v>
      </c>
      <c r="BI11" s="159" t="n">
        <f aca="false">PL_monthly!BI49</f>
        <v>0</v>
      </c>
      <c r="BJ11" s="159" t="n">
        <f aca="false">PL_monthly!BJ49</f>
        <v>0</v>
      </c>
      <c r="BK11" s="159" t="n">
        <f aca="false">PL_monthly!BK49</f>
        <v>0</v>
      </c>
      <c r="BL11" s="159" t="n">
        <f aca="false">PL_monthly!BL49</f>
        <v>0</v>
      </c>
      <c r="BM11" s="159" t="n">
        <f aca="false">PL_monthly!BM49</f>
        <v>0</v>
      </c>
      <c r="BN11" s="159" t="n">
        <f aca="false">PL_monthly!BN49</f>
        <v>0</v>
      </c>
      <c r="BO11" s="159" t="n">
        <f aca="false">PL_monthly!BO49</f>
        <v>0</v>
      </c>
      <c r="BP11" s="159" t="n">
        <f aca="false">PL_monthly!BP49</f>
        <v>0</v>
      </c>
      <c r="BQ11" s="159" t="n">
        <f aca="false">PL_monthly!BQ49</f>
        <v>0</v>
      </c>
      <c r="BR11" s="159" t="n">
        <f aca="false">PL_monthly!BR49</f>
        <v>0</v>
      </c>
      <c r="BS11" s="159" t="n">
        <f aca="false">PL_monthly!BS49</f>
        <v>0</v>
      </c>
      <c r="BT11" s="159" t="n">
        <f aca="false">PL_monthly!BT49</f>
        <v>0</v>
      </c>
      <c r="BU11" s="159" t="n">
        <f aca="false">PL_monthly!BU49</f>
        <v>0</v>
      </c>
      <c r="BV11" s="159" t="n">
        <f aca="false">PL_monthly!BV49</f>
        <v>0</v>
      </c>
      <c r="BW11" s="159" t="n">
        <f aca="false">PL_monthly!BW49</f>
        <v>0</v>
      </c>
      <c r="BX11" s="159" t="n">
        <f aca="false">PL_monthly!BX49</f>
        <v>0</v>
      </c>
      <c r="BY11" s="159" t="n">
        <f aca="false">PL_monthly!BY49</f>
        <v>0</v>
      </c>
      <c r="BZ11" s="159" t="n">
        <f aca="false">PL_monthly!BZ49</f>
        <v>0</v>
      </c>
      <c r="CA11" s="159" t="n">
        <f aca="false">PL_monthly!CA49</f>
        <v>0</v>
      </c>
      <c r="CB11" s="159" t="n">
        <f aca="false">PL_monthly!CB49</f>
        <v>0</v>
      </c>
      <c r="CC11" s="159" t="n">
        <f aca="false">PL_monthly!CC49</f>
        <v>0</v>
      </c>
      <c r="CD11" s="159" t="n">
        <f aca="false">PL_monthly!CD49</f>
        <v>0</v>
      </c>
      <c r="CE11" s="159" t="n">
        <f aca="false">PL_monthly!CE49</f>
        <v>0</v>
      </c>
      <c r="CF11" s="159" t="n">
        <f aca="false">PL_monthly!CF49</f>
        <v>0</v>
      </c>
      <c r="CG11" s="159" t="n">
        <f aca="false">PL_monthly!CG49</f>
        <v>0</v>
      </c>
      <c r="CH11" s="159" t="n">
        <f aca="false">PL_monthly!CH49</f>
        <v>0</v>
      </c>
      <c r="CI11" s="159" t="n">
        <f aca="false">PL_monthly!CI49</f>
        <v>0</v>
      </c>
      <c r="CJ11" s="159" t="n">
        <f aca="false">PL_monthly!CJ49</f>
        <v>0</v>
      </c>
      <c r="CK11" s="159" t="n">
        <f aca="false">PL_monthly!CK49</f>
        <v>0</v>
      </c>
    </row>
    <row r="12" customFormat="false" ht="4.5" hidden="false" customHeight="true" outlineLevel="0" collapsed="false">
      <c r="C12" s="51"/>
      <c r="D12" s="51"/>
      <c r="E12" s="137"/>
      <c r="F12" s="137"/>
      <c r="G12" s="168"/>
      <c r="H12" s="168"/>
      <c r="I12" s="168"/>
      <c r="J12" s="168"/>
      <c r="K12" s="168"/>
      <c r="L12" s="168"/>
      <c r="M12" s="168"/>
      <c r="N12" s="168"/>
      <c r="O12" s="168"/>
      <c r="P12" s="168"/>
      <c r="Q12" s="168"/>
      <c r="R12" s="168"/>
      <c r="S12" s="168"/>
      <c r="T12" s="168"/>
      <c r="U12" s="168"/>
      <c r="V12" s="168"/>
      <c r="W12" s="168"/>
      <c r="X12" s="168"/>
      <c r="Y12" s="168"/>
      <c r="Z12" s="168"/>
      <c r="AA12" s="168"/>
      <c r="AB12" s="168"/>
      <c r="AC12" s="168"/>
      <c r="AD12" s="168"/>
      <c r="AE12" s="168"/>
      <c r="AF12" s="168"/>
      <c r="AG12" s="168"/>
      <c r="AH12" s="168"/>
      <c r="AI12" s="168"/>
      <c r="AJ12" s="168"/>
      <c r="AK12" s="168"/>
      <c r="AL12" s="168"/>
      <c r="AM12" s="168"/>
      <c r="AN12" s="168"/>
      <c r="AO12" s="168"/>
      <c r="AP12" s="168"/>
      <c r="AQ12" s="168"/>
      <c r="AR12" s="168"/>
      <c r="AS12" s="168"/>
      <c r="AT12" s="168"/>
      <c r="AU12" s="168"/>
      <c r="AV12" s="168"/>
      <c r="AW12" s="168"/>
      <c r="AX12" s="168"/>
      <c r="AY12" s="168"/>
      <c r="AZ12" s="168"/>
      <c r="BA12" s="168"/>
      <c r="BB12" s="168"/>
      <c r="BC12" s="168"/>
      <c r="BD12" s="168"/>
      <c r="BE12" s="168"/>
      <c r="BF12" s="168"/>
      <c r="BG12" s="168"/>
      <c r="BH12" s="168"/>
      <c r="BI12" s="168"/>
      <c r="BJ12" s="168"/>
      <c r="BK12" s="168"/>
      <c r="BL12" s="168"/>
      <c r="BM12" s="168"/>
      <c r="BN12" s="168"/>
      <c r="BO12" s="168"/>
      <c r="BP12" s="168"/>
      <c r="BQ12" s="168"/>
      <c r="BR12" s="168"/>
      <c r="BS12" s="168"/>
      <c r="BT12" s="168"/>
      <c r="BU12" s="168"/>
      <c r="BV12" s="168"/>
      <c r="BW12" s="168"/>
      <c r="BX12" s="168"/>
      <c r="BY12" s="168"/>
      <c r="BZ12" s="168"/>
      <c r="CA12" s="168"/>
      <c r="CB12" s="168"/>
      <c r="CC12" s="168"/>
      <c r="CD12" s="168"/>
      <c r="CE12" s="168"/>
      <c r="CF12" s="168"/>
      <c r="CG12" s="168"/>
      <c r="CH12" s="168"/>
      <c r="CI12" s="168"/>
      <c r="CJ12" s="168"/>
      <c r="CK12" s="168"/>
    </row>
    <row r="13" customFormat="false" ht="11.25" hidden="false" customHeight="true" outlineLevel="0" collapsed="false">
      <c r="C13" s="51" t="str">
        <f aca="false">"∆ "&amp;'Lead NA'!C40</f>
        <v>∆ Vorräte</v>
      </c>
      <c r="D13" s="51" t="str">
        <f aca="false">"∆ "&amp;'Lead NA'!D40</f>
        <v>∆ Inventories</v>
      </c>
      <c r="E13" s="137"/>
      <c r="F13" s="137"/>
      <c r="G13" s="159" t="n">
        <f aca="false">-NA_monthly!G16+NA_monthly!F16</f>
        <v>0</v>
      </c>
      <c r="H13" s="159" t="n">
        <f aca="false">-NA_monthly!H16+NA_monthly!G16</f>
        <v>0</v>
      </c>
      <c r="I13" s="159" t="n">
        <f aca="false">-NA_monthly!I16+NA_monthly!H16</f>
        <v>0</v>
      </c>
      <c r="J13" s="159" t="n">
        <f aca="false">-NA_monthly!J16+NA_monthly!I16</f>
        <v>0</v>
      </c>
      <c r="K13" s="159" t="n">
        <f aca="false">-NA_monthly!K16+NA_monthly!J16</f>
        <v>0</v>
      </c>
      <c r="L13" s="159" t="n">
        <f aca="false">-NA_monthly!L16+NA_monthly!K16</f>
        <v>0</v>
      </c>
      <c r="M13" s="159" t="n">
        <f aca="false">-NA_monthly!M16+NA_monthly!L16</f>
        <v>0</v>
      </c>
      <c r="N13" s="159" t="n">
        <f aca="false">-NA_monthly!N16+NA_monthly!M16</f>
        <v>0</v>
      </c>
      <c r="O13" s="159" t="n">
        <f aca="false">-NA_monthly!O16+NA_monthly!N16</f>
        <v>0</v>
      </c>
      <c r="P13" s="159" t="n">
        <f aca="false">-NA_monthly!P16+NA_monthly!O16</f>
        <v>0</v>
      </c>
      <c r="Q13" s="159" t="n">
        <f aca="false">-NA_monthly!Q16+NA_monthly!P16</f>
        <v>0</v>
      </c>
      <c r="R13" s="159" t="n">
        <f aca="false">-NA_monthly!R16+NA_monthly!Q16</f>
        <v>0</v>
      </c>
      <c r="S13" s="159" t="n">
        <f aca="false">-NA_monthly!S16+NA_monthly!R16</f>
        <v>0</v>
      </c>
      <c r="T13" s="159" t="n">
        <f aca="false">-NA_monthly!T16+NA_monthly!S16</f>
        <v>0</v>
      </c>
      <c r="U13" s="159" t="n">
        <f aca="false">-NA_monthly!U16+NA_monthly!T16</f>
        <v>0</v>
      </c>
      <c r="V13" s="159" t="n">
        <f aca="false">-NA_monthly!V16+NA_monthly!U16</f>
        <v>0</v>
      </c>
      <c r="W13" s="159" t="n">
        <f aca="false">-NA_monthly!W16+NA_monthly!V16</f>
        <v>0</v>
      </c>
      <c r="X13" s="159" t="n">
        <f aca="false">-NA_monthly!X16+NA_monthly!W16</f>
        <v>0</v>
      </c>
      <c r="Y13" s="159" t="n">
        <f aca="false">-NA_monthly!Y16+NA_monthly!X16</f>
        <v>0</v>
      </c>
      <c r="Z13" s="159" t="n">
        <f aca="false">-NA_monthly!Z16+NA_monthly!Y16</f>
        <v>0</v>
      </c>
      <c r="AA13" s="159" t="n">
        <f aca="false">-NA_monthly!AA16+NA_monthly!Z16</f>
        <v>0</v>
      </c>
      <c r="AB13" s="159" t="n">
        <f aca="false">-NA_monthly!AB16+NA_monthly!AA16</f>
        <v>0</v>
      </c>
      <c r="AC13" s="159" t="n">
        <f aca="false">-NA_monthly!AC16+NA_monthly!AB16</f>
        <v>0</v>
      </c>
      <c r="AD13" s="159" t="n">
        <f aca="false">-NA_monthly!AD16+NA_monthly!AC16</f>
        <v>0</v>
      </c>
      <c r="AE13" s="159" t="n">
        <f aca="false">-NA_monthly!AE16+NA_monthly!AD16</f>
        <v>0</v>
      </c>
      <c r="AF13" s="159" t="n">
        <f aca="false">-NA_monthly!AF16+NA_monthly!AE16</f>
        <v>0</v>
      </c>
      <c r="AG13" s="159" t="n">
        <f aca="false">-NA_monthly!AG16+NA_monthly!AF16</f>
        <v>0</v>
      </c>
      <c r="AH13" s="159" t="n">
        <f aca="false">-NA_monthly!AH16+NA_monthly!AG16</f>
        <v>0</v>
      </c>
      <c r="AI13" s="159" t="n">
        <f aca="false">-NA_monthly!AI16+NA_monthly!AH16</f>
        <v>0</v>
      </c>
      <c r="AJ13" s="159" t="n">
        <f aca="false">-NA_monthly!AJ16+NA_monthly!AI16</f>
        <v>0</v>
      </c>
      <c r="AK13" s="159" t="n">
        <f aca="false">-NA_monthly!AK16+NA_monthly!AJ16</f>
        <v>0</v>
      </c>
      <c r="AL13" s="159" t="n">
        <f aca="false">-NA_monthly!AL16+NA_monthly!AK16</f>
        <v>0</v>
      </c>
      <c r="AM13" s="159" t="n">
        <f aca="false">-NA_monthly!AM16+NA_monthly!AL16</f>
        <v>0</v>
      </c>
      <c r="AN13" s="159" t="n">
        <f aca="false">-NA_monthly!AN16+NA_monthly!AM16</f>
        <v>0</v>
      </c>
      <c r="AO13" s="159" t="n">
        <f aca="false">-NA_monthly!AO16+NA_monthly!AN16</f>
        <v>0</v>
      </c>
      <c r="AP13" s="159" t="n">
        <f aca="false">-NA_monthly!AP16+NA_monthly!AO16</f>
        <v>0</v>
      </c>
      <c r="AQ13" s="159" t="n">
        <f aca="false">-NA_monthly!AQ16+NA_monthly!AP16</f>
        <v>0</v>
      </c>
      <c r="AR13" s="159" t="n">
        <f aca="false">-NA_monthly!AR16+NA_monthly!AQ16</f>
        <v>0</v>
      </c>
      <c r="AS13" s="159" t="n">
        <f aca="false">-NA_monthly!AS16+NA_monthly!AR16</f>
        <v>0</v>
      </c>
      <c r="AT13" s="159" t="n">
        <f aca="false">-NA_monthly!AT16+NA_monthly!AS16</f>
        <v>0</v>
      </c>
      <c r="AU13" s="159" t="n">
        <f aca="false">-NA_monthly!AU16+NA_monthly!AT16</f>
        <v>0</v>
      </c>
      <c r="AV13" s="159" t="n">
        <f aca="false">-NA_monthly!AV16+NA_monthly!AU16</f>
        <v>0</v>
      </c>
      <c r="AW13" s="159" t="n">
        <f aca="false">-NA_monthly!AW16+NA_monthly!AV16</f>
        <v>0</v>
      </c>
      <c r="AX13" s="159" t="n">
        <f aca="false">-NA_monthly!AX16+NA_monthly!AW16</f>
        <v>0</v>
      </c>
      <c r="AY13" s="159" t="n">
        <f aca="false">-NA_monthly!AY16+NA_monthly!AX16</f>
        <v>0</v>
      </c>
      <c r="AZ13" s="159" t="n">
        <f aca="false">-NA_monthly!AZ16+NA_monthly!AY16</f>
        <v>0</v>
      </c>
      <c r="BA13" s="159" t="n">
        <f aca="false">-NA_monthly!BA16+NA_monthly!AZ16</f>
        <v>0</v>
      </c>
      <c r="BB13" s="159" t="n">
        <f aca="false">-NA_monthly!BB16+NA_monthly!BA16</f>
        <v>0</v>
      </c>
      <c r="BC13" s="159" t="n">
        <f aca="false">-NA_monthly!BC16+NA_monthly!BB16</f>
        <v>0</v>
      </c>
      <c r="BD13" s="159" t="n">
        <f aca="false">-NA_monthly!BD16+NA_monthly!BC16</f>
        <v>0</v>
      </c>
      <c r="BE13" s="159" t="n">
        <f aca="false">-NA_monthly!BE16+NA_monthly!BD16</f>
        <v>0</v>
      </c>
      <c r="BF13" s="159" t="n">
        <f aca="false">-NA_monthly!BF16+NA_monthly!BE16</f>
        <v>0</v>
      </c>
      <c r="BG13" s="159" t="n">
        <f aca="false">-NA_monthly!BG16+NA_monthly!BF16</f>
        <v>0</v>
      </c>
      <c r="BH13" s="159" t="n">
        <f aca="false">-NA_monthly!BH16+NA_monthly!BG16</f>
        <v>0</v>
      </c>
      <c r="BI13" s="159" t="n">
        <f aca="false">-NA_monthly!BI16+NA_monthly!BH16</f>
        <v>0</v>
      </c>
      <c r="BJ13" s="159" t="n">
        <f aca="false">-NA_monthly!BJ16+NA_monthly!BI16</f>
        <v>0</v>
      </c>
      <c r="BK13" s="159" t="n">
        <f aca="false">-NA_monthly!BK16+NA_monthly!BJ16</f>
        <v>0</v>
      </c>
      <c r="BL13" s="159" t="n">
        <f aca="false">-NA_monthly!BL16+NA_monthly!BK16</f>
        <v>0</v>
      </c>
      <c r="BM13" s="159" t="n">
        <f aca="false">-NA_monthly!BM16+NA_monthly!BL16</f>
        <v>0</v>
      </c>
      <c r="BN13" s="159" t="n">
        <f aca="false">-NA_monthly!BN16+NA_monthly!BM16</f>
        <v>0</v>
      </c>
      <c r="BO13" s="159" t="n">
        <f aca="false">-NA_monthly!BO16+NA_monthly!BN16</f>
        <v>0</v>
      </c>
      <c r="BP13" s="159" t="n">
        <f aca="false">-NA_monthly!BP16+NA_monthly!BO16</f>
        <v>0</v>
      </c>
      <c r="BQ13" s="159" t="n">
        <f aca="false">-NA_monthly!BQ16+NA_monthly!BP16</f>
        <v>0</v>
      </c>
      <c r="BR13" s="159" t="n">
        <f aca="false">-NA_monthly!BR16+NA_monthly!BQ16</f>
        <v>0</v>
      </c>
      <c r="BS13" s="159" t="n">
        <f aca="false">-NA_monthly!BS16+NA_monthly!BR16</f>
        <v>0</v>
      </c>
      <c r="BT13" s="159" t="n">
        <f aca="false">-NA_monthly!BT16+NA_monthly!BS16</f>
        <v>0</v>
      </c>
      <c r="BU13" s="159" t="n">
        <f aca="false">-NA_monthly!BU16+NA_monthly!BT16</f>
        <v>0</v>
      </c>
      <c r="BV13" s="159" t="n">
        <f aca="false">-NA_monthly!BV16+NA_monthly!BU16</f>
        <v>0</v>
      </c>
      <c r="BW13" s="159" t="n">
        <f aca="false">-NA_monthly!BW16+NA_monthly!BV16</f>
        <v>0</v>
      </c>
      <c r="BX13" s="159" t="n">
        <f aca="false">-NA_monthly!BX16+NA_monthly!BW16</f>
        <v>0</v>
      </c>
      <c r="BY13" s="159" t="n">
        <f aca="false">-NA_monthly!BY16+NA_monthly!BX16</f>
        <v>0</v>
      </c>
      <c r="BZ13" s="159" t="n">
        <f aca="false">-NA_monthly!BZ16+NA_monthly!BY16</f>
        <v>0</v>
      </c>
      <c r="CA13" s="159" t="n">
        <f aca="false">-NA_monthly!CA16+NA_monthly!BZ16</f>
        <v>0</v>
      </c>
      <c r="CB13" s="159" t="n">
        <f aca="false">-NA_monthly!CB16+NA_monthly!CA16</f>
        <v>0</v>
      </c>
      <c r="CC13" s="159" t="n">
        <f aca="false">-NA_monthly!CC16+NA_monthly!CB16</f>
        <v>0</v>
      </c>
      <c r="CD13" s="159" t="n">
        <f aca="false">-NA_monthly!CD16+NA_monthly!CC16</f>
        <v>0</v>
      </c>
      <c r="CE13" s="159" t="n">
        <f aca="false">-NA_monthly!CE16+NA_monthly!CD16</f>
        <v>0</v>
      </c>
      <c r="CF13" s="159" t="n">
        <f aca="false">-NA_monthly!CF16+NA_monthly!CE16</f>
        <v>0</v>
      </c>
      <c r="CG13" s="159" t="n">
        <f aca="false">-NA_monthly!CG16+NA_monthly!CF16</f>
        <v>0</v>
      </c>
      <c r="CH13" s="159" t="n">
        <f aca="false">-NA_monthly!CH16+NA_monthly!CG16</f>
        <v>0</v>
      </c>
      <c r="CI13" s="159" t="n">
        <f aca="false">-NA_monthly!CI16+NA_monthly!CH16</f>
        <v>0</v>
      </c>
      <c r="CJ13" s="159" t="n">
        <f aca="false">-NA_monthly!CJ16+NA_monthly!CI16</f>
        <v>0</v>
      </c>
      <c r="CK13" s="159" t="n">
        <f aca="false">-NA_monthly!CK16+NA_monthly!CJ16</f>
        <v>0</v>
      </c>
    </row>
    <row r="14" customFormat="false" ht="11.25" hidden="false" customHeight="true" outlineLevel="0" collapsed="false">
      <c r="C14" s="51" t="str">
        <f aca="false">"∆ "&amp;'Lead NA'!C49</f>
        <v>∆ Forderungen aus LuL</v>
      </c>
      <c r="D14" s="51" t="str">
        <f aca="false">"∆ "&amp;'Lead NA'!D49</f>
        <v>∆ Trade receivables</v>
      </c>
      <c r="E14" s="137"/>
      <c r="F14" s="137"/>
      <c r="G14" s="159" t="n">
        <f aca="false">-NA_monthly!G17+NA_monthly!F17</f>
        <v>0</v>
      </c>
      <c r="H14" s="159" t="n">
        <f aca="false">-NA_monthly!H17+NA_monthly!G17</f>
        <v>0</v>
      </c>
      <c r="I14" s="159" t="n">
        <f aca="false">-NA_monthly!I17+NA_monthly!H17</f>
        <v>0</v>
      </c>
      <c r="J14" s="159" t="n">
        <f aca="false">-NA_monthly!J17+NA_monthly!I17</f>
        <v>0</v>
      </c>
      <c r="K14" s="159" t="n">
        <f aca="false">-NA_monthly!K17+NA_monthly!J17</f>
        <v>0</v>
      </c>
      <c r="L14" s="159" t="n">
        <f aca="false">-NA_monthly!L17+NA_monthly!K17</f>
        <v>0</v>
      </c>
      <c r="M14" s="159" t="n">
        <f aca="false">-NA_monthly!M17+NA_monthly!L17</f>
        <v>0</v>
      </c>
      <c r="N14" s="159" t="n">
        <f aca="false">-NA_monthly!N17+NA_monthly!M17</f>
        <v>0</v>
      </c>
      <c r="O14" s="159" t="n">
        <f aca="false">-NA_monthly!O17+NA_monthly!N17</f>
        <v>0</v>
      </c>
      <c r="P14" s="159" t="n">
        <f aca="false">-NA_monthly!P17+NA_monthly!O17</f>
        <v>0</v>
      </c>
      <c r="Q14" s="159" t="n">
        <f aca="false">-NA_monthly!Q17+NA_monthly!P17</f>
        <v>0</v>
      </c>
      <c r="R14" s="159" t="n">
        <f aca="false">-NA_monthly!R17+NA_monthly!Q17</f>
        <v>0</v>
      </c>
      <c r="S14" s="159" t="n">
        <f aca="false">-NA_monthly!S17+NA_monthly!R17</f>
        <v>0</v>
      </c>
      <c r="T14" s="159" t="n">
        <f aca="false">-NA_monthly!T17+NA_monthly!S17</f>
        <v>0</v>
      </c>
      <c r="U14" s="159" t="n">
        <f aca="false">-NA_monthly!U17+NA_monthly!T17</f>
        <v>0</v>
      </c>
      <c r="V14" s="159" t="n">
        <f aca="false">-NA_monthly!V17+NA_monthly!U17</f>
        <v>0</v>
      </c>
      <c r="W14" s="159" t="n">
        <f aca="false">-NA_monthly!W17+NA_monthly!V17</f>
        <v>0</v>
      </c>
      <c r="X14" s="159" t="n">
        <f aca="false">-NA_monthly!X17+NA_monthly!W17</f>
        <v>0</v>
      </c>
      <c r="Y14" s="159" t="n">
        <f aca="false">-NA_monthly!Y17+NA_monthly!X17</f>
        <v>0</v>
      </c>
      <c r="Z14" s="159" t="n">
        <f aca="false">-NA_monthly!Z17+NA_monthly!Y17</f>
        <v>0</v>
      </c>
      <c r="AA14" s="159" t="n">
        <f aca="false">-NA_monthly!AA17+NA_monthly!Z17</f>
        <v>0</v>
      </c>
      <c r="AB14" s="159" t="n">
        <f aca="false">-NA_monthly!AB17+NA_monthly!AA17</f>
        <v>0</v>
      </c>
      <c r="AC14" s="159" t="n">
        <f aca="false">-NA_monthly!AC17+NA_monthly!AB17</f>
        <v>0</v>
      </c>
      <c r="AD14" s="159" t="n">
        <f aca="false">-NA_monthly!AD17+NA_monthly!AC17</f>
        <v>0</v>
      </c>
      <c r="AE14" s="159" t="n">
        <f aca="false">-NA_monthly!AE17+NA_monthly!AD17</f>
        <v>0</v>
      </c>
      <c r="AF14" s="159" t="n">
        <f aca="false">-NA_monthly!AF17+NA_monthly!AE17</f>
        <v>0</v>
      </c>
      <c r="AG14" s="159" t="n">
        <f aca="false">-NA_monthly!AG17+NA_monthly!AF17</f>
        <v>0</v>
      </c>
      <c r="AH14" s="159" t="n">
        <f aca="false">-NA_monthly!AH17+NA_monthly!AG17</f>
        <v>0</v>
      </c>
      <c r="AI14" s="159" t="n">
        <f aca="false">-NA_monthly!AI17+NA_monthly!AH17</f>
        <v>0</v>
      </c>
      <c r="AJ14" s="159" t="n">
        <f aca="false">-NA_monthly!AJ17+NA_monthly!AI17</f>
        <v>0</v>
      </c>
      <c r="AK14" s="159" t="n">
        <f aca="false">-NA_monthly!AK17+NA_monthly!AJ17</f>
        <v>0</v>
      </c>
      <c r="AL14" s="159" t="n">
        <f aca="false">-NA_monthly!AL17+NA_monthly!AK17</f>
        <v>0</v>
      </c>
      <c r="AM14" s="159" t="n">
        <f aca="false">-NA_monthly!AM17+NA_monthly!AL17</f>
        <v>0</v>
      </c>
      <c r="AN14" s="159" t="n">
        <f aca="false">-NA_monthly!AN17+NA_monthly!AM17</f>
        <v>0</v>
      </c>
      <c r="AO14" s="159" t="n">
        <f aca="false">-NA_monthly!AO17+NA_monthly!AN17</f>
        <v>0</v>
      </c>
      <c r="AP14" s="159" t="n">
        <f aca="false">-NA_monthly!AP17+NA_monthly!AO17</f>
        <v>0</v>
      </c>
      <c r="AQ14" s="159" t="n">
        <f aca="false">-NA_monthly!AQ17+NA_monthly!AP17</f>
        <v>0</v>
      </c>
      <c r="AR14" s="159" t="n">
        <f aca="false">-NA_monthly!AR17+NA_monthly!AQ17</f>
        <v>0</v>
      </c>
      <c r="AS14" s="159" t="n">
        <f aca="false">-NA_monthly!AS17+NA_monthly!AR17</f>
        <v>0</v>
      </c>
      <c r="AT14" s="159" t="n">
        <f aca="false">-NA_monthly!AT17+NA_monthly!AS17</f>
        <v>0</v>
      </c>
      <c r="AU14" s="159" t="n">
        <f aca="false">-NA_monthly!AU17+NA_monthly!AT17</f>
        <v>0</v>
      </c>
      <c r="AV14" s="159" t="n">
        <f aca="false">-NA_monthly!AV17+NA_monthly!AU17</f>
        <v>0</v>
      </c>
      <c r="AW14" s="159" t="n">
        <f aca="false">-NA_monthly!AW17+NA_monthly!AV17</f>
        <v>0</v>
      </c>
      <c r="AX14" s="159" t="n">
        <f aca="false">-NA_monthly!AX17+NA_monthly!AW17</f>
        <v>0</v>
      </c>
      <c r="AY14" s="159" t="n">
        <f aca="false">-NA_monthly!AY17+NA_monthly!AX17</f>
        <v>0</v>
      </c>
      <c r="AZ14" s="159" t="n">
        <f aca="false">-NA_monthly!AZ17+NA_monthly!AY17</f>
        <v>0</v>
      </c>
      <c r="BA14" s="159" t="n">
        <f aca="false">-NA_monthly!BA17+NA_monthly!AZ17</f>
        <v>0</v>
      </c>
      <c r="BB14" s="159" t="n">
        <f aca="false">-NA_monthly!BB17+NA_monthly!BA17</f>
        <v>0</v>
      </c>
      <c r="BC14" s="159" t="n">
        <f aca="false">-NA_monthly!BC17+NA_monthly!BB17</f>
        <v>0</v>
      </c>
      <c r="BD14" s="159" t="n">
        <f aca="false">-NA_monthly!BD17+NA_monthly!BC17</f>
        <v>0</v>
      </c>
      <c r="BE14" s="159" t="n">
        <f aca="false">-NA_monthly!BE17+NA_monthly!BD17</f>
        <v>0</v>
      </c>
      <c r="BF14" s="159" t="n">
        <f aca="false">-NA_monthly!BF17+NA_monthly!BE17</f>
        <v>0</v>
      </c>
      <c r="BG14" s="159" t="n">
        <f aca="false">-NA_monthly!BG17+NA_monthly!BF17</f>
        <v>0</v>
      </c>
      <c r="BH14" s="159" t="n">
        <f aca="false">-NA_monthly!BH17+NA_monthly!BG17</f>
        <v>0</v>
      </c>
      <c r="BI14" s="159" t="n">
        <f aca="false">-NA_monthly!BI17+NA_monthly!BH17</f>
        <v>0</v>
      </c>
      <c r="BJ14" s="159" t="n">
        <f aca="false">-NA_monthly!BJ17+NA_monthly!BI17</f>
        <v>0</v>
      </c>
      <c r="BK14" s="159" t="n">
        <f aca="false">-NA_monthly!BK17+NA_monthly!BJ17</f>
        <v>0</v>
      </c>
      <c r="BL14" s="159" t="n">
        <f aca="false">-NA_monthly!BL17+NA_monthly!BK17</f>
        <v>0</v>
      </c>
      <c r="BM14" s="159" t="n">
        <f aca="false">-NA_monthly!BM17+NA_monthly!BL17</f>
        <v>0</v>
      </c>
      <c r="BN14" s="159" t="n">
        <f aca="false">-NA_monthly!BN17+NA_monthly!BM17</f>
        <v>0</v>
      </c>
      <c r="BO14" s="159" t="n">
        <f aca="false">-NA_monthly!BO17+NA_monthly!BN17</f>
        <v>0</v>
      </c>
      <c r="BP14" s="159" t="n">
        <f aca="false">-NA_monthly!BP17+NA_monthly!BO17</f>
        <v>0</v>
      </c>
      <c r="BQ14" s="159" t="n">
        <f aca="false">-NA_monthly!BQ17+NA_monthly!BP17</f>
        <v>0</v>
      </c>
      <c r="BR14" s="159" t="n">
        <f aca="false">-NA_monthly!BR17+NA_monthly!BQ17</f>
        <v>0</v>
      </c>
      <c r="BS14" s="159" t="n">
        <f aca="false">-NA_monthly!BS17+NA_monthly!BR17</f>
        <v>0</v>
      </c>
      <c r="BT14" s="159" t="n">
        <f aca="false">-NA_monthly!BT17+NA_monthly!BS17</f>
        <v>0</v>
      </c>
      <c r="BU14" s="159" t="n">
        <f aca="false">-NA_monthly!BU17+NA_monthly!BT17</f>
        <v>0</v>
      </c>
      <c r="BV14" s="159" t="n">
        <f aca="false">-NA_monthly!BV17+NA_monthly!BU17</f>
        <v>0</v>
      </c>
      <c r="BW14" s="159" t="n">
        <f aca="false">-NA_monthly!BW17+NA_monthly!BV17</f>
        <v>0</v>
      </c>
      <c r="BX14" s="159" t="n">
        <f aca="false">-NA_monthly!BX17+NA_monthly!BW17</f>
        <v>0</v>
      </c>
      <c r="BY14" s="159" t="n">
        <f aca="false">-NA_monthly!BY17+NA_monthly!BX17</f>
        <v>0</v>
      </c>
      <c r="BZ14" s="159" t="n">
        <f aca="false">-NA_monthly!BZ17+NA_monthly!BY17</f>
        <v>0</v>
      </c>
      <c r="CA14" s="159" t="n">
        <f aca="false">-NA_monthly!CA17+NA_monthly!BZ17</f>
        <v>0</v>
      </c>
      <c r="CB14" s="159" t="n">
        <f aca="false">-NA_monthly!CB17+NA_monthly!CA17</f>
        <v>0</v>
      </c>
      <c r="CC14" s="159" t="n">
        <f aca="false">-NA_monthly!CC17+NA_monthly!CB17</f>
        <v>0</v>
      </c>
      <c r="CD14" s="159" t="n">
        <f aca="false">-NA_monthly!CD17+NA_monthly!CC17</f>
        <v>0</v>
      </c>
      <c r="CE14" s="159" t="n">
        <f aca="false">-NA_monthly!CE17+NA_monthly!CD17</f>
        <v>0</v>
      </c>
      <c r="CF14" s="159" t="n">
        <f aca="false">-NA_monthly!CF17+NA_monthly!CE17</f>
        <v>0</v>
      </c>
      <c r="CG14" s="159" t="n">
        <f aca="false">-NA_monthly!CG17+NA_monthly!CF17</f>
        <v>0</v>
      </c>
      <c r="CH14" s="159" t="n">
        <f aca="false">-NA_monthly!CH17+NA_monthly!CG17</f>
        <v>0</v>
      </c>
      <c r="CI14" s="159" t="n">
        <f aca="false">-NA_monthly!CI17+NA_monthly!CH17</f>
        <v>0</v>
      </c>
      <c r="CJ14" s="159" t="n">
        <f aca="false">-NA_monthly!CJ17+NA_monthly!CI17</f>
        <v>0</v>
      </c>
      <c r="CK14" s="159" t="n">
        <f aca="false">-NA_monthly!CK17+NA_monthly!CJ17</f>
        <v>0</v>
      </c>
    </row>
    <row r="15" customFormat="false" ht="11.25" hidden="false" customHeight="true" outlineLevel="0" collapsed="false">
      <c r="C15" s="51" t="str">
        <f aca="false">"∆ "&amp;'Lead NA'!C58</f>
        <v>∆ Verbindlichkeiten aus LuL</v>
      </c>
      <c r="D15" s="51" t="str">
        <f aca="false">"∆ "&amp;'Lead NA'!D58</f>
        <v>∆ Trade payables</v>
      </c>
      <c r="E15" s="137"/>
      <c r="F15" s="137"/>
      <c r="G15" s="159" t="n">
        <f aca="false">-NA_monthly!G18+NA_monthly!F18</f>
        <v>0</v>
      </c>
      <c r="H15" s="159" t="n">
        <f aca="false">-NA_monthly!H18+NA_monthly!G18</f>
        <v>0</v>
      </c>
      <c r="I15" s="159" t="n">
        <f aca="false">-NA_monthly!I18+NA_monthly!H18</f>
        <v>0</v>
      </c>
      <c r="J15" s="159" t="n">
        <f aca="false">-NA_monthly!J18+NA_monthly!I18</f>
        <v>0</v>
      </c>
      <c r="K15" s="159" t="n">
        <f aca="false">-NA_monthly!K18+NA_monthly!J18</f>
        <v>0</v>
      </c>
      <c r="L15" s="159" t="n">
        <f aca="false">-NA_monthly!L18+NA_monthly!K18</f>
        <v>0</v>
      </c>
      <c r="M15" s="159" t="n">
        <f aca="false">-NA_monthly!M18+NA_monthly!L18</f>
        <v>0</v>
      </c>
      <c r="N15" s="159" t="n">
        <f aca="false">-NA_monthly!N18+NA_monthly!M18</f>
        <v>0</v>
      </c>
      <c r="O15" s="159" t="n">
        <f aca="false">-NA_monthly!O18+NA_monthly!N18</f>
        <v>0</v>
      </c>
      <c r="P15" s="159" t="n">
        <f aca="false">-NA_monthly!P18+NA_monthly!O18</f>
        <v>0</v>
      </c>
      <c r="Q15" s="159" t="n">
        <f aca="false">-NA_monthly!Q18+NA_monthly!P18</f>
        <v>0</v>
      </c>
      <c r="R15" s="159" t="n">
        <f aca="false">-NA_monthly!R18+NA_monthly!Q18</f>
        <v>0</v>
      </c>
      <c r="S15" s="159" t="n">
        <f aca="false">-NA_monthly!S18+NA_monthly!R18</f>
        <v>0</v>
      </c>
      <c r="T15" s="159" t="n">
        <f aca="false">-NA_monthly!T18+NA_monthly!S18</f>
        <v>0</v>
      </c>
      <c r="U15" s="159" t="n">
        <f aca="false">-NA_monthly!U18+NA_monthly!T18</f>
        <v>0</v>
      </c>
      <c r="V15" s="159" t="n">
        <f aca="false">-NA_monthly!V18+NA_monthly!U18</f>
        <v>0</v>
      </c>
      <c r="W15" s="159" t="n">
        <f aca="false">-NA_monthly!W18+NA_monthly!V18</f>
        <v>0</v>
      </c>
      <c r="X15" s="159" t="n">
        <f aca="false">-NA_monthly!X18+NA_monthly!W18</f>
        <v>0</v>
      </c>
      <c r="Y15" s="159" t="n">
        <f aca="false">-NA_monthly!Y18+NA_monthly!X18</f>
        <v>0</v>
      </c>
      <c r="Z15" s="159" t="n">
        <f aca="false">-NA_monthly!Z18+NA_monthly!Y18</f>
        <v>0</v>
      </c>
      <c r="AA15" s="159" t="n">
        <f aca="false">-NA_monthly!AA18+NA_monthly!Z18</f>
        <v>0</v>
      </c>
      <c r="AB15" s="159" t="n">
        <f aca="false">-NA_monthly!AB18+NA_monthly!AA18</f>
        <v>0</v>
      </c>
      <c r="AC15" s="159" t="n">
        <f aca="false">-NA_monthly!AC18+NA_monthly!AB18</f>
        <v>0</v>
      </c>
      <c r="AD15" s="159" t="n">
        <f aca="false">-NA_monthly!AD18+NA_monthly!AC18</f>
        <v>0</v>
      </c>
      <c r="AE15" s="159" t="n">
        <f aca="false">-NA_monthly!AE18+NA_monthly!AD18</f>
        <v>0</v>
      </c>
      <c r="AF15" s="159" t="n">
        <f aca="false">-NA_monthly!AF18+NA_monthly!AE18</f>
        <v>0</v>
      </c>
      <c r="AG15" s="159" t="n">
        <f aca="false">-NA_monthly!AG18+NA_monthly!AF18</f>
        <v>0</v>
      </c>
      <c r="AH15" s="159" t="n">
        <f aca="false">-NA_monthly!AH18+NA_monthly!AG18</f>
        <v>0</v>
      </c>
      <c r="AI15" s="159" t="n">
        <f aca="false">-NA_monthly!AI18+NA_monthly!AH18</f>
        <v>0</v>
      </c>
      <c r="AJ15" s="159" t="n">
        <f aca="false">-NA_monthly!AJ18+NA_monthly!AI18</f>
        <v>0</v>
      </c>
      <c r="AK15" s="159" t="n">
        <f aca="false">-NA_monthly!AK18+NA_monthly!AJ18</f>
        <v>0</v>
      </c>
      <c r="AL15" s="159" t="n">
        <f aca="false">-NA_monthly!AL18+NA_monthly!AK18</f>
        <v>0</v>
      </c>
      <c r="AM15" s="159" t="n">
        <f aca="false">-NA_monthly!AM18+NA_monthly!AL18</f>
        <v>0</v>
      </c>
      <c r="AN15" s="159" t="n">
        <f aca="false">-NA_monthly!AN18+NA_monthly!AM18</f>
        <v>0</v>
      </c>
      <c r="AO15" s="159" t="n">
        <f aca="false">-NA_monthly!AO18+NA_monthly!AN18</f>
        <v>0</v>
      </c>
      <c r="AP15" s="159" t="n">
        <f aca="false">-NA_monthly!AP18+NA_monthly!AO18</f>
        <v>0</v>
      </c>
      <c r="AQ15" s="159" t="n">
        <f aca="false">-NA_monthly!AQ18+NA_monthly!AP18</f>
        <v>0</v>
      </c>
      <c r="AR15" s="159" t="n">
        <f aca="false">-NA_monthly!AR18+NA_monthly!AQ18</f>
        <v>0</v>
      </c>
      <c r="AS15" s="159" t="n">
        <f aca="false">-NA_monthly!AS18+NA_monthly!AR18</f>
        <v>0</v>
      </c>
      <c r="AT15" s="159" t="n">
        <f aca="false">-NA_monthly!AT18+NA_monthly!AS18</f>
        <v>0</v>
      </c>
      <c r="AU15" s="159" t="n">
        <f aca="false">-NA_monthly!AU18+NA_monthly!AT18</f>
        <v>0</v>
      </c>
      <c r="AV15" s="159" t="n">
        <f aca="false">-NA_monthly!AV18+NA_monthly!AU18</f>
        <v>0</v>
      </c>
      <c r="AW15" s="159" t="n">
        <f aca="false">-NA_monthly!AW18+NA_monthly!AV18</f>
        <v>0</v>
      </c>
      <c r="AX15" s="159" t="n">
        <f aca="false">-NA_monthly!AX18+NA_monthly!AW18</f>
        <v>0</v>
      </c>
      <c r="AY15" s="159" t="n">
        <f aca="false">-NA_monthly!AY18+NA_monthly!AX18</f>
        <v>0</v>
      </c>
      <c r="AZ15" s="159" t="n">
        <f aca="false">-NA_monthly!AZ18+NA_monthly!AY18</f>
        <v>0</v>
      </c>
      <c r="BA15" s="159" t="n">
        <f aca="false">-NA_monthly!BA18+NA_monthly!AZ18</f>
        <v>0</v>
      </c>
      <c r="BB15" s="159" t="n">
        <f aca="false">-NA_monthly!BB18+NA_monthly!BA18</f>
        <v>0</v>
      </c>
      <c r="BC15" s="159" t="n">
        <f aca="false">-NA_monthly!BC18+NA_monthly!BB18</f>
        <v>0</v>
      </c>
      <c r="BD15" s="159" t="n">
        <f aca="false">-NA_monthly!BD18+NA_monthly!BC18</f>
        <v>0</v>
      </c>
      <c r="BE15" s="159" t="n">
        <f aca="false">-NA_monthly!BE18+NA_monthly!BD18</f>
        <v>0</v>
      </c>
      <c r="BF15" s="159" t="n">
        <f aca="false">-NA_monthly!BF18+NA_monthly!BE18</f>
        <v>0</v>
      </c>
      <c r="BG15" s="159" t="n">
        <f aca="false">-NA_monthly!BG18+NA_monthly!BF18</f>
        <v>0</v>
      </c>
      <c r="BH15" s="159" t="n">
        <f aca="false">-NA_monthly!BH18+NA_monthly!BG18</f>
        <v>0</v>
      </c>
      <c r="BI15" s="159" t="n">
        <f aca="false">-NA_monthly!BI18+NA_monthly!BH18</f>
        <v>0</v>
      </c>
      <c r="BJ15" s="159" t="n">
        <f aca="false">-NA_monthly!BJ18+NA_monthly!BI18</f>
        <v>0</v>
      </c>
      <c r="BK15" s="159" t="n">
        <f aca="false">-NA_monthly!BK18+NA_monthly!BJ18</f>
        <v>0</v>
      </c>
      <c r="BL15" s="159" t="n">
        <f aca="false">-NA_monthly!BL18+NA_monthly!BK18</f>
        <v>0</v>
      </c>
      <c r="BM15" s="159" t="n">
        <f aca="false">-NA_monthly!BM18+NA_monthly!BL18</f>
        <v>0</v>
      </c>
      <c r="BN15" s="159" t="n">
        <f aca="false">-NA_monthly!BN18+NA_monthly!BM18</f>
        <v>0</v>
      </c>
      <c r="BO15" s="159" t="n">
        <f aca="false">-NA_monthly!BO18+NA_monthly!BN18</f>
        <v>0</v>
      </c>
      <c r="BP15" s="159" t="n">
        <f aca="false">-NA_monthly!BP18+NA_monthly!BO18</f>
        <v>0</v>
      </c>
      <c r="BQ15" s="159" t="n">
        <f aca="false">-NA_monthly!BQ18+NA_monthly!BP18</f>
        <v>0</v>
      </c>
      <c r="BR15" s="159" t="n">
        <f aca="false">-NA_monthly!BR18+NA_monthly!BQ18</f>
        <v>0</v>
      </c>
      <c r="BS15" s="159" t="n">
        <f aca="false">-NA_monthly!BS18+NA_monthly!BR18</f>
        <v>0</v>
      </c>
      <c r="BT15" s="159" t="n">
        <f aca="false">-NA_monthly!BT18+NA_monthly!BS18</f>
        <v>0</v>
      </c>
      <c r="BU15" s="159" t="n">
        <f aca="false">-NA_monthly!BU18+NA_monthly!BT18</f>
        <v>0</v>
      </c>
      <c r="BV15" s="159" t="n">
        <f aca="false">-NA_monthly!BV18+NA_monthly!BU18</f>
        <v>0</v>
      </c>
      <c r="BW15" s="159" t="n">
        <f aca="false">-NA_monthly!BW18+NA_monthly!BV18</f>
        <v>0</v>
      </c>
      <c r="BX15" s="159" t="n">
        <f aca="false">-NA_monthly!BX18+NA_monthly!BW18</f>
        <v>0</v>
      </c>
      <c r="BY15" s="159" t="n">
        <f aca="false">-NA_monthly!BY18+NA_monthly!BX18</f>
        <v>0</v>
      </c>
      <c r="BZ15" s="159" t="n">
        <f aca="false">-NA_monthly!BZ18+NA_monthly!BY18</f>
        <v>0</v>
      </c>
      <c r="CA15" s="159" t="n">
        <f aca="false">-NA_monthly!CA18+NA_monthly!BZ18</f>
        <v>0</v>
      </c>
      <c r="CB15" s="159" t="n">
        <f aca="false">-NA_monthly!CB18+NA_monthly!CA18</f>
        <v>0</v>
      </c>
      <c r="CC15" s="159" t="n">
        <f aca="false">-NA_monthly!CC18+NA_monthly!CB18</f>
        <v>0</v>
      </c>
      <c r="CD15" s="159" t="n">
        <f aca="false">-NA_monthly!CD18+NA_monthly!CC18</f>
        <v>0</v>
      </c>
      <c r="CE15" s="159" t="n">
        <f aca="false">-NA_monthly!CE18+NA_monthly!CD18</f>
        <v>0</v>
      </c>
      <c r="CF15" s="159" t="n">
        <f aca="false">-NA_monthly!CF18+NA_monthly!CE18</f>
        <v>0</v>
      </c>
      <c r="CG15" s="159" t="n">
        <f aca="false">-NA_monthly!CG18+NA_monthly!CF18</f>
        <v>0</v>
      </c>
      <c r="CH15" s="159" t="n">
        <f aca="false">-NA_monthly!CH18+NA_monthly!CG18</f>
        <v>0</v>
      </c>
      <c r="CI15" s="159" t="n">
        <f aca="false">-NA_monthly!CI18+NA_monthly!CH18</f>
        <v>0</v>
      </c>
      <c r="CJ15" s="159" t="n">
        <f aca="false">-NA_monthly!CJ18+NA_monthly!CI18</f>
        <v>0</v>
      </c>
      <c r="CK15" s="159" t="n">
        <f aca="false">-NA_monthly!CK18+NA_monthly!CJ18</f>
        <v>0</v>
      </c>
    </row>
    <row r="16" customFormat="false" ht="11.25" hidden="false" customHeight="true" outlineLevel="0" collapsed="false">
      <c r="C16" s="51" t="str">
        <f aca="false">"∆ "&amp;'Lead NA'!C67</f>
        <v>∆ Erhaltene Anzahlungen</v>
      </c>
      <c r="D16" s="51" t="str">
        <f aca="false">"∆ "&amp;'Lead NA'!D67</f>
        <v>∆ Advance payments received</v>
      </c>
      <c r="E16" s="137"/>
      <c r="F16" s="137"/>
      <c r="G16" s="159" t="n">
        <f aca="false">-NA_monthly!G19+NA_monthly!F19</f>
        <v>0</v>
      </c>
      <c r="H16" s="159" t="n">
        <f aca="false">-NA_monthly!H19+NA_monthly!G19</f>
        <v>0</v>
      </c>
      <c r="I16" s="159" t="n">
        <f aca="false">-NA_monthly!I19+NA_monthly!H19</f>
        <v>0</v>
      </c>
      <c r="J16" s="159" t="n">
        <f aca="false">-NA_monthly!J19+NA_monthly!I19</f>
        <v>0</v>
      </c>
      <c r="K16" s="159" t="n">
        <f aca="false">-NA_monthly!K19+NA_monthly!J19</f>
        <v>0</v>
      </c>
      <c r="L16" s="159" t="n">
        <f aca="false">-NA_monthly!L19+NA_monthly!K19</f>
        <v>0</v>
      </c>
      <c r="M16" s="159" t="n">
        <f aca="false">-NA_monthly!M19+NA_monthly!L19</f>
        <v>0</v>
      </c>
      <c r="N16" s="159" t="n">
        <f aca="false">-NA_monthly!N19+NA_monthly!M19</f>
        <v>0</v>
      </c>
      <c r="O16" s="159" t="n">
        <f aca="false">-NA_monthly!O19+NA_monthly!N19</f>
        <v>0</v>
      </c>
      <c r="P16" s="159" t="n">
        <f aca="false">-NA_monthly!P19+NA_monthly!O19</f>
        <v>0</v>
      </c>
      <c r="Q16" s="159" t="n">
        <f aca="false">-NA_monthly!Q19+NA_monthly!P19</f>
        <v>0</v>
      </c>
      <c r="R16" s="159" t="n">
        <f aca="false">-NA_monthly!R19+NA_monthly!Q19</f>
        <v>0</v>
      </c>
      <c r="S16" s="159" t="n">
        <f aca="false">-NA_monthly!S19+NA_monthly!R19</f>
        <v>0</v>
      </c>
      <c r="T16" s="159" t="n">
        <f aca="false">-NA_monthly!T19+NA_monthly!S19</f>
        <v>0</v>
      </c>
      <c r="U16" s="159" t="n">
        <f aca="false">-NA_monthly!U19+NA_monthly!T19</f>
        <v>0</v>
      </c>
      <c r="V16" s="159" t="n">
        <f aca="false">-NA_monthly!V19+NA_monthly!U19</f>
        <v>0</v>
      </c>
      <c r="W16" s="159" t="n">
        <f aca="false">-NA_monthly!W19+NA_monthly!V19</f>
        <v>0</v>
      </c>
      <c r="X16" s="159" t="n">
        <f aca="false">-NA_monthly!X19+NA_monthly!W19</f>
        <v>0</v>
      </c>
      <c r="Y16" s="159" t="n">
        <f aca="false">-NA_monthly!Y19+NA_monthly!X19</f>
        <v>0</v>
      </c>
      <c r="Z16" s="159" t="n">
        <f aca="false">-NA_monthly!Z19+NA_monthly!Y19</f>
        <v>0</v>
      </c>
      <c r="AA16" s="159" t="n">
        <f aca="false">-NA_monthly!AA19+NA_monthly!Z19</f>
        <v>0</v>
      </c>
      <c r="AB16" s="159" t="n">
        <f aca="false">-NA_monthly!AB19+NA_monthly!AA19</f>
        <v>0</v>
      </c>
      <c r="AC16" s="159" t="n">
        <f aca="false">-NA_monthly!AC19+NA_monthly!AB19</f>
        <v>0</v>
      </c>
      <c r="AD16" s="159" t="n">
        <f aca="false">-NA_monthly!AD19+NA_monthly!AC19</f>
        <v>0</v>
      </c>
      <c r="AE16" s="159" t="n">
        <f aca="false">-NA_monthly!AE19+NA_monthly!AD19</f>
        <v>0</v>
      </c>
      <c r="AF16" s="159" t="n">
        <f aca="false">-NA_monthly!AF19+NA_monthly!AE19</f>
        <v>0</v>
      </c>
      <c r="AG16" s="159" t="n">
        <f aca="false">-NA_monthly!AG19+NA_monthly!AF19</f>
        <v>0</v>
      </c>
      <c r="AH16" s="159" t="n">
        <f aca="false">-NA_monthly!AH19+NA_monthly!AG19</f>
        <v>0</v>
      </c>
      <c r="AI16" s="159" t="n">
        <f aca="false">-NA_monthly!AI19+NA_monthly!AH19</f>
        <v>0</v>
      </c>
      <c r="AJ16" s="159" t="n">
        <f aca="false">-NA_monthly!AJ19+NA_monthly!AI19</f>
        <v>0</v>
      </c>
      <c r="AK16" s="159" t="n">
        <f aca="false">-NA_monthly!AK19+NA_monthly!AJ19</f>
        <v>0</v>
      </c>
      <c r="AL16" s="159" t="n">
        <f aca="false">-NA_monthly!AL19+NA_monthly!AK19</f>
        <v>0</v>
      </c>
      <c r="AM16" s="159" t="n">
        <f aca="false">-NA_monthly!AM19+NA_monthly!AL19</f>
        <v>0</v>
      </c>
      <c r="AN16" s="159" t="n">
        <f aca="false">-NA_monthly!AN19+NA_monthly!AM19</f>
        <v>0</v>
      </c>
      <c r="AO16" s="159" t="n">
        <f aca="false">-NA_monthly!AO19+NA_monthly!AN19</f>
        <v>0</v>
      </c>
      <c r="AP16" s="159" t="n">
        <f aca="false">-NA_monthly!AP19+NA_monthly!AO19</f>
        <v>0</v>
      </c>
      <c r="AQ16" s="159" t="n">
        <f aca="false">-NA_monthly!AQ19+NA_monthly!AP19</f>
        <v>0</v>
      </c>
      <c r="AR16" s="159" t="n">
        <f aca="false">-NA_monthly!AR19+NA_monthly!AQ19</f>
        <v>0</v>
      </c>
      <c r="AS16" s="159" t="n">
        <f aca="false">-NA_monthly!AS19+NA_monthly!AR19</f>
        <v>0</v>
      </c>
      <c r="AT16" s="159" t="n">
        <f aca="false">-NA_monthly!AT19+NA_monthly!AS19</f>
        <v>0</v>
      </c>
      <c r="AU16" s="159" t="n">
        <f aca="false">-NA_monthly!AU19+NA_monthly!AT19</f>
        <v>0</v>
      </c>
      <c r="AV16" s="159" t="n">
        <f aca="false">-NA_monthly!AV19+NA_monthly!AU19</f>
        <v>0</v>
      </c>
      <c r="AW16" s="159" t="n">
        <f aca="false">-NA_monthly!AW19+NA_monthly!AV19</f>
        <v>0</v>
      </c>
      <c r="AX16" s="159" t="n">
        <f aca="false">-NA_monthly!AX19+NA_monthly!AW19</f>
        <v>0</v>
      </c>
      <c r="AY16" s="159" t="n">
        <f aca="false">-NA_monthly!AY19+NA_monthly!AX19</f>
        <v>0</v>
      </c>
      <c r="AZ16" s="159" t="n">
        <f aca="false">-NA_monthly!AZ19+NA_monthly!AY19</f>
        <v>0</v>
      </c>
      <c r="BA16" s="159" t="n">
        <f aca="false">-NA_monthly!BA19+NA_monthly!AZ19</f>
        <v>0</v>
      </c>
      <c r="BB16" s="159" t="n">
        <f aca="false">-NA_monthly!BB19+NA_monthly!BA19</f>
        <v>0</v>
      </c>
      <c r="BC16" s="159" t="n">
        <f aca="false">-NA_monthly!BC19+NA_monthly!BB19</f>
        <v>0</v>
      </c>
      <c r="BD16" s="159" t="n">
        <f aca="false">-NA_monthly!BD19+NA_monthly!BC19</f>
        <v>0</v>
      </c>
      <c r="BE16" s="159" t="n">
        <f aca="false">-NA_monthly!BE19+NA_monthly!BD19</f>
        <v>0</v>
      </c>
      <c r="BF16" s="159" t="n">
        <f aca="false">-NA_monthly!BF19+NA_monthly!BE19</f>
        <v>0</v>
      </c>
      <c r="BG16" s="159" t="n">
        <f aca="false">-NA_monthly!BG19+NA_monthly!BF19</f>
        <v>0</v>
      </c>
      <c r="BH16" s="159" t="n">
        <f aca="false">-NA_monthly!BH19+NA_monthly!BG19</f>
        <v>0</v>
      </c>
      <c r="BI16" s="159" t="n">
        <f aca="false">-NA_monthly!BI19+NA_monthly!BH19</f>
        <v>0</v>
      </c>
      <c r="BJ16" s="159" t="n">
        <f aca="false">-NA_monthly!BJ19+NA_monthly!BI19</f>
        <v>0</v>
      </c>
      <c r="BK16" s="159" t="n">
        <f aca="false">-NA_monthly!BK19+NA_monthly!BJ19</f>
        <v>0</v>
      </c>
      <c r="BL16" s="159" t="n">
        <f aca="false">-NA_monthly!BL19+NA_monthly!BK19</f>
        <v>0</v>
      </c>
      <c r="BM16" s="159" t="n">
        <f aca="false">-NA_monthly!BM19+NA_monthly!BL19</f>
        <v>0</v>
      </c>
      <c r="BN16" s="159" t="n">
        <f aca="false">-NA_monthly!BN19+NA_monthly!BM19</f>
        <v>0</v>
      </c>
      <c r="BO16" s="159" t="n">
        <f aca="false">-NA_monthly!BO19+NA_monthly!BN19</f>
        <v>0</v>
      </c>
      <c r="BP16" s="159" t="n">
        <f aca="false">-NA_monthly!BP19+NA_monthly!BO19</f>
        <v>0</v>
      </c>
      <c r="BQ16" s="159" t="n">
        <f aca="false">-NA_monthly!BQ19+NA_monthly!BP19</f>
        <v>0</v>
      </c>
      <c r="BR16" s="159" t="n">
        <f aca="false">-NA_monthly!BR19+NA_monthly!BQ19</f>
        <v>0</v>
      </c>
      <c r="BS16" s="159" t="n">
        <f aca="false">-NA_monthly!BS19+NA_monthly!BR19</f>
        <v>0</v>
      </c>
      <c r="BT16" s="159" t="n">
        <f aca="false">-NA_monthly!BT19+NA_monthly!BS19</f>
        <v>0</v>
      </c>
      <c r="BU16" s="159" t="n">
        <f aca="false">-NA_monthly!BU19+NA_monthly!BT19</f>
        <v>0</v>
      </c>
      <c r="BV16" s="159" t="n">
        <f aca="false">-NA_monthly!BV19+NA_monthly!BU19</f>
        <v>0</v>
      </c>
      <c r="BW16" s="159" t="n">
        <f aca="false">-NA_monthly!BW19+NA_monthly!BV19</f>
        <v>0</v>
      </c>
      <c r="BX16" s="159" t="n">
        <f aca="false">-NA_monthly!BX19+NA_monthly!BW19</f>
        <v>0</v>
      </c>
      <c r="BY16" s="159" t="n">
        <f aca="false">-NA_monthly!BY19+NA_monthly!BX19</f>
        <v>0</v>
      </c>
      <c r="BZ16" s="159" t="n">
        <f aca="false">-NA_monthly!BZ19+NA_monthly!BY19</f>
        <v>0</v>
      </c>
      <c r="CA16" s="159" t="n">
        <f aca="false">-NA_monthly!CA19+NA_monthly!BZ19</f>
        <v>0</v>
      </c>
      <c r="CB16" s="159" t="n">
        <f aca="false">-NA_monthly!CB19+NA_monthly!CA19</f>
        <v>0</v>
      </c>
      <c r="CC16" s="159" t="n">
        <f aca="false">-NA_monthly!CC19+NA_monthly!CB19</f>
        <v>0</v>
      </c>
      <c r="CD16" s="159" t="n">
        <f aca="false">-NA_monthly!CD19+NA_monthly!CC19</f>
        <v>0</v>
      </c>
      <c r="CE16" s="159" t="n">
        <f aca="false">-NA_monthly!CE19+NA_monthly!CD19</f>
        <v>0</v>
      </c>
      <c r="CF16" s="159" t="n">
        <f aca="false">-NA_monthly!CF19+NA_monthly!CE19</f>
        <v>0</v>
      </c>
      <c r="CG16" s="159" t="n">
        <f aca="false">-NA_monthly!CG19+NA_monthly!CF19</f>
        <v>0</v>
      </c>
      <c r="CH16" s="159" t="n">
        <f aca="false">-NA_monthly!CH19+NA_monthly!CG19</f>
        <v>0</v>
      </c>
      <c r="CI16" s="159" t="n">
        <f aca="false">-NA_monthly!CI19+NA_monthly!CH19</f>
        <v>0</v>
      </c>
      <c r="CJ16" s="159" t="n">
        <f aca="false">-NA_monthly!CJ19+NA_monthly!CI19</f>
        <v>0</v>
      </c>
      <c r="CK16" s="159" t="n">
        <f aca="false">-NA_monthly!CK19+NA_monthly!CJ19</f>
        <v>0</v>
      </c>
    </row>
    <row r="17" customFormat="false" ht="11.25" hidden="false" customHeight="true" outlineLevel="2" collapsed="false">
      <c r="C17" s="51" t="str">
        <f aca="false">"∆ "&amp;'Lead NA'!C76</f>
        <v>∆ Dummy 1</v>
      </c>
      <c r="D17" s="51" t="str">
        <f aca="false">"∆ "&amp;'Lead NA'!D76</f>
        <v>∆ Dummy 1</v>
      </c>
      <c r="E17" s="137"/>
      <c r="F17" s="137"/>
      <c r="G17" s="159" t="n">
        <f aca="false">-NA_monthly!G20+NA_monthly!F20</f>
        <v>0</v>
      </c>
      <c r="H17" s="159" t="n">
        <f aca="false">-NA_monthly!H20+NA_monthly!G20</f>
        <v>0</v>
      </c>
      <c r="I17" s="159" t="n">
        <f aca="false">-NA_monthly!I20+NA_monthly!H20</f>
        <v>0</v>
      </c>
      <c r="J17" s="159" t="n">
        <f aca="false">-NA_monthly!J20+NA_monthly!I20</f>
        <v>0</v>
      </c>
      <c r="K17" s="159" t="n">
        <f aca="false">-NA_monthly!K20+NA_monthly!J20</f>
        <v>0</v>
      </c>
      <c r="L17" s="159" t="n">
        <f aca="false">-NA_monthly!L20+NA_monthly!K20</f>
        <v>0</v>
      </c>
      <c r="M17" s="159" t="n">
        <f aca="false">-NA_monthly!M20+NA_monthly!L20</f>
        <v>0</v>
      </c>
      <c r="N17" s="159" t="n">
        <f aca="false">-NA_monthly!N20+NA_monthly!M20</f>
        <v>0</v>
      </c>
      <c r="O17" s="159" t="n">
        <f aca="false">-NA_monthly!O20+NA_monthly!N20</f>
        <v>0</v>
      </c>
      <c r="P17" s="159" t="n">
        <f aca="false">-NA_monthly!P20+NA_monthly!O20</f>
        <v>0</v>
      </c>
      <c r="Q17" s="159" t="n">
        <f aca="false">-NA_monthly!Q20+NA_monthly!P20</f>
        <v>0</v>
      </c>
      <c r="R17" s="159" t="n">
        <f aca="false">-NA_monthly!R20+NA_monthly!Q20</f>
        <v>0</v>
      </c>
      <c r="S17" s="159" t="n">
        <f aca="false">-NA_monthly!S20+NA_monthly!R20</f>
        <v>0</v>
      </c>
      <c r="T17" s="159" t="n">
        <f aca="false">-NA_monthly!T20+NA_monthly!S20</f>
        <v>0</v>
      </c>
      <c r="U17" s="159" t="n">
        <f aca="false">-NA_monthly!U20+NA_monthly!T20</f>
        <v>0</v>
      </c>
      <c r="V17" s="159" t="n">
        <f aca="false">-NA_monthly!V20+NA_monthly!U20</f>
        <v>0</v>
      </c>
      <c r="W17" s="159" t="n">
        <f aca="false">-NA_monthly!W20+NA_monthly!V20</f>
        <v>0</v>
      </c>
      <c r="X17" s="159" t="n">
        <f aca="false">-NA_monthly!X20+NA_monthly!W20</f>
        <v>0</v>
      </c>
      <c r="Y17" s="159" t="n">
        <f aca="false">-NA_monthly!Y20+NA_monthly!X20</f>
        <v>0</v>
      </c>
      <c r="Z17" s="159" t="n">
        <f aca="false">-NA_monthly!Z20+NA_monthly!Y20</f>
        <v>0</v>
      </c>
      <c r="AA17" s="159" t="n">
        <f aca="false">-NA_monthly!AA20+NA_monthly!Z20</f>
        <v>0</v>
      </c>
      <c r="AB17" s="159" t="n">
        <f aca="false">-NA_monthly!AB20+NA_monthly!AA20</f>
        <v>0</v>
      </c>
      <c r="AC17" s="159" t="n">
        <f aca="false">-NA_monthly!AC20+NA_monthly!AB20</f>
        <v>0</v>
      </c>
      <c r="AD17" s="159" t="n">
        <f aca="false">-NA_monthly!AD20+NA_monthly!AC20</f>
        <v>0</v>
      </c>
      <c r="AE17" s="159" t="n">
        <f aca="false">-NA_monthly!AE20+NA_monthly!AD20</f>
        <v>0</v>
      </c>
      <c r="AF17" s="159" t="n">
        <f aca="false">-NA_monthly!AF20+NA_monthly!AE20</f>
        <v>0</v>
      </c>
      <c r="AG17" s="159" t="n">
        <f aca="false">-NA_monthly!AG20+NA_monthly!AF20</f>
        <v>0</v>
      </c>
      <c r="AH17" s="159" t="n">
        <f aca="false">-NA_monthly!AH20+NA_monthly!AG20</f>
        <v>0</v>
      </c>
      <c r="AI17" s="159" t="n">
        <f aca="false">-NA_monthly!AI20+NA_monthly!AH20</f>
        <v>0</v>
      </c>
      <c r="AJ17" s="159" t="n">
        <f aca="false">-NA_monthly!AJ20+NA_monthly!AI20</f>
        <v>0</v>
      </c>
      <c r="AK17" s="159" t="n">
        <f aca="false">-NA_monthly!AK20+NA_monthly!AJ20</f>
        <v>0</v>
      </c>
      <c r="AL17" s="159" t="n">
        <f aca="false">-NA_monthly!AL20+NA_monthly!AK20</f>
        <v>0</v>
      </c>
      <c r="AM17" s="159" t="n">
        <f aca="false">-NA_monthly!AM20+NA_monthly!AL20</f>
        <v>0</v>
      </c>
      <c r="AN17" s="159" t="n">
        <f aca="false">-NA_monthly!AN20+NA_monthly!AM20</f>
        <v>0</v>
      </c>
      <c r="AO17" s="159" t="n">
        <f aca="false">-NA_monthly!AO20+NA_monthly!AN20</f>
        <v>0</v>
      </c>
      <c r="AP17" s="159" t="n">
        <f aca="false">-NA_monthly!AP20+NA_monthly!AO20</f>
        <v>0</v>
      </c>
      <c r="AQ17" s="159" t="n">
        <f aca="false">-NA_monthly!AQ20+NA_monthly!AP20</f>
        <v>0</v>
      </c>
      <c r="AR17" s="159" t="n">
        <f aca="false">-NA_monthly!AR20+NA_monthly!AQ20</f>
        <v>0</v>
      </c>
      <c r="AS17" s="159" t="n">
        <f aca="false">-NA_monthly!AS20+NA_monthly!AR20</f>
        <v>0</v>
      </c>
      <c r="AT17" s="159" t="n">
        <f aca="false">-NA_monthly!AT20+NA_monthly!AS20</f>
        <v>0</v>
      </c>
      <c r="AU17" s="159" t="n">
        <f aca="false">-NA_monthly!AU20+NA_monthly!AT20</f>
        <v>0</v>
      </c>
      <c r="AV17" s="159" t="n">
        <f aca="false">-NA_monthly!AV20+NA_monthly!AU20</f>
        <v>0</v>
      </c>
      <c r="AW17" s="159" t="n">
        <f aca="false">-NA_monthly!AW20+NA_monthly!AV20</f>
        <v>0</v>
      </c>
      <c r="AX17" s="159" t="n">
        <f aca="false">-NA_monthly!AX20+NA_monthly!AW20</f>
        <v>0</v>
      </c>
      <c r="AY17" s="159" t="n">
        <f aca="false">-NA_monthly!AY20+NA_monthly!AX20</f>
        <v>0</v>
      </c>
      <c r="AZ17" s="159" t="n">
        <f aca="false">-NA_monthly!AZ20+NA_monthly!AY20</f>
        <v>0</v>
      </c>
      <c r="BA17" s="159" t="n">
        <f aca="false">-NA_monthly!BA20+NA_monthly!AZ20</f>
        <v>0</v>
      </c>
      <c r="BB17" s="159" t="n">
        <f aca="false">-NA_monthly!BB20+NA_monthly!BA20</f>
        <v>0</v>
      </c>
      <c r="BC17" s="159" t="n">
        <f aca="false">-NA_monthly!BC20+NA_monthly!BB20</f>
        <v>0</v>
      </c>
      <c r="BD17" s="159" t="n">
        <f aca="false">-NA_monthly!BD20+NA_monthly!BC20</f>
        <v>0</v>
      </c>
      <c r="BE17" s="159" t="n">
        <f aca="false">-NA_monthly!BE20+NA_monthly!BD20</f>
        <v>0</v>
      </c>
      <c r="BF17" s="159" t="n">
        <f aca="false">-NA_monthly!BF20+NA_monthly!BE20</f>
        <v>0</v>
      </c>
      <c r="BG17" s="159" t="n">
        <f aca="false">-NA_monthly!BG20+NA_monthly!BF20</f>
        <v>0</v>
      </c>
      <c r="BH17" s="159" t="n">
        <f aca="false">-NA_monthly!BH20+NA_monthly!BG20</f>
        <v>0</v>
      </c>
      <c r="BI17" s="159" t="n">
        <f aca="false">-NA_monthly!BI20+NA_monthly!BH20</f>
        <v>0</v>
      </c>
      <c r="BJ17" s="159" t="n">
        <f aca="false">-NA_monthly!BJ20+NA_monthly!BI20</f>
        <v>0</v>
      </c>
      <c r="BK17" s="159" t="n">
        <f aca="false">-NA_monthly!BK20+NA_monthly!BJ20</f>
        <v>0</v>
      </c>
      <c r="BL17" s="159" t="n">
        <f aca="false">-NA_monthly!BL20+NA_monthly!BK20</f>
        <v>0</v>
      </c>
      <c r="BM17" s="159" t="n">
        <f aca="false">-NA_monthly!BM20+NA_monthly!BL20</f>
        <v>0</v>
      </c>
      <c r="BN17" s="159" t="n">
        <f aca="false">-NA_monthly!BN20+NA_monthly!BM20</f>
        <v>0</v>
      </c>
      <c r="BO17" s="159" t="n">
        <f aca="false">-NA_monthly!BO20+NA_monthly!BN20</f>
        <v>0</v>
      </c>
      <c r="BP17" s="159" t="n">
        <f aca="false">-NA_monthly!BP20+NA_monthly!BO20</f>
        <v>0</v>
      </c>
      <c r="BQ17" s="159" t="n">
        <f aca="false">-NA_monthly!BQ20+NA_monthly!BP20</f>
        <v>0</v>
      </c>
      <c r="BR17" s="159" t="n">
        <f aca="false">-NA_monthly!BR20+NA_monthly!BQ20</f>
        <v>0</v>
      </c>
      <c r="BS17" s="159" t="n">
        <f aca="false">-NA_monthly!BS20+NA_monthly!BR20</f>
        <v>0</v>
      </c>
      <c r="BT17" s="159" t="n">
        <f aca="false">-NA_monthly!BT20+NA_monthly!BS20</f>
        <v>0</v>
      </c>
      <c r="BU17" s="159" t="n">
        <f aca="false">-NA_monthly!BU20+NA_monthly!BT20</f>
        <v>0</v>
      </c>
      <c r="BV17" s="159" t="n">
        <f aca="false">-NA_monthly!BV20+NA_monthly!BU20</f>
        <v>0</v>
      </c>
      <c r="BW17" s="159" t="n">
        <f aca="false">-NA_monthly!BW20+NA_monthly!BV20</f>
        <v>0</v>
      </c>
      <c r="BX17" s="159" t="n">
        <f aca="false">-NA_monthly!BX20+NA_monthly!BW20</f>
        <v>0</v>
      </c>
      <c r="BY17" s="159" t="n">
        <f aca="false">-NA_monthly!BY20+NA_monthly!BX20</f>
        <v>0</v>
      </c>
      <c r="BZ17" s="159" t="n">
        <f aca="false">-NA_monthly!BZ20+NA_monthly!BY20</f>
        <v>0</v>
      </c>
      <c r="CA17" s="159" t="n">
        <f aca="false">-NA_monthly!CA20+NA_monthly!BZ20</f>
        <v>0</v>
      </c>
      <c r="CB17" s="159" t="n">
        <f aca="false">-NA_monthly!CB20+NA_monthly!CA20</f>
        <v>0</v>
      </c>
      <c r="CC17" s="159" t="n">
        <f aca="false">-NA_monthly!CC20+NA_monthly!CB20</f>
        <v>0</v>
      </c>
      <c r="CD17" s="159" t="n">
        <f aca="false">-NA_monthly!CD20+NA_monthly!CC20</f>
        <v>0</v>
      </c>
      <c r="CE17" s="159" t="n">
        <f aca="false">-NA_monthly!CE20+NA_monthly!CD20</f>
        <v>0</v>
      </c>
      <c r="CF17" s="159" t="n">
        <f aca="false">-NA_monthly!CF20+NA_monthly!CE20</f>
        <v>0</v>
      </c>
      <c r="CG17" s="159" t="n">
        <f aca="false">-NA_monthly!CG20+NA_monthly!CF20</f>
        <v>0</v>
      </c>
      <c r="CH17" s="159" t="n">
        <f aca="false">-NA_monthly!CH20+NA_monthly!CG20</f>
        <v>0</v>
      </c>
      <c r="CI17" s="159" t="n">
        <f aca="false">-NA_monthly!CI20+NA_monthly!CH20</f>
        <v>0</v>
      </c>
      <c r="CJ17" s="159" t="n">
        <f aca="false">-NA_monthly!CJ20+NA_monthly!CI20</f>
        <v>0</v>
      </c>
      <c r="CK17" s="159" t="n">
        <f aca="false">-NA_monthly!CK20+NA_monthly!CJ20</f>
        <v>0</v>
      </c>
    </row>
    <row r="18" customFormat="false" ht="11.25" hidden="false" customHeight="true" outlineLevel="2" collapsed="false">
      <c r="C18" s="51" t="str">
        <f aca="false">"∆ "&amp;'Lead NA'!C77</f>
        <v>∆ Dummy 2</v>
      </c>
      <c r="D18" s="51" t="str">
        <f aca="false">"∆ "&amp;'Lead NA'!D77</f>
        <v>∆ Dummy 2</v>
      </c>
      <c r="E18" s="137"/>
      <c r="F18" s="137"/>
      <c r="G18" s="159" t="n">
        <f aca="false">-NA_monthly!G21+NA_monthly!F21</f>
        <v>0</v>
      </c>
      <c r="H18" s="159" t="n">
        <f aca="false">-NA_monthly!H21+NA_monthly!G21</f>
        <v>0</v>
      </c>
      <c r="I18" s="159" t="n">
        <f aca="false">-NA_monthly!I21+NA_monthly!H21</f>
        <v>0</v>
      </c>
      <c r="J18" s="159" t="n">
        <f aca="false">-NA_monthly!J21+NA_monthly!I21</f>
        <v>0</v>
      </c>
      <c r="K18" s="159" t="n">
        <f aca="false">-NA_monthly!K21+NA_monthly!J21</f>
        <v>0</v>
      </c>
      <c r="L18" s="159" t="n">
        <f aca="false">-NA_monthly!L21+NA_monthly!K21</f>
        <v>0</v>
      </c>
      <c r="M18" s="159" t="n">
        <f aca="false">-NA_monthly!M21+NA_monthly!L21</f>
        <v>0</v>
      </c>
      <c r="N18" s="159" t="n">
        <f aca="false">-NA_monthly!N21+NA_monthly!M21</f>
        <v>0</v>
      </c>
      <c r="O18" s="159" t="n">
        <f aca="false">-NA_monthly!O21+NA_monthly!N21</f>
        <v>0</v>
      </c>
      <c r="P18" s="159" t="n">
        <f aca="false">-NA_monthly!P21+NA_monthly!O21</f>
        <v>0</v>
      </c>
      <c r="Q18" s="159" t="n">
        <f aca="false">-NA_monthly!Q21+NA_monthly!P21</f>
        <v>0</v>
      </c>
      <c r="R18" s="159" t="n">
        <f aca="false">-NA_monthly!R21+NA_monthly!Q21</f>
        <v>0</v>
      </c>
      <c r="S18" s="159" t="n">
        <f aca="false">-NA_monthly!S21+NA_monthly!R21</f>
        <v>0</v>
      </c>
      <c r="T18" s="159" t="n">
        <f aca="false">-NA_monthly!T21+NA_monthly!S21</f>
        <v>0</v>
      </c>
      <c r="U18" s="159" t="n">
        <f aca="false">-NA_monthly!U21+NA_monthly!T21</f>
        <v>0</v>
      </c>
      <c r="V18" s="159" t="n">
        <f aca="false">-NA_monthly!V21+NA_monthly!U21</f>
        <v>0</v>
      </c>
      <c r="W18" s="159" t="n">
        <f aca="false">-NA_monthly!W21+NA_monthly!V21</f>
        <v>0</v>
      </c>
      <c r="X18" s="159" t="n">
        <f aca="false">-NA_monthly!X21+NA_monthly!W21</f>
        <v>0</v>
      </c>
      <c r="Y18" s="159" t="n">
        <f aca="false">-NA_monthly!Y21+NA_monthly!X21</f>
        <v>0</v>
      </c>
      <c r="Z18" s="159" t="n">
        <f aca="false">-NA_monthly!Z21+NA_monthly!Y21</f>
        <v>0</v>
      </c>
      <c r="AA18" s="159" t="n">
        <f aca="false">-NA_monthly!AA21+NA_monthly!Z21</f>
        <v>0</v>
      </c>
      <c r="AB18" s="159" t="n">
        <f aca="false">-NA_monthly!AB21+NA_monthly!AA21</f>
        <v>0</v>
      </c>
      <c r="AC18" s="159" t="n">
        <f aca="false">-NA_monthly!AC21+NA_monthly!AB21</f>
        <v>0</v>
      </c>
      <c r="AD18" s="159" t="n">
        <f aca="false">-NA_monthly!AD21+NA_monthly!AC21</f>
        <v>0</v>
      </c>
      <c r="AE18" s="159" t="n">
        <f aca="false">-NA_monthly!AE21+NA_monthly!AD21</f>
        <v>0</v>
      </c>
      <c r="AF18" s="159" t="n">
        <f aca="false">-NA_monthly!AF21+NA_monthly!AE21</f>
        <v>0</v>
      </c>
      <c r="AG18" s="159" t="n">
        <f aca="false">-NA_monthly!AG21+NA_monthly!AF21</f>
        <v>0</v>
      </c>
      <c r="AH18" s="159" t="n">
        <f aca="false">-NA_monthly!AH21+NA_monthly!AG21</f>
        <v>0</v>
      </c>
      <c r="AI18" s="159" t="n">
        <f aca="false">-NA_monthly!AI21+NA_monthly!AH21</f>
        <v>0</v>
      </c>
      <c r="AJ18" s="159" t="n">
        <f aca="false">-NA_monthly!AJ21+NA_monthly!AI21</f>
        <v>0</v>
      </c>
      <c r="AK18" s="159" t="n">
        <f aca="false">-NA_monthly!AK21+NA_monthly!AJ21</f>
        <v>0</v>
      </c>
      <c r="AL18" s="159" t="n">
        <f aca="false">-NA_monthly!AL21+NA_monthly!AK21</f>
        <v>0</v>
      </c>
      <c r="AM18" s="159" t="n">
        <f aca="false">-NA_monthly!AM21+NA_monthly!AL21</f>
        <v>0</v>
      </c>
      <c r="AN18" s="159" t="n">
        <f aca="false">-NA_monthly!AN21+NA_monthly!AM21</f>
        <v>0</v>
      </c>
      <c r="AO18" s="159" t="n">
        <f aca="false">-NA_monthly!AO21+NA_monthly!AN21</f>
        <v>0</v>
      </c>
      <c r="AP18" s="159" t="n">
        <f aca="false">-NA_monthly!AP21+NA_monthly!AO21</f>
        <v>0</v>
      </c>
      <c r="AQ18" s="159" t="n">
        <f aca="false">-NA_monthly!AQ21+NA_monthly!AP21</f>
        <v>0</v>
      </c>
      <c r="AR18" s="159" t="n">
        <f aca="false">-NA_monthly!AR21+NA_monthly!AQ21</f>
        <v>0</v>
      </c>
      <c r="AS18" s="159" t="n">
        <f aca="false">-NA_monthly!AS21+NA_monthly!AR21</f>
        <v>0</v>
      </c>
      <c r="AT18" s="159" t="n">
        <f aca="false">-NA_monthly!AT21+NA_monthly!AS21</f>
        <v>0</v>
      </c>
      <c r="AU18" s="159" t="n">
        <f aca="false">-NA_monthly!AU21+NA_monthly!AT21</f>
        <v>0</v>
      </c>
      <c r="AV18" s="159" t="n">
        <f aca="false">-NA_monthly!AV21+NA_monthly!AU21</f>
        <v>0</v>
      </c>
      <c r="AW18" s="159" t="n">
        <f aca="false">-NA_monthly!AW21+NA_monthly!AV21</f>
        <v>0</v>
      </c>
      <c r="AX18" s="159" t="n">
        <f aca="false">-NA_monthly!AX21+NA_monthly!AW21</f>
        <v>0</v>
      </c>
      <c r="AY18" s="159" t="n">
        <f aca="false">-NA_monthly!AY21+NA_monthly!AX21</f>
        <v>0</v>
      </c>
      <c r="AZ18" s="159" t="n">
        <f aca="false">-NA_monthly!AZ21+NA_monthly!AY21</f>
        <v>0</v>
      </c>
      <c r="BA18" s="159" t="n">
        <f aca="false">-NA_monthly!BA21+NA_monthly!AZ21</f>
        <v>0</v>
      </c>
      <c r="BB18" s="159" t="n">
        <f aca="false">-NA_monthly!BB21+NA_monthly!BA21</f>
        <v>0</v>
      </c>
      <c r="BC18" s="159" t="n">
        <f aca="false">-NA_monthly!BC21+NA_monthly!BB21</f>
        <v>0</v>
      </c>
      <c r="BD18" s="159" t="n">
        <f aca="false">-NA_monthly!BD21+NA_monthly!BC21</f>
        <v>0</v>
      </c>
      <c r="BE18" s="159" t="n">
        <f aca="false">-NA_monthly!BE21+NA_monthly!BD21</f>
        <v>0</v>
      </c>
      <c r="BF18" s="159" t="n">
        <f aca="false">-NA_monthly!BF21+NA_monthly!BE21</f>
        <v>0</v>
      </c>
      <c r="BG18" s="159" t="n">
        <f aca="false">-NA_monthly!BG21+NA_monthly!BF21</f>
        <v>0</v>
      </c>
      <c r="BH18" s="159" t="n">
        <f aca="false">-NA_monthly!BH21+NA_monthly!BG21</f>
        <v>0</v>
      </c>
      <c r="BI18" s="159" t="n">
        <f aca="false">-NA_monthly!BI21+NA_monthly!BH21</f>
        <v>0</v>
      </c>
      <c r="BJ18" s="159" t="n">
        <f aca="false">-NA_monthly!BJ21+NA_monthly!BI21</f>
        <v>0</v>
      </c>
      <c r="BK18" s="159" t="n">
        <f aca="false">-NA_monthly!BK21+NA_monthly!BJ21</f>
        <v>0</v>
      </c>
      <c r="BL18" s="159" t="n">
        <f aca="false">-NA_monthly!BL21+NA_monthly!BK21</f>
        <v>0</v>
      </c>
      <c r="BM18" s="159" t="n">
        <f aca="false">-NA_monthly!BM21+NA_monthly!BL21</f>
        <v>0</v>
      </c>
      <c r="BN18" s="159" t="n">
        <f aca="false">-NA_monthly!BN21+NA_monthly!BM21</f>
        <v>0</v>
      </c>
      <c r="BO18" s="159" t="n">
        <f aca="false">-NA_monthly!BO21+NA_monthly!BN21</f>
        <v>0</v>
      </c>
      <c r="BP18" s="159" t="n">
        <f aca="false">-NA_monthly!BP21+NA_monthly!BO21</f>
        <v>0</v>
      </c>
      <c r="BQ18" s="159" t="n">
        <f aca="false">-NA_monthly!BQ21+NA_monthly!BP21</f>
        <v>0</v>
      </c>
      <c r="BR18" s="159" t="n">
        <f aca="false">-NA_monthly!BR21+NA_monthly!BQ21</f>
        <v>0</v>
      </c>
      <c r="BS18" s="159" t="n">
        <f aca="false">-NA_monthly!BS21+NA_monthly!BR21</f>
        <v>0</v>
      </c>
      <c r="BT18" s="159" t="n">
        <f aca="false">-NA_monthly!BT21+NA_monthly!BS21</f>
        <v>0</v>
      </c>
      <c r="BU18" s="159" t="n">
        <f aca="false">-NA_monthly!BU21+NA_monthly!BT21</f>
        <v>0</v>
      </c>
      <c r="BV18" s="159" t="n">
        <f aca="false">-NA_monthly!BV21+NA_monthly!BU21</f>
        <v>0</v>
      </c>
      <c r="BW18" s="159" t="n">
        <f aca="false">-NA_monthly!BW21+NA_monthly!BV21</f>
        <v>0</v>
      </c>
      <c r="BX18" s="159" t="n">
        <f aca="false">-NA_monthly!BX21+NA_monthly!BW21</f>
        <v>0</v>
      </c>
      <c r="BY18" s="159" t="n">
        <f aca="false">-NA_monthly!BY21+NA_monthly!BX21</f>
        <v>0</v>
      </c>
      <c r="BZ18" s="159" t="n">
        <f aca="false">-NA_monthly!BZ21+NA_monthly!BY21</f>
        <v>0</v>
      </c>
      <c r="CA18" s="159" t="n">
        <f aca="false">-NA_monthly!CA21+NA_monthly!BZ21</f>
        <v>0</v>
      </c>
      <c r="CB18" s="159" t="n">
        <f aca="false">-NA_monthly!CB21+NA_monthly!CA21</f>
        <v>0</v>
      </c>
      <c r="CC18" s="159" t="n">
        <f aca="false">-NA_monthly!CC21+NA_monthly!CB21</f>
        <v>0</v>
      </c>
      <c r="CD18" s="159" t="n">
        <f aca="false">-NA_monthly!CD21+NA_monthly!CC21</f>
        <v>0</v>
      </c>
      <c r="CE18" s="159" t="n">
        <f aca="false">-NA_monthly!CE21+NA_monthly!CD21</f>
        <v>0</v>
      </c>
      <c r="CF18" s="159" t="n">
        <f aca="false">-NA_monthly!CF21+NA_monthly!CE21</f>
        <v>0</v>
      </c>
      <c r="CG18" s="159" t="n">
        <f aca="false">-NA_monthly!CG21+NA_monthly!CF21</f>
        <v>0</v>
      </c>
      <c r="CH18" s="159" t="n">
        <f aca="false">-NA_monthly!CH21+NA_monthly!CG21</f>
        <v>0</v>
      </c>
      <c r="CI18" s="159" t="n">
        <f aca="false">-NA_monthly!CI21+NA_monthly!CH21</f>
        <v>0</v>
      </c>
      <c r="CJ18" s="159" t="n">
        <f aca="false">-NA_monthly!CJ21+NA_monthly!CI21</f>
        <v>0</v>
      </c>
      <c r="CK18" s="159" t="n">
        <f aca="false">-NA_monthly!CK21+NA_monthly!CJ21</f>
        <v>0</v>
      </c>
    </row>
    <row r="19" customFormat="false" ht="11.25" hidden="false" customHeight="true" outlineLevel="2" collapsed="false">
      <c r="C19" s="54" t="str">
        <f aca="false">"∆ "&amp;'Lead NA'!C78</f>
        <v>∆ Dummy 3</v>
      </c>
      <c r="D19" s="54" t="str">
        <f aca="false">"∆ "&amp;'Lead NA'!D78</f>
        <v>∆ Dummy 3</v>
      </c>
      <c r="E19" s="189"/>
      <c r="F19" s="189"/>
      <c r="G19" s="159" t="n">
        <f aca="false">-NA_monthly!G22+NA_monthly!F22</f>
        <v>0</v>
      </c>
      <c r="H19" s="159" t="n">
        <f aca="false">-NA_monthly!H22+NA_monthly!G22</f>
        <v>0</v>
      </c>
      <c r="I19" s="159" t="n">
        <f aca="false">-NA_monthly!I22+NA_monthly!H22</f>
        <v>0</v>
      </c>
      <c r="J19" s="159" t="n">
        <f aca="false">-NA_monthly!J22+NA_monthly!I22</f>
        <v>0</v>
      </c>
      <c r="K19" s="159" t="n">
        <f aca="false">-NA_monthly!K22+NA_monthly!J22</f>
        <v>0</v>
      </c>
      <c r="L19" s="159" t="n">
        <f aca="false">-NA_monthly!L22+NA_monthly!K22</f>
        <v>0</v>
      </c>
      <c r="M19" s="159" t="n">
        <f aca="false">-NA_monthly!M22+NA_monthly!L22</f>
        <v>0</v>
      </c>
      <c r="N19" s="159" t="n">
        <f aca="false">-NA_monthly!N22+NA_monthly!M22</f>
        <v>0</v>
      </c>
      <c r="O19" s="159" t="n">
        <f aca="false">-NA_monthly!O22+NA_monthly!N22</f>
        <v>0</v>
      </c>
      <c r="P19" s="159" t="n">
        <f aca="false">-NA_monthly!P22+NA_monthly!O22</f>
        <v>0</v>
      </c>
      <c r="Q19" s="159" t="n">
        <f aca="false">-NA_monthly!Q22+NA_monthly!P22</f>
        <v>0</v>
      </c>
      <c r="R19" s="159" t="n">
        <f aca="false">-NA_monthly!R22+NA_monthly!Q22</f>
        <v>0</v>
      </c>
      <c r="S19" s="159" t="n">
        <f aca="false">-NA_monthly!S22+NA_monthly!R22</f>
        <v>0</v>
      </c>
      <c r="T19" s="159" t="n">
        <f aca="false">-NA_monthly!T22+NA_monthly!S22</f>
        <v>0</v>
      </c>
      <c r="U19" s="159" t="n">
        <f aca="false">-NA_monthly!U22+NA_monthly!T22</f>
        <v>0</v>
      </c>
      <c r="V19" s="159" t="n">
        <f aca="false">-NA_monthly!V22+NA_monthly!U22</f>
        <v>0</v>
      </c>
      <c r="W19" s="159" t="n">
        <f aca="false">-NA_monthly!W22+NA_monthly!V22</f>
        <v>0</v>
      </c>
      <c r="X19" s="159" t="n">
        <f aca="false">-NA_monthly!X22+NA_monthly!W22</f>
        <v>0</v>
      </c>
      <c r="Y19" s="159" t="n">
        <f aca="false">-NA_monthly!Y22+NA_monthly!X22</f>
        <v>0</v>
      </c>
      <c r="Z19" s="159" t="n">
        <f aca="false">-NA_monthly!Z22+NA_monthly!Y22</f>
        <v>0</v>
      </c>
      <c r="AA19" s="159" t="n">
        <f aca="false">-NA_monthly!AA22+NA_monthly!Z22</f>
        <v>0</v>
      </c>
      <c r="AB19" s="159" t="n">
        <f aca="false">-NA_monthly!AB22+NA_monthly!AA22</f>
        <v>0</v>
      </c>
      <c r="AC19" s="159" t="n">
        <f aca="false">-NA_monthly!AC22+NA_monthly!AB22</f>
        <v>0</v>
      </c>
      <c r="AD19" s="159" t="n">
        <f aca="false">-NA_monthly!AD22+NA_monthly!AC22</f>
        <v>0</v>
      </c>
      <c r="AE19" s="159" t="n">
        <f aca="false">-NA_monthly!AE22+NA_monthly!AD22</f>
        <v>0</v>
      </c>
      <c r="AF19" s="159" t="n">
        <f aca="false">-NA_monthly!AF22+NA_monthly!AE22</f>
        <v>0</v>
      </c>
      <c r="AG19" s="159" t="n">
        <f aca="false">-NA_monthly!AG22+NA_monthly!AF22</f>
        <v>0</v>
      </c>
      <c r="AH19" s="159" t="n">
        <f aca="false">-NA_monthly!AH22+NA_monthly!AG22</f>
        <v>0</v>
      </c>
      <c r="AI19" s="159" t="n">
        <f aca="false">-NA_monthly!AI22+NA_monthly!AH22</f>
        <v>0</v>
      </c>
      <c r="AJ19" s="159" t="n">
        <f aca="false">-NA_monthly!AJ22+NA_monthly!AI22</f>
        <v>0</v>
      </c>
      <c r="AK19" s="159" t="n">
        <f aca="false">-NA_monthly!AK22+NA_monthly!AJ22</f>
        <v>0</v>
      </c>
      <c r="AL19" s="159" t="n">
        <f aca="false">-NA_monthly!AL22+NA_monthly!AK22</f>
        <v>0</v>
      </c>
      <c r="AM19" s="159" t="n">
        <f aca="false">-NA_monthly!AM22+NA_monthly!AL22</f>
        <v>0</v>
      </c>
      <c r="AN19" s="159" t="n">
        <f aca="false">-NA_monthly!AN22+NA_monthly!AM22</f>
        <v>0</v>
      </c>
      <c r="AO19" s="159" t="n">
        <f aca="false">-NA_monthly!AO22+NA_monthly!AN22</f>
        <v>0</v>
      </c>
      <c r="AP19" s="159" t="n">
        <f aca="false">-NA_monthly!AP22+NA_monthly!AO22</f>
        <v>0</v>
      </c>
      <c r="AQ19" s="159" t="n">
        <f aca="false">-NA_monthly!AQ22+NA_monthly!AP22</f>
        <v>0</v>
      </c>
      <c r="AR19" s="159" t="n">
        <f aca="false">-NA_monthly!AR22+NA_monthly!AQ22</f>
        <v>0</v>
      </c>
      <c r="AS19" s="159" t="n">
        <f aca="false">-NA_monthly!AS22+NA_monthly!AR22</f>
        <v>0</v>
      </c>
      <c r="AT19" s="159" t="n">
        <f aca="false">-NA_monthly!AT22+NA_monthly!AS22</f>
        <v>0</v>
      </c>
      <c r="AU19" s="159" t="n">
        <f aca="false">-NA_monthly!AU22+NA_monthly!AT22</f>
        <v>0</v>
      </c>
      <c r="AV19" s="159" t="n">
        <f aca="false">-NA_monthly!AV22+NA_monthly!AU22</f>
        <v>0</v>
      </c>
      <c r="AW19" s="159" t="n">
        <f aca="false">-NA_monthly!AW22+NA_monthly!AV22</f>
        <v>0</v>
      </c>
      <c r="AX19" s="159" t="n">
        <f aca="false">-NA_monthly!AX22+NA_monthly!AW22</f>
        <v>0</v>
      </c>
      <c r="AY19" s="159" t="n">
        <f aca="false">-NA_monthly!AY22+NA_monthly!AX22</f>
        <v>0</v>
      </c>
      <c r="AZ19" s="159" t="n">
        <f aca="false">-NA_monthly!AZ22+NA_monthly!AY22</f>
        <v>0</v>
      </c>
      <c r="BA19" s="159" t="n">
        <f aca="false">-NA_monthly!BA22+NA_monthly!AZ22</f>
        <v>0</v>
      </c>
      <c r="BB19" s="159" t="n">
        <f aca="false">-NA_monthly!BB22+NA_monthly!BA22</f>
        <v>0</v>
      </c>
      <c r="BC19" s="159" t="n">
        <f aca="false">-NA_monthly!BC22+NA_monthly!BB22</f>
        <v>0</v>
      </c>
      <c r="BD19" s="159" t="n">
        <f aca="false">-NA_monthly!BD22+NA_monthly!BC22</f>
        <v>0</v>
      </c>
      <c r="BE19" s="159" t="n">
        <f aca="false">-NA_monthly!BE22+NA_monthly!BD22</f>
        <v>0</v>
      </c>
      <c r="BF19" s="159" t="n">
        <f aca="false">-NA_monthly!BF22+NA_monthly!BE22</f>
        <v>0</v>
      </c>
      <c r="BG19" s="159" t="n">
        <f aca="false">-NA_monthly!BG22+NA_monthly!BF22</f>
        <v>0</v>
      </c>
      <c r="BH19" s="159" t="n">
        <f aca="false">-NA_monthly!BH22+NA_monthly!BG22</f>
        <v>0</v>
      </c>
      <c r="BI19" s="159" t="n">
        <f aca="false">-NA_monthly!BI22+NA_monthly!BH22</f>
        <v>0</v>
      </c>
      <c r="BJ19" s="159" t="n">
        <f aca="false">-NA_monthly!BJ22+NA_monthly!BI22</f>
        <v>0</v>
      </c>
      <c r="BK19" s="159" t="n">
        <f aca="false">-NA_monthly!BK22+NA_monthly!BJ22</f>
        <v>0</v>
      </c>
      <c r="BL19" s="159" t="n">
        <f aca="false">-NA_monthly!BL22+NA_monthly!BK22</f>
        <v>0</v>
      </c>
      <c r="BM19" s="159" t="n">
        <f aca="false">-NA_monthly!BM22+NA_monthly!BL22</f>
        <v>0</v>
      </c>
      <c r="BN19" s="159" t="n">
        <f aca="false">-NA_monthly!BN22+NA_monthly!BM22</f>
        <v>0</v>
      </c>
      <c r="BO19" s="159" t="n">
        <f aca="false">-NA_monthly!BO22+NA_monthly!BN22</f>
        <v>0</v>
      </c>
      <c r="BP19" s="159" t="n">
        <f aca="false">-NA_monthly!BP22+NA_monthly!BO22</f>
        <v>0</v>
      </c>
      <c r="BQ19" s="159" t="n">
        <f aca="false">-NA_monthly!BQ22+NA_monthly!BP22</f>
        <v>0</v>
      </c>
      <c r="BR19" s="159" t="n">
        <f aca="false">-NA_monthly!BR22+NA_monthly!BQ22</f>
        <v>0</v>
      </c>
      <c r="BS19" s="159" t="n">
        <f aca="false">-NA_monthly!BS22+NA_monthly!BR22</f>
        <v>0</v>
      </c>
      <c r="BT19" s="159" t="n">
        <f aca="false">-NA_monthly!BT22+NA_monthly!BS22</f>
        <v>0</v>
      </c>
      <c r="BU19" s="159" t="n">
        <f aca="false">-NA_monthly!BU22+NA_monthly!BT22</f>
        <v>0</v>
      </c>
      <c r="BV19" s="159" t="n">
        <f aca="false">-NA_monthly!BV22+NA_monthly!BU22</f>
        <v>0</v>
      </c>
      <c r="BW19" s="159" t="n">
        <f aca="false">-NA_monthly!BW22+NA_monthly!BV22</f>
        <v>0</v>
      </c>
      <c r="BX19" s="159" t="n">
        <f aca="false">-NA_monthly!BX22+NA_monthly!BW22</f>
        <v>0</v>
      </c>
      <c r="BY19" s="159" t="n">
        <f aca="false">-NA_monthly!BY22+NA_monthly!BX22</f>
        <v>0</v>
      </c>
      <c r="BZ19" s="159" t="n">
        <f aca="false">-NA_monthly!BZ22+NA_monthly!BY22</f>
        <v>0</v>
      </c>
      <c r="CA19" s="159" t="n">
        <f aca="false">-NA_monthly!CA22+NA_monthly!BZ22</f>
        <v>0</v>
      </c>
      <c r="CB19" s="159" t="n">
        <f aca="false">-NA_monthly!CB22+NA_monthly!CA22</f>
        <v>0</v>
      </c>
      <c r="CC19" s="159" t="n">
        <f aca="false">-NA_monthly!CC22+NA_monthly!CB22</f>
        <v>0</v>
      </c>
      <c r="CD19" s="159" t="n">
        <f aca="false">-NA_monthly!CD22+NA_monthly!CC22</f>
        <v>0</v>
      </c>
      <c r="CE19" s="159" t="n">
        <f aca="false">-NA_monthly!CE22+NA_monthly!CD22</f>
        <v>0</v>
      </c>
      <c r="CF19" s="159" t="n">
        <f aca="false">-NA_monthly!CF22+NA_monthly!CE22</f>
        <v>0</v>
      </c>
      <c r="CG19" s="159" t="n">
        <f aca="false">-NA_monthly!CG22+NA_monthly!CF22</f>
        <v>0</v>
      </c>
      <c r="CH19" s="159" t="n">
        <f aca="false">-NA_monthly!CH22+NA_monthly!CG22</f>
        <v>0</v>
      </c>
      <c r="CI19" s="159" t="n">
        <f aca="false">-NA_monthly!CI22+NA_monthly!CH22</f>
        <v>0</v>
      </c>
      <c r="CJ19" s="159" t="n">
        <f aca="false">-NA_monthly!CJ22+NA_monthly!CI22</f>
        <v>0</v>
      </c>
      <c r="CK19" s="159" t="n">
        <f aca="false">-NA_monthly!CK22+NA_monthly!CJ22</f>
        <v>0</v>
      </c>
    </row>
    <row r="20" customFormat="false" ht="11.25" hidden="false" customHeight="true" outlineLevel="0" collapsed="false">
      <c r="C20" s="165" t="str">
        <f aca="false">"∆ "&amp;'Lead NA'!C79</f>
        <v>∆ Trade Working Capital</v>
      </c>
      <c r="D20" s="165" t="str">
        <f aca="false">"∆ "&amp;'Lead NA'!D79</f>
        <v>∆ Trade working capital</v>
      </c>
      <c r="E20" s="198"/>
      <c r="F20" s="198" t="n">
        <f aca="false">SUM(F13:F19)</f>
        <v>0</v>
      </c>
      <c r="G20" s="165" t="n">
        <f aca="false">SUM(G13:G19)</f>
        <v>0</v>
      </c>
      <c r="H20" s="165" t="n">
        <f aca="false">SUM(H13:H19)</f>
        <v>0</v>
      </c>
      <c r="I20" s="165" t="n">
        <f aca="false">SUM(I13:I19)</f>
        <v>0</v>
      </c>
      <c r="J20" s="165" t="n">
        <f aca="false">SUM(J13:J19)</f>
        <v>0</v>
      </c>
      <c r="K20" s="165" t="n">
        <f aca="false">SUM(K13:K19)</f>
        <v>0</v>
      </c>
      <c r="L20" s="165" t="n">
        <f aca="false">SUM(L13:L19)</f>
        <v>0</v>
      </c>
      <c r="M20" s="165" t="n">
        <f aca="false">SUM(M13:M19)</f>
        <v>0</v>
      </c>
      <c r="N20" s="165" t="n">
        <f aca="false">SUM(N13:N19)</f>
        <v>0</v>
      </c>
      <c r="O20" s="165" t="n">
        <f aca="false">SUM(O13:O19)</f>
        <v>0</v>
      </c>
      <c r="P20" s="165" t="n">
        <f aca="false">SUM(P13:P19)</f>
        <v>0</v>
      </c>
      <c r="Q20" s="165" t="n">
        <f aca="false">SUM(Q13:Q19)</f>
        <v>0</v>
      </c>
      <c r="R20" s="165" t="n">
        <f aca="false">SUM(R13:R19)</f>
        <v>0</v>
      </c>
      <c r="S20" s="165" t="n">
        <f aca="false">SUM(S13:S19)</f>
        <v>0</v>
      </c>
      <c r="T20" s="165" t="n">
        <f aca="false">SUM(T13:T19)</f>
        <v>0</v>
      </c>
      <c r="U20" s="165" t="n">
        <f aca="false">SUM(U13:U19)</f>
        <v>0</v>
      </c>
      <c r="V20" s="165" t="n">
        <f aca="false">SUM(V13:V19)</f>
        <v>0</v>
      </c>
      <c r="W20" s="165" t="n">
        <f aca="false">SUM(W13:W19)</f>
        <v>0</v>
      </c>
      <c r="X20" s="165" t="n">
        <f aca="false">SUM(X13:X19)</f>
        <v>0</v>
      </c>
      <c r="Y20" s="165" t="n">
        <f aca="false">SUM(Y13:Y19)</f>
        <v>0</v>
      </c>
      <c r="Z20" s="165" t="n">
        <f aca="false">SUM(Z13:Z19)</f>
        <v>0</v>
      </c>
      <c r="AA20" s="165" t="n">
        <f aca="false">SUM(AA13:AA19)</f>
        <v>0</v>
      </c>
      <c r="AB20" s="165" t="n">
        <f aca="false">SUM(AB13:AB19)</f>
        <v>0</v>
      </c>
      <c r="AC20" s="165" t="n">
        <f aca="false">SUM(AC13:AC19)</f>
        <v>0</v>
      </c>
      <c r="AD20" s="165" t="n">
        <f aca="false">SUM(AD13:AD19)</f>
        <v>0</v>
      </c>
      <c r="AE20" s="165" t="n">
        <f aca="false">SUM(AE13:AE19)</f>
        <v>0</v>
      </c>
      <c r="AF20" s="165" t="n">
        <f aca="false">SUM(AF13:AF19)</f>
        <v>0</v>
      </c>
      <c r="AG20" s="165" t="n">
        <f aca="false">SUM(AG13:AG19)</f>
        <v>0</v>
      </c>
      <c r="AH20" s="165" t="n">
        <f aca="false">SUM(AH13:AH19)</f>
        <v>0</v>
      </c>
      <c r="AI20" s="165" t="n">
        <f aca="false">SUM(AI13:AI19)</f>
        <v>0</v>
      </c>
      <c r="AJ20" s="165" t="n">
        <f aca="false">SUM(AJ13:AJ19)</f>
        <v>0</v>
      </c>
      <c r="AK20" s="165" t="n">
        <f aca="false">SUM(AK13:AK19)</f>
        <v>0</v>
      </c>
      <c r="AL20" s="165" t="n">
        <f aca="false">SUM(AL13:AL19)</f>
        <v>0</v>
      </c>
      <c r="AM20" s="165" t="n">
        <f aca="false">SUM(AM13:AM19)</f>
        <v>0</v>
      </c>
      <c r="AN20" s="165" t="n">
        <f aca="false">SUM(AN13:AN19)</f>
        <v>0</v>
      </c>
      <c r="AO20" s="165" t="n">
        <f aca="false">SUM(AO13:AO19)</f>
        <v>0</v>
      </c>
      <c r="AP20" s="165" t="n">
        <f aca="false">SUM(AP13:AP19)</f>
        <v>0</v>
      </c>
      <c r="AQ20" s="165" t="n">
        <f aca="false">SUM(AQ13:AQ19)</f>
        <v>0</v>
      </c>
      <c r="AR20" s="165" t="n">
        <f aca="false">SUM(AR13:AR19)</f>
        <v>0</v>
      </c>
      <c r="AS20" s="165" t="n">
        <f aca="false">SUM(AS13:AS19)</f>
        <v>0</v>
      </c>
      <c r="AT20" s="165" t="n">
        <f aca="false">SUM(AT13:AT19)</f>
        <v>0</v>
      </c>
      <c r="AU20" s="165" t="n">
        <f aca="false">SUM(AU13:AU19)</f>
        <v>0</v>
      </c>
      <c r="AV20" s="165" t="n">
        <f aca="false">SUM(AV13:AV19)</f>
        <v>0</v>
      </c>
      <c r="AW20" s="165" t="n">
        <f aca="false">SUM(AW13:AW19)</f>
        <v>0</v>
      </c>
      <c r="AX20" s="165" t="n">
        <f aca="false">SUM(AX13:AX19)</f>
        <v>0</v>
      </c>
      <c r="AY20" s="165" t="n">
        <f aca="false">SUM(AY13:AY19)</f>
        <v>0</v>
      </c>
      <c r="AZ20" s="165" t="n">
        <f aca="false">SUM(AZ13:AZ19)</f>
        <v>0</v>
      </c>
      <c r="BA20" s="165" t="n">
        <f aca="false">SUM(BA13:BA19)</f>
        <v>0</v>
      </c>
      <c r="BB20" s="165" t="n">
        <f aca="false">SUM(BB13:BB19)</f>
        <v>0</v>
      </c>
      <c r="BC20" s="165" t="n">
        <f aca="false">SUM(BC13:BC19)</f>
        <v>0</v>
      </c>
      <c r="BD20" s="165" t="n">
        <f aca="false">SUM(BD13:BD19)</f>
        <v>0</v>
      </c>
      <c r="BE20" s="165" t="n">
        <f aca="false">SUM(BE13:BE19)</f>
        <v>0</v>
      </c>
      <c r="BF20" s="165" t="n">
        <f aca="false">SUM(BF13:BF19)</f>
        <v>0</v>
      </c>
      <c r="BG20" s="165" t="n">
        <f aca="false">SUM(BG13:BG19)</f>
        <v>0</v>
      </c>
      <c r="BH20" s="165" t="n">
        <f aca="false">SUM(BH13:BH19)</f>
        <v>0</v>
      </c>
      <c r="BI20" s="165" t="n">
        <f aca="false">SUM(BI13:BI19)</f>
        <v>0</v>
      </c>
      <c r="BJ20" s="165" t="n">
        <f aca="false">SUM(BJ13:BJ19)</f>
        <v>0</v>
      </c>
      <c r="BK20" s="165" t="n">
        <f aca="false">SUM(BK13:BK19)</f>
        <v>0</v>
      </c>
      <c r="BL20" s="165" t="n">
        <f aca="false">SUM(BL13:BL19)</f>
        <v>0</v>
      </c>
      <c r="BM20" s="165" t="n">
        <f aca="false">SUM(BM13:BM19)</f>
        <v>0</v>
      </c>
      <c r="BN20" s="165" t="n">
        <f aca="false">SUM(BN13:BN19)</f>
        <v>0</v>
      </c>
      <c r="BO20" s="165" t="n">
        <f aca="false">SUM(BO13:BO19)</f>
        <v>0</v>
      </c>
      <c r="BP20" s="165" t="n">
        <f aca="false">SUM(BP13:BP19)</f>
        <v>0</v>
      </c>
      <c r="BQ20" s="165" t="n">
        <f aca="false">SUM(BQ13:BQ19)</f>
        <v>0</v>
      </c>
      <c r="BR20" s="165" t="n">
        <f aca="false">SUM(BR13:BR19)</f>
        <v>0</v>
      </c>
      <c r="BS20" s="165" t="n">
        <f aca="false">SUM(BS13:BS19)</f>
        <v>0</v>
      </c>
      <c r="BT20" s="165" t="n">
        <f aca="false">SUM(BT13:BT19)</f>
        <v>0</v>
      </c>
      <c r="BU20" s="165" t="n">
        <f aca="false">SUM(BU13:BU19)</f>
        <v>0</v>
      </c>
      <c r="BV20" s="165" t="n">
        <f aca="false">SUM(BV13:BV19)</f>
        <v>0</v>
      </c>
      <c r="BW20" s="165" t="n">
        <f aca="false">SUM(BW13:BW19)</f>
        <v>0</v>
      </c>
      <c r="BX20" s="165" t="n">
        <f aca="false">SUM(BX13:BX19)</f>
        <v>0</v>
      </c>
      <c r="BY20" s="165" t="n">
        <f aca="false">SUM(BY13:BY19)</f>
        <v>0</v>
      </c>
      <c r="BZ20" s="165" t="n">
        <f aca="false">SUM(BZ13:BZ19)</f>
        <v>0</v>
      </c>
      <c r="CA20" s="165" t="n">
        <f aca="false">SUM(CA13:CA19)</f>
        <v>0</v>
      </c>
      <c r="CB20" s="165" t="n">
        <f aca="false">SUM(CB13:CB19)</f>
        <v>0</v>
      </c>
      <c r="CC20" s="165" t="n">
        <f aca="false">SUM(CC13:CC19)</f>
        <v>0</v>
      </c>
      <c r="CD20" s="165" t="n">
        <f aca="false">SUM(CD13:CD19)</f>
        <v>0</v>
      </c>
      <c r="CE20" s="165" t="n">
        <f aca="false">SUM(CE13:CE19)</f>
        <v>0</v>
      </c>
      <c r="CF20" s="165" t="n">
        <f aca="false">SUM(CF13:CF19)</f>
        <v>0</v>
      </c>
      <c r="CG20" s="165" t="n">
        <f aca="false">SUM(CG13:CG19)</f>
        <v>0</v>
      </c>
      <c r="CH20" s="165" t="n">
        <f aca="false">SUM(CH13:CH19)</f>
        <v>0</v>
      </c>
      <c r="CI20" s="165" t="n">
        <f aca="false">SUM(CI13:CI19)</f>
        <v>0</v>
      </c>
      <c r="CJ20" s="165" t="n">
        <f aca="false">SUM(CJ13:CJ19)</f>
        <v>0</v>
      </c>
      <c r="CK20" s="165" t="n">
        <f aca="false">SUM(CK13:CK19)</f>
        <v>0</v>
      </c>
    </row>
    <row r="21" customFormat="false" ht="11.25" hidden="false" customHeight="true" outlineLevel="0" collapsed="false">
      <c r="C21" s="51" t="str">
        <f aca="false">"∆ "&amp;'Lead NA'!C80</f>
        <v>∆ Sonstige Vermögensgegenstände</v>
      </c>
      <c r="D21" s="51" t="str">
        <f aca="false">"∆ "&amp;'Lead NA'!D80</f>
        <v>∆ Other assets</v>
      </c>
      <c r="E21" s="137"/>
      <c r="F21" s="137"/>
      <c r="G21" s="159" t="n">
        <f aca="false">-NA_monthly!G24+NA_monthly!F24</f>
        <v>0</v>
      </c>
      <c r="H21" s="159" t="n">
        <f aca="false">-NA_monthly!H24+NA_monthly!G24</f>
        <v>0</v>
      </c>
      <c r="I21" s="159" t="n">
        <f aca="false">-NA_monthly!I24+NA_monthly!H24</f>
        <v>0</v>
      </c>
      <c r="J21" s="159" t="n">
        <f aca="false">-NA_monthly!J24+NA_monthly!I24</f>
        <v>0</v>
      </c>
      <c r="K21" s="159" t="n">
        <f aca="false">-NA_monthly!K24+NA_monthly!J24</f>
        <v>0</v>
      </c>
      <c r="L21" s="159" t="n">
        <f aca="false">-NA_monthly!L24+NA_monthly!K24</f>
        <v>0</v>
      </c>
      <c r="M21" s="159" t="n">
        <f aca="false">-NA_monthly!M24+NA_monthly!L24</f>
        <v>0</v>
      </c>
      <c r="N21" s="159" t="n">
        <f aca="false">-NA_monthly!N24+NA_monthly!M24</f>
        <v>0</v>
      </c>
      <c r="O21" s="159" t="n">
        <f aca="false">-NA_monthly!O24+NA_monthly!N24</f>
        <v>0</v>
      </c>
      <c r="P21" s="159" t="n">
        <f aca="false">-NA_monthly!P24+NA_monthly!O24</f>
        <v>0</v>
      </c>
      <c r="Q21" s="159" t="n">
        <f aca="false">-NA_monthly!Q24+NA_monthly!P24</f>
        <v>0</v>
      </c>
      <c r="R21" s="159" t="n">
        <f aca="false">-NA_monthly!R24+NA_monthly!Q24</f>
        <v>0</v>
      </c>
      <c r="S21" s="159" t="n">
        <f aca="false">-NA_monthly!S24+NA_monthly!R24</f>
        <v>0</v>
      </c>
      <c r="T21" s="159" t="n">
        <f aca="false">-NA_monthly!T24+NA_monthly!S24</f>
        <v>0</v>
      </c>
      <c r="U21" s="159" t="n">
        <f aca="false">-NA_monthly!U24+NA_monthly!T24</f>
        <v>0</v>
      </c>
      <c r="V21" s="159" t="n">
        <f aca="false">-NA_monthly!V24+NA_monthly!U24</f>
        <v>0</v>
      </c>
      <c r="W21" s="159" t="n">
        <f aca="false">-NA_monthly!W24+NA_monthly!V24</f>
        <v>0</v>
      </c>
      <c r="X21" s="159" t="n">
        <f aca="false">-NA_monthly!X24+NA_monthly!W24</f>
        <v>0</v>
      </c>
      <c r="Y21" s="159" t="n">
        <f aca="false">-NA_monthly!Y24+NA_monthly!X24</f>
        <v>0</v>
      </c>
      <c r="Z21" s="159" t="n">
        <f aca="false">-NA_monthly!Z24+NA_monthly!Y24</f>
        <v>0</v>
      </c>
      <c r="AA21" s="159" t="n">
        <f aca="false">-NA_monthly!AA24+NA_monthly!Z24</f>
        <v>0</v>
      </c>
      <c r="AB21" s="159" t="n">
        <f aca="false">-NA_monthly!AB24+NA_monthly!AA24</f>
        <v>0</v>
      </c>
      <c r="AC21" s="159" t="n">
        <f aca="false">-NA_monthly!AC24+NA_monthly!AB24</f>
        <v>0</v>
      </c>
      <c r="AD21" s="159" t="n">
        <f aca="false">-NA_monthly!AD24+NA_monthly!AC24</f>
        <v>0</v>
      </c>
      <c r="AE21" s="159" t="n">
        <f aca="false">-NA_monthly!AE24+NA_monthly!AD24</f>
        <v>0</v>
      </c>
      <c r="AF21" s="159" t="n">
        <f aca="false">-NA_monthly!AF24+NA_monthly!AE24</f>
        <v>0</v>
      </c>
      <c r="AG21" s="159" t="n">
        <f aca="false">-NA_monthly!AG24+NA_monthly!AF24</f>
        <v>0</v>
      </c>
      <c r="AH21" s="159" t="n">
        <f aca="false">-NA_monthly!AH24+NA_monthly!AG24</f>
        <v>0</v>
      </c>
      <c r="AI21" s="159" t="n">
        <f aca="false">-NA_monthly!AI24+NA_monthly!AH24</f>
        <v>0</v>
      </c>
      <c r="AJ21" s="159" t="n">
        <f aca="false">-NA_monthly!AJ24+NA_monthly!AI24</f>
        <v>0</v>
      </c>
      <c r="AK21" s="159" t="n">
        <f aca="false">-NA_monthly!AK24+NA_monthly!AJ24</f>
        <v>0</v>
      </c>
      <c r="AL21" s="159" t="n">
        <f aca="false">-NA_monthly!AL24+NA_monthly!AK24</f>
        <v>0</v>
      </c>
      <c r="AM21" s="159" t="n">
        <f aca="false">-NA_monthly!AM24+NA_monthly!AL24</f>
        <v>0</v>
      </c>
      <c r="AN21" s="159" t="n">
        <f aca="false">-NA_monthly!AN24+NA_monthly!AM24</f>
        <v>0</v>
      </c>
      <c r="AO21" s="159" t="n">
        <f aca="false">-NA_monthly!AO24+NA_monthly!AN24</f>
        <v>0</v>
      </c>
      <c r="AP21" s="159" t="n">
        <f aca="false">-NA_monthly!AP24+NA_monthly!AO24</f>
        <v>0</v>
      </c>
      <c r="AQ21" s="159" t="n">
        <f aca="false">-NA_monthly!AQ24+NA_monthly!AP24</f>
        <v>0</v>
      </c>
      <c r="AR21" s="159" t="n">
        <f aca="false">-NA_monthly!AR24+NA_monthly!AQ24</f>
        <v>0</v>
      </c>
      <c r="AS21" s="159" t="n">
        <f aca="false">-NA_monthly!AS24+NA_monthly!AR24</f>
        <v>0</v>
      </c>
      <c r="AT21" s="159" t="n">
        <f aca="false">-NA_monthly!AT24+NA_monthly!AS24</f>
        <v>0</v>
      </c>
      <c r="AU21" s="159" t="n">
        <f aca="false">-NA_monthly!AU24+NA_monthly!AT24</f>
        <v>0</v>
      </c>
      <c r="AV21" s="159" t="n">
        <f aca="false">-NA_monthly!AV24+NA_monthly!AU24</f>
        <v>0</v>
      </c>
      <c r="AW21" s="159" t="n">
        <f aca="false">-NA_monthly!AW24+NA_monthly!AV24</f>
        <v>0</v>
      </c>
      <c r="AX21" s="159" t="n">
        <f aca="false">-NA_monthly!AX24+NA_monthly!AW24</f>
        <v>0</v>
      </c>
      <c r="AY21" s="159" t="n">
        <f aca="false">-NA_monthly!AY24+NA_monthly!AX24</f>
        <v>0</v>
      </c>
      <c r="AZ21" s="159" t="n">
        <f aca="false">-NA_monthly!AZ24+NA_monthly!AY24</f>
        <v>0</v>
      </c>
      <c r="BA21" s="159" t="n">
        <f aca="false">-NA_monthly!BA24+NA_monthly!AZ24</f>
        <v>0</v>
      </c>
      <c r="BB21" s="159" t="n">
        <f aca="false">-NA_monthly!BB24+NA_monthly!BA24</f>
        <v>0</v>
      </c>
      <c r="BC21" s="159" t="n">
        <f aca="false">-NA_monthly!BC24+NA_monthly!BB24</f>
        <v>0</v>
      </c>
      <c r="BD21" s="159" t="n">
        <f aca="false">-NA_monthly!BD24+NA_monthly!BC24</f>
        <v>0</v>
      </c>
      <c r="BE21" s="159" t="n">
        <f aca="false">-NA_monthly!BE24+NA_monthly!BD24</f>
        <v>0</v>
      </c>
      <c r="BF21" s="159" t="n">
        <f aca="false">-NA_monthly!BF24+NA_monthly!BE24</f>
        <v>0</v>
      </c>
      <c r="BG21" s="159" t="n">
        <f aca="false">-NA_monthly!BG24+NA_monthly!BF24</f>
        <v>0</v>
      </c>
      <c r="BH21" s="159" t="n">
        <f aca="false">-NA_monthly!BH24+NA_monthly!BG24</f>
        <v>0</v>
      </c>
      <c r="BI21" s="159" t="n">
        <f aca="false">-NA_monthly!BI24+NA_monthly!BH24</f>
        <v>0</v>
      </c>
      <c r="BJ21" s="159" t="n">
        <f aca="false">-NA_monthly!BJ24+NA_monthly!BI24</f>
        <v>0</v>
      </c>
      <c r="BK21" s="159" t="n">
        <f aca="false">-NA_monthly!BK24+NA_monthly!BJ24</f>
        <v>0</v>
      </c>
      <c r="BL21" s="159" t="n">
        <f aca="false">-NA_monthly!BL24+NA_monthly!BK24</f>
        <v>0</v>
      </c>
      <c r="BM21" s="159" t="n">
        <f aca="false">-NA_monthly!BM24+NA_monthly!BL24</f>
        <v>0</v>
      </c>
      <c r="BN21" s="159" t="n">
        <f aca="false">-NA_monthly!BN24+NA_monthly!BM24</f>
        <v>0</v>
      </c>
      <c r="BO21" s="159" t="n">
        <f aca="false">-NA_monthly!BO24+NA_monthly!BN24</f>
        <v>0</v>
      </c>
      <c r="BP21" s="159" t="n">
        <f aca="false">-NA_monthly!BP24+NA_monthly!BO24</f>
        <v>0</v>
      </c>
      <c r="BQ21" s="159" t="n">
        <f aca="false">-NA_monthly!BQ24+NA_monthly!BP24</f>
        <v>0</v>
      </c>
      <c r="BR21" s="159" t="n">
        <f aca="false">-NA_monthly!BR24+NA_monthly!BQ24</f>
        <v>0</v>
      </c>
      <c r="BS21" s="159" t="n">
        <f aca="false">-NA_monthly!BS24+NA_monthly!BR24</f>
        <v>0</v>
      </c>
      <c r="BT21" s="159" t="n">
        <f aca="false">-NA_monthly!BT24+NA_monthly!BS24</f>
        <v>0</v>
      </c>
      <c r="BU21" s="159" t="n">
        <f aca="false">-NA_monthly!BU24+NA_monthly!BT24</f>
        <v>0</v>
      </c>
      <c r="BV21" s="159" t="n">
        <f aca="false">-NA_monthly!BV24+NA_monthly!BU24</f>
        <v>0</v>
      </c>
      <c r="BW21" s="159" t="n">
        <f aca="false">-NA_monthly!BW24+NA_monthly!BV24</f>
        <v>0</v>
      </c>
      <c r="BX21" s="159" t="n">
        <f aca="false">-NA_monthly!BX24+NA_monthly!BW24</f>
        <v>0</v>
      </c>
      <c r="BY21" s="159" t="n">
        <f aca="false">-NA_monthly!BY24+NA_monthly!BX24</f>
        <v>0</v>
      </c>
      <c r="BZ21" s="159" t="n">
        <f aca="false">-NA_monthly!BZ24+NA_monthly!BY24</f>
        <v>0</v>
      </c>
      <c r="CA21" s="159" t="n">
        <f aca="false">-NA_monthly!CA24+NA_monthly!BZ24</f>
        <v>0</v>
      </c>
      <c r="CB21" s="159" t="n">
        <f aca="false">-NA_monthly!CB24+NA_monthly!CA24</f>
        <v>0</v>
      </c>
      <c r="CC21" s="159" t="n">
        <f aca="false">-NA_monthly!CC24+NA_monthly!CB24</f>
        <v>0</v>
      </c>
      <c r="CD21" s="159" t="n">
        <f aca="false">-NA_monthly!CD24+NA_monthly!CC24</f>
        <v>0</v>
      </c>
      <c r="CE21" s="159" t="n">
        <f aca="false">-NA_monthly!CE24+NA_monthly!CD24</f>
        <v>0</v>
      </c>
      <c r="CF21" s="159" t="n">
        <f aca="false">-NA_monthly!CF24+NA_monthly!CE24</f>
        <v>0</v>
      </c>
      <c r="CG21" s="159" t="n">
        <f aca="false">-NA_monthly!CG24+NA_monthly!CF24</f>
        <v>0</v>
      </c>
      <c r="CH21" s="159" t="n">
        <f aca="false">-NA_monthly!CH24+NA_monthly!CG24</f>
        <v>0</v>
      </c>
      <c r="CI21" s="159" t="n">
        <f aca="false">-NA_monthly!CI24+NA_monthly!CH24</f>
        <v>0</v>
      </c>
      <c r="CJ21" s="159" t="n">
        <f aca="false">-NA_monthly!CJ24+NA_monthly!CI24</f>
        <v>0</v>
      </c>
      <c r="CK21" s="159" t="n">
        <f aca="false">-NA_monthly!CK24+NA_monthly!CJ24</f>
        <v>0</v>
      </c>
    </row>
    <row r="22" customFormat="false" ht="11.25" hidden="false" customHeight="true" outlineLevel="0" collapsed="false">
      <c r="C22" s="51" t="str">
        <f aca="false">"∆ "&amp;'Lead NA'!C89</f>
        <v>∆ Aktive Rechnungsabgrenzungsposten</v>
      </c>
      <c r="D22" s="51" t="str">
        <f aca="false">"∆ "&amp;'Lead NA'!D89</f>
        <v>∆ Prepaid expenses</v>
      </c>
      <c r="E22" s="137"/>
      <c r="F22" s="137"/>
      <c r="G22" s="159" t="n">
        <f aca="false">-NA_monthly!G25+NA_monthly!F25</f>
        <v>0</v>
      </c>
      <c r="H22" s="159" t="n">
        <f aca="false">-NA_monthly!H25+NA_monthly!G25</f>
        <v>0</v>
      </c>
      <c r="I22" s="159" t="n">
        <f aca="false">-NA_monthly!I25+NA_monthly!H25</f>
        <v>0</v>
      </c>
      <c r="J22" s="159" t="n">
        <f aca="false">-NA_monthly!J25+NA_monthly!I25</f>
        <v>0</v>
      </c>
      <c r="K22" s="159" t="n">
        <f aca="false">-NA_monthly!K25+NA_monthly!J25</f>
        <v>0</v>
      </c>
      <c r="L22" s="159" t="n">
        <f aca="false">-NA_monthly!L25+NA_monthly!K25</f>
        <v>0</v>
      </c>
      <c r="M22" s="159" t="n">
        <f aca="false">-NA_monthly!M25+NA_monthly!L25</f>
        <v>0</v>
      </c>
      <c r="N22" s="159" t="n">
        <f aca="false">-NA_monthly!N25+NA_monthly!M25</f>
        <v>0</v>
      </c>
      <c r="O22" s="159" t="n">
        <f aca="false">-NA_monthly!O25+NA_monthly!N25</f>
        <v>0</v>
      </c>
      <c r="P22" s="159" t="n">
        <f aca="false">-NA_monthly!P25+NA_monthly!O25</f>
        <v>0</v>
      </c>
      <c r="Q22" s="159" t="n">
        <f aca="false">-NA_monthly!Q25+NA_monthly!P25</f>
        <v>0</v>
      </c>
      <c r="R22" s="159" t="n">
        <f aca="false">-NA_monthly!R25+NA_monthly!Q25</f>
        <v>0</v>
      </c>
      <c r="S22" s="159" t="n">
        <f aca="false">-NA_monthly!S25+NA_monthly!R25</f>
        <v>0</v>
      </c>
      <c r="T22" s="159" t="n">
        <f aca="false">-NA_monthly!T25+NA_monthly!S25</f>
        <v>0</v>
      </c>
      <c r="U22" s="159" t="n">
        <f aca="false">-NA_monthly!U25+NA_monthly!T25</f>
        <v>0</v>
      </c>
      <c r="V22" s="159" t="n">
        <f aca="false">-NA_monthly!V25+NA_monthly!U25</f>
        <v>0</v>
      </c>
      <c r="W22" s="159" t="n">
        <f aca="false">-NA_monthly!W25+NA_monthly!V25</f>
        <v>0</v>
      </c>
      <c r="X22" s="159" t="n">
        <f aca="false">-NA_monthly!X25+NA_monthly!W25</f>
        <v>0</v>
      </c>
      <c r="Y22" s="159" t="n">
        <f aca="false">-NA_monthly!Y25+NA_monthly!X25</f>
        <v>0</v>
      </c>
      <c r="Z22" s="159" t="n">
        <f aca="false">-NA_monthly!Z25+NA_monthly!Y25</f>
        <v>0</v>
      </c>
      <c r="AA22" s="159" t="n">
        <f aca="false">-NA_monthly!AA25+NA_monthly!Z25</f>
        <v>0</v>
      </c>
      <c r="AB22" s="159" t="n">
        <f aca="false">-NA_monthly!AB25+NA_monthly!AA25</f>
        <v>0</v>
      </c>
      <c r="AC22" s="159" t="n">
        <f aca="false">-NA_monthly!AC25+NA_monthly!AB25</f>
        <v>0</v>
      </c>
      <c r="AD22" s="159" t="n">
        <f aca="false">-NA_monthly!AD25+NA_monthly!AC25</f>
        <v>0</v>
      </c>
      <c r="AE22" s="159" t="n">
        <f aca="false">-NA_monthly!AE25+NA_monthly!AD25</f>
        <v>0</v>
      </c>
      <c r="AF22" s="159" t="n">
        <f aca="false">-NA_monthly!AF25+NA_monthly!AE25</f>
        <v>0</v>
      </c>
      <c r="AG22" s="159" t="n">
        <f aca="false">-NA_monthly!AG25+NA_monthly!AF25</f>
        <v>0</v>
      </c>
      <c r="AH22" s="159" t="n">
        <f aca="false">-NA_monthly!AH25+NA_monthly!AG25</f>
        <v>0</v>
      </c>
      <c r="AI22" s="159" t="n">
        <f aca="false">-NA_monthly!AI25+NA_monthly!AH25</f>
        <v>0</v>
      </c>
      <c r="AJ22" s="159" t="n">
        <f aca="false">-NA_monthly!AJ25+NA_monthly!AI25</f>
        <v>0</v>
      </c>
      <c r="AK22" s="159" t="n">
        <f aca="false">-NA_monthly!AK25+NA_monthly!AJ25</f>
        <v>0</v>
      </c>
      <c r="AL22" s="159" t="n">
        <f aca="false">-NA_monthly!AL25+NA_monthly!AK25</f>
        <v>0</v>
      </c>
      <c r="AM22" s="159" t="n">
        <f aca="false">-NA_monthly!AM25+NA_monthly!AL25</f>
        <v>0</v>
      </c>
      <c r="AN22" s="159" t="n">
        <f aca="false">-NA_monthly!AN25+NA_monthly!AM25</f>
        <v>0</v>
      </c>
      <c r="AO22" s="159" t="n">
        <f aca="false">-NA_monthly!AO25+NA_monthly!AN25</f>
        <v>0</v>
      </c>
      <c r="AP22" s="159" t="n">
        <f aca="false">-NA_monthly!AP25+NA_monthly!AO25</f>
        <v>0</v>
      </c>
      <c r="AQ22" s="159" t="n">
        <f aca="false">-NA_monthly!AQ25+NA_monthly!AP25</f>
        <v>0</v>
      </c>
      <c r="AR22" s="159" t="n">
        <f aca="false">-NA_monthly!AR25+NA_monthly!AQ25</f>
        <v>0</v>
      </c>
      <c r="AS22" s="159" t="n">
        <f aca="false">-NA_monthly!AS25+NA_monthly!AR25</f>
        <v>0</v>
      </c>
      <c r="AT22" s="159" t="n">
        <f aca="false">-NA_monthly!AT25+NA_monthly!AS25</f>
        <v>0</v>
      </c>
      <c r="AU22" s="159" t="n">
        <f aca="false">-NA_monthly!AU25+NA_monthly!AT25</f>
        <v>0</v>
      </c>
      <c r="AV22" s="159" t="n">
        <f aca="false">-NA_monthly!AV25+NA_monthly!AU25</f>
        <v>0</v>
      </c>
      <c r="AW22" s="159" t="n">
        <f aca="false">-NA_monthly!AW25+NA_monthly!AV25</f>
        <v>0</v>
      </c>
      <c r="AX22" s="159" t="n">
        <f aca="false">-NA_monthly!AX25+NA_monthly!AW25</f>
        <v>0</v>
      </c>
      <c r="AY22" s="159" t="n">
        <f aca="false">-NA_monthly!AY25+NA_monthly!AX25</f>
        <v>0</v>
      </c>
      <c r="AZ22" s="159" t="n">
        <f aca="false">-NA_monthly!AZ25+NA_monthly!AY25</f>
        <v>0</v>
      </c>
      <c r="BA22" s="159" t="n">
        <f aca="false">-NA_monthly!BA25+NA_monthly!AZ25</f>
        <v>0</v>
      </c>
      <c r="BB22" s="159" t="n">
        <f aca="false">-NA_monthly!BB25+NA_monthly!BA25</f>
        <v>0</v>
      </c>
      <c r="BC22" s="159" t="n">
        <f aca="false">-NA_monthly!BC25+NA_monthly!BB25</f>
        <v>0</v>
      </c>
      <c r="BD22" s="159" t="n">
        <f aca="false">-NA_monthly!BD25+NA_monthly!BC25</f>
        <v>0</v>
      </c>
      <c r="BE22" s="159" t="n">
        <f aca="false">-NA_monthly!BE25+NA_monthly!BD25</f>
        <v>0</v>
      </c>
      <c r="BF22" s="159" t="n">
        <f aca="false">-NA_monthly!BF25+NA_monthly!BE25</f>
        <v>0</v>
      </c>
      <c r="BG22" s="159" t="n">
        <f aca="false">-NA_monthly!BG25+NA_monthly!BF25</f>
        <v>0</v>
      </c>
      <c r="BH22" s="159" t="n">
        <f aca="false">-NA_monthly!BH25+NA_monthly!BG25</f>
        <v>0</v>
      </c>
      <c r="BI22" s="159" t="n">
        <f aca="false">-NA_monthly!BI25+NA_monthly!BH25</f>
        <v>0</v>
      </c>
      <c r="BJ22" s="159" t="n">
        <f aca="false">-NA_monthly!BJ25+NA_monthly!BI25</f>
        <v>0</v>
      </c>
      <c r="BK22" s="159" t="n">
        <f aca="false">-NA_monthly!BK25+NA_monthly!BJ25</f>
        <v>0</v>
      </c>
      <c r="BL22" s="159" t="n">
        <f aca="false">-NA_monthly!BL25+NA_monthly!BK25</f>
        <v>0</v>
      </c>
      <c r="BM22" s="159" t="n">
        <f aca="false">-NA_monthly!BM25+NA_monthly!BL25</f>
        <v>0</v>
      </c>
      <c r="BN22" s="159" t="n">
        <f aca="false">-NA_monthly!BN25+NA_monthly!BM25</f>
        <v>0</v>
      </c>
      <c r="BO22" s="159" t="n">
        <f aca="false">-NA_monthly!BO25+NA_monthly!BN25</f>
        <v>0</v>
      </c>
      <c r="BP22" s="159" t="n">
        <f aca="false">-NA_monthly!BP25+NA_monthly!BO25</f>
        <v>0</v>
      </c>
      <c r="BQ22" s="159" t="n">
        <f aca="false">-NA_monthly!BQ25+NA_monthly!BP25</f>
        <v>0</v>
      </c>
      <c r="BR22" s="159" t="n">
        <f aca="false">-NA_monthly!BR25+NA_monthly!BQ25</f>
        <v>0</v>
      </c>
      <c r="BS22" s="159" t="n">
        <f aca="false">-NA_monthly!BS25+NA_monthly!BR25</f>
        <v>0</v>
      </c>
      <c r="BT22" s="159" t="n">
        <f aca="false">-NA_monthly!BT25+NA_monthly!BS25</f>
        <v>0</v>
      </c>
      <c r="BU22" s="159" t="n">
        <f aca="false">-NA_monthly!BU25+NA_monthly!BT25</f>
        <v>0</v>
      </c>
      <c r="BV22" s="159" t="n">
        <f aca="false">-NA_monthly!BV25+NA_monthly!BU25</f>
        <v>0</v>
      </c>
      <c r="BW22" s="159" t="n">
        <f aca="false">-NA_monthly!BW25+NA_monthly!BV25</f>
        <v>0</v>
      </c>
      <c r="BX22" s="159" t="n">
        <f aca="false">-NA_monthly!BX25+NA_monthly!BW25</f>
        <v>0</v>
      </c>
      <c r="BY22" s="159" t="n">
        <f aca="false">-NA_monthly!BY25+NA_monthly!BX25</f>
        <v>0</v>
      </c>
      <c r="BZ22" s="159" t="n">
        <f aca="false">-NA_monthly!BZ25+NA_monthly!BY25</f>
        <v>0</v>
      </c>
      <c r="CA22" s="159" t="n">
        <f aca="false">-NA_monthly!CA25+NA_monthly!BZ25</f>
        <v>0</v>
      </c>
      <c r="CB22" s="159" t="n">
        <f aca="false">-NA_monthly!CB25+NA_monthly!CA25</f>
        <v>0</v>
      </c>
      <c r="CC22" s="159" t="n">
        <f aca="false">-NA_monthly!CC25+NA_monthly!CB25</f>
        <v>0</v>
      </c>
      <c r="CD22" s="159" t="n">
        <f aca="false">-NA_monthly!CD25+NA_monthly!CC25</f>
        <v>0</v>
      </c>
      <c r="CE22" s="159" t="n">
        <f aca="false">-NA_monthly!CE25+NA_monthly!CD25</f>
        <v>0</v>
      </c>
      <c r="CF22" s="159" t="n">
        <f aca="false">-NA_monthly!CF25+NA_monthly!CE25</f>
        <v>0</v>
      </c>
      <c r="CG22" s="159" t="n">
        <f aca="false">-NA_monthly!CG25+NA_monthly!CF25</f>
        <v>0</v>
      </c>
      <c r="CH22" s="159" t="n">
        <f aca="false">-NA_monthly!CH25+NA_monthly!CG25</f>
        <v>0</v>
      </c>
      <c r="CI22" s="159" t="n">
        <f aca="false">-NA_monthly!CI25+NA_monthly!CH25</f>
        <v>0</v>
      </c>
      <c r="CJ22" s="159" t="n">
        <f aca="false">-NA_monthly!CJ25+NA_monthly!CI25</f>
        <v>0</v>
      </c>
      <c r="CK22" s="159" t="n">
        <f aca="false">-NA_monthly!CK25+NA_monthly!CJ25</f>
        <v>0</v>
      </c>
    </row>
    <row r="23" customFormat="false" ht="11.25" hidden="false" customHeight="true" outlineLevel="0" collapsed="false">
      <c r="C23" s="51" t="str">
        <f aca="false">"∆ "&amp;'Lead NA'!C98</f>
        <v>∆ Forderungen gegenüber verbundenen/beteiligten Unternehmen</v>
      </c>
      <c r="D23" s="51" t="str">
        <f aca="false">"∆ "&amp;'Lead NA'!D98</f>
        <v>∆ Receivables from affiliated/ participating companies</v>
      </c>
      <c r="E23" s="137"/>
      <c r="F23" s="137"/>
      <c r="G23" s="159" t="n">
        <f aca="false">-NA_monthly!G26+NA_monthly!F26</f>
        <v>0</v>
      </c>
      <c r="H23" s="159" t="n">
        <f aca="false">-NA_monthly!H26+NA_monthly!G26</f>
        <v>0</v>
      </c>
      <c r="I23" s="159" t="n">
        <f aca="false">-NA_monthly!I26+NA_monthly!H26</f>
        <v>0</v>
      </c>
      <c r="J23" s="159" t="n">
        <f aca="false">-NA_monthly!J26+NA_monthly!I26</f>
        <v>0</v>
      </c>
      <c r="K23" s="159" t="n">
        <f aca="false">-NA_monthly!K26+NA_monthly!J26</f>
        <v>0</v>
      </c>
      <c r="L23" s="159" t="n">
        <f aca="false">-NA_monthly!L26+NA_monthly!K26</f>
        <v>0</v>
      </c>
      <c r="M23" s="159" t="n">
        <f aca="false">-NA_monthly!M26+NA_monthly!L26</f>
        <v>0</v>
      </c>
      <c r="N23" s="159" t="n">
        <f aca="false">-NA_monthly!N26+NA_monthly!M26</f>
        <v>0</v>
      </c>
      <c r="O23" s="159" t="n">
        <f aca="false">-NA_monthly!O26+NA_monthly!N26</f>
        <v>0</v>
      </c>
      <c r="P23" s="159" t="n">
        <f aca="false">-NA_monthly!P26+NA_monthly!O26</f>
        <v>0</v>
      </c>
      <c r="Q23" s="159" t="n">
        <f aca="false">-NA_monthly!Q26+NA_monthly!P26</f>
        <v>0</v>
      </c>
      <c r="R23" s="159" t="n">
        <f aca="false">-NA_monthly!R26+NA_monthly!Q26</f>
        <v>0</v>
      </c>
      <c r="S23" s="159" t="n">
        <f aca="false">-NA_monthly!S26+NA_monthly!R26</f>
        <v>0</v>
      </c>
      <c r="T23" s="159" t="n">
        <f aca="false">-NA_monthly!T26+NA_monthly!S26</f>
        <v>0</v>
      </c>
      <c r="U23" s="159" t="n">
        <f aca="false">-NA_monthly!U26+NA_monthly!T26</f>
        <v>0</v>
      </c>
      <c r="V23" s="159" t="n">
        <f aca="false">-NA_monthly!V26+NA_monthly!U26</f>
        <v>0</v>
      </c>
      <c r="W23" s="159" t="n">
        <f aca="false">-NA_monthly!W26+NA_monthly!V26</f>
        <v>0</v>
      </c>
      <c r="X23" s="159" t="n">
        <f aca="false">-NA_monthly!X26+NA_monthly!W26</f>
        <v>0</v>
      </c>
      <c r="Y23" s="159" t="n">
        <f aca="false">-NA_monthly!Y26+NA_monthly!X26</f>
        <v>0</v>
      </c>
      <c r="Z23" s="159" t="n">
        <f aca="false">-NA_monthly!Z26+NA_monthly!Y26</f>
        <v>0</v>
      </c>
      <c r="AA23" s="159" t="n">
        <f aca="false">-NA_monthly!AA26+NA_monthly!Z26</f>
        <v>0</v>
      </c>
      <c r="AB23" s="159" t="n">
        <f aca="false">-NA_monthly!AB26+NA_monthly!AA26</f>
        <v>0</v>
      </c>
      <c r="AC23" s="159" t="n">
        <f aca="false">-NA_monthly!AC26+NA_monthly!AB26</f>
        <v>0</v>
      </c>
      <c r="AD23" s="159" t="n">
        <f aca="false">-NA_monthly!AD26+NA_monthly!AC26</f>
        <v>0</v>
      </c>
      <c r="AE23" s="159" t="n">
        <f aca="false">-NA_monthly!AE26+NA_monthly!AD26</f>
        <v>0</v>
      </c>
      <c r="AF23" s="159" t="n">
        <f aca="false">-NA_monthly!AF26+NA_monthly!AE26</f>
        <v>0</v>
      </c>
      <c r="AG23" s="159" t="n">
        <f aca="false">-NA_monthly!AG26+NA_monthly!AF26</f>
        <v>0</v>
      </c>
      <c r="AH23" s="159" t="n">
        <f aca="false">-NA_monthly!AH26+NA_monthly!AG26</f>
        <v>0</v>
      </c>
      <c r="AI23" s="159" t="n">
        <f aca="false">-NA_monthly!AI26+NA_monthly!AH26</f>
        <v>0</v>
      </c>
      <c r="AJ23" s="159" t="n">
        <f aca="false">-NA_monthly!AJ26+NA_monthly!AI26</f>
        <v>0</v>
      </c>
      <c r="AK23" s="159" t="n">
        <f aca="false">-NA_monthly!AK26+NA_monthly!AJ26</f>
        <v>0</v>
      </c>
      <c r="AL23" s="159" t="n">
        <f aca="false">-NA_monthly!AL26+NA_monthly!AK26</f>
        <v>0</v>
      </c>
      <c r="AM23" s="159" t="n">
        <f aca="false">-NA_monthly!AM26+NA_monthly!AL26</f>
        <v>0</v>
      </c>
      <c r="AN23" s="159" t="n">
        <f aca="false">-NA_monthly!AN26+NA_monthly!AM26</f>
        <v>0</v>
      </c>
      <c r="AO23" s="159" t="n">
        <f aca="false">-NA_monthly!AO26+NA_monthly!AN26</f>
        <v>0</v>
      </c>
      <c r="AP23" s="159" t="n">
        <f aca="false">-NA_monthly!AP26+NA_monthly!AO26</f>
        <v>0</v>
      </c>
      <c r="AQ23" s="159" t="n">
        <f aca="false">-NA_monthly!AQ26+NA_monthly!AP26</f>
        <v>0</v>
      </c>
      <c r="AR23" s="159" t="n">
        <f aca="false">-NA_monthly!AR26+NA_monthly!AQ26</f>
        <v>0</v>
      </c>
      <c r="AS23" s="159" t="n">
        <f aca="false">-NA_monthly!AS26+NA_monthly!AR26</f>
        <v>0</v>
      </c>
      <c r="AT23" s="159" t="n">
        <f aca="false">-NA_monthly!AT26+NA_monthly!AS26</f>
        <v>0</v>
      </c>
      <c r="AU23" s="159" t="n">
        <f aca="false">-NA_monthly!AU26+NA_monthly!AT26</f>
        <v>0</v>
      </c>
      <c r="AV23" s="159" t="n">
        <f aca="false">-NA_monthly!AV26+NA_monthly!AU26</f>
        <v>0</v>
      </c>
      <c r="AW23" s="159" t="n">
        <f aca="false">-NA_monthly!AW26+NA_monthly!AV26</f>
        <v>0</v>
      </c>
      <c r="AX23" s="159" t="n">
        <f aca="false">-NA_monthly!AX26+NA_monthly!AW26</f>
        <v>0</v>
      </c>
      <c r="AY23" s="159" t="n">
        <f aca="false">-NA_monthly!AY26+NA_monthly!AX26</f>
        <v>0</v>
      </c>
      <c r="AZ23" s="159" t="n">
        <f aca="false">-NA_monthly!AZ26+NA_monthly!AY26</f>
        <v>0</v>
      </c>
      <c r="BA23" s="159" t="n">
        <f aca="false">-NA_monthly!BA26+NA_monthly!AZ26</f>
        <v>0</v>
      </c>
      <c r="BB23" s="159" t="n">
        <f aca="false">-NA_monthly!BB26+NA_monthly!BA26</f>
        <v>0</v>
      </c>
      <c r="BC23" s="159" t="n">
        <f aca="false">-NA_monthly!BC26+NA_monthly!BB26</f>
        <v>0</v>
      </c>
      <c r="BD23" s="159" t="n">
        <f aca="false">-NA_monthly!BD26+NA_monthly!BC26</f>
        <v>0</v>
      </c>
      <c r="BE23" s="159" t="n">
        <f aca="false">-NA_monthly!BE26+NA_monthly!BD26</f>
        <v>0</v>
      </c>
      <c r="BF23" s="159" t="n">
        <f aca="false">-NA_monthly!BF26+NA_monthly!BE26</f>
        <v>0</v>
      </c>
      <c r="BG23" s="159" t="n">
        <f aca="false">-NA_monthly!BG26+NA_monthly!BF26</f>
        <v>0</v>
      </c>
      <c r="BH23" s="159" t="n">
        <f aca="false">-NA_monthly!BH26+NA_monthly!BG26</f>
        <v>0</v>
      </c>
      <c r="BI23" s="159" t="n">
        <f aca="false">-NA_monthly!BI26+NA_monthly!BH26</f>
        <v>0</v>
      </c>
      <c r="BJ23" s="159" t="n">
        <f aca="false">-NA_monthly!BJ26+NA_monthly!BI26</f>
        <v>0</v>
      </c>
      <c r="BK23" s="159" t="n">
        <f aca="false">-NA_monthly!BK26+NA_monthly!BJ26</f>
        <v>0</v>
      </c>
      <c r="BL23" s="159" t="n">
        <f aca="false">-NA_monthly!BL26+NA_monthly!BK26</f>
        <v>0</v>
      </c>
      <c r="BM23" s="159" t="n">
        <f aca="false">-NA_monthly!BM26+NA_monthly!BL26</f>
        <v>0</v>
      </c>
      <c r="BN23" s="159" t="n">
        <f aca="false">-NA_monthly!BN26+NA_monthly!BM26</f>
        <v>0</v>
      </c>
      <c r="BO23" s="159" t="n">
        <f aca="false">-NA_monthly!BO26+NA_monthly!BN26</f>
        <v>0</v>
      </c>
      <c r="BP23" s="159" t="n">
        <f aca="false">-NA_monthly!BP26+NA_monthly!BO26</f>
        <v>0</v>
      </c>
      <c r="BQ23" s="159" t="n">
        <f aca="false">-NA_monthly!BQ26+NA_monthly!BP26</f>
        <v>0</v>
      </c>
      <c r="BR23" s="159" t="n">
        <f aca="false">-NA_monthly!BR26+NA_monthly!BQ26</f>
        <v>0</v>
      </c>
      <c r="BS23" s="159" t="n">
        <f aca="false">-NA_monthly!BS26+NA_monthly!BR26</f>
        <v>0</v>
      </c>
      <c r="BT23" s="159" t="n">
        <f aca="false">-NA_monthly!BT26+NA_monthly!BS26</f>
        <v>0</v>
      </c>
      <c r="BU23" s="159" t="n">
        <f aca="false">-NA_monthly!BU26+NA_monthly!BT26</f>
        <v>0</v>
      </c>
      <c r="BV23" s="159" t="n">
        <f aca="false">-NA_monthly!BV26+NA_monthly!BU26</f>
        <v>0</v>
      </c>
      <c r="BW23" s="159" t="n">
        <f aca="false">-NA_monthly!BW26+NA_monthly!BV26</f>
        <v>0</v>
      </c>
      <c r="BX23" s="159" t="n">
        <f aca="false">-NA_monthly!BX26+NA_monthly!BW26</f>
        <v>0</v>
      </c>
      <c r="BY23" s="159" t="n">
        <f aca="false">-NA_monthly!BY26+NA_monthly!BX26</f>
        <v>0</v>
      </c>
      <c r="BZ23" s="159" t="n">
        <f aca="false">-NA_monthly!BZ26+NA_monthly!BY26</f>
        <v>0</v>
      </c>
      <c r="CA23" s="159" t="n">
        <f aca="false">-NA_monthly!CA26+NA_monthly!BZ26</f>
        <v>0</v>
      </c>
      <c r="CB23" s="159" t="n">
        <f aca="false">-NA_monthly!CB26+NA_monthly!CA26</f>
        <v>0</v>
      </c>
      <c r="CC23" s="159" t="n">
        <f aca="false">-NA_monthly!CC26+NA_monthly!CB26</f>
        <v>0</v>
      </c>
      <c r="CD23" s="159" t="n">
        <f aca="false">-NA_monthly!CD26+NA_monthly!CC26</f>
        <v>0</v>
      </c>
      <c r="CE23" s="159" t="n">
        <f aca="false">-NA_monthly!CE26+NA_monthly!CD26</f>
        <v>0</v>
      </c>
      <c r="CF23" s="159" t="n">
        <f aca="false">-NA_monthly!CF26+NA_monthly!CE26</f>
        <v>0</v>
      </c>
      <c r="CG23" s="159" t="n">
        <f aca="false">-NA_monthly!CG26+NA_monthly!CF26</f>
        <v>0</v>
      </c>
      <c r="CH23" s="159" t="n">
        <f aca="false">-NA_monthly!CH26+NA_monthly!CG26</f>
        <v>0</v>
      </c>
      <c r="CI23" s="159" t="n">
        <f aca="false">-NA_monthly!CI26+NA_monthly!CH26</f>
        <v>0</v>
      </c>
      <c r="CJ23" s="159" t="n">
        <f aca="false">-NA_monthly!CJ26+NA_monthly!CI26</f>
        <v>0</v>
      </c>
      <c r="CK23" s="159" t="n">
        <f aca="false">-NA_monthly!CK26+NA_monthly!CJ26</f>
        <v>0</v>
      </c>
    </row>
    <row r="24" customFormat="false" ht="11.25" hidden="false" customHeight="true" outlineLevel="0" collapsed="false">
      <c r="C24" s="51" t="str">
        <f aca="false">"∆ "&amp;'Lead NA'!C107</f>
        <v>∆ Forderungen gegenüber Gesellschaftern</v>
      </c>
      <c r="D24" s="51" t="str">
        <f aca="false">"∆ "&amp;'Lead NA'!D107</f>
        <v>∆ Receivables from shareholders</v>
      </c>
      <c r="E24" s="137"/>
      <c r="F24" s="137"/>
      <c r="G24" s="159" t="n">
        <f aca="false">-NA_monthly!G27+NA_monthly!F27</f>
        <v>0</v>
      </c>
      <c r="H24" s="159" t="n">
        <f aca="false">-NA_monthly!H27+NA_monthly!G27</f>
        <v>0</v>
      </c>
      <c r="I24" s="159" t="n">
        <f aca="false">-NA_monthly!I27+NA_monthly!H27</f>
        <v>0</v>
      </c>
      <c r="J24" s="159" t="n">
        <f aca="false">-NA_monthly!J27+NA_monthly!I27</f>
        <v>0</v>
      </c>
      <c r="K24" s="159" t="n">
        <f aca="false">-NA_monthly!K27+NA_monthly!J27</f>
        <v>0</v>
      </c>
      <c r="L24" s="159" t="n">
        <f aca="false">-NA_monthly!L27+NA_monthly!K27</f>
        <v>0</v>
      </c>
      <c r="M24" s="159" t="n">
        <f aca="false">-NA_monthly!M27+NA_monthly!L27</f>
        <v>0</v>
      </c>
      <c r="N24" s="159" t="n">
        <f aca="false">-NA_monthly!N27+NA_monthly!M27</f>
        <v>0</v>
      </c>
      <c r="O24" s="159" t="n">
        <f aca="false">-NA_monthly!O27+NA_monthly!N27</f>
        <v>0</v>
      </c>
      <c r="P24" s="159" t="n">
        <f aca="false">-NA_monthly!P27+NA_monthly!O27</f>
        <v>0</v>
      </c>
      <c r="Q24" s="159" t="n">
        <f aca="false">-NA_monthly!Q27+NA_monthly!P27</f>
        <v>0</v>
      </c>
      <c r="R24" s="159" t="n">
        <f aca="false">-NA_monthly!R27+NA_monthly!Q27</f>
        <v>0</v>
      </c>
      <c r="S24" s="159" t="n">
        <f aca="false">-NA_monthly!S27+NA_monthly!R27</f>
        <v>0</v>
      </c>
      <c r="T24" s="159" t="n">
        <f aca="false">-NA_monthly!T27+NA_monthly!S27</f>
        <v>0</v>
      </c>
      <c r="U24" s="159" t="n">
        <f aca="false">-NA_monthly!U27+NA_monthly!T27</f>
        <v>0</v>
      </c>
      <c r="V24" s="159" t="n">
        <f aca="false">-NA_monthly!V27+NA_monthly!U27</f>
        <v>0</v>
      </c>
      <c r="W24" s="159" t="n">
        <f aca="false">-NA_monthly!W27+NA_monthly!V27</f>
        <v>0</v>
      </c>
      <c r="X24" s="159" t="n">
        <f aca="false">-NA_monthly!X27+NA_monthly!W27</f>
        <v>0</v>
      </c>
      <c r="Y24" s="159" t="n">
        <f aca="false">-NA_monthly!Y27+NA_monthly!X27</f>
        <v>0</v>
      </c>
      <c r="Z24" s="159" t="n">
        <f aca="false">-NA_monthly!Z27+NA_monthly!Y27</f>
        <v>0</v>
      </c>
      <c r="AA24" s="159" t="n">
        <f aca="false">-NA_monthly!AA27+NA_monthly!Z27</f>
        <v>0</v>
      </c>
      <c r="AB24" s="159" t="n">
        <f aca="false">-NA_monthly!AB27+NA_monthly!AA27</f>
        <v>0</v>
      </c>
      <c r="AC24" s="159" t="n">
        <f aca="false">-NA_monthly!AC27+NA_monthly!AB27</f>
        <v>0</v>
      </c>
      <c r="AD24" s="159" t="n">
        <f aca="false">-NA_monthly!AD27+NA_monthly!AC27</f>
        <v>0</v>
      </c>
      <c r="AE24" s="159" t="n">
        <f aca="false">-NA_monthly!AE27+NA_monthly!AD27</f>
        <v>0</v>
      </c>
      <c r="AF24" s="159" t="n">
        <f aca="false">-NA_monthly!AF27+NA_monthly!AE27</f>
        <v>0</v>
      </c>
      <c r="AG24" s="159" t="n">
        <f aca="false">-NA_monthly!AG27+NA_monthly!AF27</f>
        <v>0</v>
      </c>
      <c r="AH24" s="159" t="n">
        <f aca="false">-NA_monthly!AH27+NA_monthly!AG27</f>
        <v>0</v>
      </c>
      <c r="AI24" s="159" t="n">
        <f aca="false">-NA_monthly!AI27+NA_monthly!AH27</f>
        <v>0</v>
      </c>
      <c r="AJ24" s="159" t="n">
        <f aca="false">-NA_monthly!AJ27+NA_monthly!AI27</f>
        <v>0</v>
      </c>
      <c r="AK24" s="159" t="n">
        <f aca="false">-NA_monthly!AK27+NA_monthly!AJ27</f>
        <v>0</v>
      </c>
      <c r="AL24" s="159" t="n">
        <f aca="false">-NA_monthly!AL27+NA_monthly!AK27</f>
        <v>0</v>
      </c>
      <c r="AM24" s="159" t="n">
        <f aca="false">-NA_monthly!AM27+NA_monthly!AL27</f>
        <v>0</v>
      </c>
      <c r="AN24" s="159" t="n">
        <f aca="false">-NA_monthly!AN27+NA_monthly!AM27</f>
        <v>0</v>
      </c>
      <c r="AO24" s="159" t="n">
        <f aca="false">-NA_monthly!AO27+NA_monthly!AN27</f>
        <v>0</v>
      </c>
      <c r="AP24" s="159" t="n">
        <f aca="false">-NA_monthly!AP27+NA_monthly!AO27</f>
        <v>0</v>
      </c>
      <c r="AQ24" s="159" t="n">
        <f aca="false">-NA_monthly!AQ27+NA_monthly!AP27</f>
        <v>0</v>
      </c>
      <c r="AR24" s="159" t="n">
        <f aca="false">-NA_monthly!AR27+NA_monthly!AQ27</f>
        <v>0</v>
      </c>
      <c r="AS24" s="159" t="n">
        <f aca="false">-NA_monthly!AS27+NA_monthly!AR27</f>
        <v>0</v>
      </c>
      <c r="AT24" s="159" t="n">
        <f aca="false">-NA_monthly!AT27+NA_monthly!AS27</f>
        <v>0</v>
      </c>
      <c r="AU24" s="159" t="n">
        <f aca="false">-NA_monthly!AU27+NA_monthly!AT27</f>
        <v>0</v>
      </c>
      <c r="AV24" s="159" t="n">
        <f aca="false">-NA_monthly!AV27+NA_monthly!AU27</f>
        <v>0</v>
      </c>
      <c r="AW24" s="159" t="n">
        <f aca="false">-NA_monthly!AW27+NA_monthly!AV27</f>
        <v>0</v>
      </c>
      <c r="AX24" s="159" t="n">
        <f aca="false">-NA_monthly!AX27+NA_monthly!AW27</f>
        <v>0</v>
      </c>
      <c r="AY24" s="159" t="n">
        <f aca="false">-NA_monthly!AY27+NA_monthly!AX27</f>
        <v>0</v>
      </c>
      <c r="AZ24" s="159" t="n">
        <f aca="false">-NA_monthly!AZ27+NA_monthly!AY27</f>
        <v>0</v>
      </c>
      <c r="BA24" s="159" t="n">
        <f aca="false">-NA_monthly!BA27+NA_monthly!AZ27</f>
        <v>0</v>
      </c>
      <c r="BB24" s="159" t="n">
        <f aca="false">-NA_monthly!BB27+NA_monthly!BA27</f>
        <v>0</v>
      </c>
      <c r="BC24" s="159" t="n">
        <f aca="false">-NA_monthly!BC27+NA_monthly!BB27</f>
        <v>0</v>
      </c>
      <c r="BD24" s="159" t="n">
        <f aca="false">-NA_monthly!BD27+NA_monthly!BC27</f>
        <v>0</v>
      </c>
      <c r="BE24" s="159" t="n">
        <f aca="false">-NA_monthly!BE27+NA_monthly!BD27</f>
        <v>0</v>
      </c>
      <c r="BF24" s="159" t="n">
        <f aca="false">-NA_monthly!BF27+NA_monthly!BE27</f>
        <v>0</v>
      </c>
      <c r="BG24" s="159" t="n">
        <f aca="false">-NA_monthly!BG27+NA_monthly!BF27</f>
        <v>0</v>
      </c>
      <c r="BH24" s="159" t="n">
        <f aca="false">-NA_monthly!BH27+NA_monthly!BG27</f>
        <v>0</v>
      </c>
      <c r="BI24" s="159" t="n">
        <f aca="false">-NA_monthly!BI27+NA_monthly!BH27</f>
        <v>0</v>
      </c>
      <c r="BJ24" s="159" t="n">
        <f aca="false">-NA_monthly!BJ27+NA_monthly!BI27</f>
        <v>0</v>
      </c>
      <c r="BK24" s="159" t="n">
        <f aca="false">-NA_monthly!BK27+NA_monthly!BJ27</f>
        <v>0</v>
      </c>
      <c r="BL24" s="159" t="n">
        <f aca="false">-NA_monthly!BL27+NA_monthly!BK27</f>
        <v>0</v>
      </c>
      <c r="BM24" s="159" t="n">
        <f aca="false">-NA_monthly!BM27+NA_monthly!BL27</f>
        <v>0</v>
      </c>
      <c r="BN24" s="159" t="n">
        <f aca="false">-NA_monthly!BN27+NA_monthly!BM27</f>
        <v>0</v>
      </c>
      <c r="BO24" s="159" t="n">
        <f aca="false">-NA_monthly!BO27+NA_monthly!BN27</f>
        <v>0</v>
      </c>
      <c r="BP24" s="159" t="n">
        <f aca="false">-NA_monthly!BP27+NA_monthly!BO27</f>
        <v>0</v>
      </c>
      <c r="BQ24" s="159" t="n">
        <f aca="false">-NA_monthly!BQ27+NA_monthly!BP27</f>
        <v>0</v>
      </c>
      <c r="BR24" s="159" t="n">
        <f aca="false">-NA_monthly!BR27+NA_monthly!BQ27</f>
        <v>0</v>
      </c>
      <c r="BS24" s="159" t="n">
        <f aca="false">-NA_monthly!BS27+NA_monthly!BR27</f>
        <v>0</v>
      </c>
      <c r="BT24" s="159" t="n">
        <f aca="false">-NA_monthly!BT27+NA_monthly!BS27</f>
        <v>0</v>
      </c>
      <c r="BU24" s="159" t="n">
        <f aca="false">-NA_monthly!BU27+NA_monthly!BT27</f>
        <v>0</v>
      </c>
      <c r="BV24" s="159" t="n">
        <f aca="false">-NA_monthly!BV27+NA_monthly!BU27</f>
        <v>0</v>
      </c>
      <c r="BW24" s="159" t="n">
        <f aca="false">-NA_monthly!BW27+NA_monthly!BV27</f>
        <v>0</v>
      </c>
      <c r="BX24" s="159" t="n">
        <f aca="false">-NA_monthly!BX27+NA_monthly!BW27</f>
        <v>0</v>
      </c>
      <c r="BY24" s="159" t="n">
        <f aca="false">-NA_monthly!BY27+NA_monthly!BX27</f>
        <v>0</v>
      </c>
      <c r="BZ24" s="159" t="n">
        <f aca="false">-NA_monthly!BZ27+NA_monthly!BY27</f>
        <v>0</v>
      </c>
      <c r="CA24" s="159" t="n">
        <f aca="false">-NA_monthly!CA27+NA_monthly!BZ27</f>
        <v>0</v>
      </c>
      <c r="CB24" s="159" t="n">
        <f aca="false">-NA_monthly!CB27+NA_monthly!CA27</f>
        <v>0</v>
      </c>
      <c r="CC24" s="159" t="n">
        <f aca="false">-NA_monthly!CC27+NA_monthly!CB27</f>
        <v>0</v>
      </c>
      <c r="CD24" s="159" t="n">
        <f aca="false">-NA_monthly!CD27+NA_monthly!CC27</f>
        <v>0</v>
      </c>
      <c r="CE24" s="159" t="n">
        <f aca="false">-NA_monthly!CE27+NA_monthly!CD27</f>
        <v>0</v>
      </c>
      <c r="CF24" s="159" t="n">
        <f aca="false">-NA_monthly!CF27+NA_monthly!CE27</f>
        <v>0</v>
      </c>
      <c r="CG24" s="159" t="n">
        <f aca="false">-NA_monthly!CG27+NA_monthly!CF27</f>
        <v>0</v>
      </c>
      <c r="CH24" s="159" t="n">
        <f aca="false">-NA_monthly!CH27+NA_monthly!CG27</f>
        <v>0</v>
      </c>
      <c r="CI24" s="159" t="n">
        <f aca="false">-NA_monthly!CI27+NA_monthly!CH27</f>
        <v>0</v>
      </c>
      <c r="CJ24" s="159" t="n">
        <f aca="false">-NA_monthly!CJ27+NA_monthly!CI27</f>
        <v>0</v>
      </c>
      <c r="CK24" s="159" t="n">
        <f aca="false">-NA_monthly!CK27+NA_monthly!CJ27</f>
        <v>0</v>
      </c>
    </row>
    <row r="25" customFormat="false" ht="11.25" hidden="false" customHeight="true" outlineLevel="2" collapsed="false">
      <c r="C25" s="51" t="str">
        <f aca="false">"∆ "&amp;'Lead NA'!C116</f>
        <v>∆ Dummy 1</v>
      </c>
      <c r="D25" s="51" t="str">
        <f aca="false">"∆ "&amp;'Lead NA'!D116</f>
        <v>∆ Dummy 1</v>
      </c>
      <c r="E25" s="137"/>
      <c r="F25" s="137"/>
      <c r="G25" s="159" t="n">
        <f aca="false">-NA_monthly!G28+NA_monthly!F28</f>
        <v>0</v>
      </c>
      <c r="H25" s="159" t="n">
        <f aca="false">-NA_monthly!H28+NA_monthly!G28</f>
        <v>0</v>
      </c>
      <c r="I25" s="159" t="n">
        <f aca="false">-NA_monthly!I28+NA_monthly!H28</f>
        <v>0</v>
      </c>
      <c r="J25" s="159" t="n">
        <f aca="false">-NA_monthly!J28+NA_monthly!I28</f>
        <v>0</v>
      </c>
      <c r="K25" s="159" t="n">
        <f aca="false">-NA_monthly!K28+NA_monthly!J28</f>
        <v>0</v>
      </c>
      <c r="L25" s="159" t="n">
        <f aca="false">-NA_monthly!L28+NA_monthly!K28</f>
        <v>0</v>
      </c>
      <c r="M25" s="159" t="n">
        <f aca="false">-NA_monthly!M28+NA_monthly!L28</f>
        <v>0</v>
      </c>
      <c r="N25" s="159" t="n">
        <f aca="false">-NA_monthly!N28+NA_monthly!M28</f>
        <v>0</v>
      </c>
      <c r="O25" s="159" t="n">
        <f aca="false">-NA_monthly!O28+NA_monthly!N28</f>
        <v>0</v>
      </c>
      <c r="P25" s="159" t="n">
        <f aca="false">-NA_monthly!P28+NA_monthly!O28</f>
        <v>0</v>
      </c>
      <c r="Q25" s="159" t="n">
        <f aca="false">-NA_monthly!Q28+NA_monthly!P28</f>
        <v>0</v>
      </c>
      <c r="R25" s="159" t="n">
        <f aca="false">-NA_monthly!R28+NA_monthly!Q28</f>
        <v>0</v>
      </c>
      <c r="S25" s="159" t="n">
        <f aca="false">-NA_monthly!S28+NA_monthly!R28</f>
        <v>0</v>
      </c>
      <c r="T25" s="159" t="n">
        <f aca="false">-NA_monthly!T28+NA_monthly!S28</f>
        <v>0</v>
      </c>
      <c r="U25" s="159" t="n">
        <f aca="false">-NA_monthly!U28+NA_monthly!T28</f>
        <v>0</v>
      </c>
      <c r="V25" s="159" t="n">
        <f aca="false">-NA_monthly!V28+NA_monthly!U28</f>
        <v>0</v>
      </c>
      <c r="W25" s="159" t="n">
        <f aca="false">-NA_monthly!W28+NA_monthly!V28</f>
        <v>0</v>
      </c>
      <c r="X25" s="159" t="n">
        <f aca="false">-NA_monthly!X28+NA_monthly!W28</f>
        <v>0</v>
      </c>
      <c r="Y25" s="159" t="n">
        <f aca="false">-NA_monthly!Y28+NA_monthly!X28</f>
        <v>0</v>
      </c>
      <c r="Z25" s="159" t="n">
        <f aca="false">-NA_monthly!Z28+NA_monthly!Y28</f>
        <v>0</v>
      </c>
      <c r="AA25" s="159" t="n">
        <f aca="false">-NA_monthly!AA28+NA_monthly!Z28</f>
        <v>0</v>
      </c>
      <c r="AB25" s="159" t="n">
        <f aca="false">-NA_monthly!AB28+NA_monthly!AA28</f>
        <v>0</v>
      </c>
      <c r="AC25" s="159" t="n">
        <f aca="false">-NA_monthly!AC28+NA_monthly!AB28</f>
        <v>0</v>
      </c>
      <c r="AD25" s="159" t="n">
        <f aca="false">-NA_monthly!AD28+NA_monthly!AC28</f>
        <v>0</v>
      </c>
      <c r="AE25" s="159" t="n">
        <f aca="false">-NA_monthly!AE28+NA_monthly!AD28</f>
        <v>0</v>
      </c>
      <c r="AF25" s="159" t="n">
        <f aca="false">-NA_monthly!AF28+NA_monthly!AE28</f>
        <v>0</v>
      </c>
      <c r="AG25" s="159" t="n">
        <f aca="false">-NA_monthly!AG28+NA_monthly!AF28</f>
        <v>0</v>
      </c>
      <c r="AH25" s="159" t="n">
        <f aca="false">-NA_monthly!AH28+NA_monthly!AG28</f>
        <v>0</v>
      </c>
      <c r="AI25" s="159" t="n">
        <f aca="false">-NA_monthly!AI28+NA_monthly!AH28</f>
        <v>0</v>
      </c>
      <c r="AJ25" s="159" t="n">
        <f aca="false">-NA_monthly!AJ28+NA_monthly!AI28</f>
        <v>0</v>
      </c>
      <c r="AK25" s="159" t="n">
        <f aca="false">-NA_monthly!AK28+NA_monthly!AJ28</f>
        <v>0</v>
      </c>
      <c r="AL25" s="159" t="n">
        <f aca="false">-NA_monthly!AL28+NA_monthly!AK28</f>
        <v>0</v>
      </c>
      <c r="AM25" s="159" t="n">
        <f aca="false">-NA_monthly!AM28+NA_monthly!AL28</f>
        <v>0</v>
      </c>
      <c r="AN25" s="159" t="n">
        <f aca="false">-NA_monthly!AN28+NA_monthly!AM28</f>
        <v>0</v>
      </c>
      <c r="AO25" s="159" t="n">
        <f aca="false">-NA_monthly!AO28+NA_monthly!AN28</f>
        <v>0</v>
      </c>
      <c r="AP25" s="159" t="n">
        <f aca="false">-NA_monthly!AP28+NA_monthly!AO28</f>
        <v>0</v>
      </c>
      <c r="AQ25" s="159" t="n">
        <f aca="false">-NA_monthly!AQ28+NA_monthly!AP28</f>
        <v>0</v>
      </c>
      <c r="AR25" s="159" t="n">
        <f aca="false">-NA_monthly!AR28+NA_monthly!AQ28</f>
        <v>0</v>
      </c>
      <c r="AS25" s="159" t="n">
        <f aca="false">-NA_monthly!AS28+NA_monthly!AR28</f>
        <v>0</v>
      </c>
      <c r="AT25" s="159" t="n">
        <f aca="false">-NA_monthly!AT28+NA_monthly!AS28</f>
        <v>0</v>
      </c>
      <c r="AU25" s="159" t="n">
        <f aca="false">-NA_monthly!AU28+NA_monthly!AT28</f>
        <v>0</v>
      </c>
      <c r="AV25" s="159" t="n">
        <f aca="false">-NA_monthly!AV28+NA_monthly!AU28</f>
        <v>0</v>
      </c>
      <c r="AW25" s="159" t="n">
        <f aca="false">-NA_monthly!AW28+NA_monthly!AV28</f>
        <v>0</v>
      </c>
      <c r="AX25" s="159" t="n">
        <f aca="false">-NA_monthly!AX28+NA_monthly!AW28</f>
        <v>0</v>
      </c>
      <c r="AY25" s="159" t="n">
        <f aca="false">-NA_monthly!AY28+NA_monthly!AX28</f>
        <v>0</v>
      </c>
      <c r="AZ25" s="159" t="n">
        <f aca="false">-NA_monthly!AZ28+NA_monthly!AY28</f>
        <v>0</v>
      </c>
      <c r="BA25" s="159" t="n">
        <f aca="false">-NA_monthly!BA28+NA_monthly!AZ28</f>
        <v>0</v>
      </c>
      <c r="BB25" s="159" t="n">
        <f aca="false">-NA_monthly!BB28+NA_monthly!BA28</f>
        <v>0</v>
      </c>
      <c r="BC25" s="159" t="n">
        <f aca="false">-NA_monthly!BC28+NA_monthly!BB28</f>
        <v>0</v>
      </c>
      <c r="BD25" s="159" t="n">
        <f aca="false">-NA_monthly!BD28+NA_monthly!BC28</f>
        <v>0</v>
      </c>
      <c r="BE25" s="159" t="n">
        <f aca="false">-NA_monthly!BE28+NA_monthly!BD28</f>
        <v>0</v>
      </c>
      <c r="BF25" s="159" t="n">
        <f aca="false">-NA_monthly!BF28+NA_monthly!BE28</f>
        <v>0</v>
      </c>
      <c r="BG25" s="159" t="n">
        <f aca="false">-NA_monthly!BG28+NA_monthly!BF28</f>
        <v>0</v>
      </c>
      <c r="BH25" s="159" t="n">
        <f aca="false">-NA_monthly!BH28+NA_monthly!BG28</f>
        <v>0</v>
      </c>
      <c r="BI25" s="159" t="n">
        <f aca="false">-NA_monthly!BI28+NA_monthly!BH28</f>
        <v>0</v>
      </c>
      <c r="BJ25" s="159" t="n">
        <f aca="false">-NA_monthly!BJ28+NA_monthly!BI28</f>
        <v>0</v>
      </c>
      <c r="BK25" s="159" t="n">
        <f aca="false">-NA_monthly!BK28+NA_monthly!BJ28</f>
        <v>0</v>
      </c>
      <c r="BL25" s="159" t="n">
        <f aca="false">-NA_monthly!BL28+NA_monthly!BK28</f>
        <v>0</v>
      </c>
      <c r="BM25" s="159" t="n">
        <f aca="false">-NA_monthly!BM28+NA_monthly!BL28</f>
        <v>0</v>
      </c>
      <c r="BN25" s="159" t="n">
        <f aca="false">-NA_monthly!BN28+NA_monthly!BM28</f>
        <v>0</v>
      </c>
      <c r="BO25" s="159" t="n">
        <f aca="false">-NA_monthly!BO28+NA_monthly!BN28</f>
        <v>0</v>
      </c>
      <c r="BP25" s="159" t="n">
        <f aca="false">-NA_monthly!BP28+NA_monthly!BO28</f>
        <v>0</v>
      </c>
      <c r="BQ25" s="159" t="n">
        <f aca="false">-NA_monthly!BQ28+NA_monthly!BP28</f>
        <v>0</v>
      </c>
      <c r="BR25" s="159" t="n">
        <f aca="false">-NA_monthly!BR28+NA_monthly!BQ28</f>
        <v>0</v>
      </c>
      <c r="BS25" s="159" t="n">
        <f aca="false">-NA_monthly!BS28+NA_monthly!BR28</f>
        <v>0</v>
      </c>
      <c r="BT25" s="159" t="n">
        <f aca="false">-NA_monthly!BT28+NA_monthly!BS28</f>
        <v>0</v>
      </c>
      <c r="BU25" s="159" t="n">
        <f aca="false">-NA_monthly!BU28+NA_monthly!BT28</f>
        <v>0</v>
      </c>
      <c r="BV25" s="159" t="n">
        <f aca="false">-NA_monthly!BV28+NA_monthly!BU28</f>
        <v>0</v>
      </c>
      <c r="BW25" s="159" t="n">
        <f aca="false">-NA_monthly!BW28+NA_monthly!BV28</f>
        <v>0</v>
      </c>
      <c r="BX25" s="159" t="n">
        <f aca="false">-NA_monthly!BX28+NA_monthly!BW28</f>
        <v>0</v>
      </c>
      <c r="BY25" s="159" t="n">
        <f aca="false">-NA_monthly!BY28+NA_monthly!BX28</f>
        <v>0</v>
      </c>
      <c r="BZ25" s="159" t="n">
        <f aca="false">-NA_monthly!BZ28+NA_monthly!BY28</f>
        <v>0</v>
      </c>
      <c r="CA25" s="159" t="n">
        <f aca="false">-NA_monthly!CA28+NA_monthly!BZ28</f>
        <v>0</v>
      </c>
      <c r="CB25" s="159" t="n">
        <f aca="false">-NA_monthly!CB28+NA_monthly!CA28</f>
        <v>0</v>
      </c>
      <c r="CC25" s="159" t="n">
        <f aca="false">-NA_monthly!CC28+NA_monthly!CB28</f>
        <v>0</v>
      </c>
      <c r="CD25" s="159" t="n">
        <f aca="false">-NA_monthly!CD28+NA_monthly!CC28</f>
        <v>0</v>
      </c>
      <c r="CE25" s="159" t="n">
        <f aca="false">-NA_monthly!CE28+NA_monthly!CD28</f>
        <v>0</v>
      </c>
      <c r="CF25" s="159" t="n">
        <f aca="false">-NA_monthly!CF28+NA_monthly!CE28</f>
        <v>0</v>
      </c>
      <c r="CG25" s="159" t="n">
        <f aca="false">-NA_monthly!CG28+NA_monthly!CF28</f>
        <v>0</v>
      </c>
      <c r="CH25" s="159" t="n">
        <f aca="false">-NA_monthly!CH28+NA_monthly!CG28</f>
        <v>0</v>
      </c>
      <c r="CI25" s="159" t="n">
        <f aca="false">-NA_monthly!CI28+NA_monthly!CH28</f>
        <v>0</v>
      </c>
      <c r="CJ25" s="159" t="n">
        <f aca="false">-NA_monthly!CJ28+NA_monthly!CI28</f>
        <v>0</v>
      </c>
      <c r="CK25" s="159" t="n">
        <f aca="false">-NA_monthly!CK28+NA_monthly!CJ28</f>
        <v>0</v>
      </c>
    </row>
    <row r="26" customFormat="false" ht="11.25" hidden="false" customHeight="true" outlineLevel="2" collapsed="false">
      <c r="C26" s="51" t="str">
        <f aca="false">"∆ "&amp;'Lead NA'!C117</f>
        <v>∆ Dummy 2</v>
      </c>
      <c r="D26" s="51" t="str">
        <f aca="false">"∆ "&amp;'Lead NA'!D117</f>
        <v>∆ Dummy 2</v>
      </c>
      <c r="E26" s="137"/>
      <c r="F26" s="137"/>
      <c r="G26" s="159" t="n">
        <f aca="false">-NA_monthly!G29+NA_monthly!F29</f>
        <v>0</v>
      </c>
      <c r="H26" s="159" t="n">
        <f aca="false">-NA_monthly!H29+NA_monthly!G29</f>
        <v>0</v>
      </c>
      <c r="I26" s="159" t="n">
        <f aca="false">-NA_monthly!I29+NA_monthly!H29</f>
        <v>0</v>
      </c>
      <c r="J26" s="159" t="n">
        <f aca="false">-NA_monthly!J29+NA_monthly!I29</f>
        <v>0</v>
      </c>
      <c r="K26" s="159" t="n">
        <f aca="false">-NA_monthly!K29+NA_monthly!J29</f>
        <v>0</v>
      </c>
      <c r="L26" s="159" t="n">
        <f aca="false">-NA_monthly!L29+NA_monthly!K29</f>
        <v>0</v>
      </c>
      <c r="M26" s="159" t="n">
        <f aca="false">-NA_monthly!M29+NA_monthly!L29</f>
        <v>0</v>
      </c>
      <c r="N26" s="159" t="n">
        <f aca="false">-NA_monthly!N29+NA_monthly!M29</f>
        <v>0</v>
      </c>
      <c r="O26" s="159" t="n">
        <f aca="false">-NA_monthly!O29+NA_monthly!N29</f>
        <v>0</v>
      </c>
      <c r="P26" s="159" t="n">
        <f aca="false">-NA_monthly!P29+NA_monthly!O29</f>
        <v>0</v>
      </c>
      <c r="Q26" s="159" t="n">
        <f aca="false">-NA_monthly!Q29+NA_monthly!P29</f>
        <v>0</v>
      </c>
      <c r="R26" s="159" t="n">
        <f aca="false">-NA_monthly!R29+NA_monthly!Q29</f>
        <v>0</v>
      </c>
      <c r="S26" s="159" t="n">
        <f aca="false">-NA_monthly!S29+NA_monthly!R29</f>
        <v>0</v>
      </c>
      <c r="T26" s="159" t="n">
        <f aca="false">-NA_monthly!T29+NA_monthly!S29</f>
        <v>0</v>
      </c>
      <c r="U26" s="159" t="n">
        <f aca="false">-NA_monthly!U29+NA_monthly!T29</f>
        <v>0</v>
      </c>
      <c r="V26" s="159" t="n">
        <f aca="false">-NA_monthly!V29+NA_monthly!U29</f>
        <v>0</v>
      </c>
      <c r="W26" s="159" t="n">
        <f aca="false">-NA_monthly!W29+NA_monthly!V29</f>
        <v>0</v>
      </c>
      <c r="X26" s="159" t="n">
        <f aca="false">-NA_monthly!X29+NA_monthly!W29</f>
        <v>0</v>
      </c>
      <c r="Y26" s="159" t="n">
        <f aca="false">-NA_monthly!Y29+NA_monthly!X29</f>
        <v>0</v>
      </c>
      <c r="Z26" s="159" t="n">
        <f aca="false">-NA_monthly!Z29+NA_monthly!Y29</f>
        <v>0</v>
      </c>
      <c r="AA26" s="159" t="n">
        <f aca="false">-NA_monthly!AA29+NA_monthly!Z29</f>
        <v>0</v>
      </c>
      <c r="AB26" s="159" t="n">
        <f aca="false">-NA_monthly!AB29+NA_monthly!AA29</f>
        <v>0</v>
      </c>
      <c r="AC26" s="159" t="n">
        <f aca="false">-NA_monthly!AC29+NA_monthly!AB29</f>
        <v>0</v>
      </c>
      <c r="AD26" s="159" t="n">
        <f aca="false">-NA_monthly!AD29+NA_monthly!AC29</f>
        <v>0</v>
      </c>
      <c r="AE26" s="159" t="n">
        <f aca="false">-NA_monthly!AE29+NA_monthly!AD29</f>
        <v>0</v>
      </c>
      <c r="AF26" s="159" t="n">
        <f aca="false">-NA_monthly!AF29+NA_monthly!AE29</f>
        <v>0</v>
      </c>
      <c r="AG26" s="159" t="n">
        <f aca="false">-NA_monthly!AG29+NA_monthly!AF29</f>
        <v>0</v>
      </c>
      <c r="AH26" s="159" t="n">
        <f aca="false">-NA_monthly!AH29+NA_monthly!AG29</f>
        <v>0</v>
      </c>
      <c r="AI26" s="159" t="n">
        <f aca="false">-NA_monthly!AI29+NA_monthly!AH29</f>
        <v>0</v>
      </c>
      <c r="AJ26" s="159" t="n">
        <f aca="false">-NA_monthly!AJ29+NA_monthly!AI29</f>
        <v>0</v>
      </c>
      <c r="AK26" s="159" t="n">
        <f aca="false">-NA_monthly!AK29+NA_monthly!AJ29</f>
        <v>0</v>
      </c>
      <c r="AL26" s="159" t="n">
        <f aca="false">-NA_monthly!AL29+NA_monthly!AK29</f>
        <v>0</v>
      </c>
      <c r="AM26" s="159" t="n">
        <f aca="false">-NA_monthly!AM29+NA_monthly!AL29</f>
        <v>0</v>
      </c>
      <c r="AN26" s="159" t="n">
        <f aca="false">-NA_monthly!AN29+NA_monthly!AM29</f>
        <v>0</v>
      </c>
      <c r="AO26" s="159" t="n">
        <f aca="false">-NA_monthly!AO29+NA_monthly!AN29</f>
        <v>0</v>
      </c>
      <c r="AP26" s="159" t="n">
        <f aca="false">-NA_monthly!AP29+NA_monthly!AO29</f>
        <v>0</v>
      </c>
      <c r="AQ26" s="159" t="n">
        <f aca="false">-NA_monthly!AQ29+NA_monthly!AP29</f>
        <v>0</v>
      </c>
      <c r="AR26" s="159" t="n">
        <f aca="false">-NA_monthly!AR29+NA_monthly!AQ29</f>
        <v>0</v>
      </c>
      <c r="AS26" s="159" t="n">
        <f aca="false">-NA_monthly!AS29+NA_monthly!AR29</f>
        <v>0</v>
      </c>
      <c r="AT26" s="159" t="n">
        <f aca="false">-NA_monthly!AT29+NA_monthly!AS29</f>
        <v>0</v>
      </c>
      <c r="AU26" s="159" t="n">
        <f aca="false">-NA_monthly!AU29+NA_monthly!AT29</f>
        <v>0</v>
      </c>
      <c r="AV26" s="159" t="n">
        <f aca="false">-NA_monthly!AV29+NA_monthly!AU29</f>
        <v>0</v>
      </c>
      <c r="AW26" s="159" t="n">
        <f aca="false">-NA_monthly!AW29+NA_monthly!AV29</f>
        <v>0</v>
      </c>
      <c r="AX26" s="159" t="n">
        <f aca="false">-NA_monthly!AX29+NA_monthly!AW29</f>
        <v>0</v>
      </c>
      <c r="AY26" s="159" t="n">
        <f aca="false">-NA_monthly!AY29+NA_monthly!AX29</f>
        <v>0</v>
      </c>
      <c r="AZ26" s="159" t="n">
        <f aca="false">-NA_monthly!AZ29+NA_monthly!AY29</f>
        <v>0</v>
      </c>
      <c r="BA26" s="159" t="n">
        <f aca="false">-NA_monthly!BA29+NA_monthly!AZ29</f>
        <v>0</v>
      </c>
      <c r="BB26" s="159" t="n">
        <f aca="false">-NA_monthly!BB29+NA_monthly!BA29</f>
        <v>0</v>
      </c>
      <c r="BC26" s="159" t="n">
        <f aca="false">-NA_monthly!BC29+NA_monthly!BB29</f>
        <v>0</v>
      </c>
      <c r="BD26" s="159" t="n">
        <f aca="false">-NA_monthly!BD29+NA_monthly!BC29</f>
        <v>0</v>
      </c>
      <c r="BE26" s="159" t="n">
        <f aca="false">-NA_monthly!BE29+NA_monthly!BD29</f>
        <v>0</v>
      </c>
      <c r="BF26" s="159" t="n">
        <f aca="false">-NA_monthly!BF29+NA_monthly!BE29</f>
        <v>0</v>
      </c>
      <c r="BG26" s="159" t="n">
        <f aca="false">-NA_monthly!BG29+NA_monthly!BF29</f>
        <v>0</v>
      </c>
      <c r="BH26" s="159" t="n">
        <f aca="false">-NA_monthly!BH29+NA_monthly!BG29</f>
        <v>0</v>
      </c>
      <c r="BI26" s="159" t="n">
        <f aca="false">-NA_monthly!BI29+NA_monthly!BH29</f>
        <v>0</v>
      </c>
      <c r="BJ26" s="159" t="n">
        <f aca="false">-NA_monthly!BJ29+NA_monthly!BI29</f>
        <v>0</v>
      </c>
      <c r="BK26" s="159" t="n">
        <f aca="false">-NA_monthly!BK29+NA_monthly!BJ29</f>
        <v>0</v>
      </c>
      <c r="BL26" s="159" t="n">
        <f aca="false">-NA_monthly!BL29+NA_monthly!BK29</f>
        <v>0</v>
      </c>
      <c r="BM26" s="159" t="n">
        <f aca="false">-NA_monthly!BM29+NA_monthly!BL29</f>
        <v>0</v>
      </c>
      <c r="BN26" s="159" t="n">
        <f aca="false">-NA_monthly!BN29+NA_monthly!BM29</f>
        <v>0</v>
      </c>
      <c r="BO26" s="159" t="n">
        <f aca="false">-NA_monthly!BO29+NA_monthly!BN29</f>
        <v>0</v>
      </c>
      <c r="BP26" s="159" t="n">
        <f aca="false">-NA_monthly!BP29+NA_monthly!BO29</f>
        <v>0</v>
      </c>
      <c r="BQ26" s="159" t="n">
        <f aca="false">-NA_monthly!BQ29+NA_monthly!BP29</f>
        <v>0</v>
      </c>
      <c r="BR26" s="159" t="n">
        <f aca="false">-NA_monthly!BR29+NA_monthly!BQ29</f>
        <v>0</v>
      </c>
      <c r="BS26" s="159" t="n">
        <f aca="false">-NA_monthly!BS29+NA_monthly!BR29</f>
        <v>0</v>
      </c>
      <c r="BT26" s="159" t="n">
        <f aca="false">-NA_monthly!BT29+NA_monthly!BS29</f>
        <v>0</v>
      </c>
      <c r="BU26" s="159" t="n">
        <f aca="false">-NA_monthly!BU29+NA_monthly!BT29</f>
        <v>0</v>
      </c>
      <c r="BV26" s="159" t="n">
        <f aca="false">-NA_monthly!BV29+NA_monthly!BU29</f>
        <v>0</v>
      </c>
      <c r="BW26" s="159" t="n">
        <f aca="false">-NA_monthly!BW29+NA_monthly!BV29</f>
        <v>0</v>
      </c>
      <c r="BX26" s="159" t="n">
        <f aca="false">-NA_monthly!BX29+NA_monthly!BW29</f>
        <v>0</v>
      </c>
      <c r="BY26" s="159" t="n">
        <f aca="false">-NA_monthly!BY29+NA_monthly!BX29</f>
        <v>0</v>
      </c>
      <c r="BZ26" s="159" t="n">
        <f aca="false">-NA_monthly!BZ29+NA_monthly!BY29</f>
        <v>0</v>
      </c>
      <c r="CA26" s="159" t="n">
        <f aca="false">-NA_monthly!CA29+NA_monthly!BZ29</f>
        <v>0</v>
      </c>
      <c r="CB26" s="159" t="n">
        <f aca="false">-NA_monthly!CB29+NA_monthly!CA29</f>
        <v>0</v>
      </c>
      <c r="CC26" s="159" t="n">
        <f aca="false">-NA_monthly!CC29+NA_monthly!CB29</f>
        <v>0</v>
      </c>
      <c r="CD26" s="159" t="n">
        <f aca="false">-NA_monthly!CD29+NA_monthly!CC29</f>
        <v>0</v>
      </c>
      <c r="CE26" s="159" t="n">
        <f aca="false">-NA_monthly!CE29+NA_monthly!CD29</f>
        <v>0</v>
      </c>
      <c r="CF26" s="159" t="n">
        <f aca="false">-NA_monthly!CF29+NA_monthly!CE29</f>
        <v>0</v>
      </c>
      <c r="CG26" s="159" t="n">
        <f aca="false">-NA_monthly!CG29+NA_monthly!CF29</f>
        <v>0</v>
      </c>
      <c r="CH26" s="159" t="n">
        <f aca="false">-NA_monthly!CH29+NA_monthly!CG29</f>
        <v>0</v>
      </c>
      <c r="CI26" s="159" t="n">
        <f aca="false">-NA_monthly!CI29+NA_monthly!CH29</f>
        <v>0</v>
      </c>
      <c r="CJ26" s="159" t="n">
        <f aca="false">-NA_monthly!CJ29+NA_monthly!CI29</f>
        <v>0</v>
      </c>
      <c r="CK26" s="159" t="n">
        <f aca="false">-NA_monthly!CK29+NA_monthly!CJ29</f>
        <v>0</v>
      </c>
    </row>
    <row r="27" customFormat="false" ht="11.25" hidden="false" customHeight="true" outlineLevel="2" collapsed="false">
      <c r="C27" s="51" t="str">
        <f aca="false">"∆ "&amp;'Lead NA'!C118</f>
        <v>∆ Dummy 3</v>
      </c>
      <c r="D27" s="51" t="str">
        <f aca="false">"∆ "&amp;'Lead NA'!D118</f>
        <v>∆ Dummy 3</v>
      </c>
      <c r="E27" s="137"/>
      <c r="F27" s="137"/>
      <c r="G27" s="159" t="n">
        <f aca="false">-NA_monthly!G30+NA_monthly!F30</f>
        <v>0</v>
      </c>
      <c r="H27" s="159" t="n">
        <f aca="false">-NA_monthly!H30+NA_monthly!G30</f>
        <v>0</v>
      </c>
      <c r="I27" s="159" t="n">
        <f aca="false">-NA_monthly!I30+NA_monthly!H30</f>
        <v>0</v>
      </c>
      <c r="J27" s="159" t="n">
        <f aca="false">-NA_monthly!J30+NA_monthly!I30</f>
        <v>0</v>
      </c>
      <c r="K27" s="159" t="n">
        <f aca="false">-NA_monthly!K30+NA_monthly!J30</f>
        <v>0</v>
      </c>
      <c r="L27" s="159" t="n">
        <f aca="false">-NA_monthly!L30+NA_monthly!K30</f>
        <v>0</v>
      </c>
      <c r="M27" s="159" t="n">
        <f aca="false">-NA_monthly!M30+NA_monthly!L30</f>
        <v>0</v>
      </c>
      <c r="N27" s="159" t="n">
        <f aca="false">-NA_monthly!N30+NA_monthly!M30</f>
        <v>0</v>
      </c>
      <c r="O27" s="159" t="n">
        <f aca="false">-NA_monthly!O30+NA_monthly!N30</f>
        <v>0</v>
      </c>
      <c r="P27" s="159" t="n">
        <f aca="false">-NA_monthly!P30+NA_monthly!O30</f>
        <v>0</v>
      </c>
      <c r="Q27" s="159" t="n">
        <f aca="false">-NA_monthly!Q30+NA_monthly!P30</f>
        <v>0</v>
      </c>
      <c r="R27" s="159" t="n">
        <f aca="false">-NA_monthly!R30+NA_monthly!Q30</f>
        <v>0</v>
      </c>
      <c r="S27" s="159" t="n">
        <f aca="false">-NA_monthly!S30+NA_monthly!R30</f>
        <v>0</v>
      </c>
      <c r="T27" s="159" t="n">
        <f aca="false">-NA_monthly!T30+NA_monthly!S30</f>
        <v>0</v>
      </c>
      <c r="U27" s="159" t="n">
        <f aca="false">-NA_monthly!U30+NA_monthly!T30</f>
        <v>0</v>
      </c>
      <c r="V27" s="159" t="n">
        <f aca="false">-NA_monthly!V30+NA_monthly!U30</f>
        <v>0</v>
      </c>
      <c r="W27" s="159" t="n">
        <f aca="false">-NA_monthly!W30+NA_monthly!V30</f>
        <v>0</v>
      </c>
      <c r="X27" s="159" t="n">
        <f aca="false">-NA_monthly!X30+NA_monthly!W30</f>
        <v>0</v>
      </c>
      <c r="Y27" s="159" t="n">
        <f aca="false">-NA_monthly!Y30+NA_monthly!X30</f>
        <v>0</v>
      </c>
      <c r="Z27" s="159" t="n">
        <f aca="false">-NA_monthly!Z30+NA_monthly!Y30</f>
        <v>0</v>
      </c>
      <c r="AA27" s="159" t="n">
        <f aca="false">-NA_monthly!AA30+NA_monthly!Z30</f>
        <v>0</v>
      </c>
      <c r="AB27" s="159" t="n">
        <f aca="false">-NA_monthly!AB30+NA_monthly!AA30</f>
        <v>0</v>
      </c>
      <c r="AC27" s="159" t="n">
        <f aca="false">-NA_monthly!AC30+NA_monthly!AB30</f>
        <v>0</v>
      </c>
      <c r="AD27" s="159" t="n">
        <f aca="false">-NA_monthly!AD30+NA_monthly!AC30</f>
        <v>0</v>
      </c>
      <c r="AE27" s="159" t="n">
        <f aca="false">-NA_monthly!AE30+NA_monthly!AD30</f>
        <v>0</v>
      </c>
      <c r="AF27" s="159" t="n">
        <f aca="false">-NA_monthly!AF30+NA_monthly!AE30</f>
        <v>0</v>
      </c>
      <c r="AG27" s="159" t="n">
        <f aca="false">-NA_monthly!AG30+NA_monthly!AF30</f>
        <v>0</v>
      </c>
      <c r="AH27" s="159" t="n">
        <f aca="false">-NA_monthly!AH30+NA_monthly!AG30</f>
        <v>0</v>
      </c>
      <c r="AI27" s="159" t="n">
        <f aca="false">-NA_monthly!AI30+NA_monthly!AH30</f>
        <v>0</v>
      </c>
      <c r="AJ27" s="159" t="n">
        <f aca="false">-NA_monthly!AJ30+NA_monthly!AI30</f>
        <v>0</v>
      </c>
      <c r="AK27" s="159" t="n">
        <f aca="false">-NA_monthly!AK30+NA_monthly!AJ30</f>
        <v>0</v>
      </c>
      <c r="AL27" s="159" t="n">
        <f aca="false">-NA_monthly!AL30+NA_monthly!AK30</f>
        <v>0</v>
      </c>
      <c r="AM27" s="159" t="n">
        <f aca="false">-NA_monthly!AM30+NA_monthly!AL30</f>
        <v>0</v>
      </c>
      <c r="AN27" s="159" t="n">
        <f aca="false">-NA_monthly!AN30+NA_monthly!AM30</f>
        <v>0</v>
      </c>
      <c r="AO27" s="159" t="n">
        <f aca="false">-NA_monthly!AO30+NA_monthly!AN30</f>
        <v>0</v>
      </c>
      <c r="AP27" s="159" t="n">
        <f aca="false">-NA_monthly!AP30+NA_monthly!AO30</f>
        <v>0</v>
      </c>
      <c r="AQ27" s="159" t="n">
        <f aca="false">-NA_monthly!AQ30+NA_monthly!AP30</f>
        <v>0</v>
      </c>
      <c r="AR27" s="159" t="n">
        <f aca="false">-NA_monthly!AR30+NA_monthly!AQ30</f>
        <v>0</v>
      </c>
      <c r="AS27" s="159" t="n">
        <f aca="false">-NA_monthly!AS30+NA_monthly!AR30</f>
        <v>0</v>
      </c>
      <c r="AT27" s="159" t="n">
        <f aca="false">-NA_monthly!AT30+NA_monthly!AS30</f>
        <v>0</v>
      </c>
      <c r="AU27" s="159" t="n">
        <f aca="false">-NA_monthly!AU30+NA_monthly!AT30</f>
        <v>0</v>
      </c>
      <c r="AV27" s="159" t="n">
        <f aca="false">-NA_monthly!AV30+NA_monthly!AU30</f>
        <v>0</v>
      </c>
      <c r="AW27" s="159" t="n">
        <f aca="false">-NA_monthly!AW30+NA_monthly!AV30</f>
        <v>0</v>
      </c>
      <c r="AX27" s="159" t="n">
        <f aca="false">-NA_monthly!AX30+NA_monthly!AW30</f>
        <v>0</v>
      </c>
      <c r="AY27" s="159" t="n">
        <f aca="false">-NA_monthly!AY30+NA_monthly!AX30</f>
        <v>0</v>
      </c>
      <c r="AZ27" s="159" t="n">
        <f aca="false">-NA_monthly!AZ30+NA_monthly!AY30</f>
        <v>0</v>
      </c>
      <c r="BA27" s="159" t="n">
        <f aca="false">-NA_monthly!BA30+NA_monthly!AZ30</f>
        <v>0</v>
      </c>
      <c r="BB27" s="159" t="n">
        <f aca="false">-NA_monthly!BB30+NA_monthly!BA30</f>
        <v>0</v>
      </c>
      <c r="BC27" s="159" t="n">
        <f aca="false">-NA_monthly!BC30+NA_monthly!BB30</f>
        <v>0</v>
      </c>
      <c r="BD27" s="159" t="n">
        <f aca="false">-NA_monthly!BD30+NA_monthly!BC30</f>
        <v>0</v>
      </c>
      <c r="BE27" s="159" t="n">
        <f aca="false">-NA_monthly!BE30+NA_monthly!BD30</f>
        <v>0</v>
      </c>
      <c r="BF27" s="159" t="n">
        <f aca="false">-NA_monthly!BF30+NA_monthly!BE30</f>
        <v>0</v>
      </c>
      <c r="BG27" s="159" t="n">
        <f aca="false">-NA_monthly!BG30+NA_monthly!BF30</f>
        <v>0</v>
      </c>
      <c r="BH27" s="159" t="n">
        <f aca="false">-NA_monthly!BH30+NA_monthly!BG30</f>
        <v>0</v>
      </c>
      <c r="BI27" s="159" t="n">
        <f aca="false">-NA_monthly!BI30+NA_monthly!BH30</f>
        <v>0</v>
      </c>
      <c r="BJ27" s="159" t="n">
        <f aca="false">-NA_monthly!BJ30+NA_monthly!BI30</f>
        <v>0</v>
      </c>
      <c r="BK27" s="159" t="n">
        <f aca="false">-NA_monthly!BK30+NA_monthly!BJ30</f>
        <v>0</v>
      </c>
      <c r="BL27" s="159" t="n">
        <f aca="false">-NA_monthly!BL30+NA_monthly!BK30</f>
        <v>0</v>
      </c>
      <c r="BM27" s="159" t="n">
        <f aca="false">-NA_monthly!BM30+NA_monthly!BL30</f>
        <v>0</v>
      </c>
      <c r="BN27" s="159" t="n">
        <f aca="false">-NA_monthly!BN30+NA_monthly!BM30</f>
        <v>0</v>
      </c>
      <c r="BO27" s="159" t="n">
        <f aca="false">-NA_monthly!BO30+NA_monthly!BN30</f>
        <v>0</v>
      </c>
      <c r="BP27" s="159" t="n">
        <f aca="false">-NA_monthly!BP30+NA_monthly!BO30</f>
        <v>0</v>
      </c>
      <c r="BQ27" s="159" t="n">
        <f aca="false">-NA_monthly!BQ30+NA_monthly!BP30</f>
        <v>0</v>
      </c>
      <c r="BR27" s="159" t="n">
        <f aca="false">-NA_monthly!BR30+NA_monthly!BQ30</f>
        <v>0</v>
      </c>
      <c r="BS27" s="159" t="n">
        <f aca="false">-NA_monthly!BS30+NA_monthly!BR30</f>
        <v>0</v>
      </c>
      <c r="BT27" s="159" t="n">
        <f aca="false">-NA_monthly!BT30+NA_monthly!BS30</f>
        <v>0</v>
      </c>
      <c r="BU27" s="159" t="n">
        <f aca="false">-NA_monthly!BU30+NA_monthly!BT30</f>
        <v>0</v>
      </c>
      <c r="BV27" s="159" t="n">
        <f aca="false">-NA_monthly!BV30+NA_monthly!BU30</f>
        <v>0</v>
      </c>
      <c r="BW27" s="159" t="n">
        <f aca="false">-NA_monthly!BW30+NA_monthly!BV30</f>
        <v>0</v>
      </c>
      <c r="BX27" s="159" t="n">
        <f aca="false">-NA_monthly!BX30+NA_monthly!BW30</f>
        <v>0</v>
      </c>
      <c r="BY27" s="159" t="n">
        <f aca="false">-NA_monthly!BY30+NA_monthly!BX30</f>
        <v>0</v>
      </c>
      <c r="BZ27" s="159" t="n">
        <f aca="false">-NA_monthly!BZ30+NA_monthly!BY30</f>
        <v>0</v>
      </c>
      <c r="CA27" s="159" t="n">
        <f aca="false">-NA_monthly!CA30+NA_monthly!BZ30</f>
        <v>0</v>
      </c>
      <c r="CB27" s="159" t="n">
        <f aca="false">-NA_monthly!CB30+NA_monthly!CA30</f>
        <v>0</v>
      </c>
      <c r="CC27" s="159" t="n">
        <f aca="false">-NA_monthly!CC30+NA_monthly!CB30</f>
        <v>0</v>
      </c>
      <c r="CD27" s="159" t="n">
        <f aca="false">-NA_monthly!CD30+NA_monthly!CC30</f>
        <v>0</v>
      </c>
      <c r="CE27" s="159" t="n">
        <f aca="false">-NA_monthly!CE30+NA_monthly!CD30</f>
        <v>0</v>
      </c>
      <c r="CF27" s="159" t="n">
        <f aca="false">-NA_monthly!CF30+NA_monthly!CE30</f>
        <v>0</v>
      </c>
      <c r="CG27" s="159" t="n">
        <f aca="false">-NA_monthly!CG30+NA_monthly!CF30</f>
        <v>0</v>
      </c>
      <c r="CH27" s="159" t="n">
        <f aca="false">-NA_monthly!CH30+NA_monthly!CG30</f>
        <v>0</v>
      </c>
      <c r="CI27" s="159" t="n">
        <f aca="false">-NA_monthly!CI30+NA_monthly!CH30</f>
        <v>0</v>
      </c>
      <c r="CJ27" s="159" t="n">
        <f aca="false">-NA_monthly!CJ30+NA_monthly!CI30</f>
        <v>0</v>
      </c>
      <c r="CK27" s="159" t="n">
        <f aca="false">-NA_monthly!CK30+NA_monthly!CJ30</f>
        <v>0</v>
      </c>
    </row>
    <row r="28" customFormat="false" ht="11.25" hidden="false" customHeight="true" outlineLevel="0" collapsed="false">
      <c r="C28" s="51" t="str">
        <f aca="false">"∆ "&amp;'Lead NA'!C120</f>
        <v>∆ Sonstige Rückstellungen</v>
      </c>
      <c r="D28" s="51" t="str">
        <f aca="false">"∆ "&amp;'Lead NA'!D120</f>
        <v>∆ Other provisions</v>
      </c>
      <c r="E28" s="137"/>
      <c r="F28" s="137"/>
      <c r="G28" s="159" t="n">
        <f aca="false">-NA_monthly!G32+NA_monthly!F32</f>
        <v>0</v>
      </c>
      <c r="H28" s="159" t="n">
        <f aca="false">-NA_monthly!H32+NA_monthly!G32</f>
        <v>0</v>
      </c>
      <c r="I28" s="159" t="n">
        <f aca="false">-NA_monthly!I32+NA_monthly!H32</f>
        <v>0</v>
      </c>
      <c r="J28" s="159" t="n">
        <f aca="false">-NA_monthly!J32+NA_monthly!I32</f>
        <v>0</v>
      </c>
      <c r="K28" s="159" t="n">
        <f aca="false">-NA_monthly!K32+NA_monthly!J32</f>
        <v>0</v>
      </c>
      <c r="L28" s="159" t="n">
        <f aca="false">-NA_monthly!L32+NA_monthly!K32</f>
        <v>0</v>
      </c>
      <c r="M28" s="159" t="n">
        <f aca="false">-NA_monthly!M32+NA_monthly!L32</f>
        <v>0</v>
      </c>
      <c r="N28" s="159" t="n">
        <f aca="false">-NA_monthly!N32+NA_monthly!M32</f>
        <v>0</v>
      </c>
      <c r="O28" s="159" t="n">
        <f aca="false">-NA_monthly!O32+NA_monthly!N32</f>
        <v>0</v>
      </c>
      <c r="P28" s="159" t="n">
        <f aca="false">-NA_monthly!P32+NA_monthly!O32</f>
        <v>0</v>
      </c>
      <c r="Q28" s="159" t="n">
        <f aca="false">-NA_monthly!Q32+NA_monthly!P32</f>
        <v>0</v>
      </c>
      <c r="R28" s="159" t="n">
        <f aca="false">-NA_monthly!R32+NA_monthly!Q32</f>
        <v>0</v>
      </c>
      <c r="S28" s="159" t="n">
        <f aca="false">-NA_monthly!S32+NA_monthly!R32</f>
        <v>0</v>
      </c>
      <c r="T28" s="159" t="n">
        <f aca="false">-NA_monthly!T32+NA_monthly!S32</f>
        <v>0</v>
      </c>
      <c r="U28" s="159" t="n">
        <f aca="false">-NA_monthly!U32+NA_monthly!T32</f>
        <v>0</v>
      </c>
      <c r="V28" s="159" t="n">
        <f aca="false">-NA_monthly!V32+NA_monthly!U32</f>
        <v>0</v>
      </c>
      <c r="W28" s="159" t="n">
        <f aca="false">-NA_monthly!W32+NA_monthly!V32</f>
        <v>0</v>
      </c>
      <c r="X28" s="159" t="n">
        <f aca="false">-NA_monthly!X32+NA_monthly!W32</f>
        <v>0</v>
      </c>
      <c r="Y28" s="159" t="n">
        <f aca="false">-NA_monthly!Y32+NA_monthly!X32</f>
        <v>0</v>
      </c>
      <c r="Z28" s="159" t="n">
        <f aca="false">-NA_monthly!Z32+NA_monthly!Y32</f>
        <v>0</v>
      </c>
      <c r="AA28" s="159" t="n">
        <f aca="false">-NA_monthly!AA32+NA_monthly!Z32</f>
        <v>0</v>
      </c>
      <c r="AB28" s="159" t="n">
        <f aca="false">-NA_monthly!AB32+NA_monthly!AA32</f>
        <v>0</v>
      </c>
      <c r="AC28" s="159" t="n">
        <f aca="false">-NA_monthly!AC32+NA_monthly!AB32</f>
        <v>0</v>
      </c>
      <c r="AD28" s="159" t="n">
        <f aca="false">-NA_monthly!AD32+NA_monthly!AC32</f>
        <v>0</v>
      </c>
      <c r="AE28" s="159" t="n">
        <f aca="false">-NA_monthly!AE32+NA_monthly!AD32</f>
        <v>0</v>
      </c>
      <c r="AF28" s="159" t="n">
        <f aca="false">-NA_monthly!AF32+NA_monthly!AE32</f>
        <v>0</v>
      </c>
      <c r="AG28" s="159" t="n">
        <f aca="false">-NA_monthly!AG32+NA_monthly!AF32</f>
        <v>0</v>
      </c>
      <c r="AH28" s="159" t="n">
        <f aca="false">-NA_monthly!AH32+NA_monthly!AG32</f>
        <v>0</v>
      </c>
      <c r="AI28" s="159" t="n">
        <f aca="false">-NA_monthly!AI32+NA_monthly!AH32</f>
        <v>0</v>
      </c>
      <c r="AJ28" s="159" t="n">
        <f aca="false">-NA_monthly!AJ32+NA_monthly!AI32</f>
        <v>0</v>
      </c>
      <c r="AK28" s="159" t="n">
        <f aca="false">-NA_monthly!AK32+NA_monthly!AJ32</f>
        <v>0</v>
      </c>
      <c r="AL28" s="159" t="n">
        <f aca="false">-NA_monthly!AL32+NA_monthly!AK32</f>
        <v>0</v>
      </c>
      <c r="AM28" s="159" t="n">
        <f aca="false">-NA_monthly!AM32+NA_monthly!AL32</f>
        <v>0</v>
      </c>
      <c r="AN28" s="159" t="n">
        <f aca="false">-NA_monthly!AN32+NA_monthly!AM32</f>
        <v>0</v>
      </c>
      <c r="AO28" s="159" t="n">
        <f aca="false">-NA_monthly!AO32+NA_monthly!AN32</f>
        <v>0</v>
      </c>
      <c r="AP28" s="159" t="n">
        <f aca="false">-NA_monthly!AP32+NA_monthly!AO32</f>
        <v>0</v>
      </c>
      <c r="AQ28" s="159" t="n">
        <f aca="false">-NA_monthly!AQ32+NA_monthly!AP32</f>
        <v>0</v>
      </c>
      <c r="AR28" s="159" t="n">
        <f aca="false">-NA_monthly!AR32+NA_monthly!AQ32</f>
        <v>0</v>
      </c>
      <c r="AS28" s="159" t="n">
        <f aca="false">-NA_monthly!AS32+NA_monthly!AR32</f>
        <v>0</v>
      </c>
      <c r="AT28" s="159" t="n">
        <f aca="false">-NA_monthly!AT32+NA_monthly!AS32</f>
        <v>0</v>
      </c>
      <c r="AU28" s="159" t="n">
        <f aca="false">-NA_monthly!AU32+NA_monthly!AT32</f>
        <v>0</v>
      </c>
      <c r="AV28" s="159" t="n">
        <f aca="false">-NA_monthly!AV32+NA_monthly!AU32</f>
        <v>0</v>
      </c>
      <c r="AW28" s="159" t="n">
        <f aca="false">-NA_monthly!AW32+NA_monthly!AV32</f>
        <v>0</v>
      </c>
      <c r="AX28" s="159" t="n">
        <f aca="false">-NA_monthly!AX32+NA_monthly!AW32</f>
        <v>0</v>
      </c>
      <c r="AY28" s="159" t="n">
        <f aca="false">-NA_monthly!AY32+NA_monthly!AX32</f>
        <v>0</v>
      </c>
      <c r="AZ28" s="159" t="n">
        <f aca="false">-NA_monthly!AZ32+NA_monthly!AY32</f>
        <v>0</v>
      </c>
      <c r="BA28" s="159" t="n">
        <f aca="false">-NA_monthly!BA32+NA_monthly!AZ32</f>
        <v>0</v>
      </c>
      <c r="BB28" s="159" t="n">
        <f aca="false">-NA_monthly!BB32+NA_monthly!BA32</f>
        <v>0</v>
      </c>
      <c r="BC28" s="159" t="n">
        <f aca="false">-NA_monthly!BC32+NA_monthly!BB32</f>
        <v>0</v>
      </c>
      <c r="BD28" s="159" t="n">
        <f aca="false">-NA_monthly!BD32+NA_monthly!BC32</f>
        <v>0</v>
      </c>
      <c r="BE28" s="159" t="n">
        <f aca="false">-NA_monthly!BE32+NA_monthly!BD32</f>
        <v>0</v>
      </c>
      <c r="BF28" s="159" t="n">
        <f aca="false">-NA_monthly!BF32+NA_monthly!BE32</f>
        <v>0</v>
      </c>
      <c r="BG28" s="159" t="n">
        <f aca="false">-NA_monthly!BG32+NA_monthly!BF32</f>
        <v>0</v>
      </c>
      <c r="BH28" s="159" t="n">
        <f aca="false">-NA_monthly!BH32+NA_monthly!BG32</f>
        <v>0</v>
      </c>
      <c r="BI28" s="159" t="n">
        <f aca="false">-NA_monthly!BI32+NA_monthly!BH32</f>
        <v>0</v>
      </c>
      <c r="BJ28" s="159" t="n">
        <f aca="false">-NA_monthly!BJ32+NA_monthly!BI32</f>
        <v>0</v>
      </c>
      <c r="BK28" s="159" t="n">
        <f aca="false">-NA_monthly!BK32+NA_monthly!BJ32</f>
        <v>0</v>
      </c>
      <c r="BL28" s="159" t="n">
        <f aca="false">-NA_monthly!BL32+NA_monthly!BK32</f>
        <v>0</v>
      </c>
      <c r="BM28" s="159" t="n">
        <f aca="false">-NA_monthly!BM32+NA_monthly!BL32</f>
        <v>0</v>
      </c>
      <c r="BN28" s="159" t="n">
        <f aca="false">-NA_monthly!BN32+NA_monthly!BM32</f>
        <v>0</v>
      </c>
      <c r="BO28" s="159" t="n">
        <f aca="false">-NA_monthly!BO32+NA_monthly!BN32</f>
        <v>0</v>
      </c>
      <c r="BP28" s="159" t="n">
        <f aca="false">-NA_monthly!BP32+NA_monthly!BO32</f>
        <v>0</v>
      </c>
      <c r="BQ28" s="159" t="n">
        <f aca="false">-NA_monthly!BQ32+NA_monthly!BP32</f>
        <v>0</v>
      </c>
      <c r="BR28" s="159" t="n">
        <f aca="false">-NA_monthly!BR32+NA_monthly!BQ32</f>
        <v>0</v>
      </c>
      <c r="BS28" s="159" t="n">
        <f aca="false">-NA_monthly!BS32+NA_monthly!BR32</f>
        <v>0</v>
      </c>
      <c r="BT28" s="159" t="n">
        <f aca="false">-NA_monthly!BT32+NA_monthly!BS32</f>
        <v>0</v>
      </c>
      <c r="BU28" s="159" t="n">
        <f aca="false">-NA_monthly!BU32+NA_monthly!BT32</f>
        <v>0</v>
      </c>
      <c r="BV28" s="159" t="n">
        <f aca="false">-NA_monthly!BV32+NA_monthly!BU32</f>
        <v>0</v>
      </c>
      <c r="BW28" s="159" t="n">
        <f aca="false">-NA_monthly!BW32+NA_monthly!BV32</f>
        <v>0</v>
      </c>
      <c r="BX28" s="159" t="n">
        <f aca="false">-NA_monthly!BX32+NA_monthly!BW32</f>
        <v>0</v>
      </c>
      <c r="BY28" s="159" t="n">
        <f aca="false">-NA_monthly!BY32+NA_monthly!BX32</f>
        <v>0</v>
      </c>
      <c r="BZ28" s="159" t="n">
        <f aca="false">-NA_monthly!BZ32+NA_monthly!BY32</f>
        <v>0</v>
      </c>
      <c r="CA28" s="159" t="n">
        <f aca="false">-NA_monthly!CA32+NA_monthly!BZ32</f>
        <v>0</v>
      </c>
      <c r="CB28" s="159" t="n">
        <f aca="false">-NA_monthly!CB32+NA_monthly!CA32</f>
        <v>0</v>
      </c>
      <c r="CC28" s="159" t="n">
        <f aca="false">-NA_monthly!CC32+NA_monthly!CB32</f>
        <v>0</v>
      </c>
      <c r="CD28" s="159" t="n">
        <f aca="false">-NA_monthly!CD32+NA_monthly!CC32</f>
        <v>0</v>
      </c>
      <c r="CE28" s="159" t="n">
        <f aca="false">-NA_monthly!CE32+NA_monthly!CD32</f>
        <v>0</v>
      </c>
      <c r="CF28" s="159" t="n">
        <f aca="false">-NA_monthly!CF32+NA_monthly!CE32</f>
        <v>0</v>
      </c>
      <c r="CG28" s="159" t="n">
        <f aca="false">-NA_monthly!CG32+NA_monthly!CF32</f>
        <v>0</v>
      </c>
      <c r="CH28" s="159" t="n">
        <f aca="false">-NA_monthly!CH32+NA_monthly!CG32</f>
        <v>0</v>
      </c>
      <c r="CI28" s="159" t="n">
        <f aca="false">-NA_monthly!CI32+NA_monthly!CH32</f>
        <v>0</v>
      </c>
      <c r="CJ28" s="159" t="n">
        <f aca="false">-NA_monthly!CJ32+NA_monthly!CI32</f>
        <v>0</v>
      </c>
      <c r="CK28" s="159" t="n">
        <f aca="false">-NA_monthly!CK32+NA_monthly!CJ32</f>
        <v>0</v>
      </c>
    </row>
    <row r="29" customFormat="false" ht="11.25" hidden="false" customHeight="true" outlineLevel="0" collapsed="false">
      <c r="C29" s="51" t="str">
        <f aca="false">"∆ "&amp;'Lead NA'!C129</f>
        <v>∆ Sonstige Verbindlichkeiten</v>
      </c>
      <c r="D29" s="51" t="str">
        <f aca="false">"∆ "&amp;'Lead NA'!D129</f>
        <v>∆ Other liabilities</v>
      </c>
      <c r="E29" s="137"/>
      <c r="F29" s="137"/>
      <c r="G29" s="159" t="n">
        <f aca="false">-NA_monthly!G33+NA_monthly!F33</f>
        <v>0</v>
      </c>
      <c r="H29" s="159" t="n">
        <f aca="false">-NA_monthly!H33+NA_monthly!G33</f>
        <v>0</v>
      </c>
      <c r="I29" s="159" t="n">
        <f aca="false">-NA_monthly!I33+NA_monthly!H33</f>
        <v>0</v>
      </c>
      <c r="J29" s="159" t="n">
        <f aca="false">-NA_monthly!J33+NA_monthly!I33</f>
        <v>0</v>
      </c>
      <c r="K29" s="159" t="n">
        <f aca="false">-NA_monthly!K33+NA_monthly!J33</f>
        <v>0</v>
      </c>
      <c r="L29" s="159" t="n">
        <f aca="false">-NA_monthly!L33+NA_monthly!K33</f>
        <v>0</v>
      </c>
      <c r="M29" s="159" t="n">
        <f aca="false">-NA_monthly!M33+NA_monthly!L33</f>
        <v>0</v>
      </c>
      <c r="N29" s="159" t="n">
        <f aca="false">-NA_monthly!N33+NA_monthly!M33</f>
        <v>0</v>
      </c>
      <c r="O29" s="159" t="n">
        <f aca="false">-NA_monthly!O33+NA_monthly!N33</f>
        <v>0</v>
      </c>
      <c r="P29" s="159" t="n">
        <f aca="false">-NA_monthly!P33+NA_monthly!O33</f>
        <v>0</v>
      </c>
      <c r="Q29" s="159" t="n">
        <f aca="false">-NA_monthly!Q33+NA_monthly!P33</f>
        <v>0</v>
      </c>
      <c r="R29" s="159" t="n">
        <f aca="false">-NA_monthly!R33+NA_monthly!Q33</f>
        <v>0</v>
      </c>
      <c r="S29" s="159" t="n">
        <f aca="false">-NA_monthly!S33+NA_monthly!R33</f>
        <v>0</v>
      </c>
      <c r="T29" s="159" t="n">
        <f aca="false">-NA_monthly!T33+NA_monthly!S33</f>
        <v>0</v>
      </c>
      <c r="U29" s="159" t="n">
        <f aca="false">-NA_monthly!U33+NA_monthly!T33</f>
        <v>0</v>
      </c>
      <c r="V29" s="159" t="n">
        <f aca="false">-NA_monthly!V33+NA_monthly!U33</f>
        <v>0</v>
      </c>
      <c r="W29" s="159" t="n">
        <f aca="false">-NA_monthly!W33+NA_monthly!V33</f>
        <v>0</v>
      </c>
      <c r="X29" s="159" t="n">
        <f aca="false">-NA_monthly!X33+NA_monthly!W33</f>
        <v>0</v>
      </c>
      <c r="Y29" s="159" t="n">
        <f aca="false">-NA_monthly!Y33+NA_monthly!X33</f>
        <v>0</v>
      </c>
      <c r="Z29" s="159" t="n">
        <f aca="false">-NA_monthly!Z33+NA_monthly!Y33</f>
        <v>0</v>
      </c>
      <c r="AA29" s="159" t="n">
        <f aca="false">-NA_monthly!AA33+NA_monthly!Z33</f>
        <v>0</v>
      </c>
      <c r="AB29" s="159" t="n">
        <f aca="false">-NA_monthly!AB33+NA_monthly!AA33</f>
        <v>0</v>
      </c>
      <c r="AC29" s="159" t="n">
        <f aca="false">-NA_monthly!AC33+NA_monthly!AB33</f>
        <v>0</v>
      </c>
      <c r="AD29" s="159" t="n">
        <f aca="false">-NA_monthly!AD33+NA_monthly!AC33</f>
        <v>0</v>
      </c>
      <c r="AE29" s="159" t="n">
        <f aca="false">-NA_monthly!AE33+NA_monthly!AD33</f>
        <v>0</v>
      </c>
      <c r="AF29" s="159" t="n">
        <f aca="false">-NA_monthly!AF33+NA_monthly!AE33</f>
        <v>0</v>
      </c>
      <c r="AG29" s="159" t="n">
        <f aca="false">-NA_monthly!AG33+NA_monthly!AF33</f>
        <v>0</v>
      </c>
      <c r="AH29" s="159" t="n">
        <f aca="false">-NA_monthly!AH33+NA_monthly!AG33</f>
        <v>0</v>
      </c>
      <c r="AI29" s="159" t="n">
        <f aca="false">-NA_monthly!AI33+NA_monthly!AH33</f>
        <v>0</v>
      </c>
      <c r="AJ29" s="159" t="n">
        <f aca="false">-NA_monthly!AJ33+NA_monthly!AI33</f>
        <v>0</v>
      </c>
      <c r="AK29" s="159" t="n">
        <f aca="false">-NA_monthly!AK33+NA_monthly!AJ33</f>
        <v>0</v>
      </c>
      <c r="AL29" s="159" t="n">
        <f aca="false">-NA_monthly!AL33+NA_monthly!AK33</f>
        <v>0</v>
      </c>
      <c r="AM29" s="159" t="n">
        <f aca="false">-NA_monthly!AM33+NA_monthly!AL33</f>
        <v>0</v>
      </c>
      <c r="AN29" s="159" t="n">
        <f aca="false">-NA_monthly!AN33+NA_monthly!AM33</f>
        <v>0</v>
      </c>
      <c r="AO29" s="159" t="n">
        <f aca="false">-NA_monthly!AO33+NA_monthly!AN33</f>
        <v>0</v>
      </c>
      <c r="AP29" s="159" t="n">
        <f aca="false">-NA_monthly!AP33+NA_monthly!AO33</f>
        <v>0</v>
      </c>
      <c r="AQ29" s="159" t="n">
        <f aca="false">-NA_monthly!AQ33+NA_monthly!AP33</f>
        <v>0</v>
      </c>
      <c r="AR29" s="159" t="n">
        <f aca="false">-NA_monthly!AR33+NA_monthly!AQ33</f>
        <v>0</v>
      </c>
      <c r="AS29" s="159" t="n">
        <f aca="false">-NA_monthly!AS33+NA_monthly!AR33</f>
        <v>0</v>
      </c>
      <c r="AT29" s="159" t="n">
        <f aca="false">-NA_monthly!AT33+NA_monthly!AS33</f>
        <v>0</v>
      </c>
      <c r="AU29" s="159" t="n">
        <f aca="false">-NA_monthly!AU33+NA_monthly!AT33</f>
        <v>0</v>
      </c>
      <c r="AV29" s="159" t="n">
        <f aca="false">-NA_monthly!AV33+NA_monthly!AU33</f>
        <v>0</v>
      </c>
      <c r="AW29" s="159" t="n">
        <f aca="false">-NA_monthly!AW33+NA_monthly!AV33</f>
        <v>0</v>
      </c>
      <c r="AX29" s="159" t="n">
        <f aca="false">-NA_monthly!AX33+NA_monthly!AW33</f>
        <v>0</v>
      </c>
      <c r="AY29" s="159" t="n">
        <f aca="false">-NA_monthly!AY33+NA_monthly!AX33</f>
        <v>0</v>
      </c>
      <c r="AZ29" s="159" t="n">
        <f aca="false">-NA_monthly!AZ33+NA_monthly!AY33</f>
        <v>0</v>
      </c>
      <c r="BA29" s="159" t="n">
        <f aca="false">-NA_monthly!BA33+NA_monthly!AZ33</f>
        <v>0</v>
      </c>
      <c r="BB29" s="159" t="n">
        <f aca="false">-NA_monthly!BB33+NA_monthly!BA33</f>
        <v>0</v>
      </c>
      <c r="BC29" s="159" t="n">
        <f aca="false">-NA_monthly!BC33+NA_monthly!BB33</f>
        <v>0</v>
      </c>
      <c r="BD29" s="159" t="n">
        <f aca="false">-NA_monthly!BD33+NA_monthly!BC33</f>
        <v>0</v>
      </c>
      <c r="BE29" s="159" t="n">
        <f aca="false">-NA_monthly!BE33+NA_monthly!BD33</f>
        <v>0</v>
      </c>
      <c r="BF29" s="159" t="n">
        <f aca="false">-NA_monthly!BF33+NA_monthly!BE33</f>
        <v>0</v>
      </c>
      <c r="BG29" s="159" t="n">
        <f aca="false">-NA_monthly!BG33+NA_monthly!BF33</f>
        <v>0</v>
      </c>
      <c r="BH29" s="159" t="n">
        <f aca="false">-NA_monthly!BH33+NA_monthly!BG33</f>
        <v>0</v>
      </c>
      <c r="BI29" s="159" t="n">
        <f aca="false">-NA_monthly!BI33+NA_monthly!BH33</f>
        <v>0</v>
      </c>
      <c r="BJ29" s="159" t="n">
        <f aca="false">-NA_monthly!BJ33+NA_monthly!BI33</f>
        <v>0</v>
      </c>
      <c r="BK29" s="159" t="n">
        <f aca="false">-NA_monthly!BK33+NA_monthly!BJ33</f>
        <v>0</v>
      </c>
      <c r="BL29" s="159" t="n">
        <f aca="false">-NA_monthly!BL33+NA_monthly!BK33</f>
        <v>0</v>
      </c>
      <c r="BM29" s="159" t="n">
        <f aca="false">-NA_monthly!BM33+NA_monthly!BL33</f>
        <v>0</v>
      </c>
      <c r="BN29" s="159" t="n">
        <f aca="false">-NA_monthly!BN33+NA_monthly!BM33</f>
        <v>0</v>
      </c>
      <c r="BO29" s="159" t="n">
        <f aca="false">-NA_monthly!BO33+NA_monthly!BN33</f>
        <v>0</v>
      </c>
      <c r="BP29" s="159" t="n">
        <f aca="false">-NA_monthly!BP33+NA_monthly!BO33</f>
        <v>0</v>
      </c>
      <c r="BQ29" s="159" t="n">
        <f aca="false">-NA_monthly!BQ33+NA_monthly!BP33</f>
        <v>0</v>
      </c>
      <c r="BR29" s="159" t="n">
        <f aca="false">-NA_monthly!BR33+NA_monthly!BQ33</f>
        <v>0</v>
      </c>
      <c r="BS29" s="159" t="n">
        <f aca="false">-NA_monthly!BS33+NA_monthly!BR33</f>
        <v>0</v>
      </c>
      <c r="BT29" s="159" t="n">
        <f aca="false">-NA_monthly!BT33+NA_monthly!BS33</f>
        <v>0</v>
      </c>
      <c r="BU29" s="159" t="n">
        <f aca="false">-NA_monthly!BU33+NA_monthly!BT33</f>
        <v>0</v>
      </c>
      <c r="BV29" s="159" t="n">
        <f aca="false">-NA_monthly!BV33+NA_monthly!BU33</f>
        <v>0</v>
      </c>
      <c r="BW29" s="159" t="n">
        <f aca="false">-NA_monthly!BW33+NA_monthly!BV33</f>
        <v>0</v>
      </c>
      <c r="BX29" s="159" t="n">
        <f aca="false">-NA_monthly!BX33+NA_monthly!BW33</f>
        <v>0</v>
      </c>
      <c r="BY29" s="159" t="n">
        <f aca="false">-NA_monthly!BY33+NA_monthly!BX33</f>
        <v>0</v>
      </c>
      <c r="BZ29" s="159" t="n">
        <f aca="false">-NA_monthly!BZ33+NA_monthly!BY33</f>
        <v>0</v>
      </c>
      <c r="CA29" s="159" t="n">
        <f aca="false">-NA_monthly!CA33+NA_monthly!BZ33</f>
        <v>0</v>
      </c>
      <c r="CB29" s="159" t="n">
        <f aca="false">-NA_monthly!CB33+NA_monthly!CA33</f>
        <v>0</v>
      </c>
      <c r="CC29" s="159" t="n">
        <f aca="false">-NA_monthly!CC33+NA_monthly!CB33</f>
        <v>0</v>
      </c>
      <c r="CD29" s="159" t="n">
        <f aca="false">-NA_monthly!CD33+NA_monthly!CC33</f>
        <v>0</v>
      </c>
      <c r="CE29" s="159" t="n">
        <f aca="false">-NA_monthly!CE33+NA_monthly!CD33</f>
        <v>0</v>
      </c>
      <c r="CF29" s="159" t="n">
        <f aca="false">-NA_monthly!CF33+NA_monthly!CE33</f>
        <v>0</v>
      </c>
      <c r="CG29" s="159" t="n">
        <f aca="false">-NA_monthly!CG33+NA_monthly!CF33</f>
        <v>0</v>
      </c>
      <c r="CH29" s="159" t="n">
        <f aca="false">-NA_monthly!CH33+NA_monthly!CG33</f>
        <v>0</v>
      </c>
      <c r="CI29" s="159" t="n">
        <f aca="false">-NA_monthly!CI33+NA_monthly!CH33</f>
        <v>0</v>
      </c>
      <c r="CJ29" s="159" t="n">
        <f aca="false">-NA_monthly!CJ33+NA_monthly!CI33</f>
        <v>0</v>
      </c>
      <c r="CK29" s="159" t="n">
        <f aca="false">-NA_monthly!CK33+NA_monthly!CJ33</f>
        <v>0</v>
      </c>
    </row>
    <row r="30" customFormat="false" ht="11.25" hidden="false" customHeight="true" outlineLevel="0" collapsed="false">
      <c r="C30" s="51" t="str">
        <f aca="false">"∆ "&amp;'Lead NA'!C138</f>
        <v>∆ Steuerrückstellungen</v>
      </c>
      <c r="D30" s="51" t="str">
        <f aca="false">"∆ "&amp;'Lead NA'!D138</f>
        <v>∆ Tax provisions</v>
      </c>
      <c r="E30" s="137"/>
      <c r="F30" s="137"/>
      <c r="G30" s="159" t="n">
        <f aca="false">-NA_monthly!G34+NA_monthly!F34</f>
        <v>0</v>
      </c>
      <c r="H30" s="159" t="n">
        <f aca="false">-NA_monthly!H34+NA_monthly!G34</f>
        <v>0</v>
      </c>
      <c r="I30" s="159" t="n">
        <f aca="false">-NA_monthly!I34+NA_monthly!H34</f>
        <v>0</v>
      </c>
      <c r="J30" s="159" t="n">
        <f aca="false">-NA_monthly!J34+NA_monthly!I34</f>
        <v>0</v>
      </c>
      <c r="K30" s="159" t="n">
        <f aca="false">-NA_monthly!K34+NA_monthly!J34</f>
        <v>0</v>
      </c>
      <c r="L30" s="159" t="n">
        <f aca="false">-NA_monthly!L34+NA_monthly!K34</f>
        <v>0</v>
      </c>
      <c r="M30" s="159" t="n">
        <f aca="false">-NA_monthly!M34+NA_monthly!L34</f>
        <v>0</v>
      </c>
      <c r="N30" s="159" t="n">
        <f aca="false">-NA_monthly!N34+NA_monthly!M34</f>
        <v>0</v>
      </c>
      <c r="O30" s="159" t="n">
        <f aca="false">-NA_monthly!O34+NA_monthly!N34</f>
        <v>0</v>
      </c>
      <c r="P30" s="159" t="n">
        <f aca="false">-NA_monthly!P34+NA_monthly!O34</f>
        <v>0</v>
      </c>
      <c r="Q30" s="159" t="n">
        <f aca="false">-NA_monthly!Q34+NA_monthly!P34</f>
        <v>0</v>
      </c>
      <c r="R30" s="159" t="n">
        <f aca="false">-NA_monthly!R34+NA_monthly!Q34</f>
        <v>0</v>
      </c>
      <c r="S30" s="159" t="n">
        <f aca="false">-NA_monthly!S34+NA_monthly!R34</f>
        <v>0</v>
      </c>
      <c r="T30" s="159" t="n">
        <f aca="false">-NA_monthly!T34+NA_monthly!S34</f>
        <v>0</v>
      </c>
      <c r="U30" s="159" t="n">
        <f aca="false">-NA_monthly!U34+NA_monthly!T34</f>
        <v>0</v>
      </c>
      <c r="V30" s="159" t="n">
        <f aca="false">-NA_monthly!V34+NA_monthly!U34</f>
        <v>0</v>
      </c>
      <c r="W30" s="159" t="n">
        <f aca="false">-NA_monthly!W34+NA_monthly!V34</f>
        <v>0</v>
      </c>
      <c r="X30" s="159" t="n">
        <f aca="false">-NA_monthly!X34+NA_monthly!W34</f>
        <v>0</v>
      </c>
      <c r="Y30" s="159" t="n">
        <f aca="false">-NA_monthly!Y34+NA_monthly!X34</f>
        <v>0</v>
      </c>
      <c r="Z30" s="159" t="n">
        <f aca="false">-NA_monthly!Z34+NA_monthly!Y34</f>
        <v>0</v>
      </c>
      <c r="AA30" s="159" t="n">
        <f aca="false">-NA_monthly!AA34+NA_monthly!Z34</f>
        <v>0</v>
      </c>
      <c r="AB30" s="159" t="n">
        <f aca="false">-NA_monthly!AB34+NA_monthly!AA34</f>
        <v>0</v>
      </c>
      <c r="AC30" s="159" t="n">
        <f aca="false">-NA_monthly!AC34+NA_monthly!AB34</f>
        <v>0</v>
      </c>
      <c r="AD30" s="159" t="n">
        <f aca="false">-NA_monthly!AD34+NA_monthly!AC34</f>
        <v>0</v>
      </c>
      <c r="AE30" s="159" t="n">
        <f aca="false">-NA_monthly!AE34+NA_monthly!AD34</f>
        <v>0</v>
      </c>
      <c r="AF30" s="159" t="n">
        <f aca="false">-NA_monthly!AF34+NA_monthly!AE34</f>
        <v>0</v>
      </c>
      <c r="AG30" s="159" t="n">
        <f aca="false">-NA_monthly!AG34+NA_monthly!AF34</f>
        <v>0</v>
      </c>
      <c r="AH30" s="159" t="n">
        <f aca="false">-NA_monthly!AH34+NA_monthly!AG34</f>
        <v>0</v>
      </c>
      <c r="AI30" s="159" t="n">
        <f aca="false">-NA_monthly!AI34+NA_monthly!AH34</f>
        <v>0</v>
      </c>
      <c r="AJ30" s="159" t="n">
        <f aca="false">-NA_monthly!AJ34+NA_monthly!AI34</f>
        <v>0</v>
      </c>
      <c r="AK30" s="159" t="n">
        <f aca="false">-NA_monthly!AK34+NA_monthly!AJ34</f>
        <v>0</v>
      </c>
      <c r="AL30" s="159" t="n">
        <f aca="false">-NA_monthly!AL34+NA_monthly!AK34</f>
        <v>0</v>
      </c>
      <c r="AM30" s="159" t="n">
        <f aca="false">-NA_monthly!AM34+NA_monthly!AL34</f>
        <v>0</v>
      </c>
      <c r="AN30" s="159" t="n">
        <f aca="false">-NA_monthly!AN34+NA_monthly!AM34</f>
        <v>0</v>
      </c>
      <c r="AO30" s="159" t="n">
        <f aca="false">-NA_monthly!AO34+NA_monthly!AN34</f>
        <v>0</v>
      </c>
      <c r="AP30" s="159" t="n">
        <f aca="false">-NA_monthly!AP34+NA_monthly!AO34</f>
        <v>0</v>
      </c>
      <c r="AQ30" s="159" t="n">
        <f aca="false">-NA_monthly!AQ34+NA_monthly!AP34</f>
        <v>0</v>
      </c>
      <c r="AR30" s="159" t="n">
        <f aca="false">-NA_monthly!AR34+NA_monthly!AQ34</f>
        <v>0</v>
      </c>
      <c r="AS30" s="159" t="n">
        <f aca="false">-NA_monthly!AS34+NA_monthly!AR34</f>
        <v>0</v>
      </c>
      <c r="AT30" s="159" t="n">
        <f aca="false">-NA_monthly!AT34+NA_monthly!AS34</f>
        <v>0</v>
      </c>
      <c r="AU30" s="159" t="n">
        <f aca="false">-NA_monthly!AU34+NA_monthly!AT34</f>
        <v>0</v>
      </c>
      <c r="AV30" s="159" t="n">
        <f aca="false">-NA_monthly!AV34+NA_monthly!AU34</f>
        <v>0</v>
      </c>
      <c r="AW30" s="159" t="n">
        <f aca="false">-NA_monthly!AW34+NA_monthly!AV34</f>
        <v>0</v>
      </c>
      <c r="AX30" s="159" t="n">
        <f aca="false">-NA_monthly!AX34+NA_monthly!AW34</f>
        <v>0</v>
      </c>
      <c r="AY30" s="159" t="n">
        <f aca="false">-NA_monthly!AY34+NA_monthly!AX34</f>
        <v>0</v>
      </c>
      <c r="AZ30" s="159" t="n">
        <f aca="false">-NA_monthly!AZ34+NA_monthly!AY34</f>
        <v>0</v>
      </c>
      <c r="BA30" s="159" t="n">
        <f aca="false">-NA_monthly!BA34+NA_monthly!AZ34</f>
        <v>0</v>
      </c>
      <c r="BB30" s="159" t="n">
        <f aca="false">-NA_monthly!BB34+NA_monthly!BA34</f>
        <v>0</v>
      </c>
      <c r="BC30" s="159" t="n">
        <f aca="false">-NA_monthly!BC34+NA_monthly!BB34</f>
        <v>0</v>
      </c>
      <c r="BD30" s="159" t="n">
        <f aca="false">-NA_monthly!BD34+NA_monthly!BC34</f>
        <v>0</v>
      </c>
      <c r="BE30" s="159" t="n">
        <f aca="false">-NA_monthly!BE34+NA_monthly!BD34</f>
        <v>0</v>
      </c>
      <c r="BF30" s="159" t="n">
        <f aca="false">-NA_monthly!BF34+NA_monthly!BE34</f>
        <v>0</v>
      </c>
      <c r="BG30" s="159" t="n">
        <f aca="false">-NA_monthly!BG34+NA_monthly!BF34</f>
        <v>0</v>
      </c>
      <c r="BH30" s="159" t="n">
        <f aca="false">-NA_monthly!BH34+NA_monthly!BG34</f>
        <v>0</v>
      </c>
      <c r="BI30" s="159" t="n">
        <f aca="false">-NA_monthly!BI34+NA_monthly!BH34</f>
        <v>0</v>
      </c>
      <c r="BJ30" s="159" t="n">
        <f aca="false">-NA_monthly!BJ34+NA_monthly!BI34</f>
        <v>0</v>
      </c>
      <c r="BK30" s="159" t="n">
        <f aca="false">-NA_monthly!BK34+NA_monthly!BJ34</f>
        <v>0</v>
      </c>
      <c r="BL30" s="159" t="n">
        <f aca="false">-NA_monthly!BL34+NA_monthly!BK34</f>
        <v>0</v>
      </c>
      <c r="BM30" s="159" t="n">
        <f aca="false">-NA_monthly!BM34+NA_monthly!BL34</f>
        <v>0</v>
      </c>
      <c r="BN30" s="159" t="n">
        <f aca="false">-NA_monthly!BN34+NA_monthly!BM34</f>
        <v>0</v>
      </c>
      <c r="BO30" s="159" t="n">
        <f aca="false">-NA_monthly!BO34+NA_monthly!BN34</f>
        <v>0</v>
      </c>
      <c r="BP30" s="159" t="n">
        <f aca="false">-NA_monthly!BP34+NA_monthly!BO34</f>
        <v>0</v>
      </c>
      <c r="BQ30" s="159" t="n">
        <f aca="false">-NA_monthly!BQ34+NA_monthly!BP34</f>
        <v>0</v>
      </c>
      <c r="BR30" s="159" t="n">
        <f aca="false">-NA_monthly!BR34+NA_monthly!BQ34</f>
        <v>0</v>
      </c>
      <c r="BS30" s="159" t="n">
        <f aca="false">-NA_monthly!BS34+NA_monthly!BR34</f>
        <v>0</v>
      </c>
      <c r="BT30" s="159" t="n">
        <f aca="false">-NA_monthly!BT34+NA_monthly!BS34</f>
        <v>0</v>
      </c>
      <c r="BU30" s="159" t="n">
        <f aca="false">-NA_monthly!BU34+NA_monthly!BT34</f>
        <v>0</v>
      </c>
      <c r="BV30" s="159" t="n">
        <f aca="false">-NA_monthly!BV34+NA_monthly!BU34</f>
        <v>0</v>
      </c>
      <c r="BW30" s="159" t="n">
        <f aca="false">-NA_monthly!BW34+NA_monthly!BV34</f>
        <v>0</v>
      </c>
      <c r="BX30" s="159" t="n">
        <f aca="false">-NA_monthly!BX34+NA_monthly!BW34</f>
        <v>0</v>
      </c>
      <c r="BY30" s="159" t="n">
        <f aca="false">-NA_monthly!BY34+NA_monthly!BX34</f>
        <v>0</v>
      </c>
      <c r="BZ30" s="159" t="n">
        <f aca="false">-NA_monthly!BZ34+NA_monthly!BY34</f>
        <v>0</v>
      </c>
      <c r="CA30" s="159" t="n">
        <f aca="false">-NA_monthly!CA34+NA_monthly!BZ34</f>
        <v>0</v>
      </c>
      <c r="CB30" s="159" t="n">
        <f aca="false">-NA_monthly!CB34+NA_monthly!CA34</f>
        <v>0</v>
      </c>
      <c r="CC30" s="159" t="n">
        <f aca="false">-NA_monthly!CC34+NA_monthly!CB34</f>
        <v>0</v>
      </c>
      <c r="CD30" s="159" t="n">
        <f aca="false">-NA_monthly!CD34+NA_monthly!CC34</f>
        <v>0</v>
      </c>
      <c r="CE30" s="159" t="n">
        <f aca="false">-NA_monthly!CE34+NA_monthly!CD34</f>
        <v>0</v>
      </c>
      <c r="CF30" s="159" t="n">
        <f aca="false">-NA_monthly!CF34+NA_monthly!CE34</f>
        <v>0</v>
      </c>
      <c r="CG30" s="159" t="n">
        <f aca="false">-NA_monthly!CG34+NA_monthly!CF34</f>
        <v>0</v>
      </c>
      <c r="CH30" s="159" t="n">
        <f aca="false">-NA_monthly!CH34+NA_monthly!CG34</f>
        <v>0</v>
      </c>
      <c r="CI30" s="159" t="n">
        <f aca="false">-NA_monthly!CI34+NA_monthly!CH34</f>
        <v>0</v>
      </c>
      <c r="CJ30" s="159" t="n">
        <f aca="false">-NA_monthly!CJ34+NA_monthly!CI34</f>
        <v>0</v>
      </c>
      <c r="CK30" s="159" t="n">
        <f aca="false">-NA_monthly!CK34+NA_monthly!CJ34</f>
        <v>0</v>
      </c>
    </row>
    <row r="31" customFormat="false" ht="11.25" hidden="false" customHeight="true" outlineLevel="2" collapsed="false">
      <c r="C31" s="51" t="str">
        <f aca="false">"∆ "&amp;'Lead NA'!C147</f>
        <v>∆ Verbindlichkeiten an verbundenen/beteiligten Unternehmen</v>
      </c>
      <c r="D31" s="51" t="str">
        <f aca="false">"∆ "&amp;'Lead NA'!D147</f>
        <v>∆ Liabilities to affiliated/ participating companies</v>
      </c>
      <c r="E31" s="137"/>
      <c r="F31" s="137"/>
      <c r="G31" s="159" t="n">
        <f aca="false">-NA_monthly!G35+NA_monthly!F35</f>
        <v>0</v>
      </c>
      <c r="H31" s="159" t="n">
        <f aca="false">-NA_monthly!H35+NA_monthly!G35</f>
        <v>0</v>
      </c>
      <c r="I31" s="159" t="n">
        <f aca="false">-NA_monthly!I35+NA_monthly!H35</f>
        <v>0</v>
      </c>
      <c r="J31" s="159" t="n">
        <f aca="false">-NA_monthly!J35+NA_monthly!I35</f>
        <v>0</v>
      </c>
      <c r="K31" s="159" t="n">
        <f aca="false">-NA_monthly!K35+NA_monthly!J35</f>
        <v>0</v>
      </c>
      <c r="L31" s="159" t="n">
        <f aca="false">-NA_monthly!L35+NA_monthly!K35</f>
        <v>0</v>
      </c>
      <c r="M31" s="159" t="n">
        <f aca="false">-NA_monthly!M35+NA_monthly!L35</f>
        <v>0</v>
      </c>
      <c r="N31" s="159" t="n">
        <f aca="false">-NA_monthly!N35+NA_monthly!M35</f>
        <v>0</v>
      </c>
      <c r="O31" s="159" t="n">
        <f aca="false">-NA_monthly!O35+NA_monthly!N35</f>
        <v>0</v>
      </c>
      <c r="P31" s="159" t="n">
        <f aca="false">-NA_monthly!P35+NA_monthly!O35</f>
        <v>0</v>
      </c>
      <c r="Q31" s="159" t="n">
        <f aca="false">-NA_monthly!Q35+NA_monthly!P35</f>
        <v>0</v>
      </c>
      <c r="R31" s="159" t="n">
        <f aca="false">-NA_monthly!R35+NA_monthly!Q35</f>
        <v>0</v>
      </c>
      <c r="S31" s="159" t="n">
        <f aca="false">-NA_monthly!S35+NA_monthly!R35</f>
        <v>0</v>
      </c>
      <c r="T31" s="159" t="n">
        <f aca="false">-NA_monthly!T35+NA_monthly!S35</f>
        <v>0</v>
      </c>
      <c r="U31" s="159" t="n">
        <f aca="false">-NA_monthly!U35+NA_monthly!T35</f>
        <v>0</v>
      </c>
      <c r="V31" s="159" t="n">
        <f aca="false">-NA_monthly!V35+NA_monthly!U35</f>
        <v>0</v>
      </c>
      <c r="W31" s="159" t="n">
        <f aca="false">-NA_monthly!W35+NA_monthly!V35</f>
        <v>0</v>
      </c>
      <c r="X31" s="159" t="n">
        <f aca="false">-NA_monthly!X35+NA_monthly!W35</f>
        <v>0</v>
      </c>
      <c r="Y31" s="159" t="n">
        <f aca="false">-NA_monthly!Y35+NA_monthly!X35</f>
        <v>0</v>
      </c>
      <c r="Z31" s="159" t="n">
        <f aca="false">-NA_monthly!Z35+NA_monthly!Y35</f>
        <v>0</v>
      </c>
      <c r="AA31" s="159" t="n">
        <f aca="false">-NA_monthly!AA35+NA_monthly!Z35</f>
        <v>0</v>
      </c>
      <c r="AB31" s="159" t="n">
        <f aca="false">-NA_monthly!AB35+NA_monthly!AA35</f>
        <v>0</v>
      </c>
      <c r="AC31" s="159" t="n">
        <f aca="false">-NA_monthly!AC35+NA_monthly!AB35</f>
        <v>0</v>
      </c>
      <c r="AD31" s="159" t="n">
        <f aca="false">-NA_monthly!AD35+NA_monthly!AC35</f>
        <v>0</v>
      </c>
      <c r="AE31" s="159" t="n">
        <f aca="false">-NA_monthly!AE35+NA_monthly!AD35</f>
        <v>0</v>
      </c>
      <c r="AF31" s="159" t="n">
        <f aca="false">-NA_monthly!AF35+NA_monthly!AE35</f>
        <v>0</v>
      </c>
      <c r="AG31" s="159" t="n">
        <f aca="false">-NA_monthly!AG35+NA_monthly!AF35</f>
        <v>0</v>
      </c>
      <c r="AH31" s="159" t="n">
        <f aca="false">-NA_monthly!AH35+NA_monthly!AG35</f>
        <v>0</v>
      </c>
      <c r="AI31" s="159" t="n">
        <f aca="false">-NA_monthly!AI35+NA_monthly!AH35</f>
        <v>0</v>
      </c>
      <c r="AJ31" s="159" t="n">
        <f aca="false">-NA_monthly!AJ35+NA_monthly!AI35</f>
        <v>0</v>
      </c>
      <c r="AK31" s="159" t="n">
        <f aca="false">-NA_monthly!AK35+NA_monthly!AJ35</f>
        <v>0</v>
      </c>
      <c r="AL31" s="159" t="n">
        <f aca="false">-NA_monthly!AL35+NA_monthly!AK35</f>
        <v>0</v>
      </c>
      <c r="AM31" s="159" t="n">
        <f aca="false">-NA_monthly!AM35+NA_monthly!AL35</f>
        <v>0</v>
      </c>
      <c r="AN31" s="159" t="n">
        <f aca="false">-NA_monthly!AN35+NA_monthly!AM35</f>
        <v>0</v>
      </c>
      <c r="AO31" s="159" t="n">
        <f aca="false">-NA_monthly!AO35+NA_monthly!AN35</f>
        <v>0</v>
      </c>
      <c r="AP31" s="159" t="n">
        <f aca="false">-NA_monthly!AP35+NA_monthly!AO35</f>
        <v>0</v>
      </c>
      <c r="AQ31" s="159" t="n">
        <f aca="false">-NA_monthly!AQ35+NA_monthly!AP35</f>
        <v>0</v>
      </c>
      <c r="AR31" s="159" t="n">
        <f aca="false">-NA_monthly!AR35+NA_monthly!AQ35</f>
        <v>0</v>
      </c>
      <c r="AS31" s="159" t="n">
        <f aca="false">-NA_monthly!AS35+NA_monthly!AR35</f>
        <v>0</v>
      </c>
      <c r="AT31" s="159" t="n">
        <f aca="false">-NA_monthly!AT35+NA_monthly!AS35</f>
        <v>0</v>
      </c>
      <c r="AU31" s="159" t="n">
        <f aca="false">-NA_monthly!AU35+NA_monthly!AT35</f>
        <v>0</v>
      </c>
      <c r="AV31" s="159" t="n">
        <f aca="false">-NA_monthly!AV35+NA_monthly!AU35</f>
        <v>0</v>
      </c>
      <c r="AW31" s="159" t="n">
        <f aca="false">-NA_monthly!AW35+NA_monthly!AV35</f>
        <v>0</v>
      </c>
      <c r="AX31" s="159" t="n">
        <f aca="false">-NA_monthly!AX35+NA_monthly!AW35</f>
        <v>0</v>
      </c>
      <c r="AY31" s="159" t="n">
        <f aca="false">-NA_monthly!AY35+NA_monthly!AX35</f>
        <v>0</v>
      </c>
      <c r="AZ31" s="159" t="n">
        <f aca="false">-NA_monthly!AZ35+NA_monthly!AY35</f>
        <v>0</v>
      </c>
      <c r="BA31" s="159" t="n">
        <f aca="false">-NA_monthly!BA35+NA_monthly!AZ35</f>
        <v>0</v>
      </c>
      <c r="BB31" s="159" t="n">
        <f aca="false">-NA_monthly!BB35+NA_monthly!BA35</f>
        <v>0</v>
      </c>
      <c r="BC31" s="159" t="n">
        <f aca="false">-NA_monthly!BC35+NA_monthly!BB35</f>
        <v>0</v>
      </c>
      <c r="BD31" s="159" t="n">
        <f aca="false">-NA_monthly!BD35+NA_monthly!BC35</f>
        <v>0</v>
      </c>
      <c r="BE31" s="159" t="n">
        <f aca="false">-NA_monthly!BE35+NA_monthly!BD35</f>
        <v>0</v>
      </c>
      <c r="BF31" s="159" t="n">
        <f aca="false">-NA_monthly!BF35+NA_monthly!BE35</f>
        <v>0</v>
      </c>
      <c r="BG31" s="159" t="n">
        <f aca="false">-NA_monthly!BG35+NA_monthly!BF35</f>
        <v>0</v>
      </c>
      <c r="BH31" s="159" t="n">
        <f aca="false">-NA_monthly!BH35+NA_monthly!BG35</f>
        <v>0</v>
      </c>
      <c r="BI31" s="159" t="n">
        <f aca="false">-NA_monthly!BI35+NA_monthly!BH35</f>
        <v>0</v>
      </c>
      <c r="BJ31" s="159" t="n">
        <f aca="false">-NA_monthly!BJ35+NA_monthly!BI35</f>
        <v>0</v>
      </c>
      <c r="BK31" s="159" t="n">
        <f aca="false">-NA_monthly!BK35+NA_monthly!BJ35</f>
        <v>0</v>
      </c>
      <c r="BL31" s="159" t="n">
        <f aca="false">-NA_monthly!BL35+NA_monthly!BK35</f>
        <v>0</v>
      </c>
      <c r="BM31" s="159" t="n">
        <f aca="false">-NA_monthly!BM35+NA_monthly!BL35</f>
        <v>0</v>
      </c>
      <c r="BN31" s="159" t="n">
        <f aca="false">-NA_monthly!BN35+NA_monthly!BM35</f>
        <v>0</v>
      </c>
      <c r="BO31" s="159" t="n">
        <f aca="false">-NA_monthly!BO35+NA_monthly!BN35</f>
        <v>0</v>
      </c>
      <c r="BP31" s="159" t="n">
        <f aca="false">-NA_monthly!BP35+NA_monthly!BO35</f>
        <v>0</v>
      </c>
      <c r="BQ31" s="159" t="n">
        <f aca="false">-NA_monthly!BQ35+NA_monthly!BP35</f>
        <v>0</v>
      </c>
      <c r="BR31" s="159" t="n">
        <f aca="false">-NA_monthly!BR35+NA_monthly!BQ35</f>
        <v>0</v>
      </c>
      <c r="BS31" s="159" t="n">
        <f aca="false">-NA_monthly!BS35+NA_monthly!BR35</f>
        <v>0</v>
      </c>
      <c r="BT31" s="159" t="n">
        <f aca="false">-NA_monthly!BT35+NA_monthly!BS35</f>
        <v>0</v>
      </c>
      <c r="BU31" s="159" t="n">
        <f aca="false">-NA_monthly!BU35+NA_monthly!BT35</f>
        <v>0</v>
      </c>
      <c r="BV31" s="159" t="n">
        <f aca="false">-NA_monthly!BV35+NA_monthly!BU35</f>
        <v>0</v>
      </c>
      <c r="BW31" s="159" t="n">
        <f aca="false">-NA_monthly!BW35+NA_monthly!BV35</f>
        <v>0</v>
      </c>
      <c r="BX31" s="159" t="n">
        <f aca="false">-NA_monthly!BX35+NA_monthly!BW35</f>
        <v>0</v>
      </c>
      <c r="BY31" s="159" t="n">
        <f aca="false">-NA_monthly!BY35+NA_monthly!BX35</f>
        <v>0</v>
      </c>
      <c r="BZ31" s="159" t="n">
        <f aca="false">-NA_monthly!BZ35+NA_monthly!BY35</f>
        <v>0</v>
      </c>
      <c r="CA31" s="159" t="n">
        <f aca="false">-NA_monthly!CA35+NA_monthly!BZ35</f>
        <v>0</v>
      </c>
      <c r="CB31" s="159" t="n">
        <f aca="false">-NA_monthly!CB35+NA_monthly!CA35</f>
        <v>0</v>
      </c>
      <c r="CC31" s="159" t="n">
        <f aca="false">-NA_monthly!CC35+NA_monthly!CB35</f>
        <v>0</v>
      </c>
      <c r="CD31" s="159" t="n">
        <f aca="false">-NA_monthly!CD35+NA_monthly!CC35</f>
        <v>0</v>
      </c>
      <c r="CE31" s="159" t="n">
        <f aca="false">-NA_monthly!CE35+NA_monthly!CD35</f>
        <v>0</v>
      </c>
      <c r="CF31" s="159" t="n">
        <f aca="false">-NA_monthly!CF35+NA_monthly!CE35</f>
        <v>0</v>
      </c>
      <c r="CG31" s="159" t="n">
        <f aca="false">-NA_monthly!CG35+NA_monthly!CF35</f>
        <v>0</v>
      </c>
      <c r="CH31" s="159" t="n">
        <f aca="false">-NA_monthly!CH35+NA_monthly!CG35</f>
        <v>0</v>
      </c>
      <c r="CI31" s="159" t="n">
        <f aca="false">-NA_monthly!CI35+NA_monthly!CH35</f>
        <v>0</v>
      </c>
      <c r="CJ31" s="159" t="n">
        <f aca="false">-NA_monthly!CJ35+NA_monthly!CI35</f>
        <v>0</v>
      </c>
      <c r="CK31" s="159" t="n">
        <f aca="false">-NA_monthly!CK35+NA_monthly!CJ35</f>
        <v>0</v>
      </c>
    </row>
    <row r="32" customFormat="false" ht="11.25" hidden="false" customHeight="true" outlineLevel="2" collapsed="false">
      <c r="C32" s="51" t="str">
        <f aca="false">"∆ "&amp;'Lead NA'!C156</f>
        <v>∆ Verbindlichkeiten an Gesellschafter</v>
      </c>
      <c r="D32" s="51" t="str">
        <f aca="false">"∆ "&amp;'Lead NA'!D156</f>
        <v>∆ Liabilities to shareholders</v>
      </c>
      <c r="E32" s="137"/>
      <c r="F32" s="137"/>
      <c r="G32" s="159" t="n">
        <f aca="false">-NA_monthly!G36+NA_monthly!F36</f>
        <v>0</v>
      </c>
      <c r="H32" s="159" t="n">
        <f aca="false">-NA_monthly!H36+NA_monthly!G36</f>
        <v>0</v>
      </c>
      <c r="I32" s="159" t="n">
        <f aca="false">-NA_monthly!I36+NA_monthly!H36</f>
        <v>0</v>
      </c>
      <c r="J32" s="159" t="n">
        <f aca="false">-NA_monthly!J36+NA_monthly!I36</f>
        <v>0</v>
      </c>
      <c r="K32" s="159" t="n">
        <f aca="false">-NA_monthly!K36+NA_monthly!J36</f>
        <v>0</v>
      </c>
      <c r="L32" s="159" t="n">
        <f aca="false">-NA_monthly!L36+NA_monthly!K36</f>
        <v>0</v>
      </c>
      <c r="M32" s="159" t="n">
        <f aca="false">-NA_monthly!M36+NA_monthly!L36</f>
        <v>0</v>
      </c>
      <c r="N32" s="159" t="n">
        <f aca="false">-NA_monthly!N36+NA_monthly!M36</f>
        <v>0</v>
      </c>
      <c r="O32" s="159" t="n">
        <f aca="false">-NA_monthly!O36+NA_monthly!N36</f>
        <v>0</v>
      </c>
      <c r="P32" s="159" t="n">
        <f aca="false">-NA_monthly!P36+NA_monthly!O36</f>
        <v>0</v>
      </c>
      <c r="Q32" s="159" t="n">
        <f aca="false">-NA_monthly!Q36+NA_monthly!P36</f>
        <v>0</v>
      </c>
      <c r="R32" s="159" t="n">
        <f aca="false">-NA_monthly!R36+NA_monthly!Q36</f>
        <v>0</v>
      </c>
      <c r="S32" s="159" t="n">
        <f aca="false">-NA_monthly!S36+NA_monthly!R36</f>
        <v>0</v>
      </c>
      <c r="T32" s="159" t="n">
        <f aca="false">-NA_monthly!T36+NA_monthly!S36</f>
        <v>0</v>
      </c>
      <c r="U32" s="159" t="n">
        <f aca="false">-NA_monthly!U36+NA_monthly!T36</f>
        <v>0</v>
      </c>
      <c r="V32" s="159" t="n">
        <f aca="false">-NA_monthly!V36+NA_monthly!U36</f>
        <v>0</v>
      </c>
      <c r="W32" s="159" t="n">
        <f aca="false">-NA_monthly!W36+NA_monthly!V36</f>
        <v>0</v>
      </c>
      <c r="X32" s="159" t="n">
        <f aca="false">-NA_monthly!X36+NA_monthly!W36</f>
        <v>0</v>
      </c>
      <c r="Y32" s="159" t="n">
        <f aca="false">-NA_monthly!Y36+NA_monthly!X36</f>
        <v>0</v>
      </c>
      <c r="Z32" s="159" t="n">
        <f aca="false">-NA_monthly!Z36+NA_monthly!Y36</f>
        <v>0</v>
      </c>
      <c r="AA32" s="159" t="n">
        <f aca="false">-NA_monthly!AA36+NA_monthly!Z36</f>
        <v>0</v>
      </c>
      <c r="AB32" s="159" t="n">
        <f aca="false">-NA_monthly!AB36+NA_monthly!AA36</f>
        <v>0</v>
      </c>
      <c r="AC32" s="159" t="n">
        <f aca="false">-NA_monthly!AC36+NA_monthly!AB36</f>
        <v>0</v>
      </c>
      <c r="AD32" s="159" t="n">
        <f aca="false">-NA_monthly!AD36+NA_monthly!AC36</f>
        <v>0</v>
      </c>
      <c r="AE32" s="159" t="n">
        <f aca="false">-NA_monthly!AE36+NA_monthly!AD36</f>
        <v>0</v>
      </c>
      <c r="AF32" s="159" t="n">
        <f aca="false">-NA_monthly!AF36+NA_monthly!AE36</f>
        <v>0</v>
      </c>
      <c r="AG32" s="159" t="n">
        <f aca="false">-NA_monthly!AG36+NA_monthly!AF36</f>
        <v>0</v>
      </c>
      <c r="AH32" s="159" t="n">
        <f aca="false">-NA_monthly!AH36+NA_monthly!AG36</f>
        <v>0</v>
      </c>
      <c r="AI32" s="159" t="n">
        <f aca="false">-NA_monthly!AI36+NA_monthly!AH36</f>
        <v>0</v>
      </c>
      <c r="AJ32" s="159" t="n">
        <f aca="false">-NA_monthly!AJ36+NA_monthly!AI36</f>
        <v>0</v>
      </c>
      <c r="AK32" s="159" t="n">
        <f aca="false">-NA_monthly!AK36+NA_monthly!AJ36</f>
        <v>0</v>
      </c>
      <c r="AL32" s="159" t="n">
        <f aca="false">-NA_monthly!AL36+NA_monthly!AK36</f>
        <v>0</v>
      </c>
      <c r="AM32" s="159" t="n">
        <f aca="false">-NA_monthly!AM36+NA_monthly!AL36</f>
        <v>0</v>
      </c>
      <c r="AN32" s="159" t="n">
        <f aca="false">-NA_monthly!AN36+NA_monthly!AM36</f>
        <v>0</v>
      </c>
      <c r="AO32" s="159" t="n">
        <f aca="false">-NA_monthly!AO36+NA_monthly!AN36</f>
        <v>0</v>
      </c>
      <c r="AP32" s="159" t="n">
        <f aca="false">-NA_monthly!AP36+NA_monthly!AO36</f>
        <v>0</v>
      </c>
      <c r="AQ32" s="159" t="n">
        <f aca="false">-NA_monthly!AQ36+NA_monthly!AP36</f>
        <v>0</v>
      </c>
      <c r="AR32" s="159" t="n">
        <f aca="false">-NA_monthly!AR36+NA_monthly!AQ36</f>
        <v>0</v>
      </c>
      <c r="AS32" s="159" t="n">
        <f aca="false">-NA_monthly!AS36+NA_monthly!AR36</f>
        <v>0</v>
      </c>
      <c r="AT32" s="159" t="n">
        <f aca="false">-NA_monthly!AT36+NA_monthly!AS36</f>
        <v>0</v>
      </c>
      <c r="AU32" s="159" t="n">
        <f aca="false">-NA_monthly!AU36+NA_monthly!AT36</f>
        <v>0</v>
      </c>
      <c r="AV32" s="159" t="n">
        <f aca="false">-NA_monthly!AV36+NA_monthly!AU36</f>
        <v>0</v>
      </c>
      <c r="AW32" s="159" t="n">
        <f aca="false">-NA_monthly!AW36+NA_monthly!AV36</f>
        <v>0</v>
      </c>
      <c r="AX32" s="159" t="n">
        <f aca="false">-NA_monthly!AX36+NA_monthly!AW36</f>
        <v>0</v>
      </c>
      <c r="AY32" s="159" t="n">
        <f aca="false">-NA_monthly!AY36+NA_monthly!AX36</f>
        <v>0</v>
      </c>
      <c r="AZ32" s="159" t="n">
        <f aca="false">-NA_monthly!AZ36+NA_monthly!AY36</f>
        <v>0</v>
      </c>
      <c r="BA32" s="159" t="n">
        <f aca="false">-NA_monthly!BA36+NA_monthly!AZ36</f>
        <v>0</v>
      </c>
      <c r="BB32" s="159" t="n">
        <f aca="false">-NA_monthly!BB36+NA_monthly!BA36</f>
        <v>0</v>
      </c>
      <c r="BC32" s="159" t="n">
        <f aca="false">-NA_monthly!BC36+NA_monthly!BB36</f>
        <v>0</v>
      </c>
      <c r="BD32" s="159" t="n">
        <f aca="false">-NA_monthly!BD36+NA_monthly!BC36</f>
        <v>0</v>
      </c>
      <c r="BE32" s="159" t="n">
        <f aca="false">-NA_monthly!BE36+NA_monthly!BD36</f>
        <v>0</v>
      </c>
      <c r="BF32" s="159" t="n">
        <f aca="false">-NA_monthly!BF36+NA_monthly!BE36</f>
        <v>0</v>
      </c>
      <c r="BG32" s="159" t="n">
        <f aca="false">-NA_monthly!BG36+NA_monthly!BF36</f>
        <v>0</v>
      </c>
      <c r="BH32" s="159" t="n">
        <f aca="false">-NA_monthly!BH36+NA_monthly!BG36</f>
        <v>0</v>
      </c>
      <c r="BI32" s="159" t="n">
        <f aca="false">-NA_monthly!BI36+NA_monthly!BH36</f>
        <v>0</v>
      </c>
      <c r="BJ32" s="159" t="n">
        <f aca="false">-NA_monthly!BJ36+NA_monthly!BI36</f>
        <v>0</v>
      </c>
      <c r="BK32" s="159" t="n">
        <f aca="false">-NA_monthly!BK36+NA_monthly!BJ36</f>
        <v>0</v>
      </c>
      <c r="BL32" s="159" t="n">
        <f aca="false">-NA_monthly!BL36+NA_monthly!BK36</f>
        <v>0</v>
      </c>
      <c r="BM32" s="159" t="n">
        <f aca="false">-NA_monthly!BM36+NA_monthly!BL36</f>
        <v>0</v>
      </c>
      <c r="BN32" s="159" t="n">
        <f aca="false">-NA_monthly!BN36+NA_monthly!BM36</f>
        <v>0</v>
      </c>
      <c r="BO32" s="159" t="n">
        <f aca="false">-NA_monthly!BO36+NA_monthly!BN36</f>
        <v>0</v>
      </c>
      <c r="BP32" s="159" t="n">
        <f aca="false">-NA_monthly!BP36+NA_monthly!BO36</f>
        <v>0</v>
      </c>
      <c r="BQ32" s="159" t="n">
        <f aca="false">-NA_monthly!BQ36+NA_monthly!BP36</f>
        <v>0</v>
      </c>
      <c r="BR32" s="159" t="n">
        <f aca="false">-NA_monthly!BR36+NA_monthly!BQ36</f>
        <v>0</v>
      </c>
      <c r="BS32" s="159" t="n">
        <f aca="false">-NA_monthly!BS36+NA_monthly!BR36</f>
        <v>0</v>
      </c>
      <c r="BT32" s="159" t="n">
        <f aca="false">-NA_monthly!BT36+NA_monthly!BS36</f>
        <v>0</v>
      </c>
      <c r="BU32" s="159" t="n">
        <f aca="false">-NA_monthly!BU36+NA_monthly!BT36</f>
        <v>0</v>
      </c>
      <c r="BV32" s="159" t="n">
        <f aca="false">-NA_monthly!BV36+NA_monthly!BU36</f>
        <v>0</v>
      </c>
      <c r="BW32" s="159" t="n">
        <f aca="false">-NA_monthly!BW36+NA_monthly!BV36</f>
        <v>0</v>
      </c>
      <c r="BX32" s="159" t="n">
        <f aca="false">-NA_monthly!BX36+NA_monthly!BW36</f>
        <v>0</v>
      </c>
      <c r="BY32" s="159" t="n">
        <f aca="false">-NA_monthly!BY36+NA_monthly!BX36</f>
        <v>0</v>
      </c>
      <c r="BZ32" s="159" t="n">
        <f aca="false">-NA_monthly!BZ36+NA_monthly!BY36</f>
        <v>0</v>
      </c>
      <c r="CA32" s="159" t="n">
        <f aca="false">-NA_monthly!CA36+NA_monthly!BZ36</f>
        <v>0</v>
      </c>
      <c r="CB32" s="159" t="n">
        <f aca="false">-NA_monthly!CB36+NA_monthly!CA36</f>
        <v>0</v>
      </c>
      <c r="CC32" s="159" t="n">
        <f aca="false">-NA_monthly!CC36+NA_monthly!CB36</f>
        <v>0</v>
      </c>
      <c r="CD32" s="159" t="n">
        <f aca="false">-NA_monthly!CD36+NA_monthly!CC36</f>
        <v>0</v>
      </c>
      <c r="CE32" s="159" t="n">
        <f aca="false">-NA_monthly!CE36+NA_monthly!CD36</f>
        <v>0</v>
      </c>
      <c r="CF32" s="159" t="n">
        <f aca="false">-NA_monthly!CF36+NA_monthly!CE36</f>
        <v>0</v>
      </c>
      <c r="CG32" s="159" t="n">
        <f aca="false">-NA_monthly!CG36+NA_monthly!CF36</f>
        <v>0</v>
      </c>
      <c r="CH32" s="159" t="n">
        <f aca="false">-NA_monthly!CH36+NA_monthly!CG36</f>
        <v>0</v>
      </c>
      <c r="CI32" s="159" t="n">
        <f aca="false">-NA_monthly!CI36+NA_monthly!CH36</f>
        <v>0</v>
      </c>
      <c r="CJ32" s="159" t="n">
        <f aca="false">-NA_monthly!CJ36+NA_monthly!CI36</f>
        <v>0</v>
      </c>
      <c r="CK32" s="159" t="n">
        <f aca="false">-NA_monthly!CK36+NA_monthly!CJ36</f>
        <v>0</v>
      </c>
    </row>
    <row r="33" customFormat="false" ht="11.25" hidden="false" customHeight="true" outlineLevel="2" collapsed="false">
      <c r="C33" s="51" t="str">
        <f aca="false">"∆ "&amp;'Lead NA'!C165</f>
        <v>∆ Passive Rechnungsabgrenzungsposten</v>
      </c>
      <c r="D33" s="51" t="str">
        <f aca="false">"∆ "&amp;'Lead NA'!D165</f>
        <v>∆ Deferred income</v>
      </c>
      <c r="E33" s="137"/>
      <c r="F33" s="137"/>
      <c r="G33" s="159" t="n">
        <f aca="false">-NA_monthly!G37+NA_monthly!F37</f>
        <v>0</v>
      </c>
      <c r="H33" s="159" t="n">
        <f aca="false">-NA_monthly!H37+NA_monthly!G37</f>
        <v>0</v>
      </c>
      <c r="I33" s="159" t="n">
        <f aca="false">-NA_monthly!I37+NA_monthly!H37</f>
        <v>0</v>
      </c>
      <c r="J33" s="159" t="n">
        <f aca="false">-NA_monthly!J37+NA_monthly!I37</f>
        <v>0</v>
      </c>
      <c r="K33" s="159" t="n">
        <f aca="false">-NA_monthly!K37+NA_monthly!J37</f>
        <v>0</v>
      </c>
      <c r="L33" s="159" t="n">
        <f aca="false">-NA_monthly!L37+NA_monthly!K37</f>
        <v>0</v>
      </c>
      <c r="M33" s="159" t="n">
        <f aca="false">-NA_monthly!M37+NA_monthly!L37</f>
        <v>0</v>
      </c>
      <c r="N33" s="159" t="n">
        <f aca="false">-NA_monthly!N37+NA_monthly!M37</f>
        <v>0</v>
      </c>
      <c r="O33" s="159" t="n">
        <f aca="false">-NA_monthly!O37+NA_monthly!N37</f>
        <v>0</v>
      </c>
      <c r="P33" s="159" t="n">
        <f aca="false">-NA_monthly!P37+NA_monthly!O37</f>
        <v>0</v>
      </c>
      <c r="Q33" s="159" t="n">
        <f aca="false">-NA_monthly!Q37+NA_monthly!P37</f>
        <v>0</v>
      </c>
      <c r="R33" s="159" t="n">
        <f aca="false">-NA_monthly!R37+NA_monthly!Q37</f>
        <v>0</v>
      </c>
      <c r="S33" s="159" t="n">
        <f aca="false">-NA_monthly!S37+NA_monthly!R37</f>
        <v>0</v>
      </c>
      <c r="T33" s="159" t="n">
        <f aca="false">-NA_monthly!T37+NA_monthly!S37</f>
        <v>0</v>
      </c>
      <c r="U33" s="159" t="n">
        <f aca="false">-NA_monthly!U37+NA_monthly!T37</f>
        <v>0</v>
      </c>
      <c r="V33" s="159" t="n">
        <f aca="false">-NA_monthly!V37+NA_monthly!U37</f>
        <v>0</v>
      </c>
      <c r="W33" s="159" t="n">
        <f aca="false">-NA_monthly!W37+NA_monthly!V37</f>
        <v>0</v>
      </c>
      <c r="X33" s="159" t="n">
        <f aca="false">-NA_monthly!X37+NA_monthly!W37</f>
        <v>0</v>
      </c>
      <c r="Y33" s="159" t="n">
        <f aca="false">-NA_monthly!Y37+NA_monthly!X37</f>
        <v>0</v>
      </c>
      <c r="Z33" s="159" t="n">
        <f aca="false">-NA_monthly!Z37+NA_monthly!Y37</f>
        <v>0</v>
      </c>
      <c r="AA33" s="159" t="n">
        <f aca="false">-NA_monthly!AA37+NA_monthly!Z37</f>
        <v>0</v>
      </c>
      <c r="AB33" s="159" t="n">
        <f aca="false">-NA_monthly!AB37+NA_monthly!AA37</f>
        <v>0</v>
      </c>
      <c r="AC33" s="159" t="n">
        <f aca="false">-NA_monthly!AC37+NA_monthly!AB37</f>
        <v>0</v>
      </c>
      <c r="AD33" s="159" t="n">
        <f aca="false">-NA_monthly!AD37+NA_monthly!AC37</f>
        <v>0</v>
      </c>
      <c r="AE33" s="159" t="n">
        <f aca="false">-NA_monthly!AE37+NA_monthly!AD37</f>
        <v>0</v>
      </c>
      <c r="AF33" s="159" t="n">
        <f aca="false">-NA_monthly!AF37+NA_monthly!AE37</f>
        <v>0</v>
      </c>
      <c r="AG33" s="159" t="n">
        <f aca="false">-NA_monthly!AG37+NA_monthly!AF37</f>
        <v>0</v>
      </c>
      <c r="AH33" s="159" t="n">
        <f aca="false">-NA_monthly!AH37+NA_monthly!AG37</f>
        <v>0</v>
      </c>
      <c r="AI33" s="159" t="n">
        <f aca="false">-NA_monthly!AI37+NA_monthly!AH37</f>
        <v>0</v>
      </c>
      <c r="AJ33" s="159" t="n">
        <f aca="false">-NA_monthly!AJ37+NA_monthly!AI37</f>
        <v>0</v>
      </c>
      <c r="AK33" s="159" t="n">
        <f aca="false">-NA_monthly!AK37+NA_monthly!AJ37</f>
        <v>0</v>
      </c>
      <c r="AL33" s="159" t="n">
        <f aca="false">-NA_monthly!AL37+NA_monthly!AK37</f>
        <v>0</v>
      </c>
      <c r="AM33" s="159" t="n">
        <f aca="false">-NA_monthly!AM37+NA_monthly!AL37</f>
        <v>0</v>
      </c>
      <c r="AN33" s="159" t="n">
        <f aca="false">-NA_monthly!AN37+NA_monthly!AM37</f>
        <v>0</v>
      </c>
      <c r="AO33" s="159" t="n">
        <f aca="false">-NA_monthly!AO37+NA_monthly!AN37</f>
        <v>0</v>
      </c>
      <c r="AP33" s="159" t="n">
        <f aca="false">-NA_monthly!AP37+NA_monthly!AO37</f>
        <v>0</v>
      </c>
      <c r="AQ33" s="159" t="n">
        <f aca="false">-NA_monthly!AQ37+NA_monthly!AP37</f>
        <v>0</v>
      </c>
      <c r="AR33" s="159" t="n">
        <f aca="false">-NA_monthly!AR37+NA_monthly!AQ37</f>
        <v>0</v>
      </c>
      <c r="AS33" s="159" t="n">
        <f aca="false">-NA_monthly!AS37+NA_monthly!AR37</f>
        <v>0</v>
      </c>
      <c r="AT33" s="159" t="n">
        <f aca="false">-NA_monthly!AT37+NA_monthly!AS37</f>
        <v>0</v>
      </c>
      <c r="AU33" s="159" t="n">
        <f aca="false">-NA_monthly!AU37+NA_monthly!AT37</f>
        <v>0</v>
      </c>
      <c r="AV33" s="159" t="n">
        <f aca="false">-NA_monthly!AV37+NA_monthly!AU37</f>
        <v>0</v>
      </c>
      <c r="AW33" s="159" t="n">
        <f aca="false">-NA_monthly!AW37+NA_monthly!AV37</f>
        <v>0</v>
      </c>
      <c r="AX33" s="159" t="n">
        <f aca="false">-NA_monthly!AX37+NA_monthly!AW37</f>
        <v>0</v>
      </c>
      <c r="AY33" s="159" t="n">
        <f aca="false">-NA_monthly!AY37+NA_monthly!AX37</f>
        <v>0</v>
      </c>
      <c r="AZ33" s="159" t="n">
        <f aca="false">-NA_monthly!AZ37+NA_monthly!AY37</f>
        <v>0</v>
      </c>
      <c r="BA33" s="159" t="n">
        <f aca="false">-NA_monthly!BA37+NA_monthly!AZ37</f>
        <v>0</v>
      </c>
      <c r="BB33" s="159" t="n">
        <f aca="false">-NA_monthly!BB37+NA_monthly!BA37</f>
        <v>0</v>
      </c>
      <c r="BC33" s="159" t="n">
        <f aca="false">-NA_monthly!BC37+NA_monthly!BB37</f>
        <v>0</v>
      </c>
      <c r="BD33" s="159" t="n">
        <f aca="false">-NA_monthly!BD37+NA_monthly!BC37</f>
        <v>0</v>
      </c>
      <c r="BE33" s="159" t="n">
        <f aca="false">-NA_monthly!BE37+NA_monthly!BD37</f>
        <v>0</v>
      </c>
      <c r="BF33" s="159" t="n">
        <f aca="false">-NA_monthly!BF37+NA_monthly!BE37</f>
        <v>0</v>
      </c>
      <c r="BG33" s="159" t="n">
        <f aca="false">-NA_monthly!BG37+NA_monthly!BF37</f>
        <v>0</v>
      </c>
      <c r="BH33" s="159" t="n">
        <f aca="false">-NA_monthly!BH37+NA_monthly!BG37</f>
        <v>0</v>
      </c>
      <c r="BI33" s="159" t="n">
        <f aca="false">-NA_monthly!BI37+NA_monthly!BH37</f>
        <v>0</v>
      </c>
      <c r="BJ33" s="159" t="n">
        <f aca="false">-NA_monthly!BJ37+NA_monthly!BI37</f>
        <v>0</v>
      </c>
      <c r="BK33" s="159" t="n">
        <f aca="false">-NA_monthly!BK37+NA_monthly!BJ37</f>
        <v>0</v>
      </c>
      <c r="BL33" s="159" t="n">
        <f aca="false">-NA_monthly!BL37+NA_monthly!BK37</f>
        <v>0</v>
      </c>
      <c r="BM33" s="159" t="n">
        <f aca="false">-NA_monthly!BM37+NA_monthly!BL37</f>
        <v>0</v>
      </c>
      <c r="BN33" s="159" t="n">
        <f aca="false">-NA_monthly!BN37+NA_monthly!BM37</f>
        <v>0</v>
      </c>
      <c r="BO33" s="159" t="n">
        <f aca="false">-NA_monthly!BO37+NA_monthly!BN37</f>
        <v>0</v>
      </c>
      <c r="BP33" s="159" t="n">
        <f aca="false">-NA_monthly!BP37+NA_monthly!BO37</f>
        <v>0</v>
      </c>
      <c r="BQ33" s="159" t="n">
        <f aca="false">-NA_monthly!BQ37+NA_monthly!BP37</f>
        <v>0</v>
      </c>
      <c r="BR33" s="159" t="n">
        <f aca="false">-NA_monthly!BR37+NA_monthly!BQ37</f>
        <v>0</v>
      </c>
      <c r="BS33" s="159" t="n">
        <f aca="false">-NA_monthly!BS37+NA_monthly!BR37</f>
        <v>0</v>
      </c>
      <c r="BT33" s="159" t="n">
        <f aca="false">-NA_monthly!BT37+NA_monthly!BS37</f>
        <v>0</v>
      </c>
      <c r="BU33" s="159" t="n">
        <f aca="false">-NA_monthly!BU37+NA_monthly!BT37</f>
        <v>0</v>
      </c>
      <c r="BV33" s="159" t="n">
        <f aca="false">-NA_monthly!BV37+NA_monthly!BU37</f>
        <v>0</v>
      </c>
      <c r="BW33" s="159" t="n">
        <f aca="false">-NA_monthly!BW37+NA_monthly!BV37</f>
        <v>0</v>
      </c>
      <c r="BX33" s="159" t="n">
        <f aca="false">-NA_monthly!BX37+NA_monthly!BW37</f>
        <v>0</v>
      </c>
      <c r="BY33" s="159" t="n">
        <f aca="false">-NA_monthly!BY37+NA_monthly!BX37</f>
        <v>0</v>
      </c>
      <c r="BZ33" s="159" t="n">
        <f aca="false">-NA_monthly!BZ37+NA_monthly!BY37</f>
        <v>0</v>
      </c>
      <c r="CA33" s="159" t="n">
        <f aca="false">-NA_monthly!CA37+NA_monthly!BZ37</f>
        <v>0</v>
      </c>
      <c r="CB33" s="159" t="n">
        <f aca="false">-NA_monthly!CB37+NA_monthly!CA37</f>
        <v>0</v>
      </c>
      <c r="CC33" s="159" t="n">
        <f aca="false">-NA_monthly!CC37+NA_monthly!CB37</f>
        <v>0</v>
      </c>
      <c r="CD33" s="159" t="n">
        <f aca="false">-NA_monthly!CD37+NA_monthly!CC37</f>
        <v>0</v>
      </c>
      <c r="CE33" s="159" t="n">
        <f aca="false">-NA_monthly!CE37+NA_monthly!CD37</f>
        <v>0</v>
      </c>
      <c r="CF33" s="159" t="n">
        <f aca="false">-NA_monthly!CF37+NA_monthly!CE37</f>
        <v>0</v>
      </c>
      <c r="CG33" s="159" t="n">
        <f aca="false">-NA_monthly!CG37+NA_monthly!CF37</f>
        <v>0</v>
      </c>
      <c r="CH33" s="159" t="n">
        <f aca="false">-NA_monthly!CH37+NA_monthly!CG37</f>
        <v>0</v>
      </c>
      <c r="CI33" s="159" t="n">
        <f aca="false">-NA_monthly!CI37+NA_monthly!CH37</f>
        <v>0</v>
      </c>
      <c r="CJ33" s="159" t="n">
        <f aca="false">-NA_monthly!CJ37+NA_monthly!CI37</f>
        <v>0</v>
      </c>
      <c r="CK33" s="159" t="n">
        <f aca="false">-NA_monthly!CK37+NA_monthly!CJ37</f>
        <v>0</v>
      </c>
    </row>
    <row r="34" customFormat="false" ht="11.25" hidden="false" customHeight="true" outlineLevel="2" collapsed="false">
      <c r="C34" s="51" t="str">
        <f aca="false">"∆ "&amp;'Lead NA'!C174</f>
        <v>∆ Dummy 1</v>
      </c>
      <c r="D34" s="51" t="str">
        <f aca="false">"∆ "&amp;'Lead NA'!D174</f>
        <v>∆ Dummy 1</v>
      </c>
      <c r="E34" s="137"/>
      <c r="F34" s="137"/>
      <c r="G34" s="159" t="n">
        <f aca="false">-NA_monthly!G38+NA_monthly!F38</f>
        <v>0</v>
      </c>
      <c r="H34" s="159" t="n">
        <f aca="false">-NA_monthly!H38+NA_monthly!G38</f>
        <v>0</v>
      </c>
      <c r="I34" s="159" t="n">
        <f aca="false">-NA_monthly!I38+NA_monthly!H38</f>
        <v>0</v>
      </c>
      <c r="J34" s="159" t="n">
        <f aca="false">-NA_monthly!J38+NA_monthly!I38</f>
        <v>0</v>
      </c>
      <c r="K34" s="159" t="n">
        <f aca="false">-NA_monthly!K38+NA_monthly!J38</f>
        <v>0</v>
      </c>
      <c r="L34" s="159" t="n">
        <f aca="false">-NA_monthly!L38+NA_monthly!K38</f>
        <v>0</v>
      </c>
      <c r="M34" s="159" t="n">
        <f aca="false">-NA_monthly!M38+NA_monthly!L38</f>
        <v>0</v>
      </c>
      <c r="N34" s="159" t="n">
        <f aca="false">-NA_monthly!N38+NA_monthly!M38</f>
        <v>0</v>
      </c>
      <c r="O34" s="159" t="n">
        <f aca="false">-NA_monthly!O38+NA_monthly!N38</f>
        <v>0</v>
      </c>
      <c r="P34" s="159" t="n">
        <f aca="false">-NA_monthly!P38+NA_monthly!O38</f>
        <v>0</v>
      </c>
      <c r="Q34" s="159" t="n">
        <f aca="false">-NA_monthly!Q38+NA_monthly!P38</f>
        <v>0</v>
      </c>
      <c r="R34" s="159" t="n">
        <f aca="false">-NA_monthly!R38+NA_monthly!Q38</f>
        <v>0</v>
      </c>
      <c r="S34" s="159" t="n">
        <f aca="false">-NA_monthly!S38+NA_monthly!R38</f>
        <v>0</v>
      </c>
      <c r="T34" s="159" t="n">
        <f aca="false">-NA_monthly!T38+NA_monthly!S38</f>
        <v>0</v>
      </c>
      <c r="U34" s="159" t="n">
        <f aca="false">-NA_monthly!U38+NA_monthly!T38</f>
        <v>0</v>
      </c>
      <c r="V34" s="159" t="n">
        <f aca="false">-NA_monthly!V38+NA_monthly!U38</f>
        <v>0</v>
      </c>
      <c r="W34" s="159" t="n">
        <f aca="false">-NA_monthly!W38+NA_monthly!V38</f>
        <v>0</v>
      </c>
      <c r="X34" s="159" t="n">
        <f aca="false">-NA_monthly!X38+NA_monthly!W38</f>
        <v>0</v>
      </c>
      <c r="Y34" s="159" t="n">
        <f aca="false">-NA_monthly!Y38+NA_monthly!X38</f>
        <v>0</v>
      </c>
      <c r="Z34" s="159" t="n">
        <f aca="false">-NA_monthly!Z38+NA_monthly!Y38</f>
        <v>0</v>
      </c>
      <c r="AA34" s="159" t="n">
        <f aca="false">-NA_monthly!AA38+NA_monthly!Z38</f>
        <v>0</v>
      </c>
      <c r="AB34" s="159" t="n">
        <f aca="false">-NA_monthly!AB38+NA_monthly!AA38</f>
        <v>0</v>
      </c>
      <c r="AC34" s="159" t="n">
        <f aca="false">-NA_monthly!AC38+NA_monthly!AB38</f>
        <v>0</v>
      </c>
      <c r="AD34" s="159" t="n">
        <f aca="false">-NA_monthly!AD38+NA_monthly!AC38</f>
        <v>0</v>
      </c>
      <c r="AE34" s="159" t="n">
        <f aca="false">-NA_monthly!AE38+NA_monthly!AD38</f>
        <v>0</v>
      </c>
      <c r="AF34" s="159" t="n">
        <f aca="false">-NA_monthly!AF38+NA_monthly!AE38</f>
        <v>0</v>
      </c>
      <c r="AG34" s="159" t="n">
        <f aca="false">-NA_monthly!AG38+NA_monthly!AF38</f>
        <v>0</v>
      </c>
      <c r="AH34" s="159" t="n">
        <f aca="false">-NA_monthly!AH38+NA_monthly!AG38</f>
        <v>0</v>
      </c>
      <c r="AI34" s="159" t="n">
        <f aca="false">-NA_monthly!AI38+NA_monthly!AH38</f>
        <v>0</v>
      </c>
      <c r="AJ34" s="159" t="n">
        <f aca="false">-NA_monthly!AJ38+NA_monthly!AI38</f>
        <v>0</v>
      </c>
      <c r="AK34" s="159" t="n">
        <f aca="false">-NA_monthly!AK38+NA_monthly!AJ38</f>
        <v>0</v>
      </c>
      <c r="AL34" s="159" t="n">
        <f aca="false">-NA_monthly!AL38+NA_monthly!AK38</f>
        <v>0</v>
      </c>
      <c r="AM34" s="159" t="n">
        <f aca="false">-NA_monthly!AM38+NA_monthly!AL38</f>
        <v>0</v>
      </c>
      <c r="AN34" s="159" t="n">
        <f aca="false">-NA_monthly!AN38+NA_monthly!AM38</f>
        <v>0</v>
      </c>
      <c r="AO34" s="159" t="n">
        <f aca="false">-NA_monthly!AO38+NA_monthly!AN38</f>
        <v>0</v>
      </c>
      <c r="AP34" s="159" t="n">
        <f aca="false">-NA_monthly!AP38+NA_monthly!AO38</f>
        <v>0</v>
      </c>
      <c r="AQ34" s="159" t="n">
        <f aca="false">-NA_monthly!AQ38+NA_monthly!AP38</f>
        <v>0</v>
      </c>
      <c r="AR34" s="159" t="n">
        <f aca="false">-NA_monthly!AR38+NA_monthly!AQ38</f>
        <v>0</v>
      </c>
      <c r="AS34" s="159" t="n">
        <f aca="false">-NA_monthly!AS38+NA_monthly!AR38</f>
        <v>0</v>
      </c>
      <c r="AT34" s="159" t="n">
        <f aca="false">-NA_monthly!AT38+NA_monthly!AS38</f>
        <v>0</v>
      </c>
      <c r="AU34" s="159" t="n">
        <f aca="false">-NA_monthly!AU38+NA_monthly!AT38</f>
        <v>0</v>
      </c>
      <c r="AV34" s="159" t="n">
        <f aca="false">-NA_monthly!AV38+NA_monthly!AU38</f>
        <v>0</v>
      </c>
      <c r="AW34" s="159" t="n">
        <f aca="false">-NA_monthly!AW38+NA_monthly!AV38</f>
        <v>0</v>
      </c>
      <c r="AX34" s="159" t="n">
        <f aca="false">-NA_monthly!AX38+NA_monthly!AW38</f>
        <v>0</v>
      </c>
      <c r="AY34" s="159" t="n">
        <f aca="false">-NA_monthly!AY38+NA_monthly!AX38</f>
        <v>0</v>
      </c>
      <c r="AZ34" s="159" t="n">
        <f aca="false">-NA_monthly!AZ38+NA_monthly!AY38</f>
        <v>0</v>
      </c>
      <c r="BA34" s="159" t="n">
        <f aca="false">-NA_monthly!BA38+NA_monthly!AZ38</f>
        <v>0</v>
      </c>
      <c r="BB34" s="159" t="n">
        <f aca="false">-NA_monthly!BB38+NA_monthly!BA38</f>
        <v>0</v>
      </c>
      <c r="BC34" s="159" t="n">
        <f aca="false">-NA_monthly!BC38+NA_monthly!BB38</f>
        <v>0</v>
      </c>
      <c r="BD34" s="159" t="n">
        <f aca="false">-NA_monthly!BD38+NA_monthly!BC38</f>
        <v>0</v>
      </c>
      <c r="BE34" s="159" t="n">
        <f aca="false">-NA_monthly!BE38+NA_monthly!BD38</f>
        <v>0</v>
      </c>
      <c r="BF34" s="159" t="n">
        <f aca="false">-NA_monthly!BF38+NA_monthly!BE38</f>
        <v>0</v>
      </c>
      <c r="BG34" s="159" t="n">
        <f aca="false">-NA_monthly!BG38+NA_monthly!BF38</f>
        <v>0</v>
      </c>
      <c r="BH34" s="159" t="n">
        <f aca="false">-NA_monthly!BH38+NA_monthly!BG38</f>
        <v>0</v>
      </c>
      <c r="BI34" s="159" t="n">
        <f aca="false">-NA_monthly!BI38+NA_monthly!BH38</f>
        <v>0</v>
      </c>
      <c r="BJ34" s="159" t="n">
        <f aca="false">-NA_monthly!BJ38+NA_monthly!BI38</f>
        <v>0</v>
      </c>
      <c r="BK34" s="159" t="n">
        <f aca="false">-NA_monthly!BK38+NA_monthly!BJ38</f>
        <v>0</v>
      </c>
      <c r="BL34" s="159" t="n">
        <f aca="false">-NA_monthly!BL38+NA_monthly!BK38</f>
        <v>0</v>
      </c>
      <c r="BM34" s="159" t="n">
        <f aca="false">-NA_monthly!BM38+NA_monthly!BL38</f>
        <v>0</v>
      </c>
      <c r="BN34" s="159" t="n">
        <f aca="false">-NA_monthly!BN38+NA_monthly!BM38</f>
        <v>0</v>
      </c>
      <c r="BO34" s="159" t="n">
        <f aca="false">-NA_monthly!BO38+NA_monthly!BN38</f>
        <v>0</v>
      </c>
      <c r="BP34" s="159" t="n">
        <f aca="false">-NA_monthly!BP38+NA_monthly!BO38</f>
        <v>0</v>
      </c>
      <c r="BQ34" s="159" t="n">
        <f aca="false">-NA_monthly!BQ38+NA_monthly!BP38</f>
        <v>0</v>
      </c>
      <c r="BR34" s="159" t="n">
        <f aca="false">-NA_monthly!BR38+NA_monthly!BQ38</f>
        <v>0</v>
      </c>
      <c r="BS34" s="159" t="n">
        <f aca="false">-NA_monthly!BS38+NA_monthly!BR38</f>
        <v>0</v>
      </c>
      <c r="BT34" s="159" t="n">
        <f aca="false">-NA_monthly!BT38+NA_monthly!BS38</f>
        <v>0</v>
      </c>
      <c r="BU34" s="159" t="n">
        <f aca="false">-NA_monthly!BU38+NA_monthly!BT38</f>
        <v>0</v>
      </c>
      <c r="BV34" s="159" t="n">
        <f aca="false">-NA_monthly!BV38+NA_monthly!BU38</f>
        <v>0</v>
      </c>
      <c r="BW34" s="159" t="n">
        <f aca="false">-NA_monthly!BW38+NA_monthly!BV38</f>
        <v>0</v>
      </c>
      <c r="BX34" s="159" t="n">
        <f aca="false">-NA_monthly!BX38+NA_monthly!BW38</f>
        <v>0</v>
      </c>
      <c r="BY34" s="159" t="n">
        <f aca="false">-NA_monthly!BY38+NA_monthly!BX38</f>
        <v>0</v>
      </c>
      <c r="BZ34" s="159" t="n">
        <f aca="false">-NA_monthly!BZ38+NA_monthly!BY38</f>
        <v>0</v>
      </c>
      <c r="CA34" s="159" t="n">
        <f aca="false">-NA_monthly!CA38+NA_monthly!BZ38</f>
        <v>0</v>
      </c>
      <c r="CB34" s="159" t="n">
        <f aca="false">-NA_monthly!CB38+NA_monthly!CA38</f>
        <v>0</v>
      </c>
      <c r="CC34" s="159" t="n">
        <f aca="false">-NA_monthly!CC38+NA_monthly!CB38</f>
        <v>0</v>
      </c>
      <c r="CD34" s="159" t="n">
        <f aca="false">-NA_monthly!CD38+NA_monthly!CC38</f>
        <v>0</v>
      </c>
      <c r="CE34" s="159" t="n">
        <f aca="false">-NA_monthly!CE38+NA_monthly!CD38</f>
        <v>0</v>
      </c>
      <c r="CF34" s="159" t="n">
        <f aca="false">-NA_monthly!CF38+NA_monthly!CE38</f>
        <v>0</v>
      </c>
      <c r="CG34" s="159" t="n">
        <f aca="false">-NA_monthly!CG38+NA_monthly!CF38</f>
        <v>0</v>
      </c>
      <c r="CH34" s="159" t="n">
        <f aca="false">-NA_monthly!CH38+NA_monthly!CG38</f>
        <v>0</v>
      </c>
      <c r="CI34" s="159" t="n">
        <f aca="false">-NA_monthly!CI38+NA_monthly!CH38</f>
        <v>0</v>
      </c>
      <c r="CJ34" s="159" t="n">
        <f aca="false">-NA_monthly!CJ38+NA_monthly!CI38</f>
        <v>0</v>
      </c>
      <c r="CK34" s="159" t="n">
        <f aca="false">-NA_monthly!CK38+NA_monthly!CJ38</f>
        <v>0</v>
      </c>
    </row>
    <row r="35" customFormat="false" ht="11.25" hidden="false" customHeight="true" outlineLevel="2" collapsed="false">
      <c r="C35" s="51" t="str">
        <f aca="false">"∆ "&amp;'Lead NA'!C175</f>
        <v>∆ Dummy 2</v>
      </c>
      <c r="D35" s="51" t="str">
        <f aca="false">"∆ "&amp;'Lead NA'!D175</f>
        <v>∆ Dummy 2</v>
      </c>
      <c r="E35" s="137"/>
      <c r="F35" s="137"/>
      <c r="G35" s="159" t="n">
        <f aca="false">-NA_monthly!G39+NA_monthly!F39</f>
        <v>0</v>
      </c>
      <c r="H35" s="159" t="n">
        <f aca="false">-NA_monthly!H39+NA_monthly!G39</f>
        <v>0</v>
      </c>
      <c r="I35" s="159" t="n">
        <f aca="false">-NA_monthly!I39+NA_monthly!H39</f>
        <v>0</v>
      </c>
      <c r="J35" s="159" t="n">
        <f aca="false">-NA_monthly!J39+NA_monthly!I39</f>
        <v>0</v>
      </c>
      <c r="K35" s="159" t="n">
        <f aca="false">-NA_monthly!K39+NA_monthly!J39</f>
        <v>0</v>
      </c>
      <c r="L35" s="159" t="n">
        <f aca="false">-NA_monthly!L39+NA_monthly!K39</f>
        <v>0</v>
      </c>
      <c r="M35" s="159" t="n">
        <f aca="false">-NA_monthly!M39+NA_monthly!L39</f>
        <v>0</v>
      </c>
      <c r="N35" s="159" t="n">
        <f aca="false">-NA_monthly!N39+NA_monthly!M39</f>
        <v>0</v>
      </c>
      <c r="O35" s="159" t="n">
        <f aca="false">-NA_monthly!O39+NA_monthly!N39</f>
        <v>0</v>
      </c>
      <c r="P35" s="159" t="n">
        <f aca="false">-NA_monthly!P39+NA_monthly!O39</f>
        <v>0</v>
      </c>
      <c r="Q35" s="159" t="n">
        <f aca="false">-NA_monthly!Q39+NA_monthly!P39</f>
        <v>0</v>
      </c>
      <c r="R35" s="159" t="n">
        <f aca="false">-NA_monthly!R39+NA_monthly!Q39</f>
        <v>0</v>
      </c>
      <c r="S35" s="159" t="n">
        <f aca="false">-NA_monthly!S39+NA_monthly!R39</f>
        <v>0</v>
      </c>
      <c r="T35" s="159" t="n">
        <f aca="false">-NA_monthly!T39+NA_monthly!S39</f>
        <v>0</v>
      </c>
      <c r="U35" s="159" t="n">
        <f aca="false">-NA_monthly!U39+NA_monthly!T39</f>
        <v>0</v>
      </c>
      <c r="V35" s="159" t="n">
        <f aca="false">-NA_monthly!V39+NA_monthly!U39</f>
        <v>0</v>
      </c>
      <c r="W35" s="159" t="n">
        <f aca="false">-NA_monthly!W39+NA_monthly!V39</f>
        <v>0</v>
      </c>
      <c r="X35" s="159" t="n">
        <f aca="false">-NA_monthly!X39+NA_monthly!W39</f>
        <v>0</v>
      </c>
      <c r="Y35" s="159" t="n">
        <f aca="false">-NA_monthly!Y39+NA_monthly!X39</f>
        <v>0</v>
      </c>
      <c r="Z35" s="159" t="n">
        <f aca="false">-NA_monthly!Z39+NA_monthly!Y39</f>
        <v>0</v>
      </c>
      <c r="AA35" s="159" t="n">
        <f aca="false">-NA_monthly!AA39+NA_monthly!Z39</f>
        <v>0</v>
      </c>
      <c r="AB35" s="159" t="n">
        <f aca="false">-NA_monthly!AB39+NA_monthly!AA39</f>
        <v>0</v>
      </c>
      <c r="AC35" s="159" t="n">
        <f aca="false">-NA_monthly!AC39+NA_monthly!AB39</f>
        <v>0</v>
      </c>
      <c r="AD35" s="159" t="n">
        <f aca="false">-NA_monthly!AD39+NA_monthly!AC39</f>
        <v>0</v>
      </c>
      <c r="AE35" s="159" t="n">
        <f aca="false">-NA_monthly!AE39+NA_monthly!AD39</f>
        <v>0</v>
      </c>
      <c r="AF35" s="159" t="n">
        <f aca="false">-NA_monthly!AF39+NA_monthly!AE39</f>
        <v>0</v>
      </c>
      <c r="AG35" s="159" t="n">
        <f aca="false">-NA_monthly!AG39+NA_monthly!AF39</f>
        <v>0</v>
      </c>
      <c r="AH35" s="159" t="n">
        <f aca="false">-NA_monthly!AH39+NA_monthly!AG39</f>
        <v>0</v>
      </c>
      <c r="AI35" s="159" t="n">
        <f aca="false">-NA_monthly!AI39+NA_monthly!AH39</f>
        <v>0</v>
      </c>
      <c r="AJ35" s="159" t="n">
        <f aca="false">-NA_monthly!AJ39+NA_monthly!AI39</f>
        <v>0</v>
      </c>
      <c r="AK35" s="159" t="n">
        <f aca="false">-NA_monthly!AK39+NA_monthly!AJ39</f>
        <v>0</v>
      </c>
      <c r="AL35" s="159" t="n">
        <f aca="false">-NA_monthly!AL39+NA_monthly!AK39</f>
        <v>0</v>
      </c>
      <c r="AM35" s="159" t="n">
        <f aca="false">-NA_monthly!AM39+NA_monthly!AL39</f>
        <v>0</v>
      </c>
      <c r="AN35" s="159" t="n">
        <f aca="false">-NA_monthly!AN39+NA_monthly!AM39</f>
        <v>0</v>
      </c>
      <c r="AO35" s="159" t="n">
        <f aca="false">-NA_monthly!AO39+NA_monthly!AN39</f>
        <v>0</v>
      </c>
      <c r="AP35" s="159" t="n">
        <f aca="false">-NA_monthly!AP39+NA_monthly!AO39</f>
        <v>0</v>
      </c>
      <c r="AQ35" s="159" t="n">
        <f aca="false">-NA_monthly!AQ39+NA_monthly!AP39</f>
        <v>0</v>
      </c>
      <c r="AR35" s="159" t="n">
        <f aca="false">-NA_monthly!AR39+NA_monthly!AQ39</f>
        <v>0</v>
      </c>
      <c r="AS35" s="159" t="n">
        <f aca="false">-NA_monthly!AS39+NA_monthly!AR39</f>
        <v>0</v>
      </c>
      <c r="AT35" s="159" t="n">
        <f aca="false">-NA_monthly!AT39+NA_monthly!AS39</f>
        <v>0</v>
      </c>
      <c r="AU35" s="159" t="n">
        <f aca="false">-NA_monthly!AU39+NA_monthly!AT39</f>
        <v>0</v>
      </c>
      <c r="AV35" s="159" t="n">
        <f aca="false">-NA_monthly!AV39+NA_monthly!AU39</f>
        <v>0</v>
      </c>
      <c r="AW35" s="159" t="n">
        <f aca="false">-NA_monthly!AW39+NA_monthly!AV39</f>
        <v>0</v>
      </c>
      <c r="AX35" s="159" t="n">
        <f aca="false">-NA_monthly!AX39+NA_monthly!AW39</f>
        <v>0</v>
      </c>
      <c r="AY35" s="159" t="n">
        <f aca="false">-NA_monthly!AY39+NA_monthly!AX39</f>
        <v>0</v>
      </c>
      <c r="AZ35" s="159" t="n">
        <f aca="false">-NA_monthly!AZ39+NA_monthly!AY39</f>
        <v>0</v>
      </c>
      <c r="BA35" s="159" t="n">
        <f aca="false">-NA_monthly!BA39+NA_monthly!AZ39</f>
        <v>0</v>
      </c>
      <c r="BB35" s="159" t="n">
        <f aca="false">-NA_monthly!BB39+NA_monthly!BA39</f>
        <v>0</v>
      </c>
      <c r="BC35" s="159" t="n">
        <f aca="false">-NA_monthly!BC39+NA_monthly!BB39</f>
        <v>0</v>
      </c>
      <c r="BD35" s="159" t="n">
        <f aca="false">-NA_monthly!BD39+NA_monthly!BC39</f>
        <v>0</v>
      </c>
      <c r="BE35" s="159" t="n">
        <f aca="false">-NA_monthly!BE39+NA_monthly!BD39</f>
        <v>0</v>
      </c>
      <c r="BF35" s="159" t="n">
        <f aca="false">-NA_monthly!BF39+NA_monthly!BE39</f>
        <v>0</v>
      </c>
      <c r="BG35" s="159" t="n">
        <f aca="false">-NA_monthly!BG39+NA_monthly!BF39</f>
        <v>0</v>
      </c>
      <c r="BH35" s="159" t="n">
        <f aca="false">-NA_monthly!BH39+NA_monthly!BG39</f>
        <v>0</v>
      </c>
      <c r="BI35" s="159" t="n">
        <f aca="false">-NA_monthly!BI39+NA_monthly!BH39</f>
        <v>0</v>
      </c>
      <c r="BJ35" s="159" t="n">
        <f aca="false">-NA_monthly!BJ39+NA_monthly!BI39</f>
        <v>0</v>
      </c>
      <c r="BK35" s="159" t="n">
        <f aca="false">-NA_monthly!BK39+NA_monthly!BJ39</f>
        <v>0</v>
      </c>
      <c r="BL35" s="159" t="n">
        <f aca="false">-NA_monthly!BL39+NA_monthly!BK39</f>
        <v>0</v>
      </c>
      <c r="BM35" s="159" t="n">
        <f aca="false">-NA_monthly!BM39+NA_monthly!BL39</f>
        <v>0</v>
      </c>
      <c r="BN35" s="159" t="n">
        <f aca="false">-NA_monthly!BN39+NA_monthly!BM39</f>
        <v>0</v>
      </c>
      <c r="BO35" s="159" t="n">
        <f aca="false">-NA_monthly!BO39+NA_monthly!BN39</f>
        <v>0</v>
      </c>
      <c r="BP35" s="159" t="n">
        <f aca="false">-NA_monthly!BP39+NA_monthly!BO39</f>
        <v>0</v>
      </c>
      <c r="BQ35" s="159" t="n">
        <f aca="false">-NA_monthly!BQ39+NA_monthly!BP39</f>
        <v>0</v>
      </c>
      <c r="BR35" s="159" t="n">
        <f aca="false">-NA_monthly!BR39+NA_monthly!BQ39</f>
        <v>0</v>
      </c>
      <c r="BS35" s="159" t="n">
        <f aca="false">-NA_monthly!BS39+NA_monthly!BR39</f>
        <v>0</v>
      </c>
      <c r="BT35" s="159" t="n">
        <f aca="false">-NA_monthly!BT39+NA_monthly!BS39</f>
        <v>0</v>
      </c>
      <c r="BU35" s="159" t="n">
        <f aca="false">-NA_monthly!BU39+NA_monthly!BT39</f>
        <v>0</v>
      </c>
      <c r="BV35" s="159" t="n">
        <f aca="false">-NA_monthly!BV39+NA_monthly!BU39</f>
        <v>0</v>
      </c>
      <c r="BW35" s="159" t="n">
        <f aca="false">-NA_monthly!BW39+NA_monthly!BV39</f>
        <v>0</v>
      </c>
      <c r="BX35" s="159" t="n">
        <f aca="false">-NA_monthly!BX39+NA_monthly!BW39</f>
        <v>0</v>
      </c>
      <c r="BY35" s="159" t="n">
        <f aca="false">-NA_monthly!BY39+NA_monthly!BX39</f>
        <v>0</v>
      </c>
      <c r="BZ35" s="159" t="n">
        <f aca="false">-NA_monthly!BZ39+NA_monthly!BY39</f>
        <v>0</v>
      </c>
      <c r="CA35" s="159" t="n">
        <f aca="false">-NA_monthly!CA39+NA_monthly!BZ39</f>
        <v>0</v>
      </c>
      <c r="CB35" s="159" t="n">
        <f aca="false">-NA_monthly!CB39+NA_monthly!CA39</f>
        <v>0</v>
      </c>
      <c r="CC35" s="159" t="n">
        <f aca="false">-NA_monthly!CC39+NA_monthly!CB39</f>
        <v>0</v>
      </c>
      <c r="CD35" s="159" t="n">
        <f aca="false">-NA_monthly!CD39+NA_monthly!CC39</f>
        <v>0</v>
      </c>
      <c r="CE35" s="159" t="n">
        <f aca="false">-NA_monthly!CE39+NA_monthly!CD39</f>
        <v>0</v>
      </c>
      <c r="CF35" s="159" t="n">
        <f aca="false">-NA_monthly!CF39+NA_monthly!CE39</f>
        <v>0</v>
      </c>
      <c r="CG35" s="159" t="n">
        <f aca="false">-NA_monthly!CG39+NA_monthly!CF39</f>
        <v>0</v>
      </c>
      <c r="CH35" s="159" t="n">
        <f aca="false">-NA_monthly!CH39+NA_monthly!CG39</f>
        <v>0</v>
      </c>
      <c r="CI35" s="159" t="n">
        <f aca="false">-NA_monthly!CI39+NA_monthly!CH39</f>
        <v>0</v>
      </c>
      <c r="CJ35" s="159" t="n">
        <f aca="false">-NA_monthly!CJ39+NA_monthly!CI39</f>
        <v>0</v>
      </c>
      <c r="CK35" s="159" t="n">
        <f aca="false">-NA_monthly!CK39+NA_monthly!CJ39</f>
        <v>0</v>
      </c>
    </row>
    <row r="36" customFormat="false" ht="11.25" hidden="false" customHeight="true" outlineLevel="2" collapsed="false">
      <c r="C36" s="54" t="str">
        <f aca="false">"∆ "&amp;'Lead NA'!C176</f>
        <v>∆ Dummy 3</v>
      </c>
      <c r="D36" s="54" t="str">
        <f aca="false">"∆ "&amp;'Lead NA'!D176</f>
        <v>∆ Dummy 3</v>
      </c>
      <c r="E36" s="189"/>
      <c r="F36" s="189"/>
      <c r="G36" s="159" t="n">
        <f aca="false">-NA_monthly!G40+NA_monthly!F40</f>
        <v>0</v>
      </c>
      <c r="H36" s="159" t="n">
        <f aca="false">-NA_monthly!H40+NA_monthly!G40</f>
        <v>0</v>
      </c>
      <c r="I36" s="159" t="n">
        <f aca="false">-NA_monthly!I40+NA_monthly!H40</f>
        <v>0</v>
      </c>
      <c r="J36" s="159" t="n">
        <f aca="false">-NA_monthly!J40+NA_monthly!I40</f>
        <v>0</v>
      </c>
      <c r="K36" s="159" t="n">
        <f aca="false">-NA_monthly!K40+NA_monthly!J40</f>
        <v>0</v>
      </c>
      <c r="L36" s="159" t="n">
        <f aca="false">-NA_monthly!L40+NA_monthly!K40</f>
        <v>0</v>
      </c>
      <c r="M36" s="159" t="n">
        <f aca="false">-NA_monthly!M40+NA_monthly!L40</f>
        <v>0</v>
      </c>
      <c r="N36" s="159" t="n">
        <f aca="false">-NA_monthly!N40+NA_monthly!M40</f>
        <v>0</v>
      </c>
      <c r="O36" s="159" t="n">
        <f aca="false">-NA_monthly!O40+NA_monthly!N40</f>
        <v>0</v>
      </c>
      <c r="P36" s="159" t="n">
        <f aca="false">-NA_monthly!P40+NA_monthly!O40</f>
        <v>0</v>
      </c>
      <c r="Q36" s="159" t="n">
        <f aca="false">-NA_monthly!Q40+NA_monthly!P40</f>
        <v>0</v>
      </c>
      <c r="R36" s="159" t="n">
        <f aca="false">-NA_monthly!R40+NA_monthly!Q40</f>
        <v>0</v>
      </c>
      <c r="S36" s="159" t="n">
        <f aca="false">-NA_monthly!S40+NA_monthly!R40</f>
        <v>0</v>
      </c>
      <c r="T36" s="159" t="n">
        <f aca="false">-NA_monthly!T40+NA_monthly!S40</f>
        <v>0</v>
      </c>
      <c r="U36" s="159" t="n">
        <f aca="false">-NA_monthly!U40+NA_monthly!T40</f>
        <v>0</v>
      </c>
      <c r="V36" s="159" t="n">
        <f aca="false">-NA_monthly!V40+NA_monthly!U40</f>
        <v>0</v>
      </c>
      <c r="W36" s="159" t="n">
        <f aca="false">-NA_monthly!W40+NA_monthly!V40</f>
        <v>0</v>
      </c>
      <c r="X36" s="159" t="n">
        <f aca="false">-NA_monthly!X40+NA_monthly!W40</f>
        <v>0</v>
      </c>
      <c r="Y36" s="159" t="n">
        <f aca="false">-NA_monthly!Y40+NA_monthly!X40</f>
        <v>0</v>
      </c>
      <c r="Z36" s="159" t="n">
        <f aca="false">-NA_monthly!Z40+NA_monthly!Y40</f>
        <v>0</v>
      </c>
      <c r="AA36" s="159" t="n">
        <f aca="false">-NA_monthly!AA40+NA_monthly!Z40</f>
        <v>0</v>
      </c>
      <c r="AB36" s="159" t="n">
        <f aca="false">-NA_monthly!AB40+NA_monthly!AA40</f>
        <v>0</v>
      </c>
      <c r="AC36" s="159" t="n">
        <f aca="false">-NA_monthly!AC40+NA_monthly!AB40</f>
        <v>0</v>
      </c>
      <c r="AD36" s="159" t="n">
        <f aca="false">-NA_monthly!AD40+NA_monthly!AC40</f>
        <v>0</v>
      </c>
      <c r="AE36" s="159" t="n">
        <f aca="false">-NA_monthly!AE40+NA_monthly!AD40</f>
        <v>0</v>
      </c>
      <c r="AF36" s="159" t="n">
        <f aca="false">-NA_monthly!AF40+NA_monthly!AE40</f>
        <v>0</v>
      </c>
      <c r="AG36" s="159" t="n">
        <f aca="false">-NA_monthly!AG40+NA_monthly!AF40</f>
        <v>0</v>
      </c>
      <c r="AH36" s="159" t="n">
        <f aca="false">-NA_monthly!AH40+NA_monthly!AG40</f>
        <v>0</v>
      </c>
      <c r="AI36" s="159" t="n">
        <f aca="false">-NA_monthly!AI40+NA_monthly!AH40</f>
        <v>0</v>
      </c>
      <c r="AJ36" s="159" t="n">
        <f aca="false">-NA_monthly!AJ40+NA_monthly!AI40</f>
        <v>0</v>
      </c>
      <c r="AK36" s="159" t="n">
        <f aca="false">-NA_monthly!AK40+NA_monthly!AJ40</f>
        <v>0</v>
      </c>
      <c r="AL36" s="159" t="n">
        <f aca="false">-NA_monthly!AL40+NA_monthly!AK40</f>
        <v>0</v>
      </c>
      <c r="AM36" s="159" t="n">
        <f aca="false">-NA_monthly!AM40+NA_monthly!AL40</f>
        <v>0</v>
      </c>
      <c r="AN36" s="159" t="n">
        <f aca="false">-NA_monthly!AN40+NA_monthly!AM40</f>
        <v>0</v>
      </c>
      <c r="AO36" s="159" t="n">
        <f aca="false">-NA_monthly!AO40+NA_monthly!AN40</f>
        <v>0</v>
      </c>
      <c r="AP36" s="159" t="n">
        <f aca="false">-NA_monthly!AP40+NA_monthly!AO40</f>
        <v>0</v>
      </c>
      <c r="AQ36" s="159" t="n">
        <f aca="false">-NA_monthly!AQ40+NA_monthly!AP40</f>
        <v>0</v>
      </c>
      <c r="AR36" s="159" t="n">
        <f aca="false">-NA_monthly!AR40+NA_monthly!AQ40</f>
        <v>0</v>
      </c>
      <c r="AS36" s="159" t="n">
        <f aca="false">-NA_monthly!AS40+NA_monthly!AR40</f>
        <v>0</v>
      </c>
      <c r="AT36" s="159" t="n">
        <f aca="false">-NA_monthly!AT40+NA_monthly!AS40</f>
        <v>0</v>
      </c>
      <c r="AU36" s="159" t="n">
        <f aca="false">-NA_monthly!AU40+NA_monthly!AT40</f>
        <v>0</v>
      </c>
      <c r="AV36" s="159" t="n">
        <f aca="false">-NA_monthly!AV40+NA_monthly!AU40</f>
        <v>0</v>
      </c>
      <c r="AW36" s="159" t="n">
        <f aca="false">-NA_monthly!AW40+NA_monthly!AV40</f>
        <v>0</v>
      </c>
      <c r="AX36" s="159" t="n">
        <f aca="false">-NA_monthly!AX40+NA_monthly!AW40</f>
        <v>0</v>
      </c>
      <c r="AY36" s="159" t="n">
        <f aca="false">-NA_monthly!AY40+NA_monthly!AX40</f>
        <v>0</v>
      </c>
      <c r="AZ36" s="159" t="n">
        <f aca="false">-NA_monthly!AZ40+NA_monthly!AY40</f>
        <v>0</v>
      </c>
      <c r="BA36" s="159" t="n">
        <f aca="false">-NA_monthly!BA40+NA_monthly!AZ40</f>
        <v>0</v>
      </c>
      <c r="BB36" s="159" t="n">
        <f aca="false">-NA_monthly!BB40+NA_monthly!BA40</f>
        <v>0</v>
      </c>
      <c r="BC36" s="159" t="n">
        <f aca="false">-NA_monthly!BC40+NA_monthly!BB40</f>
        <v>0</v>
      </c>
      <c r="BD36" s="159" t="n">
        <f aca="false">-NA_monthly!BD40+NA_monthly!BC40</f>
        <v>0</v>
      </c>
      <c r="BE36" s="159" t="n">
        <f aca="false">-NA_monthly!BE40+NA_monthly!BD40</f>
        <v>0</v>
      </c>
      <c r="BF36" s="159" t="n">
        <f aca="false">-NA_monthly!BF40+NA_monthly!BE40</f>
        <v>0</v>
      </c>
      <c r="BG36" s="159" t="n">
        <f aca="false">-NA_monthly!BG40+NA_monthly!BF40</f>
        <v>0</v>
      </c>
      <c r="BH36" s="159" t="n">
        <f aca="false">-NA_monthly!BH40+NA_monthly!BG40</f>
        <v>0</v>
      </c>
      <c r="BI36" s="159" t="n">
        <f aca="false">-NA_monthly!BI40+NA_monthly!BH40</f>
        <v>0</v>
      </c>
      <c r="BJ36" s="159" t="n">
        <f aca="false">-NA_monthly!BJ40+NA_monthly!BI40</f>
        <v>0</v>
      </c>
      <c r="BK36" s="159" t="n">
        <f aca="false">-NA_monthly!BK40+NA_monthly!BJ40</f>
        <v>0</v>
      </c>
      <c r="BL36" s="159" t="n">
        <f aca="false">-NA_monthly!BL40+NA_monthly!BK40</f>
        <v>0</v>
      </c>
      <c r="BM36" s="159" t="n">
        <f aca="false">-NA_monthly!BM40+NA_monthly!BL40</f>
        <v>0</v>
      </c>
      <c r="BN36" s="159" t="n">
        <f aca="false">-NA_monthly!BN40+NA_monthly!BM40</f>
        <v>0</v>
      </c>
      <c r="BO36" s="159" t="n">
        <f aca="false">-NA_monthly!BO40+NA_monthly!BN40</f>
        <v>0</v>
      </c>
      <c r="BP36" s="159" t="n">
        <f aca="false">-NA_monthly!BP40+NA_monthly!BO40</f>
        <v>0</v>
      </c>
      <c r="BQ36" s="159" t="n">
        <f aca="false">-NA_monthly!BQ40+NA_monthly!BP40</f>
        <v>0</v>
      </c>
      <c r="BR36" s="159" t="n">
        <f aca="false">-NA_monthly!BR40+NA_monthly!BQ40</f>
        <v>0</v>
      </c>
      <c r="BS36" s="159" t="n">
        <f aca="false">-NA_monthly!BS40+NA_monthly!BR40</f>
        <v>0</v>
      </c>
      <c r="BT36" s="159" t="n">
        <f aca="false">-NA_monthly!BT40+NA_monthly!BS40</f>
        <v>0</v>
      </c>
      <c r="BU36" s="159" t="n">
        <f aca="false">-NA_monthly!BU40+NA_monthly!BT40</f>
        <v>0</v>
      </c>
      <c r="BV36" s="159" t="n">
        <f aca="false">-NA_monthly!BV40+NA_monthly!BU40</f>
        <v>0</v>
      </c>
      <c r="BW36" s="159" t="n">
        <f aca="false">-NA_monthly!BW40+NA_monthly!BV40</f>
        <v>0</v>
      </c>
      <c r="BX36" s="159" t="n">
        <f aca="false">-NA_monthly!BX40+NA_monthly!BW40</f>
        <v>0</v>
      </c>
      <c r="BY36" s="159" t="n">
        <f aca="false">-NA_monthly!BY40+NA_monthly!BX40</f>
        <v>0</v>
      </c>
      <c r="BZ36" s="159" t="n">
        <f aca="false">-NA_monthly!BZ40+NA_monthly!BY40</f>
        <v>0</v>
      </c>
      <c r="CA36" s="159" t="n">
        <f aca="false">-NA_monthly!CA40+NA_monthly!BZ40</f>
        <v>0</v>
      </c>
      <c r="CB36" s="159" t="n">
        <f aca="false">-NA_monthly!CB40+NA_monthly!CA40</f>
        <v>0</v>
      </c>
      <c r="CC36" s="159" t="n">
        <f aca="false">-NA_monthly!CC40+NA_monthly!CB40</f>
        <v>0</v>
      </c>
      <c r="CD36" s="159" t="n">
        <f aca="false">-NA_monthly!CD40+NA_monthly!CC40</f>
        <v>0</v>
      </c>
      <c r="CE36" s="159" t="n">
        <f aca="false">-NA_monthly!CE40+NA_monthly!CD40</f>
        <v>0</v>
      </c>
      <c r="CF36" s="159" t="n">
        <f aca="false">-NA_monthly!CF40+NA_monthly!CE40</f>
        <v>0</v>
      </c>
      <c r="CG36" s="159" t="n">
        <f aca="false">-NA_monthly!CG40+NA_monthly!CF40</f>
        <v>0</v>
      </c>
      <c r="CH36" s="159" t="n">
        <f aca="false">-NA_monthly!CH40+NA_monthly!CG40</f>
        <v>0</v>
      </c>
      <c r="CI36" s="159" t="n">
        <f aca="false">-NA_monthly!CI40+NA_monthly!CH40</f>
        <v>0</v>
      </c>
      <c r="CJ36" s="159" t="n">
        <f aca="false">-NA_monthly!CJ40+NA_monthly!CI40</f>
        <v>0</v>
      </c>
      <c r="CK36" s="159" t="n">
        <f aca="false">-NA_monthly!CK40+NA_monthly!CJ40</f>
        <v>0</v>
      </c>
    </row>
    <row r="37" customFormat="false" ht="11.25" hidden="false" customHeight="true" outlineLevel="0" collapsed="false">
      <c r="C37" s="175" t="str">
        <f aca="false">"∆ "&amp;'Lead NA'!C178</f>
        <v>∆ Other Working Capital</v>
      </c>
      <c r="D37" s="175" t="str">
        <f aca="false">"∆ "&amp;'Lead NA'!D178</f>
        <v>∆ Other working capital</v>
      </c>
      <c r="E37" s="200"/>
      <c r="F37" s="200" t="n">
        <f aca="false">SUM(F21:F36)</f>
        <v>0</v>
      </c>
      <c r="G37" s="175" t="n">
        <f aca="false">SUM(G21:G36)</f>
        <v>0</v>
      </c>
      <c r="H37" s="175" t="n">
        <f aca="false">SUM(H21:H36)</f>
        <v>0</v>
      </c>
      <c r="I37" s="175" t="n">
        <f aca="false">SUM(I21:I36)</f>
        <v>0</v>
      </c>
      <c r="J37" s="175" t="n">
        <f aca="false">SUM(J21:J36)</f>
        <v>0</v>
      </c>
      <c r="K37" s="175" t="n">
        <f aca="false">SUM(K21:K36)</f>
        <v>0</v>
      </c>
      <c r="L37" s="175" t="n">
        <f aca="false">SUM(L21:L36)</f>
        <v>0</v>
      </c>
      <c r="M37" s="175" t="n">
        <f aca="false">SUM(M21:M36)</f>
        <v>0</v>
      </c>
      <c r="N37" s="175" t="n">
        <f aca="false">SUM(N21:N36)</f>
        <v>0</v>
      </c>
      <c r="O37" s="175" t="n">
        <f aca="false">SUM(O21:O36)</f>
        <v>0</v>
      </c>
      <c r="P37" s="175" t="n">
        <f aca="false">SUM(P21:P36)</f>
        <v>0</v>
      </c>
      <c r="Q37" s="175" t="n">
        <f aca="false">SUM(Q21:Q36)</f>
        <v>0</v>
      </c>
      <c r="R37" s="175" t="n">
        <f aca="false">SUM(R21:R36)</f>
        <v>0</v>
      </c>
      <c r="S37" s="175" t="n">
        <f aca="false">SUM(S21:S36)</f>
        <v>0</v>
      </c>
      <c r="T37" s="175" t="n">
        <f aca="false">SUM(T21:T36)</f>
        <v>0</v>
      </c>
      <c r="U37" s="175" t="n">
        <f aca="false">SUM(U21:U36)</f>
        <v>0</v>
      </c>
      <c r="V37" s="175" t="n">
        <f aca="false">SUM(V21:V36)</f>
        <v>0</v>
      </c>
      <c r="W37" s="175" t="n">
        <f aca="false">SUM(W21:W36)</f>
        <v>0</v>
      </c>
      <c r="X37" s="175" t="n">
        <f aca="false">SUM(X21:X36)</f>
        <v>0</v>
      </c>
      <c r="Y37" s="175" t="n">
        <f aca="false">SUM(Y21:Y36)</f>
        <v>0</v>
      </c>
      <c r="Z37" s="175" t="n">
        <f aca="false">SUM(Z21:Z36)</f>
        <v>0</v>
      </c>
      <c r="AA37" s="175" t="n">
        <f aca="false">SUM(AA21:AA36)</f>
        <v>0</v>
      </c>
      <c r="AB37" s="175" t="n">
        <f aca="false">SUM(AB21:AB36)</f>
        <v>0</v>
      </c>
      <c r="AC37" s="175" t="n">
        <f aca="false">SUM(AC21:AC36)</f>
        <v>0</v>
      </c>
      <c r="AD37" s="175" t="n">
        <f aca="false">SUM(AD21:AD36)</f>
        <v>0</v>
      </c>
      <c r="AE37" s="175" t="n">
        <f aca="false">SUM(AE21:AE36)</f>
        <v>0</v>
      </c>
      <c r="AF37" s="175" t="n">
        <f aca="false">SUM(AF21:AF36)</f>
        <v>0</v>
      </c>
      <c r="AG37" s="175" t="n">
        <f aca="false">SUM(AG21:AG36)</f>
        <v>0</v>
      </c>
      <c r="AH37" s="175" t="n">
        <f aca="false">SUM(AH21:AH36)</f>
        <v>0</v>
      </c>
      <c r="AI37" s="175" t="n">
        <f aca="false">SUM(AI21:AI36)</f>
        <v>0</v>
      </c>
      <c r="AJ37" s="175" t="n">
        <f aca="false">SUM(AJ21:AJ36)</f>
        <v>0</v>
      </c>
      <c r="AK37" s="175" t="n">
        <f aca="false">SUM(AK21:AK36)</f>
        <v>0</v>
      </c>
      <c r="AL37" s="175" t="n">
        <f aca="false">SUM(AL21:AL36)</f>
        <v>0</v>
      </c>
      <c r="AM37" s="175" t="n">
        <f aca="false">SUM(AM21:AM36)</f>
        <v>0</v>
      </c>
      <c r="AN37" s="175" t="n">
        <f aca="false">SUM(AN21:AN36)</f>
        <v>0</v>
      </c>
      <c r="AO37" s="175" t="n">
        <f aca="false">SUM(AO21:AO36)</f>
        <v>0</v>
      </c>
      <c r="AP37" s="175" t="n">
        <f aca="false">SUM(AP21:AP36)</f>
        <v>0</v>
      </c>
      <c r="AQ37" s="175" t="n">
        <f aca="false">SUM(AQ21:AQ36)</f>
        <v>0</v>
      </c>
      <c r="AR37" s="175" t="n">
        <f aca="false">SUM(AR21:AR36)</f>
        <v>0</v>
      </c>
      <c r="AS37" s="175" t="n">
        <f aca="false">SUM(AS21:AS36)</f>
        <v>0</v>
      </c>
      <c r="AT37" s="175" t="n">
        <f aca="false">SUM(AT21:AT36)</f>
        <v>0</v>
      </c>
      <c r="AU37" s="175" t="n">
        <f aca="false">SUM(AU21:AU36)</f>
        <v>0</v>
      </c>
      <c r="AV37" s="175" t="n">
        <f aca="false">SUM(AV21:AV36)</f>
        <v>0</v>
      </c>
      <c r="AW37" s="175" t="n">
        <f aca="false">SUM(AW21:AW36)</f>
        <v>0</v>
      </c>
      <c r="AX37" s="175" t="n">
        <f aca="false">SUM(AX21:AX36)</f>
        <v>0</v>
      </c>
      <c r="AY37" s="175" t="n">
        <f aca="false">SUM(AY21:AY36)</f>
        <v>0</v>
      </c>
      <c r="AZ37" s="175" t="n">
        <f aca="false">SUM(AZ21:AZ36)</f>
        <v>0</v>
      </c>
      <c r="BA37" s="175" t="n">
        <f aca="false">SUM(BA21:BA36)</f>
        <v>0</v>
      </c>
      <c r="BB37" s="175" t="n">
        <f aca="false">SUM(BB21:BB36)</f>
        <v>0</v>
      </c>
      <c r="BC37" s="175" t="n">
        <f aca="false">SUM(BC21:BC36)</f>
        <v>0</v>
      </c>
      <c r="BD37" s="175" t="n">
        <f aca="false">SUM(BD21:BD36)</f>
        <v>0</v>
      </c>
      <c r="BE37" s="175" t="n">
        <f aca="false">SUM(BE21:BE36)</f>
        <v>0</v>
      </c>
      <c r="BF37" s="175" t="n">
        <f aca="false">SUM(BF21:BF36)</f>
        <v>0</v>
      </c>
      <c r="BG37" s="175" t="n">
        <f aca="false">SUM(BG21:BG36)</f>
        <v>0</v>
      </c>
      <c r="BH37" s="175" t="n">
        <f aca="false">SUM(BH21:BH36)</f>
        <v>0</v>
      </c>
      <c r="BI37" s="175" t="n">
        <f aca="false">SUM(BI21:BI36)</f>
        <v>0</v>
      </c>
      <c r="BJ37" s="175" t="n">
        <f aca="false">SUM(BJ21:BJ36)</f>
        <v>0</v>
      </c>
      <c r="BK37" s="175" t="n">
        <f aca="false">SUM(BK21:BK36)</f>
        <v>0</v>
      </c>
      <c r="BL37" s="175" t="n">
        <f aca="false">SUM(BL21:BL36)</f>
        <v>0</v>
      </c>
      <c r="BM37" s="175" t="n">
        <f aca="false">SUM(BM21:BM36)</f>
        <v>0</v>
      </c>
      <c r="BN37" s="175" t="n">
        <f aca="false">SUM(BN21:BN36)</f>
        <v>0</v>
      </c>
      <c r="BO37" s="175" t="n">
        <f aca="false">SUM(BO21:BO36)</f>
        <v>0</v>
      </c>
      <c r="BP37" s="175" t="n">
        <f aca="false">SUM(BP21:BP36)</f>
        <v>0</v>
      </c>
      <c r="BQ37" s="175" t="n">
        <f aca="false">SUM(BQ21:BQ36)</f>
        <v>0</v>
      </c>
      <c r="BR37" s="175" t="n">
        <f aca="false">SUM(BR21:BR36)</f>
        <v>0</v>
      </c>
      <c r="BS37" s="175" t="n">
        <f aca="false">SUM(BS21:BS36)</f>
        <v>0</v>
      </c>
      <c r="BT37" s="175" t="n">
        <f aca="false">SUM(BT21:BT36)</f>
        <v>0</v>
      </c>
      <c r="BU37" s="175" t="n">
        <f aca="false">SUM(BU21:BU36)</f>
        <v>0</v>
      </c>
      <c r="BV37" s="175" t="n">
        <f aca="false">SUM(BV21:BV36)</f>
        <v>0</v>
      </c>
      <c r="BW37" s="175" t="n">
        <f aca="false">SUM(BW21:BW36)</f>
        <v>0</v>
      </c>
      <c r="BX37" s="175" t="n">
        <f aca="false">SUM(BX21:BX36)</f>
        <v>0</v>
      </c>
      <c r="BY37" s="175" t="n">
        <f aca="false">SUM(BY21:BY36)</f>
        <v>0</v>
      </c>
      <c r="BZ37" s="175" t="n">
        <f aca="false">SUM(BZ21:BZ36)</f>
        <v>0</v>
      </c>
      <c r="CA37" s="175" t="n">
        <f aca="false">SUM(CA21:CA36)</f>
        <v>0</v>
      </c>
      <c r="CB37" s="175" t="n">
        <f aca="false">SUM(CB21:CB36)</f>
        <v>0</v>
      </c>
      <c r="CC37" s="175" t="n">
        <f aca="false">SUM(CC21:CC36)</f>
        <v>0</v>
      </c>
      <c r="CD37" s="175" t="n">
        <f aca="false">SUM(CD21:CD36)</f>
        <v>0</v>
      </c>
      <c r="CE37" s="175" t="n">
        <f aca="false">SUM(CE21:CE36)</f>
        <v>0</v>
      </c>
      <c r="CF37" s="175" t="n">
        <f aca="false">SUM(CF21:CF36)</f>
        <v>0</v>
      </c>
      <c r="CG37" s="175" t="n">
        <f aca="false">SUM(CG21:CG36)</f>
        <v>0</v>
      </c>
      <c r="CH37" s="175" t="n">
        <f aca="false">SUM(CH21:CH36)</f>
        <v>0</v>
      </c>
      <c r="CI37" s="175" t="n">
        <f aca="false">SUM(CI21:CI36)</f>
        <v>0</v>
      </c>
      <c r="CJ37" s="175" t="n">
        <f aca="false">SUM(CJ21:CJ36)</f>
        <v>0</v>
      </c>
      <c r="CK37" s="175" t="n">
        <f aca="false">SUM(CK21:CK36)</f>
        <v>0</v>
      </c>
    </row>
    <row r="38" customFormat="false" ht="11.25" hidden="false" customHeight="true" outlineLevel="0" collapsed="false">
      <c r="C38" s="178" t="s">
        <v>563</v>
      </c>
      <c r="D38" s="178" t="s">
        <v>564</v>
      </c>
      <c r="E38" s="137"/>
      <c r="F38" s="137" t="n">
        <f aca="false">F9+SUM(F10:F11)+F20+F37</f>
        <v>0</v>
      </c>
      <c r="G38" s="178" t="n">
        <f aca="false">G9+SUM(G10:G11)+G20+G37</f>
        <v>0</v>
      </c>
      <c r="H38" s="178" t="n">
        <f aca="false">H9+SUM(H10:H11)+H20+H37</f>
        <v>0</v>
      </c>
      <c r="I38" s="178" t="n">
        <f aca="false">I9+SUM(I10:I11)+I20+I37</f>
        <v>0</v>
      </c>
      <c r="J38" s="178" t="n">
        <f aca="false">J9+SUM(J10:J11)+J20+J37</f>
        <v>0</v>
      </c>
      <c r="K38" s="178" t="n">
        <f aca="false">K9+SUM(K10:K11)+K20+K37</f>
        <v>0</v>
      </c>
      <c r="L38" s="178" t="n">
        <f aca="false">L9+SUM(L10:L11)+L20+L37</f>
        <v>0</v>
      </c>
      <c r="M38" s="178" t="n">
        <f aca="false">M9+SUM(M10:M11)+M20+M37</f>
        <v>0</v>
      </c>
      <c r="N38" s="178" t="n">
        <f aca="false">N9+SUM(N10:N11)+N20+N37</f>
        <v>0</v>
      </c>
      <c r="O38" s="178" t="n">
        <f aca="false">O9+SUM(O10:O11)+O20+O37</f>
        <v>0</v>
      </c>
      <c r="P38" s="178" t="n">
        <f aca="false">P9+SUM(P10:P11)+P20+P37</f>
        <v>0</v>
      </c>
      <c r="Q38" s="178" t="n">
        <f aca="false">Q9+SUM(Q10:Q11)+Q20+Q37</f>
        <v>0</v>
      </c>
      <c r="R38" s="178" t="n">
        <f aca="false">R9+SUM(R10:R11)+R20+R37</f>
        <v>0</v>
      </c>
      <c r="S38" s="178" t="n">
        <f aca="false">S9+SUM(S10:S11)+S20+S37</f>
        <v>0</v>
      </c>
      <c r="T38" s="178" t="n">
        <f aca="false">T9+SUM(T10:T11)+T20+T37</f>
        <v>0</v>
      </c>
      <c r="U38" s="178" t="n">
        <f aca="false">U9+SUM(U10:U11)+U20+U37</f>
        <v>0</v>
      </c>
      <c r="V38" s="178" t="n">
        <f aca="false">V9+SUM(V10:V11)+V20+V37</f>
        <v>0</v>
      </c>
      <c r="W38" s="178" t="n">
        <f aca="false">W9+SUM(W10:W11)+W20+W37</f>
        <v>0</v>
      </c>
      <c r="X38" s="178" t="n">
        <f aca="false">X9+SUM(X10:X11)+X20+X37</f>
        <v>0</v>
      </c>
      <c r="Y38" s="178" t="n">
        <f aca="false">Y9+SUM(Y10:Y11)+Y20+Y37</f>
        <v>0</v>
      </c>
      <c r="Z38" s="178" t="n">
        <f aca="false">Z9+SUM(Z10:Z11)+Z20+Z37</f>
        <v>0</v>
      </c>
      <c r="AA38" s="178" t="n">
        <f aca="false">AA9+SUM(AA10:AA11)+AA20+AA37</f>
        <v>0</v>
      </c>
      <c r="AB38" s="178" t="n">
        <f aca="false">AB9+SUM(AB10:AB11)+AB20+AB37</f>
        <v>0</v>
      </c>
      <c r="AC38" s="178" t="n">
        <f aca="false">AC9+SUM(AC10:AC11)+AC20+AC37</f>
        <v>0</v>
      </c>
      <c r="AD38" s="178" t="n">
        <f aca="false">AD9+SUM(AD10:AD11)+AD20+AD37</f>
        <v>0</v>
      </c>
      <c r="AE38" s="178" t="n">
        <f aca="false">AE9+SUM(AE10:AE11)+AE20+AE37</f>
        <v>0</v>
      </c>
      <c r="AF38" s="178" t="n">
        <f aca="false">AF9+SUM(AF10:AF11)+AF20+AF37</f>
        <v>0</v>
      </c>
      <c r="AG38" s="178" t="n">
        <f aca="false">AG9+SUM(AG10:AG11)+AG20+AG37</f>
        <v>0</v>
      </c>
      <c r="AH38" s="178" t="n">
        <f aca="false">AH9+SUM(AH10:AH11)+AH20+AH37</f>
        <v>0</v>
      </c>
      <c r="AI38" s="178" t="n">
        <f aca="false">AI9+SUM(AI10:AI11)+AI20+AI37</f>
        <v>0</v>
      </c>
      <c r="AJ38" s="178" t="n">
        <f aca="false">AJ9+SUM(AJ10:AJ11)+AJ20+AJ37</f>
        <v>0</v>
      </c>
      <c r="AK38" s="178" t="n">
        <f aca="false">AK9+SUM(AK10:AK11)+AK20+AK37</f>
        <v>0</v>
      </c>
      <c r="AL38" s="178" t="n">
        <f aca="false">AL9+SUM(AL10:AL11)+AL20+AL37</f>
        <v>0</v>
      </c>
      <c r="AM38" s="178" t="n">
        <f aca="false">AM9+SUM(AM10:AM11)+AM20+AM37</f>
        <v>0</v>
      </c>
      <c r="AN38" s="178" t="n">
        <f aca="false">AN9+SUM(AN10:AN11)+AN20+AN37</f>
        <v>0</v>
      </c>
      <c r="AO38" s="178" t="n">
        <f aca="false">AO9+SUM(AO10:AO11)+AO20+AO37</f>
        <v>0</v>
      </c>
      <c r="AP38" s="178" t="n">
        <f aca="false">AP9+SUM(AP10:AP11)+AP20+AP37</f>
        <v>0</v>
      </c>
      <c r="AQ38" s="178" t="n">
        <f aca="false">AQ9+SUM(AQ10:AQ11)+AQ20+AQ37</f>
        <v>0</v>
      </c>
      <c r="AR38" s="178" t="n">
        <f aca="false">AR9+SUM(AR10:AR11)+AR20+AR37</f>
        <v>0</v>
      </c>
      <c r="AS38" s="178" t="n">
        <f aca="false">AS9+SUM(AS10:AS11)+AS20+AS37</f>
        <v>0</v>
      </c>
      <c r="AT38" s="178" t="n">
        <f aca="false">AT9+SUM(AT10:AT11)+AT20+AT37</f>
        <v>0</v>
      </c>
      <c r="AU38" s="178" t="n">
        <f aca="false">AU9+SUM(AU10:AU11)+AU20+AU37</f>
        <v>0</v>
      </c>
      <c r="AV38" s="178" t="n">
        <f aca="false">AV9+SUM(AV10:AV11)+AV20+AV37</f>
        <v>0</v>
      </c>
      <c r="AW38" s="178" t="n">
        <f aca="false">AW9+SUM(AW10:AW11)+AW20+AW37</f>
        <v>0</v>
      </c>
      <c r="AX38" s="178" t="n">
        <f aca="false">AX9+SUM(AX10:AX11)+AX20+AX37</f>
        <v>0</v>
      </c>
      <c r="AY38" s="178" t="n">
        <f aca="false">AY9+SUM(AY10:AY11)+AY20+AY37</f>
        <v>0</v>
      </c>
      <c r="AZ38" s="178" t="n">
        <f aca="false">AZ9+SUM(AZ10:AZ11)+AZ20+AZ37</f>
        <v>0</v>
      </c>
      <c r="BA38" s="178" t="n">
        <f aca="false">BA9+SUM(BA10:BA11)+BA20+BA37</f>
        <v>0</v>
      </c>
      <c r="BB38" s="178" t="n">
        <f aca="false">BB9+SUM(BB10:BB11)+BB20+BB37</f>
        <v>0</v>
      </c>
      <c r="BC38" s="178" t="n">
        <f aca="false">BC9+SUM(BC10:BC11)+BC20+BC37</f>
        <v>0</v>
      </c>
      <c r="BD38" s="178" t="n">
        <f aca="false">BD9+SUM(BD10:BD11)+BD20+BD37</f>
        <v>0</v>
      </c>
      <c r="BE38" s="178" t="n">
        <f aca="false">BE9+SUM(BE10:BE11)+BE20+BE37</f>
        <v>0</v>
      </c>
      <c r="BF38" s="178" t="n">
        <f aca="false">BF9+SUM(BF10:BF11)+BF20+BF37</f>
        <v>0</v>
      </c>
      <c r="BG38" s="178" t="n">
        <f aca="false">BG9+SUM(BG10:BG11)+BG20+BG37</f>
        <v>0</v>
      </c>
      <c r="BH38" s="178" t="n">
        <f aca="false">BH9+SUM(BH10:BH11)+BH20+BH37</f>
        <v>0</v>
      </c>
      <c r="BI38" s="178" t="n">
        <f aca="false">BI9+SUM(BI10:BI11)+BI20+BI37</f>
        <v>0</v>
      </c>
      <c r="BJ38" s="178" t="n">
        <f aca="false">BJ9+SUM(BJ10:BJ11)+BJ20+BJ37</f>
        <v>0</v>
      </c>
      <c r="BK38" s="178" t="n">
        <f aca="false">BK9+SUM(BK10:BK11)+BK20+BK37</f>
        <v>0</v>
      </c>
      <c r="BL38" s="178" t="n">
        <f aca="false">BL9+SUM(BL10:BL11)+BL20+BL37</f>
        <v>0</v>
      </c>
      <c r="BM38" s="178" t="n">
        <f aca="false">BM9+SUM(BM10:BM11)+BM20+BM37</f>
        <v>0</v>
      </c>
      <c r="BN38" s="178" t="n">
        <f aca="false">BN9+SUM(BN10:BN11)+BN20+BN37</f>
        <v>0</v>
      </c>
      <c r="BO38" s="178" t="n">
        <f aca="false">BO9+SUM(BO10:BO11)+BO20+BO37</f>
        <v>0</v>
      </c>
      <c r="BP38" s="178" t="n">
        <f aca="false">BP9+SUM(BP10:BP11)+BP20+BP37</f>
        <v>0</v>
      </c>
      <c r="BQ38" s="178" t="n">
        <f aca="false">BQ9+SUM(BQ10:BQ11)+BQ20+BQ37</f>
        <v>0</v>
      </c>
      <c r="BR38" s="178" t="n">
        <f aca="false">BR9+SUM(BR10:BR11)+BR20+BR37</f>
        <v>0</v>
      </c>
      <c r="BS38" s="178" t="n">
        <f aca="false">BS9+SUM(BS10:BS11)+BS20+BS37</f>
        <v>0</v>
      </c>
      <c r="BT38" s="178" t="n">
        <f aca="false">BT9+SUM(BT10:BT11)+BT20+BT37</f>
        <v>0</v>
      </c>
      <c r="BU38" s="178" t="n">
        <f aca="false">BU9+SUM(BU10:BU11)+BU20+BU37</f>
        <v>0</v>
      </c>
      <c r="BV38" s="178" t="n">
        <f aca="false">BV9+SUM(BV10:BV11)+BV20+BV37</f>
        <v>0</v>
      </c>
      <c r="BW38" s="178" t="n">
        <f aca="false">BW9+SUM(BW10:BW11)+BW20+BW37</f>
        <v>0</v>
      </c>
      <c r="BX38" s="178" t="n">
        <f aca="false">BX9+SUM(BX10:BX11)+BX20+BX37</f>
        <v>0</v>
      </c>
      <c r="BY38" s="178" t="n">
        <f aca="false">BY9+SUM(BY10:BY11)+BY20+BY37</f>
        <v>0</v>
      </c>
      <c r="BZ38" s="178" t="n">
        <f aca="false">BZ9+SUM(BZ10:BZ11)+BZ20+BZ37</f>
        <v>0</v>
      </c>
      <c r="CA38" s="178" t="n">
        <f aca="false">CA9+SUM(CA10:CA11)+CA20+CA37</f>
        <v>0</v>
      </c>
      <c r="CB38" s="178" t="n">
        <f aca="false">CB9+SUM(CB10:CB11)+CB20+CB37</f>
        <v>0</v>
      </c>
      <c r="CC38" s="178" t="n">
        <f aca="false">CC9+SUM(CC10:CC11)+CC20+CC37</f>
        <v>0</v>
      </c>
      <c r="CD38" s="178" t="n">
        <f aca="false">CD9+SUM(CD10:CD11)+CD20+CD37</f>
        <v>0</v>
      </c>
      <c r="CE38" s="178" t="n">
        <f aca="false">CE9+SUM(CE10:CE11)+CE20+CE37</f>
        <v>0</v>
      </c>
      <c r="CF38" s="178" t="n">
        <f aca="false">CF9+SUM(CF10:CF11)+CF20+CF37</f>
        <v>0</v>
      </c>
      <c r="CG38" s="178" t="n">
        <f aca="false">CG9+SUM(CG10:CG11)+CG20+CG37</f>
        <v>0</v>
      </c>
      <c r="CH38" s="178" t="n">
        <f aca="false">CH9+SUM(CH10:CH11)+CH20+CH37</f>
        <v>0</v>
      </c>
      <c r="CI38" s="178" t="n">
        <f aca="false">CI9+SUM(CI10:CI11)+CI20+CI37</f>
        <v>0</v>
      </c>
      <c r="CJ38" s="178" t="n">
        <f aca="false">CJ9+SUM(CJ10:CJ11)+CJ20+CJ37</f>
        <v>0</v>
      </c>
      <c r="CK38" s="178" t="n">
        <f aca="false">CK9+SUM(CK10:CK11)+CK20+CK37</f>
        <v>0</v>
      </c>
    </row>
    <row r="39" customFormat="false" ht="4.5" hidden="false" customHeight="true" outlineLevel="0" collapsed="false">
      <c r="C39" s="51"/>
      <c r="D39" s="51"/>
      <c r="E39" s="137"/>
      <c r="F39" s="137"/>
      <c r="G39" s="159"/>
      <c r="H39" s="159"/>
      <c r="I39" s="159"/>
      <c r="J39" s="159"/>
      <c r="K39" s="159"/>
      <c r="L39" s="159"/>
      <c r="M39" s="159"/>
      <c r="N39" s="159"/>
      <c r="O39" s="159"/>
      <c r="P39" s="159"/>
      <c r="Q39" s="159"/>
      <c r="R39" s="159"/>
      <c r="S39" s="159"/>
      <c r="T39" s="159"/>
      <c r="U39" s="159"/>
      <c r="V39" s="159"/>
      <c r="W39" s="159"/>
      <c r="X39" s="159"/>
      <c r="Y39" s="159"/>
      <c r="Z39" s="159"/>
      <c r="AA39" s="159"/>
      <c r="AB39" s="159"/>
      <c r="AC39" s="159"/>
      <c r="AD39" s="159"/>
      <c r="AE39" s="159"/>
      <c r="AF39" s="159"/>
      <c r="AG39" s="159"/>
      <c r="AH39" s="159"/>
      <c r="AI39" s="159"/>
      <c r="AJ39" s="159"/>
      <c r="AK39" s="159"/>
      <c r="AL39" s="159"/>
      <c r="AM39" s="159"/>
      <c r="AN39" s="159"/>
      <c r="AO39" s="159"/>
      <c r="AP39" s="159"/>
      <c r="AQ39" s="159"/>
      <c r="AR39" s="159"/>
      <c r="AS39" s="159"/>
      <c r="AT39" s="159"/>
      <c r="AU39" s="159"/>
      <c r="AV39" s="159"/>
      <c r="AW39" s="159"/>
      <c r="AX39" s="159"/>
      <c r="AY39" s="159"/>
      <c r="AZ39" s="159"/>
      <c r="BA39" s="159"/>
      <c r="BB39" s="159"/>
      <c r="BC39" s="159"/>
      <c r="BD39" s="159"/>
      <c r="BE39" s="159"/>
      <c r="BF39" s="159"/>
      <c r="BG39" s="159"/>
      <c r="BH39" s="159"/>
      <c r="BI39" s="159"/>
      <c r="BJ39" s="159"/>
      <c r="BK39" s="159"/>
      <c r="BL39" s="159"/>
      <c r="BM39" s="159"/>
      <c r="BN39" s="159"/>
      <c r="BO39" s="159"/>
      <c r="BP39" s="159"/>
      <c r="BQ39" s="159"/>
      <c r="BR39" s="159"/>
      <c r="BS39" s="159"/>
      <c r="BT39" s="159"/>
      <c r="BU39" s="159"/>
      <c r="BV39" s="159"/>
      <c r="BW39" s="159"/>
      <c r="BX39" s="159"/>
      <c r="BY39" s="159"/>
      <c r="BZ39" s="159"/>
      <c r="CA39" s="159"/>
      <c r="CB39" s="159"/>
      <c r="CC39" s="159"/>
      <c r="CD39" s="159"/>
      <c r="CE39" s="159"/>
      <c r="CF39" s="159"/>
      <c r="CG39" s="159"/>
      <c r="CH39" s="159"/>
      <c r="CI39" s="159"/>
      <c r="CJ39" s="159"/>
      <c r="CK39" s="159"/>
    </row>
    <row r="40" customFormat="false" ht="11.25" hidden="false" customHeight="true" outlineLevel="0" collapsed="false">
      <c r="C40" s="51" t="s">
        <v>565</v>
      </c>
      <c r="D40" s="51" t="s">
        <v>566</v>
      </c>
      <c r="E40" s="137"/>
      <c r="F40" s="137"/>
      <c r="G40" s="159" t="n">
        <f aca="false">-(NA_monthly!G44-NA_monthly!F44)+PL_monthly!G35</f>
        <v>0</v>
      </c>
      <c r="H40" s="159" t="n">
        <f aca="false">-(NA_monthly!H44-NA_monthly!G44)+PL_monthly!H35</f>
        <v>0</v>
      </c>
      <c r="I40" s="159" t="n">
        <f aca="false">-(NA_monthly!I44-NA_monthly!H44)+PL_monthly!I35</f>
        <v>0</v>
      </c>
      <c r="J40" s="159" t="n">
        <f aca="false">-(NA_monthly!J44-NA_monthly!I44)+PL_monthly!J35</f>
        <v>0</v>
      </c>
      <c r="K40" s="159" t="n">
        <f aca="false">-(NA_monthly!K44-NA_monthly!J44)+PL_monthly!K35</f>
        <v>0</v>
      </c>
      <c r="L40" s="159" t="n">
        <f aca="false">-(NA_monthly!L44-NA_monthly!K44)+PL_monthly!L35</f>
        <v>0</v>
      </c>
      <c r="M40" s="159" t="n">
        <f aca="false">-(NA_monthly!M44-NA_monthly!L44)+PL_monthly!M35</f>
        <v>0</v>
      </c>
      <c r="N40" s="159" t="n">
        <f aca="false">-(NA_monthly!N44-NA_monthly!M44)+PL_monthly!N35</f>
        <v>0</v>
      </c>
      <c r="O40" s="159" t="n">
        <f aca="false">-(NA_monthly!O44-NA_monthly!N44)+PL_monthly!O35</f>
        <v>0</v>
      </c>
      <c r="P40" s="159" t="n">
        <f aca="false">-(NA_monthly!P44-NA_monthly!O44)+PL_monthly!P35</f>
        <v>0</v>
      </c>
      <c r="Q40" s="159" t="n">
        <f aca="false">-(NA_monthly!Q44-NA_monthly!P44)+PL_monthly!Q35</f>
        <v>0</v>
      </c>
      <c r="R40" s="159" t="n">
        <f aca="false">-(NA_monthly!R44-NA_monthly!Q44)+PL_monthly!R35</f>
        <v>0</v>
      </c>
      <c r="S40" s="159" t="n">
        <f aca="false">-(NA_monthly!S44-NA_monthly!R44)+PL_monthly!S35</f>
        <v>0</v>
      </c>
      <c r="T40" s="159" t="n">
        <f aca="false">-(NA_monthly!T44-NA_monthly!S44)+PL_monthly!T35</f>
        <v>0</v>
      </c>
      <c r="U40" s="159" t="n">
        <f aca="false">-(NA_monthly!U44-NA_monthly!T44)+PL_monthly!U35</f>
        <v>0</v>
      </c>
      <c r="V40" s="159" t="n">
        <f aca="false">-(NA_monthly!V44-NA_monthly!U44)+PL_monthly!V35</f>
        <v>0</v>
      </c>
      <c r="W40" s="159" t="n">
        <f aca="false">-(NA_monthly!W44-NA_monthly!V44)+PL_monthly!W35</f>
        <v>0</v>
      </c>
      <c r="X40" s="159" t="n">
        <f aca="false">-(NA_monthly!X44-NA_monthly!W44)+PL_monthly!X35</f>
        <v>0</v>
      </c>
      <c r="Y40" s="159" t="n">
        <f aca="false">-(NA_monthly!Y44-NA_monthly!X44)+PL_monthly!Y35</f>
        <v>0</v>
      </c>
      <c r="Z40" s="159" t="n">
        <f aca="false">-(NA_monthly!Z44-NA_monthly!Y44)+PL_monthly!Z35</f>
        <v>0</v>
      </c>
      <c r="AA40" s="159" t="n">
        <f aca="false">-(NA_monthly!AA44-NA_monthly!Z44)+PL_monthly!AA35</f>
        <v>0</v>
      </c>
      <c r="AB40" s="159" t="n">
        <f aca="false">-(NA_monthly!AB44-NA_monthly!AA44)+PL_monthly!AB35</f>
        <v>0</v>
      </c>
      <c r="AC40" s="159" t="n">
        <f aca="false">-(NA_monthly!AC44-NA_monthly!AB44)+PL_monthly!AC35</f>
        <v>0</v>
      </c>
      <c r="AD40" s="159" t="n">
        <f aca="false">-(NA_monthly!AD44-NA_monthly!AC44)+PL_monthly!AD35</f>
        <v>0</v>
      </c>
      <c r="AE40" s="159" t="n">
        <f aca="false">-(NA_monthly!AE44-NA_monthly!AD44)+PL_monthly!AE35</f>
        <v>0</v>
      </c>
      <c r="AF40" s="159" t="n">
        <f aca="false">-(NA_monthly!AF44-NA_monthly!AE44)+PL_monthly!AF35</f>
        <v>0</v>
      </c>
      <c r="AG40" s="159" t="n">
        <f aca="false">-(NA_monthly!AG44-NA_monthly!AF44)+PL_monthly!AG35</f>
        <v>0</v>
      </c>
      <c r="AH40" s="159" t="n">
        <f aca="false">-(NA_monthly!AH44-NA_monthly!AG44)+PL_monthly!AH35</f>
        <v>0</v>
      </c>
      <c r="AI40" s="159" t="n">
        <f aca="false">-(NA_monthly!AI44-NA_monthly!AH44)+PL_monthly!AI35</f>
        <v>0</v>
      </c>
      <c r="AJ40" s="159" t="n">
        <f aca="false">-(NA_monthly!AJ44-NA_monthly!AI44)+PL_monthly!AJ35</f>
        <v>0</v>
      </c>
      <c r="AK40" s="159" t="n">
        <f aca="false">-(NA_monthly!AK44-NA_monthly!AJ44)+PL_monthly!AK35</f>
        <v>0</v>
      </c>
      <c r="AL40" s="159" t="n">
        <f aca="false">-(NA_monthly!AL44-NA_monthly!AK44)+PL_monthly!AL35</f>
        <v>0</v>
      </c>
      <c r="AM40" s="159" t="n">
        <f aca="false">-(NA_monthly!AM44-NA_monthly!AL44)+PL_monthly!AM35</f>
        <v>0</v>
      </c>
      <c r="AN40" s="159" t="n">
        <f aca="false">-(NA_monthly!AN44-NA_monthly!AM44)+PL_monthly!AN35</f>
        <v>0</v>
      </c>
      <c r="AO40" s="159" t="n">
        <f aca="false">-(NA_monthly!AO44-NA_monthly!AN44)+PL_monthly!AO35</f>
        <v>0</v>
      </c>
      <c r="AP40" s="159" t="n">
        <f aca="false">-(NA_monthly!AP44-NA_monthly!AO44)+PL_monthly!AP35</f>
        <v>0</v>
      </c>
      <c r="AQ40" s="159" t="n">
        <f aca="false">-(NA_monthly!AQ44-NA_monthly!AP44)+PL_monthly!AQ35</f>
        <v>0</v>
      </c>
      <c r="AR40" s="159" t="n">
        <f aca="false">-(NA_monthly!AR44-NA_monthly!AQ44)+PL_monthly!AR35</f>
        <v>0</v>
      </c>
      <c r="AS40" s="159" t="n">
        <f aca="false">-(NA_monthly!AS44-NA_monthly!AR44)+PL_monthly!AS35</f>
        <v>0</v>
      </c>
      <c r="AT40" s="159" t="n">
        <f aca="false">-(NA_monthly!AT44-NA_monthly!AS44)+PL_monthly!AT35</f>
        <v>0</v>
      </c>
      <c r="AU40" s="159" t="n">
        <f aca="false">-(NA_monthly!AU44-NA_monthly!AT44)+PL_monthly!AU35</f>
        <v>0</v>
      </c>
      <c r="AV40" s="159" t="n">
        <f aca="false">-(NA_monthly!AV44-NA_monthly!AU44)+PL_monthly!AV35</f>
        <v>0</v>
      </c>
      <c r="AW40" s="159" t="n">
        <f aca="false">-(NA_monthly!AW44-NA_monthly!AV44)+PL_monthly!AW35</f>
        <v>0</v>
      </c>
      <c r="AX40" s="159" t="n">
        <f aca="false">-(NA_monthly!AX44-NA_monthly!AW44)+PL_monthly!AX35</f>
        <v>0</v>
      </c>
      <c r="AY40" s="159" t="n">
        <f aca="false">-(NA_monthly!AY44-NA_monthly!AX44)+PL_monthly!AY35</f>
        <v>0</v>
      </c>
      <c r="AZ40" s="159" t="n">
        <f aca="false">-(NA_monthly!AZ44-NA_monthly!AY44)+PL_monthly!AZ35</f>
        <v>0</v>
      </c>
      <c r="BA40" s="159" t="n">
        <f aca="false">-(NA_monthly!BA44-NA_monthly!AZ44)+PL_monthly!BA35</f>
        <v>0</v>
      </c>
      <c r="BB40" s="159" t="n">
        <f aca="false">-(NA_monthly!BB44-NA_monthly!BA44)+PL_monthly!BB35</f>
        <v>0</v>
      </c>
      <c r="BC40" s="159" t="n">
        <f aca="false">-(NA_monthly!BC44-NA_monthly!BB44)+PL_monthly!BC35</f>
        <v>0</v>
      </c>
      <c r="BD40" s="159" t="n">
        <f aca="false">-(NA_monthly!BD44-NA_monthly!BC44)+PL_monthly!BD35</f>
        <v>0</v>
      </c>
      <c r="BE40" s="159" t="n">
        <f aca="false">-(NA_monthly!BE44-NA_monthly!BD44)+PL_monthly!BE35</f>
        <v>0</v>
      </c>
      <c r="BF40" s="159" t="n">
        <f aca="false">-(NA_monthly!BF44-NA_monthly!BE44)+PL_monthly!BF35</f>
        <v>0</v>
      </c>
      <c r="BG40" s="159" t="n">
        <f aca="false">-(NA_monthly!BG44-NA_monthly!BF44)+PL_monthly!BG35</f>
        <v>0</v>
      </c>
      <c r="BH40" s="159" t="n">
        <f aca="false">-(NA_monthly!BH44-NA_monthly!BG44)+PL_monthly!BH35</f>
        <v>0</v>
      </c>
      <c r="BI40" s="159" t="n">
        <f aca="false">-(NA_monthly!BI44-NA_monthly!BH44)+PL_monthly!BI35</f>
        <v>0</v>
      </c>
      <c r="BJ40" s="159" t="n">
        <f aca="false">-(NA_monthly!BJ44-NA_monthly!BI44)+PL_monthly!BJ35</f>
        <v>0</v>
      </c>
      <c r="BK40" s="159" t="n">
        <f aca="false">-(NA_monthly!BK44-NA_monthly!BJ44)+PL_monthly!BK35</f>
        <v>0</v>
      </c>
      <c r="BL40" s="159" t="n">
        <f aca="false">-(NA_monthly!BL44-NA_monthly!BK44)+PL_monthly!BL35</f>
        <v>0</v>
      </c>
      <c r="BM40" s="159" t="n">
        <f aca="false">-(NA_monthly!BM44-NA_monthly!BL44)+PL_monthly!BM35</f>
        <v>0</v>
      </c>
      <c r="BN40" s="159" t="n">
        <f aca="false">-(NA_monthly!BN44-NA_monthly!BM44)+PL_monthly!BN35</f>
        <v>0</v>
      </c>
      <c r="BO40" s="159" t="n">
        <f aca="false">-(NA_monthly!BO44-NA_monthly!BN44)+PL_monthly!BO35</f>
        <v>0</v>
      </c>
      <c r="BP40" s="159" t="n">
        <f aca="false">-(NA_monthly!BP44-NA_monthly!BO44)+PL_monthly!BP35</f>
        <v>0</v>
      </c>
      <c r="BQ40" s="159" t="n">
        <f aca="false">-(NA_monthly!BQ44-NA_monthly!BP44)+PL_monthly!BQ35</f>
        <v>0</v>
      </c>
      <c r="BR40" s="159" t="n">
        <f aca="false">-(NA_monthly!BR44-NA_monthly!BQ44)+PL_monthly!BR35</f>
        <v>0</v>
      </c>
      <c r="BS40" s="159" t="n">
        <f aca="false">-(NA_monthly!BS44-NA_monthly!BR44)+PL_monthly!BS35</f>
        <v>0</v>
      </c>
      <c r="BT40" s="159" t="n">
        <f aca="false">-(NA_monthly!BT44-NA_monthly!BS44)+PL_monthly!BT35</f>
        <v>0</v>
      </c>
      <c r="BU40" s="159" t="n">
        <f aca="false">-(NA_monthly!BU44-NA_monthly!BT44)+PL_monthly!BU35</f>
        <v>0</v>
      </c>
      <c r="BV40" s="159" t="n">
        <f aca="false">-(NA_monthly!BV44-NA_monthly!BU44)+PL_monthly!BV35</f>
        <v>0</v>
      </c>
      <c r="BW40" s="159" t="n">
        <f aca="false">-(NA_monthly!BW44-NA_monthly!BV44)+PL_monthly!BW35</f>
        <v>0</v>
      </c>
      <c r="BX40" s="159" t="n">
        <f aca="false">-(NA_monthly!BX44-NA_monthly!BW44)+PL_monthly!BX35</f>
        <v>0</v>
      </c>
      <c r="BY40" s="159" t="n">
        <f aca="false">-(NA_monthly!BY44-NA_monthly!BX44)+PL_monthly!BY35</f>
        <v>0</v>
      </c>
      <c r="BZ40" s="159" t="n">
        <f aca="false">-(NA_monthly!BZ44-NA_monthly!BY44)+PL_monthly!BZ35</f>
        <v>0</v>
      </c>
      <c r="CA40" s="159" t="n">
        <f aca="false">-(NA_monthly!CA44-NA_monthly!BZ44)+PL_monthly!CA35</f>
        <v>0</v>
      </c>
      <c r="CB40" s="159" t="n">
        <f aca="false">-(NA_monthly!CB44-NA_monthly!CA44)+PL_monthly!CB35</f>
        <v>0</v>
      </c>
      <c r="CC40" s="159" t="n">
        <f aca="false">-(NA_monthly!CC44-NA_monthly!CB44)+PL_monthly!CC35</f>
        <v>0</v>
      </c>
      <c r="CD40" s="159" t="n">
        <f aca="false">-(NA_monthly!CD44-NA_monthly!CC44)+PL_monthly!CD35</f>
        <v>0</v>
      </c>
      <c r="CE40" s="159" t="n">
        <f aca="false">-(NA_monthly!CE44-NA_monthly!CD44)+PL_monthly!CE35</f>
        <v>0</v>
      </c>
      <c r="CF40" s="159" t="n">
        <f aca="false">-(NA_monthly!CF44-NA_monthly!CE44)+PL_monthly!CF35</f>
        <v>0</v>
      </c>
      <c r="CG40" s="159" t="n">
        <f aca="false">-(NA_monthly!CG44-NA_monthly!CF44)+PL_monthly!CG35</f>
        <v>0</v>
      </c>
      <c r="CH40" s="159" t="n">
        <f aca="false">-(NA_monthly!CH44-NA_monthly!CG44)+PL_monthly!CH35</f>
        <v>0</v>
      </c>
      <c r="CI40" s="159" t="n">
        <f aca="false">-(NA_monthly!CI44-NA_monthly!CH44)+PL_monthly!CI35</f>
        <v>0</v>
      </c>
      <c r="CJ40" s="159" t="n">
        <f aca="false">-(NA_monthly!CJ44-NA_monthly!CI44)+PL_monthly!CJ35</f>
        <v>0</v>
      </c>
      <c r="CK40" s="159" t="n">
        <f aca="false">-(NA_monthly!CK44-NA_monthly!CJ44)+PL_monthly!CK35</f>
        <v>0</v>
      </c>
      <c r="CM40" s="1" t="s">
        <v>567</v>
      </c>
    </row>
    <row r="41" customFormat="false" ht="11.25" hidden="false" customHeight="true" outlineLevel="0" collapsed="false">
      <c r="C41" s="51" t="s">
        <v>568</v>
      </c>
      <c r="D41" s="51" t="s">
        <v>569</v>
      </c>
      <c r="E41" s="137"/>
      <c r="F41" s="137"/>
      <c r="G41" s="159"/>
      <c r="H41" s="159"/>
      <c r="I41" s="159"/>
      <c r="J41" s="159"/>
      <c r="K41" s="159"/>
      <c r="L41" s="159"/>
      <c r="M41" s="159"/>
      <c r="N41" s="159"/>
      <c r="O41" s="159"/>
      <c r="P41" s="159"/>
      <c r="Q41" s="159"/>
      <c r="R41" s="159"/>
      <c r="S41" s="159"/>
      <c r="T41" s="159"/>
      <c r="U41" s="159"/>
      <c r="V41" s="159"/>
      <c r="W41" s="159"/>
      <c r="X41" s="159"/>
      <c r="Y41" s="159"/>
      <c r="Z41" s="159"/>
      <c r="AA41" s="159"/>
      <c r="AB41" s="159"/>
      <c r="AC41" s="159"/>
      <c r="AD41" s="159"/>
      <c r="AE41" s="159"/>
      <c r="AF41" s="159"/>
      <c r="AG41" s="159"/>
      <c r="AH41" s="159"/>
      <c r="AI41" s="159"/>
      <c r="AJ41" s="159"/>
      <c r="AK41" s="159"/>
      <c r="AL41" s="159"/>
      <c r="AM41" s="159"/>
      <c r="AN41" s="159"/>
      <c r="AO41" s="159"/>
      <c r="AP41" s="159"/>
      <c r="AQ41" s="159"/>
      <c r="AR41" s="159"/>
      <c r="AS41" s="159"/>
      <c r="AT41" s="159"/>
      <c r="AU41" s="159"/>
      <c r="AV41" s="159"/>
      <c r="AW41" s="159"/>
      <c r="AX41" s="159"/>
      <c r="AY41" s="159"/>
      <c r="AZ41" s="159"/>
      <c r="BA41" s="159"/>
      <c r="BB41" s="159"/>
      <c r="BC41" s="159"/>
      <c r="BD41" s="159"/>
      <c r="BE41" s="159"/>
      <c r="BF41" s="159"/>
      <c r="BG41" s="159"/>
      <c r="BH41" s="159"/>
      <c r="BI41" s="159"/>
      <c r="BJ41" s="159"/>
      <c r="BK41" s="159"/>
      <c r="BL41" s="159"/>
      <c r="BM41" s="159"/>
      <c r="BN41" s="159"/>
      <c r="BO41" s="159"/>
      <c r="BP41" s="159"/>
      <c r="BQ41" s="159"/>
      <c r="BR41" s="159"/>
      <c r="BS41" s="159"/>
      <c r="BT41" s="159"/>
      <c r="BU41" s="159"/>
      <c r="BV41" s="159"/>
      <c r="BW41" s="159"/>
      <c r="BX41" s="159"/>
      <c r="BY41" s="159"/>
      <c r="BZ41" s="159"/>
      <c r="CA41" s="159"/>
      <c r="CB41" s="159"/>
      <c r="CC41" s="159"/>
      <c r="CD41" s="159"/>
      <c r="CE41" s="159"/>
      <c r="CF41" s="159"/>
      <c r="CG41" s="159"/>
      <c r="CH41" s="159"/>
      <c r="CI41" s="159"/>
      <c r="CJ41" s="159"/>
      <c r="CK41" s="159"/>
      <c r="CM41" s="203" t="s">
        <v>570</v>
      </c>
    </row>
    <row r="42" customFormat="false" ht="11.25" hidden="false" customHeight="true" outlineLevel="2" collapsed="false">
      <c r="C42" s="51" t="s">
        <v>234</v>
      </c>
      <c r="D42" s="51" t="s">
        <v>234</v>
      </c>
      <c r="E42" s="137"/>
      <c r="F42" s="137"/>
      <c r="G42" s="159"/>
      <c r="H42" s="159"/>
      <c r="I42" s="159"/>
      <c r="J42" s="159"/>
      <c r="K42" s="159"/>
      <c r="L42" s="159"/>
      <c r="M42" s="159"/>
      <c r="N42" s="159"/>
      <c r="O42" s="159"/>
      <c r="P42" s="159"/>
      <c r="Q42" s="159"/>
      <c r="R42" s="159"/>
      <c r="S42" s="159"/>
      <c r="T42" s="159"/>
      <c r="U42" s="159"/>
      <c r="V42" s="159"/>
      <c r="W42" s="159"/>
      <c r="X42" s="159"/>
      <c r="Y42" s="159"/>
      <c r="Z42" s="159"/>
      <c r="AA42" s="159"/>
      <c r="AB42" s="159"/>
      <c r="AC42" s="159"/>
      <c r="AD42" s="159"/>
      <c r="AE42" s="159"/>
      <c r="AF42" s="159"/>
      <c r="AG42" s="159"/>
      <c r="AH42" s="159"/>
      <c r="AI42" s="159"/>
      <c r="AJ42" s="159"/>
      <c r="AK42" s="159"/>
      <c r="AL42" s="159"/>
      <c r="AM42" s="159"/>
      <c r="AN42" s="159"/>
      <c r="AO42" s="159"/>
      <c r="AP42" s="159"/>
      <c r="AQ42" s="159"/>
      <c r="AR42" s="159"/>
      <c r="AS42" s="159"/>
      <c r="AT42" s="159"/>
      <c r="AU42" s="159"/>
      <c r="AV42" s="159"/>
      <c r="AW42" s="159"/>
      <c r="AX42" s="159"/>
      <c r="AY42" s="159"/>
      <c r="AZ42" s="159"/>
      <c r="BA42" s="159"/>
      <c r="BB42" s="159"/>
      <c r="BC42" s="159"/>
      <c r="BD42" s="159"/>
      <c r="BE42" s="159"/>
      <c r="BF42" s="159"/>
      <c r="BG42" s="159"/>
      <c r="BH42" s="159"/>
      <c r="BI42" s="159"/>
      <c r="BJ42" s="159"/>
      <c r="BK42" s="159"/>
      <c r="BL42" s="159"/>
      <c r="BM42" s="159"/>
      <c r="BN42" s="159"/>
      <c r="BO42" s="159"/>
      <c r="BP42" s="159"/>
      <c r="BQ42" s="159"/>
      <c r="BR42" s="159"/>
      <c r="BS42" s="159"/>
      <c r="BT42" s="159"/>
      <c r="BU42" s="159"/>
      <c r="BV42" s="159"/>
      <c r="BW42" s="159"/>
      <c r="BX42" s="159"/>
      <c r="BY42" s="159"/>
      <c r="BZ42" s="159"/>
      <c r="CA42" s="159"/>
      <c r="CB42" s="159"/>
      <c r="CC42" s="159"/>
      <c r="CD42" s="159"/>
      <c r="CE42" s="159"/>
      <c r="CF42" s="159"/>
      <c r="CG42" s="159"/>
      <c r="CH42" s="159"/>
      <c r="CI42" s="159"/>
      <c r="CJ42" s="159"/>
      <c r="CK42" s="159"/>
      <c r="CM42" s="203"/>
    </row>
    <row r="43" customFormat="false" ht="11.25" hidden="false" customHeight="true" outlineLevel="2" collapsed="false">
      <c r="C43" s="51" t="s">
        <v>235</v>
      </c>
      <c r="D43" s="51" t="s">
        <v>235</v>
      </c>
      <c r="E43" s="137"/>
      <c r="F43" s="137"/>
      <c r="G43" s="159"/>
      <c r="H43" s="159"/>
      <c r="I43" s="159"/>
      <c r="J43" s="159"/>
      <c r="K43" s="159"/>
      <c r="L43" s="159"/>
      <c r="M43" s="159"/>
      <c r="N43" s="159"/>
      <c r="O43" s="159"/>
      <c r="P43" s="159"/>
      <c r="Q43" s="159"/>
      <c r="R43" s="159"/>
      <c r="S43" s="159"/>
      <c r="T43" s="159"/>
      <c r="U43" s="159"/>
      <c r="V43" s="159"/>
      <c r="W43" s="159"/>
      <c r="X43" s="159"/>
      <c r="Y43" s="159"/>
      <c r="Z43" s="159"/>
      <c r="AA43" s="159"/>
      <c r="AB43" s="159"/>
      <c r="AC43" s="159"/>
      <c r="AD43" s="159"/>
      <c r="AE43" s="159"/>
      <c r="AF43" s="159"/>
      <c r="AG43" s="159"/>
      <c r="AH43" s="159"/>
      <c r="AI43" s="159"/>
      <c r="AJ43" s="159"/>
      <c r="AK43" s="159"/>
      <c r="AL43" s="159"/>
      <c r="AM43" s="159"/>
      <c r="AN43" s="159"/>
      <c r="AO43" s="159"/>
      <c r="AP43" s="159"/>
      <c r="AQ43" s="159"/>
      <c r="AR43" s="159"/>
      <c r="AS43" s="159"/>
      <c r="AT43" s="159"/>
      <c r="AU43" s="159"/>
      <c r="AV43" s="159"/>
      <c r="AW43" s="159"/>
      <c r="AX43" s="159"/>
      <c r="AY43" s="159"/>
      <c r="AZ43" s="159"/>
      <c r="BA43" s="159"/>
      <c r="BB43" s="159"/>
      <c r="BC43" s="159"/>
      <c r="BD43" s="159"/>
      <c r="BE43" s="159"/>
      <c r="BF43" s="159"/>
      <c r="BG43" s="159"/>
      <c r="BH43" s="159"/>
      <c r="BI43" s="159"/>
      <c r="BJ43" s="159"/>
      <c r="BK43" s="159"/>
      <c r="BL43" s="159"/>
      <c r="BM43" s="159"/>
      <c r="BN43" s="159"/>
      <c r="BO43" s="159"/>
      <c r="BP43" s="159"/>
      <c r="BQ43" s="159"/>
      <c r="BR43" s="159"/>
      <c r="BS43" s="159"/>
      <c r="BT43" s="159"/>
      <c r="BU43" s="159"/>
      <c r="BV43" s="159"/>
      <c r="BW43" s="159"/>
      <c r="BX43" s="159"/>
      <c r="BY43" s="159"/>
      <c r="BZ43" s="159"/>
      <c r="CA43" s="159"/>
      <c r="CB43" s="159"/>
      <c r="CC43" s="159"/>
      <c r="CD43" s="159"/>
      <c r="CE43" s="159"/>
      <c r="CF43" s="159"/>
      <c r="CG43" s="159"/>
      <c r="CH43" s="159"/>
      <c r="CI43" s="159"/>
      <c r="CJ43" s="159"/>
      <c r="CK43" s="159"/>
      <c r="CM43" s="203"/>
    </row>
    <row r="44" customFormat="false" ht="11.25" hidden="false" customHeight="true" outlineLevel="2" collapsed="false">
      <c r="C44" s="54" t="s">
        <v>236</v>
      </c>
      <c r="D44" s="54" t="s">
        <v>236</v>
      </c>
      <c r="E44" s="189"/>
      <c r="F44" s="189"/>
      <c r="G44" s="162"/>
      <c r="H44" s="162"/>
      <c r="I44" s="162"/>
      <c r="J44" s="162"/>
      <c r="K44" s="162"/>
      <c r="L44" s="162"/>
      <c r="M44" s="162"/>
      <c r="N44" s="162"/>
      <c r="O44" s="162"/>
      <c r="P44" s="162"/>
      <c r="Q44" s="162"/>
      <c r="R44" s="162"/>
      <c r="S44" s="162"/>
      <c r="T44" s="162"/>
      <c r="U44" s="162"/>
      <c r="V44" s="162"/>
      <c r="W44" s="162"/>
      <c r="X44" s="162"/>
      <c r="Y44" s="162"/>
      <c r="Z44" s="162"/>
      <c r="AA44" s="162"/>
      <c r="AB44" s="162"/>
      <c r="AC44" s="162"/>
      <c r="AD44" s="162"/>
      <c r="AE44" s="162"/>
      <c r="AF44" s="162"/>
      <c r="AG44" s="162"/>
      <c r="AH44" s="162"/>
      <c r="AI44" s="162"/>
      <c r="AJ44" s="162"/>
      <c r="AK44" s="162"/>
      <c r="AL44" s="162"/>
      <c r="AM44" s="162"/>
      <c r="AN44" s="162"/>
      <c r="AO44" s="162"/>
      <c r="AP44" s="162"/>
      <c r="AQ44" s="162"/>
      <c r="AR44" s="162"/>
      <c r="AS44" s="162"/>
      <c r="AT44" s="162"/>
      <c r="AU44" s="162"/>
      <c r="AV44" s="162"/>
      <c r="AW44" s="162"/>
      <c r="AX44" s="162"/>
      <c r="AY44" s="162"/>
      <c r="AZ44" s="162"/>
      <c r="BA44" s="162"/>
      <c r="BB44" s="162"/>
      <c r="BC44" s="162"/>
      <c r="BD44" s="162"/>
      <c r="BE44" s="162"/>
      <c r="BF44" s="162"/>
      <c r="BG44" s="162"/>
      <c r="BH44" s="162"/>
      <c r="BI44" s="162"/>
      <c r="BJ44" s="162"/>
      <c r="BK44" s="162"/>
      <c r="BL44" s="162"/>
      <c r="BM44" s="162"/>
      <c r="BN44" s="162"/>
      <c r="BO44" s="162"/>
      <c r="BP44" s="162"/>
      <c r="BQ44" s="162"/>
      <c r="BR44" s="162"/>
      <c r="BS44" s="162"/>
      <c r="BT44" s="162"/>
      <c r="BU44" s="162"/>
      <c r="BV44" s="162"/>
      <c r="BW44" s="162"/>
      <c r="BX44" s="162"/>
      <c r="BY44" s="162"/>
      <c r="BZ44" s="162"/>
      <c r="CA44" s="162"/>
      <c r="CB44" s="162"/>
      <c r="CC44" s="162"/>
      <c r="CD44" s="162"/>
      <c r="CE44" s="162"/>
      <c r="CF44" s="162"/>
      <c r="CG44" s="162"/>
      <c r="CH44" s="162"/>
      <c r="CI44" s="162"/>
      <c r="CJ44" s="162"/>
      <c r="CK44" s="162"/>
      <c r="CM44" s="203"/>
    </row>
    <row r="45" customFormat="false" ht="11.25" hidden="false" customHeight="true" outlineLevel="0" collapsed="false">
      <c r="C45" s="165" t="s">
        <v>571</v>
      </c>
      <c r="D45" s="165" t="s">
        <v>572</v>
      </c>
      <c r="E45" s="198"/>
      <c r="F45" s="198" t="n">
        <f aca="false">SUM(F40:F44)</f>
        <v>0</v>
      </c>
      <c r="G45" s="165" t="n">
        <f aca="false">SUM(G40:G44)</f>
        <v>0</v>
      </c>
      <c r="H45" s="165" t="n">
        <f aca="false">SUM(H40:H44)</f>
        <v>0</v>
      </c>
      <c r="I45" s="165" t="n">
        <f aca="false">SUM(I40:I44)</f>
        <v>0</v>
      </c>
      <c r="J45" s="165" t="n">
        <f aca="false">SUM(J40:J44)</f>
        <v>0</v>
      </c>
      <c r="K45" s="165" t="n">
        <f aca="false">SUM(K40:K44)</f>
        <v>0</v>
      </c>
      <c r="L45" s="165" t="n">
        <f aca="false">SUM(L40:L44)</f>
        <v>0</v>
      </c>
      <c r="M45" s="165" t="n">
        <f aca="false">SUM(M40:M44)</f>
        <v>0</v>
      </c>
      <c r="N45" s="165" t="n">
        <f aca="false">SUM(N40:N44)</f>
        <v>0</v>
      </c>
      <c r="O45" s="165" t="n">
        <f aca="false">SUM(O40:O44)</f>
        <v>0</v>
      </c>
      <c r="P45" s="165" t="n">
        <f aca="false">SUM(P40:P44)</f>
        <v>0</v>
      </c>
      <c r="Q45" s="165" t="n">
        <f aca="false">SUM(Q40:Q44)</f>
        <v>0</v>
      </c>
      <c r="R45" s="165" t="n">
        <f aca="false">SUM(R40:R44)</f>
        <v>0</v>
      </c>
      <c r="S45" s="165" t="n">
        <f aca="false">SUM(S40:S44)</f>
        <v>0</v>
      </c>
      <c r="T45" s="165" t="n">
        <f aca="false">SUM(T40:T44)</f>
        <v>0</v>
      </c>
      <c r="U45" s="165" t="n">
        <f aca="false">SUM(U40:U44)</f>
        <v>0</v>
      </c>
      <c r="V45" s="165" t="n">
        <f aca="false">SUM(V40:V44)</f>
        <v>0</v>
      </c>
      <c r="W45" s="165" t="n">
        <f aca="false">SUM(W40:W44)</f>
        <v>0</v>
      </c>
      <c r="X45" s="165" t="n">
        <f aca="false">SUM(X40:X44)</f>
        <v>0</v>
      </c>
      <c r="Y45" s="165" t="n">
        <f aca="false">SUM(Y40:Y44)</f>
        <v>0</v>
      </c>
      <c r="Z45" s="165" t="n">
        <f aca="false">SUM(Z40:Z44)</f>
        <v>0</v>
      </c>
      <c r="AA45" s="165" t="n">
        <f aca="false">SUM(AA40:AA44)</f>
        <v>0</v>
      </c>
      <c r="AB45" s="165" t="n">
        <f aca="false">SUM(AB40:AB44)</f>
        <v>0</v>
      </c>
      <c r="AC45" s="165" t="n">
        <f aca="false">SUM(AC40:AC44)</f>
        <v>0</v>
      </c>
      <c r="AD45" s="165" t="n">
        <f aca="false">SUM(AD40:AD44)</f>
        <v>0</v>
      </c>
      <c r="AE45" s="165" t="n">
        <f aca="false">SUM(AE40:AE44)</f>
        <v>0</v>
      </c>
      <c r="AF45" s="165" t="n">
        <f aca="false">SUM(AF40:AF44)</f>
        <v>0</v>
      </c>
      <c r="AG45" s="165" t="n">
        <f aca="false">SUM(AG40:AG44)</f>
        <v>0</v>
      </c>
      <c r="AH45" s="165" t="n">
        <f aca="false">SUM(AH40:AH44)</f>
        <v>0</v>
      </c>
      <c r="AI45" s="165" t="n">
        <f aca="false">SUM(AI40:AI44)</f>
        <v>0</v>
      </c>
      <c r="AJ45" s="165" t="n">
        <f aca="false">SUM(AJ40:AJ44)</f>
        <v>0</v>
      </c>
      <c r="AK45" s="165" t="n">
        <f aca="false">SUM(AK40:AK44)</f>
        <v>0</v>
      </c>
      <c r="AL45" s="165" t="n">
        <f aca="false">SUM(AL40:AL44)</f>
        <v>0</v>
      </c>
      <c r="AM45" s="165" t="n">
        <f aca="false">SUM(AM40:AM44)</f>
        <v>0</v>
      </c>
      <c r="AN45" s="165" t="n">
        <f aca="false">SUM(AN40:AN44)</f>
        <v>0</v>
      </c>
      <c r="AO45" s="165" t="n">
        <f aca="false">SUM(AO40:AO44)</f>
        <v>0</v>
      </c>
      <c r="AP45" s="165" t="n">
        <f aca="false">SUM(AP40:AP44)</f>
        <v>0</v>
      </c>
      <c r="AQ45" s="165" t="n">
        <f aca="false">SUM(AQ40:AQ44)</f>
        <v>0</v>
      </c>
      <c r="AR45" s="165" t="n">
        <f aca="false">SUM(AR40:AR44)</f>
        <v>0</v>
      </c>
      <c r="AS45" s="165" t="n">
        <f aca="false">SUM(AS40:AS44)</f>
        <v>0</v>
      </c>
      <c r="AT45" s="165" t="n">
        <f aca="false">SUM(AT40:AT44)</f>
        <v>0</v>
      </c>
      <c r="AU45" s="165" t="n">
        <f aca="false">SUM(AU40:AU44)</f>
        <v>0</v>
      </c>
      <c r="AV45" s="165" t="n">
        <f aca="false">SUM(AV40:AV44)</f>
        <v>0</v>
      </c>
      <c r="AW45" s="165" t="n">
        <f aca="false">SUM(AW40:AW44)</f>
        <v>0</v>
      </c>
      <c r="AX45" s="165" t="n">
        <f aca="false">SUM(AX40:AX44)</f>
        <v>0</v>
      </c>
      <c r="AY45" s="165" t="n">
        <f aca="false">SUM(AY40:AY44)</f>
        <v>0</v>
      </c>
      <c r="AZ45" s="165" t="n">
        <f aca="false">SUM(AZ40:AZ44)</f>
        <v>0</v>
      </c>
      <c r="BA45" s="165" t="n">
        <f aca="false">SUM(BA40:BA44)</f>
        <v>0</v>
      </c>
      <c r="BB45" s="165" t="n">
        <f aca="false">SUM(BB40:BB44)</f>
        <v>0</v>
      </c>
      <c r="BC45" s="165" t="n">
        <f aca="false">SUM(BC40:BC44)</f>
        <v>0</v>
      </c>
      <c r="BD45" s="165" t="n">
        <f aca="false">SUM(BD40:BD44)</f>
        <v>0</v>
      </c>
      <c r="BE45" s="165" t="n">
        <f aca="false">SUM(BE40:BE44)</f>
        <v>0</v>
      </c>
      <c r="BF45" s="165" t="n">
        <f aca="false">SUM(BF40:BF44)</f>
        <v>0</v>
      </c>
      <c r="BG45" s="165" t="n">
        <f aca="false">SUM(BG40:BG44)</f>
        <v>0</v>
      </c>
      <c r="BH45" s="165" t="n">
        <f aca="false">SUM(BH40:BH44)</f>
        <v>0</v>
      </c>
      <c r="BI45" s="165" t="n">
        <f aca="false">SUM(BI40:BI44)</f>
        <v>0</v>
      </c>
      <c r="BJ45" s="165" t="n">
        <f aca="false">SUM(BJ40:BJ44)</f>
        <v>0</v>
      </c>
      <c r="BK45" s="165" t="n">
        <f aca="false">SUM(BK40:BK44)</f>
        <v>0</v>
      </c>
      <c r="BL45" s="165" t="n">
        <f aca="false">SUM(BL40:BL44)</f>
        <v>0</v>
      </c>
      <c r="BM45" s="165" t="n">
        <f aca="false">SUM(BM40:BM44)</f>
        <v>0</v>
      </c>
      <c r="BN45" s="165" t="n">
        <f aca="false">SUM(BN40:BN44)</f>
        <v>0</v>
      </c>
      <c r="BO45" s="165" t="n">
        <f aca="false">SUM(BO40:BO44)</f>
        <v>0</v>
      </c>
      <c r="BP45" s="165" t="n">
        <f aca="false">SUM(BP40:BP44)</f>
        <v>0</v>
      </c>
      <c r="BQ45" s="165" t="n">
        <f aca="false">SUM(BQ40:BQ44)</f>
        <v>0</v>
      </c>
      <c r="BR45" s="165" t="n">
        <f aca="false">SUM(BR40:BR44)</f>
        <v>0</v>
      </c>
      <c r="BS45" s="165" t="n">
        <f aca="false">SUM(BS40:BS44)</f>
        <v>0</v>
      </c>
      <c r="BT45" s="165" t="n">
        <f aca="false">SUM(BT40:BT44)</f>
        <v>0</v>
      </c>
      <c r="BU45" s="165" t="n">
        <f aca="false">SUM(BU40:BU44)</f>
        <v>0</v>
      </c>
      <c r="BV45" s="165" t="n">
        <f aca="false">SUM(BV40:BV44)</f>
        <v>0</v>
      </c>
      <c r="BW45" s="165" t="n">
        <f aca="false">SUM(BW40:BW44)</f>
        <v>0</v>
      </c>
      <c r="BX45" s="165" t="n">
        <f aca="false">SUM(BX40:BX44)</f>
        <v>0</v>
      </c>
      <c r="BY45" s="165" t="n">
        <f aca="false">SUM(BY40:BY44)</f>
        <v>0</v>
      </c>
      <c r="BZ45" s="165" t="n">
        <f aca="false">SUM(BZ40:BZ44)</f>
        <v>0</v>
      </c>
      <c r="CA45" s="165" t="n">
        <f aca="false">SUM(CA40:CA44)</f>
        <v>0</v>
      </c>
      <c r="CB45" s="165" t="n">
        <f aca="false">SUM(CB40:CB44)</f>
        <v>0</v>
      </c>
      <c r="CC45" s="165" t="n">
        <f aca="false">SUM(CC40:CC44)</f>
        <v>0</v>
      </c>
      <c r="CD45" s="165" t="n">
        <f aca="false">SUM(CD40:CD44)</f>
        <v>0</v>
      </c>
      <c r="CE45" s="165" t="n">
        <f aca="false">SUM(CE40:CE44)</f>
        <v>0</v>
      </c>
      <c r="CF45" s="165" t="n">
        <f aca="false">SUM(CF40:CF44)</f>
        <v>0</v>
      </c>
      <c r="CG45" s="165" t="n">
        <f aca="false">SUM(CG40:CG44)</f>
        <v>0</v>
      </c>
      <c r="CH45" s="165" t="n">
        <f aca="false">SUM(CH40:CH44)</f>
        <v>0</v>
      </c>
      <c r="CI45" s="165" t="n">
        <f aca="false">SUM(CI40:CI44)</f>
        <v>0</v>
      </c>
      <c r="CJ45" s="165" t="n">
        <f aca="false">SUM(CJ40:CJ44)</f>
        <v>0</v>
      </c>
      <c r="CK45" s="165" t="n">
        <f aca="false">SUM(CK40:CK44)</f>
        <v>0</v>
      </c>
    </row>
    <row r="46" customFormat="false" ht="4.5" hidden="false" customHeight="true" outlineLevel="0" collapsed="false">
      <c r="C46" s="51"/>
      <c r="D46" s="51"/>
      <c r="E46" s="137"/>
      <c r="F46" s="137"/>
      <c r="G46" s="159"/>
      <c r="H46" s="159"/>
      <c r="I46" s="159"/>
      <c r="J46" s="159"/>
      <c r="K46" s="159"/>
      <c r="L46" s="159"/>
      <c r="M46" s="159"/>
      <c r="N46" s="159"/>
      <c r="O46" s="159"/>
      <c r="P46" s="159"/>
      <c r="Q46" s="159"/>
      <c r="R46" s="159"/>
      <c r="S46" s="159"/>
      <c r="T46" s="159"/>
      <c r="U46" s="159"/>
      <c r="V46" s="159"/>
      <c r="W46" s="159"/>
      <c r="X46" s="159"/>
      <c r="Y46" s="159"/>
      <c r="Z46" s="159"/>
      <c r="AA46" s="159"/>
      <c r="AB46" s="159"/>
      <c r="AC46" s="159"/>
      <c r="AD46" s="159"/>
      <c r="AE46" s="159"/>
      <c r="AF46" s="159"/>
      <c r="AG46" s="159"/>
      <c r="AH46" s="159"/>
      <c r="AI46" s="159"/>
      <c r="AJ46" s="159"/>
      <c r="AK46" s="159"/>
      <c r="AL46" s="159"/>
      <c r="AM46" s="159"/>
      <c r="AN46" s="159"/>
      <c r="AO46" s="159"/>
      <c r="AP46" s="159"/>
      <c r="AQ46" s="159"/>
      <c r="AR46" s="159"/>
      <c r="AS46" s="159"/>
      <c r="AT46" s="159"/>
      <c r="AU46" s="159"/>
      <c r="AV46" s="159"/>
      <c r="AW46" s="159"/>
      <c r="AX46" s="159"/>
      <c r="AY46" s="159"/>
      <c r="AZ46" s="159"/>
      <c r="BA46" s="159"/>
      <c r="BB46" s="159"/>
      <c r="BC46" s="159"/>
      <c r="BD46" s="159"/>
      <c r="BE46" s="159"/>
      <c r="BF46" s="159"/>
      <c r="BG46" s="159"/>
      <c r="BH46" s="159"/>
      <c r="BI46" s="159"/>
      <c r="BJ46" s="159"/>
      <c r="BK46" s="159"/>
      <c r="BL46" s="159"/>
      <c r="BM46" s="159"/>
      <c r="BN46" s="159"/>
      <c r="BO46" s="159"/>
      <c r="BP46" s="159"/>
      <c r="BQ46" s="159"/>
      <c r="BR46" s="159"/>
      <c r="BS46" s="159"/>
      <c r="BT46" s="159"/>
      <c r="BU46" s="159"/>
      <c r="BV46" s="159"/>
      <c r="BW46" s="159"/>
      <c r="BX46" s="159"/>
      <c r="BY46" s="159"/>
      <c r="BZ46" s="159"/>
      <c r="CA46" s="159"/>
      <c r="CB46" s="159"/>
      <c r="CC46" s="159"/>
      <c r="CD46" s="159"/>
      <c r="CE46" s="159"/>
      <c r="CF46" s="159"/>
      <c r="CG46" s="159"/>
      <c r="CH46" s="159"/>
      <c r="CI46" s="159"/>
      <c r="CJ46" s="159"/>
      <c r="CK46" s="159"/>
    </row>
    <row r="47" customFormat="false" ht="11.25" hidden="false" customHeight="true" outlineLevel="0" collapsed="false">
      <c r="C47" s="165" t="s">
        <v>573</v>
      </c>
      <c r="D47" s="165" t="s">
        <v>573</v>
      </c>
      <c r="E47" s="198"/>
      <c r="F47" s="198" t="n">
        <f aca="false">F38+F45</f>
        <v>0</v>
      </c>
      <c r="G47" s="165" t="n">
        <f aca="false">G38+G45</f>
        <v>0</v>
      </c>
      <c r="H47" s="165" t="n">
        <f aca="false">H38+H45</f>
        <v>0</v>
      </c>
      <c r="I47" s="165" t="n">
        <f aca="false">I38+I45</f>
        <v>0</v>
      </c>
      <c r="J47" s="165" t="n">
        <f aca="false">J38+J45</f>
        <v>0</v>
      </c>
      <c r="K47" s="165" t="n">
        <f aca="false">K38+K45</f>
        <v>0</v>
      </c>
      <c r="L47" s="165" t="n">
        <f aca="false">L38+L45</f>
        <v>0</v>
      </c>
      <c r="M47" s="165" t="n">
        <f aca="false">M38+M45</f>
        <v>0</v>
      </c>
      <c r="N47" s="165" t="n">
        <f aca="false">N38+N45</f>
        <v>0</v>
      </c>
      <c r="O47" s="165" t="n">
        <f aca="false">O38+O45</f>
        <v>0</v>
      </c>
      <c r="P47" s="165" t="n">
        <f aca="false">P38+P45</f>
        <v>0</v>
      </c>
      <c r="Q47" s="165" t="n">
        <f aca="false">Q38+Q45</f>
        <v>0</v>
      </c>
      <c r="R47" s="165" t="n">
        <f aca="false">R38+R45</f>
        <v>0</v>
      </c>
      <c r="S47" s="165" t="n">
        <f aca="false">S38+S45</f>
        <v>0</v>
      </c>
      <c r="T47" s="165" t="n">
        <f aca="false">T38+T45</f>
        <v>0</v>
      </c>
      <c r="U47" s="165" t="n">
        <f aca="false">U38+U45</f>
        <v>0</v>
      </c>
      <c r="V47" s="165" t="n">
        <f aca="false">V38+V45</f>
        <v>0</v>
      </c>
      <c r="W47" s="165" t="n">
        <f aca="false">W38+W45</f>
        <v>0</v>
      </c>
      <c r="X47" s="165" t="n">
        <f aca="false">X38+X45</f>
        <v>0</v>
      </c>
      <c r="Y47" s="165" t="n">
        <f aca="false">Y38+Y45</f>
        <v>0</v>
      </c>
      <c r="Z47" s="165" t="n">
        <f aca="false">Z38+Z45</f>
        <v>0</v>
      </c>
      <c r="AA47" s="165" t="n">
        <f aca="false">AA38+AA45</f>
        <v>0</v>
      </c>
      <c r="AB47" s="165" t="n">
        <f aca="false">AB38+AB45</f>
        <v>0</v>
      </c>
      <c r="AC47" s="165" t="n">
        <f aca="false">AC38+AC45</f>
        <v>0</v>
      </c>
      <c r="AD47" s="165" t="n">
        <f aca="false">AD38+AD45</f>
        <v>0</v>
      </c>
      <c r="AE47" s="165" t="n">
        <f aca="false">AE38+AE45</f>
        <v>0</v>
      </c>
      <c r="AF47" s="165" t="n">
        <f aca="false">AF38+AF45</f>
        <v>0</v>
      </c>
      <c r="AG47" s="165" t="n">
        <f aca="false">AG38+AG45</f>
        <v>0</v>
      </c>
      <c r="AH47" s="165" t="n">
        <f aca="false">AH38+AH45</f>
        <v>0</v>
      </c>
      <c r="AI47" s="165" t="n">
        <f aca="false">AI38+AI45</f>
        <v>0</v>
      </c>
      <c r="AJ47" s="165" t="n">
        <f aca="false">AJ38+AJ45</f>
        <v>0</v>
      </c>
      <c r="AK47" s="165" t="n">
        <f aca="false">AK38+AK45</f>
        <v>0</v>
      </c>
      <c r="AL47" s="165" t="n">
        <f aca="false">AL38+AL45</f>
        <v>0</v>
      </c>
      <c r="AM47" s="165" t="n">
        <f aca="false">AM38+AM45</f>
        <v>0</v>
      </c>
      <c r="AN47" s="165" t="n">
        <f aca="false">AN38+AN45</f>
        <v>0</v>
      </c>
      <c r="AO47" s="165" t="n">
        <f aca="false">AO38+AO45</f>
        <v>0</v>
      </c>
      <c r="AP47" s="165" t="n">
        <f aca="false">AP38+AP45</f>
        <v>0</v>
      </c>
      <c r="AQ47" s="165" t="n">
        <f aca="false">AQ38+AQ45</f>
        <v>0</v>
      </c>
      <c r="AR47" s="165" t="n">
        <f aca="false">AR38+AR45</f>
        <v>0</v>
      </c>
      <c r="AS47" s="165" t="n">
        <f aca="false">AS38+AS45</f>
        <v>0</v>
      </c>
      <c r="AT47" s="165" t="n">
        <f aca="false">AT38+AT45</f>
        <v>0</v>
      </c>
      <c r="AU47" s="165" t="n">
        <f aca="false">AU38+AU45</f>
        <v>0</v>
      </c>
      <c r="AV47" s="165" t="n">
        <f aca="false">AV38+AV45</f>
        <v>0</v>
      </c>
      <c r="AW47" s="165" t="n">
        <f aca="false">AW38+AW45</f>
        <v>0</v>
      </c>
      <c r="AX47" s="165" t="n">
        <f aca="false">AX38+AX45</f>
        <v>0</v>
      </c>
      <c r="AY47" s="165" t="n">
        <f aca="false">AY38+AY45</f>
        <v>0</v>
      </c>
      <c r="AZ47" s="165" t="n">
        <f aca="false">AZ38+AZ45</f>
        <v>0</v>
      </c>
      <c r="BA47" s="165" t="n">
        <f aca="false">BA38+BA45</f>
        <v>0</v>
      </c>
      <c r="BB47" s="165" t="n">
        <f aca="false">BB38+BB45</f>
        <v>0</v>
      </c>
      <c r="BC47" s="165" t="n">
        <f aca="false">BC38+BC45</f>
        <v>0</v>
      </c>
      <c r="BD47" s="165" t="n">
        <f aca="false">BD38+BD45</f>
        <v>0</v>
      </c>
      <c r="BE47" s="165" t="n">
        <f aca="false">BE38+BE45</f>
        <v>0</v>
      </c>
      <c r="BF47" s="165" t="n">
        <f aca="false">BF38+BF45</f>
        <v>0</v>
      </c>
      <c r="BG47" s="165" t="n">
        <f aca="false">BG38+BG45</f>
        <v>0</v>
      </c>
      <c r="BH47" s="165" t="n">
        <f aca="false">BH38+BH45</f>
        <v>0</v>
      </c>
      <c r="BI47" s="165" t="n">
        <f aca="false">BI38+BI45</f>
        <v>0</v>
      </c>
      <c r="BJ47" s="165" t="n">
        <f aca="false">BJ38+BJ45</f>
        <v>0</v>
      </c>
      <c r="BK47" s="165" t="n">
        <f aca="false">BK38+BK45</f>
        <v>0</v>
      </c>
      <c r="BL47" s="165" t="n">
        <f aca="false">BL38+BL45</f>
        <v>0</v>
      </c>
      <c r="BM47" s="165" t="n">
        <f aca="false">BM38+BM45</f>
        <v>0</v>
      </c>
      <c r="BN47" s="165" t="n">
        <f aca="false">BN38+BN45</f>
        <v>0</v>
      </c>
      <c r="BO47" s="165" t="n">
        <f aca="false">BO38+BO45</f>
        <v>0</v>
      </c>
      <c r="BP47" s="165" t="n">
        <f aca="false">BP38+BP45</f>
        <v>0</v>
      </c>
      <c r="BQ47" s="165" t="n">
        <f aca="false">BQ38+BQ45</f>
        <v>0</v>
      </c>
      <c r="BR47" s="165" t="n">
        <f aca="false">BR38+BR45</f>
        <v>0</v>
      </c>
      <c r="BS47" s="165" t="n">
        <f aca="false">BS38+BS45</f>
        <v>0</v>
      </c>
      <c r="BT47" s="165" t="n">
        <f aca="false">BT38+BT45</f>
        <v>0</v>
      </c>
      <c r="BU47" s="165" t="n">
        <f aca="false">BU38+BU45</f>
        <v>0</v>
      </c>
      <c r="BV47" s="165" t="n">
        <f aca="false">BV38+BV45</f>
        <v>0</v>
      </c>
      <c r="BW47" s="165" t="n">
        <f aca="false">BW38+BW45</f>
        <v>0</v>
      </c>
      <c r="BX47" s="165" t="n">
        <f aca="false">BX38+BX45</f>
        <v>0</v>
      </c>
      <c r="BY47" s="165" t="n">
        <f aca="false">BY38+BY45</f>
        <v>0</v>
      </c>
      <c r="BZ47" s="165" t="n">
        <f aca="false">BZ38+BZ45</f>
        <v>0</v>
      </c>
      <c r="CA47" s="165" t="n">
        <f aca="false">CA38+CA45</f>
        <v>0</v>
      </c>
      <c r="CB47" s="165" t="n">
        <f aca="false">CB38+CB45</f>
        <v>0</v>
      </c>
      <c r="CC47" s="165" t="n">
        <f aca="false">CC38+CC45</f>
        <v>0</v>
      </c>
      <c r="CD47" s="165" t="n">
        <f aca="false">CD38+CD45</f>
        <v>0</v>
      </c>
      <c r="CE47" s="165" t="n">
        <f aca="false">CE38+CE45</f>
        <v>0</v>
      </c>
      <c r="CF47" s="165" t="n">
        <f aca="false">CF38+CF45</f>
        <v>0</v>
      </c>
      <c r="CG47" s="165" t="n">
        <f aca="false">CG38+CG45</f>
        <v>0</v>
      </c>
      <c r="CH47" s="165" t="n">
        <f aca="false">CH38+CH45</f>
        <v>0</v>
      </c>
      <c r="CI47" s="165" t="n">
        <f aca="false">CI38+CI45</f>
        <v>0</v>
      </c>
      <c r="CJ47" s="165" t="n">
        <f aca="false">CJ38+CJ45</f>
        <v>0</v>
      </c>
      <c r="CK47" s="165" t="n">
        <f aca="false">CK38+CK45</f>
        <v>0</v>
      </c>
      <c r="CL47" s="1" t="n">
        <f aca="false">CL38+CL45</f>
        <v>0</v>
      </c>
    </row>
    <row r="48" customFormat="false" ht="4.5" hidden="false" customHeight="true" outlineLevel="0" collapsed="false">
      <c r="C48" s="51"/>
      <c r="D48" s="51"/>
      <c r="E48" s="137"/>
      <c r="F48" s="137"/>
      <c r="G48" s="159"/>
      <c r="H48" s="159"/>
      <c r="I48" s="159"/>
      <c r="J48" s="159"/>
      <c r="K48" s="159"/>
      <c r="L48" s="159"/>
      <c r="M48" s="159"/>
      <c r="N48" s="159"/>
      <c r="O48" s="159"/>
      <c r="P48" s="159"/>
      <c r="Q48" s="159"/>
      <c r="R48" s="159"/>
      <c r="S48" s="159"/>
      <c r="T48" s="159"/>
      <c r="U48" s="159"/>
      <c r="V48" s="159"/>
      <c r="W48" s="159"/>
      <c r="X48" s="159"/>
      <c r="Y48" s="159"/>
      <c r="Z48" s="159"/>
      <c r="AA48" s="159"/>
      <c r="AB48" s="159"/>
      <c r="AC48" s="159"/>
      <c r="AD48" s="159"/>
      <c r="AE48" s="159"/>
      <c r="AF48" s="159"/>
      <c r="AG48" s="159"/>
      <c r="AH48" s="159"/>
      <c r="AI48" s="159"/>
      <c r="AJ48" s="159"/>
      <c r="AK48" s="159"/>
      <c r="AL48" s="159"/>
      <c r="AM48" s="159"/>
      <c r="AN48" s="159"/>
      <c r="AO48" s="159"/>
      <c r="AP48" s="159"/>
      <c r="AQ48" s="159"/>
      <c r="AR48" s="159"/>
      <c r="AS48" s="159"/>
      <c r="AT48" s="159"/>
      <c r="AU48" s="159"/>
      <c r="AV48" s="159"/>
      <c r="AW48" s="159"/>
      <c r="AX48" s="159"/>
      <c r="AY48" s="159"/>
      <c r="AZ48" s="159"/>
      <c r="BA48" s="159"/>
      <c r="BB48" s="159"/>
      <c r="BC48" s="159"/>
      <c r="BD48" s="159"/>
      <c r="BE48" s="159"/>
      <c r="BF48" s="159"/>
      <c r="BG48" s="159"/>
      <c r="BH48" s="159"/>
      <c r="BI48" s="159"/>
      <c r="BJ48" s="159"/>
      <c r="BK48" s="159"/>
      <c r="BL48" s="159"/>
      <c r="BM48" s="159"/>
      <c r="BN48" s="159"/>
      <c r="BO48" s="159"/>
      <c r="BP48" s="159"/>
      <c r="BQ48" s="159"/>
      <c r="BR48" s="159"/>
      <c r="BS48" s="159"/>
      <c r="BT48" s="159"/>
      <c r="BU48" s="159"/>
      <c r="BV48" s="159"/>
      <c r="BW48" s="159"/>
      <c r="BX48" s="159"/>
      <c r="BY48" s="159"/>
      <c r="BZ48" s="159"/>
      <c r="CA48" s="159"/>
      <c r="CB48" s="159"/>
      <c r="CC48" s="159"/>
      <c r="CD48" s="159"/>
      <c r="CE48" s="159"/>
      <c r="CF48" s="159"/>
      <c r="CG48" s="159"/>
      <c r="CH48" s="159"/>
      <c r="CI48" s="159"/>
      <c r="CJ48" s="159"/>
      <c r="CK48" s="159"/>
    </row>
    <row r="49" customFormat="false" ht="11.25" hidden="false" customHeight="true" outlineLevel="0" collapsed="false">
      <c r="C49" s="51" t="str">
        <f aca="false">"∆ "&amp;'Lead NA'!C189</f>
        <v>∆ Verbindlichkeiten ggü.Kreditinstituten</v>
      </c>
      <c r="D49" s="51" t="str">
        <f aca="false">"∆ "&amp;'Lead NA'!D189</f>
        <v>∆ Liabilities to banks</v>
      </c>
      <c r="E49" s="137"/>
      <c r="F49" s="137"/>
      <c r="G49" s="159" t="n">
        <f aca="false">-NA_monthly!G45+NA_monthly!F45</f>
        <v>0</v>
      </c>
      <c r="H49" s="159" t="n">
        <f aca="false">-NA_monthly!H45+NA_monthly!G45</f>
        <v>0</v>
      </c>
      <c r="I49" s="159" t="n">
        <f aca="false">-NA_monthly!I45+NA_monthly!H45</f>
        <v>0</v>
      </c>
      <c r="J49" s="159" t="n">
        <f aca="false">-NA_monthly!J45+NA_monthly!I45</f>
        <v>0</v>
      </c>
      <c r="K49" s="159" t="n">
        <f aca="false">-NA_monthly!K45+NA_monthly!J45</f>
        <v>0</v>
      </c>
      <c r="L49" s="159" t="n">
        <f aca="false">-NA_monthly!L45+NA_monthly!K45</f>
        <v>0</v>
      </c>
      <c r="M49" s="159" t="n">
        <f aca="false">-NA_monthly!M45+NA_monthly!L45</f>
        <v>0</v>
      </c>
      <c r="N49" s="159" t="n">
        <f aca="false">-NA_monthly!N45+NA_monthly!M45</f>
        <v>0</v>
      </c>
      <c r="O49" s="159" t="n">
        <f aca="false">-NA_monthly!O45+NA_monthly!N45</f>
        <v>0</v>
      </c>
      <c r="P49" s="159" t="n">
        <f aca="false">-NA_monthly!P45+NA_monthly!O45</f>
        <v>0</v>
      </c>
      <c r="Q49" s="159" t="n">
        <f aca="false">-NA_monthly!Q45+NA_monthly!P45</f>
        <v>0</v>
      </c>
      <c r="R49" s="159" t="n">
        <f aca="false">-NA_monthly!R45+NA_monthly!Q45</f>
        <v>0</v>
      </c>
      <c r="S49" s="159" t="n">
        <f aca="false">-NA_monthly!S45+NA_monthly!R45</f>
        <v>0</v>
      </c>
      <c r="T49" s="159" t="n">
        <f aca="false">-NA_monthly!T45+NA_monthly!S45</f>
        <v>0</v>
      </c>
      <c r="U49" s="159" t="n">
        <f aca="false">-NA_monthly!U45+NA_monthly!T45</f>
        <v>0</v>
      </c>
      <c r="V49" s="159" t="n">
        <f aca="false">-NA_monthly!V45+NA_monthly!U45</f>
        <v>0</v>
      </c>
      <c r="W49" s="159" t="n">
        <f aca="false">-NA_monthly!W45+NA_monthly!V45</f>
        <v>0</v>
      </c>
      <c r="X49" s="159" t="n">
        <f aca="false">-NA_monthly!X45+NA_monthly!W45</f>
        <v>0</v>
      </c>
      <c r="Y49" s="159" t="n">
        <f aca="false">-NA_monthly!Y45+NA_monthly!X45</f>
        <v>0</v>
      </c>
      <c r="Z49" s="159" t="n">
        <f aca="false">-NA_monthly!Z45+NA_monthly!Y45</f>
        <v>0</v>
      </c>
      <c r="AA49" s="159" t="n">
        <f aca="false">-NA_monthly!AA45+NA_monthly!Z45</f>
        <v>0</v>
      </c>
      <c r="AB49" s="159" t="n">
        <f aca="false">-NA_monthly!AB45+NA_monthly!AA45</f>
        <v>0</v>
      </c>
      <c r="AC49" s="159" t="n">
        <f aca="false">-NA_monthly!AC45+NA_monthly!AB45</f>
        <v>0</v>
      </c>
      <c r="AD49" s="159" t="n">
        <f aca="false">-NA_monthly!AD45+NA_monthly!AC45</f>
        <v>0</v>
      </c>
      <c r="AE49" s="159" t="n">
        <f aca="false">-NA_monthly!AE45+NA_monthly!AD45</f>
        <v>0</v>
      </c>
      <c r="AF49" s="159" t="n">
        <f aca="false">-NA_monthly!AF45+NA_monthly!AE45</f>
        <v>0</v>
      </c>
      <c r="AG49" s="159" t="n">
        <f aca="false">-NA_monthly!AG45+NA_monthly!AF45</f>
        <v>0</v>
      </c>
      <c r="AH49" s="159" t="n">
        <f aca="false">-NA_monthly!AH45+NA_monthly!AG45</f>
        <v>0</v>
      </c>
      <c r="AI49" s="159" t="n">
        <f aca="false">-NA_monthly!AI45+NA_monthly!AH45</f>
        <v>0</v>
      </c>
      <c r="AJ49" s="159" t="n">
        <f aca="false">-NA_monthly!AJ45+NA_monthly!AI45</f>
        <v>0</v>
      </c>
      <c r="AK49" s="159" t="n">
        <f aca="false">-NA_monthly!AK45+NA_monthly!AJ45</f>
        <v>0</v>
      </c>
      <c r="AL49" s="159" t="n">
        <f aca="false">-NA_monthly!AL45+NA_monthly!AK45</f>
        <v>0</v>
      </c>
      <c r="AM49" s="159" t="n">
        <f aca="false">-NA_monthly!AM45+NA_monthly!AL45</f>
        <v>0</v>
      </c>
      <c r="AN49" s="159" t="n">
        <f aca="false">-NA_monthly!AN45+NA_monthly!AM45</f>
        <v>0</v>
      </c>
      <c r="AO49" s="159" t="n">
        <f aca="false">-NA_monthly!AO45+NA_monthly!AN45</f>
        <v>0</v>
      </c>
      <c r="AP49" s="159" t="n">
        <f aca="false">-NA_monthly!AP45+NA_monthly!AO45</f>
        <v>0</v>
      </c>
      <c r="AQ49" s="159" t="n">
        <f aca="false">-NA_monthly!AQ45+NA_monthly!AP45</f>
        <v>0</v>
      </c>
      <c r="AR49" s="159" t="n">
        <f aca="false">-NA_monthly!AR45+NA_monthly!AQ45</f>
        <v>0</v>
      </c>
      <c r="AS49" s="159" t="n">
        <f aca="false">-NA_monthly!AS45+NA_monthly!AR45</f>
        <v>0</v>
      </c>
      <c r="AT49" s="159" t="n">
        <f aca="false">-NA_monthly!AT45+NA_monthly!AS45</f>
        <v>0</v>
      </c>
      <c r="AU49" s="159" t="n">
        <f aca="false">-NA_monthly!AU45+NA_monthly!AT45</f>
        <v>0</v>
      </c>
      <c r="AV49" s="159" t="n">
        <f aca="false">-NA_monthly!AV45+NA_monthly!AU45</f>
        <v>0</v>
      </c>
      <c r="AW49" s="159" t="n">
        <f aca="false">-NA_monthly!AW45+NA_monthly!AV45</f>
        <v>0</v>
      </c>
      <c r="AX49" s="159" t="n">
        <f aca="false">-NA_monthly!AX45+NA_monthly!AW45</f>
        <v>0</v>
      </c>
      <c r="AY49" s="159" t="n">
        <f aca="false">-NA_monthly!AY45+NA_monthly!AX45</f>
        <v>0</v>
      </c>
      <c r="AZ49" s="159" t="n">
        <f aca="false">-NA_monthly!AZ45+NA_monthly!AY45</f>
        <v>0</v>
      </c>
      <c r="BA49" s="159" t="n">
        <f aca="false">-NA_monthly!BA45+NA_monthly!AZ45</f>
        <v>0</v>
      </c>
      <c r="BB49" s="159" t="n">
        <f aca="false">-NA_monthly!BB45+NA_monthly!BA45</f>
        <v>0</v>
      </c>
      <c r="BC49" s="159" t="n">
        <f aca="false">-NA_monthly!BC45+NA_monthly!BB45</f>
        <v>0</v>
      </c>
      <c r="BD49" s="159" t="n">
        <f aca="false">-NA_monthly!BD45+NA_monthly!BC45</f>
        <v>0</v>
      </c>
      <c r="BE49" s="159" t="n">
        <f aca="false">-NA_monthly!BE45+NA_monthly!BD45</f>
        <v>0</v>
      </c>
      <c r="BF49" s="159" t="n">
        <f aca="false">-NA_monthly!BF45+NA_monthly!BE45</f>
        <v>0</v>
      </c>
      <c r="BG49" s="159" t="n">
        <f aca="false">-NA_monthly!BG45+NA_monthly!BF45</f>
        <v>0</v>
      </c>
      <c r="BH49" s="159" t="n">
        <f aca="false">-NA_monthly!BH45+NA_monthly!BG45</f>
        <v>0</v>
      </c>
      <c r="BI49" s="159" t="n">
        <f aca="false">-NA_monthly!BI45+NA_monthly!BH45</f>
        <v>0</v>
      </c>
      <c r="BJ49" s="159" t="n">
        <f aca="false">-NA_monthly!BJ45+NA_monthly!BI45</f>
        <v>0</v>
      </c>
      <c r="BK49" s="159" t="n">
        <f aca="false">-NA_monthly!BK45+NA_monthly!BJ45</f>
        <v>0</v>
      </c>
      <c r="BL49" s="159" t="n">
        <f aca="false">-NA_monthly!BL45+NA_monthly!BK45</f>
        <v>0</v>
      </c>
      <c r="BM49" s="159" t="n">
        <f aca="false">-NA_monthly!BM45+NA_monthly!BL45</f>
        <v>0</v>
      </c>
      <c r="BN49" s="159" t="n">
        <f aca="false">-NA_monthly!BN45+NA_monthly!BM45</f>
        <v>0</v>
      </c>
      <c r="BO49" s="159" t="n">
        <f aca="false">-NA_monthly!BO45+NA_monthly!BN45</f>
        <v>0</v>
      </c>
      <c r="BP49" s="159" t="n">
        <f aca="false">-NA_monthly!BP45+NA_monthly!BO45</f>
        <v>0</v>
      </c>
      <c r="BQ49" s="159" t="n">
        <f aca="false">-NA_monthly!BQ45+NA_monthly!BP45</f>
        <v>0</v>
      </c>
      <c r="BR49" s="159" t="n">
        <f aca="false">-NA_monthly!BR45+NA_monthly!BQ45</f>
        <v>0</v>
      </c>
      <c r="BS49" s="159" t="n">
        <f aca="false">-NA_monthly!BS45+NA_monthly!BR45</f>
        <v>0</v>
      </c>
      <c r="BT49" s="159" t="n">
        <f aca="false">-NA_monthly!BT45+NA_monthly!BS45</f>
        <v>0</v>
      </c>
      <c r="BU49" s="159" t="n">
        <f aca="false">-NA_monthly!BU45+NA_monthly!BT45</f>
        <v>0</v>
      </c>
      <c r="BV49" s="159" t="n">
        <f aca="false">-NA_monthly!BV45+NA_monthly!BU45</f>
        <v>0</v>
      </c>
      <c r="BW49" s="159" t="n">
        <f aca="false">-NA_monthly!BW45+NA_monthly!BV45</f>
        <v>0</v>
      </c>
      <c r="BX49" s="159" t="n">
        <f aca="false">-NA_monthly!BX45+NA_monthly!BW45</f>
        <v>0</v>
      </c>
      <c r="BY49" s="159" t="n">
        <f aca="false">-NA_monthly!BY45+NA_monthly!BX45</f>
        <v>0</v>
      </c>
      <c r="BZ49" s="159" t="n">
        <f aca="false">-NA_monthly!BZ45+NA_monthly!BY45</f>
        <v>0</v>
      </c>
      <c r="CA49" s="159" t="n">
        <f aca="false">-NA_monthly!CA45+NA_monthly!BZ45</f>
        <v>0</v>
      </c>
      <c r="CB49" s="159" t="n">
        <f aca="false">-NA_monthly!CB45+NA_monthly!CA45</f>
        <v>0</v>
      </c>
      <c r="CC49" s="159" t="n">
        <f aca="false">-NA_monthly!CC45+NA_monthly!CB45</f>
        <v>0</v>
      </c>
      <c r="CD49" s="159" t="n">
        <f aca="false">-NA_monthly!CD45+NA_monthly!CC45</f>
        <v>0</v>
      </c>
      <c r="CE49" s="159" t="n">
        <f aca="false">-NA_monthly!CE45+NA_monthly!CD45</f>
        <v>0</v>
      </c>
      <c r="CF49" s="159" t="n">
        <f aca="false">-NA_monthly!CF45+NA_monthly!CE45</f>
        <v>0</v>
      </c>
      <c r="CG49" s="159" t="n">
        <f aca="false">-NA_monthly!CG45+NA_monthly!CF45</f>
        <v>0</v>
      </c>
      <c r="CH49" s="159" t="n">
        <f aca="false">-NA_monthly!CH45+NA_monthly!CG45</f>
        <v>0</v>
      </c>
      <c r="CI49" s="159" t="n">
        <f aca="false">-NA_monthly!CI45+NA_monthly!CH45</f>
        <v>0</v>
      </c>
      <c r="CJ49" s="159" t="n">
        <f aca="false">-NA_monthly!CJ45+NA_monthly!CI45</f>
        <v>0</v>
      </c>
      <c r="CK49" s="159" t="n">
        <f aca="false">-NA_monthly!CK45+NA_monthly!CJ45</f>
        <v>0</v>
      </c>
      <c r="CM49" s="1" t="s">
        <v>567</v>
      </c>
    </row>
    <row r="50" customFormat="false" ht="11.25" hidden="false" customHeight="true" outlineLevel="0" collapsed="false">
      <c r="C50" s="51" t="str">
        <f aca="false">"∆ "&amp;'Lead NA'!C198</f>
        <v>∆ Pensionsrückstellungen</v>
      </c>
      <c r="D50" s="51" t="str">
        <f aca="false">"∆ "&amp;'Lead NA'!D198</f>
        <v>∆ Pension provisions</v>
      </c>
      <c r="E50" s="137"/>
      <c r="F50" s="137"/>
      <c r="G50" s="159" t="n">
        <f aca="false">-NA_monthly!G46+NA_monthly!F46</f>
        <v>0</v>
      </c>
      <c r="H50" s="159" t="n">
        <f aca="false">-NA_monthly!H46+NA_monthly!G46</f>
        <v>0</v>
      </c>
      <c r="I50" s="159" t="n">
        <f aca="false">-NA_monthly!I46+NA_monthly!H46</f>
        <v>0</v>
      </c>
      <c r="J50" s="159" t="n">
        <f aca="false">-NA_monthly!J46+NA_monthly!I46</f>
        <v>0</v>
      </c>
      <c r="K50" s="159" t="n">
        <f aca="false">-NA_monthly!K46+NA_monthly!J46</f>
        <v>0</v>
      </c>
      <c r="L50" s="159" t="n">
        <f aca="false">-NA_monthly!L46+NA_monthly!K46</f>
        <v>0</v>
      </c>
      <c r="M50" s="159" t="n">
        <f aca="false">-NA_monthly!M46+NA_monthly!L46</f>
        <v>0</v>
      </c>
      <c r="N50" s="159" t="n">
        <f aca="false">-NA_monthly!N46+NA_monthly!M46</f>
        <v>0</v>
      </c>
      <c r="O50" s="159" t="n">
        <f aca="false">-NA_monthly!O46+NA_monthly!N46</f>
        <v>0</v>
      </c>
      <c r="P50" s="159" t="n">
        <f aca="false">-NA_monthly!P46+NA_monthly!O46</f>
        <v>0</v>
      </c>
      <c r="Q50" s="159" t="n">
        <f aca="false">-NA_monthly!Q46+NA_monthly!P46</f>
        <v>0</v>
      </c>
      <c r="R50" s="159" t="n">
        <f aca="false">-NA_monthly!R46+NA_monthly!Q46</f>
        <v>0</v>
      </c>
      <c r="S50" s="159" t="n">
        <f aca="false">-NA_monthly!S46+NA_monthly!R46</f>
        <v>0</v>
      </c>
      <c r="T50" s="159" t="n">
        <f aca="false">-NA_monthly!T46+NA_monthly!S46</f>
        <v>0</v>
      </c>
      <c r="U50" s="159" t="n">
        <f aca="false">-NA_monthly!U46+NA_monthly!T46</f>
        <v>0</v>
      </c>
      <c r="V50" s="159" t="n">
        <f aca="false">-NA_monthly!V46+NA_monthly!U46</f>
        <v>0</v>
      </c>
      <c r="W50" s="159" t="n">
        <f aca="false">-NA_monthly!W46+NA_monthly!V46</f>
        <v>0</v>
      </c>
      <c r="X50" s="159" t="n">
        <f aca="false">-NA_monthly!X46+NA_monthly!W46</f>
        <v>0</v>
      </c>
      <c r="Y50" s="159" t="n">
        <f aca="false">-NA_monthly!Y46+NA_monthly!X46</f>
        <v>0</v>
      </c>
      <c r="Z50" s="159" t="n">
        <f aca="false">-NA_monthly!Z46+NA_monthly!Y46</f>
        <v>0</v>
      </c>
      <c r="AA50" s="159" t="n">
        <f aca="false">-NA_monthly!AA46+NA_monthly!Z46</f>
        <v>0</v>
      </c>
      <c r="AB50" s="159" t="n">
        <f aca="false">-NA_monthly!AB46+NA_monthly!AA46</f>
        <v>0</v>
      </c>
      <c r="AC50" s="159" t="n">
        <f aca="false">-NA_monthly!AC46+NA_monthly!AB46</f>
        <v>0</v>
      </c>
      <c r="AD50" s="159" t="n">
        <f aca="false">-NA_monthly!AD46+NA_monthly!AC46</f>
        <v>0</v>
      </c>
      <c r="AE50" s="159" t="n">
        <f aca="false">-NA_monthly!AE46+NA_monthly!AD46</f>
        <v>0</v>
      </c>
      <c r="AF50" s="159" t="n">
        <f aca="false">-NA_monthly!AF46+NA_monthly!AE46</f>
        <v>0</v>
      </c>
      <c r="AG50" s="159" t="n">
        <f aca="false">-NA_monthly!AG46+NA_monthly!AF46</f>
        <v>0</v>
      </c>
      <c r="AH50" s="159" t="n">
        <f aca="false">-NA_monthly!AH46+NA_monthly!AG46</f>
        <v>0</v>
      </c>
      <c r="AI50" s="159" t="n">
        <f aca="false">-NA_monthly!AI46+NA_monthly!AH46</f>
        <v>0</v>
      </c>
      <c r="AJ50" s="159" t="n">
        <f aca="false">-NA_monthly!AJ46+NA_monthly!AI46</f>
        <v>0</v>
      </c>
      <c r="AK50" s="159" t="n">
        <f aca="false">-NA_monthly!AK46+NA_monthly!AJ46</f>
        <v>0</v>
      </c>
      <c r="AL50" s="159" t="n">
        <f aca="false">-NA_monthly!AL46+NA_monthly!AK46</f>
        <v>0</v>
      </c>
      <c r="AM50" s="159" t="n">
        <f aca="false">-NA_monthly!AM46+NA_monthly!AL46</f>
        <v>0</v>
      </c>
      <c r="AN50" s="159" t="n">
        <f aca="false">-NA_monthly!AN46+NA_monthly!AM46</f>
        <v>0</v>
      </c>
      <c r="AO50" s="159" t="n">
        <f aca="false">-NA_monthly!AO46+NA_monthly!AN46</f>
        <v>0</v>
      </c>
      <c r="AP50" s="159" t="n">
        <f aca="false">-NA_monthly!AP46+NA_monthly!AO46</f>
        <v>0</v>
      </c>
      <c r="AQ50" s="159" t="n">
        <f aca="false">-NA_monthly!AQ46+NA_monthly!AP46</f>
        <v>0</v>
      </c>
      <c r="AR50" s="159" t="n">
        <f aca="false">-NA_monthly!AR46+NA_monthly!AQ46</f>
        <v>0</v>
      </c>
      <c r="AS50" s="159" t="n">
        <f aca="false">-NA_monthly!AS46+NA_monthly!AR46</f>
        <v>0</v>
      </c>
      <c r="AT50" s="159" t="n">
        <f aca="false">-NA_monthly!AT46+NA_monthly!AS46</f>
        <v>0</v>
      </c>
      <c r="AU50" s="159" t="n">
        <f aca="false">-NA_monthly!AU46+NA_monthly!AT46</f>
        <v>0</v>
      </c>
      <c r="AV50" s="159" t="n">
        <f aca="false">-NA_monthly!AV46+NA_monthly!AU46</f>
        <v>0</v>
      </c>
      <c r="AW50" s="159" t="n">
        <f aca="false">-NA_monthly!AW46+NA_monthly!AV46</f>
        <v>0</v>
      </c>
      <c r="AX50" s="159" t="n">
        <f aca="false">-NA_monthly!AX46+NA_monthly!AW46</f>
        <v>0</v>
      </c>
      <c r="AY50" s="159" t="n">
        <f aca="false">-NA_monthly!AY46+NA_monthly!AX46</f>
        <v>0</v>
      </c>
      <c r="AZ50" s="159" t="n">
        <f aca="false">-NA_monthly!AZ46+NA_monthly!AY46</f>
        <v>0</v>
      </c>
      <c r="BA50" s="159" t="n">
        <f aca="false">-NA_monthly!BA46+NA_monthly!AZ46</f>
        <v>0</v>
      </c>
      <c r="BB50" s="159" t="n">
        <f aca="false">-NA_monthly!BB46+NA_monthly!BA46</f>
        <v>0</v>
      </c>
      <c r="BC50" s="159" t="n">
        <f aca="false">-NA_monthly!BC46+NA_monthly!BB46</f>
        <v>0</v>
      </c>
      <c r="BD50" s="159" t="n">
        <f aca="false">-NA_monthly!BD46+NA_monthly!BC46</f>
        <v>0</v>
      </c>
      <c r="BE50" s="159" t="n">
        <f aca="false">-NA_monthly!BE46+NA_monthly!BD46</f>
        <v>0</v>
      </c>
      <c r="BF50" s="159" t="n">
        <f aca="false">-NA_monthly!BF46+NA_monthly!BE46</f>
        <v>0</v>
      </c>
      <c r="BG50" s="159" t="n">
        <f aca="false">-NA_monthly!BG46+NA_monthly!BF46</f>
        <v>0</v>
      </c>
      <c r="BH50" s="159" t="n">
        <f aca="false">-NA_monthly!BH46+NA_monthly!BG46</f>
        <v>0</v>
      </c>
      <c r="BI50" s="159" t="n">
        <f aca="false">-NA_monthly!BI46+NA_monthly!BH46</f>
        <v>0</v>
      </c>
      <c r="BJ50" s="159" t="n">
        <f aca="false">-NA_monthly!BJ46+NA_monthly!BI46</f>
        <v>0</v>
      </c>
      <c r="BK50" s="159" t="n">
        <f aca="false">-NA_monthly!BK46+NA_monthly!BJ46</f>
        <v>0</v>
      </c>
      <c r="BL50" s="159" t="n">
        <f aca="false">-NA_monthly!BL46+NA_monthly!BK46</f>
        <v>0</v>
      </c>
      <c r="BM50" s="159" t="n">
        <f aca="false">-NA_monthly!BM46+NA_monthly!BL46</f>
        <v>0</v>
      </c>
      <c r="BN50" s="159" t="n">
        <f aca="false">-NA_monthly!BN46+NA_monthly!BM46</f>
        <v>0</v>
      </c>
      <c r="BO50" s="159" t="n">
        <f aca="false">-NA_monthly!BO46+NA_monthly!BN46</f>
        <v>0</v>
      </c>
      <c r="BP50" s="159" t="n">
        <f aca="false">-NA_monthly!BP46+NA_monthly!BO46</f>
        <v>0</v>
      </c>
      <c r="BQ50" s="159" t="n">
        <f aca="false">-NA_monthly!BQ46+NA_monthly!BP46</f>
        <v>0</v>
      </c>
      <c r="BR50" s="159" t="n">
        <f aca="false">-NA_monthly!BR46+NA_monthly!BQ46</f>
        <v>0</v>
      </c>
      <c r="BS50" s="159" t="n">
        <f aca="false">-NA_monthly!BS46+NA_monthly!BR46</f>
        <v>0</v>
      </c>
      <c r="BT50" s="159" t="n">
        <f aca="false">-NA_monthly!BT46+NA_monthly!BS46</f>
        <v>0</v>
      </c>
      <c r="BU50" s="159" t="n">
        <f aca="false">-NA_monthly!BU46+NA_monthly!BT46</f>
        <v>0</v>
      </c>
      <c r="BV50" s="159" t="n">
        <f aca="false">-NA_monthly!BV46+NA_monthly!BU46</f>
        <v>0</v>
      </c>
      <c r="BW50" s="159" t="n">
        <f aca="false">-NA_monthly!BW46+NA_monthly!BV46</f>
        <v>0</v>
      </c>
      <c r="BX50" s="159" t="n">
        <f aca="false">-NA_monthly!BX46+NA_monthly!BW46</f>
        <v>0</v>
      </c>
      <c r="BY50" s="159" t="n">
        <f aca="false">-NA_monthly!BY46+NA_monthly!BX46</f>
        <v>0</v>
      </c>
      <c r="BZ50" s="159" t="n">
        <f aca="false">-NA_monthly!BZ46+NA_monthly!BY46</f>
        <v>0</v>
      </c>
      <c r="CA50" s="159" t="n">
        <f aca="false">-NA_monthly!CA46+NA_monthly!BZ46</f>
        <v>0</v>
      </c>
      <c r="CB50" s="159" t="n">
        <f aca="false">-NA_monthly!CB46+NA_monthly!CA46</f>
        <v>0</v>
      </c>
      <c r="CC50" s="159" t="n">
        <f aca="false">-NA_monthly!CC46+NA_monthly!CB46</f>
        <v>0</v>
      </c>
      <c r="CD50" s="159" t="n">
        <f aca="false">-NA_monthly!CD46+NA_monthly!CC46</f>
        <v>0</v>
      </c>
      <c r="CE50" s="159" t="n">
        <f aca="false">-NA_monthly!CE46+NA_monthly!CD46</f>
        <v>0</v>
      </c>
      <c r="CF50" s="159" t="n">
        <f aca="false">-NA_monthly!CF46+NA_monthly!CE46</f>
        <v>0</v>
      </c>
      <c r="CG50" s="159" t="n">
        <f aca="false">-NA_monthly!CG46+NA_monthly!CF46</f>
        <v>0</v>
      </c>
      <c r="CH50" s="159" t="n">
        <f aca="false">-NA_monthly!CH46+NA_monthly!CG46</f>
        <v>0</v>
      </c>
      <c r="CI50" s="159" t="n">
        <f aca="false">-NA_monthly!CI46+NA_monthly!CH46</f>
        <v>0</v>
      </c>
      <c r="CJ50" s="159" t="n">
        <f aca="false">-NA_monthly!CJ46+NA_monthly!CI46</f>
        <v>0</v>
      </c>
      <c r="CK50" s="159" t="n">
        <f aca="false">-NA_monthly!CK46+NA_monthly!CJ46</f>
        <v>0</v>
      </c>
    </row>
    <row r="51" customFormat="false" ht="11.25" hidden="false" customHeight="true" outlineLevel="0" collapsed="false">
      <c r="C51" s="51" t="str">
        <f aca="false">"∆ "&amp;'Lead NA'!C207</f>
        <v>∆ Dummy 1</v>
      </c>
      <c r="D51" s="51" t="str">
        <f aca="false">"∆ "&amp;'Lead NA'!D207</f>
        <v>∆ Dummy 1</v>
      </c>
      <c r="E51" s="137"/>
      <c r="F51" s="137"/>
      <c r="G51" s="159" t="n">
        <f aca="false">-NA_monthly!G47+NA_monthly!F47</f>
        <v>0</v>
      </c>
      <c r="H51" s="159" t="n">
        <f aca="false">-NA_monthly!H47+NA_monthly!G47</f>
        <v>0</v>
      </c>
      <c r="I51" s="159" t="n">
        <f aca="false">-NA_monthly!I47+NA_monthly!H47</f>
        <v>0</v>
      </c>
      <c r="J51" s="159" t="n">
        <f aca="false">-NA_monthly!J47+NA_monthly!I47</f>
        <v>0</v>
      </c>
      <c r="K51" s="159" t="n">
        <f aca="false">-NA_monthly!K47+NA_monthly!J47</f>
        <v>0</v>
      </c>
      <c r="L51" s="159" t="n">
        <f aca="false">-NA_monthly!L47+NA_monthly!K47</f>
        <v>0</v>
      </c>
      <c r="M51" s="159" t="n">
        <f aca="false">-NA_monthly!M47+NA_monthly!L47</f>
        <v>0</v>
      </c>
      <c r="N51" s="159" t="n">
        <f aca="false">-NA_monthly!N47+NA_monthly!M47</f>
        <v>0</v>
      </c>
      <c r="O51" s="159" t="n">
        <f aca="false">-NA_monthly!O47+NA_monthly!N47</f>
        <v>0</v>
      </c>
      <c r="P51" s="159" t="n">
        <f aca="false">-NA_monthly!P47+NA_monthly!O47</f>
        <v>0</v>
      </c>
      <c r="Q51" s="159" t="n">
        <f aca="false">-NA_monthly!Q47+NA_monthly!P47</f>
        <v>0</v>
      </c>
      <c r="R51" s="159" t="n">
        <f aca="false">-NA_monthly!R47+NA_monthly!Q47</f>
        <v>0</v>
      </c>
      <c r="S51" s="159" t="n">
        <f aca="false">-NA_monthly!S47+NA_monthly!R47</f>
        <v>0</v>
      </c>
      <c r="T51" s="159" t="n">
        <f aca="false">-NA_monthly!T47+NA_monthly!S47</f>
        <v>0</v>
      </c>
      <c r="U51" s="159" t="n">
        <f aca="false">-NA_monthly!U47+NA_monthly!T47</f>
        <v>0</v>
      </c>
      <c r="V51" s="159" t="n">
        <f aca="false">-NA_monthly!V47+NA_monthly!U47</f>
        <v>0</v>
      </c>
      <c r="W51" s="159" t="n">
        <f aca="false">-NA_monthly!W47+NA_monthly!V47</f>
        <v>0</v>
      </c>
      <c r="X51" s="159" t="n">
        <f aca="false">-NA_monthly!X47+NA_monthly!W47</f>
        <v>0</v>
      </c>
      <c r="Y51" s="159" t="n">
        <f aca="false">-NA_monthly!Y47+NA_monthly!X47</f>
        <v>0</v>
      </c>
      <c r="Z51" s="159" t="n">
        <f aca="false">-NA_monthly!Z47+NA_monthly!Y47</f>
        <v>0</v>
      </c>
      <c r="AA51" s="159" t="n">
        <f aca="false">-NA_monthly!AA47+NA_monthly!Z47</f>
        <v>0</v>
      </c>
      <c r="AB51" s="159" t="n">
        <f aca="false">-NA_monthly!AB47+NA_monthly!AA47</f>
        <v>0</v>
      </c>
      <c r="AC51" s="159" t="n">
        <f aca="false">-NA_monthly!AC47+NA_monthly!AB47</f>
        <v>0</v>
      </c>
      <c r="AD51" s="159" t="n">
        <f aca="false">-NA_monthly!AD47+NA_monthly!AC47</f>
        <v>0</v>
      </c>
      <c r="AE51" s="159" t="n">
        <f aca="false">-NA_monthly!AE47+NA_monthly!AD47</f>
        <v>0</v>
      </c>
      <c r="AF51" s="159" t="n">
        <f aca="false">-NA_monthly!AF47+NA_monthly!AE47</f>
        <v>0</v>
      </c>
      <c r="AG51" s="159" t="n">
        <f aca="false">-NA_monthly!AG47+NA_monthly!AF47</f>
        <v>0</v>
      </c>
      <c r="AH51" s="159" t="n">
        <f aca="false">-NA_monthly!AH47+NA_monthly!AG47</f>
        <v>0</v>
      </c>
      <c r="AI51" s="159" t="n">
        <f aca="false">-NA_monthly!AI47+NA_monthly!AH47</f>
        <v>0</v>
      </c>
      <c r="AJ51" s="159" t="n">
        <f aca="false">-NA_monthly!AJ47+NA_monthly!AI47</f>
        <v>0</v>
      </c>
      <c r="AK51" s="159" t="n">
        <f aca="false">-NA_monthly!AK47+NA_monthly!AJ47</f>
        <v>0</v>
      </c>
      <c r="AL51" s="159" t="n">
        <f aca="false">-NA_monthly!AL47+NA_monthly!AK47</f>
        <v>0</v>
      </c>
      <c r="AM51" s="159" t="n">
        <f aca="false">-NA_monthly!AM47+NA_monthly!AL47</f>
        <v>0</v>
      </c>
      <c r="AN51" s="159" t="n">
        <f aca="false">-NA_monthly!AN47+NA_monthly!AM47</f>
        <v>0</v>
      </c>
      <c r="AO51" s="159" t="n">
        <f aca="false">-NA_monthly!AO47+NA_monthly!AN47</f>
        <v>0</v>
      </c>
      <c r="AP51" s="159" t="n">
        <f aca="false">-NA_monthly!AP47+NA_monthly!AO47</f>
        <v>0</v>
      </c>
      <c r="AQ51" s="159" t="n">
        <f aca="false">-NA_monthly!AQ47+NA_monthly!AP47</f>
        <v>0</v>
      </c>
      <c r="AR51" s="159" t="n">
        <f aca="false">-NA_monthly!AR47+NA_monthly!AQ47</f>
        <v>0</v>
      </c>
      <c r="AS51" s="159" t="n">
        <f aca="false">-NA_monthly!AS47+NA_monthly!AR47</f>
        <v>0</v>
      </c>
      <c r="AT51" s="159" t="n">
        <f aca="false">-NA_monthly!AT47+NA_monthly!AS47</f>
        <v>0</v>
      </c>
      <c r="AU51" s="159" t="n">
        <f aca="false">-NA_monthly!AU47+NA_monthly!AT47</f>
        <v>0</v>
      </c>
      <c r="AV51" s="159" t="n">
        <f aca="false">-NA_monthly!AV47+NA_monthly!AU47</f>
        <v>0</v>
      </c>
      <c r="AW51" s="159" t="n">
        <f aca="false">-NA_monthly!AW47+NA_monthly!AV47</f>
        <v>0</v>
      </c>
      <c r="AX51" s="159" t="n">
        <f aca="false">-NA_monthly!AX47+NA_monthly!AW47</f>
        <v>0</v>
      </c>
      <c r="AY51" s="159" t="n">
        <f aca="false">-NA_monthly!AY47+NA_monthly!AX47</f>
        <v>0</v>
      </c>
      <c r="AZ51" s="159" t="n">
        <f aca="false">-NA_monthly!AZ47+NA_monthly!AY47</f>
        <v>0</v>
      </c>
      <c r="BA51" s="159" t="n">
        <f aca="false">-NA_monthly!BA47+NA_monthly!AZ47</f>
        <v>0</v>
      </c>
      <c r="BB51" s="159" t="n">
        <f aca="false">-NA_monthly!BB47+NA_monthly!BA47</f>
        <v>0</v>
      </c>
      <c r="BC51" s="159" t="n">
        <f aca="false">-NA_monthly!BC47+NA_monthly!BB47</f>
        <v>0</v>
      </c>
      <c r="BD51" s="159" t="n">
        <f aca="false">-NA_monthly!BD47+NA_monthly!BC47</f>
        <v>0</v>
      </c>
      <c r="BE51" s="159" t="n">
        <f aca="false">-NA_monthly!BE47+NA_monthly!BD47</f>
        <v>0</v>
      </c>
      <c r="BF51" s="159" t="n">
        <f aca="false">-NA_monthly!BF47+NA_monthly!BE47</f>
        <v>0</v>
      </c>
      <c r="BG51" s="159" t="n">
        <f aca="false">-NA_monthly!BG47+NA_monthly!BF47</f>
        <v>0</v>
      </c>
      <c r="BH51" s="159" t="n">
        <f aca="false">-NA_monthly!BH47+NA_monthly!BG47</f>
        <v>0</v>
      </c>
      <c r="BI51" s="159" t="n">
        <f aca="false">-NA_monthly!BI47+NA_monthly!BH47</f>
        <v>0</v>
      </c>
      <c r="BJ51" s="159" t="n">
        <f aca="false">-NA_monthly!BJ47+NA_monthly!BI47</f>
        <v>0</v>
      </c>
      <c r="BK51" s="159" t="n">
        <f aca="false">-NA_monthly!BK47+NA_monthly!BJ47</f>
        <v>0</v>
      </c>
      <c r="BL51" s="159" t="n">
        <f aca="false">-NA_monthly!BL47+NA_monthly!BK47</f>
        <v>0</v>
      </c>
      <c r="BM51" s="159" t="n">
        <f aca="false">-NA_monthly!BM47+NA_monthly!BL47</f>
        <v>0</v>
      </c>
      <c r="BN51" s="159" t="n">
        <f aca="false">-NA_monthly!BN47+NA_monthly!BM47</f>
        <v>0</v>
      </c>
      <c r="BO51" s="159" t="n">
        <f aca="false">-NA_monthly!BO47+NA_monthly!BN47</f>
        <v>0</v>
      </c>
      <c r="BP51" s="159" t="n">
        <f aca="false">-NA_monthly!BP47+NA_monthly!BO47</f>
        <v>0</v>
      </c>
      <c r="BQ51" s="159" t="n">
        <f aca="false">-NA_monthly!BQ47+NA_monthly!BP47</f>
        <v>0</v>
      </c>
      <c r="BR51" s="159" t="n">
        <f aca="false">-NA_monthly!BR47+NA_monthly!BQ47</f>
        <v>0</v>
      </c>
      <c r="BS51" s="159" t="n">
        <f aca="false">-NA_monthly!BS47+NA_monthly!BR47</f>
        <v>0</v>
      </c>
      <c r="BT51" s="159" t="n">
        <f aca="false">-NA_monthly!BT47+NA_monthly!BS47</f>
        <v>0</v>
      </c>
      <c r="BU51" s="159" t="n">
        <f aca="false">-NA_monthly!BU47+NA_monthly!BT47</f>
        <v>0</v>
      </c>
      <c r="BV51" s="159" t="n">
        <f aca="false">-NA_monthly!BV47+NA_monthly!BU47</f>
        <v>0</v>
      </c>
      <c r="BW51" s="159" t="n">
        <f aca="false">-NA_monthly!BW47+NA_monthly!BV47</f>
        <v>0</v>
      </c>
      <c r="BX51" s="159" t="n">
        <f aca="false">-NA_monthly!BX47+NA_monthly!BW47</f>
        <v>0</v>
      </c>
      <c r="BY51" s="159" t="n">
        <f aca="false">-NA_monthly!BY47+NA_monthly!BX47</f>
        <v>0</v>
      </c>
      <c r="BZ51" s="159" t="n">
        <f aca="false">-NA_monthly!BZ47+NA_monthly!BY47</f>
        <v>0</v>
      </c>
      <c r="CA51" s="159" t="n">
        <f aca="false">-NA_monthly!CA47+NA_monthly!BZ47</f>
        <v>0</v>
      </c>
      <c r="CB51" s="159" t="n">
        <f aca="false">-NA_monthly!CB47+NA_monthly!CA47</f>
        <v>0</v>
      </c>
      <c r="CC51" s="159" t="n">
        <f aca="false">-NA_monthly!CC47+NA_monthly!CB47</f>
        <v>0</v>
      </c>
      <c r="CD51" s="159" t="n">
        <f aca="false">-NA_monthly!CD47+NA_monthly!CC47</f>
        <v>0</v>
      </c>
      <c r="CE51" s="159" t="n">
        <f aca="false">-NA_monthly!CE47+NA_monthly!CD47</f>
        <v>0</v>
      </c>
      <c r="CF51" s="159" t="n">
        <f aca="false">-NA_monthly!CF47+NA_monthly!CE47</f>
        <v>0</v>
      </c>
      <c r="CG51" s="159" t="n">
        <f aca="false">-NA_monthly!CG47+NA_monthly!CF47</f>
        <v>0</v>
      </c>
      <c r="CH51" s="159" t="n">
        <f aca="false">-NA_monthly!CH47+NA_monthly!CG47</f>
        <v>0</v>
      </c>
      <c r="CI51" s="159" t="n">
        <f aca="false">-NA_monthly!CI47+NA_monthly!CH47</f>
        <v>0</v>
      </c>
      <c r="CJ51" s="159" t="n">
        <f aca="false">-NA_monthly!CJ47+NA_monthly!CI47</f>
        <v>0</v>
      </c>
      <c r="CK51" s="159" t="n">
        <f aca="false">-NA_monthly!CK47+NA_monthly!CJ47</f>
        <v>0</v>
      </c>
      <c r="CM51" s="1" t="s">
        <v>567</v>
      </c>
    </row>
    <row r="52" customFormat="false" ht="11.25" hidden="false" customHeight="true" outlineLevel="0" collapsed="false">
      <c r="C52" s="51" t="str">
        <f aca="false">"∆ "&amp;'Lead NA'!C208</f>
        <v>∆ Dummy 2</v>
      </c>
      <c r="D52" s="51" t="str">
        <f aca="false">"∆ "&amp;'Lead NA'!D208</f>
        <v>∆ Dummy 2</v>
      </c>
      <c r="E52" s="137"/>
      <c r="F52" s="137"/>
      <c r="G52" s="159" t="n">
        <f aca="false">-NA_monthly!G48+NA_monthly!F48</f>
        <v>0</v>
      </c>
      <c r="H52" s="159" t="n">
        <f aca="false">-NA_monthly!H48+NA_monthly!G48</f>
        <v>0</v>
      </c>
      <c r="I52" s="159" t="n">
        <f aca="false">-NA_monthly!I48+NA_monthly!H48</f>
        <v>0</v>
      </c>
      <c r="J52" s="159" t="n">
        <f aca="false">-NA_monthly!J48+NA_monthly!I48</f>
        <v>0</v>
      </c>
      <c r="K52" s="159" t="n">
        <f aca="false">-NA_monthly!K48+NA_monthly!J48</f>
        <v>0</v>
      </c>
      <c r="L52" s="159" t="n">
        <f aca="false">-NA_monthly!L48+NA_monthly!K48</f>
        <v>0</v>
      </c>
      <c r="M52" s="159" t="n">
        <f aca="false">-NA_monthly!M48+NA_monthly!L48</f>
        <v>0</v>
      </c>
      <c r="N52" s="159" t="n">
        <f aca="false">-NA_monthly!N48+NA_monthly!M48</f>
        <v>0</v>
      </c>
      <c r="O52" s="159" t="n">
        <f aca="false">-NA_monthly!O48+NA_monthly!N48</f>
        <v>0</v>
      </c>
      <c r="P52" s="159" t="n">
        <f aca="false">-NA_monthly!P48+NA_monthly!O48</f>
        <v>0</v>
      </c>
      <c r="Q52" s="159" t="n">
        <f aca="false">-NA_monthly!Q48+NA_monthly!P48</f>
        <v>0</v>
      </c>
      <c r="R52" s="159" t="n">
        <f aca="false">-NA_monthly!R48+NA_monthly!Q48</f>
        <v>0</v>
      </c>
      <c r="S52" s="159" t="n">
        <f aca="false">-NA_monthly!S48+NA_monthly!R48</f>
        <v>0</v>
      </c>
      <c r="T52" s="159" t="n">
        <f aca="false">-NA_monthly!T48+NA_monthly!S48</f>
        <v>0</v>
      </c>
      <c r="U52" s="159" t="n">
        <f aca="false">-NA_monthly!U48+NA_monthly!T48</f>
        <v>0</v>
      </c>
      <c r="V52" s="159" t="n">
        <f aca="false">-NA_monthly!V48+NA_monthly!U48</f>
        <v>0</v>
      </c>
      <c r="W52" s="159" t="n">
        <f aca="false">-NA_monthly!W48+NA_monthly!V48</f>
        <v>0</v>
      </c>
      <c r="X52" s="159" t="n">
        <f aca="false">-NA_monthly!X48+NA_monthly!W48</f>
        <v>0</v>
      </c>
      <c r="Y52" s="159" t="n">
        <f aca="false">-NA_monthly!Y48+NA_monthly!X48</f>
        <v>0</v>
      </c>
      <c r="Z52" s="159" t="n">
        <f aca="false">-NA_monthly!Z48+NA_monthly!Y48</f>
        <v>0</v>
      </c>
      <c r="AA52" s="159" t="n">
        <f aca="false">-NA_monthly!AA48+NA_monthly!Z48</f>
        <v>0</v>
      </c>
      <c r="AB52" s="159" t="n">
        <f aca="false">-NA_monthly!AB48+NA_monthly!AA48</f>
        <v>0</v>
      </c>
      <c r="AC52" s="159" t="n">
        <f aca="false">-NA_monthly!AC48+NA_monthly!AB48</f>
        <v>0</v>
      </c>
      <c r="AD52" s="159" t="n">
        <f aca="false">-NA_monthly!AD48+NA_monthly!AC48</f>
        <v>0</v>
      </c>
      <c r="AE52" s="159" t="n">
        <f aca="false">-NA_monthly!AE48+NA_monthly!AD48</f>
        <v>0</v>
      </c>
      <c r="AF52" s="159" t="n">
        <f aca="false">-NA_monthly!AF48+NA_monthly!AE48</f>
        <v>0</v>
      </c>
      <c r="AG52" s="159" t="n">
        <f aca="false">-NA_monthly!AG48+NA_monthly!AF48</f>
        <v>0</v>
      </c>
      <c r="AH52" s="159" t="n">
        <f aca="false">-NA_monthly!AH48+NA_monthly!AG48</f>
        <v>0</v>
      </c>
      <c r="AI52" s="159" t="n">
        <f aca="false">-NA_monthly!AI48+NA_monthly!AH48</f>
        <v>0</v>
      </c>
      <c r="AJ52" s="159" t="n">
        <f aca="false">-NA_monthly!AJ48+NA_monthly!AI48</f>
        <v>0</v>
      </c>
      <c r="AK52" s="159" t="n">
        <f aca="false">-NA_monthly!AK48+NA_monthly!AJ48</f>
        <v>0</v>
      </c>
      <c r="AL52" s="159" t="n">
        <f aca="false">-NA_monthly!AL48+NA_monthly!AK48</f>
        <v>0</v>
      </c>
      <c r="AM52" s="159" t="n">
        <f aca="false">-NA_monthly!AM48+NA_monthly!AL48</f>
        <v>0</v>
      </c>
      <c r="AN52" s="159" t="n">
        <f aca="false">-NA_monthly!AN48+NA_monthly!AM48</f>
        <v>0</v>
      </c>
      <c r="AO52" s="159" t="n">
        <f aca="false">-NA_monthly!AO48+NA_monthly!AN48</f>
        <v>0</v>
      </c>
      <c r="AP52" s="159" t="n">
        <f aca="false">-NA_monthly!AP48+NA_monthly!AO48</f>
        <v>0</v>
      </c>
      <c r="AQ52" s="159" t="n">
        <f aca="false">-NA_monthly!AQ48+NA_monthly!AP48</f>
        <v>0</v>
      </c>
      <c r="AR52" s="159" t="n">
        <f aca="false">-NA_monthly!AR48+NA_monthly!AQ48</f>
        <v>0</v>
      </c>
      <c r="AS52" s="159" t="n">
        <f aca="false">-NA_monthly!AS48+NA_monthly!AR48</f>
        <v>0</v>
      </c>
      <c r="AT52" s="159" t="n">
        <f aca="false">-NA_monthly!AT48+NA_monthly!AS48</f>
        <v>0</v>
      </c>
      <c r="AU52" s="159" t="n">
        <f aca="false">-NA_monthly!AU48+NA_monthly!AT48</f>
        <v>0</v>
      </c>
      <c r="AV52" s="159" t="n">
        <f aca="false">-NA_monthly!AV48+NA_monthly!AU48</f>
        <v>0</v>
      </c>
      <c r="AW52" s="159" t="n">
        <f aca="false">-NA_monthly!AW48+NA_monthly!AV48</f>
        <v>0</v>
      </c>
      <c r="AX52" s="159" t="n">
        <f aca="false">-NA_monthly!AX48+NA_monthly!AW48</f>
        <v>0</v>
      </c>
      <c r="AY52" s="159" t="n">
        <f aca="false">-NA_monthly!AY48+NA_monthly!AX48</f>
        <v>0</v>
      </c>
      <c r="AZ52" s="159" t="n">
        <f aca="false">-NA_monthly!AZ48+NA_monthly!AY48</f>
        <v>0</v>
      </c>
      <c r="BA52" s="159" t="n">
        <f aca="false">-NA_monthly!BA48+NA_monthly!AZ48</f>
        <v>0</v>
      </c>
      <c r="BB52" s="159" t="n">
        <f aca="false">-NA_monthly!BB48+NA_monthly!BA48</f>
        <v>0</v>
      </c>
      <c r="BC52" s="159" t="n">
        <f aca="false">-NA_monthly!BC48+NA_monthly!BB48</f>
        <v>0</v>
      </c>
      <c r="BD52" s="159" t="n">
        <f aca="false">-NA_monthly!BD48+NA_monthly!BC48</f>
        <v>0</v>
      </c>
      <c r="BE52" s="159" t="n">
        <f aca="false">-NA_monthly!BE48+NA_monthly!BD48</f>
        <v>0</v>
      </c>
      <c r="BF52" s="159" t="n">
        <f aca="false">-NA_monthly!BF48+NA_monthly!BE48</f>
        <v>0</v>
      </c>
      <c r="BG52" s="159" t="n">
        <f aca="false">-NA_monthly!BG48+NA_monthly!BF48</f>
        <v>0</v>
      </c>
      <c r="BH52" s="159" t="n">
        <f aca="false">-NA_monthly!BH48+NA_monthly!BG48</f>
        <v>0</v>
      </c>
      <c r="BI52" s="159" t="n">
        <f aca="false">-NA_monthly!BI48+NA_monthly!BH48</f>
        <v>0</v>
      </c>
      <c r="BJ52" s="159" t="n">
        <f aca="false">-NA_monthly!BJ48+NA_monthly!BI48</f>
        <v>0</v>
      </c>
      <c r="BK52" s="159" t="n">
        <f aca="false">-NA_monthly!BK48+NA_monthly!BJ48</f>
        <v>0</v>
      </c>
      <c r="BL52" s="159" t="n">
        <f aca="false">-NA_monthly!BL48+NA_monthly!BK48</f>
        <v>0</v>
      </c>
      <c r="BM52" s="159" t="n">
        <f aca="false">-NA_monthly!BM48+NA_monthly!BL48</f>
        <v>0</v>
      </c>
      <c r="BN52" s="159" t="n">
        <f aca="false">-NA_monthly!BN48+NA_monthly!BM48</f>
        <v>0</v>
      </c>
      <c r="BO52" s="159" t="n">
        <f aca="false">-NA_monthly!BO48+NA_monthly!BN48</f>
        <v>0</v>
      </c>
      <c r="BP52" s="159" t="n">
        <f aca="false">-NA_monthly!BP48+NA_monthly!BO48</f>
        <v>0</v>
      </c>
      <c r="BQ52" s="159" t="n">
        <f aca="false">-NA_monthly!BQ48+NA_monthly!BP48</f>
        <v>0</v>
      </c>
      <c r="BR52" s="159" t="n">
        <f aca="false">-NA_monthly!BR48+NA_monthly!BQ48</f>
        <v>0</v>
      </c>
      <c r="BS52" s="159" t="n">
        <f aca="false">-NA_monthly!BS48+NA_monthly!BR48</f>
        <v>0</v>
      </c>
      <c r="BT52" s="159" t="n">
        <f aca="false">-NA_monthly!BT48+NA_monthly!BS48</f>
        <v>0</v>
      </c>
      <c r="BU52" s="159" t="n">
        <f aca="false">-NA_monthly!BU48+NA_monthly!BT48</f>
        <v>0</v>
      </c>
      <c r="BV52" s="159" t="n">
        <f aca="false">-NA_monthly!BV48+NA_monthly!BU48</f>
        <v>0</v>
      </c>
      <c r="BW52" s="159" t="n">
        <f aca="false">-NA_monthly!BW48+NA_monthly!BV48</f>
        <v>0</v>
      </c>
      <c r="BX52" s="159" t="n">
        <f aca="false">-NA_monthly!BX48+NA_monthly!BW48</f>
        <v>0</v>
      </c>
      <c r="BY52" s="159" t="n">
        <f aca="false">-NA_monthly!BY48+NA_monthly!BX48</f>
        <v>0</v>
      </c>
      <c r="BZ52" s="159" t="n">
        <f aca="false">-NA_monthly!BZ48+NA_monthly!BY48</f>
        <v>0</v>
      </c>
      <c r="CA52" s="159" t="n">
        <f aca="false">-NA_monthly!CA48+NA_monthly!BZ48</f>
        <v>0</v>
      </c>
      <c r="CB52" s="159" t="n">
        <f aca="false">-NA_monthly!CB48+NA_monthly!CA48</f>
        <v>0</v>
      </c>
      <c r="CC52" s="159" t="n">
        <f aca="false">-NA_monthly!CC48+NA_monthly!CB48</f>
        <v>0</v>
      </c>
      <c r="CD52" s="159" t="n">
        <f aca="false">-NA_monthly!CD48+NA_monthly!CC48</f>
        <v>0</v>
      </c>
      <c r="CE52" s="159" t="n">
        <f aca="false">-NA_monthly!CE48+NA_monthly!CD48</f>
        <v>0</v>
      </c>
      <c r="CF52" s="159" t="n">
        <f aca="false">-NA_monthly!CF48+NA_monthly!CE48</f>
        <v>0</v>
      </c>
      <c r="CG52" s="159" t="n">
        <f aca="false">-NA_monthly!CG48+NA_monthly!CF48</f>
        <v>0</v>
      </c>
      <c r="CH52" s="159" t="n">
        <f aca="false">-NA_monthly!CH48+NA_monthly!CG48</f>
        <v>0</v>
      </c>
      <c r="CI52" s="159" t="n">
        <f aca="false">-NA_monthly!CI48+NA_monthly!CH48</f>
        <v>0</v>
      </c>
      <c r="CJ52" s="159" t="n">
        <f aca="false">-NA_monthly!CJ48+NA_monthly!CI48</f>
        <v>0</v>
      </c>
      <c r="CK52" s="159" t="n">
        <f aca="false">-NA_monthly!CK48+NA_monthly!CJ48</f>
        <v>0</v>
      </c>
      <c r="CM52" s="1" t="s">
        <v>567</v>
      </c>
    </row>
    <row r="53" customFormat="false" ht="11.25" hidden="false" customHeight="true" outlineLevel="0" collapsed="false">
      <c r="C53" s="51" t="str">
        <f aca="false">"∆ "&amp;'Lead NA'!C209</f>
        <v>∆ Dummy 3</v>
      </c>
      <c r="D53" s="51" t="str">
        <f aca="false">"∆ "&amp;'Lead NA'!D209</f>
        <v>∆ Dummy 3</v>
      </c>
      <c r="E53" s="137"/>
      <c r="F53" s="137"/>
      <c r="G53" s="159" t="n">
        <f aca="false">-NA_monthly!G49+NA_monthly!F49</f>
        <v>0</v>
      </c>
      <c r="H53" s="159" t="n">
        <f aca="false">-NA_monthly!H49+NA_monthly!G49</f>
        <v>0</v>
      </c>
      <c r="I53" s="159" t="n">
        <f aca="false">-NA_monthly!I49+NA_monthly!H49</f>
        <v>0</v>
      </c>
      <c r="J53" s="159" t="n">
        <f aca="false">-NA_monthly!J49+NA_monthly!I49</f>
        <v>0</v>
      </c>
      <c r="K53" s="159" t="n">
        <f aca="false">-NA_monthly!K49+NA_monthly!J49</f>
        <v>0</v>
      </c>
      <c r="L53" s="159" t="n">
        <f aca="false">-NA_monthly!L49+NA_monthly!K49</f>
        <v>0</v>
      </c>
      <c r="M53" s="159" t="n">
        <f aca="false">-NA_monthly!M49+NA_monthly!L49</f>
        <v>0</v>
      </c>
      <c r="N53" s="159" t="n">
        <f aca="false">-NA_monthly!N49+NA_monthly!M49</f>
        <v>0</v>
      </c>
      <c r="O53" s="159" t="n">
        <f aca="false">-NA_monthly!O49+NA_monthly!N49</f>
        <v>0</v>
      </c>
      <c r="P53" s="159" t="n">
        <f aca="false">-NA_monthly!P49+NA_monthly!O49</f>
        <v>0</v>
      </c>
      <c r="Q53" s="159" t="n">
        <f aca="false">-NA_monthly!Q49+NA_monthly!P49</f>
        <v>0</v>
      </c>
      <c r="R53" s="159" t="n">
        <f aca="false">-NA_monthly!R49+NA_monthly!Q49</f>
        <v>0</v>
      </c>
      <c r="S53" s="159" t="n">
        <f aca="false">-NA_monthly!S49+NA_monthly!R49</f>
        <v>0</v>
      </c>
      <c r="T53" s="159" t="n">
        <f aca="false">-NA_monthly!T49+NA_monthly!S49</f>
        <v>0</v>
      </c>
      <c r="U53" s="159" t="n">
        <f aca="false">-NA_monthly!U49+NA_monthly!T49</f>
        <v>0</v>
      </c>
      <c r="V53" s="159" t="n">
        <f aca="false">-NA_monthly!V49+NA_monthly!U49</f>
        <v>0</v>
      </c>
      <c r="W53" s="159" t="n">
        <f aca="false">-NA_monthly!W49+NA_monthly!V49</f>
        <v>0</v>
      </c>
      <c r="X53" s="159" t="n">
        <f aca="false">-NA_monthly!X49+NA_monthly!W49</f>
        <v>0</v>
      </c>
      <c r="Y53" s="159" t="n">
        <f aca="false">-NA_monthly!Y49+NA_monthly!X49</f>
        <v>0</v>
      </c>
      <c r="Z53" s="159" t="n">
        <f aca="false">-NA_monthly!Z49+NA_monthly!Y49</f>
        <v>0</v>
      </c>
      <c r="AA53" s="159" t="n">
        <f aca="false">-NA_monthly!AA49+NA_monthly!Z49</f>
        <v>0</v>
      </c>
      <c r="AB53" s="159" t="n">
        <f aca="false">-NA_monthly!AB49+NA_monthly!AA49</f>
        <v>0</v>
      </c>
      <c r="AC53" s="159" t="n">
        <f aca="false">-NA_monthly!AC49+NA_monthly!AB49</f>
        <v>0</v>
      </c>
      <c r="AD53" s="159" t="n">
        <f aca="false">-NA_monthly!AD49+NA_monthly!AC49</f>
        <v>0</v>
      </c>
      <c r="AE53" s="159" t="n">
        <f aca="false">-NA_monthly!AE49+NA_monthly!AD49</f>
        <v>0</v>
      </c>
      <c r="AF53" s="159" t="n">
        <f aca="false">-NA_monthly!AF49+NA_monthly!AE49</f>
        <v>0</v>
      </c>
      <c r="AG53" s="159" t="n">
        <f aca="false">-NA_monthly!AG49+NA_monthly!AF49</f>
        <v>0</v>
      </c>
      <c r="AH53" s="159" t="n">
        <f aca="false">-NA_monthly!AH49+NA_monthly!AG49</f>
        <v>0</v>
      </c>
      <c r="AI53" s="159" t="n">
        <f aca="false">-NA_monthly!AI49+NA_monthly!AH49</f>
        <v>0</v>
      </c>
      <c r="AJ53" s="159" t="n">
        <f aca="false">-NA_monthly!AJ49+NA_monthly!AI49</f>
        <v>0</v>
      </c>
      <c r="AK53" s="159" t="n">
        <f aca="false">-NA_monthly!AK49+NA_monthly!AJ49</f>
        <v>0</v>
      </c>
      <c r="AL53" s="159" t="n">
        <f aca="false">-NA_monthly!AL49+NA_monthly!AK49</f>
        <v>0</v>
      </c>
      <c r="AM53" s="159" t="n">
        <f aca="false">-NA_monthly!AM49+NA_monthly!AL49</f>
        <v>0</v>
      </c>
      <c r="AN53" s="159" t="n">
        <f aca="false">-NA_monthly!AN49+NA_monthly!AM49</f>
        <v>0</v>
      </c>
      <c r="AO53" s="159" t="n">
        <f aca="false">-NA_monthly!AO49+NA_monthly!AN49</f>
        <v>0</v>
      </c>
      <c r="AP53" s="159" t="n">
        <f aca="false">-NA_monthly!AP49+NA_monthly!AO49</f>
        <v>0</v>
      </c>
      <c r="AQ53" s="159" t="n">
        <f aca="false">-NA_monthly!AQ49+NA_monthly!AP49</f>
        <v>0</v>
      </c>
      <c r="AR53" s="159" t="n">
        <f aca="false">-NA_monthly!AR49+NA_monthly!AQ49</f>
        <v>0</v>
      </c>
      <c r="AS53" s="159" t="n">
        <f aca="false">-NA_monthly!AS49+NA_monthly!AR49</f>
        <v>0</v>
      </c>
      <c r="AT53" s="159" t="n">
        <f aca="false">-NA_monthly!AT49+NA_monthly!AS49</f>
        <v>0</v>
      </c>
      <c r="AU53" s="159" t="n">
        <f aca="false">-NA_monthly!AU49+NA_monthly!AT49</f>
        <v>0</v>
      </c>
      <c r="AV53" s="159" t="n">
        <f aca="false">-NA_monthly!AV49+NA_monthly!AU49</f>
        <v>0</v>
      </c>
      <c r="AW53" s="159" t="n">
        <f aca="false">-NA_monthly!AW49+NA_monthly!AV49</f>
        <v>0</v>
      </c>
      <c r="AX53" s="159" t="n">
        <f aca="false">-NA_monthly!AX49+NA_monthly!AW49</f>
        <v>0</v>
      </c>
      <c r="AY53" s="159" t="n">
        <f aca="false">-NA_monthly!AY49+NA_monthly!AX49</f>
        <v>0</v>
      </c>
      <c r="AZ53" s="159" t="n">
        <f aca="false">-NA_monthly!AZ49+NA_monthly!AY49</f>
        <v>0</v>
      </c>
      <c r="BA53" s="159" t="n">
        <f aca="false">-NA_monthly!BA49+NA_monthly!AZ49</f>
        <v>0</v>
      </c>
      <c r="BB53" s="159" t="n">
        <f aca="false">-NA_monthly!BB49+NA_monthly!BA49</f>
        <v>0</v>
      </c>
      <c r="BC53" s="159" t="n">
        <f aca="false">-NA_monthly!BC49+NA_monthly!BB49</f>
        <v>0</v>
      </c>
      <c r="BD53" s="159" t="n">
        <f aca="false">-NA_monthly!BD49+NA_monthly!BC49</f>
        <v>0</v>
      </c>
      <c r="BE53" s="159" t="n">
        <f aca="false">-NA_monthly!BE49+NA_monthly!BD49</f>
        <v>0</v>
      </c>
      <c r="BF53" s="159" t="n">
        <f aca="false">-NA_monthly!BF49+NA_monthly!BE49</f>
        <v>0</v>
      </c>
      <c r="BG53" s="159" t="n">
        <f aca="false">-NA_monthly!BG49+NA_monthly!BF49</f>
        <v>0</v>
      </c>
      <c r="BH53" s="159" t="n">
        <f aca="false">-NA_monthly!BH49+NA_monthly!BG49</f>
        <v>0</v>
      </c>
      <c r="BI53" s="159" t="n">
        <f aca="false">-NA_monthly!BI49+NA_monthly!BH49</f>
        <v>0</v>
      </c>
      <c r="BJ53" s="159" t="n">
        <f aca="false">-NA_monthly!BJ49+NA_monthly!BI49</f>
        <v>0</v>
      </c>
      <c r="BK53" s="159" t="n">
        <f aca="false">-NA_monthly!BK49+NA_monthly!BJ49</f>
        <v>0</v>
      </c>
      <c r="BL53" s="159" t="n">
        <f aca="false">-NA_monthly!BL49+NA_monthly!BK49</f>
        <v>0</v>
      </c>
      <c r="BM53" s="159" t="n">
        <f aca="false">-NA_monthly!BM49+NA_monthly!BL49</f>
        <v>0</v>
      </c>
      <c r="BN53" s="159" t="n">
        <f aca="false">-NA_monthly!BN49+NA_monthly!BM49</f>
        <v>0</v>
      </c>
      <c r="BO53" s="159" t="n">
        <f aca="false">-NA_monthly!BO49+NA_monthly!BN49</f>
        <v>0</v>
      </c>
      <c r="BP53" s="159" t="n">
        <f aca="false">-NA_monthly!BP49+NA_monthly!BO49</f>
        <v>0</v>
      </c>
      <c r="BQ53" s="159" t="n">
        <f aca="false">-NA_monthly!BQ49+NA_monthly!BP49</f>
        <v>0</v>
      </c>
      <c r="BR53" s="159" t="n">
        <f aca="false">-NA_monthly!BR49+NA_monthly!BQ49</f>
        <v>0</v>
      </c>
      <c r="BS53" s="159" t="n">
        <f aca="false">-NA_monthly!BS49+NA_monthly!BR49</f>
        <v>0</v>
      </c>
      <c r="BT53" s="159" t="n">
        <f aca="false">-NA_monthly!BT49+NA_monthly!BS49</f>
        <v>0</v>
      </c>
      <c r="BU53" s="159" t="n">
        <f aca="false">-NA_monthly!BU49+NA_monthly!BT49</f>
        <v>0</v>
      </c>
      <c r="BV53" s="159" t="n">
        <f aca="false">-NA_monthly!BV49+NA_monthly!BU49</f>
        <v>0</v>
      </c>
      <c r="BW53" s="159" t="n">
        <f aca="false">-NA_monthly!BW49+NA_monthly!BV49</f>
        <v>0</v>
      </c>
      <c r="BX53" s="159" t="n">
        <f aca="false">-NA_monthly!BX49+NA_monthly!BW49</f>
        <v>0</v>
      </c>
      <c r="BY53" s="159" t="n">
        <f aca="false">-NA_monthly!BY49+NA_monthly!BX49</f>
        <v>0</v>
      </c>
      <c r="BZ53" s="159" t="n">
        <f aca="false">-NA_monthly!BZ49+NA_monthly!BY49</f>
        <v>0</v>
      </c>
      <c r="CA53" s="159" t="n">
        <f aca="false">-NA_monthly!CA49+NA_monthly!BZ49</f>
        <v>0</v>
      </c>
      <c r="CB53" s="159" t="n">
        <f aca="false">-NA_monthly!CB49+NA_monthly!CA49</f>
        <v>0</v>
      </c>
      <c r="CC53" s="159" t="n">
        <f aca="false">-NA_monthly!CC49+NA_monthly!CB49</f>
        <v>0</v>
      </c>
      <c r="CD53" s="159" t="n">
        <f aca="false">-NA_monthly!CD49+NA_monthly!CC49</f>
        <v>0</v>
      </c>
      <c r="CE53" s="159" t="n">
        <f aca="false">-NA_monthly!CE49+NA_monthly!CD49</f>
        <v>0</v>
      </c>
      <c r="CF53" s="159" t="n">
        <f aca="false">-NA_monthly!CF49+NA_monthly!CE49</f>
        <v>0</v>
      </c>
      <c r="CG53" s="159" t="n">
        <f aca="false">-NA_monthly!CG49+NA_monthly!CF49</f>
        <v>0</v>
      </c>
      <c r="CH53" s="159" t="n">
        <f aca="false">-NA_monthly!CH49+NA_monthly!CG49</f>
        <v>0</v>
      </c>
      <c r="CI53" s="159" t="n">
        <f aca="false">-NA_monthly!CI49+NA_monthly!CH49</f>
        <v>0</v>
      </c>
      <c r="CJ53" s="159" t="n">
        <f aca="false">-NA_monthly!CJ49+NA_monthly!CI49</f>
        <v>0</v>
      </c>
      <c r="CK53" s="159" t="n">
        <f aca="false">-NA_monthly!CK49+NA_monthly!CJ49</f>
        <v>0</v>
      </c>
      <c r="CM53" s="1" t="s">
        <v>567</v>
      </c>
    </row>
    <row r="54" customFormat="false" ht="11.25" hidden="false" customHeight="true" outlineLevel="0" collapsed="false">
      <c r="C54" s="51" t="s">
        <v>574</v>
      </c>
      <c r="D54" s="51" t="s">
        <v>575</v>
      </c>
      <c r="E54" s="137"/>
      <c r="F54" s="137"/>
      <c r="G54" s="159"/>
      <c r="H54" s="159"/>
      <c r="I54" s="159"/>
      <c r="J54" s="159"/>
      <c r="K54" s="159"/>
      <c r="L54" s="159"/>
      <c r="M54" s="159"/>
      <c r="N54" s="159"/>
      <c r="O54" s="159"/>
      <c r="P54" s="159"/>
      <c r="Q54" s="159"/>
      <c r="R54" s="159"/>
      <c r="S54" s="159"/>
      <c r="T54" s="159"/>
      <c r="U54" s="159"/>
      <c r="V54" s="159"/>
      <c r="W54" s="159"/>
      <c r="X54" s="159"/>
      <c r="Y54" s="159"/>
      <c r="Z54" s="159"/>
      <c r="AA54" s="159"/>
      <c r="AB54" s="159"/>
      <c r="AC54" s="159"/>
      <c r="AD54" s="159"/>
      <c r="AE54" s="159"/>
      <c r="AF54" s="159"/>
      <c r="AG54" s="159"/>
      <c r="AH54" s="159"/>
      <c r="AI54" s="159"/>
      <c r="AJ54" s="159"/>
      <c r="AK54" s="159"/>
      <c r="AL54" s="159"/>
      <c r="AM54" s="159"/>
      <c r="AN54" s="159"/>
      <c r="AO54" s="159"/>
      <c r="AP54" s="159"/>
      <c r="AQ54" s="159"/>
      <c r="AR54" s="159"/>
      <c r="AS54" s="159"/>
      <c r="AT54" s="159"/>
      <c r="AU54" s="159"/>
      <c r="AV54" s="159"/>
      <c r="AW54" s="159"/>
      <c r="AX54" s="159"/>
      <c r="AY54" s="159"/>
      <c r="AZ54" s="159"/>
      <c r="BA54" s="159"/>
      <c r="BB54" s="159"/>
      <c r="BC54" s="159"/>
      <c r="BD54" s="159"/>
      <c r="BE54" s="159"/>
      <c r="BF54" s="159"/>
      <c r="BG54" s="159"/>
      <c r="BH54" s="159"/>
      <c r="BI54" s="159"/>
      <c r="BJ54" s="159"/>
      <c r="BK54" s="159"/>
      <c r="BL54" s="159"/>
      <c r="BM54" s="159"/>
      <c r="BN54" s="159"/>
      <c r="BO54" s="159"/>
      <c r="BP54" s="159"/>
      <c r="BQ54" s="159"/>
      <c r="BR54" s="159"/>
      <c r="BS54" s="159"/>
      <c r="BT54" s="159"/>
      <c r="BU54" s="159"/>
      <c r="BV54" s="159"/>
      <c r="BW54" s="159"/>
      <c r="BX54" s="159"/>
      <c r="BY54" s="159"/>
      <c r="BZ54" s="159"/>
      <c r="CA54" s="159"/>
      <c r="CB54" s="159"/>
      <c r="CC54" s="159"/>
      <c r="CD54" s="159"/>
      <c r="CE54" s="159"/>
      <c r="CF54" s="159"/>
      <c r="CG54" s="159"/>
      <c r="CH54" s="159"/>
      <c r="CI54" s="159"/>
      <c r="CJ54" s="159"/>
      <c r="CK54" s="159"/>
    </row>
    <row r="55" customFormat="false" ht="11.25" hidden="false" customHeight="true" outlineLevel="0" collapsed="false">
      <c r="C55" s="51" t="str">
        <f aca="false">'Lead PL'!C190</f>
        <v>Finanzergebnis</v>
      </c>
      <c r="D55" s="51" t="str">
        <f aca="false">'Lead PL'!D190</f>
        <v>Financial result</v>
      </c>
      <c r="E55" s="137"/>
      <c r="F55" s="137"/>
      <c r="G55" s="159" t="n">
        <f aca="false">PL_monthly!G46</f>
        <v>0</v>
      </c>
      <c r="H55" s="159" t="n">
        <f aca="false">PL_monthly!H46</f>
        <v>0</v>
      </c>
      <c r="I55" s="159" t="n">
        <f aca="false">PL_monthly!I46</f>
        <v>0</v>
      </c>
      <c r="J55" s="159" t="n">
        <f aca="false">PL_monthly!J46</f>
        <v>0</v>
      </c>
      <c r="K55" s="159" t="n">
        <f aca="false">PL_monthly!K46</f>
        <v>0</v>
      </c>
      <c r="L55" s="159" t="n">
        <f aca="false">PL_monthly!L46</f>
        <v>0</v>
      </c>
      <c r="M55" s="159" t="n">
        <f aca="false">PL_monthly!M46</f>
        <v>0</v>
      </c>
      <c r="N55" s="159" t="n">
        <f aca="false">PL_monthly!N46</f>
        <v>0</v>
      </c>
      <c r="O55" s="159" t="n">
        <f aca="false">PL_monthly!O46</f>
        <v>0</v>
      </c>
      <c r="P55" s="159" t="n">
        <f aca="false">PL_monthly!P46</f>
        <v>0</v>
      </c>
      <c r="Q55" s="159" t="n">
        <f aca="false">PL_monthly!Q46</f>
        <v>0</v>
      </c>
      <c r="R55" s="159" t="n">
        <f aca="false">PL_monthly!R46</f>
        <v>0</v>
      </c>
      <c r="S55" s="159" t="n">
        <f aca="false">PL_monthly!S46</f>
        <v>0</v>
      </c>
      <c r="T55" s="159" t="n">
        <f aca="false">PL_monthly!T46</f>
        <v>0</v>
      </c>
      <c r="U55" s="159" t="n">
        <f aca="false">PL_monthly!U46</f>
        <v>0</v>
      </c>
      <c r="V55" s="159" t="n">
        <f aca="false">PL_monthly!V46</f>
        <v>0</v>
      </c>
      <c r="W55" s="159" t="n">
        <f aca="false">PL_monthly!W46</f>
        <v>0</v>
      </c>
      <c r="X55" s="159" t="n">
        <f aca="false">PL_monthly!X46</f>
        <v>0</v>
      </c>
      <c r="Y55" s="159" t="n">
        <f aca="false">PL_monthly!Y46</f>
        <v>0</v>
      </c>
      <c r="Z55" s="159" t="n">
        <f aca="false">PL_monthly!Z46</f>
        <v>0</v>
      </c>
      <c r="AA55" s="159" t="n">
        <f aca="false">PL_monthly!AA46</f>
        <v>0</v>
      </c>
      <c r="AB55" s="159" t="n">
        <f aca="false">PL_monthly!AB46</f>
        <v>0</v>
      </c>
      <c r="AC55" s="159" t="n">
        <f aca="false">PL_monthly!AC46</f>
        <v>0</v>
      </c>
      <c r="AD55" s="159" t="n">
        <f aca="false">PL_monthly!AD46</f>
        <v>0</v>
      </c>
      <c r="AE55" s="159" t="n">
        <f aca="false">PL_monthly!AE46</f>
        <v>0</v>
      </c>
      <c r="AF55" s="159" t="n">
        <f aca="false">PL_monthly!AF46</f>
        <v>0</v>
      </c>
      <c r="AG55" s="159" t="n">
        <f aca="false">PL_monthly!AG46</f>
        <v>0</v>
      </c>
      <c r="AH55" s="159" t="n">
        <f aca="false">PL_monthly!AH46</f>
        <v>0</v>
      </c>
      <c r="AI55" s="159" t="n">
        <f aca="false">PL_monthly!AI46</f>
        <v>0</v>
      </c>
      <c r="AJ55" s="159" t="n">
        <f aca="false">PL_monthly!AJ46</f>
        <v>0</v>
      </c>
      <c r="AK55" s="159" t="n">
        <f aca="false">PL_monthly!AK46</f>
        <v>0</v>
      </c>
      <c r="AL55" s="159" t="n">
        <f aca="false">PL_monthly!AL46</f>
        <v>0</v>
      </c>
      <c r="AM55" s="159" t="n">
        <f aca="false">PL_monthly!AM46</f>
        <v>0</v>
      </c>
      <c r="AN55" s="159" t="n">
        <f aca="false">PL_monthly!AN46</f>
        <v>0</v>
      </c>
      <c r="AO55" s="159" t="n">
        <f aca="false">PL_monthly!AO46</f>
        <v>0</v>
      </c>
      <c r="AP55" s="159" t="n">
        <f aca="false">PL_monthly!AP46</f>
        <v>0</v>
      </c>
      <c r="AQ55" s="159" t="n">
        <f aca="false">PL_monthly!AQ46</f>
        <v>0</v>
      </c>
      <c r="AR55" s="159" t="n">
        <f aca="false">PL_monthly!AR46</f>
        <v>0</v>
      </c>
      <c r="AS55" s="159" t="n">
        <f aca="false">PL_monthly!AS46</f>
        <v>0</v>
      </c>
      <c r="AT55" s="159" t="n">
        <f aca="false">PL_monthly!AT46</f>
        <v>0</v>
      </c>
      <c r="AU55" s="159" t="n">
        <f aca="false">PL_monthly!AU46</f>
        <v>0</v>
      </c>
      <c r="AV55" s="159" t="n">
        <f aca="false">PL_monthly!AV46</f>
        <v>0</v>
      </c>
      <c r="AW55" s="159" t="n">
        <f aca="false">PL_monthly!AW46</f>
        <v>0</v>
      </c>
      <c r="AX55" s="159" t="n">
        <f aca="false">PL_monthly!AX46</f>
        <v>0</v>
      </c>
      <c r="AY55" s="159" t="n">
        <f aca="false">PL_monthly!AY46</f>
        <v>0</v>
      </c>
      <c r="AZ55" s="159" t="n">
        <f aca="false">PL_monthly!AZ46</f>
        <v>0</v>
      </c>
      <c r="BA55" s="159" t="n">
        <f aca="false">PL_monthly!BA46</f>
        <v>0</v>
      </c>
      <c r="BB55" s="159" t="n">
        <f aca="false">PL_monthly!BB46</f>
        <v>0</v>
      </c>
      <c r="BC55" s="159" t="n">
        <f aca="false">PL_monthly!BC46</f>
        <v>0</v>
      </c>
      <c r="BD55" s="159" t="n">
        <f aca="false">PL_monthly!BD46</f>
        <v>0</v>
      </c>
      <c r="BE55" s="159" t="n">
        <f aca="false">PL_monthly!BE46</f>
        <v>0</v>
      </c>
      <c r="BF55" s="159" t="n">
        <f aca="false">PL_monthly!BF46</f>
        <v>0</v>
      </c>
      <c r="BG55" s="159" t="n">
        <f aca="false">PL_monthly!BG46</f>
        <v>0</v>
      </c>
      <c r="BH55" s="159" t="n">
        <f aca="false">PL_monthly!BH46</f>
        <v>0</v>
      </c>
      <c r="BI55" s="159" t="n">
        <f aca="false">PL_monthly!BI46</f>
        <v>0</v>
      </c>
      <c r="BJ55" s="159" t="n">
        <f aca="false">PL_monthly!BJ46</f>
        <v>0</v>
      </c>
      <c r="BK55" s="159" t="n">
        <f aca="false">PL_monthly!BK46</f>
        <v>0</v>
      </c>
      <c r="BL55" s="159" t="n">
        <f aca="false">PL_monthly!BL46</f>
        <v>0</v>
      </c>
      <c r="BM55" s="159" t="n">
        <f aca="false">PL_monthly!BM46</f>
        <v>0</v>
      </c>
      <c r="BN55" s="159" t="n">
        <f aca="false">PL_monthly!BN46</f>
        <v>0</v>
      </c>
      <c r="BO55" s="159" t="n">
        <f aca="false">PL_monthly!BO46</f>
        <v>0</v>
      </c>
      <c r="BP55" s="159" t="n">
        <f aca="false">PL_monthly!BP46</f>
        <v>0</v>
      </c>
      <c r="BQ55" s="159" t="n">
        <f aca="false">PL_monthly!BQ46</f>
        <v>0</v>
      </c>
      <c r="BR55" s="159" t="n">
        <f aca="false">PL_monthly!BR46</f>
        <v>0</v>
      </c>
      <c r="BS55" s="159" t="n">
        <f aca="false">PL_monthly!BS46</f>
        <v>0</v>
      </c>
      <c r="BT55" s="159" t="n">
        <f aca="false">PL_monthly!BT46</f>
        <v>0</v>
      </c>
      <c r="BU55" s="159" t="n">
        <f aca="false">PL_monthly!BU46</f>
        <v>0</v>
      </c>
      <c r="BV55" s="159" t="n">
        <f aca="false">PL_monthly!BV46</f>
        <v>0</v>
      </c>
      <c r="BW55" s="159" t="n">
        <f aca="false">PL_monthly!BW46</f>
        <v>0</v>
      </c>
      <c r="BX55" s="159" t="n">
        <f aca="false">PL_monthly!BX46</f>
        <v>0</v>
      </c>
      <c r="BY55" s="159" t="n">
        <f aca="false">PL_monthly!BY46</f>
        <v>0</v>
      </c>
      <c r="BZ55" s="159" t="n">
        <f aca="false">PL_monthly!BZ46</f>
        <v>0</v>
      </c>
      <c r="CA55" s="159" t="n">
        <f aca="false">PL_monthly!CA46</f>
        <v>0</v>
      </c>
      <c r="CB55" s="159" t="n">
        <f aca="false">PL_monthly!CB46</f>
        <v>0</v>
      </c>
      <c r="CC55" s="159" t="n">
        <f aca="false">PL_monthly!CC46</f>
        <v>0</v>
      </c>
      <c r="CD55" s="159" t="n">
        <f aca="false">PL_monthly!CD46</f>
        <v>0</v>
      </c>
      <c r="CE55" s="159" t="n">
        <f aca="false">PL_monthly!CE46</f>
        <v>0</v>
      </c>
      <c r="CF55" s="159" t="n">
        <f aca="false">PL_monthly!CF46</f>
        <v>0</v>
      </c>
      <c r="CG55" s="159" t="n">
        <f aca="false">PL_monthly!CG46</f>
        <v>0</v>
      </c>
      <c r="CH55" s="159" t="n">
        <f aca="false">PL_monthly!CH46</f>
        <v>0</v>
      </c>
      <c r="CI55" s="159" t="n">
        <f aca="false">PL_monthly!CI46</f>
        <v>0</v>
      </c>
      <c r="CJ55" s="159" t="n">
        <f aca="false">PL_monthly!CJ46</f>
        <v>0</v>
      </c>
      <c r="CK55" s="159" t="n">
        <f aca="false">PL_monthly!CK46</f>
        <v>0</v>
      </c>
    </row>
    <row r="56" customFormat="false" ht="11.25" hidden="false" customHeight="true" outlineLevel="0" collapsed="false">
      <c r="C56" s="54" t="s">
        <v>556</v>
      </c>
      <c r="D56" s="54" t="s">
        <v>557</v>
      </c>
      <c r="E56" s="189"/>
      <c r="F56" s="189" t="n">
        <f aca="false">NA_monthly!F61</f>
        <v>0</v>
      </c>
      <c r="G56" s="162" t="n">
        <f aca="false">NA_monthly!G61</f>
        <v>0</v>
      </c>
      <c r="H56" s="162" t="n">
        <f aca="false">NA_monthly!H61</f>
        <v>0</v>
      </c>
      <c r="I56" s="162" t="n">
        <f aca="false">NA_monthly!I61</f>
        <v>0</v>
      </c>
      <c r="J56" s="162" t="n">
        <f aca="false">NA_monthly!J61</f>
        <v>0</v>
      </c>
      <c r="K56" s="162" t="n">
        <f aca="false">NA_monthly!K61</f>
        <v>0</v>
      </c>
      <c r="L56" s="162" t="n">
        <f aca="false">NA_monthly!L61</f>
        <v>0</v>
      </c>
      <c r="M56" s="162" t="n">
        <f aca="false">NA_monthly!M61</f>
        <v>0</v>
      </c>
      <c r="N56" s="162" t="n">
        <f aca="false">NA_monthly!N61</f>
        <v>0</v>
      </c>
      <c r="O56" s="162" t="n">
        <f aca="false">NA_monthly!O61</f>
        <v>0</v>
      </c>
      <c r="P56" s="162" t="n">
        <f aca="false">NA_monthly!P61</f>
        <v>0</v>
      </c>
      <c r="Q56" s="162" t="n">
        <f aca="false">NA_monthly!Q61</f>
        <v>0</v>
      </c>
      <c r="R56" s="162" t="n">
        <f aca="false">NA_monthly!R61</f>
        <v>0</v>
      </c>
      <c r="S56" s="162" t="n">
        <f aca="false">NA_monthly!S61</f>
        <v>0</v>
      </c>
      <c r="T56" s="162" t="n">
        <f aca="false">NA_monthly!T61</f>
        <v>0</v>
      </c>
      <c r="U56" s="162" t="n">
        <f aca="false">NA_monthly!U61</f>
        <v>0</v>
      </c>
      <c r="V56" s="162" t="n">
        <f aca="false">NA_monthly!V61</f>
        <v>0</v>
      </c>
      <c r="W56" s="162" t="n">
        <f aca="false">NA_monthly!W61</f>
        <v>0</v>
      </c>
      <c r="X56" s="162" t="n">
        <f aca="false">NA_monthly!X61</f>
        <v>0</v>
      </c>
      <c r="Y56" s="162" t="n">
        <f aca="false">NA_monthly!Y61</f>
        <v>0</v>
      </c>
      <c r="Z56" s="162" t="n">
        <f aca="false">NA_monthly!Z61</f>
        <v>0</v>
      </c>
      <c r="AA56" s="162" t="n">
        <f aca="false">NA_monthly!AA61</f>
        <v>0</v>
      </c>
      <c r="AB56" s="162" t="n">
        <f aca="false">NA_monthly!AB61</f>
        <v>0</v>
      </c>
      <c r="AC56" s="162" t="n">
        <f aca="false">NA_monthly!AC61</f>
        <v>0</v>
      </c>
      <c r="AD56" s="162" t="n">
        <f aca="false">NA_monthly!AD61</f>
        <v>0</v>
      </c>
      <c r="AE56" s="162" t="n">
        <f aca="false">NA_monthly!AE61</f>
        <v>0</v>
      </c>
      <c r="AF56" s="162" t="n">
        <f aca="false">NA_monthly!AF61</f>
        <v>0</v>
      </c>
      <c r="AG56" s="162" t="n">
        <f aca="false">NA_monthly!AG61</f>
        <v>0</v>
      </c>
      <c r="AH56" s="162" t="n">
        <f aca="false">NA_monthly!AH61</f>
        <v>0</v>
      </c>
      <c r="AI56" s="162" t="n">
        <f aca="false">NA_monthly!AI61</f>
        <v>0</v>
      </c>
      <c r="AJ56" s="162" t="n">
        <f aca="false">NA_monthly!AJ61</f>
        <v>0</v>
      </c>
      <c r="AK56" s="162" t="n">
        <f aca="false">NA_monthly!AK61</f>
        <v>0</v>
      </c>
      <c r="AL56" s="162" t="n">
        <f aca="false">NA_monthly!AL61</f>
        <v>0</v>
      </c>
      <c r="AM56" s="162" t="n">
        <f aca="false">NA_monthly!AM61</f>
        <v>0</v>
      </c>
      <c r="AN56" s="162" t="n">
        <f aca="false">NA_monthly!AN61</f>
        <v>0</v>
      </c>
      <c r="AO56" s="162" t="n">
        <f aca="false">NA_monthly!AO61</f>
        <v>0</v>
      </c>
      <c r="AP56" s="162" t="n">
        <f aca="false">NA_monthly!AP61</f>
        <v>0</v>
      </c>
      <c r="AQ56" s="162" t="n">
        <f aca="false">NA_monthly!AQ61</f>
        <v>0</v>
      </c>
      <c r="AR56" s="162" t="n">
        <f aca="false">NA_monthly!AR61</f>
        <v>0</v>
      </c>
      <c r="AS56" s="162" t="n">
        <f aca="false">NA_monthly!AS61</f>
        <v>0</v>
      </c>
      <c r="AT56" s="162" t="n">
        <f aca="false">NA_monthly!AT61</f>
        <v>0</v>
      </c>
      <c r="AU56" s="162" t="n">
        <f aca="false">NA_monthly!AU61</f>
        <v>0</v>
      </c>
      <c r="AV56" s="162" t="n">
        <f aca="false">NA_monthly!AV61</f>
        <v>0</v>
      </c>
      <c r="AW56" s="162" t="n">
        <f aca="false">NA_monthly!AW61</f>
        <v>0</v>
      </c>
      <c r="AX56" s="162" t="n">
        <f aca="false">NA_monthly!AX61</f>
        <v>0</v>
      </c>
      <c r="AY56" s="162" t="n">
        <f aca="false">NA_monthly!AY61</f>
        <v>0</v>
      </c>
      <c r="AZ56" s="162" t="n">
        <f aca="false">NA_monthly!AZ61</f>
        <v>0</v>
      </c>
      <c r="BA56" s="162" t="n">
        <f aca="false">NA_monthly!BA61</f>
        <v>0</v>
      </c>
      <c r="BB56" s="162" t="n">
        <f aca="false">NA_monthly!BB61</f>
        <v>0</v>
      </c>
      <c r="BC56" s="162" t="n">
        <f aca="false">NA_monthly!BC61</f>
        <v>0</v>
      </c>
      <c r="BD56" s="162" t="n">
        <f aca="false">NA_monthly!BD61</f>
        <v>0</v>
      </c>
      <c r="BE56" s="162" t="n">
        <f aca="false">NA_monthly!BE61</f>
        <v>0</v>
      </c>
      <c r="BF56" s="162" t="n">
        <f aca="false">NA_monthly!BF61</f>
        <v>0</v>
      </c>
      <c r="BG56" s="162" t="n">
        <f aca="false">NA_monthly!BG61</f>
        <v>0</v>
      </c>
      <c r="BH56" s="162" t="n">
        <f aca="false">NA_monthly!BH61</f>
        <v>0</v>
      </c>
      <c r="BI56" s="162" t="n">
        <f aca="false">NA_monthly!BI61</f>
        <v>0</v>
      </c>
      <c r="BJ56" s="162" t="n">
        <f aca="false">NA_monthly!BJ61</f>
        <v>0</v>
      </c>
      <c r="BK56" s="162" t="n">
        <f aca="false">NA_monthly!BK61</f>
        <v>0</v>
      </c>
      <c r="BL56" s="162" t="n">
        <f aca="false">NA_monthly!BL61</f>
        <v>0</v>
      </c>
      <c r="BM56" s="162" t="n">
        <f aca="false">NA_monthly!BM61</f>
        <v>0</v>
      </c>
      <c r="BN56" s="162" t="n">
        <f aca="false">NA_monthly!BN61</f>
        <v>0</v>
      </c>
      <c r="BO56" s="162" t="n">
        <f aca="false">NA_monthly!BO61</f>
        <v>0</v>
      </c>
      <c r="BP56" s="162" t="n">
        <f aca="false">NA_monthly!BP61</f>
        <v>0</v>
      </c>
      <c r="BQ56" s="162" t="n">
        <f aca="false">NA_monthly!BQ61</f>
        <v>0</v>
      </c>
      <c r="BR56" s="162" t="n">
        <f aca="false">NA_monthly!BR61</f>
        <v>0</v>
      </c>
      <c r="BS56" s="162" t="n">
        <f aca="false">NA_monthly!BS61</f>
        <v>0</v>
      </c>
      <c r="BT56" s="162" t="n">
        <f aca="false">NA_monthly!BT61</f>
        <v>0</v>
      </c>
      <c r="BU56" s="162" t="n">
        <f aca="false">NA_monthly!BU61</f>
        <v>0</v>
      </c>
      <c r="BV56" s="162" t="n">
        <f aca="false">NA_monthly!BV61</f>
        <v>0</v>
      </c>
      <c r="BW56" s="162" t="n">
        <f aca="false">NA_monthly!BW61</f>
        <v>0</v>
      </c>
      <c r="BX56" s="162" t="n">
        <f aca="false">NA_monthly!BX61</f>
        <v>0</v>
      </c>
      <c r="BY56" s="162" t="n">
        <f aca="false">NA_monthly!BY61</f>
        <v>0</v>
      </c>
      <c r="BZ56" s="162" t="n">
        <f aca="false">NA_monthly!BZ61</f>
        <v>0</v>
      </c>
      <c r="CA56" s="162" t="n">
        <f aca="false">NA_monthly!CA61</f>
        <v>0</v>
      </c>
      <c r="CB56" s="162" t="n">
        <f aca="false">NA_monthly!CB61</f>
        <v>0</v>
      </c>
      <c r="CC56" s="162" t="n">
        <f aca="false">NA_monthly!CC61</f>
        <v>0</v>
      </c>
      <c r="CD56" s="162" t="n">
        <f aca="false">NA_monthly!CD61</f>
        <v>0</v>
      </c>
      <c r="CE56" s="162" t="n">
        <f aca="false">NA_monthly!CE61</f>
        <v>0</v>
      </c>
      <c r="CF56" s="162" t="n">
        <f aca="false">NA_monthly!CF61</f>
        <v>0</v>
      </c>
      <c r="CG56" s="162" t="n">
        <f aca="false">NA_monthly!CG61</f>
        <v>0</v>
      </c>
      <c r="CH56" s="162" t="n">
        <f aca="false">NA_monthly!CH61</f>
        <v>0</v>
      </c>
      <c r="CI56" s="162" t="n">
        <f aca="false">NA_monthly!CI61</f>
        <v>0</v>
      </c>
      <c r="CJ56" s="162" t="n">
        <f aca="false">NA_monthly!CJ61</f>
        <v>0</v>
      </c>
      <c r="CK56" s="162" t="n">
        <f aca="false">NA_monthly!CK61</f>
        <v>0</v>
      </c>
    </row>
    <row r="57" customFormat="false" ht="11.25" hidden="false" customHeight="true" outlineLevel="0" collapsed="false">
      <c r="C57" s="165" t="s">
        <v>576</v>
      </c>
      <c r="D57" s="165" t="s">
        <v>577</v>
      </c>
      <c r="E57" s="198"/>
      <c r="F57" s="198" t="n">
        <f aca="false">SUM(F49:F56)</f>
        <v>0</v>
      </c>
      <c r="G57" s="165" t="n">
        <f aca="false">SUM(G49:G56)</f>
        <v>0</v>
      </c>
      <c r="H57" s="165" t="n">
        <f aca="false">SUM(H49:H56)</f>
        <v>0</v>
      </c>
      <c r="I57" s="165" t="n">
        <f aca="false">SUM(I49:I56)</f>
        <v>0</v>
      </c>
      <c r="J57" s="165" t="n">
        <f aca="false">SUM(J49:J56)</f>
        <v>0</v>
      </c>
      <c r="K57" s="165" t="n">
        <f aca="false">SUM(K49:K56)</f>
        <v>0</v>
      </c>
      <c r="L57" s="165" t="n">
        <f aca="false">SUM(L49:L56)</f>
        <v>0</v>
      </c>
      <c r="M57" s="165" t="n">
        <f aca="false">SUM(M49:M56)</f>
        <v>0</v>
      </c>
      <c r="N57" s="165" t="n">
        <f aca="false">SUM(N49:N56)</f>
        <v>0</v>
      </c>
      <c r="O57" s="165" t="n">
        <f aca="false">SUM(O49:O56)</f>
        <v>0</v>
      </c>
      <c r="P57" s="165" t="n">
        <f aca="false">SUM(P49:P56)</f>
        <v>0</v>
      </c>
      <c r="Q57" s="165" t="n">
        <f aca="false">SUM(Q49:Q56)</f>
        <v>0</v>
      </c>
      <c r="R57" s="165" t="n">
        <f aca="false">SUM(R49:R56)</f>
        <v>0</v>
      </c>
      <c r="S57" s="165" t="n">
        <f aca="false">SUM(S49:S56)</f>
        <v>0</v>
      </c>
      <c r="T57" s="165" t="n">
        <f aca="false">SUM(T49:T56)</f>
        <v>0</v>
      </c>
      <c r="U57" s="165" t="n">
        <f aca="false">SUM(U49:U56)</f>
        <v>0</v>
      </c>
      <c r="V57" s="165" t="n">
        <f aca="false">SUM(V49:V56)</f>
        <v>0</v>
      </c>
      <c r="W57" s="165" t="n">
        <f aca="false">SUM(W49:W56)</f>
        <v>0</v>
      </c>
      <c r="X57" s="165" t="n">
        <f aca="false">SUM(X49:X56)</f>
        <v>0</v>
      </c>
      <c r="Y57" s="165" t="n">
        <f aca="false">SUM(Y49:Y56)</f>
        <v>0</v>
      </c>
      <c r="Z57" s="165" t="n">
        <f aca="false">SUM(Z49:Z56)</f>
        <v>0</v>
      </c>
      <c r="AA57" s="165" t="n">
        <f aca="false">SUM(AA49:AA56)</f>
        <v>0</v>
      </c>
      <c r="AB57" s="165" t="n">
        <f aca="false">SUM(AB49:AB56)</f>
        <v>0</v>
      </c>
      <c r="AC57" s="165" t="n">
        <f aca="false">SUM(AC49:AC56)</f>
        <v>0</v>
      </c>
      <c r="AD57" s="165" t="n">
        <f aca="false">SUM(AD49:AD56)</f>
        <v>0</v>
      </c>
      <c r="AE57" s="165" t="n">
        <f aca="false">SUM(AE49:AE56)</f>
        <v>0</v>
      </c>
      <c r="AF57" s="165" t="n">
        <f aca="false">SUM(AF49:AF56)</f>
        <v>0</v>
      </c>
      <c r="AG57" s="165" t="n">
        <f aca="false">SUM(AG49:AG56)</f>
        <v>0</v>
      </c>
      <c r="AH57" s="165" t="n">
        <f aca="false">SUM(AH49:AH56)</f>
        <v>0</v>
      </c>
      <c r="AI57" s="165" t="n">
        <f aca="false">SUM(AI49:AI56)</f>
        <v>0</v>
      </c>
      <c r="AJ57" s="165" t="n">
        <f aca="false">SUM(AJ49:AJ56)</f>
        <v>0</v>
      </c>
      <c r="AK57" s="165" t="n">
        <f aca="false">SUM(AK49:AK56)</f>
        <v>0</v>
      </c>
      <c r="AL57" s="165" t="n">
        <f aca="false">SUM(AL49:AL56)</f>
        <v>0</v>
      </c>
      <c r="AM57" s="165" t="n">
        <f aca="false">SUM(AM49:AM56)</f>
        <v>0</v>
      </c>
      <c r="AN57" s="165" t="n">
        <f aca="false">SUM(AN49:AN56)</f>
        <v>0</v>
      </c>
      <c r="AO57" s="165" t="n">
        <f aca="false">SUM(AO49:AO56)</f>
        <v>0</v>
      </c>
      <c r="AP57" s="165" t="n">
        <f aca="false">SUM(AP49:AP56)</f>
        <v>0</v>
      </c>
      <c r="AQ57" s="165" t="n">
        <f aca="false">SUM(AQ49:AQ56)</f>
        <v>0</v>
      </c>
      <c r="AR57" s="165" t="n">
        <f aca="false">SUM(AR49:AR56)</f>
        <v>0</v>
      </c>
      <c r="AS57" s="165" t="n">
        <f aca="false">SUM(AS49:AS56)</f>
        <v>0</v>
      </c>
      <c r="AT57" s="165" t="n">
        <f aca="false">SUM(AT49:AT56)</f>
        <v>0</v>
      </c>
      <c r="AU57" s="165" t="n">
        <f aca="false">SUM(AU49:AU56)</f>
        <v>0</v>
      </c>
      <c r="AV57" s="165" t="n">
        <f aca="false">SUM(AV49:AV56)</f>
        <v>0</v>
      </c>
      <c r="AW57" s="165" t="n">
        <f aca="false">SUM(AW49:AW56)</f>
        <v>0</v>
      </c>
      <c r="AX57" s="165" t="n">
        <f aca="false">SUM(AX49:AX56)</f>
        <v>0</v>
      </c>
      <c r="AY57" s="165" t="n">
        <f aca="false">SUM(AY49:AY56)</f>
        <v>0</v>
      </c>
      <c r="AZ57" s="165" t="n">
        <f aca="false">SUM(AZ49:AZ56)</f>
        <v>0</v>
      </c>
      <c r="BA57" s="165" t="n">
        <f aca="false">SUM(BA49:BA56)</f>
        <v>0</v>
      </c>
      <c r="BB57" s="165" t="n">
        <f aca="false">SUM(BB49:BB56)</f>
        <v>0</v>
      </c>
      <c r="BC57" s="165" t="n">
        <f aca="false">SUM(BC49:BC56)</f>
        <v>0</v>
      </c>
      <c r="BD57" s="165" t="n">
        <f aca="false">SUM(BD49:BD56)</f>
        <v>0</v>
      </c>
      <c r="BE57" s="165" t="n">
        <f aca="false">SUM(BE49:BE56)</f>
        <v>0</v>
      </c>
      <c r="BF57" s="165" t="n">
        <f aca="false">SUM(BF49:BF56)</f>
        <v>0</v>
      </c>
      <c r="BG57" s="165" t="n">
        <f aca="false">SUM(BG49:BG56)</f>
        <v>0</v>
      </c>
      <c r="BH57" s="165" t="n">
        <f aca="false">SUM(BH49:BH56)</f>
        <v>0</v>
      </c>
      <c r="BI57" s="165" t="n">
        <f aca="false">SUM(BI49:BI56)</f>
        <v>0</v>
      </c>
      <c r="BJ57" s="165" t="n">
        <f aca="false">SUM(BJ49:BJ56)</f>
        <v>0</v>
      </c>
      <c r="BK57" s="165" t="n">
        <f aca="false">SUM(BK49:BK56)</f>
        <v>0</v>
      </c>
      <c r="BL57" s="165" t="n">
        <f aca="false">SUM(BL49:BL56)</f>
        <v>0</v>
      </c>
      <c r="BM57" s="165" t="n">
        <f aca="false">SUM(BM49:BM56)</f>
        <v>0</v>
      </c>
      <c r="BN57" s="165" t="n">
        <f aca="false">SUM(BN49:BN56)</f>
        <v>0</v>
      </c>
      <c r="BO57" s="165" t="n">
        <f aca="false">SUM(BO49:BO56)</f>
        <v>0</v>
      </c>
      <c r="BP57" s="165" t="n">
        <f aca="false">SUM(BP49:BP56)</f>
        <v>0</v>
      </c>
      <c r="BQ57" s="165" t="n">
        <f aca="false">SUM(BQ49:BQ56)</f>
        <v>0</v>
      </c>
      <c r="BR57" s="165" t="n">
        <f aca="false">SUM(BR49:BR56)</f>
        <v>0</v>
      </c>
      <c r="BS57" s="165" t="n">
        <f aca="false">SUM(BS49:BS56)</f>
        <v>0</v>
      </c>
      <c r="BT57" s="165" t="n">
        <f aca="false">SUM(BT49:BT56)</f>
        <v>0</v>
      </c>
      <c r="BU57" s="165" t="n">
        <f aca="false">SUM(BU49:BU56)</f>
        <v>0</v>
      </c>
      <c r="BV57" s="165" t="n">
        <f aca="false">SUM(BV49:BV56)</f>
        <v>0</v>
      </c>
      <c r="BW57" s="165" t="n">
        <f aca="false">SUM(BW49:BW56)</f>
        <v>0</v>
      </c>
      <c r="BX57" s="165" t="n">
        <f aca="false">SUM(BX49:BX56)</f>
        <v>0</v>
      </c>
      <c r="BY57" s="165" t="n">
        <f aca="false">SUM(BY49:BY56)</f>
        <v>0</v>
      </c>
      <c r="BZ57" s="165" t="n">
        <f aca="false">SUM(BZ49:BZ56)</f>
        <v>0</v>
      </c>
      <c r="CA57" s="165" t="n">
        <f aca="false">SUM(CA49:CA56)</f>
        <v>0</v>
      </c>
      <c r="CB57" s="165" t="n">
        <f aca="false">SUM(CB49:CB56)</f>
        <v>0</v>
      </c>
      <c r="CC57" s="165" t="n">
        <f aca="false">SUM(CC49:CC56)</f>
        <v>0</v>
      </c>
      <c r="CD57" s="165" t="n">
        <f aca="false">SUM(CD49:CD56)</f>
        <v>0</v>
      </c>
      <c r="CE57" s="165" t="n">
        <f aca="false">SUM(CE49:CE56)</f>
        <v>0</v>
      </c>
      <c r="CF57" s="165" t="n">
        <f aca="false">SUM(CF49:CF56)</f>
        <v>0</v>
      </c>
      <c r="CG57" s="165" t="n">
        <f aca="false">SUM(CG49:CG56)</f>
        <v>0</v>
      </c>
      <c r="CH57" s="165" t="n">
        <f aca="false">SUM(CH49:CH56)</f>
        <v>0</v>
      </c>
      <c r="CI57" s="165" t="n">
        <f aca="false">SUM(CI49:CI56)</f>
        <v>0</v>
      </c>
      <c r="CJ57" s="165" t="n">
        <f aca="false">SUM(CJ49:CJ56)</f>
        <v>0</v>
      </c>
      <c r="CK57" s="165" t="n">
        <f aca="false">SUM(CK49:CK56)</f>
        <v>0</v>
      </c>
    </row>
    <row r="58" customFormat="false" ht="4.5" hidden="false" customHeight="true" outlineLevel="0" collapsed="false">
      <c r="C58" s="178"/>
      <c r="D58" s="178"/>
      <c r="E58" s="137"/>
      <c r="F58" s="137"/>
      <c r="G58" s="178"/>
      <c r="H58" s="178"/>
      <c r="I58" s="178"/>
      <c r="J58" s="178"/>
      <c r="K58" s="178"/>
      <c r="L58" s="178"/>
      <c r="M58" s="178"/>
      <c r="N58" s="178"/>
      <c r="O58" s="178"/>
      <c r="P58" s="178"/>
      <c r="Q58" s="178"/>
      <c r="R58" s="178"/>
      <c r="S58" s="178"/>
      <c r="T58" s="178"/>
      <c r="U58" s="178"/>
      <c r="V58" s="178"/>
      <c r="W58" s="178"/>
      <c r="X58" s="178"/>
      <c r="Y58" s="178"/>
      <c r="Z58" s="178"/>
      <c r="AA58" s="178"/>
      <c r="AB58" s="178"/>
      <c r="AC58" s="178"/>
      <c r="AD58" s="178"/>
      <c r="AE58" s="178"/>
      <c r="AF58" s="178"/>
      <c r="AG58" s="178"/>
      <c r="AH58" s="178"/>
      <c r="AI58" s="178"/>
      <c r="AJ58" s="178"/>
      <c r="AK58" s="178"/>
      <c r="AL58" s="178"/>
      <c r="AM58" s="178"/>
      <c r="AN58" s="178"/>
      <c r="AO58" s="178"/>
      <c r="AP58" s="178"/>
      <c r="AQ58" s="178"/>
      <c r="AR58" s="178"/>
      <c r="AS58" s="178"/>
      <c r="AT58" s="178"/>
      <c r="AU58" s="178"/>
      <c r="AV58" s="178"/>
      <c r="AW58" s="178"/>
      <c r="AX58" s="178"/>
      <c r="AY58" s="178"/>
      <c r="AZ58" s="178"/>
      <c r="BA58" s="178"/>
      <c r="BB58" s="178"/>
      <c r="BC58" s="178"/>
      <c r="BD58" s="178"/>
      <c r="BE58" s="178"/>
      <c r="BF58" s="178"/>
      <c r="BG58" s="178"/>
      <c r="BH58" s="178"/>
      <c r="BI58" s="178"/>
      <c r="BJ58" s="178"/>
      <c r="BK58" s="178"/>
      <c r="BL58" s="178"/>
      <c r="BM58" s="178"/>
      <c r="BN58" s="178"/>
      <c r="BO58" s="178"/>
      <c r="BP58" s="178"/>
      <c r="BQ58" s="178"/>
      <c r="BR58" s="178"/>
      <c r="BS58" s="178"/>
      <c r="BT58" s="178"/>
      <c r="BU58" s="178"/>
      <c r="BV58" s="178"/>
      <c r="BW58" s="178"/>
      <c r="BX58" s="178"/>
      <c r="BY58" s="178"/>
      <c r="BZ58" s="178"/>
      <c r="CA58" s="178"/>
      <c r="CB58" s="178"/>
      <c r="CC58" s="178"/>
      <c r="CD58" s="178"/>
      <c r="CE58" s="178"/>
      <c r="CF58" s="178"/>
      <c r="CG58" s="178"/>
      <c r="CH58" s="178"/>
      <c r="CI58" s="178"/>
      <c r="CJ58" s="178"/>
      <c r="CK58" s="178"/>
    </row>
    <row r="59" customFormat="false" ht="4.5" hidden="false" customHeight="true" outlineLevel="0" collapsed="false">
      <c r="C59" s="54"/>
      <c r="D59" s="54"/>
      <c r="E59" s="189"/>
      <c r="F59" s="189"/>
      <c r="G59" s="162"/>
      <c r="H59" s="162"/>
      <c r="I59" s="162"/>
      <c r="J59" s="162"/>
      <c r="K59" s="162"/>
      <c r="L59" s="162"/>
      <c r="M59" s="162"/>
      <c r="N59" s="162"/>
      <c r="O59" s="162"/>
      <c r="P59" s="162"/>
      <c r="Q59" s="162"/>
      <c r="R59" s="162"/>
      <c r="S59" s="162"/>
      <c r="T59" s="162"/>
      <c r="U59" s="162"/>
      <c r="V59" s="162"/>
      <c r="W59" s="162"/>
      <c r="X59" s="162"/>
      <c r="Y59" s="162"/>
      <c r="Z59" s="162"/>
      <c r="AA59" s="162"/>
      <c r="AB59" s="162"/>
      <c r="AC59" s="162"/>
      <c r="AD59" s="162"/>
      <c r="AE59" s="162"/>
      <c r="AF59" s="162"/>
      <c r="AG59" s="162"/>
      <c r="AH59" s="162"/>
      <c r="AI59" s="162"/>
      <c r="AJ59" s="162"/>
      <c r="AK59" s="162"/>
      <c r="AL59" s="162"/>
      <c r="AM59" s="162"/>
      <c r="AN59" s="162"/>
      <c r="AO59" s="162"/>
      <c r="AP59" s="162"/>
      <c r="AQ59" s="162"/>
      <c r="AR59" s="162"/>
      <c r="AS59" s="162"/>
      <c r="AT59" s="162"/>
      <c r="AU59" s="162"/>
      <c r="AV59" s="162"/>
      <c r="AW59" s="162"/>
      <c r="AX59" s="162"/>
      <c r="AY59" s="162"/>
      <c r="AZ59" s="162"/>
      <c r="BA59" s="162"/>
      <c r="BB59" s="162"/>
      <c r="BC59" s="162"/>
      <c r="BD59" s="162"/>
      <c r="BE59" s="162"/>
      <c r="BF59" s="162"/>
      <c r="BG59" s="162"/>
      <c r="BH59" s="162"/>
      <c r="BI59" s="162"/>
      <c r="BJ59" s="162"/>
      <c r="BK59" s="162"/>
      <c r="BL59" s="162"/>
      <c r="BM59" s="162"/>
      <c r="BN59" s="162"/>
      <c r="BO59" s="162"/>
      <c r="BP59" s="162"/>
      <c r="BQ59" s="162"/>
      <c r="BR59" s="162"/>
      <c r="BS59" s="162"/>
      <c r="BT59" s="162"/>
      <c r="BU59" s="162"/>
      <c r="BV59" s="162"/>
      <c r="BW59" s="162"/>
      <c r="BX59" s="162"/>
      <c r="BY59" s="162"/>
      <c r="BZ59" s="162"/>
      <c r="CA59" s="162"/>
      <c r="CB59" s="162"/>
      <c r="CC59" s="162"/>
      <c r="CD59" s="162"/>
      <c r="CE59" s="162"/>
      <c r="CF59" s="162"/>
      <c r="CG59" s="162"/>
      <c r="CH59" s="162"/>
      <c r="CI59" s="162"/>
      <c r="CJ59" s="162"/>
      <c r="CK59" s="162"/>
    </row>
    <row r="60" customFormat="false" ht="11.25" hidden="false" customHeight="true" outlineLevel="0" collapsed="false">
      <c r="C60" s="171" t="s">
        <v>578</v>
      </c>
      <c r="D60" s="171" t="s">
        <v>579</v>
      </c>
      <c r="E60" s="189"/>
      <c r="F60" s="189" t="n">
        <f aca="false">SUM(F47,F57)</f>
        <v>0</v>
      </c>
      <c r="G60" s="205" t="n">
        <f aca="false">SUM(G47,G57)</f>
        <v>0</v>
      </c>
      <c r="H60" s="205" t="n">
        <f aca="false">SUM(H47,H57)</f>
        <v>0</v>
      </c>
      <c r="I60" s="205" t="n">
        <f aca="false">SUM(I47,I57)</f>
        <v>0</v>
      </c>
      <c r="J60" s="205" t="n">
        <f aca="false">SUM(J47,J57)</f>
        <v>0</v>
      </c>
      <c r="K60" s="205" t="n">
        <f aca="false">SUM(K47,K57)</f>
        <v>0</v>
      </c>
      <c r="L60" s="205" t="n">
        <f aca="false">SUM(L47,L57)</f>
        <v>0</v>
      </c>
      <c r="M60" s="205" t="n">
        <f aca="false">SUM(M47,M57)</f>
        <v>0</v>
      </c>
      <c r="N60" s="205" t="n">
        <f aca="false">SUM(N47,N57)</f>
        <v>0</v>
      </c>
      <c r="O60" s="205" t="n">
        <f aca="false">SUM(O47,O57)</f>
        <v>0</v>
      </c>
      <c r="P60" s="205" t="n">
        <f aca="false">SUM(P47,P57)</f>
        <v>0</v>
      </c>
      <c r="Q60" s="205" t="n">
        <f aca="false">SUM(Q47,Q57)</f>
        <v>0</v>
      </c>
      <c r="R60" s="205" t="n">
        <f aca="false">SUM(R47,R57)</f>
        <v>0</v>
      </c>
      <c r="S60" s="205" t="n">
        <f aca="false">SUM(S47,S57)</f>
        <v>0</v>
      </c>
      <c r="T60" s="205" t="n">
        <f aca="false">SUM(T47,T57)</f>
        <v>0</v>
      </c>
      <c r="U60" s="205" t="n">
        <f aca="false">SUM(U47,U57)</f>
        <v>0</v>
      </c>
      <c r="V60" s="205" t="n">
        <f aca="false">SUM(V47,V57)</f>
        <v>0</v>
      </c>
      <c r="W60" s="205" t="n">
        <f aca="false">SUM(W47,W57)</f>
        <v>0</v>
      </c>
      <c r="X60" s="205" t="n">
        <f aca="false">SUM(X47,X57)</f>
        <v>0</v>
      </c>
      <c r="Y60" s="205" t="n">
        <f aca="false">SUM(Y47,Y57)</f>
        <v>0</v>
      </c>
      <c r="Z60" s="205" t="n">
        <f aca="false">SUM(Z47,Z57)</f>
        <v>0</v>
      </c>
      <c r="AA60" s="205" t="n">
        <f aca="false">SUM(AA47,AA57)</f>
        <v>0</v>
      </c>
      <c r="AB60" s="205" t="n">
        <f aca="false">SUM(AB47,AB57)</f>
        <v>0</v>
      </c>
      <c r="AC60" s="205" t="n">
        <f aca="false">SUM(AC47,AC57)</f>
        <v>0</v>
      </c>
      <c r="AD60" s="205" t="n">
        <f aca="false">SUM(AD47,AD57)</f>
        <v>0</v>
      </c>
      <c r="AE60" s="205" t="n">
        <f aca="false">SUM(AE47,AE57)</f>
        <v>0</v>
      </c>
      <c r="AF60" s="205" t="n">
        <f aca="false">SUM(AF47,AF57)</f>
        <v>0</v>
      </c>
      <c r="AG60" s="205" t="n">
        <f aca="false">SUM(AG47,AG57)</f>
        <v>0</v>
      </c>
      <c r="AH60" s="205" t="n">
        <f aca="false">SUM(AH47,AH57)</f>
        <v>0</v>
      </c>
      <c r="AI60" s="205" t="n">
        <f aca="false">SUM(AI47,AI57)</f>
        <v>0</v>
      </c>
      <c r="AJ60" s="205" t="n">
        <f aca="false">SUM(AJ47,AJ57)</f>
        <v>0</v>
      </c>
      <c r="AK60" s="205" t="n">
        <f aca="false">SUM(AK47,AK57)</f>
        <v>0</v>
      </c>
      <c r="AL60" s="205" t="n">
        <f aca="false">SUM(AL47,AL57)</f>
        <v>0</v>
      </c>
      <c r="AM60" s="205" t="n">
        <f aca="false">SUM(AM47,AM57)</f>
        <v>0</v>
      </c>
      <c r="AN60" s="205" t="n">
        <f aca="false">SUM(AN47,AN57)</f>
        <v>0</v>
      </c>
      <c r="AO60" s="205" t="n">
        <f aca="false">SUM(AO47,AO57)</f>
        <v>0</v>
      </c>
      <c r="AP60" s="205" t="n">
        <f aca="false">SUM(AP47,AP57)</f>
        <v>0</v>
      </c>
      <c r="AQ60" s="205" t="n">
        <f aca="false">SUM(AQ47,AQ57)</f>
        <v>0</v>
      </c>
      <c r="AR60" s="205" t="n">
        <f aca="false">SUM(AR47,AR57)</f>
        <v>0</v>
      </c>
      <c r="AS60" s="205" t="n">
        <f aca="false">SUM(AS47,AS57)</f>
        <v>0</v>
      </c>
      <c r="AT60" s="205" t="n">
        <f aca="false">SUM(AT47,AT57)</f>
        <v>0</v>
      </c>
      <c r="AU60" s="205" t="n">
        <f aca="false">SUM(AU47,AU57)</f>
        <v>0</v>
      </c>
      <c r="AV60" s="205" t="n">
        <f aca="false">SUM(AV47,AV57)</f>
        <v>0</v>
      </c>
      <c r="AW60" s="205" t="n">
        <f aca="false">SUM(AW47,AW57)</f>
        <v>0</v>
      </c>
      <c r="AX60" s="205" t="n">
        <f aca="false">SUM(AX47,AX57)</f>
        <v>0</v>
      </c>
      <c r="AY60" s="205" t="n">
        <f aca="false">SUM(AY47,AY57)</f>
        <v>0</v>
      </c>
      <c r="AZ60" s="205" t="n">
        <f aca="false">SUM(AZ47,AZ57)</f>
        <v>0</v>
      </c>
      <c r="BA60" s="205" t="n">
        <f aca="false">SUM(BA47,BA57)</f>
        <v>0</v>
      </c>
      <c r="BB60" s="205" t="n">
        <f aca="false">SUM(BB47,BB57)</f>
        <v>0</v>
      </c>
      <c r="BC60" s="205" t="n">
        <f aca="false">SUM(BC47,BC57)</f>
        <v>0</v>
      </c>
      <c r="BD60" s="205" t="n">
        <f aca="false">SUM(BD47,BD57)</f>
        <v>0</v>
      </c>
      <c r="BE60" s="205" t="n">
        <f aca="false">SUM(BE47,BE57)</f>
        <v>0</v>
      </c>
      <c r="BF60" s="205" t="n">
        <f aca="false">SUM(BF47,BF57)</f>
        <v>0</v>
      </c>
      <c r="BG60" s="205" t="n">
        <f aca="false">SUM(BG47,BG57)</f>
        <v>0</v>
      </c>
      <c r="BH60" s="205" t="n">
        <f aca="false">SUM(BH47,BH57)</f>
        <v>0</v>
      </c>
      <c r="BI60" s="205" t="n">
        <f aca="false">SUM(BI47,BI57)</f>
        <v>0</v>
      </c>
      <c r="BJ60" s="205" t="n">
        <f aca="false">SUM(BJ47,BJ57)</f>
        <v>0</v>
      </c>
      <c r="BK60" s="205" t="n">
        <f aca="false">SUM(BK47,BK57)</f>
        <v>0</v>
      </c>
      <c r="BL60" s="205" t="n">
        <f aca="false">SUM(BL47,BL57)</f>
        <v>0</v>
      </c>
      <c r="BM60" s="205" t="n">
        <f aca="false">SUM(BM47,BM57)</f>
        <v>0</v>
      </c>
      <c r="BN60" s="205" t="n">
        <f aca="false">SUM(BN47,BN57)</f>
        <v>0</v>
      </c>
      <c r="BO60" s="205" t="n">
        <f aca="false">SUM(BO47,BO57)</f>
        <v>0</v>
      </c>
      <c r="BP60" s="205" t="n">
        <f aca="false">SUM(BP47,BP57)</f>
        <v>0</v>
      </c>
      <c r="BQ60" s="205" t="n">
        <f aca="false">SUM(BQ47,BQ57)</f>
        <v>0</v>
      </c>
      <c r="BR60" s="205" t="n">
        <f aca="false">SUM(BR47,BR57)</f>
        <v>0</v>
      </c>
      <c r="BS60" s="205" t="n">
        <f aca="false">SUM(BS47,BS57)</f>
        <v>0</v>
      </c>
      <c r="BT60" s="205" t="n">
        <f aca="false">SUM(BT47,BT57)</f>
        <v>0</v>
      </c>
      <c r="BU60" s="205" t="n">
        <f aca="false">SUM(BU47,BU57)</f>
        <v>0</v>
      </c>
      <c r="BV60" s="205" t="n">
        <f aca="false">SUM(BV47,BV57)</f>
        <v>0</v>
      </c>
      <c r="BW60" s="205" t="n">
        <f aca="false">SUM(BW47,BW57)</f>
        <v>0</v>
      </c>
      <c r="BX60" s="205" t="n">
        <f aca="false">SUM(BX47,BX57)</f>
        <v>0</v>
      </c>
      <c r="BY60" s="205" t="n">
        <f aca="false">SUM(BY47,BY57)</f>
        <v>0</v>
      </c>
      <c r="BZ60" s="205" t="n">
        <f aca="false">SUM(BZ47,BZ57)</f>
        <v>0</v>
      </c>
      <c r="CA60" s="205" t="n">
        <f aca="false">SUM(CA47,CA57)</f>
        <v>0</v>
      </c>
      <c r="CB60" s="205" t="n">
        <f aca="false">SUM(CB47,CB57)</f>
        <v>0</v>
      </c>
      <c r="CC60" s="205" t="n">
        <f aca="false">SUM(CC47,CC57)</f>
        <v>0</v>
      </c>
      <c r="CD60" s="205" t="n">
        <f aca="false">SUM(CD47,CD57)</f>
        <v>0</v>
      </c>
      <c r="CE60" s="205" t="n">
        <f aca="false">SUM(CE47,CE57)</f>
        <v>0</v>
      </c>
      <c r="CF60" s="205" t="n">
        <f aca="false">SUM(CF47,CF57)</f>
        <v>0</v>
      </c>
      <c r="CG60" s="205" t="n">
        <f aca="false">SUM(CG47,CG57)</f>
        <v>0</v>
      </c>
      <c r="CH60" s="205" t="n">
        <f aca="false">SUM(CH47,CH57)</f>
        <v>0</v>
      </c>
      <c r="CI60" s="205" t="n">
        <f aca="false">SUM(CI47,CI57)</f>
        <v>0</v>
      </c>
      <c r="CJ60" s="205" t="n">
        <f aca="false">SUM(CJ47,CJ57)</f>
        <v>0</v>
      </c>
      <c r="CK60" s="205" t="n">
        <f aca="false">SUM(CK47,CK57)</f>
        <v>0</v>
      </c>
    </row>
    <row r="61" customFormat="false" ht="4.5" hidden="false" customHeight="true" outlineLevel="0" collapsed="false">
      <c r="C61" s="51"/>
      <c r="D61" s="51"/>
      <c r="E61" s="137"/>
      <c r="F61" s="137"/>
      <c r="G61" s="159"/>
      <c r="H61" s="159"/>
      <c r="I61" s="159"/>
      <c r="J61" s="159"/>
      <c r="K61" s="159"/>
      <c r="L61" s="159"/>
      <c r="M61" s="159"/>
      <c r="N61" s="159"/>
      <c r="O61" s="159"/>
      <c r="P61" s="159"/>
      <c r="Q61" s="159"/>
      <c r="R61" s="159"/>
      <c r="S61" s="159"/>
      <c r="T61" s="159"/>
      <c r="U61" s="159"/>
      <c r="V61" s="159"/>
      <c r="W61" s="159"/>
      <c r="X61" s="159"/>
      <c r="Y61" s="159"/>
      <c r="Z61" s="159"/>
      <c r="AA61" s="159"/>
      <c r="AB61" s="159"/>
      <c r="AC61" s="159"/>
      <c r="AD61" s="159"/>
      <c r="AE61" s="159"/>
      <c r="AF61" s="159"/>
      <c r="AG61" s="159"/>
      <c r="AH61" s="159"/>
      <c r="AI61" s="159"/>
      <c r="AJ61" s="159"/>
      <c r="AK61" s="159"/>
      <c r="AL61" s="159"/>
      <c r="AM61" s="159"/>
      <c r="AN61" s="159"/>
      <c r="AO61" s="159"/>
      <c r="AP61" s="159"/>
      <c r="AQ61" s="159"/>
      <c r="AR61" s="159"/>
      <c r="AS61" s="159"/>
      <c r="AT61" s="159"/>
      <c r="AU61" s="159"/>
      <c r="AV61" s="159"/>
      <c r="AW61" s="159"/>
      <c r="AX61" s="159"/>
      <c r="AY61" s="159"/>
      <c r="AZ61" s="159"/>
      <c r="BA61" s="159"/>
      <c r="BB61" s="159"/>
      <c r="BC61" s="159"/>
      <c r="BD61" s="159"/>
      <c r="BE61" s="159"/>
      <c r="BF61" s="159"/>
      <c r="BG61" s="159"/>
      <c r="BH61" s="159"/>
      <c r="BI61" s="159"/>
      <c r="BJ61" s="159"/>
      <c r="BK61" s="159"/>
      <c r="BL61" s="159"/>
      <c r="BM61" s="159"/>
      <c r="BN61" s="159"/>
      <c r="BO61" s="159"/>
      <c r="BP61" s="159"/>
      <c r="BQ61" s="159"/>
      <c r="BR61" s="159"/>
      <c r="BS61" s="159"/>
      <c r="BT61" s="159"/>
      <c r="BU61" s="159"/>
      <c r="BV61" s="159"/>
      <c r="BW61" s="159"/>
      <c r="BX61" s="159"/>
      <c r="BY61" s="159"/>
      <c r="BZ61" s="159"/>
      <c r="CA61" s="159"/>
      <c r="CB61" s="159"/>
      <c r="CC61" s="159"/>
      <c r="CD61" s="159"/>
      <c r="CE61" s="159"/>
      <c r="CF61" s="159"/>
      <c r="CG61" s="159"/>
      <c r="CH61" s="159"/>
      <c r="CI61" s="159"/>
      <c r="CJ61" s="159"/>
      <c r="CK61" s="159"/>
    </row>
    <row r="62" customFormat="false" ht="11.25" hidden="false" customHeight="true" outlineLevel="0" collapsed="false">
      <c r="C62" s="51" t="s">
        <v>580</v>
      </c>
      <c r="D62" s="51" t="s">
        <v>581</v>
      </c>
      <c r="E62" s="137"/>
      <c r="F62" s="137" t="n">
        <f aca="false">E64</f>
        <v>0</v>
      </c>
      <c r="G62" s="159" t="n">
        <f aca="false">F64</f>
        <v>0</v>
      </c>
      <c r="H62" s="159" t="n">
        <f aca="false">G64</f>
        <v>0</v>
      </c>
      <c r="I62" s="159" t="n">
        <f aca="false">H64</f>
        <v>0</v>
      </c>
      <c r="J62" s="159" t="n">
        <f aca="false">I64</f>
        <v>0</v>
      </c>
      <c r="K62" s="159" t="n">
        <f aca="false">J64</f>
        <v>0</v>
      </c>
      <c r="L62" s="159" t="n">
        <f aca="false">K64</f>
        <v>0</v>
      </c>
      <c r="M62" s="159" t="n">
        <f aca="false">L64</f>
        <v>0</v>
      </c>
      <c r="N62" s="159" t="n">
        <f aca="false">M64</f>
        <v>0</v>
      </c>
      <c r="O62" s="159" t="n">
        <f aca="false">N64</f>
        <v>0</v>
      </c>
      <c r="P62" s="159" t="n">
        <f aca="false">O64</f>
        <v>0</v>
      </c>
      <c r="Q62" s="159" t="n">
        <f aca="false">P64</f>
        <v>0</v>
      </c>
      <c r="R62" s="159" t="n">
        <f aca="false">Q64</f>
        <v>0</v>
      </c>
      <c r="S62" s="159" t="n">
        <f aca="false">R64</f>
        <v>0</v>
      </c>
      <c r="T62" s="159" t="n">
        <f aca="false">S64</f>
        <v>0</v>
      </c>
      <c r="U62" s="159" t="n">
        <f aca="false">T64</f>
        <v>0</v>
      </c>
      <c r="V62" s="159" t="n">
        <f aca="false">U64</f>
        <v>0</v>
      </c>
      <c r="W62" s="159" t="n">
        <f aca="false">V64</f>
        <v>0</v>
      </c>
      <c r="X62" s="159" t="n">
        <f aca="false">W64</f>
        <v>0</v>
      </c>
      <c r="Y62" s="159" t="n">
        <f aca="false">X64</f>
        <v>0</v>
      </c>
      <c r="Z62" s="159" t="n">
        <f aca="false">Y64</f>
        <v>0</v>
      </c>
      <c r="AA62" s="159" t="n">
        <f aca="false">Z64</f>
        <v>0</v>
      </c>
      <c r="AB62" s="159" t="n">
        <f aca="false">AA64</f>
        <v>0</v>
      </c>
      <c r="AC62" s="159" t="n">
        <f aca="false">AB64</f>
        <v>0</v>
      </c>
      <c r="AD62" s="159" t="n">
        <f aca="false">AC64</f>
        <v>0</v>
      </c>
      <c r="AE62" s="159" t="n">
        <f aca="false">AD64</f>
        <v>0</v>
      </c>
      <c r="AF62" s="159" t="n">
        <f aca="false">AE64</f>
        <v>0</v>
      </c>
      <c r="AG62" s="159" t="n">
        <f aca="false">AF64</f>
        <v>0</v>
      </c>
      <c r="AH62" s="159" t="n">
        <f aca="false">AG64</f>
        <v>0</v>
      </c>
      <c r="AI62" s="159" t="n">
        <f aca="false">AH64</f>
        <v>0</v>
      </c>
      <c r="AJ62" s="159" t="n">
        <f aca="false">AI64</f>
        <v>0</v>
      </c>
      <c r="AK62" s="159" t="n">
        <f aca="false">AJ64</f>
        <v>0</v>
      </c>
      <c r="AL62" s="159" t="n">
        <f aca="false">AK64</f>
        <v>0</v>
      </c>
      <c r="AM62" s="159" t="n">
        <f aca="false">AL64</f>
        <v>0</v>
      </c>
      <c r="AN62" s="159" t="n">
        <f aca="false">AM64</f>
        <v>0</v>
      </c>
      <c r="AO62" s="159" t="n">
        <f aca="false">AN64</f>
        <v>0</v>
      </c>
      <c r="AP62" s="159" t="n">
        <f aca="false">AO64</f>
        <v>0</v>
      </c>
      <c r="AQ62" s="159" t="n">
        <f aca="false">AP64</f>
        <v>0</v>
      </c>
      <c r="AR62" s="159" t="n">
        <f aca="false">AQ64</f>
        <v>0</v>
      </c>
      <c r="AS62" s="159" t="n">
        <f aca="false">AR64</f>
        <v>0</v>
      </c>
      <c r="AT62" s="159" t="n">
        <f aca="false">AS64</f>
        <v>0</v>
      </c>
      <c r="AU62" s="159" t="n">
        <f aca="false">AT64</f>
        <v>0</v>
      </c>
      <c r="AV62" s="159" t="n">
        <f aca="false">AU64</f>
        <v>0</v>
      </c>
      <c r="AW62" s="159" t="n">
        <f aca="false">AV64</f>
        <v>0</v>
      </c>
      <c r="AX62" s="159" t="n">
        <f aca="false">AW64</f>
        <v>0</v>
      </c>
      <c r="AY62" s="159" t="n">
        <f aca="false">AX64</f>
        <v>0</v>
      </c>
      <c r="AZ62" s="159" t="n">
        <f aca="false">AY64</f>
        <v>0</v>
      </c>
      <c r="BA62" s="159" t="n">
        <f aca="false">AZ64</f>
        <v>0</v>
      </c>
      <c r="BB62" s="159" t="n">
        <f aca="false">BA64</f>
        <v>0</v>
      </c>
      <c r="BC62" s="159" t="n">
        <f aca="false">BB64</f>
        <v>0</v>
      </c>
      <c r="BD62" s="159" t="n">
        <f aca="false">BC64</f>
        <v>0</v>
      </c>
      <c r="BE62" s="159" t="n">
        <f aca="false">BD64</f>
        <v>0</v>
      </c>
      <c r="BF62" s="159" t="n">
        <f aca="false">BE64</f>
        <v>0</v>
      </c>
      <c r="BG62" s="159" t="n">
        <f aca="false">BF64</f>
        <v>0</v>
      </c>
      <c r="BH62" s="159" t="n">
        <f aca="false">BG64</f>
        <v>0</v>
      </c>
      <c r="BI62" s="159" t="n">
        <f aca="false">BH64</f>
        <v>0</v>
      </c>
      <c r="BJ62" s="159" t="n">
        <f aca="false">BI64</f>
        <v>0</v>
      </c>
      <c r="BK62" s="159" t="n">
        <f aca="false">BJ64</f>
        <v>0</v>
      </c>
      <c r="BL62" s="159" t="n">
        <f aca="false">BK64</f>
        <v>0</v>
      </c>
      <c r="BM62" s="159" t="n">
        <f aca="false">BL64</f>
        <v>0</v>
      </c>
      <c r="BN62" s="159" t="n">
        <f aca="false">BM64</f>
        <v>0</v>
      </c>
      <c r="BO62" s="159" t="n">
        <f aca="false">BN64</f>
        <v>0</v>
      </c>
      <c r="BP62" s="159" t="n">
        <f aca="false">BO64</f>
        <v>0</v>
      </c>
      <c r="BQ62" s="159" t="n">
        <f aca="false">BP64</f>
        <v>0</v>
      </c>
      <c r="BR62" s="159" t="n">
        <f aca="false">BQ64</f>
        <v>0</v>
      </c>
      <c r="BS62" s="159" t="n">
        <f aca="false">BR64</f>
        <v>0</v>
      </c>
      <c r="BT62" s="159" t="n">
        <f aca="false">BS64</f>
        <v>0</v>
      </c>
      <c r="BU62" s="159" t="n">
        <f aca="false">BT64</f>
        <v>0</v>
      </c>
      <c r="BV62" s="159" t="n">
        <f aca="false">BU64</f>
        <v>0</v>
      </c>
      <c r="BW62" s="159" t="n">
        <f aca="false">BV64</f>
        <v>0</v>
      </c>
      <c r="BX62" s="159" t="n">
        <f aca="false">BW64</f>
        <v>0</v>
      </c>
      <c r="BY62" s="159" t="n">
        <f aca="false">BX64</f>
        <v>0</v>
      </c>
      <c r="BZ62" s="159" t="n">
        <f aca="false">BY64</f>
        <v>0</v>
      </c>
      <c r="CA62" s="159" t="n">
        <f aca="false">BZ64</f>
        <v>0</v>
      </c>
      <c r="CB62" s="159" t="n">
        <f aca="false">CA64</f>
        <v>0</v>
      </c>
      <c r="CC62" s="159" t="n">
        <f aca="false">CB64</f>
        <v>0</v>
      </c>
      <c r="CD62" s="159" t="n">
        <f aca="false">CC64</f>
        <v>0</v>
      </c>
      <c r="CE62" s="159" t="n">
        <f aca="false">CD64</f>
        <v>0</v>
      </c>
      <c r="CF62" s="159" t="n">
        <f aca="false">CE64</f>
        <v>0</v>
      </c>
      <c r="CG62" s="159" t="n">
        <f aca="false">CF64</f>
        <v>0</v>
      </c>
      <c r="CH62" s="159" t="n">
        <f aca="false">CG64</f>
        <v>0</v>
      </c>
      <c r="CI62" s="159" t="n">
        <f aca="false">CH64</f>
        <v>0</v>
      </c>
      <c r="CJ62" s="159" t="n">
        <f aca="false">CI64</f>
        <v>0</v>
      </c>
      <c r="CK62" s="159" t="n">
        <f aca="false">CJ64</f>
        <v>0</v>
      </c>
      <c r="CM62" s="1" t="s">
        <v>567</v>
      </c>
    </row>
    <row r="63" customFormat="false" ht="11.25" hidden="false" customHeight="true" outlineLevel="0" collapsed="false">
      <c r="C63" s="54" t="str">
        <f aca="false">C60</f>
        <v>Veränderung Liquide Mittel</v>
      </c>
      <c r="D63" s="54" t="str">
        <f aca="false">D60</f>
        <v>Total change in cash</v>
      </c>
      <c r="E63" s="189"/>
      <c r="F63" s="189" t="n">
        <f aca="false">F60</f>
        <v>0</v>
      </c>
      <c r="G63" s="162" t="n">
        <f aca="false">G60</f>
        <v>0</v>
      </c>
      <c r="H63" s="162" t="n">
        <f aca="false">H60</f>
        <v>0</v>
      </c>
      <c r="I63" s="162" t="n">
        <f aca="false">I60</f>
        <v>0</v>
      </c>
      <c r="J63" s="162" t="n">
        <f aca="false">J60</f>
        <v>0</v>
      </c>
      <c r="K63" s="162" t="n">
        <f aca="false">K60</f>
        <v>0</v>
      </c>
      <c r="L63" s="162" t="n">
        <f aca="false">L60</f>
        <v>0</v>
      </c>
      <c r="M63" s="162" t="n">
        <f aca="false">M60</f>
        <v>0</v>
      </c>
      <c r="N63" s="162" t="n">
        <f aca="false">N60</f>
        <v>0</v>
      </c>
      <c r="O63" s="162" t="n">
        <f aca="false">O60</f>
        <v>0</v>
      </c>
      <c r="P63" s="162" t="n">
        <f aca="false">P60</f>
        <v>0</v>
      </c>
      <c r="Q63" s="162" t="n">
        <f aca="false">Q60</f>
        <v>0</v>
      </c>
      <c r="R63" s="162" t="n">
        <f aca="false">R60</f>
        <v>0</v>
      </c>
      <c r="S63" s="162" t="n">
        <f aca="false">S60</f>
        <v>0</v>
      </c>
      <c r="T63" s="162" t="n">
        <f aca="false">T60</f>
        <v>0</v>
      </c>
      <c r="U63" s="162" t="n">
        <f aca="false">U60</f>
        <v>0</v>
      </c>
      <c r="V63" s="162" t="n">
        <f aca="false">V60</f>
        <v>0</v>
      </c>
      <c r="W63" s="162" t="n">
        <f aca="false">W60</f>
        <v>0</v>
      </c>
      <c r="X63" s="162" t="n">
        <f aca="false">X60</f>
        <v>0</v>
      </c>
      <c r="Y63" s="162" t="n">
        <f aca="false">Y60</f>
        <v>0</v>
      </c>
      <c r="Z63" s="162" t="n">
        <f aca="false">Z60</f>
        <v>0</v>
      </c>
      <c r="AA63" s="162" t="n">
        <f aca="false">AA60</f>
        <v>0</v>
      </c>
      <c r="AB63" s="162" t="n">
        <f aca="false">AB60</f>
        <v>0</v>
      </c>
      <c r="AC63" s="162" t="n">
        <f aca="false">AC60</f>
        <v>0</v>
      </c>
      <c r="AD63" s="162" t="n">
        <f aca="false">AD60</f>
        <v>0</v>
      </c>
      <c r="AE63" s="162" t="n">
        <f aca="false">AE60</f>
        <v>0</v>
      </c>
      <c r="AF63" s="162" t="n">
        <f aca="false">AF60</f>
        <v>0</v>
      </c>
      <c r="AG63" s="162" t="n">
        <f aca="false">AG60</f>
        <v>0</v>
      </c>
      <c r="AH63" s="162" t="n">
        <f aca="false">AH60</f>
        <v>0</v>
      </c>
      <c r="AI63" s="162" t="n">
        <f aca="false">AI60</f>
        <v>0</v>
      </c>
      <c r="AJ63" s="162" t="n">
        <f aca="false">AJ60</f>
        <v>0</v>
      </c>
      <c r="AK63" s="162" t="n">
        <f aca="false">AK60</f>
        <v>0</v>
      </c>
      <c r="AL63" s="162" t="n">
        <f aca="false">AL60</f>
        <v>0</v>
      </c>
      <c r="AM63" s="162" t="n">
        <f aca="false">AM60</f>
        <v>0</v>
      </c>
      <c r="AN63" s="162" t="n">
        <f aca="false">AN60</f>
        <v>0</v>
      </c>
      <c r="AO63" s="162" t="n">
        <f aca="false">AO60</f>
        <v>0</v>
      </c>
      <c r="AP63" s="162" t="n">
        <f aca="false">AP60</f>
        <v>0</v>
      </c>
      <c r="AQ63" s="162" t="n">
        <f aca="false">AQ60</f>
        <v>0</v>
      </c>
      <c r="AR63" s="162" t="n">
        <f aca="false">AR60</f>
        <v>0</v>
      </c>
      <c r="AS63" s="162" t="n">
        <f aca="false">AS60</f>
        <v>0</v>
      </c>
      <c r="AT63" s="162" t="n">
        <f aca="false">AT60</f>
        <v>0</v>
      </c>
      <c r="AU63" s="162" t="n">
        <f aca="false">AU60</f>
        <v>0</v>
      </c>
      <c r="AV63" s="162" t="n">
        <f aca="false">AV60</f>
        <v>0</v>
      </c>
      <c r="AW63" s="162" t="n">
        <f aca="false">AW60</f>
        <v>0</v>
      </c>
      <c r="AX63" s="162" t="n">
        <f aca="false">AX60</f>
        <v>0</v>
      </c>
      <c r="AY63" s="162" t="n">
        <f aca="false">AY60</f>
        <v>0</v>
      </c>
      <c r="AZ63" s="162" t="n">
        <f aca="false">AZ60</f>
        <v>0</v>
      </c>
      <c r="BA63" s="162" t="n">
        <f aca="false">BA60</f>
        <v>0</v>
      </c>
      <c r="BB63" s="162" t="n">
        <f aca="false">BB60</f>
        <v>0</v>
      </c>
      <c r="BC63" s="162" t="n">
        <f aca="false">BC60</f>
        <v>0</v>
      </c>
      <c r="BD63" s="162" t="n">
        <f aca="false">BD60</f>
        <v>0</v>
      </c>
      <c r="BE63" s="162" t="n">
        <f aca="false">BE60</f>
        <v>0</v>
      </c>
      <c r="BF63" s="162" t="n">
        <f aca="false">BF60</f>
        <v>0</v>
      </c>
      <c r="BG63" s="162" t="n">
        <f aca="false">BG60</f>
        <v>0</v>
      </c>
      <c r="BH63" s="162" t="n">
        <f aca="false">BH60</f>
        <v>0</v>
      </c>
      <c r="BI63" s="162" t="n">
        <f aca="false">BI60</f>
        <v>0</v>
      </c>
      <c r="BJ63" s="162" t="n">
        <f aca="false">BJ60</f>
        <v>0</v>
      </c>
      <c r="BK63" s="162" t="n">
        <f aca="false">BK60</f>
        <v>0</v>
      </c>
      <c r="BL63" s="162" t="n">
        <f aca="false">BL60</f>
        <v>0</v>
      </c>
      <c r="BM63" s="162" t="n">
        <f aca="false">BM60</f>
        <v>0</v>
      </c>
      <c r="BN63" s="162" t="n">
        <f aca="false">BN60</f>
        <v>0</v>
      </c>
      <c r="BO63" s="162" t="n">
        <f aca="false">BO60</f>
        <v>0</v>
      </c>
      <c r="BP63" s="162" t="n">
        <f aca="false">BP60</f>
        <v>0</v>
      </c>
      <c r="BQ63" s="162" t="n">
        <f aca="false">BQ60</f>
        <v>0</v>
      </c>
      <c r="BR63" s="162" t="n">
        <f aca="false">BR60</f>
        <v>0</v>
      </c>
      <c r="BS63" s="162" t="n">
        <f aca="false">BS60</f>
        <v>0</v>
      </c>
      <c r="BT63" s="162" t="n">
        <f aca="false">BT60</f>
        <v>0</v>
      </c>
      <c r="BU63" s="162" t="n">
        <f aca="false">BU60</f>
        <v>0</v>
      </c>
      <c r="BV63" s="162" t="n">
        <f aca="false">BV60</f>
        <v>0</v>
      </c>
      <c r="BW63" s="162" t="n">
        <f aca="false">BW60</f>
        <v>0</v>
      </c>
      <c r="BX63" s="162" t="n">
        <f aca="false">BX60</f>
        <v>0</v>
      </c>
      <c r="BY63" s="162" t="n">
        <f aca="false">BY60</f>
        <v>0</v>
      </c>
      <c r="BZ63" s="162" t="n">
        <f aca="false">BZ60</f>
        <v>0</v>
      </c>
      <c r="CA63" s="162" t="n">
        <f aca="false">CA60</f>
        <v>0</v>
      </c>
      <c r="CB63" s="162" t="n">
        <f aca="false">CB60</f>
        <v>0</v>
      </c>
      <c r="CC63" s="162" t="n">
        <f aca="false">CC60</f>
        <v>0</v>
      </c>
      <c r="CD63" s="162" t="n">
        <f aca="false">CD60</f>
        <v>0</v>
      </c>
      <c r="CE63" s="162" t="n">
        <f aca="false">CE60</f>
        <v>0</v>
      </c>
      <c r="CF63" s="162" t="n">
        <f aca="false">CF60</f>
        <v>0</v>
      </c>
      <c r="CG63" s="162" t="n">
        <f aca="false">CG60</f>
        <v>0</v>
      </c>
      <c r="CH63" s="162" t="n">
        <f aca="false">CH60</f>
        <v>0</v>
      </c>
      <c r="CI63" s="162" t="n">
        <f aca="false">CI60</f>
        <v>0</v>
      </c>
      <c r="CJ63" s="162" t="n">
        <f aca="false">CJ60</f>
        <v>0</v>
      </c>
      <c r="CK63" s="162" t="n">
        <f aca="false">CK60</f>
        <v>0</v>
      </c>
    </row>
    <row r="64" customFormat="false" ht="11.25" hidden="false" customHeight="true" outlineLevel="0" collapsed="false">
      <c r="C64" s="171" t="s">
        <v>582</v>
      </c>
      <c r="D64" s="171" t="s">
        <v>583</v>
      </c>
      <c r="E64" s="210" t="n">
        <f aca="false">'Lead NA'!E180</f>
        <v>0</v>
      </c>
      <c r="F64" s="210" t="n">
        <f aca="false">SUM(F62:F63)</f>
        <v>0</v>
      </c>
      <c r="G64" s="205" t="n">
        <f aca="false">SUM(G62:G63)</f>
        <v>0</v>
      </c>
      <c r="H64" s="205" t="n">
        <f aca="false">SUM(H62:H63)</f>
        <v>0</v>
      </c>
      <c r="I64" s="205" t="n">
        <f aca="false">SUM(I62:I63)</f>
        <v>0</v>
      </c>
      <c r="J64" s="205" t="n">
        <f aca="false">SUM(J62:J63)</f>
        <v>0</v>
      </c>
      <c r="K64" s="205" t="n">
        <f aca="false">SUM(K62:K63)</f>
        <v>0</v>
      </c>
      <c r="L64" s="205" t="n">
        <f aca="false">SUM(L62:L63)</f>
        <v>0</v>
      </c>
      <c r="M64" s="205" t="n">
        <f aca="false">SUM(M62:M63)</f>
        <v>0</v>
      </c>
      <c r="N64" s="205" t="n">
        <f aca="false">SUM(N62:N63)</f>
        <v>0</v>
      </c>
      <c r="O64" s="205" t="n">
        <f aca="false">SUM(O62:O63)</f>
        <v>0</v>
      </c>
      <c r="P64" s="205" t="n">
        <f aca="false">SUM(P62:P63)</f>
        <v>0</v>
      </c>
      <c r="Q64" s="205" t="n">
        <f aca="false">SUM(Q62:Q63)</f>
        <v>0</v>
      </c>
      <c r="R64" s="205" t="n">
        <f aca="false">SUM(R62:R63)</f>
        <v>0</v>
      </c>
      <c r="S64" s="205" t="n">
        <f aca="false">SUM(S62:S63)</f>
        <v>0</v>
      </c>
      <c r="T64" s="205" t="n">
        <f aca="false">SUM(T62:T63)</f>
        <v>0</v>
      </c>
      <c r="U64" s="205" t="n">
        <f aca="false">SUM(U62:U63)</f>
        <v>0</v>
      </c>
      <c r="V64" s="205" t="n">
        <f aca="false">SUM(V62:V63)</f>
        <v>0</v>
      </c>
      <c r="W64" s="205" t="n">
        <f aca="false">SUM(W62:W63)</f>
        <v>0</v>
      </c>
      <c r="X64" s="205" t="n">
        <f aca="false">SUM(X62:X63)</f>
        <v>0</v>
      </c>
      <c r="Y64" s="205" t="n">
        <f aca="false">SUM(Y62:Y63)</f>
        <v>0</v>
      </c>
      <c r="Z64" s="205" t="n">
        <f aca="false">SUM(Z62:Z63)</f>
        <v>0</v>
      </c>
      <c r="AA64" s="205" t="n">
        <f aca="false">SUM(AA62:AA63)</f>
        <v>0</v>
      </c>
      <c r="AB64" s="205" t="n">
        <f aca="false">SUM(AB62:AB63)</f>
        <v>0</v>
      </c>
      <c r="AC64" s="205" t="n">
        <f aca="false">SUM(AC62:AC63)</f>
        <v>0</v>
      </c>
      <c r="AD64" s="205" t="n">
        <f aca="false">SUM(AD62:AD63)</f>
        <v>0</v>
      </c>
      <c r="AE64" s="205" t="n">
        <f aca="false">SUM(AE62:AE63)</f>
        <v>0</v>
      </c>
      <c r="AF64" s="205" t="n">
        <f aca="false">SUM(AF62:AF63)</f>
        <v>0</v>
      </c>
      <c r="AG64" s="205" t="n">
        <f aca="false">SUM(AG62:AG63)</f>
        <v>0</v>
      </c>
      <c r="AH64" s="205" t="n">
        <f aca="false">SUM(AH62:AH63)</f>
        <v>0</v>
      </c>
      <c r="AI64" s="205" t="n">
        <f aca="false">SUM(AI62:AI63)</f>
        <v>0</v>
      </c>
      <c r="AJ64" s="205" t="n">
        <f aca="false">SUM(AJ62:AJ63)</f>
        <v>0</v>
      </c>
      <c r="AK64" s="205" t="n">
        <f aca="false">SUM(AK62:AK63)</f>
        <v>0</v>
      </c>
      <c r="AL64" s="205" t="n">
        <f aca="false">SUM(AL62:AL63)</f>
        <v>0</v>
      </c>
      <c r="AM64" s="205" t="n">
        <f aca="false">SUM(AM62:AM63)</f>
        <v>0</v>
      </c>
      <c r="AN64" s="205" t="n">
        <f aca="false">SUM(AN62:AN63)</f>
        <v>0</v>
      </c>
      <c r="AO64" s="205" t="n">
        <f aca="false">SUM(AO62:AO63)</f>
        <v>0</v>
      </c>
      <c r="AP64" s="205" t="n">
        <f aca="false">SUM(AP62:AP63)</f>
        <v>0</v>
      </c>
      <c r="AQ64" s="205" t="n">
        <f aca="false">SUM(AQ62:AQ63)</f>
        <v>0</v>
      </c>
      <c r="AR64" s="205" t="n">
        <f aca="false">SUM(AR62:AR63)</f>
        <v>0</v>
      </c>
      <c r="AS64" s="205" t="n">
        <f aca="false">SUM(AS62:AS63)</f>
        <v>0</v>
      </c>
      <c r="AT64" s="205" t="n">
        <f aca="false">SUM(AT62:AT63)</f>
        <v>0</v>
      </c>
      <c r="AU64" s="205" t="n">
        <f aca="false">SUM(AU62:AU63)</f>
        <v>0</v>
      </c>
      <c r="AV64" s="205" t="n">
        <f aca="false">SUM(AV62:AV63)</f>
        <v>0</v>
      </c>
      <c r="AW64" s="205" t="n">
        <f aca="false">SUM(AW62:AW63)</f>
        <v>0</v>
      </c>
      <c r="AX64" s="205" t="n">
        <f aca="false">SUM(AX62:AX63)</f>
        <v>0</v>
      </c>
      <c r="AY64" s="205" t="n">
        <f aca="false">SUM(AY62:AY63)</f>
        <v>0</v>
      </c>
      <c r="AZ64" s="205" t="n">
        <f aca="false">SUM(AZ62:AZ63)</f>
        <v>0</v>
      </c>
      <c r="BA64" s="205" t="n">
        <f aca="false">SUM(BA62:BA63)</f>
        <v>0</v>
      </c>
      <c r="BB64" s="205" t="n">
        <f aca="false">SUM(BB62:BB63)</f>
        <v>0</v>
      </c>
      <c r="BC64" s="205" t="n">
        <f aca="false">SUM(BC62:BC63)</f>
        <v>0</v>
      </c>
      <c r="BD64" s="205" t="n">
        <f aca="false">SUM(BD62:BD63)</f>
        <v>0</v>
      </c>
      <c r="BE64" s="205" t="n">
        <f aca="false">SUM(BE62:BE63)</f>
        <v>0</v>
      </c>
      <c r="BF64" s="205" t="n">
        <f aca="false">SUM(BF62:BF63)</f>
        <v>0</v>
      </c>
      <c r="BG64" s="205" t="n">
        <f aca="false">SUM(BG62:BG63)</f>
        <v>0</v>
      </c>
      <c r="BH64" s="205" t="n">
        <f aca="false">SUM(BH62:BH63)</f>
        <v>0</v>
      </c>
      <c r="BI64" s="205" t="n">
        <f aca="false">SUM(BI62:BI63)</f>
        <v>0</v>
      </c>
      <c r="BJ64" s="205" t="n">
        <f aca="false">SUM(BJ62:BJ63)</f>
        <v>0</v>
      </c>
      <c r="BK64" s="205" t="n">
        <f aca="false">SUM(BK62:BK63)</f>
        <v>0</v>
      </c>
      <c r="BL64" s="205" t="n">
        <f aca="false">SUM(BL62:BL63)</f>
        <v>0</v>
      </c>
      <c r="BM64" s="205" t="n">
        <f aca="false">SUM(BM62:BM63)</f>
        <v>0</v>
      </c>
      <c r="BN64" s="205" t="n">
        <f aca="false">SUM(BN62:BN63)</f>
        <v>0</v>
      </c>
      <c r="BO64" s="205" t="n">
        <f aca="false">SUM(BO62:BO63)</f>
        <v>0</v>
      </c>
      <c r="BP64" s="205" t="n">
        <f aca="false">SUM(BP62:BP63)</f>
        <v>0</v>
      </c>
      <c r="BQ64" s="205" t="n">
        <f aca="false">SUM(BQ62:BQ63)</f>
        <v>0</v>
      </c>
      <c r="BR64" s="205" t="n">
        <f aca="false">SUM(BR62:BR63)</f>
        <v>0</v>
      </c>
      <c r="BS64" s="205" t="n">
        <f aca="false">SUM(BS62:BS63)</f>
        <v>0</v>
      </c>
      <c r="BT64" s="205" t="n">
        <f aca="false">SUM(BT62:BT63)</f>
        <v>0</v>
      </c>
      <c r="BU64" s="205" t="n">
        <f aca="false">SUM(BU62:BU63)</f>
        <v>0</v>
      </c>
      <c r="BV64" s="205" t="n">
        <f aca="false">SUM(BV62:BV63)</f>
        <v>0</v>
      </c>
      <c r="BW64" s="205" t="n">
        <f aca="false">SUM(BW62:BW63)</f>
        <v>0</v>
      </c>
      <c r="BX64" s="205" t="n">
        <f aca="false">SUM(BX62:BX63)</f>
        <v>0</v>
      </c>
      <c r="BY64" s="205" t="n">
        <f aca="false">SUM(BY62:BY63)</f>
        <v>0</v>
      </c>
      <c r="BZ64" s="205" t="n">
        <f aca="false">SUM(BZ62:BZ63)</f>
        <v>0</v>
      </c>
      <c r="CA64" s="205" t="n">
        <f aca="false">SUM(CA62:CA63)</f>
        <v>0</v>
      </c>
      <c r="CB64" s="205" t="n">
        <f aca="false">SUM(CB62:CB63)</f>
        <v>0</v>
      </c>
      <c r="CC64" s="205" t="n">
        <f aca="false">SUM(CC62:CC63)</f>
        <v>0</v>
      </c>
      <c r="CD64" s="205" t="n">
        <f aca="false">SUM(CD62:CD63)</f>
        <v>0</v>
      </c>
      <c r="CE64" s="205" t="n">
        <f aca="false">SUM(CE62:CE63)</f>
        <v>0</v>
      </c>
      <c r="CF64" s="205" t="n">
        <f aca="false">SUM(CF62:CF63)</f>
        <v>0</v>
      </c>
      <c r="CG64" s="205" t="n">
        <f aca="false">SUM(CG62:CG63)</f>
        <v>0</v>
      </c>
      <c r="CH64" s="205" t="n">
        <f aca="false">SUM(CH62:CH63)</f>
        <v>0</v>
      </c>
      <c r="CI64" s="205" t="n">
        <f aca="false">SUM(CI62:CI63)</f>
        <v>0</v>
      </c>
      <c r="CJ64" s="205" t="n">
        <f aca="false">SUM(CJ62:CJ63)</f>
        <v>0</v>
      </c>
      <c r="CK64" s="205" t="n">
        <f aca="false">SUM(CK62:CK63)</f>
        <v>0</v>
      </c>
    </row>
    <row r="65" customFormat="false" ht="4.5" hidden="false" customHeight="true" outlineLevel="0" collapsed="false">
      <c r="C65" s="132"/>
      <c r="D65" s="132"/>
      <c r="E65" s="211"/>
      <c r="F65" s="211"/>
      <c r="G65" s="211"/>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1"/>
      <c r="AI65" s="211"/>
      <c r="AJ65" s="211"/>
      <c r="AK65" s="211"/>
      <c r="AL65" s="211"/>
      <c r="AM65" s="211"/>
      <c r="AN65" s="211"/>
      <c r="AO65" s="211"/>
      <c r="AP65" s="211"/>
      <c r="AQ65" s="211"/>
      <c r="AR65" s="211"/>
      <c r="AS65" s="211"/>
      <c r="AT65" s="211"/>
      <c r="AU65" s="211"/>
      <c r="AV65" s="211"/>
      <c r="AW65" s="211"/>
      <c r="AX65" s="211"/>
      <c r="AY65" s="211"/>
      <c r="AZ65" s="211"/>
      <c r="BA65" s="211"/>
      <c r="BB65" s="211"/>
      <c r="BC65" s="211"/>
      <c r="BD65" s="211"/>
      <c r="BE65" s="211"/>
      <c r="BF65" s="211"/>
      <c r="BG65" s="211"/>
      <c r="BH65" s="211"/>
      <c r="BI65" s="211"/>
      <c r="BJ65" s="211"/>
      <c r="BK65" s="211"/>
      <c r="BL65" s="211"/>
      <c r="BM65" s="211"/>
      <c r="BN65" s="211"/>
      <c r="BO65" s="211"/>
      <c r="BP65" s="211"/>
      <c r="BQ65" s="211"/>
      <c r="BR65" s="211"/>
      <c r="BS65" s="211"/>
      <c r="BT65" s="211"/>
      <c r="BU65" s="211"/>
      <c r="BV65" s="211"/>
      <c r="BW65" s="211"/>
      <c r="BX65" s="211"/>
      <c r="BY65" s="211"/>
      <c r="BZ65" s="211"/>
      <c r="CA65" s="211"/>
      <c r="CB65" s="211"/>
      <c r="CC65" s="211"/>
      <c r="CD65" s="211"/>
      <c r="CE65" s="211"/>
      <c r="CF65" s="211"/>
      <c r="CG65" s="211"/>
      <c r="CH65" s="211"/>
      <c r="CI65" s="211"/>
      <c r="CJ65" s="211"/>
      <c r="CK65" s="211"/>
    </row>
    <row r="66" customFormat="false" ht="11.25" hidden="false" customHeight="true" outlineLevel="0" collapsed="false">
      <c r="C66" s="132" t="s">
        <v>584</v>
      </c>
      <c r="D66" s="132" t="s">
        <v>585</v>
      </c>
      <c r="E66" s="211"/>
      <c r="F66" s="211"/>
      <c r="G66" s="211"/>
      <c r="H66" s="211"/>
      <c r="I66" s="211"/>
      <c r="J66" s="211"/>
      <c r="K66" s="211"/>
      <c r="L66" s="211"/>
      <c r="M66" s="211"/>
      <c r="N66" s="211"/>
      <c r="O66" s="211"/>
      <c r="P66" s="211"/>
      <c r="Q66" s="211"/>
      <c r="R66" s="211"/>
      <c r="S66" s="211"/>
      <c r="T66" s="211"/>
      <c r="U66" s="211"/>
      <c r="V66" s="211"/>
      <c r="W66" s="211"/>
      <c r="X66" s="211"/>
      <c r="Y66" s="211"/>
      <c r="Z66" s="211"/>
      <c r="AA66" s="211"/>
      <c r="AB66" s="211"/>
      <c r="AC66" s="211"/>
      <c r="AD66" s="211"/>
      <c r="AE66" s="211"/>
      <c r="AF66" s="211"/>
      <c r="AG66" s="211"/>
      <c r="AH66" s="211"/>
      <c r="AI66" s="211"/>
      <c r="AJ66" s="211"/>
      <c r="AK66" s="211"/>
      <c r="AL66" s="211"/>
      <c r="AM66" s="211"/>
      <c r="AN66" s="211"/>
      <c r="AO66" s="211"/>
      <c r="AP66" s="211"/>
      <c r="AQ66" s="211"/>
      <c r="AR66" s="211"/>
      <c r="AS66" s="211"/>
      <c r="AT66" s="211"/>
      <c r="AU66" s="211"/>
      <c r="AV66" s="211"/>
      <c r="AW66" s="211"/>
      <c r="AX66" s="211"/>
      <c r="AY66" s="211"/>
      <c r="AZ66" s="211"/>
      <c r="BA66" s="211"/>
      <c r="BB66" s="211"/>
      <c r="BC66" s="211"/>
      <c r="BD66" s="211"/>
      <c r="BE66" s="211"/>
      <c r="BF66" s="211"/>
      <c r="BG66" s="211"/>
      <c r="BH66" s="211"/>
      <c r="BI66" s="211"/>
      <c r="BJ66" s="211"/>
      <c r="BK66" s="211"/>
      <c r="BL66" s="211"/>
      <c r="BM66" s="211"/>
      <c r="BN66" s="211"/>
      <c r="BO66" s="211"/>
      <c r="BP66" s="211"/>
      <c r="BQ66" s="211"/>
      <c r="BR66" s="211"/>
      <c r="BS66" s="211"/>
      <c r="BT66" s="211"/>
      <c r="BU66" s="211"/>
      <c r="BV66" s="211"/>
      <c r="BW66" s="211"/>
      <c r="BX66" s="211"/>
      <c r="BY66" s="211"/>
      <c r="BZ66" s="211"/>
      <c r="CA66" s="211"/>
      <c r="CB66" s="211"/>
      <c r="CC66" s="211"/>
      <c r="CD66" s="211"/>
      <c r="CE66" s="211"/>
      <c r="CF66" s="211"/>
      <c r="CG66" s="211"/>
      <c r="CH66" s="211"/>
      <c r="CI66" s="211"/>
      <c r="CJ66" s="211"/>
      <c r="CK66" s="211"/>
    </row>
    <row r="67" customFormat="false" ht="11.25" hidden="false" customHeight="true" outlineLevel="0" collapsed="false">
      <c r="C67" s="51" t="s">
        <v>586</v>
      </c>
      <c r="D67" s="51" t="s">
        <v>586</v>
      </c>
      <c r="E67" s="137"/>
      <c r="F67" s="137"/>
      <c r="G67" s="213" t="str">
        <f aca="false">IFERROR(G38/G$9,"n/a")</f>
        <v>n/a</v>
      </c>
      <c r="H67" s="213" t="str">
        <f aca="false">IFERROR(H38/H$9,"n/a")</f>
        <v>n/a</v>
      </c>
      <c r="I67" s="213" t="str">
        <f aca="false">IFERROR(I38/I$9,"n/a")</f>
        <v>n/a</v>
      </c>
      <c r="J67" s="213" t="str">
        <f aca="false">IFERROR(J38/J$9,"n/a")</f>
        <v>n/a</v>
      </c>
      <c r="K67" s="213" t="str">
        <f aca="false">IFERROR(K38/K$9,"n/a")</f>
        <v>n/a</v>
      </c>
      <c r="L67" s="213" t="str">
        <f aca="false">IFERROR(L38/L$9,"n/a")</f>
        <v>n/a</v>
      </c>
      <c r="M67" s="213" t="str">
        <f aca="false">IFERROR(M38/M$9,"n/a")</f>
        <v>n/a</v>
      </c>
      <c r="N67" s="213" t="str">
        <f aca="false">IFERROR(N38/N$9,"n/a")</f>
        <v>n/a</v>
      </c>
      <c r="O67" s="213" t="str">
        <f aca="false">IFERROR(O38/O$9,"n/a")</f>
        <v>n/a</v>
      </c>
      <c r="P67" s="213" t="str">
        <f aca="false">IFERROR(P38/P$9,"n/a")</f>
        <v>n/a</v>
      </c>
      <c r="Q67" s="213" t="str">
        <f aca="false">IFERROR(Q38/Q$9,"n/a")</f>
        <v>n/a</v>
      </c>
      <c r="R67" s="213" t="str">
        <f aca="false">IFERROR(R38/R$9,"n/a")</f>
        <v>n/a</v>
      </c>
      <c r="S67" s="213" t="str">
        <f aca="false">IFERROR(S38/S$9,"n/a")</f>
        <v>n/a</v>
      </c>
      <c r="T67" s="213" t="str">
        <f aca="false">IFERROR(T38/T$9,"n/a")</f>
        <v>n/a</v>
      </c>
      <c r="U67" s="213" t="str">
        <f aca="false">IFERROR(U38/U$9,"n/a")</f>
        <v>n/a</v>
      </c>
      <c r="V67" s="213" t="str">
        <f aca="false">IFERROR(V38/V$9,"n/a")</f>
        <v>n/a</v>
      </c>
      <c r="W67" s="213" t="str">
        <f aca="false">IFERROR(W38/W$9,"n/a")</f>
        <v>n/a</v>
      </c>
      <c r="X67" s="213" t="str">
        <f aca="false">IFERROR(X38/X$9,"n/a")</f>
        <v>n/a</v>
      </c>
      <c r="Y67" s="213" t="str">
        <f aca="false">IFERROR(Y38/Y$9,"n/a")</f>
        <v>n/a</v>
      </c>
      <c r="Z67" s="213" t="str">
        <f aca="false">IFERROR(Z38/Z$9,"n/a")</f>
        <v>n/a</v>
      </c>
      <c r="AA67" s="213" t="str">
        <f aca="false">IFERROR(AA38/AA$9,"n/a")</f>
        <v>n/a</v>
      </c>
      <c r="AB67" s="213" t="str">
        <f aca="false">IFERROR(AB38/AB$9,"n/a")</f>
        <v>n/a</v>
      </c>
      <c r="AC67" s="213" t="str">
        <f aca="false">IFERROR(AC38/AC$9,"n/a")</f>
        <v>n/a</v>
      </c>
      <c r="AD67" s="213" t="str">
        <f aca="false">IFERROR(AD38/AD$9,"n/a")</f>
        <v>n/a</v>
      </c>
      <c r="AE67" s="213" t="str">
        <f aca="false">IFERROR(AE38/AE$9,"n/a")</f>
        <v>n/a</v>
      </c>
      <c r="AF67" s="213" t="str">
        <f aca="false">IFERROR(AF38/AF$9,"n/a")</f>
        <v>n/a</v>
      </c>
      <c r="AG67" s="213" t="str">
        <f aca="false">IFERROR(AG38/AG$9,"n/a")</f>
        <v>n/a</v>
      </c>
      <c r="AH67" s="213" t="str">
        <f aca="false">IFERROR(AH38/AH$9,"n/a")</f>
        <v>n/a</v>
      </c>
      <c r="AI67" s="213" t="str">
        <f aca="false">IFERROR(AI38/AI$9,"n/a")</f>
        <v>n/a</v>
      </c>
      <c r="AJ67" s="213" t="str">
        <f aca="false">IFERROR(AJ38/AJ$9,"n/a")</f>
        <v>n/a</v>
      </c>
      <c r="AK67" s="213" t="str">
        <f aca="false">IFERROR(AK38/AK$9,"n/a")</f>
        <v>n/a</v>
      </c>
      <c r="AL67" s="213" t="str">
        <f aca="false">IFERROR(AL38/AL$9,"n/a")</f>
        <v>n/a</v>
      </c>
      <c r="AM67" s="213" t="str">
        <f aca="false">IFERROR(AM38/AM$9,"n/a")</f>
        <v>n/a</v>
      </c>
      <c r="AN67" s="213" t="str">
        <f aca="false">IFERROR(AN38/AN$9,"n/a")</f>
        <v>n/a</v>
      </c>
      <c r="AO67" s="213" t="str">
        <f aca="false">IFERROR(AO38/AO$9,"n/a")</f>
        <v>n/a</v>
      </c>
      <c r="AP67" s="213" t="str">
        <f aca="false">IFERROR(AP38/AP$9,"n/a")</f>
        <v>n/a</v>
      </c>
      <c r="AQ67" s="213" t="str">
        <f aca="false">IFERROR(AQ38/AQ$9,"n/a")</f>
        <v>n/a</v>
      </c>
      <c r="AR67" s="213" t="str">
        <f aca="false">IFERROR(AR38/AR$9,"n/a")</f>
        <v>n/a</v>
      </c>
      <c r="AS67" s="213" t="str">
        <f aca="false">IFERROR(AS38/AS$9,"n/a")</f>
        <v>n/a</v>
      </c>
      <c r="AT67" s="213" t="str">
        <f aca="false">IFERROR(AT38/AT$9,"n/a")</f>
        <v>n/a</v>
      </c>
      <c r="AU67" s="213" t="str">
        <f aca="false">IFERROR(AU38/AU$9,"n/a")</f>
        <v>n/a</v>
      </c>
      <c r="AV67" s="213" t="str">
        <f aca="false">IFERROR(AV38/AV$9,"n/a")</f>
        <v>n/a</v>
      </c>
      <c r="AW67" s="213" t="str">
        <f aca="false">IFERROR(AW38/AW$9,"n/a")</f>
        <v>n/a</v>
      </c>
      <c r="AX67" s="213" t="str">
        <f aca="false">IFERROR(AX38/AX$9,"n/a")</f>
        <v>n/a</v>
      </c>
      <c r="AY67" s="213" t="str">
        <f aca="false">IFERROR(AY38/AY$9,"n/a")</f>
        <v>n/a</v>
      </c>
      <c r="AZ67" s="213" t="str">
        <f aca="false">IFERROR(AZ38/AZ$9,"n/a")</f>
        <v>n/a</v>
      </c>
      <c r="BA67" s="213" t="str">
        <f aca="false">IFERROR(BA38/BA$9,"n/a")</f>
        <v>n/a</v>
      </c>
      <c r="BB67" s="213" t="str">
        <f aca="false">IFERROR(BB38/BB$9,"n/a")</f>
        <v>n/a</v>
      </c>
      <c r="BC67" s="213" t="str">
        <f aca="false">IFERROR(BC38/BC$9,"n/a")</f>
        <v>n/a</v>
      </c>
      <c r="BD67" s="213" t="str">
        <f aca="false">IFERROR(BD38/BD$9,"n/a")</f>
        <v>n/a</v>
      </c>
      <c r="BE67" s="213" t="str">
        <f aca="false">IFERROR(BE38/BE$9,"n/a")</f>
        <v>n/a</v>
      </c>
      <c r="BF67" s="213" t="str">
        <f aca="false">IFERROR(BF38/BF$9,"n/a")</f>
        <v>n/a</v>
      </c>
      <c r="BG67" s="213" t="str">
        <f aca="false">IFERROR(BG38/BG$9,"n/a")</f>
        <v>n/a</v>
      </c>
      <c r="BH67" s="213" t="str">
        <f aca="false">IFERROR(BH38/BH$9,"n/a")</f>
        <v>n/a</v>
      </c>
      <c r="BI67" s="213" t="str">
        <f aca="false">IFERROR(BI38/BI$9,"n/a")</f>
        <v>n/a</v>
      </c>
      <c r="BJ67" s="213" t="str">
        <f aca="false">IFERROR(BJ38/BJ$9,"n/a")</f>
        <v>n/a</v>
      </c>
      <c r="BK67" s="213" t="str">
        <f aca="false">IFERROR(BK38/BK$9,"n/a")</f>
        <v>n/a</v>
      </c>
      <c r="BL67" s="213" t="str">
        <f aca="false">IFERROR(BL38/BL$9,"n/a")</f>
        <v>n/a</v>
      </c>
      <c r="BM67" s="213" t="str">
        <f aca="false">IFERROR(BM38/BM$9,"n/a")</f>
        <v>n/a</v>
      </c>
      <c r="BN67" s="213" t="str">
        <f aca="false">IFERROR(BN38/BN$9,"n/a")</f>
        <v>n/a</v>
      </c>
      <c r="BO67" s="213" t="str">
        <f aca="false">IFERROR(BO38/BO$9,"n/a")</f>
        <v>n/a</v>
      </c>
      <c r="BP67" s="213" t="str">
        <f aca="false">IFERROR(BP38/BP$9,"n/a")</f>
        <v>n/a</v>
      </c>
      <c r="BQ67" s="213" t="str">
        <f aca="false">IFERROR(BQ38/BQ$9,"n/a")</f>
        <v>n/a</v>
      </c>
      <c r="BR67" s="213" t="str">
        <f aca="false">IFERROR(BR38/BR$9,"n/a")</f>
        <v>n/a</v>
      </c>
      <c r="BS67" s="213" t="str">
        <f aca="false">IFERROR(BS38/BS$9,"n/a")</f>
        <v>n/a</v>
      </c>
      <c r="BT67" s="213" t="str">
        <f aca="false">IFERROR(BT38/BT$9,"n/a")</f>
        <v>n/a</v>
      </c>
      <c r="BU67" s="213" t="str">
        <f aca="false">IFERROR(BU38/BU$9,"n/a")</f>
        <v>n/a</v>
      </c>
      <c r="BV67" s="213" t="str">
        <f aca="false">IFERROR(BV38/BV$9,"n/a")</f>
        <v>n/a</v>
      </c>
      <c r="BW67" s="213" t="str">
        <f aca="false">IFERROR(BW38/BW$9,"n/a")</f>
        <v>n/a</v>
      </c>
      <c r="BX67" s="213" t="str">
        <f aca="false">IFERROR(BX38/BX$9,"n/a")</f>
        <v>n/a</v>
      </c>
      <c r="BY67" s="213" t="str">
        <f aca="false">IFERROR(BY38/BY$9,"n/a")</f>
        <v>n/a</v>
      </c>
      <c r="BZ67" s="213" t="str">
        <f aca="false">IFERROR(BZ38/BZ$9,"n/a")</f>
        <v>n/a</v>
      </c>
      <c r="CA67" s="213" t="str">
        <f aca="false">IFERROR(CA38/CA$9,"n/a")</f>
        <v>n/a</v>
      </c>
      <c r="CB67" s="213" t="str">
        <f aca="false">IFERROR(CB38/CB$9,"n/a")</f>
        <v>n/a</v>
      </c>
      <c r="CC67" s="213" t="str">
        <f aca="false">IFERROR(CC38/CC$9,"n/a")</f>
        <v>n/a</v>
      </c>
      <c r="CD67" s="213" t="str">
        <f aca="false">IFERROR(CD38/CD$9,"n/a")</f>
        <v>n/a</v>
      </c>
      <c r="CE67" s="213" t="str">
        <f aca="false">IFERROR(CE38/CE$9,"n/a")</f>
        <v>n/a</v>
      </c>
      <c r="CF67" s="213" t="str">
        <f aca="false">IFERROR(CF38/CF$9,"n/a")</f>
        <v>n/a</v>
      </c>
      <c r="CG67" s="213" t="str">
        <f aca="false">IFERROR(CG38/CG$9,"n/a")</f>
        <v>n/a</v>
      </c>
      <c r="CH67" s="213" t="str">
        <f aca="false">IFERROR(CH38/CH$9,"n/a")</f>
        <v>n/a</v>
      </c>
      <c r="CI67" s="213" t="str">
        <f aca="false">IFERROR(CI38/CI$9,"n/a")</f>
        <v>n/a</v>
      </c>
      <c r="CJ67" s="213" t="str">
        <f aca="false">IFERROR(CJ38/CJ$9,"n/a")</f>
        <v>n/a</v>
      </c>
      <c r="CK67" s="213" t="str">
        <f aca="false">IFERROR(CK38/CK$9,"n/a")</f>
        <v>n/a</v>
      </c>
    </row>
    <row r="68" customFormat="false" ht="11.25" hidden="false" customHeight="true" outlineLevel="0" collapsed="false">
      <c r="C68" s="51" t="s">
        <v>587</v>
      </c>
      <c r="D68" s="51" t="s">
        <v>587</v>
      </c>
      <c r="E68" s="137"/>
      <c r="F68" s="137"/>
      <c r="G68" s="213" t="str">
        <f aca="false">IFERROR((G38+G45)/G$9,"n/a")</f>
        <v>n/a</v>
      </c>
      <c r="H68" s="213" t="str">
        <f aca="false">IFERROR((H38+H45)/H$9,"n/a")</f>
        <v>n/a</v>
      </c>
      <c r="I68" s="213" t="str">
        <f aca="false">IFERROR((I38+I45)/I$9,"n/a")</f>
        <v>n/a</v>
      </c>
      <c r="J68" s="213" t="str">
        <f aca="false">IFERROR((J38+J45)/J$9,"n/a")</f>
        <v>n/a</v>
      </c>
      <c r="K68" s="213" t="str">
        <f aca="false">IFERROR((K38+K45)/K$9,"n/a")</f>
        <v>n/a</v>
      </c>
      <c r="L68" s="213" t="str">
        <f aca="false">IFERROR((L38+L45)/L$9,"n/a")</f>
        <v>n/a</v>
      </c>
      <c r="M68" s="213" t="str">
        <f aca="false">IFERROR((M38+M45)/M$9,"n/a")</f>
        <v>n/a</v>
      </c>
      <c r="N68" s="213" t="str">
        <f aca="false">IFERROR((N38+N45)/N$9,"n/a")</f>
        <v>n/a</v>
      </c>
      <c r="O68" s="213" t="str">
        <f aca="false">IFERROR((O38+O45)/O$9,"n/a")</f>
        <v>n/a</v>
      </c>
      <c r="P68" s="213" t="str">
        <f aca="false">IFERROR((P38+P45)/P$9,"n/a")</f>
        <v>n/a</v>
      </c>
      <c r="Q68" s="213" t="str">
        <f aca="false">IFERROR((Q38+Q45)/Q$9,"n/a")</f>
        <v>n/a</v>
      </c>
      <c r="R68" s="213" t="str">
        <f aca="false">IFERROR((R38+R45)/R$9,"n/a")</f>
        <v>n/a</v>
      </c>
      <c r="S68" s="213" t="str">
        <f aca="false">IFERROR((S38+S45)/S$9,"n/a")</f>
        <v>n/a</v>
      </c>
      <c r="T68" s="213" t="str">
        <f aca="false">IFERROR((T38+T45)/T$9,"n/a")</f>
        <v>n/a</v>
      </c>
      <c r="U68" s="213" t="str">
        <f aca="false">IFERROR((U38+U45)/U$9,"n/a")</f>
        <v>n/a</v>
      </c>
      <c r="V68" s="213" t="str">
        <f aca="false">IFERROR((V38+V45)/V$9,"n/a")</f>
        <v>n/a</v>
      </c>
      <c r="W68" s="213" t="str">
        <f aca="false">IFERROR((W38+W45)/W$9,"n/a")</f>
        <v>n/a</v>
      </c>
      <c r="X68" s="213" t="str">
        <f aca="false">IFERROR((X38+X45)/X$9,"n/a")</f>
        <v>n/a</v>
      </c>
      <c r="Y68" s="213" t="str">
        <f aca="false">IFERROR((Y38+Y45)/Y$9,"n/a")</f>
        <v>n/a</v>
      </c>
      <c r="Z68" s="213" t="str">
        <f aca="false">IFERROR((Z38+Z45)/Z$9,"n/a")</f>
        <v>n/a</v>
      </c>
      <c r="AA68" s="213" t="str">
        <f aca="false">IFERROR((AA38+AA45)/AA$9,"n/a")</f>
        <v>n/a</v>
      </c>
      <c r="AB68" s="213" t="str">
        <f aca="false">IFERROR((AB38+AB45)/AB$9,"n/a")</f>
        <v>n/a</v>
      </c>
      <c r="AC68" s="213" t="str">
        <f aca="false">IFERROR((AC38+AC45)/AC$9,"n/a")</f>
        <v>n/a</v>
      </c>
      <c r="AD68" s="213" t="str">
        <f aca="false">IFERROR((AD38+AD45)/AD$9,"n/a")</f>
        <v>n/a</v>
      </c>
      <c r="AE68" s="213" t="str">
        <f aca="false">IFERROR((AE38+AE45)/AE$9,"n/a")</f>
        <v>n/a</v>
      </c>
      <c r="AF68" s="213" t="str">
        <f aca="false">IFERROR((AF38+AF45)/AF$9,"n/a")</f>
        <v>n/a</v>
      </c>
      <c r="AG68" s="213" t="str">
        <f aca="false">IFERROR((AG38+AG45)/AG$9,"n/a")</f>
        <v>n/a</v>
      </c>
      <c r="AH68" s="213" t="str">
        <f aca="false">IFERROR((AH38+AH45)/AH$9,"n/a")</f>
        <v>n/a</v>
      </c>
      <c r="AI68" s="213" t="str">
        <f aca="false">IFERROR((AI38+AI45)/AI$9,"n/a")</f>
        <v>n/a</v>
      </c>
      <c r="AJ68" s="213" t="str">
        <f aca="false">IFERROR((AJ38+AJ45)/AJ$9,"n/a")</f>
        <v>n/a</v>
      </c>
      <c r="AK68" s="213" t="str">
        <f aca="false">IFERROR((AK38+AK45)/AK$9,"n/a")</f>
        <v>n/a</v>
      </c>
      <c r="AL68" s="213" t="str">
        <f aca="false">IFERROR((AL38+AL45)/AL$9,"n/a")</f>
        <v>n/a</v>
      </c>
      <c r="AM68" s="213" t="str">
        <f aca="false">IFERROR((AM38+AM45)/AM$9,"n/a")</f>
        <v>n/a</v>
      </c>
      <c r="AN68" s="213" t="str">
        <f aca="false">IFERROR((AN38+AN45)/AN$9,"n/a")</f>
        <v>n/a</v>
      </c>
      <c r="AO68" s="213" t="str">
        <f aca="false">IFERROR((AO38+AO45)/AO$9,"n/a")</f>
        <v>n/a</v>
      </c>
      <c r="AP68" s="213" t="str">
        <f aca="false">IFERROR((AP38+AP45)/AP$9,"n/a")</f>
        <v>n/a</v>
      </c>
      <c r="AQ68" s="213" t="str">
        <f aca="false">IFERROR((AQ38+AQ45)/AQ$9,"n/a")</f>
        <v>n/a</v>
      </c>
      <c r="AR68" s="213" t="str">
        <f aca="false">IFERROR((AR38+AR45)/AR$9,"n/a")</f>
        <v>n/a</v>
      </c>
      <c r="AS68" s="213" t="str">
        <f aca="false">IFERROR((AS38+AS45)/AS$9,"n/a")</f>
        <v>n/a</v>
      </c>
      <c r="AT68" s="213" t="str">
        <f aca="false">IFERROR((AT38+AT45)/AT$9,"n/a")</f>
        <v>n/a</v>
      </c>
      <c r="AU68" s="213" t="str">
        <f aca="false">IFERROR((AU38+AU45)/AU$9,"n/a")</f>
        <v>n/a</v>
      </c>
      <c r="AV68" s="213" t="str">
        <f aca="false">IFERROR((AV38+AV45)/AV$9,"n/a")</f>
        <v>n/a</v>
      </c>
      <c r="AW68" s="213" t="str">
        <f aca="false">IFERROR((AW38+AW45)/AW$9,"n/a")</f>
        <v>n/a</v>
      </c>
      <c r="AX68" s="213" t="str">
        <f aca="false">IFERROR((AX38+AX45)/AX$9,"n/a")</f>
        <v>n/a</v>
      </c>
      <c r="AY68" s="213" t="str">
        <f aca="false">IFERROR((AY38+AY45)/AY$9,"n/a")</f>
        <v>n/a</v>
      </c>
      <c r="AZ68" s="213" t="str">
        <f aca="false">IFERROR((AZ38+AZ45)/AZ$9,"n/a")</f>
        <v>n/a</v>
      </c>
      <c r="BA68" s="213" t="str">
        <f aca="false">IFERROR((BA38+BA45)/BA$9,"n/a")</f>
        <v>n/a</v>
      </c>
      <c r="BB68" s="213" t="str">
        <f aca="false">IFERROR((BB38+BB45)/BB$9,"n/a")</f>
        <v>n/a</v>
      </c>
      <c r="BC68" s="213" t="str">
        <f aca="false">IFERROR((BC38+BC45)/BC$9,"n/a")</f>
        <v>n/a</v>
      </c>
      <c r="BD68" s="213" t="str">
        <f aca="false">IFERROR((BD38+BD45)/BD$9,"n/a")</f>
        <v>n/a</v>
      </c>
      <c r="BE68" s="213" t="str">
        <f aca="false">IFERROR((BE38+BE45)/BE$9,"n/a")</f>
        <v>n/a</v>
      </c>
      <c r="BF68" s="213" t="str">
        <f aca="false">IFERROR((BF38+BF45)/BF$9,"n/a")</f>
        <v>n/a</v>
      </c>
      <c r="BG68" s="213" t="str">
        <f aca="false">IFERROR((BG38+BG45)/BG$9,"n/a")</f>
        <v>n/a</v>
      </c>
      <c r="BH68" s="213" t="str">
        <f aca="false">IFERROR((BH38+BH45)/BH$9,"n/a")</f>
        <v>n/a</v>
      </c>
      <c r="BI68" s="213" t="str">
        <f aca="false">IFERROR((BI38+BI45)/BI$9,"n/a")</f>
        <v>n/a</v>
      </c>
      <c r="BJ68" s="213" t="str">
        <f aca="false">IFERROR((BJ38+BJ45)/BJ$9,"n/a")</f>
        <v>n/a</v>
      </c>
      <c r="BK68" s="213" t="str">
        <f aca="false">IFERROR((BK38+BK45)/BK$9,"n/a")</f>
        <v>n/a</v>
      </c>
      <c r="BL68" s="213" t="str">
        <f aca="false">IFERROR((BL38+BL45)/BL$9,"n/a")</f>
        <v>n/a</v>
      </c>
      <c r="BM68" s="213" t="str">
        <f aca="false">IFERROR((BM38+BM45)/BM$9,"n/a")</f>
        <v>n/a</v>
      </c>
      <c r="BN68" s="213" t="str">
        <f aca="false">IFERROR((BN38+BN45)/BN$9,"n/a")</f>
        <v>n/a</v>
      </c>
      <c r="BO68" s="213" t="str">
        <f aca="false">IFERROR((BO38+BO45)/BO$9,"n/a")</f>
        <v>n/a</v>
      </c>
      <c r="BP68" s="213" t="str">
        <f aca="false">IFERROR((BP38+BP45)/BP$9,"n/a")</f>
        <v>n/a</v>
      </c>
      <c r="BQ68" s="213" t="str">
        <f aca="false">IFERROR((BQ38+BQ45)/BQ$9,"n/a")</f>
        <v>n/a</v>
      </c>
      <c r="BR68" s="213" t="str">
        <f aca="false">IFERROR((BR38+BR45)/BR$9,"n/a")</f>
        <v>n/a</v>
      </c>
      <c r="BS68" s="213" t="str">
        <f aca="false">IFERROR((BS38+BS45)/BS$9,"n/a")</f>
        <v>n/a</v>
      </c>
      <c r="BT68" s="213" t="str">
        <f aca="false">IFERROR((BT38+BT45)/BT$9,"n/a")</f>
        <v>n/a</v>
      </c>
      <c r="BU68" s="213" t="str">
        <f aca="false">IFERROR((BU38+BU45)/BU$9,"n/a")</f>
        <v>n/a</v>
      </c>
      <c r="BV68" s="213" t="str">
        <f aca="false">IFERROR((BV38+BV45)/BV$9,"n/a")</f>
        <v>n/a</v>
      </c>
      <c r="BW68" s="213" t="str">
        <f aca="false">IFERROR((BW38+BW45)/BW$9,"n/a")</f>
        <v>n/a</v>
      </c>
      <c r="BX68" s="213" t="str">
        <f aca="false">IFERROR((BX38+BX45)/BX$9,"n/a")</f>
        <v>n/a</v>
      </c>
      <c r="BY68" s="213" t="str">
        <f aca="false">IFERROR((BY38+BY45)/BY$9,"n/a")</f>
        <v>n/a</v>
      </c>
      <c r="BZ68" s="213" t="str">
        <f aca="false">IFERROR((BZ38+BZ45)/BZ$9,"n/a")</f>
        <v>n/a</v>
      </c>
      <c r="CA68" s="213" t="str">
        <f aca="false">IFERROR((CA38+CA45)/CA$9,"n/a")</f>
        <v>n/a</v>
      </c>
      <c r="CB68" s="213" t="str">
        <f aca="false">IFERROR((CB38+CB45)/CB$9,"n/a")</f>
        <v>n/a</v>
      </c>
      <c r="CC68" s="213" t="str">
        <f aca="false">IFERROR((CC38+CC45)/CC$9,"n/a")</f>
        <v>n/a</v>
      </c>
      <c r="CD68" s="213" t="str">
        <f aca="false">IFERROR((CD38+CD45)/CD$9,"n/a")</f>
        <v>n/a</v>
      </c>
      <c r="CE68" s="213" t="str">
        <f aca="false">IFERROR((CE38+CE45)/CE$9,"n/a")</f>
        <v>n/a</v>
      </c>
      <c r="CF68" s="213" t="str">
        <f aca="false">IFERROR((CF38+CF45)/CF$9,"n/a")</f>
        <v>n/a</v>
      </c>
      <c r="CG68" s="213" t="str">
        <f aca="false">IFERROR((CG38+CG45)/CG$9,"n/a")</f>
        <v>n/a</v>
      </c>
      <c r="CH68" s="213" t="str">
        <f aca="false">IFERROR((CH38+CH45)/CH$9,"n/a")</f>
        <v>n/a</v>
      </c>
      <c r="CI68" s="213" t="str">
        <f aca="false">IFERROR((CI38+CI45)/CI$9,"n/a")</f>
        <v>n/a</v>
      </c>
      <c r="CJ68" s="213" t="str">
        <f aca="false">IFERROR((CJ38+CJ45)/CJ$9,"n/a")</f>
        <v>n/a</v>
      </c>
      <c r="CK68" s="213" t="str">
        <f aca="false">IFERROR((CK38+CK45)/CK$9,"n/a")</f>
        <v>n/a</v>
      </c>
    </row>
    <row r="69" customFormat="false" ht="4.5" hidden="false" customHeight="true" outlineLevel="0" collapsed="false">
      <c r="C69" s="51"/>
      <c r="D69" s="51"/>
      <c r="E69" s="159"/>
      <c r="F69" s="159"/>
      <c r="G69" s="159"/>
      <c r="H69" s="159"/>
      <c r="I69" s="159"/>
      <c r="J69" s="159"/>
      <c r="K69" s="159"/>
      <c r="L69" s="159"/>
      <c r="M69" s="159"/>
      <c r="N69" s="159"/>
      <c r="O69" s="159"/>
      <c r="P69" s="159"/>
      <c r="Q69" s="159"/>
      <c r="R69" s="159"/>
      <c r="S69" s="159"/>
      <c r="T69" s="159"/>
      <c r="U69" s="159"/>
      <c r="V69" s="159"/>
      <c r="W69" s="159"/>
      <c r="X69" s="159"/>
      <c r="Y69" s="159"/>
      <c r="Z69" s="159"/>
      <c r="AA69" s="159"/>
      <c r="AB69" s="159"/>
      <c r="AC69" s="159"/>
      <c r="AD69" s="159"/>
      <c r="AE69" s="159"/>
      <c r="AF69" s="159"/>
      <c r="AG69" s="159"/>
      <c r="AH69" s="159"/>
      <c r="AI69" s="159"/>
      <c r="AJ69" s="159"/>
      <c r="AK69" s="159"/>
      <c r="AL69" s="159"/>
      <c r="AM69" s="159"/>
      <c r="AN69" s="159"/>
      <c r="AO69" s="159"/>
      <c r="AP69" s="159"/>
      <c r="AQ69" s="159"/>
      <c r="AR69" s="159"/>
      <c r="AS69" s="159"/>
      <c r="AT69" s="159"/>
      <c r="AU69" s="159"/>
      <c r="AV69" s="159"/>
      <c r="AW69" s="159"/>
      <c r="AX69" s="159"/>
      <c r="AY69" s="159"/>
      <c r="AZ69" s="159"/>
      <c r="BA69" s="159"/>
      <c r="BB69" s="159"/>
      <c r="BC69" s="159"/>
      <c r="BD69" s="159"/>
      <c r="BE69" s="159"/>
      <c r="BF69" s="159"/>
      <c r="BG69" s="159"/>
      <c r="BH69" s="159"/>
      <c r="BI69" s="159"/>
      <c r="BJ69" s="159"/>
      <c r="BK69" s="159"/>
      <c r="BL69" s="159"/>
      <c r="BM69" s="159"/>
      <c r="BN69" s="159"/>
      <c r="BO69" s="159"/>
      <c r="BP69" s="159"/>
      <c r="BQ69" s="159"/>
      <c r="BR69" s="159"/>
      <c r="BS69" s="159"/>
      <c r="BT69" s="159"/>
      <c r="BU69" s="159"/>
      <c r="BV69" s="159"/>
      <c r="BW69" s="159"/>
      <c r="BX69" s="159"/>
      <c r="BY69" s="159"/>
      <c r="BZ69" s="159"/>
      <c r="CA69" s="159"/>
      <c r="CB69" s="159"/>
      <c r="CC69" s="159"/>
      <c r="CD69" s="159"/>
      <c r="CE69" s="159"/>
      <c r="CF69" s="159"/>
      <c r="CG69" s="159"/>
      <c r="CH69" s="159"/>
      <c r="CI69" s="159"/>
      <c r="CJ69" s="159"/>
      <c r="CK69" s="159"/>
    </row>
    <row r="70" customFormat="false" ht="11.25" hidden="false" customHeight="true" outlineLevel="0" collapsed="false">
      <c r="C70" s="54" t="str">
        <f aca="false">"Quelle: "&amp;Cockpit!$C$7</f>
        <v>Quelle: Datenraum/ eigene Analysen</v>
      </c>
      <c r="D70" s="54" t="str">
        <f aca="false">"Source: "&amp;Cockpit!$C$8</f>
        <v>Source: Virtual Data Room/ Company Information</v>
      </c>
      <c r="E70" s="162"/>
      <c r="F70" s="162"/>
      <c r="G70" s="162"/>
      <c r="H70" s="162"/>
      <c r="I70" s="162"/>
      <c r="J70" s="162"/>
      <c r="K70" s="162"/>
      <c r="L70" s="162"/>
      <c r="M70" s="162"/>
      <c r="N70" s="162"/>
      <c r="O70" s="162"/>
      <c r="P70" s="162"/>
      <c r="Q70" s="162"/>
      <c r="R70" s="162"/>
      <c r="S70" s="162"/>
      <c r="T70" s="162"/>
      <c r="U70" s="162"/>
      <c r="V70" s="162"/>
      <c r="W70" s="162"/>
      <c r="X70" s="162"/>
      <c r="Y70" s="162"/>
      <c r="Z70" s="162"/>
      <c r="AA70" s="162"/>
      <c r="AB70" s="162"/>
      <c r="AC70" s="162"/>
      <c r="AD70" s="162"/>
      <c r="AE70" s="162"/>
      <c r="AF70" s="162"/>
      <c r="AG70" s="162"/>
      <c r="AH70" s="162"/>
      <c r="AI70" s="162"/>
      <c r="AJ70" s="162"/>
      <c r="AK70" s="162"/>
      <c r="AL70" s="162"/>
      <c r="AM70" s="162"/>
      <c r="AN70" s="162"/>
      <c r="AO70" s="162"/>
      <c r="AP70" s="162"/>
      <c r="AQ70" s="162"/>
      <c r="AR70" s="162"/>
      <c r="AS70" s="162"/>
      <c r="AT70" s="162"/>
      <c r="AU70" s="162"/>
      <c r="AV70" s="162"/>
      <c r="AW70" s="162"/>
      <c r="AX70" s="162"/>
      <c r="AY70" s="162"/>
      <c r="AZ70" s="162"/>
      <c r="BA70" s="162"/>
      <c r="BB70" s="162"/>
      <c r="BC70" s="162"/>
      <c r="BD70" s="162"/>
      <c r="BE70" s="162"/>
      <c r="BF70" s="162"/>
      <c r="BG70" s="162"/>
      <c r="BH70" s="162"/>
      <c r="BI70" s="162"/>
      <c r="BJ70" s="162"/>
      <c r="BK70" s="162"/>
      <c r="BL70" s="162"/>
      <c r="BM70" s="162"/>
      <c r="BN70" s="162"/>
      <c r="BO70" s="162"/>
      <c r="BP70" s="162"/>
      <c r="BQ70" s="162"/>
      <c r="BR70" s="162"/>
      <c r="BS70" s="162"/>
      <c r="BT70" s="162"/>
      <c r="BU70" s="162"/>
      <c r="BV70" s="162"/>
      <c r="BW70" s="162"/>
      <c r="BX70" s="162"/>
      <c r="BY70" s="162"/>
      <c r="BZ70" s="162"/>
      <c r="CA70" s="162"/>
      <c r="CB70" s="162"/>
      <c r="CC70" s="162"/>
      <c r="CD70" s="162"/>
      <c r="CE70" s="162"/>
      <c r="CF70" s="162"/>
      <c r="CG70" s="162"/>
      <c r="CH70" s="162"/>
      <c r="CI70" s="162"/>
      <c r="CJ70" s="162"/>
      <c r="CK70" s="162"/>
    </row>
    <row r="71" customFormat="false" ht="11.25" hidden="false" customHeight="true" outlineLevel="0" collapsed="false"/>
    <row r="72" customFormat="false" ht="11.25" hidden="false" customHeight="true" outlineLevel="0" collapsed="false"/>
    <row r="73" customFormat="false" ht="11.25" hidden="false" customHeight="true" outlineLevel="0" collapsed="false">
      <c r="E73" s="192" t="s">
        <v>588</v>
      </c>
      <c r="F73" s="192"/>
      <c r="G73" s="192"/>
      <c r="H73" s="192"/>
      <c r="I73" s="192"/>
      <c r="J73" s="192"/>
      <c r="K73" s="192"/>
      <c r="L73" s="192"/>
      <c r="M73" s="192"/>
      <c r="N73" s="192"/>
      <c r="O73" s="192"/>
      <c r="P73" s="192"/>
      <c r="Q73" s="192"/>
      <c r="R73" s="192"/>
      <c r="S73" s="192"/>
      <c r="T73" s="192"/>
      <c r="U73" s="192"/>
      <c r="V73" s="192"/>
      <c r="W73" s="192"/>
      <c r="X73" s="192"/>
      <c r="Y73" s="192"/>
      <c r="Z73" s="192"/>
      <c r="AA73" s="192"/>
      <c r="AB73" s="192"/>
      <c r="AC73" s="192"/>
      <c r="AD73" s="192"/>
      <c r="AE73" s="192"/>
      <c r="AF73" s="192"/>
      <c r="AG73" s="192"/>
      <c r="AH73" s="192"/>
      <c r="AI73" s="192"/>
      <c r="AJ73" s="192"/>
      <c r="AK73" s="192"/>
      <c r="AL73" s="192"/>
      <c r="AM73" s="192"/>
      <c r="AN73" s="192"/>
      <c r="AO73" s="192"/>
      <c r="AP73" s="192"/>
      <c r="AQ73" s="192"/>
      <c r="AR73" s="192"/>
      <c r="AS73" s="192"/>
      <c r="AT73" s="192"/>
      <c r="AU73" s="192"/>
      <c r="AV73" s="192"/>
      <c r="AW73" s="192"/>
      <c r="AX73" s="192"/>
      <c r="AY73" s="192"/>
      <c r="AZ73" s="192"/>
      <c r="BA73" s="192"/>
      <c r="BB73" s="192"/>
      <c r="BC73" s="192"/>
      <c r="BD73" s="192"/>
      <c r="BE73" s="192"/>
      <c r="BF73" s="192"/>
      <c r="BG73" s="192"/>
      <c r="BH73" s="192"/>
      <c r="BI73" s="192"/>
      <c r="BJ73" s="192"/>
      <c r="BK73" s="192"/>
      <c r="BL73" s="192"/>
      <c r="BM73" s="192"/>
      <c r="BN73" s="192"/>
      <c r="BO73" s="192"/>
      <c r="BP73" s="192"/>
      <c r="BQ73" s="192"/>
      <c r="BR73" s="192"/>
      <c r="BS73" s="192"/>
      <c r="BT73" s="192"/>
      <c r="BU73" s="192"/>
      <c r="BV73" s="192"/>
      <c r="BW73" s="192"/>
      <c r="BX73" s="192"/>
      <c r="BY73" s="192"/>
      <c r="BZ73" s="192"/>
      <c r="CA73" s="192"/>
      <c r="CB73" s="192"/>
      <c r="CC73" s="192"/>
      <c r="CD73" s="192"/>
      <c r="CE73" s="192"/>
      <c r="CF73" s="192"/>
      <c r="CG73" s="192"/>
      <c r="CH73" s="192"/>
      <c r="CI73" s="192"/>
      <c r="CJ73" s="192"/>
      <c r="CK73" s="192"/>
    </row>
    <row r="74" customFormat="false" ht="12" hidden="false" customHeight="true" outlineLevel="0" collapsed="false">
      <c r="C74" s="151" t="s">
        <v>589</v>
      </c>
      <c r="D74" s="151" t="s">
        <v>590</v>
      </c>
      <c r="E74" s="152" t="n">
        <f aca="false">'Lead NA'!E180</f>
        <v>0</v>
      </c>
      <c r="F74" s="152"/>
      <c r="G74" s="152"/>
      <c r="H74" s="152"/>
      <c r="I74" s="152"/>
      <c r="J74" s="152"/>
      <c r="K74" s="152"/>
      <c r="L74" s="152"/>
      <c r="M74" s="152"/>
      <c r="N74" s="152"/>
      <c r="O74" s="152"/>
      <c r="P74" s="152"/>
      <c r="Q74" s="152" t="n">
        <f aca="false">'Lead NA'!F180</f>
        <v>0</v>
      </c>
      <c r="R74" s="152"/>
      <c r="S74" s="152"/>
      <c r="T74" s="152"/>
      <c r="U74" s="152"/>
      <c r="V74" s="152"/>
      <c r="W74" s="152"/>
      <c r="X74" s="152"/>
      <c r="Y74" s="152"/>
      <c r="Z74" s="152"/>
      <c r="AA74" s="152"/>
      <c r="AB74" s="152"/>
      <c r="AC74" s="152" t="n">
        <f aca="false">'Lead NA'!G180</f>
        <v>0</v>
      </c>
      <c r="AD74" s="152"/>
      <c r="AE74" s="152"/>
      <c r="AF74" s="152"/>
      <c r="AG74" s="152"/>
      <c r="AH74" s="152"/>
      <c r="AI74" s="152"/>
      <c r="AJ74" s="152"/>
      <c r="AK74" s="152"/>
      <c r="AL74" s="152"/>
      <c r="AM74" s="152"/>
      <c r="AN74" s="152"/>
      <c r="AO74" s="152" t="n">
        <f aca="false">'Lead NA'!H180</f>
        <v>0</v>
      </c>
      <c r="AP74" s="152"/>
      <c r="AQ74" s="152"/>
      <c r="AR74" s="152"/>
      <c r="AS74" s="152"/>
      <c r="AT74" s="152"/>
      <c r="AU74" s="152"/>
      <c r="AV74" s="152"/>
      <c r="AW74" s="152"/>
      <c r="AX74" s="152"/>
      <c r="AY74" s="152"/>
      <c r="AZ74" s="152"/>
      <c r="BA74" s="152"/>
      <c r="BB74" s="152"/>
      <c r="BC74" s="152"/>
      <c r="BD74" s="152"/>
      <c r="BE74" s="152"/>
      <c r="BF74" s="152"/>
      <c r="BG74" s="152"/>
      <c r="BH74" s="152"/>
      <c r="BI74" s="152"/>
      <c r="BJ74" s="152"/>
      <c r="BK74" s="152"/>
      <c r="BL74" s="152"/>
      <c r="BM74" s="152"/>
      <c r="BN74" s="152"/>
      <c r="BO74" s="152"/>
      <c r="BP74" s="152"/>
      <c r="BQ74" s="152"/>
      <c r="BR74" s="152"/>
      <c r="BS74" s="152"/>
      <c r="BT74" s="152"/>
      <c r="BU74" s="152"/>
      <c r="BV74" s="152"/>
      <c r="BW74" s="152"/>
      <c r="BX74" s="152"/>
      <c r="BY74" s="152"/>
      <c r="BZ74" s="152"/>
      <c r="CA74" s="152"/>
      <c r="CB74" s="152"/>
      <c r="CC74" s="152"/>
      <c r="CD74" s="152"/>
      <c r="CE74" s="152"/>
      <c r="CF74" s="152"/>
      <c r="CG74" s="152"/>
      <c r="CH74" s="152"/>
      <c r="CI74" s="152"/>
      <c r="CJ74" s="152"/>
      <c r="CK74" s="152"/>
    </row>
    <row r="75" customFormat="false" ht="12" hidden="false" customHeight="true" outlineLevel="0" collapsed="false">
      <c r="C75" s="153" t="s">
        <v>245</v>
      </c>
      <c r="D75" s="154" t="s">
        <v>245</v>
      </c>
      <c r="E75" s="217" t="n">
        <f aca="false">E74-E64</f>
        <v>0</v>
      </c>
      <c r="F75" s="217"/>
      <c r="G75" s="217"/>
      <c r="H75" s="217"/>
      <c r="I75" s="217"/>
      <c r="J75" s="217"/>
      <c r="K75" s="217"/>
      <c r="L75" s="217"/>
      <c r="M75" s="217"/>
      <c r="N75" s="217"/>
      <c r="O75" s="217"/>
      <c r="P75" s="217"/>
      <c r="Q75" s="155" t="n">
        <f aca="false">Q64-Q74</f>
        <v>0</v>
      </c>
      <c r="R75" s="217"/>
      <c r="S75" s="217"/>
      <c r="T75" s="217"/>
      <c r="U75" s="217"/>
      <c r="V75" s="217"/>
      <c r="W75" s="217"/>
      <c r="X75" s="217"/>
      <c r="Y75" s="217"/>
      <c r="Z75" s="217"/>
      <c r="AA75" s="217"/>
      <c r="AB75" s="217"/>
      <c r="AC75" s="217" t="n">
        <f aca="false">AC74-AC64</f>
        <v>0</v>
      </c>
      <c r="AD75" s="217"/>
      <c r="AE75" s="217"/>
      <c r="AF75" s="217"/>
      <c r="AG75" s="217"/>
      <c r="AH75" s="217"/>
      <c r="AI75" s="217"/>
      <c r="AJ75" s="217"/>
      <c r="AK75" s="217"/>
      <c r="AL75" s="217"/>
      <c r="AM75" s="217"/>
      <c r="AN75" s="217"/>
      <c r="AO75" s="217" t="n">
        <f aca="false">AO74-AO64</f>
        <v>0</v>
      </c>
      <c r="AP75" s="217"/>
      <c r="AQ75" s="217"/>
      <c r="AR75" s="217"/>
      <c r="AS75" s="217"/>
      <c r="AT75" s="217"/>
      <c r="AU75" s="217"/>
      <c r="AV75" s="217"/>
      <c r="AW75" s="217"/>
      <c r="AX75" s="217"/>
      <c r="AY75" s="217"/>
      <c r="AZ75" s="217"/>
      <c r="BA75" s="217"/>
      <c r="BB75" s="217"/>
      <c r="BC75" s="217"/>
      <c r="BD75" s="217"/>
      <c r="BE75" s="217"/>
      <c r="BF75" s="217"/>
      <c r="BG75" s="217"/>
      <c r="BH75" s="217"/>
      <c r="BI75" s="217"/>
      <c r="BJ75" s="217"/>
      <c r="BK75" s="217"/>
      <c r="BL75" s="217"/>
      <c r="BM75" s="217"/>
      <c r="BN75" s="217"/>
      <c r="BO75" s="217"/>
      <c r="BP75" s="217"/>
      <c r="BQ75" s="217"/>
      <c r="BR75" s="217"/>
      <c r="BS75" s="217"/>
      <c r="BT75" s="217"/>
      <c r="BU75" s="217"/>
      <c r="BV75" s="217"/>
      <c r="BW75" s="217"/>
      <c r="BX75" s="217"/>
      <c r="BY75" s="217"/>
      <c r="BZ75" s="217"/>
      <c r="CA75" s="217"/>
      <c r="CB75" s="217"/>
      <c r="CC75" s="217"/>
      <c r="CD75" s="217"/>
      <c r="CE75" s="217"/>
      <c r="CF75" s="217"/>
      <c r="CG75" s="217"/>
      <c r="CH75" s="217"/>
      <c r="CI75" s="217"/>
      <c r="CJ75" s="217"/>
      <c r="CK75" s="217"/>
    </row>
    <row r="76" customFormat="false" ht="12" hidden="false" customHeight="true" outlineLevel="0" collapsed="false">
      <c r="Q76" s="1" t="n">
        <f aca="false">'Lead NA'!F79-'Lead NA'!E79</f>
        <v>0</v>
      </c>
      <c r="AC76" s="1" t="n">
        <f aca="false">'Lead NA'!G79-'Lead NA'!F79</f>
        <v>0</v>
      </c>
      <c r="AO76" s="1" t="n">
        <f aca="false">'Lead NA'!H79-'Lead NA'!G79</f>
        <v>0</v>
      </c>
    </row>
    <row r="77" customFormat="false" ht="12" hidden="false" customHeight="true" outlineLevel="0" collapsed="false">
      <c r="C77" s="153" t="s">
        <v>591</v>
      </c>
      <c r="D77" s="153" t="s">
        <v>591</v>
      </c>
      <c r="E77" s="218"/>
      <c r="F77" s="218"/>
      <c r="G77" s="218"/>
      <c r="H77" s="218"/>
      <c r="I77" s="218"/>
      <c r="J77" s="218"/>
      <c r="K77" s="218"/>
      <c r="L77" s="218"/>
      <c r="M77" s="218"/>
      <c r="N77" s="218"/>
      <c r="O77" s="218"/>
      <c r="P77" s="218"/>
      <c r="Q77" s="155" t="n">
        <f aca="false">Q20-Q76</f>
        <v>0</v>
      </c>
      <c r="R77" s="218"/>
      <c r="S77" s="218"/>
      <c r="T77" s="218"/>
      <c r="U77" s="218"/>
      <c r="V77" s="218"/>
      <c r="W77" s="218"/>
      <c r="X77" s="218"/>
      <c r="Y77" s="218"/>
      <c r="Z77" s="218"/>
      <c r="AA77" s="218"/>
      <c r="AB77" s="218"/>
      <c r="AC77" s="155" t="n">
        <f aca="false">AC20-AC76</f>
        <v>0</v>
      </c>
      <c r="AD77" s="218"/>
      <c r="AE77" s="218"/>
      <c r="AF77" s="218"/>
      <c r="AG77" s="218"/>
      <c r="AH77" s="218"/>
      <c r="AI77" s="218"/>
      <c r="AJ77" s="218"/>
      <c r="AK77" s="218"/>
      <c r="AL77" s="218"/>
      <c r="AM77" s="218"/>
      <c r="AN77" s="218"/>
      <c r="AO77" s="155" t="n">
        <f aca="false">AO20-AO76</f>
        <v>0</v>
      </c>
      <c r="AP77" s="218"/>
      <c r="AQ77" s="218"/>
      <c r="AR77" s="218"/>
      <c r="AS77" s="218"/>
      <c r="AT77" s="218"/>
      <c r="AU77" s="218"/>
      <c r="AV77" s="218"/>
      <c r="AW77" s="218"/>
      <c r="AX77" s="218"/>
      <c r="AY77" s="218"/>
      <c r="AZ77" s="218"/>
      <c r="BA77" s="218"/>
      <c r="BB77" s="218"/>
      <c r="BC77" s="218"/>
      <c r="BD77" s="218"/>
      <c r="BE77" s="218"/>
      <c r="BF77" s="218"/>
      <c r="BG77" s="218"/>
      <c r="BH77" s="218"/>
      <c r="BI77" s="218"/>
      <c r="BJ77" s="218"/>
      <c r="BK77" s="218"/>
      <c r="BL77" s="218"/>
      <c r="BM77" s="218"/>
      <c r="BN77" s="218"/>
      <c r="BO77" s="218"/>
      <c r="BP77" s="218"/>
      <c r="BQ77" s="218"/>
      <c r="BR77" s="218"/>
      <c r="BS77" s="218"/>
      <c r="BT77" s="218"/>
      <c r="BU77" s="218"/>
      <c r="BV77" s="218"/>
      <c r="BW77" s="218"/>
      <c r="BX77" s="218"/>
      <c r="BY77" s="218"/>
      <c r="BZ77" s="218"/>
      <c r="CA77" s="218"/>
      <c r="CB77" s="218"/>
      <c r="CC77" s="218"/>
      <c r="CD77" s="218"/>
      <c r="CE77" s="218"/>
      <c r="CF77" s="218"/>
      <c r="CG77" s="218"/>
      <c r="CH77" s="218"/>
      <c r="CI77" s="218"/>
      <c r="CJ77" s="218"/>
      <c r="CK77" s="218"/>
    </row>
    <row r="78" customFormat="false" ht="12" hidden="false" customHeight="true" outlineLevel="0" collapsed="false">
      <c r="Q78" s="1" t="n">
        <f aca="false">'Lead NA'!F178-'Lead NA'!E178</f>
        <v>0</v>
      </c>
      <c r="AC78" s="1" t="n">
        <f aca="false">'Lead NA'!G178-'Lead NA'!F178</f>
        <v>0</v>
      </c>
      <c r="AO78" s="1" t="n">
        <f aca="false">'Lead NA'!H178-'Lead NA'!G178</f>
        <v>0</v>
      </c>
    </row>
    <row r="79" customFormat="false" ht="12" hidden="false" customHeight="true" outlineLevel="0" collapsed="false">
      <c r="C79" s="153" t="s">
        <v>592</v>
      </c>
      <c r="D79" s="153" t="s">
        <v>592</v>
      </c>
      <c r="E79" s="218"/>
      <c r="F79" s="218"/>
      <c r="G79" s="218"/>
      <c r="H79" s="218"/>
      <c r="I79" s="218"/>
      <c r="J79" s="218"/>
      <c r="K79" s="218"/>
      <c r="L79" s="218"/>
      <c r="M79" s="218"/>
      <c r="N79" s="218"/>
      <c r="O79" s="218"/>
      <c r="P79" s="218"/>
      <c r="Q79" s="155" t="n">
        <f aca="false">Q37-Q78</f>
        <v>0</v>
      </c>
      <c r="R79" s="218"/>
      <c r="S79" s="218"/>
      <c r="T79" s="218"/>
      <c r="U79" s="218"/>
      <c r="V79" s="218"/>
      <c r="W79" s="218"/>
      <c r="X79" s="218"/>
      <c r="Y79" s="218"/>
      <c r="Z79" s="218"/>
      <c r="AA79" s="218"/>
      <c r="AB79" s="218"/>
      <c r="AC79" s="155" t="n">
        <f aca="false">AC37-AC78</f>
        <v>0</v>
      </c>
      <c r="AD79" s="218"/>
      <c r="AE79" s="218"/>
      <c r="AF79" s="218"/>
      <c r="AG79" s="218"/>
      <c r="AH79" s="218"/>
      <c r="AI79" s="218"/>
      <c r="AJ79" s="218"/>
      <c r="AK79" s="218"/>
      <c r="AL79" s="218"/>
      <c r="AM79" s="218"/>
      <c r="AN79" s="218"/>
      <c r="AO79" s="155" t="n">
        <f aca="false">AO37-AO78</f>
        <v>0</v>
      </c>
      <c r="AP79" s="218"/>
      <c r="AQ79" s="218"/>
      <c r="AR79" s="218"/>
      <c r="AS79" s="218"/>
      <c r="AT79" s="218"/>
      <c r="AU79" s="218"/>
      <c r="AV79" s="218"/>
      <c r="AW79" s="218"/>
      <c r="AX79" s="218"/>
      <c r="AY79" s="218"/>
      <c r="AZ79" s="218"/>
      <c r="BA79" s="218"/>
      <c r="BB79" s="218"/>
      <c r="BC79" s="218"/>
      <c r="BD79" s="218"/>
      <c r="BE79" s="218"/>
      <c r="BF79" s="218"/>
      <c r="BG79" s="218"/>
      <c r="BH79" s="218"/>
      <c r="BI79" s="218"/>
      <c r="BJ79" s="218"/>
      <c r="BK79" s="218"/>
      <c r="BL79" s="218"/>
      <c r="BM79" s="218"/>
      <c r="BN79" s="218"/>
      <c r="BO79" s="218"/>
      <c r="BP79" s="218"/>
      <c r="BQ79" s="218"/>
      <c r="BR79" s="218"/>
      <c r="BS79" s="218"/>
      <c r="BT79" s="218"/>
      <c r="BU79" s="218"/>
      <c r="BV79" s="218"/>
      <c r="BW79" s="218"/>
      <c r="BX79" s="218"/>
      <c r="BY79" s="218"/>
      <c r="BZ79" s="218"/>
      <c r="CA79" s="218"/>
      <c r="CB79" s="218"/>
      <c r="CC79" s="218"/>
      <c r="CD79" s="218"/>
      <c r="CE79" s="218"/>
      <c r="CF79" s="218"/>
      <c r="CG79" s="218"/>
      <c r="CH79" s="218"/>
      <c r="CI79" s="218"/>
      <c r="CJ79" s="218"/>
      <c r="CK79" s="218"/>
    </row>
  </sheetData>
  <conditionalFormatting sqref="E79:CK79">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conditionalFormatting sqref="E77:CK77">
    <cfRule type="cellIs" priority="5" operator="between" aboveAverage="0" equalAverage="0" bottom="0" percent="0" rank="0" text="" dxfId="2">
      <formula>-1</formula>
      <formula>1</formula>
    </cfRule>
    <cfRule type="cellIs" priority="6" operator="lessThan" aboveAverage="0" equalAverage="0" bottom="0" percent="0" rank="0" text="" dxfId="0">
      <formula>-1</formula>
    </cfRule>
    <cfRule type="cellIs" priority="7" operator="greaterThan" aboveAverage="0" equalAverage="0" bottom="0" percent="0" rank="0" text="" dxfId="0">
      <formula>1</formula>
    </cfRule>
  </conditionalFormatting>
  <conditionalFormatting sqref="E75:CK75">
    <cfRule type="cellIs" priority="8" operator="between" aboveAverage="0" equalAverage="0" bottom="0" percent="0" rank="0" text="" dxfId="2">
      <formula>-1</formula>
      <formula>1</formula>
    </cfRule>
    <cfRule type="cellIs" priority="9" operator="lessThan" aboveAverage="0" equalAverage="0" bottom="0" percent="0" rank="0" text="" dxfId="0">
      <formula>-1</formula>
    </cfRule>
    <cfRule type="cellIs" priority="10"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59"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91" man="true" max="65535" min="0"/>
  </colBreak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1:O2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A1" activeCellId="0" sqref="A1"/>
    </sheetView>
  </sheetViews>
  <sheetFormatPr defaultColWidth="11.2890625" defaultRowHeight="12" zeroHeight="false" outlineLevelRow="3" outlineLevelCol="2"/>
  <cols>
    <col collapsed="false" customWidth="false" hidden="false" outlineLevel="0" max="1" min="1" style="1" width="11.29"/>
    <col collapsed="false" customWidth="true" hidden="true" outlineLevel="2" max="2" min="2" style="1" width="0.86"/>
    <col collapsed="false" customWidth="true" hidden="true" outlineLevel="2" max="3" min="3" style="1" width="29.14"/>
    <col collapsed="false" customWidth="true" hidden="false" outlineLevel="0" max="4" min="4" style="1" width="29.14"/>
    <col collapsed="false" customWidth="true" hidden="false" outlineLevel="0" max="5" min="5" style="1" width="10.42"/>
    <col collapsed="false" customWidth="true" hidden="false" outlineLevel="0" max="9" min="6" style="1" width="9.42"/>
    <col collapsed="false" customWidth="true" hidden="true" outlineLevel="1" max="13" min="10" style="1" width="9.42"/>
    <col collapsed="false" customWidth="true" hidden="true" outlineLevel="2" max="14" min="14" style="1" width="0.86"/>
    <col collapsed="true" customWidth="false" hidden="false" outlineLevel="0" max="15" min="15" style="1" width="11.29"/>
    <col collapsed="false" customWidth="false" hidden="false" outlineLevel="0" max="16384" min="16" style="1" width="11.29"/>
  </cols>
  <sheetData>
    <row r="1" customFormat="false" ht="12" hidden="true" customHeight="true" outlineLevel="3" collapsed="false"/>
    <row r="2" customFormat="false" ht="11.25" hidden="false" customHeight="true" outlineLevel="0" collapsed="false"/>
    <row r="3" customFormat="false" ht="11.25" hidden="false" customHeight="true" outlineLevel="0" collapsed="false"/>
    <row r="4" customFormat="false" ht="10.5" hidden="true" customHeight="true" outlineLevel="3" collapsed="false">
      <c r="C4" s="220" t="str">
        <f aca="false">Cockpit!$C$4</f>
        <v>Template</v>
      </c>
      <c r="D4" s="221"/>
      <c r="E4" s="221"/>
      <c r="F4" s="225" t="n">
        <f aca="false">Cockpit!D39</f>
        <v>44926</v>
      </c>
      <c r="G4" s="225" t="n">
        <f aca="false">Cockpit!E39</f>
        <v>45291</v>
      </c>
      <c r="H4" s="225" t="n">
        <f aca="false">Cockpit!F39</f>
        <v>45657</v>
      </c>
      <c r="I4" s="225" t="n">
        <f aca="false">Cockpit!G39</f>
        <v>45808</v>
      </c>
      <c r="J4" s="225" t="n">
        <f aca="false">Cockpit!H39</f>
        <v>46022</v>
      </c>
      <c r="K4" s="225" t="n">
        <f aca="false">Cockpit!I39</f>
        <v>46387</v>
      </c>
      <c r="L4" s="225" t="n">
        <f aca="false">Cockpit!J39</f>
        <v>46752</v>
      </c>
      <c r="M4" s="225" t="n">
        <f aca="false">Cockpit!K39</f>
        <v>47118</v>
      </c>
    </row>
    <row r="5" customFormat="false" ht="11.25" hidden="true" customHeight="true" outlineLevel="3" collapsed="false">
      <c r="C5" s="220" t="str">
        <f aca="false">"in T"&amp;Cockpit!$C$5</f>
        <v>in TEUR</v>
      </c>
      <c r="D5" s="221"/>
      <c r="E5" s="221"/>
      <c r="F5" s="225" t="str">
        <f aca="false">Cockpit!D40</f>
        <v>IST</v>
      </c>
      <c r="G5" s="225" t="str">
        <f aca="false">Cockpit!E40</f>
        <v>IST</v>
      </c>
      <c r="H5" s="225" t="str">
        <f aca="false">Cockpit!F40</f>
        <v>IST</v>
      </c>
      <c r="I5" s="225" t="str">
        <f aca="false">Cockpit!G40</f>
        <v>IST</v>
      </c>
      <c r="J5" s="225" t="str">
        <f aca="false">Cockpit!H40</f>
        <v>Plan</v>
      </c>
      <c r="K5" s="225" t="str">
        <f aca="false">Cockpit!I40</f>
        <v>Plan</v>
      </c>
      <c r="L5" s="225" t="str">
        <f aca="false">Cockpit!J40</f>
        <v>Plan</v>
      </c>
      <c r="M5" s="225" t="str">
        <f aca="false">Cockpit!K40</f>
        <v>Plan</v>
      </c>
    </row>
    <row r="6" customFormat="false" ht="11.25" hidden="false" customHeight="true" outlineLevel="0" collapsed="false">
      <c r="C6" s="227"/>
      <c r="D6" s="228" t="str">
        <f aca="false">Cockpit!$C$4</f>
        <v>Template</v>
      </c>
      <c r="E6" s="228"/>
      <c r="F6" s="293" t="n">
        <f aca="false">Cockpit!D39</f>
        <v>44926</v>
      </c>
      <c r="G6" s="293" t="n">
        <f aca="false">Cockpit!E39</f>
        <v>45291</v>
      </c>
      <c r="H6" s="293" t="n">
        <f aca="false">Cockpit!F39</f>
        <v>45657</v>
      </c>
      <c r="I6" s="293" t="n">
        <f aca="false">Cockpit!G39</f>
        <v>45808</v>
      </c>
      <c r="J6" s="293" t="n">
        <f aca="false">Cockpit!H39</f>
        <v>46022</v>
      </c>
      <c r="K6" s="293" t="n">
        <f aca="false">Cockpit!I39</f>
        <v>46387</v>
      </c>
      <c r="L6" s="293" t="n">
        <f aca="false">Cockpit!J39</f>
        <v>46752</v>
      </c>
      <c r="M6" s="293" t="n">
        <f aca="false">Cockpit!K39</f>
        <v>47118</v>
      </c>
    </row>
    <row r="7" customFormat="false" ht="11.25" hidden="false" customHeight="true" outlineLevel="0" collapsed="false">
      <c r="C7" s="227"/>
      <c r="D7" s="228" t="str">
        <f aca="false">"in k"&amp;Cockpit!$C$5</f>
        <v>in kEUR</v>
      </c>
      <c r="E7" s="228"/>
      <c r="F7" s="293" t="str">
        <f aca="false">Cockpit!D40</f>
        <v>IST</v>
      </c>
      <c r="G7" s="293" t="str">
        <f aca="false">Cockpit!E40</f>
        <v>IST</v>
      </c>
      <c r="H7" s="293" t="str">
        <f aca="false">Cockpit!F40</f>
        <v>IST</v>
      </c>
      <c r="I7" s="293" t="str">
        <f aca="false">Cockpit!G40</f>
        <v>IST</v>
      </c>
      <c r="J7" s="293" t="str">
        <f aca="false">Cockpit!H40</f>
        <v>Plan</v>
      </c>
      <c r="K7" s="293" t="str">
        <f aca="false">Cockpit!I40</f>
        <v>Plan</v>
      </c>
      <c r="L7" s="293" t="str">
        <f aca="false">Cockpit!J40</f>
        <v>Plan</v>
      </c>
      <c r="M7" s="293" t="str">
        <f aca="false">Cockpit!K40</f>
        <v>Plan</v>
      </c>
    </row>
    <row r="8" customFormat="false" ht="4.5" hidden="false" customHeight="true" outlineLevel="0" collapsed="false">
      <c r="C8" s="226"/>
      <c r="D8" s="90"/>
      <c r="E8" s="90"/>
      <c r="F8" s="157"/>
      <c r="G8" s="157"/>
      <c r="H8" s="157"/>
      <c r="I8" s="157"/>
      <c r="J8" s="157"/>
      <c r="K8" s="157"/>
      <c r="L8" s="157"/>
      <c r="M8" s="157"/>
    </row>
    <row r="9" customFormat="false" ht="11.25" hidden="false" customHeight="true" outlineLevel="0" collapsed="false">
      <c r="C9" s="51" t="s">
        <v>234</v>
      </c>
      <c r="D9" s="51" t="s">
        <v>234</v>
      </c>
      <c r="E9" s="51"/>
      <c r="F9" s="159"/>
      <c r="G9" s="159"/>
      <c r="H9" s="159"/>
      <c r="I9" s="160"/>
      <c r="J9" s="161"/>
      <c r="K9" s="161"/>
      <c r="L9" s="161"/>
      <c r="M9" s="161"/>
    </row>
    <row r="10" customFormat="false" ht="11.25" hidden="false" customHeight="true" outlineLevel="0" collapsed="false">
      <c r="C10" s="51" t="s">
        <v>235</v>
      </c>
      <c r="D10" s="51" t="s">
        <v>235</v>
      </c>
      <c r="E10" s="51"/>
      <c r="F10" s="159"/>
      <c r="G10" s="159"/>
      <c r="H10" s="159"/>
      <c r="I10" s="160"/>
      <c r="J10" s="161"/>
      <c r="K10" s="161"/>
      <c r="L10" s="161"/>
      <c r="M10" s="161"/>
    </row>
    <row r="11" customFormat="false" ht="11.25" hidden="false" customHeight="true" outlineLevel="0" collapsed="false">
      <c r="C11" s="51" t="s">
        <v>236</v>
      </c>
      <c r="D11" s="51" t="s">
        <v>236</v>
      </c>
      <c r="E11" s="51"/>
      <c r="F11" s="159"/>
      <c r="G11" s="159"/>
      <c r="H11" s="159"/>
      <c r="I11" s="160"/>
      <c r="J11" s="161"/>
      <c r="K11" s="161"/>
      <c r="L11" s="161"/>
      <c r="M11" s="161"/>
    </row>
    <row r="12" customFormat="false" ht="11.25" hidden="false" customHeight="true" outlineLevel="0" collapsed="false">
      <c r="C12" s="51" t="s">
        <v>237</v>
      </c>
      <c r="D12" s="51" t="s">
        <v>237</v>
      </c>
      <c r="E12" s="51"/>
      <c r="F12" s="159"/>
      <c r="G12" s="159"/>
      <c r="H12" s="159"/>
      <c r="I12" s="160"/>
      <c r="J12" s="161"/>
      <c r="K12" s="161"/>
      <c r="L12" s="161"/>
      <c r="M12" s="161"/>
    </row>
    <row r="13" customFormat="false" ht="11.25" hidden="false" customHeight="true" outlineLevel="0" collapsed="false">
      <c r="C13" s="51" t="s">
        <v>672</v>
      </c>
      <c r="D13" s="51" t="s">
        <v>672</v>
      </c>
      <c r="E13" s="51"/>
      <c r="F13" s="159"/>
      <c r="G13" s="159"/>
      <c r="H13" s="159"/>
      <c r="I13" s="160"/>
      <c r="J13" s="161"/>
      <c r="K13" s="161"/>
      <c r="L13" s="161"/>
      <c r="M13" s="161"/>
    </row>
    <row r="14" customFormat="false" ht="11.25" hidden="false" customHeight="true" outlineLevel="0" collapsed="false">
      <c r="C14" s="51" t="s">
        <v>673</v>
      </c>
      <c r="D14" s="51" t="s">
        <v>673</v>
      </c>
      <c r="E14" s="51"/>
      <c r="F14" s="159"/>
      <c r="G14" s="159"/>
      <c r="H14" s="159"/>
      <c r="I14" s="160"/>
      <c r="J14" s="161"/>
      <c r="K14" s="161"/>
      <c r="L14" s="161"/>
      <c r="M14" s="161"/>
    </row>
    <row r="15" customFormat="false" ht="11.25" hidden="false" customHeight="true" outlineLevel="0" collapsed="false">
      <c r="C15" s="51" t="s">
        <v>674</v>
      </c>
      <c r="D15" s="51" t="s">
        <v>674</v>
      </c>
      <c r="E15" s="51"/>
      <c r="F15" s="162"/>
      <c r="G15" s="162"/>
      <c r="H15" s="162"/>
      <c r="I15" s="163"/>
      <c r="J15" s="164"/>
      <c r="K15" s="164"/>
      <c r="L15" s="164"/>
      <c r="M15" s="164"/>
    </row>
    <row r="16" customFormat="false" ht="11.25" hidden="false" customHeight="true" outlineLevel="0" collapsed="false">
      <c r="C16" s="181" t="s">
        <v>909</v>
      </c>
      <c r="D16" s="181" t="s">
        <v>910</v>
      </c>
      <c r="E16" s="181"/>
      <c r="F16" s="175" t="n">
        <f aca="false">SUM(F9:F15)</f>
        <v>0</v>
      </c>
      <c r="G16" s="175" t="n">
        <f aca="false">SUM(G9:G15)</f>
        <v>0</v>
      </c>
      <c r="H16" s="175" t="n">
        <f aca="false">SUM(H9:H15)</f>
        <v>0</v>
      </c>
      <c r="I16" s="176" t="n">
        <f aca="false">SUM(I9:I15)</f>
        <v>0</v>
      </c>
      <c r="J16" s="177" t="n">
        <f aca="false">SUM(J9:J15)</f>
        <v>0</v>
      </c>
      <c r="K16" s="177" t="n">
        <f aca="false">SUM(K9:K15)</f>
        <v>0</v>
      </c>
      <c r="L16" s="177" t="n">
        <f aca="false">SUM(L9:L15)</f>
        <v>0</v>
      </c>
      <c r="M16" s="177" t="n">
        <f aca="false">SUM(M9:M15)</f>
        <v>0</v>
      </c>
    </row>
    <row r="17" customFormat="false" ht="11.25" hidden="false" customHeight="true" outlineLevel="0" collapsed="false">
      <c r="C17" s="51"/>
      <c r="D17" s="51"/>
      <c r="E17" s="51"/>
      <c r="F17" s="159"/>
      <c r="G17" s="159"/>
      <c r="H17" s="159"/>
      <c r="I17" s="160"/>
      <c r="J17" s="161"/>
      <c r="K17" s="161"/>
      <c r="L17" s="161"/>
      <c r="M17" s="161"/>
    </row>
    <row r="18" customFormat="false" ht="11.25" hidden="false" customHeight="true" outlineLevel="0" collapsed="false">
      <c r="C18" s="54" t="str">
        <f aca="false">"Quelle: "&amp;Cockpit!$C$7</f>
        <v>Quelle: Datenraum/ eigene Analysen</v>
      </c>
      <c r="D18" s="54" t="str">
        <f aca="false">"Source: "&amp;Cockpit!$C$8</f>
        <v>Source: Virtual Data Room/ Company Information</v>
      </c>
      <c r="E18" s="54"/>
      <c r="F18" s="162"/>
      <c r="G18" s="162"/>
      <c r="H18" s="162"/>
      <c r="I18" s="190"/>
      <c r="J18" s="191"/>
      <c r="K18" s="191"/>
      <c r="L18" s="191"/>
      <c r="M18" s="191"/>
    </row>
    <row r="19" customFormat="false" ht="11.25" hidden="false" customHeight="true" outlineLevel="0" collapsed="false"/>
    <row r="20" customFormat="false" ht="11.25" hidden="false" customHeight="true" outlineLevel="0" collapsed="false"/>
    <row r="21" customFormat="false" ht="12" hidden="false" customHeight="true" outlineLevel="0" collapsed="false">
      <c r="C21" s="151" t="s">
        <v>889</v>
      </c>
      <c r="D21" s="151" t="s">
        <v>889</v>
      </c>
      <c r="E21" s="151"/>
      <c r="F21" s="152"/>
      <c r="G21" s="152"/>
      <c r="H21" s="152"/>
      <c r="I21" s="152"/>
      <c r="J21" s="152"/>
      <c r="K21" s="152"/>
      <c r="L21" s="152"/>
      <c r="M21" s="152"/>
      <c r="O21" s="35" t="s">
        <v>890</v>
      </c>
    </row>
    <row r="22" customFormat="false" ht="12" hidden="false" customHeight="true" outlineLevel="0" collapsed="false">
      <c r="C22" s="153" t="s">
        <v>245</v>
      </c>
      <c r="D22" s="154" t="s">
        <v>245</v>
      </c>
      <c r="E22" s="153"/>
      <c r="F22" s="218" t="n">
        <f aca="false">F21-F16</f>
        <v>0</v>
      </c>
      <c r="G22" s="218" t="n">
        <f aca="false">G21-G16</f>
        <v>0</v>
      </c>
      <c r="H22" s="218" t="n">
        <f aca="false">H21-H16</f>
        <v>0</v>
      </c>
      <c r="I22" s="218" t="n">
        <f aca="false">I21-I16</f>
        <v>0</v>
      </c>
      <c r="J22" s="218" t="n">
        <f aca="false">J21-J16</f>
        <v>0</v>
      </c>
      <c r="K22" s="218" t="n">
        <f aca="false">K21-K16</f>
        <v>0</v>
      </c>
      <c r="L22" s="218" t="n">
        <f aca="false">L21-L16</f>
        <v>0</v>
      </c>
      <c r="M22" s="218" t="n">
        <f aca="false">M21-M16</f>
        <v>0</v>
      </c>
    </row>
  </sheetData>
  <conditionalFormatting sqref="F22:M22">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6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C1:L30"/>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A1" activeCellId="0" sqref="A1"/>
    </sheetView>
  </sheetViews>
  <sheetFormatPr defaultColWidth="11.2890625" defaultRowHeight="12" zeroHeight="false" outlineLevelRow="3" outlineLevelCol="2"/>
  <cols>
    <col collapsed="false" customWidth="false" hidden="false" outlineLevel="0" max="1" min="1" style="1" width="11.29"/>
    <col collapsed="false" customWidth="true" hidden="true" outlineLevel="2" max="2" min="2" style="1" width="0.86"/>
    <col collapsed="false" customWidth="true" hidden="true" outlineLevel="2" max="3" min="3" style="1" width="40.57"/>
    <col collapsed="false" customWidth="true" hidden="false" outlineLevel="0" max="4" min="4" style="1" width="40.57"/>
    <col collapsed="false" customWidth="true" hidden="false" outlineLevel="0" max="8" min="5" style="1" width="9.42"/>
    <col collapsed="false" customWidth="true" hidden="true" outlineLevel="1" max="12" min="9" style="1" width="9.42"/>
    <col collapsed="false" customWidth="true" hidden="true" outlineLevel="2" max="13" min="13" style="1" width="0.86"/>
    <col collapsed="true" customWidth="false" hidden="false" outlineLevel="0" max="14" min="14" style="1" width="11.29"/>
    <col collapsed="false" customWidth="false" hidden="false" outlineLevel="0" max="16384" min="15" style="1" width="11.29"/>
  </cols>
  <sheetData>
    <row r="1" customFormat="false" ht="12" hidden="true" customHeight="true" outlineLevel="3" collapsed="false"/>
    <row r="3" customFormat="false" ht="11.25" hidden="false" customHeight="true" outlineLevel="0" collapsed="false"/>
    <row r="4" customFormat="false" ht="11.25" hidden="true" customHeight="true" outlineLevel="3" collapsed="false">
      <c r="C4" s="220" t="str">
        <f aca="false">Cockpit!$C$4</f>
        <v>Template</v>
      </c>
      <c r="D4" s="221"/>
      <c r="E4" s="397" t="n">
        <f aca="false">Cockpit!D39</f>
        <v>44926</v>
      </c>
      <c r="F4" s="397" t="n">
        <f aca="false">Cockpit!E39</f>
        <v>45291</v>
      </c>
      <c r="G4" s="397" t="n">
        <f aca="false">Cockpit!F39</f>
        <v>45657</v>
      </c>
      <c r="H4" s="397" t="n">
        <f aca="false">Cockpit!G39</f>
        <v>45808</v>
      </c>
      <c r="I4" s="397" t="n">
        <f aca="false">Cockpit!H39</f>
        <v>46022</v>
      </c>
      <c r="J4" s="397" t="n">
        <f aca="false">Cockpit!I39</f>
        <v>46387</v>
      </c>
      <c r="K4" s="397" t="n">
        <f aca="false">Cockpit!J39</f>
        <v>46752</v>
      </c>
      <c r="L4" s="397" t="n">
        <f aca="false">Cockpit!K39</f>
        <v>47118</v>
      </c>
    </row>
    <row r="5" customFormat="false" ht="11.25" hidden="true" customHeight="true" outlineLevel="3" collapsed="false">
      <c r="C5" s="220" t="str">
        <f aca="false">"in T"&amp;Cockpit!$C$5</f>
        <v>in TEUR</v>
      </c>
      <c r="D5" s="221"/>
      <c r="E5" s="225" t="s">
        <v>21</v>
      </c>
      <c r="F5" s="225" t="s">
        <v>21</v>
      </c>
      <c r="G5" s="225" t="s">
        <v>21</v>
      </c>
      <c r="H5" s="225" t="s">
        <v>21</v>
      </c>
      <c r="I5" s="225" t="s">
        <v>21</v>
      </c>
      <c r="J5" s="225" t="s">
        <v>21</v>
      </c>
      <c r="K5" s="225" t="s">
        <v>21</v>
      </c>
      <c r="L5" s="225" t="s">
        <v>21</v>
      </c>
    </row>
    <row r="6" customFormat="false" ht="11.25" hidden="false" customHeight="true" outlineLevel="0" collapsed="false">
      <c r="C6" s="227"/>
      <c r="D6" s="228" t="str">
        <f aca="false">Cockpit!$C$4</f>
        <v>Template</v>
      </c>
      <c r="E6" s="398" t="n">
        <f aca="false">Cockpit!D39</f>
        <v>44926</v>
      </c>
      <c r="F6" s="398" t="n">
        <f aca="false">Cockpit!E39</f>
        <v>45291</v>
      </c>
      <c r="G6" s="398" t="n">
        <f aca="false">Cockpit!F39</f>
        <v>45657</v>
      </c>
      <c r="H6" s="398" t="n">
        <f aca="false">Cockpit!G39</f>
        <v>45808</v>
      </c>
      <c r="I6" s="398" t="n">
        <f aca="false">Cockpit!H39</f>
        <v>46022</v>
      </c>
      <c r="J6" s="398" t="n">
        <f aca="false">Cockpit!I39</f>
        <v>46387</v>
      </c>
      <c r="K6" s="398" t="n">
        <f aca="false">Cockpit!J39</f>
        <v>46752</v>
      </c>
      <c r="L6" s="398" t="n">
        <f aca="false">Cockpit!K39</f>
        <v>47118</v>
      </c>
    </row>
    <row r="7" customFormat="false" ht="11.25" hidden="false" customHeight="true" outlineLevel="0" collapsed="false">
      <c r="C7" s="227"/>
      <c r="D7" s="228" t="str">
        <f aca="false">"in k"&amp;Cockpit!$C$5</f>
        <v>in kEUR</v>
      </c>
      <c r="E7" s="293" t="str">
        <f aca="false">Cockpit!D40</f>
        <v>IST</v>
      </c>
      <c r="F7" s="293" t="str">
        <f aca="false">Cockpit!E40</f>
        <v>IST</v>
      </c>
      <c r="G7" s="293" t="str">
        <f aca="false">Cockpit!F40</f>
        <v>IST</v>
      </c>
      <c r="H7" s="293" t="str">
        <f aca="false">Cockpit!G40</f>
        <v>IST</v>
      </c>
      <c r="I7" s="293" t="str">
        <f aca="false">Cockpit!H40</f>
        <v>Plan</v>
      </c>
      <c r="J7" s="293" t="str">
        <f aca="false">Cockpit!I40</f>
        <v>Plan</v>
      </c>
      <c r="K7" s="293" t="str">
        <f aca="false">Cockpit!J40</f>
        <v>Plan</v>
      </c>
      <c r="L7" s="293" t="str">
        <f aca="false">Cockpit!K40</f>
        <v>Plan</v>
      </c>
    </row>
    <row r="8" customFormat="false" ht="4.5" hidden="false" customHeight="true" outlineLevel="0" collapsed="false">
      <c r="C8" s="186"/>
      <c r="D8" s="186"/>
      <c r="E8" s="159"/>
      <c r="F8" s="159"/>
      <c r="G8" s="159"/>
      <c r="H8" s="307"/>
      <c r="I8" s="308"/>
      <c r="J8" s="308"/>
      <c r="K8" s="308"/>
      <c r="L8" s="308"/>
    </row>
    <row r="9" customFormat="false" ht="11.25" hidden="false" customHeight="true" outlineLevel="0" collapsed="false">
      <c r="C9" s="429" t="s">
        <v>911</v>
      </c>
      <c r="D9" s="429" t="s">
        <v>912</v>
      </c>
      <c r="E9" s="430"/>
      <c r="F9" s="430"/>
      <c r="G9" s="430"/>
      <c r="H9" s="431"/>
      <c r="I9" s="432"/>
      <c r="J9" s="432"/>
      <c r="K9" s="432"/>
      <c r="L9" s="432"/>
    </row>
    <row r="10" customFormat="false" ht="11.25" hidden="false" customHeight="true" outlineLevel="0" collapsed="false">
      <c r="C10" s="429" t="s">
        <v>913</v>
      </c>
      <c r="D10" s="429" t="s">
        <v>914</v>
      </c>
      <c r="E10" s="430"/>
      <c r="F10" s="430"/>
      <c r="G10" s="430"/>
      <c r="H10" s="431"/>
      <c r="I10" s="432"/>
      <c r="J10" s="432"/>
      <c r="K10" s="432"/>
      <c r="L10" s="432"/>
    </row>
    <row r="11" customFormat="false" ht="11.25" hidden="false" customHeight="true" outlineLevel="0" collapsed="false">
      <c r="C11" s="51" t="s">
        <v>915</v>
      </c>
      <c r="D11" s="51" t="s">
        <v>916</v>
      </c>
      <c r="E11" s="159" t="n">
        <f aca="false">+SUM(E9:E10)</f>
        <v>0</v>
      </c>
      <c r="F11" s="159" t="n">
        <f aca="false">+SUM(F9:F10)</f>
        <v>0</v>
      </c>
      <c r="G11" s="159" t="n">
        <f aca="false">+SUM(G9:G10)</f>
        <v>0</v>
      </c>
      <c r="H11" s="160" t="n">
        <f aca="false">+SUM(H9:H10)</f>
        <v>0</v>
      </c>
      <c r="I11" s="161" t="n">
        <f aca="false">+SUM(I9:I10)</f>
        <v>0</v>
      </c>
      <c r="J11" s="161" t="n">
        <f aca="false">+SUM(J9:J10)</f>
        <v>0</v>
      </c>
      <c r="K11" s="161" t="n">
        <f aca="false">+SUM(K9:K10)</f>
        <v>0</v>
      </c>
      <c r="L11" s="161" t="n">
        <f aca="false">+SUM(L9:L10)</f>
        <v>0</v>
      </c>
    </row>
    <row r="12" customFormat="false" ht="11.25" hidden="false" customHeight="true" outlineLevel="0" collapsed="false">
      <c r="C12" s="429" t="s">
        <v>917</v>
      </c>
      <c r="D12" s="429" t="s">
        <v>918</v>
      </c>
      <c r="E12" s="430"/>
      <c r="F12" s="430"/>
      <c r="G12" s="430"/>
      <c r="H12" s="431"/>
      <c r="I12" s="432"/>
      <c r="J12" s="432"/>
      <c r="K12" s="432"/>
      <c r="L12" s="432"/>
    </row>
    <row r="13" customFormat="false" ht="11.25" hidden="false" customHeight="true" outlineLevel="0" collapsed="false">
      <c r="C13" s="429" t="s">
        <v>913</v>
      </c>
      <c r="D13" s="429" t="s">
        <v>914</v>
      </c>
      <c r="E13" s="430"/>
      <c r="F13" s="430"/>
      <c r="G13" s="430"/>
      <c r="H13" s="431"/>
      <c r="I13" s="432"/>
      <c r="J13" s="432"/>
      <c r="K13" s="432"/>
      <c r="L13" s="432"/>
    </row>
    <row r="14" customFormat="false" ht="11.25" hidden="false" customHeight="true" outlineLevel="0" collapsed="false">
      <c r="C14" s="51" t="s">
        <v>234</v>
      </c>
      <c r="D14" s="51" t="s">
        <v>919</v>
      </c>
      <c r="E14" s="159" t="n">
        <f aca="false">+SUM(E12:E13)</f>
        <v>0</v>
      </c>
      <c r="F14" s="159" t="n">
        <f aca="false">+SUM(F12:F13)</f>
        <v>0</v>
      </c>
      <c r="G14" s="159" t="n">
        <f aca="false">+SUM(G12:G13)</f>
        <v>0</v>
      </c>
      <c r="H14" s="160" t="n">
        <f aca="false">+SUM(H12:H13)</f>
        <v>0</v>
      </c>
      <c r="I14" s="161" t="n">
        <f aca="false">+SUM(I12:I13)</f>
        <v>0</v>
      </c>
      <c r="J14" s="161" t="n">
        <f aca="false">+SUM(J12:J13)</f>
        <v>0</v>
      </c>
      <c r="K14" s="161" t="n">
        <f aca="false">+SUM(K12:K13)</f>
        <v>0</v>
      </c>
      <c r="L14" s="161" t="n">
        <f aca="false">+SUM(L12:L13)</f>
        <v>0</v>
      </c>
    </row>
    <row r="15" customFormat="false" ht="11.25" hidden="false" customHeight="true" outlineLevel="0" collapsed="false">
      <c r="C15" s="429" t="s">
        <v>920</v>
      </c>
      <c r="D15" s="429" t="s">
        <v>921</v>
      </c>
      <c r="E15" s="430"/>
      <c r="F15" s="430"/>
      <c r="G15" s="430"/>
      <c r="H15" s="431"/>
      <c r="I15" s="432"/>
      <c r="J15" s="432"/>
      <c r="K15" s="432"/>
      <c r="L15" s="432"/>
    </row>
    <row r="16" customFormat="false" ht="11.25" hidden="false" customHeight="true" outlineLevel="0" collapsed="false">
      <c r="C16" s="429" t="s">
        <v>913</v>
      </c>
      <c r="D16" s="429" t="s">
        <v>914</v>
      </c>
      <c r="E16" s="430"/>
      <c r="F16" s="430"/>
      <c r="G16" s="430"/>
      <c r="H16" s="431"/>
      <c r="I16" s="432"/>
      <c r="J16" s="432"/>
      <c r="K16" s="432"/>
      <c r="L16" s="432"/>
    </row>
    <row r="17" customFormat="false" ht="11.25" hidden="false" customHeight="true" outlineLevel="0" collapsed="false">
      <c r="C17" s="54" t="s">
        <v>235</v>
      </c>
      <c r="D17" s="54" t="s">
        <v>922</v>
      </c>
      <c r="E17" s="162" t="n">
        <f aca="false">+SUM(E15:E16)</f>
        <v>0</v>
      </c>
      <c r="F17" s="162" t="n">
        <f aca="false">+SUM(F15:F16)</f>
        <v>0</v>
      </c>
      <c r="G17" s="162" t="n">
        <f aca="false">+SUM(G15:G16)</f>
        <v>0</v>
      </c>
      <c r="H17" s="163" t="n">
        <f aca="false">+SUM(H15:H16)</f>
        <v>0</v>
      </c>
      <c r="I17" s="164" t="n">
        <f aca="false">+SUM(I15:I16)</f>
        <v>0</v>
      </c>
      <c r="J17" s="164" t="n">
        <f aca="false">+SUM(J15:J16)</f>
        <v>0</v>
      </c>
      <c r="K17" s="164" t="n">
        <f aca="false">+SUM(K15:K16)</f>
        <v>0</v>
      </c>
      <c r="L17" s="164" t="n">
        <f aca="false">+SUM(L15:L16)</f>
        <v>0</v>
      </c>
    </row>
    <row r="18" customFormat="false" ht="11.25" hidden="false" customHeight="true" outlineLevel="0" collapsed="false">
      <c r="C18" s="181" t="s">
        <v>923</v>
      </c>
      <c r="D18" s="181" t="s">
        <v>924</v>
      </c>
      <c r="E18" s="175" t="n">
        <f aca="false">+E9+E12+E15</f>
        <v>0</v>
      </c>
      <c r="F18" s="175" t="n">
        <f aca="false">+F9+F12+F15</f>
        <v>0</v>
      </c>
      <c r="G18" s="175" t="n">
        <f aca="false">+G9+G12+G15</f>
        <v>0</v>
      </c>
      <c r="H18" s="176" t="n">
        <f aca="false">+H9+H12+H15</f>
        <v>0</v>
      </c>
      <c r="I18" s="177" t="n">
        <f aca="false">+I9+I12+I15</f>
        <v>0</v>
      </c>
      <c r="J18" s="177" t="n">
        <f aca="false">+J9+J12+J15</f>
        <v>0</v>
      </c>
      <c r="K18" s="177" t="n">
        <f aca="false">+K9+K12+K15</f>
        <v>0</v>
      </c>
      <c r="L18" s="177" t="n">
        <f aca="false">+L9+L12+L15</f>
        <v>0</v>
      </c>
    </row>
    <row r="19" customFormat="false" ht="11.25" hidden="false" customHeight="true" outlineLevel="0" collapsed="false">
      <c r="C19" s="54" t="s">
        <v>913</v>
      </c>
      <c r="D19" s="54" t="s">
        <v>914</v>
      </c>
      <c r="E19" s="162" t="n">
        <f aca="false">+E10+E13+E16</f>
        <v>0</v>
      </c>
      <c r="F19" s="162" t="n">
        <f aca="false">+F10+F13+F16</f>
        <v>0</v>
      </c>
      <c r="G19" s="162" t="n">
        <f aca="false">+G10+G13+G16</f>
        <v>0</v>
      </c>
      <c r="H19" s="163" t="n">
        <f aca="false">+H10+H13+H16</f>
        <v>0</v>
      </c>
      <c r="I19" s="164" t="n">
        <f aca="false">+I10+I13+I16</f>
        <v>0</v>
      </c>
      <c r="J19" s="164" t="n">
        <f aca="false">+J10+J13+J16</f>
        <v>0</v>
      </c>
      <c r="K19" s="164" t="n">
        <f aca="false">+K10+K13+K16</f>
        <v>0</v>
      </c>
      <c r="L19" s="164" t="n">
        <f aca="false">+L10+L13+L16</f>
        <v>0</v>
      </c>
    </row>
    <row r="20" customFormat="false" ht="11.25" hidden="false" customHeight="true" outlineLevel="0" collapsed="false">
      <c r="C20" s="181" t="s">
        <v>475</v>
      </c>
      <c r="D20" s="181" t="s">
        <v>925</v>
      </c>
      <c r="E20" s="175" t="n">
        <f aca="false">+E11+E14+E17</f>
        <v>0</v>
      </c>
      <c r="F20" s="175" t="n">
        <f aca="false">+F11+F14+F17</f>
        <v>0</v>
      </c>
      <c r="G20" s="175" t="n">
        <f aca="false">+G11+G14+G17</f>
        <v>0</v>
      </c>
      <c r="H20" s="176" t="n">
        <f aca="false">+H11+H14+H17</f>
        <v>0</v>
      </c>
      <c r="I20" s="177" t="n">
        <f aca="false">+I11+I14+I17</f>
        <v>0</v>
      </c>
      <c r="J20" s="177" t="n">
        <f aca="false">+J11+J14+J17</f>
        <v>0</v>
      </c>
      <c r="K20" s="177" t="n">
        <f aca="false">+K11+K14+K17</f>
        <v>0</v>
      </c>
      <c r="L20" s="177" t="n">
        <f aca="false">+L11+L14+L17</f>
        <v>0</v>
      </c>
    </row>
    <row r="21" customFormat="false" ht="3.75" hidden="false" customHeight="true" outlineLevel="0" collapsed="false">
      <c r="C21" s="51"/>
      <c r="D21" s="51"/>
      <c r="E21" s="159"/>
      <c r="F21" s="159"/>
      <c r="G21" s="159"/>
      <c r="H21" s="160"/>
      <c r="I21" s="161"/>
      <c r="J21" s="161"/>
      <c r="K21" s="161"/>
      <c r="L21" s="161"/>
    </row>
    <row r="22" customFormat="false" ht="11.25" hidden="false" customHeight="true" outlineLevel="0" collapsed="false">
      <c r="C22" s="132" t="s">
        <v>926</v>
      </c>
      <c r="D22" s="132" t="s">
        <v>927</v>
      </c>
      <c r="E22" s="159"/>
      <c r="F22" s="159"/>
      <c r="G22" s="159"/>
      <c r="H22" s="160"/>
      <c r="I22" s="161"/>
      <c r="J22" s="161"/>
      <c r="K22" s="161"/>
      <c r="L22" s="161"/>
    </row>
    <row r="23" customFormat="false" ht="11.25" hidden="false" customHeight="true" outlineLevel="0" collapsed="false">
      <c r="C23" s="51" t="s">
        <v>475</v>
      </c>
      <c r="D23" s="51" t="s">
        <v>476</v>
      </c>
      <c r="E23" s="213" t="str">
        <f aca="false">IFERROR(E19/E18,"n/a")</f>
        <v>n/a</v>
      </c>
      <c r="F23" s="213" t="str">
        <f aca="false">IFERROR(F19/F18,"n/a")</f>
        <v>n/a</v>
      </c>
      <c r="G23" s="213" t="str">
        <f aca="false">IFERROR(G19/G18,"n/a")</f>
        <v>n/a</v>
      </c>
      <c r="H23" s="215" t="str">
        <f aca="false">IFERROR(H19/H18,"n/a")</f>
        <v>n/a</v>
      </c>
      <c r="I23" s="216" t="str">
        <f aca="false">IFERROR(I19/I18,"n/a")</f>
        <v>n/a</v>
      </c>
      <c r="J23" s="216" t="str">
        <f aca="false">IFERROR(J19/J18,"n/a")</f>
        <v>n/a</v>
      </c>
      <c r="K23" s="216" t="str">
        <f aca="false">IFERROR(K19/K18,"n/a")</f>
        <v>n/a</v>
      </c>
      <c r="L23" s="216" t="str">
        <f aca="false">IFERROR(L19/L18,"n/a")</f>
        <v>n/a</v>
      </c>
    </row>
    <row r="24" customFormat="false" ht="4.5" hidden="false" customHeight="true" outlineLevel="0" collapsed="false">
      <c r="C24" s="51"/>
      <c r="D24" s="51"/>
      <c r="E24" s="159"/>
      <c r="F24" s="159"/>
      <c r="G24" s="159"/>
      <c r="H24" s="160"/>
      <c r="I24" s="161"/>
      <c r="J24" s="161"/>
      <c r="K24" s="161"/>
      <c r="L24" s="161"/>
    </row>
    <row r="25" customFormat="false" ht="11.25" hidden="false" customHeight="true" outlineLevel="0" collapsed="false">
      <c r="C25" s="394" t="s">
        <v>928</v>
      </c>
      <c r="D25" s="394" t="s">
        <v>929</v>
      </c>
      <c r="E25" s="159"/>
      <c r="F25" s="159"/>
      <c r="G25" s="159"/>
      <c r="H25" s="160"/>
      <c r="I25" s="161"/>
      <c r="J25" s="161"/>
      <c r="K25" s="161"/>
      <c r="L25" s="161"/>
    </row>
    <row r="26" customFormat="false" ht="4.5" hidden="false" customHeight="true" outlineLevel="0" collapsed="false">
      <c r="C26" s="51"/>
      <c r="D26" s="51"/>
      <c r="E26" s="159"/>
      <c r="F26" s="159"/>
      <c r="G26" s="159"/>
      <c r="H26" s="160"/>
      <c r="I26" s="161"/>
      <c r="J26" s="161"/>
      <c r="K26" s="161"/>
      <c r="L26" s="161"/>
    </row>
    <row r="27" customFormat="false" ht="11.25" hidden="false" customHeight="true" outlineLevel="0" collapsed="false">
      <c r="C27" s="54" t="str">
        <f aca="false">"Quelle: "&amp;Cockpit!$C$7</f>
        <v>Quelle: Datenraum/ eigene Analysen</v>
      </c>
      <c r="D27" s="54" t="str">
        <f aca="false">"Source: "&amp;Cockpit!$C$8</f>
        <v>Source: Virtual Data Room/ Company Information</v>
      </c>
      <c r="E27" s="162"/>
      <c r="F27" s="162"/>
      <c r="G27" s="162"/>
      <c r="H27" s="190"/>
      <c r="I27" s="191"/>
      <c r="J27" s="191"/>
      <c r="K27" s="191"/>
      <c r="L27" s="191"/>
    </row>
    <row r="28" customFormat="false" ht="11.25" hidden="false" customHeight="true" outlineLevel="0" collapsed="false"/>
    <row r="29" customFormat="false" ht="12" hidden="false" customHeight="true" outlineLevel="0" collapsed="false">
      <c r="C29" s="151" t="s">
        <v>475</v>
      </c>
      <c r="D29" s="151" t="s">
        <v>476</v>
      </c>
      <c r="E29" s="152" t="n">
        <f aca="false">+'Lead NA'!F18</f>
        <v>0</v>
      </c>
      <c r="F29" s="152" t="n">
        <f aca="false">+'Lead NA'!G18</f>
        <v>0</v>
      </c>
      <c r="G29" s="152" t="n">
        <f aca="false">+'Lead NA'!H18</f>
        <v>0</v>
      </c>
      <c r="H29" s="152" t="n">
        <f aca="false">+'Lead NA'!I18</f>
        <v>0</v>
      </c>
      <c r="I29" s="152" t="n">
        <f aca="false">+'Lead NA'!J18</f>
        <v>0</v>
      </c>
      <c r="J29" s="152" t="n">
        <f aca="false">+'Lead NA'!K18</f>
        <v>0</v>
      </c>
      <c r="K29" s="152" t="n">
        <f aca="false">+'Lead NA'!L18</f>
        <v>0</v>
      </c>
      <c r="L29" s="152" t="n">
        <f aca="false">+'Lead NA'!M18</f>
        <v>0</v>
      </c>
    </row>
    <row r="30" customFormat="false" ht="12" hidden="false" customHeight="true" outlineLevel="0" collapsed="false">
      <c r="C30" s="154" t="s">
        <v>245</v>
      </c>
      <c r="D30" s="154" t="s">
        <v>245</v>
      </c>
      <c r="E30" s="155" t="n">
        <f aca="false">E29-E20</f>
        <v>0</v>
      </c>
      <c r="F30" s="155" t="n">
        <f aca="false">F29-F20</f>
        <v>0</v>
      </c>
      <c r="G30" s="155" t="n">
        <f aca="false">G29-G20</f>
        <v>0</v>
      </c>
      <c r="H30" s="155" t="n">
        <f aca="false">H29-H20</f>
        <v>0</v>
      </c>
      <c r="I30" s="155" t="n">
        <f aca="false">I29-I20</f>
        <v>0</v>
      </c>
      <c r="J30" s="155" t="n">
        <f aca="false">J29-J20</f>
        <v>0</v>
      </c>
      <c r="K30" s="155" t="n">
        <f aca="false">K29-K20</f>
        <v>0</v>
      </c>
      <c r="L30" s="155" t="n">
        <f aca="false">L29-L20</f>
        <v>0</v>
      </c>
    </row>
  </sheetData>
  <conditionalFormatting sqref="E30:L30">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6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B1:AG56"/>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F64" activeCellId="0" sqref="F64"/>
    </sheetView>
  </sheetViews>
  <sheetFormatPr defaultColWidth="11.2890625" defaultRowHeight="11.25" zeroHeight="false" outlineLevelRow="3" outlineLevelCol="2"/>
  <cols>
    <col collapsed="false" customWidth="false" hidden="false" outlineLevel="0" max="1" min="1" style="1" width="11.29"/>
    <col collapsed="false" customWidth="true" hidden="true" outlineLevel="2" max="2" min="2" style="1" width="0.86"/>
    <col collapsed="false" customWidth="true" hidden="true" outlineLevel="2" max="3" min="3" style="1" width="35.57"/>
    <col collapsed="false" customWidth="true" hidden="false" outlineLevel="0" max="4" min="4" style="1" width="35.57"/>
    <col collapsed="false" customWidth="true" hidden="false" outlineLevel="0" max="7" min="5" style="1" width="9.42"/>
    <col collapsed="false" customWidth="true" hidden="false" outlineLevel="0" max="9" min="8" style="1" width="13.29"/>
    <col collapsed="false" customWidth="true" hidden="false" outlineLevel="0" max="10" min="10" style="1" width="9.42"/>
    <col collapsed="false" customWidth="true" hidden="true" outlineLevel="2" max="11" min="11" style="1" width="0.86"/>
    <col collapsed="false" customWidth="false" hidden="false" outlineLevel="0" max="12" min="12" style="1" width="11.29"/>
    <col collapsed="false" customWidth="true" hidden="true" outlineLevel="2" max="13" min="13" style="1" width="0.86"/>
    <col collapsed="false" customWidth="true" hidden="true" outlineLevel="2" max="14" min="14" style="1" width="35.57"/>
    <col collapsed="false" customWidth="true" hidden="false" outlineLevel="0" max="15" min="15" style="1" width="35.57"/>
    <col collapsed="false" customWidth="true" hidden="false" outlineLevel="0" max="18" min="16" style="1" width="9.42"/>
    <col collapsed="false" customWidth="true" hidden="false" outlineLevel="0" max="20" min="19" style="1" width="13.29"/>
    <col collapsed="false" customWidth="true" hidden="false" outlineLevel="0" max="21" min="21" style="1" width="9.42"/>
    <col collapsed="false" customWidth="true" hidden="true" outlineLevel="2" max="22" min="22" style="1" width="0.86"/>
    <col collapsed="false" customWidth="false" hidden="false" outlineLevel="0" max="23" min="23" style="1" width="11.29"/>
    <col collapsed="false" customWidth="true" hidden="true" outlineLevel="2" max="24" min="24" style="1" width="0.86"/>
    <col collapsed="false" customWidth="true" hidden="true" outlineLevel="2" max="25" min="25" style="1" width="35.57"/>
    <col collapsed="false" customWidth="true" hidden="false" outlineLevel="0" max="26" min="26" style="1" width="35.57"/>
    <col collapsed="false" customWidth="true" hidden="false" outlineLevel="0" max="29" min="27" style="1" width="9.42"/>
    <col collapsed="false" customWidth="true" hidden="false" outlineLevel="0" max="31" min="30" style="1" width="13.29"/>
    <col collapsed="false" customWidth="true" hidden="false" outlineLevel="0" max="32" min="32" style="1" width="9.42"/>
    <col collapsed="false" customWidth="true" hidden="true" outlineLevel="2" max="33" min="33" style="1" width="0.86"/>
    <col collapsed="false" customWidth="false" hidden="false" outlineLevel="0" max="16384" min="34" style="1" width="11.29"/>
  </cols>
  <sheetData>
    <row r="1" customFormat="false" ht="11.25" hidden="true" customHeight="true" outlineLevel="3" collapsed="false"/>
    <row r="4" customFormat="false" ht="11.25" hidden="true" customHeight="true" outlineLevel="3" collapsed="false">
      <c r="C4" s="220" t="str">
        <f aca="false">Cockpit!$C$4</f>
        <v>Template</v>
      </c>
      <c r="D4" s="220"/>
      <c r="E4" s="221" t="n">
        <f aca="false">+'Lead NA'!F4</f>
        <v>44926</v>
      </c>
      <c r="F4" s="221"/>
      <c r="G4" s="221"/>
      <c r="H4" s="221"/>
      <c r="I4" s="221"/>
      <c r="J4" s="221" t="n">
        <f aca="false">E4</f>
        <v>44926</v>
      </c>
      <c r="N4" s="220" t="str">
        <f aca="false">Cockpit!$C$4</f>
        <v>Template</v>
      </c>
      <c r="O4" s="220"/>
      <c r="P4" s="221" t="n">
        <f aca="false">+'Lead NA'!G4</f>
        <v>45291</v>
      </c>
      <c r="Q4" s="221"/>
      <c r="R4" s="221"/>
      <c r="S4" s="221"/>
      <c r="T4" s="221"/>
      <c r="U4" s="221" t="n">
        <f aca="false">P4</f>
        <v>45291</v>
      </c>
      <c r="Y4" s="220" t="str">
        <f aca="false">Cockpit!$C$4</f>
        <v>Template</v>
      </c>
      <c r="Z4" s="220"/>
      <c r="AA4" s="221" t="n">
        <f aca="false">+'Lead NA'!H4</f>
        <v>45657</v>
      </c>
      <c r="AB4" s="221"/>
      <c r="AC4" s="221"/>
      <c r="AD4" s="221"/>
      <c r="AE4" s="221"/>
      <c r="AF4" s="221" t="n">
        <f aca="false">AA4</f>
        <v>45657</v>
      </c>
    </row>
    <row r="5" customFormat="false" ht="11.25" hidden="true" customHeight="true" outlineLevel="3" collapsed="false">
      <c r="C5" s="220"/>
      <c r="D5" s="220"/>
      <c r="E5" s="221" t="str">
        <f aca="false">'Lead PL'!F5</f>
        <v>IST</v>
      </c>
      <c r="F5" s="221"/>
      <c r="G5" s="221"/>
      <c r="H5" s="221"/>
      <c r="I5" s="221"/>
      <c r="J5" s="221" t="str">
        <f aca="false">E5</f>
        <v>IST</v>
      </c>
      <c r="N5" s="220"/>
      <c r="O5" s="220"/>
      <c r="P5" s="221" t="str">
        <f aca="false">'Lead PL'!G5</f>
        <v>IST</v>
      </c>
      <c r="Q5" s="221"/>
      <c r="R5" s="221"/>
      <c r="S5" s="221"/>
      <c r="T5" s="221"/>
      <c r="U5" s="221" t="str">
        <f aca="false">P5</f>
        <v>IST</v>
      </c>
      <c r="Y5" s="220"/>
      <c r="Z5" s="220"/>
      <c r="AA5" s="221" t="str">
        <f aca="false">'Lead PL'!H5</f>
        <v>IST</v>
      </c>
      <c r="AB5" s="221"/>
      <c r="AC5" s="221"/>
      <c r="AD5" s="221"/>
      <c r="AE5" s="221"/>
      <c r="AF5" s="221" t="str">
        <f aca="false">AA5</f>
        <v>IST</v>
      </c>
    </row>
    <row r="6" customFormat="false" ht="11.25" hidden="true" customHeight="true" outlineLevel="3" collapsed="false">
      <c r="C6" s="220" t="str">
        <f aca="false">"in T"&amp;Cockpit!$C$5</f>
        <v>in TEUR</v>
      </c>
      <c r="D6" s="220"/>
      <c r="E6" s="221" t="s">
        <v>58</v>
      </c>
      <c r="F6" s="221" t="s">
        <v>73</v>
      </c>
      <c r="G6" s="221" t="s">
        <v>74</v>
      </c>
      <c r="H6" s="221" t="s">
        <v>930</v>
      </c>
      <c r="I6" s="221" t="s">
        <v>931</v>
      </c>
      <c r="J6" s="221" t="s">
        <v>932</v>
      </c>
      <c r="N6" s="220" t="str">
        <f aca="false">"in T"&amp;Cockpit!$C$5</f>
        <v>in TEUR</v>
      </c>
      <c r="O6" s="220"/>
      <c r="P6" s="221" t="s">
        <v>58</v>
      </c>
      <c r="Q6" s="221" t="s">
        <v>73</v>
      </c>
      <c r="R6" s="221" t="s">
        <v>74</v>
      </c>
      <c r="S6" s="221" t="s">
        <v>930</v>
      </c>
      <c r="T6" s="221" t="s">
        <v>931</v>
      </c>
      <c r="U6" s="221" t="s">
        <v>932</v>
      </c>
      <c r="Y6" s="220" t="str">
        <f aca="false">"in T"&amp;Cockpit!$C$5</f>
        <v>in TEUR</v>
      </c>
      <c r="Z6" s="220"/>
      <c r="AA6" s="221" t="s">
        <v>58</v>
      </c>
      <c r="AB6" s="221" t="s">
        <v>73</v>
      </c>
      <c r="AC6" s="221" t="s">
        <v>74</v>
      </c>
      <c r="AD6" s="221" t="s">
        <v>930</v>
      </c>
      <c r="AE6" s="221" t="s">
        <v>931</v>
      </c>
      <c r="AF6" s="221" t="s">
        <v>932</v>
      </c>
    </row>
    <row r="7" customFormat="false" ht="11.25" hidden="false" customHeight="true" outlineLevel="0" collapsed="false">
      <c r="C7" s="228"/>
      <c r="D7" s="228" t="str">
        <f aca="false">Cockpit!$C$4</f>
        <v>Template</v>
      </c>
      <c r="E7" s="81" t="n">
        <f aca="false">'Lead PL'!F6</f>
        <v>44926</v>
      </c>
      <c r="F7" s="81"/>
      <c r="G7" s="81"/>
      <c r="H7" s="433"/>
      <c r="I7" s="227"/>
      <c r="J7" s="81" t="n">
        <f aca="false">E7</f>
        <v>44926</v>
      </c>
      <c r="N7" s="228"/>
      <c r="O7" s="228" t="str">
        <f aca="false">Cockpit!$C$4</f>
        <v>Template</v>
      </c>
      <c r="P7" s="81" t="n">
        <f aca="false">'Lead PL'!G6</f>
        <v>45291</v>
      </c>
      <c r="Q7" s="81"/>
      <c r="R7" s="81"/>
      <c r="S7" s="227"/>
      <c r="T7" s="227"/>
      <c r="U7" s="81" t="n">
        <f aca="false">P7</f>
        <v>45291</v>
      </c>
      <c r="Y7" s="228"/>
      <c r="Z7" s="228" t="str">
        <f aca="false">Cockpit!$C$4</f>
        <v>Template</v>
      </c>
      <c r="AA7" s="81" t="n">
        <f aca="false">'Lead PL'!H6</f>
        <v>45657</v>
      </c>
      <c r="AB7" s="81"/>
      <c r="AC7" s="81"/>
      <c r="AD7" s="227"/>
      <c r="AE7" s="227"/>
      <c r="AF7" s="81" t="n">
        <f aca="false">AA7</f>
        <v>45657</v>
      </c>
    </row>
    <row r="8" customFormat="false" ht="11.25" hidden="false" customHeight="true" outlineLevel="0" collapsed="false">
      <c r="C8" s="228"/>
      <c r="D8" s="228"/>
      <c r="E8" s="227" t="str">
        <f aca="false">'Lead PL'!F7</f>
        <v>IST</v>
      </c>
      <c r="F8" s="227"/>
      <c r="G8" s="227"/>
      <c r="H8" s="227"/>
      <c r="I8" s="227"/>
      <c r="J8" s="227" t="str">
        <f aca="false">E8</f>
        <v>IST</v>
      </c>
      <c r="N8" s="228"/>
      <c r="O8" s="228"/>
      <c r="P8" s="227" t="str">
        <f aca="false">'Lead PL'!G7</f>
        <v>IST</v>
      </c>
      <c r="Q8" s="227"/>
      <c r="R8" s="227"/>
      <c r="S8" s="227"/>
      <c r="T8" s="227"/>
      <c r="U8" s="227" t="str">
        <f aca="false">P8</f>
        <v>IST</v>
      </c>
      <c r="Y8" s="228"/>
      <c r="Z8" s="228"/>
      <c r="AA8" s="227" t="str">
        <f aca="false">'Lead PL'!H7</f>
        <v>IST</v>
      </c>
      <c r="AB8" s="227"/>
      <c r="AC8" s="227"/>
      <c r="AD8" s="227"/>
      <c r="AE8" s="227"/>
      <c r="AF8" s="227" t="str">
        <f aca="false">AA8</f>
        <v>IST</v>
      </c>
    </row>
    <row r="9" customFormat="false" ht="11.25" hidden="false" customHeight="true" outlineLevel="0" collapsed="false">
      <c r="C9" s="228"/>
      <c r="D9" s="228" t="str">
        <f aca="false">"in k"&amp;Cockpit!$C$5</f>
        <v>in kEUR</v>
      </c>
      <c r="E9" s="227" t="s">
        <v>58</v>
      </c>
      <c r="F9" s="227" t="s">
        <v>73</v>
      </c>
      <c r="G9" s="227" t="s">
        <v>74</v>
      </c>
      <c r="H9" s="227" t="s">
        <v>933</v>
      </c>
      <c r="I9" s="227" t="s">
        <v>934</v>
      </c>
      <c r="J9" s="227" t="s">
        <v>935</v>
      </c>
      <c r="N9" s="228"/>
      <c r="O9" s="228" t="str">
        <f aca="false">"in k"&amp;Cockpit!$C$5</f>
        <v>in kEUR</v>
      </c>
      <c r="P9" s="227" t="s">
        <v>58</v>
      </c>
      <c r="Q9" s="227" t="s">
        <v>73</v>
      </c>
      <c r="R9" s="227" t="s">
        <v>74</v>
      </c>
      <c r="S9" s="227" t="s">
        <v>933</v>
      </c>
      <c r="T9" s="227" t="s">
        <v>934</v>
      </c>
      <c r="U9" s="227" t="s">
        <v>935</v>
      </c>
      <c r="Y9" s="228"/>
      <c r="Z9" s="228" t="str">
        <f aca="false">"in k"&amp;Cockpit!$C$5</f>
        <v>in kEUR</v>
      </c>
      <c r="AA9" s="227" t="s">
        <v>58</v>
      </c>
      <c r="AB9" s="227" t="s">
        <v>73</v>
      </c>
      <c r="AC9" s="227" t="s">
        <v>74</v>
      </c>
      <c r="AD9" s="227" t="s">
        <v>933</v>
      </c>
      <c r="AE9" s="227" t="s">
        <v>934</v>
      </c>
      <c r="AF9" s="227" t="s">
        <v>935</v>
      </c>
    </row>
    <row r="10" customFormat="false" ht="4.5" hidden="false" customHeight="true" outlineLevel="0" collapsed="false">
      <c r="C10" s="51"/>
      <c r="D10" s="51"/>
      <c r="E10" s="159"/>
      <c r="F10" s="159"/>
      <c r="G10" s="159"/>
      <c r="H10" s="308"/>
      <c r="I10" s="307"/>
      <c r="J10" s="159"/>
      <c r="L10" s="301"/>
      <c r="N10" s="51"/>
      <c r="O10" s="51"/>
      <c r="P10" s="159"/>
      <c r="Q10" s="159"/>
      <c r="R10" s="159"/>
      <c r="S10" s="308"/>
      <c r="T10" s="307"/>
      <c r="U10" s="159"/>
      <c r="W10" s="301"/>
      <c r="Y10" s="51"/>
      <c r="Z10" s="51"/>
      <c r="AA10" s="159"/>
      <c r="AB10" s="159"/>
      <c r="AC10" s="159"/>
      <c r="AD10" s="308"/>
      <c r="AE10" s="307"/>
      <c r="AF10" s="159"/>
    </row>
    <row r="11" customFormat="false" ht="11.25" hidden="false" customHeight="true" outlineLevel="0" collapsed="false">
      <c r="C11" s="51" t="str">
        <f aca="false">+'Lead NA'!C9</f>
        <v>Immaterielle Vermögensgegenstände</v>
      </c>
      <c r="D11" s="51" t="str">
        <f aca="false">+'Lead NA'!D9</f>
        <v>Intangible assets</v>
      </c>
      <c r="E11" s="159"/>
      <c r="F11" s="159"/>
      <c r="G11" s="159"/>
      <c r="H11" s="421" t="n">
        <f aca="false">SUM(E11:G11)</f>
        <v>0</v>
      </c>
      <c r="I11" s="160"/>
      <c r="J11" s="159" t="n">
        <f aca="false">SUM(H11:I11)</f>
        <v>0</v>
      </c>
      <c r="L11" s="301"/>
      <c r="N11" s="51" t="str">
        <f aca="false">C11</f>
        <v>Immaterielle Vermögensgegenstände</v>
      </c>
      <c r="O11" s="51" t="str">
        <f aca="false">D11</f>
        <v>Intangible assets</v>
      </c>
      <c r="P11" s="159"/>
      <c r="Q11" s="159"/>
      <c r="R11" s="159"/>
      <c r="S11" s="421" t="n">
        <f aca="false">SUM(P11:R11)</f>
        <v>0</v>
      </c>
      <c r="T11" s="160"/>
      <c r="U11" s="159" t="n">
        <f aca="false">SUM(S11:T11)</f>
        <v>0</v>
      </c>
      <c r="W11" s="301"/>
      <c r="Y11" s="51" t="str">
        <f aca="false">N11</f>
        <v>Immaterielle Vermögensgegenstände</v>
      </c>
      <c r="Z11" s="51" t="str">
        <f aca="false">O11</f>
        <v>Intangible assets</v>
      </c>
      <c r="AA11" s="159"/>
      <c r="AB11" s="159"/>
      <c r="AC11" s="159"/>
      <c r="AD11" s="421" t="n">
        <f aca="false">SUM(AA11:AC11)</f>
        <v>0</v>
      </c>
      <c r="AE11" s="160"/>
      <c r="AF11" s="159" t="n">
        <f aca="false">SUM(AD11:AE11)</f>
        <v>0</v>
      </c>
    </row>
    <row r="12" customFormat="false" ht="11.25" hidden="false" customHeight="true" outlineLevel="0" collapsed="false">
      <c r="C12" s="51" t="str">
        <f aca="false">+'Lead NA'!C18</f>
        <v>Sachanlagen</v>
      </c>
      <c r="D12" s="51" t="str">
        <f aca="false">+'Lead NA'!D18</f>
        <v>Tangible assets</v>
      </c>
      <c r="E12" s="159"/>
      <c r="F12" s="159"/>
      <c r="G12" s="159"/>
      <c r="H12" s="421" t="n">
        <f aca="false">SUM(E12:G12)</f>
        <v>0</v>
      </c>
      <c r="I12" s="160"/>
      <c r="J12" s="159" t="n">
        <f aca="false">SUM(H12:I12)</f>
        <v>0</v>
      </c>
      <c r="L12" s="301"/>
      <c r="N12" s="51" t="str">
        <f aca="false">C12</f>
        <v>Sachanlagen</v>
      </c>
      <c r="O12" s="51" t="str">
        <f aca="false">D12</f>
        <v>Tangible assets</v>
      </c>
      <c r="P12" s="159"/>
      <c r="Q12" s="159"/>
      <c r="R12" s="159"/>
      <c r="S12" s="421" t="n">
        <f aca="false">SUM(P12:R12)</f>
        <v>0</v>
      </c>
      <c r="T12" s="160"/>
      <c r="U12" s="159" t="n">
        <f aca="false">SUM(S12:T12)</f>
        <v>0</v>
      </c>
      <c r="W12" s="301"/>
      <c r="Y12" s="51" t="str">
        <f aca="false">N12</f>
        <v>Sachanlagen</v>
      </c>
      <c r="Z12" s="51" t="str">
        <f aca="false">O12</f>
        <v>Tangible assets</v>
      </c>
      <c r="AA12" s="159"/>
      <c r="AB12" s="159"/>
      <c r="AC12" s="159"/>
      <c r="AD12" s="421" t="n">
        <f aca="false">SUM(AA12:AC12)</f>
        <v>0</v>
      </c>
      <c r="AE12" s="160"/>
      <c r="AF12" s="159" t="n">
        <f aca="false">SUM(AD12:AE12)</f>
        <v>0</v>
      </c>
    </row>
    <row r="13" customFormat="false" ht="11.25" hidden="false" customHeight="true" outlineLevel="0" collapsed="false">
      <c r="C13" s="51" t="str">
        <f aca="false">+'Lead NA'!C27</f>
        <v>Finanzanlagen</v>
      </c>
      <c r="D13" s="51" t="str">
        <f aca="false">+'Lead NA'!D27</f>
        <v>Financial assets</v>
      </c>
      <c r="E13" s="159"/>
      <c r="F13" s="159"/>
      <c r="G13" s="159"/>
      <c r="H13" s="421" t="n">
        <f aca="false">SUM(E13:G13)</f>
        <v>0</v>
      </c>
      <c r="I13" s="160"/>
      <c r="J13" s="159" t="n">
        <f aca="false">SUM(H13:I13)</f>
        <v>0</v>
      </c>
      <c r="L13" s="301"/>
      <c r="N13" s="51" t="str">
        <f aca="false">C13</f>
        <v>Finanzanlagen</v>
      </c>
      <c r="O13" s="51" t="str">
        <f aca="false">D13</f>
        <v>Financial assets</v>
      </c>
      <c r="P13" s="159"/>
      <c r="Q13" s="159"/>
      <c r="R13" s="159"/>
      <c r="S13" s="421" t="n">
        <f aca="false">SUM(P13:R13)</f>
        <v>0</v>
      </c>
      <c r="T13" s="160"/>
      <c r="U13" s="159" t="n">
        <f aca="false">SUM(S13:T13)</f>
        <v>0</v>
      </c>
      <c r="W13" s="301"/>
      <c r="Y13" s="51" t="str">
        <f aca="false">N13</f>
        <v>Finanzanlagen</v>
      </c>
      <c r="Z13" s="51" t="str">
        <f aca="false">O13</f>
        <v>Financial assets</v>
      </c>
      <c r="AA13" s="159"/>
      <c r="AB13" s="159"/>
      <c r="AC13" s="159"/>
      <c r="AD13" s="421" t="n">
        <f aca="false">SUM(AA13:AC13)</f>
        <v>0</v>
      </c>
      <c r="AE13" s="160"/>
      <c r="AF13" s="159" t="n">
        <f aca="false">SUM(AD13:AE13)</f>
        <v>0</v>
      </c>
    </row>
    <row r="14" customFormat="false" ht="11.25" hidden="true" customHeight="true" outlineLevel="2" collapsed="false">
      <c r="C14" s="51" t="str">
        <f aca="false">+'Lead NA'!C36</f>
        <v>Dummy 1</v>
      </c>
      <c r="D14" s="51" t="str">
        <f aca="false">+'Lead NA'!D36</f>
        <v>Dummy 1</v>
      </c>
      <c r="E14" s="159"/>
      <c r="F14" s="159"/>
      <c r="G14" s="159"/>
      <c r="H14" s="421" t="n">
        <f aca="false">SUM(E14:G14)</f>
        <v>0</v>
      </c>
      <c r="I14" s="160"/>
      <c r="J14" s="159" t="n">
        <f aca="false">SUM(H14:I14)</f>
        <v>0</v>
      </c>
      <c r="L14" s="301"/>
      <c r="N14" s="51" t="str">
        <f aca="false">C14</f>
        <v>Dummy 1</v>
      </c>
      <c r="O14" s="51" t="str">
        <f aca="false">D14</f>
        <v>Dummy 1</v>
      </c>
      <c r="P14" s="159"/>
      <c r="Q14" s="159"/>
      <c r="R14" s="159"/>
      <c r="S14" s="421" t="n">
        <f aca="false">SUM(P14:R14)</f>
        <v>0</v>
      </c>
      <c r="T14" s="160"/>
      <c r="U14" s="159" t="n">
        <f aca="false">SUM(S14:T14)</f>
        <v>0</v>
      </c>
      <c r="W14" s="301"/>
      <c r="Y14" s="51" t="str">
        <f aca="false">N14</f>
        <v>Dummy 1</v>
      </c>
      <c r="Z14" s="51" t="str">
        <f aca="false">O14</f>
        <v>Dummy 1</v>
      </c>
      <c r="AA14" s="159"/>
      <c r="AB14" s="159"/>
      <c r="AC14" s="159"/>
      <c r="AD14" s="421" t="n">
        <f aca="false">SUM(AA14:AC14)</f>
        <v>0</v>
      </c>
      <c r="AE14" s="160"/>
      <c r="AF14" s="159" t="n">
        <f aca="false">SUM(AD14:AE14)</f>
        <v>0</v>
      </c>
    </row>
    <row r="15" customFormat="false" ht="11.25" hidden="true" customHeight="true" outlineLevel="2" collapsed="false">
      <c r="C15" s="51" t="str">
        <f aca="false">+'Lead NA'!C37</f>
        <v>Dummy 2</v>
      </c>
      <c r="D15" s="51" t="str">
        <f aca="false">+'Lead NA'!D37</f>
        <v>Dummy 2</v>
      </c>
      <c r="E15" s="159"/>
      <c r="F15" s="159"/>
      <c r="G15" s="159"/>
      <c r="H15" s="421" t="n">
        <f aca="false">SUM(E15:G15)</f>
        <v>0</v>
      </c>
      <c r="I15" s="160"/>
      <c r="J15" s="159" t="n">
        <f aca="false">SUM(H15:I15)</f>
        <v>0</v>
      </c>
      <c r="L15" s="301"/>
      <c r="N15" s="51" t="str">
        <f aca="false">C15</f>
        <v>Dummy 2</v>
      </c>
      <c r="O15" s="51" t="str">
        <f aca="false">D15</f>
        <v>Dummy 2</v>
      </c>
      <c r="P15" s="159"/>
      <c r="Q15" s="159"/>
      <c r="R15" s="159"/>
      <c r="S15" s="421" t="n">
        <f aca="false">SUM(P15:R15)</f>
        <v>0</v>
      </c>
      <c r="T15" s="160"/>
      <c r="U15" s="159" t="n">
        <f aca="false">SUM(S15:T15)</f>
        <v>0</v>
      </c>
      <c r="W15" s="301"/>
      <c r="Y15" s="51" t="str">
        <f aca="false">N15</f>
        <v>Dummy 2</v>
      </c>
      <c r="Z15" s="51" t="str">
        <f aca="false">O15</f>
        <v>Dummy 2</v>
      </c>
      <c r="AA15" s="159"/>
      <c r="AB15" s="159"/>
      <c r="AC15" s="159"/>
      <c r="AD15" s="421" t="n">
        <f aca="false">SUM(AA15:AC15)</f>
        <v>0</v>
      </c>
      <c r="AE15" s="160"/>
      <c r="AF15" s="159" t="n">
        <f aca="false">SUM(AD15:AE15)</f>
        <v>0</v>
      </c>
    </row>
    <row r="16" customFormat="false" ht="11.25" hidden="true" customHeight="true" outlineLevel="2" collapsed="false">
      <c r="C16" s="54" t="str">
        <f aca="false">+'Lead NA'!C38</f>
        <v>Dummy 3</v>
      </c>
      <c r="D16" s="54" t="str">
        <f aca="false">+'Lead NA'!D38</f>
        <v>Dummy 3</v>
      </c>
      <c r="E16" s="162"/>
      <c r="F16" s="162"/>
      <c r="G16" s="162"/>
      <c r="H16" s="434" t="n">
        <f aca="false">SUM(E16:G16)</f>
        <v>0</v>
      </c>
      <c r="I16" s="163"/>
      <c r="J16" s="162" t="n">
        <f aca="false">SUM(H16:I16)</f>
        <v>0</v>
      </c>
      <c r="L16" s="301"/>
      <c r="N16" s="54" t="str">
        <f aca="false">C16</f>
        <v>Dummy 3</v>
      </c>
      <c r="O16" s="54" t="str">
        <f aca="false">D16</f>
        <v>Dummy 3</v>
      </c>
      <c r="P16" s="162"/>
      <c r="Q16" s="162"/>
      <c r="R16" s="162"/>
      <c r="S16" s="434" t="n">
        <f aca="false">SUM(P16:R16)</f>
        <v>0</v>
      </c>
      <c r="T16" s="163"/>
      <c r="U16" s="162" t="n">
        <f aca="false">SUM(S16:T16)</f>
        <v>0</v>
      </c>
      <c r="W16" s="301"/>
      <c r="Y16" s="54" t="str">
        <f aca="false">N16</f>
        <v>Dummy 3</v>
      </c>
      <c r="Z16" s="54" t="str">
        <f aca="false">O16</f>
        <v>Dummy 3</v>
      </c>
      <c r="AA16" s="162"/>
      <c r="AB16" s="162"/>
      <c r="AC16" s="162"/>
      <c r="AD16" s="434" t="n">
        <f aca="false">SUM(AA16:AC16)</f>
        <v>0</v>
      </c>
      <c r="AE16" s="163"/>
      <c r="AF16" s="162" t="n">
        <f aca="false">SUM(AD16:AE16)</f>
        <v>0</v>
      </c>
    </row>
    <row r="17" customFormat="false" ht="11.25" hidden="false" customHeight="true" outlineLevel="0" collapsed="false">
      <c r="C17" s="165" t="str">
        <f aca="false">+'Lead NA'!C39</f>
        <v>Anlagevermögen</v>
      </c>
      <c r="D17" s="165" t="str">
        <f aca="false">+'Lead NA'!D39</f>
        <v>Fixed assets</v>
      </c>
      <c r="E17" s="165" t="n">
        <f aca="false">SUM(E11:E16)</f>
        <v>0</v>
      </c>
      <c r="F17" s="165" t="n">
        <f aca="false">SUM(F11:F16)</f>
        <v>0</v>
      </c>
      <c r="G17" s="165" t="n">
        <f aca="false">SUM(G11:G16)</f>
        <v>0</v>
      </c>
      <c r="H17" s="435" t="n">
        <f aca="false">SUM(H11:H13)</f>
        <v>0</v>
      </c>
      <c r="I17" s="166" t="n">
        <f aca="false">SUM(I11:I16)</f>
        <v>0</v>
      </c>
      <c r="J17" s="165" t="n">
        <f aca="false">SUM(H17:I17)</f>
        <v>0</v>
      </c>
      <c r="L17" s="301"/>
      <c r="N17" s="165" t="str">
        <f aca="false">C17</f>
        <v>Anlagevermögen</v>
      </c>
      <c r="O17" s="165" t="str">
        <f aca="false">D17</f>
        <v>Fixed assets</v>
      </c>
      <c r="P17" s="165" t="n">
        <f aca="false">SUM(P11:P16)</f>
        <v>0</v>
      </c>
      <c r="Q17" s="165" t="n">
        <f aca="false">SUM(Q11:Q16)</f>
        <v>0</v>
      </c>
      <c r="R17" s="165" t="n">
        <f aca="false">SUM(R11:R16)</f>
        <v>0</v>
      </c>
      <c r="S17" s="435" t="n">
        <f aca="false">SUM(S11:S13)</f>
        <v>0</v>
      </c>
      <c r="T17" s="166" t="n">
        <f aca="false">SUM(T11:T16)</f>
        <v>0</v>
      </c>
      <c r="U17" s="165" t="n">
        <f aca="false">SUM(S17:T17)</f>
        <v>0</v>
      </c>
      <c r="W17" s="301"/>
      <c r="Y17" s="165" t="str">
        <f aca="false">N17</f>
        <v>Anlagevermögen</v>
      </c>
      <c r="Z17" s="165" t="str">
        <f aca="false">O17</f>
        <v>Fixed assets</v>
      </c>
      <c r="AA17" s="165" t="n">
        <f aca="false">SUM(AA11:AA16)</f>
        <v>0</v>
      </c>
      <c r="AB17" s="165" t="n">
        <f aca="false">SUM(AB11:AB16)</f>
        <v>0</v>
      </c>
      <c r="AC17" s="165" t="n">
        <f aca="false">SUM(AC11:AC16)</f>
        <v>0</v>
      </c>
      <c r="AD17" s="435" t="n">
        <f aca="false">SUM(AD11:AD13)</f>
        <v>0</v>
      </c>
      <c r="AE17" s="166" t="n">
        <f aca="false">SUM(AE11:AE16)</f>
        <v>0</v>
      </c>
      <c r="AF17" s="165" t="n">
        <f aca="false">SUM(AD17:AE17)</f>
        <v>0</v>
      </c>
      <c r="AG17" s="436"/>
    </row>
    <row r="18" customFormat="false" ht="11.25" hidden="false" customHeight="true" outlineLevel="0" collapsed="false">
      <c r="C18" s="51" t="str">
        <f aca="false">+'Lead NA'!C40</f>
        <v>Vorräte</v>
      </c>
      <c r="D18" s="51" t="str">
        <f aca="false">+'Lead NA'!D40</f>
        <v>Inventories</v>
      </c>
      <c r="E18" s="159"/>
      <c r="F18" s="159"/>
      <c r="G18" s="159"/>
      <c r="H18" s="421" t="n">
        <f aca="false">SUM(E18:G18)</f>
        <v>0</v>
      </c>
      <c r="I18" s="160"/>
      <c r="J18" s="159" t="n">
        <f aca="false">SUM(H18:I18)</f>
        <v>0</v>
      </c>
      <c r="L18" s="301"/>
      <c r="N18" s="51" t="str">
        <f aca="false">C18</f>
        <v>Vorräte</v>
      </c>
      <c r="O18" s="51" t="str">
        <f aca="false">D18</f>
        <v>Inventories</v>
      </c>
      <c r="P18" s="159"/>
      <c r="Q18" s="159"/>
      <c r="R18" s="159"/>
      <c r="S18" s="421" t="n">
        <f aca="false">SUM(P18:R18)</f>
        <v>0</v>
      </c>
      <c r="T18" s="160"/>
      <c r="U18" s="159" t="n">
        <f aca="false">SUM(S18:T18)</f>
        <v>0</v>
      </c>
      <c r="W18" s="301"/>
      <c r="Y18" s="51" t="str">
        <f aca="false">N18</f>
        <v>Vorräte</v>
      </c>
      <c r="Z18" s="51" t="str">
        <f aca="false">O18</f>
        <v>Inventories</v>
      </c>
      <c r="AA18" s="159"/>
      <c r="AB18" s="159"/>
      <c r="AC18" s="159"/>
      <c r="AD18" s="421" t="n">
        <f aca="false">SUM(AA18:AC18)</f>
        <v>0</v>
      </c>
      <c r="AE18" s="160"/>
      <c r="AF18" s="159" t="n">
        <f aca="false">SUM(AD18:AE18)</f>
        <v>0</v>
      </c>
    </row>
    <row r="19" customFormat="false" ht="11.25" hidden="false" customHeight="true" outlineLevel="0" collapsed="false">
      <c r="C19" s="51" t="str">
        <f aca="false">+'Lead NA'!C49</f>
        <v>Forderungen aus LuL</v>
      </c>
      <c r="D19" s="51" t="str">
        <f aca="false">+'Lead NA'!D49</f>
        <v>Trade receivables</v>
      </c>
      <c r="E19" s="159"/>
      <c r="F19" s="159"/>
      <c r="G19" s="159"/>
      <c r="H19" s="421" t="n">
        <f aca="false">SUM(E19:G19)</f>
        <v>0</v>
      </c>
      <c r="I19" s="160"/>
      <c r="J19" s="159" t="n">
        <f aca="false">SUM(H19:I19)</f>
        <v>0</v>
      </c>
      <c r="L19" s="301"/>
      <c r="N19" s="51" t="str">
        <f aca="false">C19</f>
        <v>Forderungen aus LuL</v>
      </c>
      <c r="O19" s="51" t="str">
        <f aca="false">D19</f>
        <v>Trade receivables</v>
      </c>
      <c r="P19" s="159"/>
      <c r="Q19" s="159"/>
      <c r="R19" s="159"/>
      <c r="S19" s="421" t="n">
        <f aca="false">SUM(P19:R19)</f>
        <v>0</v>
      </c>
      <c r="T19" s="160"/>
      <c r="U19" s="159" t="n">
        <f aca="false">SUM(S19:T19)</f>
        <v>0</v>
      </c>
      <c r="W19" s="301"/>
      <c r="Y19" s="51" t="str">
        <f aca="false">N19</f>
        <v>Forderungen aus LuL</v>
      </c>
      <c r="Z19" s="51" t="str">
        <f aca="false">O19</f>
        <v>Trade receivables</v>
      </c>
      <c r="AA19" s="159"/>
      <c r="AB19" s="159"/>
      <c r="AC19" s="159"/>
      <c r="AD19" s="421" t="n">
        <f aca="false">SUM(AA19:AC19)</f>
        <v>0</v>
      </c>
      <c r="AE19" s="160"/>
      <c r="AF19" s="159" t="n">
        <f aca="false">SUM(AD19:AE19)</f>
        <v>0</v>
      </c>
    </row>
    <row r="20" customFormat="false" ht="11.25" hidden="false" customHeight="true" outlineLevel="0" collapsed="false">
      <c r="C20" s="51" t="str">
        <f aca="false">+'Lead NA'!C58</f>
        <v>Verbindlichkeiten aus LuL</v>
      </c>
      <c r="D20" s="51" t="str">
        <f aca="false">+'Lead NA'!D58</f>
        <v>Trade payables</v>
      </c>
      <c r="E20" s="159"/>
      <c r="F20" s="159"/>
      <c r="G20" s="159"/>
      <c r="H20" s="421" t="n">
        <f aca="false">SUM(E20:G20)</f>
        <v>0</v>
      </c>
      <c r="I20" s="160"/>
      <c r="J20" s="159" t="n">
        <f aca="false">SUM(H20:I20)</f>
        <v>0</v>
      </c>
      <c r="L20" s="301"/>
      <c r="N20" s="51" t="str">
        <f aca="false">C20</f>
        <v>Verbindlichkeiten aus LuL</v>
      </c>
      <c r="O20" s="51" t="str">
        <f aca="false">D20</f>
        <v>Trade payables</v>
      </c>
      <c r="P20" s="159"/>
      <c r="Q20" s="159"/>
      <c r="R20" s="159"/>
      <c r="S20" s="421" t="n">
        <f aca="false">SUM(P20:R20)</f>
        <v>0</v>
      </c>
      <c r="T20" s="160"/>
      <c r="U20" s="159" t="n">
        <f aca="false">SUM(S20:T20)</f>
        <v>0</v>
      </c>
      <c r="W20" s="301"/>
      <c r="Y20" s="51" t="str">
        <f aca="false">N20</f>
        <v>Verbindlichkeiten aus LuL</v>
      </c>
      <c r="Z20" s="51" t="str">
        <f aca="false">O20</f>
        <v>Trade payables</v>
      </c>
      <c r="AA20" s="159"/>
      <c r="AB20" s="159"/>
      <c r="AC20" s="159"/>
      <c r="AD20" s="421" t="n">
        <f aca="false">SUM(AA20:AC20)</f>
        <v>0</v>
      </c>
      <c r="AE20" s="160"/>
      <c r="AF20" s="159" t="n">
        <f aca="false">SUM(AD20:AE20)</f>
        <v>0</v>
      </c>
    </row>
    <row r="21" customFormat="false" ht="11.25" hidden="true" customHeight="true" outlineLevel="2" collapsed="false">
      <c r="C21" s="51" t="str">
        <f aca="false">+'Lead NA'!C76</f>
        <v>Dummy 1</v>
      </c>
      <c r="D21" s="51" t="str">
        <f aca="false">+'Lead NA'!D76</f>
        <v>Dummy 1</v>
      </c>
      <c r="E21" s="159"/>
      <c r="F21" s="159"/>
      <c r="G21" s="159"/>
      <c r="H21" s="421" t="n">
        <f aca="false">SUM(E21:G21)</f>
        <v>0</v>
      </c>
      <c r="I21" s="160"/>
      <c r="J21" s="159" t="n">
        <f aca="false">SUM(H21:I21)</f>
        <v>0</v>
      </c>
      <c r="L21" s="301"/>
      <c r="N21" s="51" t="str">
        <f aca="false">C21</f>
        <v>Dummy 1</v>
      </c>
      <c r="O21" s="51" t="str">
        <f aca="false">D21</f>
        <v>Dummy 1</v>
      </c>
      <c r="P21" s="159"/>
      <c r="Q21" s="159"/>
      <c r="R21" s="159"/>
      <c r="S21" s="421" t="n">
        <f aca="false">SUM(P21:R21)</f>
        <v>0</v>
      </c>
      <c r="T21" s="160"/>
      <c r="U21" s="159" t="n">
        <f aca="false">SUM(S21:T21)</f>
        <v>0</v>
      </c>
      <c r="W21" s="301"/>
      <c r="Y21" s="51" t="str">
        <f aca="false">N21</f>
        <v>Dummy 1</v>
      </c>
      <c r="Z21" s="51" t="str">
        <f aca="false">O21</f>
        <v>Dummy 1</v>
      </c>
      <c r="AA21" s="159"/>
      <c r="AB21" s="159"/>
      <c r="AC21" s="159"/>
      <c r="AD21" s="421" t="n">
        <f aca="false">SUM(AA21:AC21)</f>
        <v>0</v>
      </c>
      <c r="AE21" s="160"/>
      <c r="AF21" s="159" t="n">
        <f aca="false">SUM(AD21:AE21)</f>
        <v>0</v>
      </c>
    </row>
    <row r="22" customFormat="false" ht="11.25" hidden="true" customHeight="true" outlineLevel="2" collapsed="false">
      <c r="C22" s="51" t="str">
        <f aca="false">+'Lead NA'!C77</f>
        <v>Dummy 2</v>
      </c>
      <c r="D22" s="51" t="str">
        <f aca="false">+'Lead NA'!D77</f>
        <v>Dummy 2</v>
      </c>
      <c r="E22" s="159"/>
      <c r="F22" s="159"/>
      <c r="G22" s="159"/>
      <c r="H22" s="421" t="n">
        <f aca="false">SUM(E22:G22)</f>
        <v>0</v>
      </c>
      <c r="I22" s="160"/>
      <c r="J22" s="159" t="n">
        <f aca="false">SUM(H22:I22)</f>
        <v>0</v>
      </c>
      <c r="L22" s="301"/>
      <c r="N22" s="51" t="str">
        <f aca="false">C22</f>
        <v>Dummy 2</v>
      </c>
      <c r="O22" s="51" t="str">
        <f aca="false">D22</f>
        <v>Dummy 2</v>
      </c>
      <c r="P22" s="159"/>
      <c r="Q22" s="159"/>
      <c r="R22" s="159"/>
      <c r="S22" s="421" t="n">
        <f aca="false">SUM(P22:R22)</f>
        <v>0</v>
      </c>
      <c r="T22" s="160"/>
      <c r="U22" s="159" t="n">
        <f aca="false">SUM(S22:T22)</f>
        <v>0</v>
      </c>
      <c r="W22" s="301"/>
      <c r="Y22" s="51" t="str">
        <f aca="false">N22</f>
        <v>Dummy 2</v>
      </c>
      <c r="Z22" s="51" t="str">
        <f aca="false">O22</f>
        <v>Dummy 2</v>
      </c>
      <c r="AA22" s="159"/>
      <c r="AB22" s="159"/>
      <c r="AC22" s="159"/>
      <c r="AD22" s="421" t="n">
        <f aca="false">SUM(AA22:AC22)</f>
        <v>0</v>
      </c>
      <c r="AE22" s="160"/>
      <c r="AF22" s="159" t="n">
        <f aca="false">SUM(AD22:AE22)</f>
        <v>0</v>
      </c>
    </row>
    <row r="23" customFormat="false" ht="11.25" hidden="true" customHeight="true" outlineLevel="2" collapsed="false">
      <c r="C23" s="54" t="str">
        <f aca="false">+'Lead NA'!C78</f>
        <v>Dummy 3</v>
      </c>
      <c r="D23" s="54" t="str">
        <f aca="false">+'Lead NA'!D78</f>
        <v>Dummy 3</v>
      </c>
      <c r="E23" s="162"/>
      <c r="F23" s="162"/>
      <c r="G23" s="162"/>
      <c r="H23" s="434" t="n">
        <f aca="false">SUM(E23:G23)</f>
        <v>0</v>
      </c>
      <c r="I23" s="163"/>
      <c r="J23" s="162" t="n">
        <f aca="false">SUM(H23:I23)</f>
        <v>0</v>
      </c>
      <c r="L23" s="301"/>
      <c r="N23" s="54" t="str">
        <f aca="false">C23</f>
        <v>Dummy 3</v>
      </c>
      <c r="O23" s="54" t="str">
        <f aca="false">D23</f>
        <v>Dummy 3</v>
      </c>
      <c r="P23" s="162"/>
      <c r="Q23" s="162"/>
      <c r="R23" s="162"/>
      <c r="S23" s="434" t="n">
        <f aca="false">SUM(P23:R23)</f>
        <v>0</v>
      </c>
      <c r="T23" s="163"/>
      <c r="U23" s="162" t="n">
        <f aca="false">SUM(S23:T23)</f>
        <v>0</v>
      </c>
      <c r="W23" s="301"/>
      <c r="Y23" s="54" t="str">
        <f aca="false">N23</f>
        <v>Dummy 3</v>
      </c>
      <c r="Z23" s="54" t="str">
        <f aca="false">O23</f>
        <v>Dummy 3</v>
      </c>
      <c r="AA23" s="162"/>
      <c r="AB23" s="162"/>
      <c r="AC23" s="162"/>
      <c r="AD23" s="434" t="n">
        <f aca="false">SUM(AA23:AC23)</f>
        <v>0</v>
      </c>
      <c r="AE23" s="163"/>
      <c r="AF23" s="162" t="n">
        <f aca="false">SUM(AD23:AE23)</f>
        <v>0</v>
      </c>
    </row>
    <row r="24" customFormat="false" ht="11.25" hidden="false" customHeight="true" outlineLevel="0" collapsed="false">
      <c r="C24" s="165" t="str">
        <f aca="false">+'Lead NA'!C79</f>
        <v>Trade Working Capital</v>
      </c>
      <c r="D24" s="165" t="str">
        <f aca="false">+'Lead NA'!D79</f>
        <v>Trade working capital</v>
      </c>
      <c r="E24" s="165" t="n">
        <f aca="false">SUM(E18:E23)</f>
        <v>0</v>
      </c>
      <c r="F24" s="165" t="n">
        <f aca="false">SUM(F18:F23)</f>
        <v>0</v>
      </c>
      <c r="G24" s="165" t="n">
        <f aca="false">SUM(G18:G23)</f>
        <v>0</v>
      </c>
      <c r="H24" s="435" t="n">
        <f aca="false">SUM(H18:H20)</f>
        <v>0</v>
      </c>
      <c r="I24" s="166" t="n">
        <f aca="false">SUM(I18:I23)</f>
        <v>0</v>
      </c>
      <c r="J24" s="165" t="n">
        <f aca="false">SUM(H24:I24)</f>
        <v>0</v>
      </c>
      <c r="L24" s="301"/>
      <c r="N24" s="165" t="str">
        <f aca="false">C24</f>
        <v>Trade Working Capital</v>
      </c>
      <c r="O24" s="165" t="str">
        <f aca="false">D24</f>
        <v>Trade working capital</v>
      </c>
      <c r="P24" s="165" t="n">
        <f aca="false">SUM(P18:P23)</f>
        <v>0</v>
      </c>
      <c r="Q24" s="165" t="n">
        <f aca="false">SUM(Q18:Q23)</f>
        <v>0</v>
      </c>
      <c r="R24" s="165" t="n">
        <f aca="false">SUM(R18:R23)</f>
        <v>0</v>
      </c>
      <c r="S24" s="435" t="n">
        <f aca="false">SUM(S18:S20)</f>
        <v>0</v>
      </c>
      <c r="T24" s="166" t="n">
        <f aca="false">SUM(T18:T23)</f>
        <v>0</v>
      </c>
      <c r="U24" s="165" t="n">
        <f aca="false">SUM(S24:T24)</f>
        <v>0</v>
      </c>
      <c r="W24" s="301"/>
      <c r="Y24" s="165" t="str">
        <f aca="false">N24</f>
        <v>Trade Working Capital</v>
      </c>
      <c r="Z24" s="165" t="str">
        <f aca="false">O24</f>
        <v>Trade working capital</v>
      </c>
      <c r="AA24" s="165" t="n">
        <f aca="false">SUM(AA18:AA23)</f>
        <v>0</v>
      </c>
      <c r="AB24" s="165" t="n">
        <f aca="false">SUM(AB18:AB23)</f>
        <v>0</v>
      </c>
      <c r="AC24" s="165" t="n">
        <f aca="false">SUM(AC18:AC23)</f>
        <v>0</v>
      </c>
      <c r="AD24" s="435" t="n">
        <f aca="false">SUM(AD18:AD20)</f>
        <v>0</v>
      </c>
      <c r="AE24" s="166" t="n">
        <f aca="false">SUM(AE18:AE23)</f>
        <v>0</v>
      </c>
      <c r="AF24" s="165" t="n">
        <f aca="false">SUM(AD24:AE24)</f>
        <v>0</v>
      </c>
      <c r="AG24" s="436"/>
    </row>
    <row r="25" customFormat="false" ht="11.25" hidden="false" customHeight="true" outlineLevel="0" collapsed="false">
      <c r="C25" s="51" t="str">
        <f aca="false">+'Lead NA'!C80</f>
        <v>Sonstige Vermögensgegenstände</v>
      </c>
      <c r="D25" s="51" t="str">
        <f aca="false">+'Lead NA'!D80</f>
        <v>Other assets</v>
      </c>
      <c r="E25" s="159"/>
      <c r="F25" s="159"/>
      <c r="G25" s="159"/>
      <c r="H25" s="421" t="n">
        <f aca="false">SUM(E25:G25)</f>
        <v>0</v>
      </c>
      <c r="I25" s="160"/>
      <c r="J25" s="159" t="n">
        <f aca="false">SUM(H25:I25)</f>
        <v>0</v>
      </c>
      <c r="L25" s="301"/>
      <c r="N25" s="51" t="str">
        <f aca="false">C25</f>
        <v>Sonstige Vermögensgegenstände</v>
      </c>
      <c r="O25" s="51" t="str">
        <f aca="false">D25</f>
        <v>Other assets</v>
      </c>
      <c r="P25" s="159"/>
      <c r="Q25" s="159"/>
      <c r="R25" s="159"/>
      <c r="S25" s="421" t="n">
        <f aca="false">SUM(P25:R25)</f>
        <v>0</v>
      </c>
      <c r="T25" s="160"/>
      <c r="U25" s="159" t="n">
        <f aca="false">SUM(S25:T25)</f>
        <v>0</v>
      </c>
      <c r="W25" s="301"/>
      <c r="Y25" s="51" t="str">
        <f aca="false">N25</f>
        <v>Sonstige Vermögensgegenstände</v>
      </c>
      <c r="Z25" s="51" t="str">
        <f aca="false">O25</f>
        <v>Other assets</v>
      </c>
      <c r="AA25" s="159"/>
      <c r="AB25" s="159"/>
      <c r="AC25" s="159"/>
      <c r="AD25" s="421" t="n">
        <f aca="false">SUM(AA25:AC25)</f>
        <v>0</v>
      </c>
      <c r="AE25" s="160"/>
      <c r="AF25" s="159" t="n">
        <f aca="false">SUM(AD25:AE25)</f>
        <v>0</v>
      </c>
    </row>
    <row r="26" customFormat="false" ht="11.25" hidden="false" customHeight="true" outlineLevel="0" collapsed="false">
      <c r="C26" s="51" t="str">
        <f aca="false">+'Lead NA'!C89</f>
        <v>Aktive Rechnungsabgrenzungsposten</v>
      </c>
      <c r="D26" s="51" t="str">
        <f aca="false">+'Lead NA'!D89</f>
        <v>Prepaid expenses</v>
      </c>
      <c r="E26" s="159"/>
      <c r="F26" s="159"/>
      <c r="G26" s="159"/>
      <c r="H26" s="421" t="n">
        <f aca="false">SUM(E26:G26)</f>
        <v>0</v>
      </c>
      <c r="I26" s="160"/>
      <c r="J26" s="159" t="n">
        <f aca="false">SUM(H26:I26)</f>
        <v>0</v>
      </c>
      <c r="L26" s="301"/>
      <c r="N26" s="51" t="str">
        <f aca="false">C26</f>
        <v>Aktive Rechnungsabgrenzungsposten</v>
      </c>
      <c r="O26" s="51" t="str">
        <f aca="false">D26</f>
        <v>Prepaid expenses</v>
      </c>
      <c r="P26" s="159"/>
      <c r="Q26" s="159"/>
      <c r="R26" s="159"/>
      <c r="S26" s="421" t="n">
        <f aca="false">SUM(P26:R26)</f>
        <v>0</v>
      </c>
      <c r="T26" s="160"/>
      <c r="U26" s="159" t="n">
        <f aca="false">SUM(S26:T26)</f>
        <v>0</v>
      </c>
      <c r="W26" s="301"/>
      <c r="Y26" s="51" t="str">
        <f aca="false">N26</f>
        <v>Aktive Rechnungsabgrenzungsposten</v>
      </c>
      <c r="Z26" s="51" t="str">
        <f aca="false">O26</f>
        <v>Prepaid expenses</v>
      </c>
      <c r="AA26" s="159"/>
      <c r="AB26" s="159"/>
      <c r="AC26" s="159"/>
      <c r="AD26" s="421" t="n">
        <f aca="false">SUM(AA26:AC26)</f>
        <v>0</v>
      </c>
      <c r="AE26" s="160"/>
      <c r="AF26" s="159" t="n">
        <f aca="false">SUM(AD26:AE26)</f>
        <v>0</v>
      </c>
    </row>
    <row r="27" customFormat="false" ht="11.25" hidden="true" customHeight="true" outlineLevel="2" collapsed="false">
      <c r="C27" s="51" t="str">
        <f aca="false">+'Lead NA'!C116</f>
        <v>Dummy 1</v>
      </c>
      <c r="D27" s="51" t="str">
        <f aca="false">+'Lead NA'!D116</f>
        <v>Dummy 1</v>
      </c>
      <c r="E27" s="159"/>
      <c r="F27" s="159"/>
      <c r="G27" s="159"/>
      <c r="H27" s="421" t="n">
        <f aca="false">SUM(E27:G27)</f>
        <v>0</v>
      </c>
      <c r="I27" s="160"/>
      <c r="J27" s="159" t="n">
        <f aca="false">SUM(H27:I27)</f>
        <v>0</v>
      </c>
      <c r="L27" s="301"/>
      <c r="N27" s="51" t="str">
        <f aca="false">C27</f>
        <v>Dummy 1</v>
      </c>
      <c r="O27" s="51" t="str">
        <f aca="false">D27</f>
        <v>Dummy 1</v>
      </c>
      <c r="P27" s="159"/>
      <c r="Q27" s="159"/>
      <c r="R27" s="159"/>
      <c r="S27" s="421" t="n">
        <f aca="false">SUM(P27:R27)</f>
        <v>0</v>
      </c>
      <c r="T27" s="160"/>
      <c r="U27" s="159" t="n">
        <f aca="false">SUM(S27:T27)</f>
        <v>0</v>
      </c>
      <c r="W27" s="301"/>
      <c r="Y27" s="51" t="str">
        <f aca="false">N27</f>
        <v>Dummy 1</v>
      </c>
      <c r="Z27" s="51" t="str">
        <f aca="false">O27</f>
        <v>Dummy 1</v>
      </c>
      <c r="AA27" s="159"/>
      <c r="AB27" s="159"/>
      <c r="AC27" s="159"/>
      <c r="AD27" s="421" t="n">
        <f aca="false">SUM(AA27:AC27)</f>
        <v>0</v>
      </c>
      <c r="AE27" s="160"/>
      <c r="AF27" s="159" t="n">
        <f aca="false">SUM(AD27:AE27)</f>
        <v>0</v>
      </c>
    </row>
    <row r="28" customFormat="false" ht="11.25" hidden="true" customHeight="true" outlineLevel="2" collapsed="false">
      <c r="C28" s="51" t="str">
        <f aca="false">+'Lead NA'!C117</f>
        <v>Dummy 2</v>
      </c>
      <c r="D28" s="51" t="str">
        <f aca="false">+'Lead NA'!D117</f>
        <v>Dummy 2</v>
      </c>
      <c r="E28" s="159"/>
      <c r="F28" s="159"/>
      <c r="G28" s="159"/>
      <c r="H28" s="421" t="n">
        <f aca="false">SUM(E28:G28)</f>
        <v>0</v>
      </c>
      <c r="I28" s="160"/>
      <c r="J28" s="159" t="n">
        <f aca="false">SUM(H28:I28)</f>
        <v>0</v>
      </c>
      <c r="L28" s="301"/>
      <c r="N28" s="51" t="str">
        <f aca="false">C28</f>
        <v>Dummy 2</v>
      </c>
      <c r="O28" s="51" t="str">
        <f aca="false">D28</f>
        <v>Dummy 2</v>
      </c>
      <c r="P28" s="159"/>
      <c r="Q28" s="159"/>
      <c r="R28" s="159"/>
      <c r="S28" s="421" t="n">
        <f aca="false">SUM(P28:R28)</f>
        <v>0</v>
      </c>
      <c r="T28" s="160"/>
      <c r="U28" s="159" t="n">
        <f aca="false">SUM(S28:T28)</f>
        <v>0</v>
      </c>
      <c r="W28" s="301"/>
      <c r="Y28" s="51" t="str">
        <f aca="false">N28</f>
        <v>Dummy 2</v>
      </c>
      <c r="Z28" s="51" t="str">
        <f aca="false">O28</f>
        <v>Dummy 2</v>
      </c>
      <c r="AA28" s="159"/>
      <c r="AB28" s="159"/>
      <c r="AC28" s="159"/>
      <c r="AD28" s="421" t="n">
        <f aca="false">SUM(AA28:AC28)</f>
        <v>0</v>
      </c>
      <c r="AE28" s="160"/>
      <c r="AF28" s="159" t="n">
        <f aca="false">SUM(AD28:AE28)</f>
        <v>0</v>
      </c>
    </row>
    <row r="29" customFormat="false" ht="11.25" hidden="true" customHeight="true" outlineLevel="2" collapsed="false">
      <c r="C29" s="51" t="str">
        <f aca="false">+'Lead NA'!C118</f>
        <v>Dummy 3</v>
      </c>
      <c r="D29" s="51" t="str">
        <f aca="false">+'Lead NA'!D118</f>
        <v>Dummy 3</v>
      </c>
      <c r="E29" s="159"/>
      <c r="F29" s="159"/>
      <c r="G29" s="159"/>
      <c r="H29" s="421" t="n">
        <f aca="false">SUM(E29:G29)</f>
        <v>0</v>
      </c>
      <c r="I29" s="160"/>
      <c r="J29" s="159" t="n">
        <f aca="false">SUM(H29:I29)</f>
        <v>0</v>
      </c>
      <c r="L29" s="301"/>
      <c r="N29" s="51" t="str">
        <f aca="false">C29</f>
        <v>Dummy 3</v>
      </c>
      <c r="O29" s="51" t="str">
        <f aca="false">D29</f>
        <v>Dummy 3</v>
      </c>
      <c r="P29" s="159"/>
      <c r="Q29" s="159"/>
      <c r="R29" s="159"/>
      <c r="S29" s="421" t="n">
        <f aca="false">SUM(P29:R29)</f>
        <v>0</v>
      </c>
      <c r="T29" s="160"/>
      <c r="U29" s="159" t="n">
        <f aca="false">SUM(S29:T29)</f>
        <v>0</v>
      </c>
      <c r="W29" s="301"/>
      <c r="Y29" s="51" t="str">
        <f aca="false">N29</f>
        <v>Dummy 3</v>
      </c>
      <c r="Z29" s="51" t="str">
        <f aca="false">O29</f>
        <v>Dummy 3</v>
      </c>
      <c r="AA29" s="159"/>
      <c r="AB29" s="159"/>
      <c r="AC29" s="159"/>
      <c r="AD29" s="421" t="n">
        <f aca="false">SUM(AA29:AC29)</f>
        <v>0</v>
      </c>
      <c r="AE29" s="160"/>
      <c r="AF29" s="159" t="n">
        <f aca="false">SUM(AD29:AE29)</f>
        <v>0</v>
      </c>
    </row>
    <row r="30" customFormat="false" ht="11.25" hidden="false" customHeight="true" outlineLevel="0" collapsed="false">
      <c r="C30" s="132" t="str">
        <f aca="false">+'Lead NA'!C119</f>
        <v>Sonstige Aktiva</v>
      </c>
      <c r="D30" s="132" t="str">
        <f aca="false">+'Lead NA'!D119</f>
        <v>Other assets (subtotal)</v>
      </c>
      <c r="E30" s="168" t="n">
        <f aca="false">SUM(E25:E29)</f>
        <v>0</v>
      </c>
      <c r="F30" s="168" t="n">
        <f aca="false">SUM(F25:F29)</f>
        <v>0</v>
      </c>
      <c r="G30" s="168" t="n">
        <f aca="false">SUM(G25:G29)</f>
        <v>0</v>
      </c>
      <c r="H30" s="437" t="n">
        <f aca="false">SUM(H25:H26)</f>
        <v>0</v>
      </c>
      <c r="I30" s="169" t="n">
        <f aca="false">SUM(I25:I29)</f>
        <v>0</v>
      </c>
      <c r="J30" s="168" t="n">
        <f aca="false">SUM(H30:I30)</f>
        <v>0</v>
      </c>
      <c r="L30" s="301"/>
      <c r="N30" s="132" t="str">
        <f aca="false">C30</f>
        <v>Sonstige Aktiva</v>
      </c>
      <c r="O30" s="132" t="str">
        <f aca="false">D30</f>
        <v>Other assets (subtotal)</v>
      </c>
      <c r="P30" s="168" t="n">
        <f aca="false">SUM(P25:P29)</f>
        <v>0</v>
      </c>
      <c r="Q30" s="168" t="n">
        <f aca="false">SUM(Q25:Q29)</f>
        <v>0</v>
      </c>
      <c r="R30" s="168" t="n">
        <f aca="false">SUM(R25:R29)</f>
        <v>0</v>
      </c>
      <c r="S30" s="437" t="n">
        <f aca="false">SUM(S25:S26)</f>
        <v>0</v>
      </c>
      <c r="T30" s="169" t="n">
        <f aca="false">SUM(T25:T29)</f>
        <v>0</v>
      </c>
      <c r="U30" s="168" t="n">
        <f aca="false">SUM(S30:T30)</f>
        <v>0</v>
      </c>
      <c r="W30" s="301"/>
      <c r="Y30" s="132" t="str">
        <f aca="false">N30</f>
        <v>Sonstige Aktiva</v>
      </c>
      <c r="Z30" s="132" t="str">
        <f aca="false">O30</f>
        <v>Other assets (subtotal)</v>
      </c>
      <c r="AA30" s="168" t="n">
        <f aca="false">SUM(AA25:AA29)</f>
        <v>0</v>
      </c>
      <c r="AB30" s="168" t="n">
        <f aca="false">SUM(AB25:AB29)</f>
        <v>0</v>
      </c>
      <c r="AC30" s="168" t="n">
        <f aca="false">SUM(AC25:AC29)</f>
        <v>0</v>
      </c>
      <c r="AD30" s="437" t="n">
        <f aca="false">SUM(AD25:AD26)</f>
        <v>0</v>
      </c>
      <c r="AE30" s="169" t="n">
        <f aca="false">SUM(AE25:AE29)</f>
        <v>0</v>
      </c>
      <c r="AF30" s="168" t="n">
        <f aca="false">SUM(AD30:AE30)</f>
        <v>0</v>
      </c>
    </row>
    <row r="31" customFormat="false" ht="11.25" hidden="false" customHeight="true" outlineLevel="0" collapsed="false">
      <c r="C31" s="51" t="str">
        <f aca="false">+'Lead NA'!C120</f>
        <v>Sonstige Rückstellungen</v>
      </c>
      <c r="D31" s="51" t="str">
        <f aca="false">+'Lead NA'!D120</f>
        <v>Other provisions</v>
      </c>
      <c r="E31" s="159"/>
      <c r="F31" s="159"/>
      <c r="G31" s="159"/>
      <c r="H31" s="421" t="n">
        <f aca="false">SUM(E31:G31)</f>
        <v>0</v>
      </c>
      <c r="I31" s="160"/>
      <c r="J31" s="159" t="n">
        <f aca="false">SUM(H31:I31)</f>
        <v>0</v>
      </c>
      <c r="L31" s="301"/>
      <c r="N31" s="51" t="str">
        <f aca="false">C31</f>
        <v>Sonstige Rückstellungen</v>
      </c>
      <c r="O31" s="51" t="str">
        <f aca="false">D31</f>
        <v>Other provisions</v>
      </c>
      <c r="P31" s="159"/>
      <c r="Q31" s="159"/>
      <c r="R31" s="159"/>
      <c r="S31" s="421" t="n">
        <f aca="false">SUM(P31:R31)</f>
        <v>0</v>
      </c>
      <c r="T31" s="160"/>
      <c r="U31" s="159" t="n">
        <f aca="false">SUM(S31:T31)</f>
        <v>0</v>
      </c>
      <c r="W31" s="301"/>
      <c r="Y31" s="51" t="str">
        <f aca="false">N31</f>
        <v>Sonstige Rückstellungen</v>
      </c>
      <c r="Z31" s="51" t="str">
        <f aca="false">O31</f>
        <v>Other provisions</v>
      </c>
      <c r="AA31" s="159"/>
      <c r="AB31" s="159"/>
      <c r="AC31" s="159"/>
      <c r="AD31" s="421" t="n">
        <f aca="false">SUM(AA31:AC31)</f>
        <v>0</v>
      </c>
      <c r="AE31" s="160"/>
      <c r="AF31" s="159" t="n">
        <f aca="false">SUM(AD31:AE31)</f>
        <v>0</v>
      </c>
    </row>
    <row r="32" customFormat="false" ht="11.25" hidden="false" customHeight="true" outlineLevel="0" collapsed="false">
      <c r="C32" s="51" t="str">
        <f aca="false">+'Lead NA'!C129</f>
        <v>Sonstige Verbindlichkeiten</v>
      </c>
      <c r="D32" s="51" t="str">
        <f aca="false">+'Lead NA'!D129</f>
        <v>Other liabilities</v>
      </c>
      <c r="E32" s="159"/>
      <c r="F32" s="159"/>
      <c r="G32" s="159"/>
      <c r="H32" s="421" t="n">
        <f aca="false">SUM(E32:G32)</f>
        <v>0</v>
      </c>
      <c r="I32" s="160"/>
      <c r="J32" s="159" t="n">
        <f aca="false">SUM(H32:I32)</f>
        <v>0</v>
      </c>
      <c r="L32" s="301"/>
      <c r="N32" s="51" t="str">
        <f aca="false">C32</f>
        <v>Sonstige Verbindlichkeiten</v>
      </c>
      <c r="O32" s="51" t="str">
        <f aca="false">D32</f>
        <v>Other liabilities</v>
      </c>
      <c r="P32" s="159"/>
      <c r="Q32" s="159"/>
      <c r="R32" s="159"/>
      <c r="S32" s="421" t="n">
        <f aca="false">SUM(P32:R32)</f>
        <v>0</v>
      </c>
      <c r="T32" s="160"/>
      <c r="U32" s="159" t="n">
        <f aca="false">SUM(S32:T32)</f>
        <v>0</v>
      </c>
      <c r="W32" s="301"/>
      <c r="Y32" s="51" t="str">
        <f aca="false">N32</f>
        <v>Sonstige Verbindlichkeiten</v>
      </c>
      <c r="Z32" s="51" t="str">
        <f aca="false">O32</f>
        <v>Other liabilities</v>
      </c>
      <c r="AA32" s="159"/>
      <c r="AB32" s="159"/>
      <c r="AC32" s="159"/>
      <c r="AD32" s="421" t="n">
        <f aca="false">SUM(AA32:AC32)</f>
        <v>0</v>
      </c>
      <c r="AE32" s="160"/>
      <c r="AF32" s="159" t="n">
        <f aca="false">SUM(AD32:AE32)</f>
        <v>0</v>
      </c>
    </row>
    <row r="33" customFormat="false" ht="11.25" hidden="true" customHeight="true" outlineLevel="2" collapsed="false">
      <c r="C33" s="51" t="str">
        <f aca="false">+'Lead NA'!C147</f>
        <v>Verbindlichkeiten an verbundenen/beteiligten Unternehmen</v>
      </c>
      <c r="D33" s="51" t="str">
        <f aca="false">+'Lead NA'!D147</f>
        <v>Liabilities to affiliated/ participating companies</v>
      </c>
      <c r="E33" s="159"/>
      <c r="F33" s="159"/>
      <c r="G33" s="159"/>
      <c r="H33" s="421" t="n">
        <f aca="false">SUM(E33:G33)</f>
        <v>0</v>
      </c>
      <c r="I33" s="160"/>
      <c r="J33" s="159" t="n">
        <f aca="false">SUM(H33:I33)</f>
        <v>0</v>
      </c>
      <c r="L33" s="301"/>
      <c r="N33" s="51" t="str">
        <f aca="false">C33</f>
        <v>Verbindlichkeiten an verbundenen/beteiligten Unternehmen</v>
      </c>
      <c r="O33" s="51" t="str">
        <f aca="false">D33</f>
        <v>Liabilities to affiliated/ participating companies</v>
      </c>
      <c r="P33" s="159"/>
      <c r="Q33" s="159"/>
      <c r="R33" s="159"/>
      <c r="S33" s="421" t="n">
        <f aca="false">SUM(P33:R33)</f>
        <v>0</v>
      </c>
      <c r="T33" s="160"/>
      <c r="U33" s="159" t="n">
        <f aca="false">SUM(S33:T33)</f>
        <v>0</v>
      </c>
      <c r="W33" s="301"/>
      <c r="Y33" s="51" t="str">
        <f aca="false">N33</f>
        <v>Verbindlichkeiten an verbundenen/beteiligten Unternehmen</v>
      </c>
      <c r="Z33" s="51" t="str">
        <f aca="false">O33</f>
        <v>Liabilities to affiliated/ participating companies</v>
      </c>
      <c r="AA33" s="159"/>
      <c r="AB33" s="159"/>
      <c r="AC33" s="159"/>
      <c r="AD33" s="421" t="n">
        <f aca="false">SUM(AA33:AC33)</f>
        <v>0</v>
      </c>
      <c r="AE33" s="160"/>
      <c r="AF33" s="159" t="n">
        <f aca="false">SUM(AD33:AE33)</f>
        <v>0</v>
      </c>
    </row>
    <row r="34" customFormat="false" ht="11.25" hidden="true" customHeight="true" outlineLevel="2" collapsed="false">
      <c r="C34" s="51" t="str">
        <f aca="false">+'Lead NA'!C156</f>
        <v>Verbindlichkeiten an Gesellschafter</v>
      </c>
      <c r="D34" s="51" t="str">
        <f aca="false">+'Lead NA'!D156</f>
        <v>Liabilities to shareholders</v>
      </c>
      <c r="E34" s="159"/>
      <c r="F34" s="159"/>
      <c r="G34" s="159"/>
      <c r="H34" s="421" t="n">
        <f aca="false">SUM(E34:G34)</f>
        <v>0</v>
      </c>
      <c r="I34" s="160"/>
      <c r="J34" s="159" t="n">
        <f aca="false">SUM(H34:I34)</f>
        <v>0</v>
      </c>
      <c r="L34" s="301"/>
      <c r="N34" s="51" t="str">
        <f aca="false">C34</f>
        <v>Verbindlichkeiten an Gesellschafter</v>
      </c>
      <c r="O34" s="51" t="str">
        <f aca="false">D34</f>
        <v>Liabilities to shareholders</v>
      </c>
      <c r="P34" s="159"/>
      <c r="Q34" s="159"/>
      <c r="R34" s="159"/>
      <c r="S34" s="421" t="n">
        <f aca="false">SUM(P34:R34)</f>
        <v>0</v>
      </c>
      <c r="T34" s="160"/>
      <c r="U34" s="159" t="n">
        <f aca="false">SUM(S34:T34)</f>
        <v>0</v>
      </c>
      <c r="W34" s="301"/>
      <c r="Y34" s="51" t="str">
        <f aca="false">N34</f>
        <v>Verbindlichkeiten an Gesellschafter</v>
      </c>
      <c r="Z34" s="51" t="str">
        <f aca="false">O34</f>
        <v>Liabilities to shareholders</v>
      </c>
      <c r="AA34" s="159"/>
      <c r="AB34" s="159"/>
      <c r="AC34" s="159"/>
      <c r="AD34" s="421" t="n">
        <f aca="false">SUM(AA34:AC34)</f>
        <v>0</v>
      </c>
      <c r="AE34" s="160"/>
      <c r="AF34" s="159" t="n">
        <f aca="false">SUM(AD34:AE34)</f>
        <v>0</v>
      </c>
    </row>
    <row r="35" customFormat="false" ht="11.25" hidden="true" customHeight="true" outlineLevel="2" collapsed="false">
      <c r="C35" s="51" t="str">
        <f aca="false">+'Lead NA'!C176</f>
        <v>Dummy 3</v>
      </c>
      <c r="D35" s="51" t="str">
        <f aca="false">+'Lead NA'!D176</f>
        <v>Dummy 3</v>
      </c>
      <c r="E35" s="159"/>
      <c r="F35" s="159"/>
      <c r="G35" s="159"/>
      <c r="H35" s="421" t="n">
        <f aca="false">SUM(E35:G35)</f>
        <v>0</v>
      </c>
      <c r="I35" s="160"/>
      <c r="J35" s="159" t="n">
        <f aca="false">SUM(H35:I35)</f>
        <v>0</v>
      </c>
      <c r="L35" s="301"/>
      <c r="N35" s="51" t="str">
        <f aca="false">C35</f>
        <v>Dummy 3</v>
      </c>
      <c r="O35" s="51" t="str">
        <f aca="false">D35</f>
        <v>Dummy 3</v>
      </c>
      <c r="P35" s="159"/>
      <c r="Q35" s="159"/>
      <c r="R35" s="159"/>
      <c r="S35" s="421" t="n">
        <f aca="false">SUM(P35:R35)</f>
        <v>0</v>
      </c>
      <c r="T35" s="160"/>
      <c r="U35" s="159" t="n">
        <f aca="false">SUM(S35:T35)</f>
        <v>0</v>
      </c>
      <c r="W35" s="301"/>
      <c r="Y35" s="51" t="str">
        <f aca="false">N35</f>
        <v>Dummy 3</v>
      </c>
      <c r="Z35" s="51" t="str">
        <f aca="false">O35</f>
        <v>Dummy 3</v>
      </c>
      <c r="AA35" s="159"/>
      <c r="AB35" s="159"/>
      <c r="AC35" s="159"/>
      <c r="AD35" s="421" t="n">
        <f aca="false">SUM(AA35:AC35)</f>
        <v>0</v>
      </c>
      <c r="AE35" s="160"/>
      <c r="AF35" s="159" t="n">
        <f aca="false">SUM(AD35:AE35)</f>
        <v>0</v>
      </c>
    </row>
    <row r="36" customFormat="false" ht="11.25" hidden="false" customHeight="true" outlineLevel="0" collapsed="false">
      <c r="C36" s="171" t="str">
        <f aca="false">+'Lead NA'!C177</f>
        <v>Sonstige Passiva</v>
      </c>
      <c r="D36" s="171" t="str">
        <f aca="false">+'Lead NA'!D177</f>
        <v>Other liabilities</v>
      </c>
      <c r="E36" s="172" t="n">
        <f aca="false">SUM(E31:E35)</f>
        <v>0</v>
      </c>
      <c r="F36" s="172" t="n">
        <f aca="false">SUM(F31:F35)</f>
        <v>0</v>
      </c>
      <c r="G36" s="172" t="n">
        <f aca="false">SUM(G31:G35)</f>
        <v>0</v>
      </c>
      <c r="H36" s="438" t="n">
        <f aca="false">SUM(H31:H32)</f>
        <v>0</v>
      </c>
      <c r="I36" s="173" t="n">
        <f aca="false">SUM(I31:I35)</f>
        <v>0</v>
      </c>
      <c r="J36" s="172" t="n">
        <f aca="false">SUM(H36:I36)</f>
        <v>0</v>
      </c>
      <c r="L36" s="301"/>
      <c r="N36" s="171" t="str">
        <f aca="false">C36</f>
        <v>Sonstige Passiva</v>
      </c>
      <c r="O36" s="171" t="str">
        <f aca="false">D36</f>
        <v>Other liabilities</v>
      </c>
      <c r="P36" s="172" t="n">
        <f aca="false">SUM(P31:P35)</f>
        <v>0</v>
      </c>
      <c r="Q36" s="172" t="n">
        <f aca="false">SUM(Q31:Q35)</f>
        <v>0</v>
      </c>
      <c r="R36" s="172" t="n">
        <f aca="false">SUM(R31:R35)</f>
        <v>0</v>
      </c>
      <c r="S36" s="438" t="n">
        <f aca="false">SUM(S31:S32)</f>
        <v>0</v>
      </c>
      <c r="T36" s="173" t="n">
        <f aca="false">SUM(T31:T35)</f>
        <v>0</v>
      </c>
      <c r="U36" s="172" t="n">
        <f aca="false">SUM(S36:T36)</f>
        <v>0</v>
      </c>
      <c r="W36" s="301"/>
      <c r="Y36" s="171" t="str">
        <f aca="false">N36</f>
        <v>Sonstige Passiva</v>
      </c>
      <c r="Z36" s="171" t="str">
        <f aca="false">O36</f>
        <v>Other liabilities</v>
      </c>
      <c r="AA36" s="172" t="n">
        <f aca="false">SUM(AA31:AA35)</f>
        <v>0</v>
      </c>
      <c r="AB36" s="172" t="n">
        <f aca="false">SUM(AB31:AB35)</f>
        <v>0</v>
      </c>
      <c r="AC36" s="172" t="n">
        <f aca="false">SUM(AC31:AC35)</f>
        <v>0</v>
      </c>
      <c r="AD36" s="438" t="n">
        <f aca="false">SUM(AD31:AD32)</f>
        <v>0</v>
      </c>
      <c r="AE36" s="173" t="n">
        <f aca="false">SUM(AE31:AE35)</f>
        <v>0</v>
      </c>
      <c r="AF36" s="172" t="n">
        <f aca="false">SUM(AD36:AE36)</f>
        <v>0</v>
      </c>
    </row>
    <row r="37" customFormat="false" ht="11.25" hidden="false" customHeight="true" outlineLevel="0" collapsed="false">
      <c r="C37" s="205" t="str">
        <f aca="false">+'Lead NA'!C178</f>
        <v>Other Working Capital</v>
      </c>
      <c r="D37" s="205" t="str">
        <f aca="false">+'Lead NA'!D178</f>
        <v>Other working capital</v>
      </c>
      <c r="E37" s="205" t="n">
        <f aca="false">E36+E30</f>
        <v>0</v>
      </c>
      <c r="F37" s="205" t="n">
        <f aca="false">F36+F30</f>
        <v>0</v>
      </c>
      <c r="G37" s="205" t="n">
        <f aca="false">G36+G30</f>
        <v>0</v>
      </c>
      <c r="H37" s="439" t="n">
        <f aca="false">SUM(H30,H36)</f>
        <v>0</v>
      </c>
      <c r="I37" s="207" t="n">
        <f aca="false">I36+I30</f>
        <v>0</v>
      </c>
      <c r="J37" s="205" t="n">
        <f aca="false">SUM(H37:I37)</f>
        <v>0</v>
      </c>
      <c r="L37" s="301"/>
      <c r="N37" s="205" t="str">
        <f aca="false">C37</f>
        <v>Other Working Capital</v>
      </c>
      <c r="O37" s="205" t="str">
        <f aca="false">D37</f>
        <v>Other working capital</v>
      </c>
      <c r="P37" s="205" t="n">
        <f aca="false">P36+P30</f>
        <v>0</v>
      </c>
      <c r="Q37" s="205" t="n">
        <f aca="false">Q36+Q30</f>
        <v>0</v>
      </c>
      <c r="R37" s="205" t="n">
        <f aca="false">R36+R30</f>
        <v>0</v>
      </c>
      <c r="S37" s="439" t="n">
        <f aca="false">SUM(S30,S36)</f>
        <v>0</v>
      </c>
      <c r="T37" s="207" t="n">
        <f aca="false">T36+T30</f>
        <v>0</v>
      </c>
      <c r="U37" s="205" t="n">
        <f aca="false">SUM(S37:T37)</f>
        <v>0</v>
      </c>
      <c r="W37" s="301"/>
      <c r="Y37" s="205" t="str">
        <f aca="false">N37</f>
        <v>Other Working Capital</v>
      </c>
      <c r="Z37" s="205" t="str">
        <f aca="false">O37</f>
        <v>Other working capital</v>
      </c>
      <c r="AA37" s="205" t="n">
        <f aca="false">AA36+AA30</f>
        <v>0</v>
      </c>
      <c r="AB37" s="205" t="n">
        <f aca="false">AB36+AB30</f>
        <v>0</v>
      </c>
      <c r="AC37" s="205" t="n">
        <f aca="false">AC36+AC30</f>
        <v>0</v>
      </c>
      <c r="AD37" s="439" t="n">
        <f aca="false">SUM(AD30,AD36)</f>
        <v>0</v>
      </c>
      <c r="AE37" s="207" t="n">
        <f aca="false">AE36+AE30</f>
        <v>0</v>
      </c>
      <c r="AF37" s="205" t="n">
        <f aca="false">SUM(AD37:AE37)</f>
        <v>0</v>
      </c>
    </row>
    <row r="38" customFormat="false" ht="11.25" hidden="false" customHeight="true" outlineLevel="0" collapsed="false">
      <c r="C38" s="178" t="str">
        <f aca="false">+'Lead NA'!C179</f>
        <v>Net Working Capital</v>
      </c>
      <c r="D38" s="178" t="str">
        <f aca="false">+'Lead NA'!D179</f>
        <v>Net working capital</v>
      </c>
      <c r="E38" s="178" t="n">
        <f aca="false">E37+E24</f>
        <v>0</v>
      </c>
      <c r="F38" s="178" t="n">
        <f aca="false">F37+F24</f>
        <v>0</v>
      </c>
      <c r="G38" s="178" t="n">
        <f aca="false">G37+G24</f>
        <v>0</v>
      </c>
      <c r="H38" s="440" t="n">
        <f aca="false">SUM(E38:G38)</f>
        <v>0</v>
      </c>
      <c r="I38" s="179" t="n">
        <f aca="false">I37+I24</f>
        <v>0</v>
      </c>
      <c r="J38" s="178" t="n">
        <f aca="false">SUM(H38:I38)</f>
        <v>0</v>
      </c>
      <c r="L38" s="301"/>
      <c r="N38" s="178" t="str">
        <f aca="false">C38</f>
        <v>Net Working Capital</v>
      </c>
      <c r="O38" s="178" t="str">
        <f aca="false">D38</f>
        <v>Net working capital</v>
      </c>
      <c r="P38" s="178" t="n">
        <f aca="false">P37+P24</f>
        <v>0</v>
      </c>
      <c r="Q38" s="178" t="n">
        <f aca="false">Q37+Q24</f>
        <v>0</v>
      </c>
      <c r="R38" s="178" t="n">
        <f aca="false">R37+R24</f>
        <v>0</v>
      </c>
      <c r="S38" s="440" t="n">
        <f aca="false">SUM(P38:R38)</f>
        <v>0</v>
      </c>
      <c r="T38" s="179" t="n">
        <f aca="false">T37+T24</f>
        <v>0</v>
      </c>
      <c r="U38" s="178" t="n">
        <f aca="false">SUM(S38:T38)</f>
        <v>0</v>
      </c>
      <c r="W38" s="301"/>
      <c r="Y38" s="178" t="str">
        <f aca="false">N38</f>
        <v>Net Working Capital</v>
      </c>
      <c r="Z38" s="178" t="str">
        <f aca="false">O38</f>
        <v>Net working capital</v>
      </c>
      <c r="AA38" s="178" t="n">
        <f aca="false">AA37+AA24</f>
        <v>0</v>
      </c>
      <c r="AB38" s="178" t="n">
        <f aca="false">AB37+AB24</f>
        <v>0</v>
      </c>
      <c r="AC38" s="178" t="n">
        <f aca="false">AC37+AC24</f>
        <v>0</v>
      </c>
      <c r="AD38" s="440" t="n">
        <f aca="false">SUM(AA38:AC38)</f>
        <v>0</v>
      </c>
      <c r="AE38" s="179" t="n">
        <f aca="false">AE37+AE24</f>
        <v>0</v>
      </c>
      <c r="AF38" s="178" t="n">
        <f aca="false">SUM(AD38:AE38)</f>
        <v>0</v>
      </c>
    </row>
    <row r="39" customFormat="false" ht="11.25" hidden="false" customHeight="true" outlineLevel="0" collapsed="false">
      <c r="C39" s="51" t="str">
        <f aca="false">+'Lead NA'!C180</f>
        <v>Liquide Mittel</v>
      </c>
      <c r="D39" s="51" t="str">
        <f aca="false">+'Lead NA'!D180</f>
        <v>Cash</v>
      </c>
      <c r="E39" s="159"/>
      <c r="F39" s="159"/>
      <c r="G39" s="159"/>
      <c r="H39" s="421" t="n">
        <f aca="false">SUM(E39:G39)</f>
        <v>0</v>
      </c>
      <c r="I39" s="160"/>
      <c r="J39" s="159" t="n">
        <f aca="false">SUM(H39:I39)</f>
        <v>0</v>
      </c>
      <c r="L39" s="301"/>
      <c r="N39" s="51" t="str">
        <f aca="false">C39</f>
        <v>Liquide Mittel</v>
      </c>
      <c r="O39" s="51" t="str">
        <f aca="false">D39</f>
        <v>Cash</v>
      </c>
      <c r="P39" s="159"/>
      <c r="Q39" s="159"/>
      <c r="R39" s="159"/>
      <c r="S39" s="421" t="n">
        <f aca="false">SUM(P39:R39)</f>
        <v>0</v>
      </c>
      <c r="T39" s="160"/>
      <c r="U39" s="159" t="n">
        <f aca="false">SUM(S39:T39)</f>
        <v>0</v>
      </c>
      <c r="W39" s="301"/>
      <c r="Y39" s="51" t="str">
        <f aca="false">N39</f>
        <v>Liquide Mittel</v>
      </c>
      <c r="Z39" s="51" t="str">
        <f aca="false">O39</f>
        <v>Cash</v>
      </c>
      <c r="AA39" s="159"/>
      <c r="AB39" s="159"/>
      <c r="AC39" s="159"/>
      <c r="AD39" s="421" t="n">
        <f aca="false">SUM(AA39:AC39)</f>
        <v>0</v>
      </c>
      <c r="AE39" s="160"/>
      <c r="AF39" s="159" t="n">
        <f aca="false">SUM(AD39:AE39)</f>
        <v>0</v>
      </c>
    </row>
    <row r="40" customFormat="false" ht="11.25" hidden="false" customHeight="true" outlineLevel="0" collapsed="false">
      <c r="C40" s="51" t="str">
        <f aca="false">+'Lead NA'!C189</f>
        <v>Verbindlichkeiten ggü.Kreditinstituten</v>
      </c>
      <c r="D40" s="51" t="str">
        <f aca="false">+'Lead NA'!D189</f>
        <v>Liabilities to banks</v>
      </c>
      <c r="E40" s="159"/>
      <c r="F40" s="159"/>
      <c r="G40" s="159"/>
      <c r="H40" s="421" t="n">
        <f aca="false">SUM(E40:G40)</f>
        <v>0</v>
      </c>
      <c r="I40" s="160"/>
      <c r="J40" s="159" t="n">
        <f aca="false">SUM(H40:I40)</f>
        <v>0</v>
      </c>
      <c r="L40" s="301"/>
      <c r="N40" s="51" t="str">
        <f aca="false">C40</f>
        <v>Verbindlichkeiten ggü.Kreditinstituten</v>
      </c>
      <c r="O40" s="51" t="str">
        <f aca="false">D40</f>
        <v>Liabilities to banks</v>
      </c>
      <c r="P40" s="159"/>
      <c r="Q40" s="159"/>
      <c r="R40" s="159"/>
      <c r="S40" s="421" t="n">
        <f aca="false">SUM(P40:R40)</f>
        <v>0</v>
      </c>
      <c r="T40" s="160"/>
      <c r="U40" s="159" t="n">
        <f aca="false">SUM(S40:T40)</f>
        <v>0</v>
      </c>
      <c r="W40" s="301"/>
      <c r="Y40" s="51" t="str">
        <f aca="false">N40</f>
        <v>Verbindlichkeiten ggü.Kreditinstituten</v>
      </c>
      <c r="Z40" s="51" t="str">
        <f aca="false">O40</f>
        <v>Liabilities to banks</v>
      </c>
      <c r="AA40" s="159"/>
      <c r="AB40" s="159"/>
      <c r="AC40" s="159"/>
      <c r="AD40" s="421" t="n">
        <f aca="false">SUM(AA40:AC40)</f>
        <v>0</v>
      </c>
      <c r="AE40" s="160"/>
      <c r="AF40" s="159" t="n">
        <f aca="false">SUM(AD40:AE40)</f>
        <v>0</v>
      </c>
    </row>
    <row r="41" customFormat="false" ht="11.25" hidden="true" customHeight="true" outlineLevel="2" collapsed="false">
      <c r="C41" s="51" t="str">
        <f aca="false">+'Lead NA'!C207</f>
        <v>Dummy 1</v>
      </c>
      <c r="D41" s="51" t="str">
        <f aca="false">+'Lead NA'!D207</f>
        <v>Dummy 1</v>
      </c>
      <c r="E41" s="159"/>
      <c r="F41" s="159"/>
      <c r="G41" s="159"/>
      <c r="H41" s="421" t="n">
        <f aca="false">SUM(E41:G41)</f>
        <v>0</v>
      </c>
      <c r="I41" s="160"/>
      <c r="J41" s="159" t="n">
        <f aca="false">SUM(H41:I41)</f>
        <v>0</v>
      </c>
      <c r="L41" s="301"/>
      <c r="N41" s="51" t="str">
        <f aca="false">C41</f>
        <v>Dummy 1</v>
      </c>
      <c r="O41" s="51" t="str">
        <f aca="false">D41</f>
        <v>Dummy 1</v>
      </c>
      <c r="P41" s="159"/>
      <c r="Q41" s="159"/>
      <c r="R41" s="159"/>
      <c r="S41" s="421" t="n">
        <f aca="false">SUM(P41:R41)</f>
        <v>0</v>
      </c>
      <c r="T41" s="160"/>
      <c r="U41" s="159" t="n">
        <f aca="false">SUM(S41:T41)</f>
        <v>0</v>
      </c>
      <c r="W41" s="301"/>
      <c r="Y41" s="51" t="str">
        <f aca="false">N41</f>
        <v>Dummy 1</v>
      </c>
      <c r="Z41" s="51" t="str">
        <f aca="false">O41</f>
        <v>Dummy 1</v>
      </c>
      <c r="AA41" s="159"/>
      <c r="AB41" s="159"/>
      <c r="AC41" s="159"/>
      <c r="AD41" s="421" t="n">
        <f aca="false">SUM(AA41:AC41)</f>
        <v>0</v>
      </c>
      <c r="AE41" s="160"/>
      <c r="AF41" s="159" t="n">
        <f aca="false">SUM(AD41:AE41)</f>
        <v>0</v>
      </c>
    </row>
    <row r="42" customFormat="false" ht="11.25" hidden="true" customHeight="true" outlineLevel="2" collapsed="false">
      <c r="C42" s="51" t="str">
        <f aca="false">+'Lead NA'!C208</f>
        <v>Dummy 2</v>
      </c>
      <c r="D42" s="51" t="str">
        <f aca="false">+'Lead NA'!D208</f>
        <v>Dummy 2</v>
      </c>
      <c r="E42" s="159"/>
      <c r="F42" s="159"/>
      <c r="G42" s="159"/>
      <c r="H42" s="421" t="n">
        <f aca="false">SUM(E42:G42)</f>
        <v>0</v>
      </c>
      <c r="I42" s="160"/>
      <c r="J42" s="159" t="n">
        <f aca="false">SUM(H42:I42)</f>
        <v>0</v>
      </c>
      <c r="L42" s="301"/>
      <c r="N42" s="51" t="str">
        <f aca="false">C42</f>
        <v>Dummy 2</v>
      </c>
      <c r="O42" s="51" t="str">
        <f aca="false">D42</f>
        <v>Dummy 2</v>
      </c>
      <c r="P42" s="159"/>
      <c r="Q42" s="159"/>
      <c r="R42" s="159"/>
      <c r="S42" s="421" t="n">
        <f aca="false">SUM(P42:R42)</f>
        <v>0</v>
      </c>
      <c r="T42" s="160"/>
      <c r="U42" s="159" t="n">
        <f aca="false">SUM(S42:T42)</f>
        <v>0</v>
      </c>
      <c r="W42" s="301"/>
      <c r="Y42" s="51" t="str">
        <f aca="false">N42</f>
        <v>Dummy 2</v>
      </c>
      <c r="Z42" s="51" t="str">
        <f aca="false">O42</f>
        <v>Dummy 2</v>
      </c>
      <c r="AA42" s="159"/>
      <c r="AB42" s="159"/>
      <c r="AC42" s="159"/>
      <c r="AD42" s="421" t="n">
        <f aca="false">SUM(AA42:AC42)</f>
        <v>0</v>
      </c>
      <c r="AE42" s="160"/>
      <c r="AF42" s="159" t="n">
        <f aca="false">SUM(AD42:AE42)</f>
        <v>0</v>
      </c>
    </row>
    <row r="43" customFormat="false" ht="11.25" hidden="true" customHeight="true" outlineLevel="2" collapsed="false">
      <c r="C43" s="54" t="str">
        <f aca="false">+'Lead NA'!C209</f>
        <v>Dummy 3</v>
      </c>
      <c r="D43" s="54" t="str">
        <f aca="false">+'Lead NA'!D209</f>
        <v>Dummy 3</v>
      </c>
      <c r="E43" s="162"/>
      <c r="F43" s="162"/>
      <c r="G43" s="162"/>
      <c r="H43" s="434" t="n">
        <f aca="false">SUM(E43:G43)</f>
        <v>0</v>
      </c>
      <c r="I43" s="163"/>
      <c r="J43" s="162" t="n">
        <f aca="false">SUM(H43:I43)</f>
        <v>0</v>
      </c>
      <c r="L43" s="301"/>
      <c r="N43" s="54" t="str">
        <f aca="false">C43</f>
        <v>Dummy 3</v>
      </c>
      <c r="O43" s="54" t="str">
        <f aca="false">D43</f>
        <v>Dummy 3</v>
      </c>
      <c r="P43" s="162"/>
      <c r="Q43" s="162"/>
      <c r="R43" s="162"/>
      <c r="S43" s="434" t="n">
        <f aca="false">SUM(P43:R43)</f>
        <v>0</v>
      </c>
      <c r="T43" s="163"/>
      <c r="U43" s="162" t="n">
        <f aca="false">SUM(S43:T43)</f>
        <v>0</v>
      </c>
      <c r="W43" s="301"/>
      <c r="Y43" s="54" t="str">
        <f aca="false">N43</f>
        <v>Dummy 3</v>
      </c>
      <c r="Z43" s="54" t="str">
        <f aca="false">O43</f>
        <v>Dummy 3</v>
      </c>
      <c r="AA43" s="162"/>
      <c r="AB43" s="162"/>
      <c r="AC43" s="162"/>
      <c r="AD43" s="434" t="n">
        <f aca="false">SUM(AA43:AC43)</f>
        <v>0</v>
      </c>
      <c r="AE43" s="163"/>
      <c r="AF43" s="162" t="n">
        <f aca="false">SUM(AD43:AE43)</f>
        <v>0</v>
      </c>
    </row>
    <row r="44" customFormat="false" ht="11.25" hidden="false" customHeight="true" outlineLevel="0" collapsed="false">
      <c r="C44" s="165" t="str">
        <f aca="false">+'Lead NA'!C210</f>
        <v>Netto-Finanzvermögen / -Verbindlichkeiten</v>
      </c>
      <c r="D44" s="165" t="str">
        <f aca="false">+'Lead NA'!D210</f>
        <v>Net cash / Net debt</v>
      </c>
      <c r="E44" s="165" t="n">
        <f aca="false">SUM(E39:E43)</f>
        <v>0</v>
      </c>
      <c r="F44" s="165" t="n">
        <f aca="false">SUM(F39:F43)</f>
        <v>0</v>
      </c>
      <c r="G44" s="165" t="n">
        <f aca="false">SUM(G39:G43)</f>
        <v>0</v>
      </c>
      <c r="H44" s="435" t="n">
        <f aca="false">SUM(H39:H40)</f>
        <v>0</v>
      </c>
      <c r="I44" s="166" t="n">
        <f aca="false">SUM(I39:I43)</f>
        <v>0</v>
      </c>
      <c r="J44" s="165" t="n">
        <f aca="false">SUM(H44:I44)</f>
        <v>0</v>
      </c>
      <c r="L44" s="301"/>
      <c r="N44" s="165" t="str">
        <f aca="false">C44</f>
        <v>Netto-Finanzvermögen / -Verbindlichkeiten</v>
      </c>
      <c r="O44" s="165" t="str">
        <f aca="false">D44</f>
        <v>Net cash / Net debt</v>
      </c>
      <c r="P44" s="165" t="n">
        <f aca="false">SUM(P39:P43)</f>
        <v>0</v>
      </c>
      <c r="Q44" s="165" t="n">
        <f aca="false">SUM(Q39:Q43)</f>
        <v>0</v>
      </c>
      <c r="R44" s="165" t="n">
        <f aca="false">SUM(R39:R43)</f>
        <v>0</v>
      </c>
      <c r="S44" s="435" t="n">
        <f aca="false">SUM(S39:S40)</f>
        <v>0</v>
      </c>
      <c r="T44" s="166" t="n">
        <f aca="false">SUM(T39:T43)</f>
        <v>0</v>
      </c>
      <c r="U44" s="165" t="n">
        <f aca="false">SUM(S44:T44)</f>
        <v>0</v>
      </c>
      <c r="W44" s="301"/>
      <c r="Y44" s="165" t="str">
        <f aca="false">N44</f>
        <v>Netto-Finanzvermögen / -Verbindlichkeiten</v>
      </c>
      <c r="Z44" s="165" t="str">
        <f aca="false">O44</f>
        <v>Net cash / Net debt</v>
      </c>
      <c r="AA44" s="165" t="n">
        <f aca="false">SUM(AA39:AA43)</f>
        <v>0</v>
      </c>
      <c r="AB44" s="165" t="n">
        <f aca="false">SUM(AB39:AB43)</f>
        <v>0</v>
      </c>
      <c r="AC44" s="165" t="n">
        <f aca="false">SUM(AC39:AC43)</f>
        <v>0</v>
      </c>
      <c r="AD44" s="435" t="n">
        <f aca="false">SUM(AD39:AD40)</f>
        <v>0</v>
      </c>
      <c r="AE44" s="166" t="n">
        <f aca="false">SUM(AE39:AE43)</f>
        <v>0</v>
      </c>
      <c r="AF44" s="165" t="n">
        <f aca="false">SUM(AD44:AE44)</f>
        <v>0</v>
      </c>
      <c r="AG44" s="436"/>
    </row>
    <row r="45" customFormat="false" ht="11.25" hidden="false" customHeight="true" outlineLevel="0" collapsed="false">
      <c r="B45" s="1" t="s">
        <v>936</v>
      </c>
      <c r="C45" s="51"/>
      <c r="D45" s="51"/>
      <c r="E45" s="159"/>
      <c r="F45" s="159"/>
      <c r="G45" s="159"/>
      <c r="H45" s="421" t="n">
        <f aca="false">SUM(E45:G45)</f>
        <v>0</v>
      </c>
      <c r="I45" s="160"/>
      <c r="J45" s="159" t="n">
        <f aca="false">SUM(H45:I45)</f>
        <v>0</v>
      </c>
      <c r="L45" s="301"/>
      <c r="N45" s="51" t="n">
        <f aca="false">C45</f>
        <v>0</v>
      </c>
      <c r="O45" s="51" t="n">
        <f aca="false">D45</f>
        <v>0</v>
      </c>
      <c r="P45" s="159"/>
      <c r="Q45" s="159"/>
      <c r="R45" s="159"/>
      <c r="S45" s="421" t="n">
        <f aca="false">SUM(P45:R45)</f>
        <v>0</v>
      </c>
      <c r="T45" s="160"/>
      <c r="U45" s="159" t="n">
        <f aca="false">SUM(S45:T45)</f>
        <v>0</v>
      </c>
      <c r="W45" s="301"/>
      <c r="Y45" s="51" t="n">
        <f aca="false">N45</f>
        <v>0</v>
      </c>
      <c r="Z45" s="51" t="n">
        <f aca="false">O45</f>
        <v>0</v>
      </c>
      <c r="AA45" s="159"/>
      <c r="AB45" s="159"/>
      <c r="AC45" s="159"/>
      <c r="AD45" s="421" t="n">
        <f aca="false">SUM(AA45:AC45)</f>
        <v>0</v>
      </c>
      <c r="AE45" s="160"/>
      <c r="AF45" s="159" t="n">
        <f aca="false">SUM(AD45:AE45)</f>
        <v>0</v>
      </c>
    </row>
    <row r="46" customFormat="false" ht="11.25" hidden="false" customHeight="true" outlineLevel="0" collapsed="false">
      <c r="C46" s="51" t="str">
        <f aca="false">+'Lead NA'!C211</f>
        <v>Passive latente Steuern</v>
      </c>
      <c r="D46" s="51" t="str">
        <f aca="false">+'Lead NA'!D211</f>
        <v>Deferred tax liabilities</v>
      </c>
      <c r="E46" s="159"/>
      <c r="F46" s="159"/>
      <c r="G46" s="159"/>
      <c r="H46" s="421" t="n">
        <f aca="false">SUM(E46:G46)</f>
        <v>0</v>
      </c>
      <c r="I46" s="160"/>
      <c r="J46" s="159" t="n">
        <f aca="false">SUM(H46:I46)</f>
        <v>0</v>
      </c>
      <c r="L46" s="301"/>
      <c r="N46" s="51" t="str">
        <f aca="false">C46</f>
        <v>Passive latente Steuern</v>
      </c>
      <c r="O46" s="51" t="str">
        <f aca="false">D46</f>
        <v>Deferred tax liabilities</v>
      </c>
      <c r="P46" s="159"/>
      <c r="Q46" s="159"/>
      <c r="R46" s="159"/>
      <c r="S46" s="421" t="n">
        <f aca="false">SUM(P46:R46)</f>
        <v>0</v>
      </c>
      <c r="T46" s="160"/>
      <c r="U46" s="159" t="n">
        <f aca="false">SUM(S46:T46)</f>
        <v>0</v>
      </c>
      <c r="W46" s="301"/>
      <c r="Y46" s="51" t="str">
        <f aca="false">N46</f>
        <v>Passive latente Steuern</v>
      </c>
      <c r="Z46" s="51" t="str">
        <f aca="false">O46</f>
        <v>Deferred tax liabilities</v>
      </c>
      <c r="AA46" s="159"/>
      <c r="AB46" s="159"/>
      <c r="AC46" s="159"/>
      <c r="AD46" s="421" t="n">
        <f aca="false">SUM(AA46:AC46)</f>
        <v>0</v>
      </c>
      <c r="AE46" s="160"/>
      <c r="AF46" s="159" t="n">
        <f aca="false">SUM(AD46:AE46)</f>
        <v>0</v>
      </c>
    </row>
    <row r="47" customFormat="false" ht="11.25" hidden="true" customHeight="true" outlineLevel="2" collapsed="false">
      <c r="C47" s="51" t="str">
        <f aca="false">+'Lead NA'!C220</f>
        <v>Dummy 1</v>
      </c>
      <c r="D47" s="51" t="str">
        <f aca="false">+'Lead NA'!D220</f>
        <v>Dummy 1</v>
      </c>
      <c r="E47" s="159"/>
      <c r="F47" s="159"/>
      <c r="G47" s="159"/>
      <c r="H47" s="421" t="n">
        <f aca="false">SUM(E47:G47)</f>
        <v>0</v>
      </c>
      <c r="I47" s="160"/>
      <c r="J47" s="159" t="n">
        <f aca="false">SUM(H47:I47)</f>
        <v>0</v>
      </c>
      <c r="L47" s="301"/>
      <c r="N47" s="51" t="str">
        <f aca="false">C47</f>
        <v>Dummy 1</v>
      </c>
      <c r="O47" s="51" t="str">
        <f aca="false">D47</f>
        <v>Dummy 1</v>
      </c>
      <c r="P47" s="159"/>
      <c r="Q47" s="159"/>
      <c r="R47" s="159"/>
      <c r="S47" s="421" t="n">
        <f aca="false">SUM(P47:R47)</f>
        <v>0</v>
      </c>
      <c r="T47" s="160"/>
      <c r="U47" s="159" t="n">
        <f aca="false">SUM(S47:T47)</f>
        <v>0</v>
      </c>
      <c r="W47" s="301"/>
      <c r="Y47" s="51" t="str">
        <f aca="false">N47</f>
        <v>Dummy 1</v>
      </c>
      <c r="Z47" s="51" t="str">
        <f aca="false">O47</f>
        <v>Dummy 1</v>
      </c>
      <c r="AA47" s="159"/>
      <c r="AB47" s="159"/>
      <c r="AC47" s="159"/>
      <c r="AD47" s="421" t="n">
        <f aca="false">SUM(AA47:AC47)</f>
        <v>0</v>
      </c>
      <c r="AE47" s="160"/>
      <c r="AF47" s="159" t="n">
        <f aca="false">SUM(AD47:AE47)</f>
        <v>0</v>
      </c>
    </row>
    <row r="48" customFormat="false" ht="11.25" hidden="true" customHeight="true" outlineLevel="2" collapsed="false">
      <c r="C48" s="51" t="str">
        <f aca="false">+'Lead NA'!C221</f>
        <v>Dummy 2</v>
      </c>
      <c r="D48" s="51" t="str">
        <f aca="false">+'Lead NA'!D221</f>
        <v>Dummy 2</v>
      </c>
      <c r="E48" s="159"/>
      <c r="F48" s="159"/>
      <c r="G48" s="159"/>
      <c r="H48" s="421" t="n">
        <f aca="false">SUM(E48:G48)</f>
        <v>0</v>
      </c>
      <c r="I48" s="160"/>
      <c r="J48" s="159" t="n">
        <f aca="false">SUM(H48:I48)</f>
        <v>0</v>
      </c>
      <c r="L48" s="301"/>
      <c r="N48" s="51" t="str">
        <f aca="false">C48</f>
        <v>Dummy 2</v>
      </c>
      <c r="O48" s="51" t="str">
        <f aca="false">D48</f>
        <v>Dummy 2</v>
      </c>
      <c r="P48" s="159"/>
      <c r="Q48" s="159"/>
      <c r="R48" s="159"/>
      <c r="S48" s="421" t="n">
        <f aca="false">SUM(P48:R48)</f>
        <v>0</v>
      </c>
      <c r="T48" s="160"/>
      <c r="U48" s="159" t="n">
        <f aca="false">SUM(S48:T48)</f>
        <v>0</v>
      </c>
      <c r="W48" s="301"/>
      <c r="Y48" s="51" t="str">
        <f aca="false">N48</f>
        <v>Dummy 2</v>
      </c>
      <c r="Z48" s="51" t="str">
        <f aca="false">O48</f>
        <v>Dummy 2</v>
      </c>
      <c r="AA48" s="159"/>
      <c r="AB48" s="159"/>
      <c r="AC48" s="159"/>
      <c r="AD48" s="421" t="n">
        <f aca="false">SUM(AA48:AC48)</f>
        <v>0</v>
      </c>
      <c r="AE48" s="160"/>
      <c r="AF48" s="159" t="n">
        <f aca="false">SUM(AD48:AE48)</f>
        <v>0</v>
      </c>
    </row>
    <row r="49" customFormat="false" ht="11.25" hidden="true" customHeight="true" outlineLevel="2" collapsed="false">
      <c r="C49" s="51" t="str">
        <f aca="false">+'Lead NA'!C222</f>
        <v>Dummy 3</v>
      </c>
      <c r="D49" s="51" t="str">
        <f aca="false">+'Lead NA'!D222</f>
        <v>Dummy 3</v>
      </c>
      <c r="E49" s="159"/>
      <c r="F49" s="159"/>
      <c r="G49" s="159"/>
      <c r="H49" s="421" t="n">
        <f aca="false">SUM(E49:G49)</f>
        <v>0</v>
      </c>
      <c r="I49" s="160"/>
      <c r="J49" s="159" t="n">
        <f aca="false">SUM(H49:I49)</f>
        <v>0</v>
      </c>
      <c r="L49" s="301"/>
      <c r="N49" s="51" t="str">
        <f aca="false">C49</f>
        <v>Dummy 3</v>
      </c>
      <c r="O49" s="51" t="str">
        <f aca="false">D49</f>
        <v>Dummy 3</v>
      </c>
      <c r="P49" s="159"/>
      <c r="Q49" s="159"/>
      <c r="R49" s="159"/>
      <c r="S49" s="421" t="n">
        <f aca="false">SUM(P49:R49)</f>
        <v>0</v>
      </c>
      <c r="T49" s="160"/>
      <c r="U49" s="159" t="n">
        <f aca="false">SUM(S49:T49)</f>
        <v>0</v>
      </c>
      <c r="W49" s="301"/>
      <c r="Y49" s="51" t="str">
        <f aca="false">N49</f>
        <v>Dummy 3</v>
      </c>
      <c r="Z49" s="51" t="str">
        <f aca="false">O49</f>
        <v>Dummy 3</v>
      </c>
      <c r="AA49" s="159"/>
      <c r="AB49" s="159"/>
      <c r="AC49" s="159"/>
      <c r="AD49" s="421" t="n">
        <f aca="false">SUM(AA49:AC49)</f>
        <v>0</v>
      </c>
      <c r="AE49" s="160"/>
      <c r="AF49" s="159" t="n">
        <f aca="false">SUM(AD49:AE49)</f>
        <v>0</v>
      </c>
    </row>
    <row r="50" customFormat="false" ht="11.25" hidden="false" customHeight="true" outlineLevel="0" collapsed="false">
      <c r="C50" s="171" t="str">
        <f aca="false">+'Lead NA'!C223</f>
        <v>Nettovermögen (Eigenkapital)</v>
      </c>
      <c r="D50" s="181" t="str">
        <f aca="false">+'Lead NA'!D223</f>
        <v>Net assets (Equity)</v>
      </c>
      <c r="E50" s="182" t="n">
        <f aca="false">SUM(E45:E49)+E44+E38+E17</f>
        <v>0</v>
      </c>
      <c r="F50" s="182" t="n">
        <f aca="false">SUM(F45:F49)+F44+F38+F17</f>
        <v>0</v>
      </c>
      <c r="G50" s="182" t="n">
        <f aca="false">SUM(G45:G49)+G44+G38+G17</f>
        <v>0</v>
      </c>
      <c r="H50" s="441" t="n">
        <f aca="false">SUM(H45:H49)+H44+H38+H17</f>
        <v>0</v>
      </c>
      <c r="I50" s="183" t="n">
        <f aca="false">SUM(I45:I49)+I44+I38+I17</f>
        <v>0</v>
      </c>
      <c r="J50" s="182" t="n">
        <f aca="false">SUM(H50:I50)</f>
        <v>0</v>
      </c>
      <c r="L50" s="301"/>
      <c r="N50" s="171" t="str">
        <f aca="false">C50</f>
        <v>Nettovermögen (Eigenkapital)</v>
      </c>
      <c r="O50" s="181" t="str">
        <f aca="false">D50</f>
        <v>Net assets (Equity)</v>
      </c>
      <c r="P50" s="182" t="n">
        <f aca="false">SUM(P45:P49)+P44+P38+P17</f>
        <v>0</v>
      </c>
      <c r="Q50" s="182" t="n">
        <f aca="false">SUM(Q45:Q49)+Q44+Q38+Q17</f>
        <v>0</v>
      </c>
      <c r="R50" s="182" t="n">
        <f aca="false">SUM(R45:R49)+R44+R38+R17</f>
        <v>0</v>
      </c>
      <c r="S50" s="441" t="n">
        <f aca="false">SUM(S45:S49)+S44+S38+S17</f>
        <v>0</v>
      </c>
      <c r="T50" s="183" t="n">
        <f aca="false">SUM(T45:T49)+T44+T38+T17</f>
        <v>0</v>
      </c>
      <c r="U50" s="182" t="n">
        <f aca="false">SUM(S50:T50)</f>
        <v>0</v>
      </c>
      <c r="W50" s="301"/>
      <c r="Y50" s="171" t="str">
        <f aca="false">N50</f>
        <v>Nettovermögen (Eigenkapital)</v>
      </c>
      <c r="Z50" s="181" t="str">
        <f aca="false">O50</f>
        <v>Net assets (Equity)</v>
      </c>
      <c r="AA50" s="182" t="n">
        <f aca="false">SUM(AA45:AA49)+AA44+AA38+AA17</f>
        <v>0</v>
      </c>
      <c r="AB50" s="182" t="n">
        <f aca="false">SUM(AB45:AB49)+AB44+AB38+AB17</f>
        <v>0</v>
      </c>
      <c r="AC50" s="182" t="n">
        <f aca="false">SUM(AC45:AC49)+AC44+AC38+AC17</f>
        <v>0</v>
      </c>
      <c r="AD50" s="441" t="n">
        <f aca="false">SUM(AD45:AD49)+AD44+AD38+AD17</f>
        <v>0</v>
      </c>
      <c r="AE50" s="183" t="n">
        <f aca="false">SUM(AE45:AE49)+AE44+AE38+AE17</f>
        <v>0</v>
      </c>
      <c r="AF50" s="182" t="n">
        <f aca="false">SUM(AD50:AE50)</f>
        <v>0</v>
      </c>
    </row>
    <row r="51" customFormat="false" ht="4.5" hidden="false" customHeight="true" outlineLevel="0" collapsed="false">
      <c r="C51" s="51"/>
      <c r="D51" s="51"/>
      <c r="E51" s="159"/>
      <c r="F51" s="159"/>
      <c r="G51" s="159"/>
      <c r="H51" s="421"/>
      <c r="I51" s="160"/>
      <c r="J51" s="159"/>
      <c r="L51" s="301"/>
      <c r="N51" s="51"/>
      <c r="O51" s="51"/>
      <c r="P51" s="159"/>
      <c r="Q51" s="159"/>
      <c r="R51" s="159"/>
      <c r="S51" s="421"/>
      <c r="T51" s="160"/>
      <c r="U51" s="159"/>
      <c r="W51" s="301"/>
      <c r="Y51" s="51"/>
      <c r="Z51" s="51"/>
      <c r="AA51" s="159"/>
      <c r="AB51" s="159"/>
      <c r="AC51" s="159"/>
      <c r="AD51" s="421"/>
      <c r="AE51" s="160"/>
      <c r="AF51" s="159"/>
    </row>
    <row r="52" customFormat="false" ht="11.25" hidden="false" customHeight="true" outlineLevel="0" collapsed="false">
      <c r="C52" s="54" t="str">
        <f aca="false">"Quelle: "&amp;Cockpit!$C$7</f>
        <v>Quelle: Datenraum/ eigene Analysen</v>
      </c>
      <c r="D52" s="54" t="str">
        <f aca="false">"Source: "&amp;Cockpit!$C$8</f>
        <v>Source: Virtual Data Room/ Company Information</v>
      </c>
      <c r="E52" s="162"/>
      <c r="F52" s="162"/>
      <c r="G52" s="162"/>
      <c r="H52" s="191"/>
      <c r="I52" s="190"/>
      <c r="J52" s="162"/>
      <c r="L52" s="301"/>
      <c r="N52" s="54" t="str">
        <f aca="false">"Quelle: "&amp;Cockpit!$C$7</f>
        <v>Quelle: Datenraum/ eigene Analysen</v>
      </c>
      <c r="O52" s="54" t="str">
        <f aca="false">"Source: "&amp;Cockpit!$C$8</f>
        <v>Source: Virtual Data Room/ Company Information</v>
      </c>
      <c r="P52" s="162"/>
      <c r="Q52" s="162"/>
      <c r="R52" s="162"/>
      <c r="S52" s="191"/>
      <c r="T52" s="190"/>
      <c r="U52" s="162"/>
      <c r="W52" s="301"/>
      <c r="Y52" s="54" t="str">
        <f aca="false">"Quelle: "&amp;Cockpit!$C$7</f>
        <v>Quelle: Datenraum/ eigene Analysen</v>
      </c>
      <c r="Z52" s="54" t="str">
        <f aca="false">"Source: "&amp;Cockpit!$C$8</f>
        <v>Source: Virtual Data Room/ Company Information</v>
      </c>
      <c r="AA52" s="162"/>
      <c r="AB52" s="162"/>
      <c r="AC52" s="162"/>
      <c r="AD52" s="191"/>
      <c r="AE52" s="190"/>
      <c r="AF52" s="162"/>
    </row>
    <row r="53" customFormat="false" ht="11.25" hidden="false" customHeight="true" outlineLevel="0" collapsed="false">
      <c r="C53" s="301"/>
      <c r="D53" s="301"/>
      <c r="E53" s="301"/>
      <c r="F53" s="301"/>
      <c r="G53" s="301"/>
      <c r="H53" s="301"/>
      <c r="I53" s="301"/>
      <c r="J53" s="301"/>
      <c r="L53" s="301"/>
      <c r="N53" s="301"/>
      <c r="O53" s="301"/>
      <c r="P53" s="301"/>
      <c r="Q53" s="301"/>
      <c r="R53" s="301"/>
      <c r="S53" s="301"/>
      <c r="T53" s="301"/>
      <c r="U53" s="301"/>
      <c r="W53" s="301"/>
      <c r="Y53" s="301"/>
      <c r="Z53" s="301"/>
      <c r="AA53" s="301"/>
      <c r="AB53" s="301"/>
      <c r="AC53" s="301"/>
      <c r="AD53" s="301"/>
      <c r="AE53" s="301"/>
      <c r="AF53" s="301"/>
    </row>
    <row r="55" customFormat="false" ht="11.25" hidden="false" customHeight="true" outlineLevel="0" collapsed="false">
      <c r="C55" s="151" t="s">
        <v>469</v>
      </c>
      <c r="D55" s="151" t="s">
        <v>937</v>
      </c>
      <c r="E55" s="152"/>
      <c r="F55" s="152"/>
      <c r="G55" s="152"/>
      <c r="H55" s="152"/>
      <c r="I55" s="152"/>
      <c r="J55" s="152"/>
      <c r="O55" s="151" t="s">
        <v>937</v>
      </c>
      <c r="P55" s="152"/>
      <c r="Q55" s="152"/>
      <c r="R55" s="152"/>
      <c r="S55" s="152"/>
      <c r="T55" s="152"/>
      <c r="U55" s="152"/>
      <c r="Z55" s="151" t="s">
        <v>937</v>
      </c>
      <c r="AA55" s="152"/>
      <c r="AB55" s="152"/>
      <c r="AC55" s="152"/>
      <c r="AD55" s="152"/>
      <c r="AE55" s="152"/>
      <c r="AF55" s="152"/>
    </row>
    <row r="56" customFormat="false" ht="11.25" hidden="false" customHeight="true" outlineLevel="0" collapsed="false">
      <c r="C56" s="153" t="s">
        <v>245</v>
      </c>
      <c r="D56" s="154" t="s">
        <v>245</v>
      </c>
      <c r="E56" s="155" t="n">
        <f aca="false">E55-E50</f>
        <v>0</v>
      </c>
      <c r="F56" s="155" t="n">
        <f aca="false">F55-F50</f>
        <v>0</v>
      </c>
      <c r="G56" s="155" t="n">
        <f aca="false">G55-G50</f>
        <v>0</v>
      </c>
      <c r="H56" s="155" t="n">
        <f aca="false">H55-H50</f>
        <v>0</v>
      </c>
      <c r="I56" s="155" t="n">
        <f aca="false">I55-I50</f>
        <v>0</v>
      </c>
      <c r="J56" s="155" t="n">
        <f aca="false">J55-J50</f>
        <v>0</v>
      </c>
      <c r="O56" s="154" t="s">
        <v>245</v>
      </c>
      <c r="P56" s="155" t="n">
        <f aca="false">P55-P50</f>
        <v>0</v>
      </c>
      <c r="Q56" s="155" t="n">
        <f aca="false">Q55-Q50</f>
        <v>0</v>
      </c>
      <c r="R56" s="155" t="n">
        <f aca="false">R55-R50</f>
        <v>0</v>
      </c>
      <c r="S56" s="155" t="n">
        <f aca="false">S55-S50</f>
        <v>0</v>
      </c>
      <c r="T56" s="155" t="n">
        <f aca="false">T55-T50</f>
        <v>0</v>
      </c>
      <c r="U56" s="155" t="n">
        <f aca="false">U55-U50</f>
        <v>0</v>
      </c>
      <c r="Z56" s="154" t="s">
        <v>245</v>
      </c>
      <c r="AA56" s="155" t="n">
        <f aca="false">AA55-AA50</f>
        <v>0</v>
      </c>
      <c r="AB56" s="155" t="n">
        <f aca="false">AB55-AB50</f>
        <v>0</v>
      </c>
      <c r="AC56" s="155" t="n">
        <f aca="false">AC55-AC50</f>
        <v>0</v>
      </c>
      <c r="AD56" s="155" t="n">
        <f aca="false">AD55-AD50</f>
        <v>0</v>
      </c>
      <c r="AE56" s="155" t="n">
        <f aca="false">AE55-AE50</f>
        <v>0</v>
      </c>
      <c r="AF56" s="155" t="n">
        <f aca="false">AF55-AF50</f>
        <v>0</v>
      </c>
    </row>
  </sheetData>
  <mergeCells count="12">
    <mergeCell ref="E4:G4"/>
    <mergeCell ref="P4:R4"/>
    <mergeCell ref="AA4:AC4"/>
    <mergeCell ref="E5:G5"/>
    <mergeCell ref="P5:R5"/>
    <mergeCell ref="AA5:AC5"/>
    <mergeCell ref="E7:G7"/>
    <mergeCell ref="P7:R7"/>
    <mergeCell ref="AA7:AC7"/>
    <mergeCell ref="E8:G8"/>
    <mergeCell ref="P8:R8"/>
    <mergeCell ref="AA8:AC8"/>
  </mergeCells>
  <conditionalFormatting sqref="AA56:AF56">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conditionalFormatting sqref="P56:U56">
    <cfRule type="cellIs" priority="5" operator="between" aboveAverage="0" equalAverage="0" bottom="0" percent="0" rank="0" text="" dxfId="2">
      <formula>-1</formula>
      <formula>1</formula>
    </cfRule>
    <cfRule type="cellIs" priority="6" operator="lessThan" aboveAverage="0" equalAverage="0" bottom="0" percent="0" rank="0" text="" dxfId="0">
      <formula>-1</formula>
    </cfRule>
    <cfRule type="cellIs" priority="7" operator="greaterThan" aboveAverage="0" equalAverage="0" bottom="0" percent="0" rank="0" text="" dxfId="0">
      <formula>1</formula>
    </cfRule>
  </conditionalFormatting>
  <conditionalFormatting sqref="E56:J56">
    <cfRule type="cellIs" priority="8" operator="between" aboveAverage="0" equalAverage="0" bottom="0" percent="0" rank="0" text="" dxfId="2">
      <formula>-1</formula>
      <formula>1</formula>
    </cfRule>
    <cfRule type="cellIs" priority="9" operator="lessThan" aboveAverage="0" equalAverage="0" bottom="0" percent="0" rank="0" text="" dxfId="0">
      <formula>-1</formula>
    </cfRule>
    <cfRule type="cellIs" priority="10"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B1:AG49"/>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O60" activeCellId="0" sqref="O60"/>
    </sheetView>
  </sheetViews>
  <sheetFormatPr defaultColWidth="11.2890625" defaultRowHeight="12" zeroHeight="false" outlineLevelRow="3" outlineLevelCol="2"/>
  <cols>
    <col collapsed="false" customWidth="false" hidden="false" outlineLevel="0" max="1" min="1" style="1" width="11.29"/>
    <col collapsed="false" customWidth="true" hidden="true" outlineLevel="2" max="2" min="2" style="1" width="0.86"/>
    <col collapsed="false" customWidth="true" hidden="true" outlineLevel="2" max="3" min="3" style="1" width="35.57"/>
    <col collapsed="false" customWidth="true" hidden="false" outlineLevel="0" max="4" min="4" style="1" width="35.57"/>
    <col collapsed="false" customWidth="true" hidden="false" outlineLevel="0" max="7" min="5" style="1" width="9.42"/>
    <col collapsed="false" customWidth="true" hidden="false" outlineLevel="0" max="9" min="8" style="1" width="13.29"/>
    <col collapsed="false" customWidth="true" hidden="false" outlineLevel="0" max="10" min="10" style="1" width="9.42"/>
    <col collapsed="false" customWidth="true" hidden="true" outlineLevel="2" max="11" min="11" style="1" width="0.86"/>
    <col collapsed="false" customWidth="false" hidden="false" outlineLevel="0" max="12" min="12" style="1" width="11.29"/>
    <col collapsed="false" customWidth="true" hidden="true" outlineLevel="2" max="13" min="13" style="1" width="0.86"/>
    <col collapsed="false" customWidth="true" hidden="true" outlineLevel="2" max="14" min="14" style="1" width="35.57"/>
    <col collapsed="false" customWidth="true" hidden="false" outlineLevel="0" max="15" min="15" style="1" width="35.57"/>
    <col collapsed="false" customWidth="true" hidden="false" outlineLevel="0" max="18" min="16" style="1" width="9.42"/>
    <col collapsed="false" customWidth="true" hidden="false" outlineLevel="0" max="20" min="19" style="1" width="13.29"/>
    <col collapsed="false" customWidth="true" hidden="false" outlineLevel="0" max="21" min="21" style="1" width="9.42"/>
    <col collapsed="false" customWidth="true" hidden="true" outlineLevel="2" max="22" min="22" style="1" width="0.86"/>
    <col collapsed="false" customWidth="false" hidden="false" outlineLevel="0" max="23" min="23" style="1" width="11.29"/>
    <col collapsed="false" customWidth="true" hidden="true" outlineLevel="2" max="24" min="24" style="1" width="0.86"/>
    <col collapsed="false" customWidth="true" hidden="true" outlineLevel="2" max="25" min="25" style="1" width="35.57"/>
    <col collapsed="false" customWidth="true" hidden="false" outlineLevel="0" max="26" min="26" style="1" width="35.57"/>
    <col collapsed="false" customWidth="true" hidden="false" outlineLevel="0" max="29" min="27" style="1" width="9.42"/>
    <col collapsed="false" customWidth="true" hidden="false" outlineLevel="0" max="31" min="30" style="1" width="13.29"/>
    <col collapsed="false" customWidth="true" hidden="false" outlineLevel="0" max="32" min="32" style="1" width="9.42"/>
    <col collapsed="false" customWidth="true" hidden="true" outlineLevel="2" max="33" min="33" style="1" width="0.86"/>
    <col collapsed="false" customWidth="false" hidden="false" outlineLevel="0" max="16384" min="34" style="1" width="11.29"/>
  </cols>
  <sheetData>
    <row r="1" customFormat="false" ht="12" hidden="true" customHeight="true" outlineLevel="3" collapsed="false"/>
    <row r="3" customFormat="false" ht="11.25" hidden="false" customHeight="true" outlineLevel="0" collapsed="false">
      <c r="B3" s="301"/>
      <c r="K3" s="301"/>
      <c r="M3" s="301"/>
      <c r="V3" s="301"/>
      <c r="X3" s="301"/>
      <c r="AG3" s="301"/>
    </row>
    <row r="4" customFormat="false" ht="11.25" hidden="true" customHeight="true" outlineLevel="3" collapsed="false">
      <c r="B4" s="301"/>
      <c r="C4" s="220" t="str">
        <f aca="false">Cockpit!$C$4</f>
        <v>Template</v>
      </c>
      <c r="D4" s="220"/>
      <c r="E4" s="221" t="n">
        <f aca="false">'Lead PL'!F4</f>
        <v>44926</v>
      </c>
      <c r="F4" s="221"/>
      <c r="G4" s="221"/>
      <c r="H4" s="221"/>
      <c r="I4" s="221"/>
      <c r="J4" s="221" t="n">
        <f aca="false">E4</f>
        <v>44926</v>
      </c>
      <c r="K4" s="301"/>
      <c r="M4" s="301"/>
      <c r="N4" s="220" t="str">
        <f aca="false">Cockpit!$C$4</f>
        <v>Template</v>
      </c>
      <c r="O4" s="220"/>
      <c r="P4" s="221" t="n">
        <f aca="false">'Lead PL'!G4</f>
        <v>45291</v>
      </c>
      <c r="Q4" s="221"/>
      <c r="R4" s="221"/>
      <c r="S4" s="221"/>
      <c r="T4" s="221"/>
      <c r="U4" s="221" t="n">
        <f aca="false">P4</f>
        <v>45291</v>
      </c>
      <c r="V4" s="301"/>
      <c r="X4" s="301"/>
      <c r="Y4" s="220" t="str">
        <f aca="false">Cockpit!$C$4</f>
        <v>Template</v>
      </c>
      <c r="Z4" s="220"/>
      <c r="AA4" s="221" t="n">
        <f aca="false">'Lead PL'!H4</f>
        <v>45657</v>
      </c>
      <c r="AB4" s="221"/>
      <c r="AC4" s="221"/>
      <c r="AD4" s="221"/>
      <c r="AE4" s="221"/>
      <c r="AF4" s="221" t="n">
        <f aca="false">AA4</f>
        <v>45657</v>
      </c>
      <c r="AG4" s="301"/>
    </row>
    <row r="5" customFormat="false" ht="11.25" hidden="true" customHeight="true" outlineLevel="3" collapsed="false">
      <c r="B5" s="301"/>
      <c r="C5" s="220"/>
      <c r="D5" s="220"/>
      <c r="E5" s="221" t="str">
        <f aca="false">'Lead PL'!F5</f>
        <v>IST</v>
      </c>
      <c r="F5" s="221"/>
      <c r="G5" s="221"/>
      <c r="H5" s="221"/>
      <c r="I5" s="221"/>
      <c r="J5" s="221" t="str">
        <f aca="false">E5</f>
        <v>IST</v>
      </c>
      <c r="K5" s="301"/>
      <c r="M5" s="301"/>
      <c r="N5" s="220"/>
      <c r="O5" s="220"/>
      <c r="P5" s="221" t="str">
        <f aca="false">'Lead PL'!G5</f>
        <v>IST</v>
      </c>
      <c r="Q5" s="221"/>
      <c r="R5" s="221"/>
      <c r="S5" s="221"/>
      <c r="T5" s="221"/>
      <c r="U5" s="221" t="str">
        <f aca="false">P5</f>
        <v>IST</v>
      </c>
      <c r="V5" s="301"/>
      <c r="X5" s="301"/>
      <c r="Y5" s="220"/>
      <c r="Z5" s="220"/>
      <c r="AA5" s="221" t="str">
        <f aca="false">'Lead PL'!H5</f>
        <v>IST</v>
      </c>
      <c r="AB5" s="221"/>
      <c r="AC5" s="221"/>
      <c r="AD5" s="221"/>
      <c r="AE5" s="221"/>
      <c r="AF5" s="221" t="str">
        <f aca="false">AA5</f>
        <v>IST</v>
      </c>
      <c r="AG5" s="301"/>
    </row>
    <row r="6" customFormat="false" ht="11.25" hidden="true" customHeight="true" outlineLevel="3" collapsed="false">
      <c r="B6" s="301"/>
      <c r="C6" s="220" t="str">
        <f aca="false">"in T"&amp;Cockpit!$C$5</f>
        <v>in TEUR</v>
      </c>
      <c r="D6" s="220"/>
      <c r="E6" s="221" t="s">
        <v>58</v>
      </c>
      <c r="F6" s="221" t="s">
        <v>73</v>
      </c>
      <c r="G6" s="221" t="s">
        <v>74</v>
      </c>
      <c r="H6" s="221" t="s">
        <v>930</v>
      </c>
      <c r="I6" s="221" t="s">
        <v>931</v>
      </c>
      <c r="J6" s="221" t="s">
        <v>932</v>
      </c>
      <c r="K6" s="301"/>
      <c r="M6" s="301"/>
      <c r="N6" s="220" t="str">
        <f aca="false">"in T"&amp;Cockpit!$C$5</f>
        <v>in TEUR</v>
      </c>
      <c r="O6" s="220"/>
      <c r="P6" s="221" t="s">
        <v>58</v>
      </c>
      <c r="Q6" s="221" t="s">
        <v>73</v>
      </c>
      <c r="R6" s="221" t="s">
        <v>74</v>
      </c>
      <c r="S6" s="221" t="s">
        <v>930</v>
      </c>
      <c r="T6" s="221" t="s">
        <v>931</v>
      </c>
      <c r="U6" s="221" t="s">
        <v>932</v>
      </c>
      <c r="V6" s="301"/>
      <c r="X6" s="301"/>
      <c r="Y6" s="220" t="str">
        <f aca="false">"in T"&amp;Cockpit!$C$5</f>
        <v>in TEUR</v>
      </c>
      <c r="Z6" s="220"/>
      <c r="AA6" s="221" t="s">
        <v>58</v>
      </c>
      <c r="AB6" s="221" t="s">
        <v>73</v>
      </c>
      <c r="AC6" s="221" t="s">
        <v>74</v>
      </c>
      <c r="AD6" s="221" t="s">
        <v>930</v>
      </c>
      <c r="AE6" s="221" t="s">
        <v>931</v>
      </c>
      <c r="AF6" s="221" t="s">
        <v>932</v>
      </c>
      <c r="AG6" s="301"/>
    </row>
    <row r="7" customFormat="false" ht="11.25" hidden="false" customHeight="true" outlineLevel="0" collapsed="false">
      <c r="B7" s="301"/>
      <c r="C7" s="228"/>
      <c r="D7" s="228" t="str">
        <f aca="false">Cockpit!$C$4</f>
        <v>Template</v>
      </c>
      <c r="E7" s="227" t="n">
        <f aca="false">'Lead PL'!F6</f>
        <v>44926</v>
      </c>
      <c r="F7" s="227"/>
      <c r="G7" s="227"/>
      <c r="H7" s="227"/>
      <c r="I7" s="227"/>
      <c r="J7" s="227" t="n">
        <f aca="false">E7</f>
        <v>44926</v>
      </c>
      <c r="K7" s="301"/>
      <c r="M7" s="301"/>
      <c r="N7" s="228"/>
      <c r="O7" s="228" t="str">
        <f aca="false">Cockpit!$C$4</f>
        <v>Template</v>
      </c>
      <c r="P7" s="227" t="n">
        <f aca="false">'Lead PL'!G6</f>
        <v>45291</v>
      </c>
      <c r="Q7" s="227"/>
      <c r="R7" s="227"/>
      <c r="S7" s="227"/>
      <c r="T7" s="227"/>
      <c r="U7" s="227" t="n">
        <f aca="false">P7</f>
        <v>45291</v>
      </c>
      <c r="V7" s="301"/>
      <c r="X7" s="301"/>
      <c r="Y7" s="228"/>
      <c r="Z7" s="228" t="str">
        <f aca="false">Cockpit!$C$4</f>
        <v>Template</v>
      </c>
      <c r="AA7" s="227" t="n">
        <f aca="false">'Lead PL'!H6</f>
        <v>45657</v>
      </c>
      <c r="AB7" s="227"/>
      <c r="AC7" s="227"/>
      <c r="AD7" s="227"/>
      <c r="AE7" s="227"/>
      <c r="AF7" s="227" t="n">
        <f aca="false">AA7</f>
        <v>45657</v>
      </c>
      <c r="AG7" s="301"/>
    </row>
    <row r="8" customFormat="false" ht="11.25" hidden="false" customHeight="true" outlineLevel="0" collapsed="false">
      <c r="B8" s="301"/>
      <c r="C8" s="228"/>
      <c r="D8" s="228"/>
      <c r="E8" s="227" t="str">
        <f aca="false">'Lead PL'!F7</f>
        <v>IST</v>
      </c>
      <c r="F8" s="227"/>
      <c r="G8" s="227"/>
      <c r="H8" s="227"/>
      <c r="I8" s="227"/>
      <c r="J8" s="227" t="str">
        <f aca="false">E8</f>
        <v>IST</v>
      </c>
      <c r="K8" s="301"/>
      <c r="M8" s="301"/>
      <c r="N8" s="228"/>
      <c r="O8" s="228"/>
      <c r="P8" s="227" t="str">
        <f aca="false">'Lead PL'!G7</f>
        <v>IST</v>
      </c>
      <c r="Q8" s="227"/>
      <c r="R8" s="227"/>
      <c r="S8" s="227"/>
      <c r="T8" s="227"/>
      <c r="U8" s="227" t="str">
        <f aca="false">P8</f>
        <v>IST</v>
      </c>
      <c r="V8" s="301"/>
      <c r="X8" s="301"/>
      <c r="Y8" s="228"/>
      <c r="Z8" s="228"/>
      <c r="AA8" s="227" t="str">
        <f aca="false">'Lead PL'!H7</f>
        <v>IST</v>
      </c>
      <c r="AB8" s="227"/>
      <c r="AC8" s="227"/>
      <c r="AD8" s="227"/>
      <c r="AE8" s="227"/>
      <c r="AF8" s="227" t="str">
        <f aca="false">AA8</f>
        <v>IST</v>
      </c>
      <c r="AG8" s="301"/>
    </row>
    <row r="9" customFormat="false" ht="11.25" hidden="false" customHeight="true" outlineLevel="0" collapsed="false">
      <c r="B9" s="301"/>
      <c r="C9" s="228"/>
      <c r="D9" s="228" t="str">
        <f aca="false">"in k"&amp;Cockpit!$C$5</f>
        <v>in kEUR</v>
      </c>
      <c r="E9" s="227" t="s">
        <v>58</v>
      </c>
      <c r="F9" s="227" t="s">
        <v>73</v>
      </c>
      <c r="G9" s="227" t="s">
        <v>74</v>
      </c>
      <c r="H9" s="227" t="s">
        <v>933</v>
      </c>
      <c r="I9" s="227" t="s">
        <v>934</v>
      </c>
      <c r="J9" s="227" t="s">
        <v>935</v>
      </c>
      <c r="K9" s="301"/>
      <c r="M9" s="301"/>
      <c r="N9" s="228"/>
      <c r="O9" s="228" t="str">
        <f aca="false">"in k"&amp;Cockpit!$C$5</f>
        <v>in kEUR</v>
      </c>
      <c r="P9" s="227" t="s">
        <v>58</v>
      </c>
      <c r="Q9" s="227" t="s">
        <v>73</v>
      </c>
      <c r="R9" s="227" t="s">
        <v>74</v>
      </c>
      <c r="S9" s="227" t="s">
        <v>933</v>
      </c>
      <c r="T9" s="227" t="s">
        <v>934</v>
      </c>
      <c r="U9" s="227" t="s">
        <v>935</v>
      </c>
      <c r="V9" s="301"/>
      <c r="X9" s="301"/>
      <c r="Y9" s="228"/>
      <c r="Z9" s="228" t="str">
        <f aca="false">"in k"&amp;Cockpit!$C$5</f>
        <v>in kEUR</v>
      </c>
      <c r="AA9" s="227" t="s">
        <v>58</v>
      </c>
      <c r="AB9" s="227" t="s">
        <v>73</v>
      </c>
      <c r="AC9" s="227" t="s">
        <v>74</v>
      </c>
      <c r="AD9" s="227" t="s">
        <v>933</v>
      </c>
      <c r="AE9" s="227" t="s">
        <v>934</v>
      </c>
      <c r="AF9" s="227" t="s">
        <v>935</v>
      </c>
      <c r="AG9" s="301"/>
    </row>
    <row r="10" customFormat="false" ht="4.5" hidden="false" customHeight="true" outlineLevel="0" collapsed="false">
      <c r="B10" s="301"/>
      <c r="C10" s="51"/>
      <c r="D10" s="51"/>
      <c r="E10" s="159"/>
      <c r="F10" s="159"/>
      <c r="G10" s="159"/>
      <c r="H10" s="308"/>
      <c r="I10" s="307"/>
      <c r="J10" s="159"/>
      <c r="K10" s="301"/>
      <c r="L10" s="301"/>
      <c r="M10" s="301"/>
      <c r="N10" s="51"/>
      <c r="O10" s="51"/>
      <c r="P10" s="159"/>
      <c r="Q10" s="159"/>
      <c r="R10" s="159"/>
      <c r="S10" s="308"/>
      <c r="T10" s="307"/>
      <c r="U10" s="159"/>
      <c r="V10" s="301"/>
      <c r="W10" s="301"/>
      <c r="X10" s="301"/>
      <c r="Y10" s="51"/>
      <c r="Z10" s="51"/>
      <c r="AA10" s="159"/>
      <c r="AB10" s="159"/>
      <c r="AC10" s="159"/>
      <c r="AD10" s="308"/>
      <c r="AE10" s="307"/>
      <c r="AF10" s="159"/>
      <c r="AG10" s="301"/>
    </row>
    <row r="11" customFormat="false" ht="11.25" hidden="false" customHeight="true" outlineLevel="0" collapsed="false">
      <c r="B11" s="301"/>
      <c r="C11" s="51" t="str">
        <f aca="false">+'Lead PL'!C9</f>
        <v>Umsatzerlöse</v>
      </c>
      <c r="D11" s="51" t="str">
        <f aca="false">+'Lead PL'!D9</f>
        <v>Revenues</v>
      </c>
      <c r="E11" s="159"/>
      <c r="F11" s="159"/>
      <c r="G11" s="159"/>
      <c r="H11" s="421" t="n">
        <f aca="false">SUM(E11:G11)</f>
        <v>0</v>
      </c>
      <c r="I11" s="160"/>
      <c r="J11" s="159" t="n">
        <f aca="false">SUM(H11:I11)</f>
        <v>0</v>
      </c>
      <c r="K11" s="301"/>
      <c r="L11" s="301"/>
      <c r="M11" s="301"/>
      <c r="N11" s="51" t="str">
        <f aca="false">C11</f>
        <v>Umsatzerlöse</v>
      </c>
      <c r="O11" s="51" t="str">
        <f aca="false">D11</f>
        <v>Revenues</v>
      </c>
      <c r="P11" s="159"/>
      <c r="Q11" s="159"/>
      <c r="R11" s="159"/>
      <c r="S11" s="421" t="n">
        <f aca="false">SUM(P11:R11)</f>
        <v>0</v>
      </c>
      <c r="T11" s="160"/>
      <c r="U11" s="159" t="n">
        <f aca="false">SUM(S11:T11)</f>
        <v>0</v>
      </c>
      <c r="V11" s="301"/>
      <c r="W11" s="301"/>
      <c r="X11" s="301"/>
      <c r="Y11" s="51" t="str">
        <f aca="false">N11</f>
        <v>Umsatzerlöse</v>
      </c>
      <c r="Z11" s="51" t="str">
        <f aca="false">O11</f>
        <v>Revenues</v>
      </c>
      <c r="AA11" s="159"/>
      <c r="AB11" s="159"/>
      <c r="AC11" s="159"/>
      <c r="AD11" s="421" t="n">
        <f aca="false">SUM(AA11:AC11)</f>
        <v>0</v>
      </c>
      <c r="AE11" s="160"/>
      <c r="AF11" s="159" t="n">
        <f aca="false">SUM(AD11:AE11)</f>
        <v>0</v>
      </c>
      <c r="AG11" s="301"/>
    </row>
    <row r="12" customFormat="false" ht="11.25" hidden="true" customHeight="true" outlineLevel="2" collapsed="false">
      <c r="B12" s="301"/>
      <c r="C12" s="51" t="str">
        <f aca="false">+'Lead PL'!C18</f>
        <v>Bestandsveränderung</v>
      </c>
      <c r="D12" s="51" t="str">
        <f aca="false">+'Lead PL'!D18</f>
        <v>Change in inventory</v>
      </c>
      <c r="E12" s="159"/>
      <c r="F12" s="159"/>
      <c r="G12" s="159"/>
      <c r="H12" s="421" t="n">
        <f aca="false">SUM(E12:G12)</f>
        <v>0</v>
      </c>
      <c r="I12" s="160"/>
      <c r="J12" s="159" t="n">
        <f aca="false">SUM(H12:I12)</f>
        <v>0</v>
      </c>
      <c r="K12" s="301"/>
      <c r="L12" s="301"/>
      <c r="M12" s="301"/>
      <c r="N12" s="51" t="str">
        <f aca="false">C12</f>
        <v>Bestandsveränderung</v>
      </c>
      <c r="O12" s="51" t="str">
        <f aca="false">D12</f>
        <v>Change in inventory</v>
      </c>
      <c r="P12" s="159"/>
      <c r="Q12" s="159"/>
      <c r="R12" s="159"/>
      <c r="S12" s="421" t="n">
        <f aca="false">SUM(P12:R12)</f>
        <v>0</v>
      </c>
      <c r="T12" s="160"/>
      <c r="U12" s="159" t="n">
        <f aca="false">SUM(S12:T12)</f>
        <v>0</v>
      </c>
      <c r="V12" s="301"/>
      <c r="W12" s="301"/>
      <c r="X12" s="301"/>
      <c r="Y12" s="51" t="str">
        <f aca="false">N12</f>
        <v>Bestandsveränderung</v>
      </c>
      <c r="Z12" s="51" t="str">
        <f aca="false">O12</f>
        <v>Change in inventory</v>
      </c>
      <c r="AA12" s="159"/>
      <c r="AB12" s="159"/>
      <c r="AC12" s="159"/>
      <c r="AD12" s="421" t="n">
        <f aca="false">SUM(AA12:AC12)</f>
        <v>0</v>
      </c>
      <c r="AE12" s="160"/>
      <c r="AF12" s="159" t="n">
        <f aca="false">SUM(AD12:AE12)</f>
        <v>0</v>
      </c>
      <c r="AG12" s="301"/>
    </row>
    <row r="13" customFormat="false" ht="11.25" hidden="true" customHeight="true" outlineLevel="2" collapsed="false">
      <c r="B13" s="301"/>
      <c r="C13" s="51" t="str">
        <f aca="false">+'Lead PL'!C37</f>
        <v>Dummy 2</v>
      </c>
      <c r="D13" s="51" t="str">
        <f aca="false">+'Lead PL'!D37</f>
        <v>Dummy 2</v>
      </c>
      <c r="E13" s="159"/>
      <c r="F13" s="159"/>
      <c r="G13" s="159"/>
      <c r="H13" s="421" t="n">
        <f aca="false">SUM(E13:G13)</f>
        <v>0</v>
      </c>
      <c r="I13" s="160"/>
      <c r="J13" s="159" t="n">
        <f aca="false">SUM(H13:I13)</f>
        <v>0</v>
      </c>
      <c r="K13" s="301"/>
      <c r="L13" s="301"/>
      <c r="M13" s="301"/>
      <c r="N13" s="51" t="str">
        <f aca="false">C13</f>
        <v>Dummy 2</v>
      </c>
      <c r="O13" s="51" t="str">
        <f aca="false">D13</f>
        <v>Dummy 2</v>
      </c>
      <c r="P13" s="159"/>
      <c r="Q13" s="159"/>
      <c r="R13" s="159"/>
      <c r="S13" s="421" t="n">
        <f aca="false">SUM(P13:R13)</f>
        <v>0</v>
      </c>
      <c r="T13" s="160"/>
      <c r="U13" s="159" t="n">
        <f aca="false">SUM(S13:T13)</f>
        <v>0</v>
      </c>
      <c r="V13" s="301"/>
      <c r="W13" s="301"/>
      <c r="X13" s="301"/>
      <c r="Y13" s="51" t="str">
        <f aca="false">N13</f>
        <v>Dummy 2</v>
      </c>
      <c r="Z13" s="51" t="str">
        <f aca="false">O13</f>
        <v>Dummy 2</v>
      </c>
      <c r="AA13" s="159"/>
      <c r="AB13" s="159"/>
      <c r="AC13" s="159"/>
      <c r="AD13" s="421" t="n">
        <f aca="false">SUM(AA13:AC13)</f>
        <v>0</v>
      </c>
      <c r="AE13" s="160"/>
      <c r="AF13" s="159" t="n">
        <f aca="false">SUM(AD13:AE13)</f>
        <v>0</v>
      </c>
      <c r="AG13" s="301"/>
    </row>
    <row r="14" customFormat="false" ht="11.25" hidden="true" customHeight="true" outlineLevel="2" collapsed="false">
      <c r="B14" s="301"/>
      <c r="C14" s="51" t="str">
        <f aca="false">+'Lead PL'!C38</f>
        <v>Dummy 3</v>
      </c>
      <c r="D14" s="51" t="str">
        <f aca="false">+'Lead PL'!D38</f>
        <v>Dummy 3</v>
      </c>
      <c r="E14" s="159"/>
      <c r="F14" s="159"/>
      <c r="G14" s="159"/>
      <c r="H14" s="421" t="n">
        <f aca="false">SUM(E14:G14)</f>
        <v>0</v>
      </c>
      <c r="I14" s="160"/>
      <c r="J14" s="159" t="n">
        <f aca="false">SUM(H14:I14)</f>
        <v>0</v>
      </c>
      <c r="K14" s="301"/>
      <c r="L14" s="301"/>
      <c r="M14" s="301"/>
      <c r="N14" s="51" t="str">
        <f aca="false">C14</f>
        <v>Dummy 3</v>
      </c>
      <c r="O14" s="51" t="str">
        <f aca="false">D14</f>
        <v>Dummy 3</v>
      </c>
      <c r="P14" s="159"/>
      <c r="Q14" s="159"/>
      <c r="R14" s="159"/>
      <c r="S14" s="421" t="n">
        <f aca="false">SUM(P14:R14)</f>
        <v>0</v>
      </c>
      <c r="T14" s="160"/>
      <c r="U14" s="159" t="n">
        <f aca="false">SUM(S14:T14)</f>
        <v>0</v>
      </c>
      <c r="V14" s="301"/>
      <c r="W14" s="301"/>
      <c r="X14" s="301"/>
      <c r="Y14" s="51" t="str">
        <f aca="false">N14</f>
        <v>Dummy 3</v>
      </c>
      <c r="Z14" s="51" t="str">
        <f aca="false">O14</f>
        <v>Dummy 3</v>
      </c>
      <c r="AA14" s="159"/>
      <c r="AB14" s="159"/>
      <c r="AC14" s="159"/>
      <c r="AD14" s="421" t="n">
        <f aca="false">SUM(AA14:AC14)</f>
        <v>0</v>
      </c>
      <c r="AE14" s="160"/>
      <c r="AF14" s="159" t="n">
        <f aca="false">SUM(AD14:AE14)</f>
        <v>0</v>
      </c>
      <c r="AG14" s="301"/>
    </row>
    <row r="15" customFormat="false" ht="11.25" hidden="false" customHeight="true" outlineLevel="0" collapsed="false">
      <c r="B15" s="301"/>
      <c r="C15" s="165" t="str">
        <f aca="false">+'Lead PL'!C39</f>
        <v>Gesamtleistung</v>
      </c>
      <c r="D15" s="165" t="str">
        <f aca="false">+'Lead PL'!D39</f>
        <v>Total output</v>
      </c>
      <c r="E15" s="165" t="n">
        <f aca="false">SUM(E11:E14)</f>
        <v>0</v>
      </c>
      <c r="F15" s="165" t="n">
        <f aca="false">SUM(F11:F14)</f>
        <v>0</v>
      </c>
      <c r="G15" s="165" t="n">
        <f aca="false">SUM(G11:G14)</f>
        <v>0</v>
      </c>
      <c r="H15" s="435" t="n">
        <f aca="false">SUM(H11)</f>
        <v>0</v>
      </c>
      <c r="I15" s="166" t="n">
        <f aca="false">SUM(I11:I14)</f>
        <v>0</v>
      </c>
      <c r="J15" s="165" t="n">
        <f aca="false">SUM(H15:I15)</f>
        <v>0</v>
      </c>
      <c r="K15" s="301"/>
      <c r="L15" s="301"/>
      <c r="M15" s="301"/>
      <c r="N15" s="165" t="str">
        <f aca="false">C15</f>
        <v>Gesamtleistung</v>
      </c>
      <c r="O15" s="165" t="str">
        <f aca="false">D15</f>
        <v>Total output</v>
      </c>
      <c r="P15" s="165" t="n">
        <f aca="false">SUM(P11:P14)</f>
        <v>0</v>
      </c>
      <c r="Q15" s="165" t="n">
        <f aca="false">SUM(Q11:Q14)</f>
        <v>0</v>
      </c>
      <c r="R15" s="165" t="n">
        <f aca="false">SUM(R11:R14)</f>
        <v>0</v>
      </c>
      <c r="S15" s="435" t="n">
        <f aca="false">SUM(S11)</f>
        <v>0</v>
      </c>
      <c r="T15" s="166" t="n">
        <f aca="false">SUM(T11:T14)</f>
        <v>0</v>
      </c>
      <c r="U15" s="165" t="n">
        <f aca="false">SUM(S15:T15)</f>
        <v>0</v>
      </c>
      <c r="V15" s="301"/>
      <c r="W15" s="301"/>
      <c r="X15" s="301"/>
      <c r="Y15" s="165" t="str">
        <f aca="false">N15</f>
        <v>Gesamtleistung</v>
      </c>
      <c r="Z15" s="165" t="str">
        <f aca="false">O15</f>
        <v>Total output</v>
      </c>
      <c r="AA15" s="165" t="n">
        <f aca="false">SUM(AA11:AA14)</f>
        <v>0</v>
      </c>
      <c r="AB15" s="165" t="n">
        <f aca="false">SUM(AB11:AB14)</f>
        <v>0</v>
      </c>
      <c r="AC15" s="165" t="n">
        <f aca="false">SUM(AC11:AC14)</f>
        <v>0</v>
      </c>
      <c r="AD15" s="435" t="n">
        <f aca="false">SUM(AD11)</f>
        <v>0</v>
      </c>
      <c r="AE15" s="166" t="n">
        <f aca="false">SUM(AE11:AE14)</f>
        <v>0</v>
      </c>
      <c r="AF15" s="165" t="n">
        <f aca="false">SUM(AD15:AE15)</f>
        <v>0</v>
      </c>
      <c r="AG15" s="301"/>
    </row>
    <row r="16" customFormat="false" ht="11.25" hidden="false" customHeight="true" outlineLevel="0" collapsed="false">
      <c r="B16" s="301"/>
      <c r="C16" s="51" t="str">
        <f aca="false">+'Lead PL'!C40</f>
        <v>Materialaufwand</v>
      </c>
      <c r="D16" s="51" t="str">
        <f aca="false">+'Lead PL'!D40</f>
        <v>Cost of materials</v>
      </c>
      <c r="E16" s="159"/>
      <c r="F16" s="159"/>
      <c r="G16" s="159"/>
      <c r="H16" s="421" t="n">
        <f aca="false">SUM(E16:G16)</f>
        <v>0</v>
      </c>
      <c r="I16" s="160"/>
      <c r="J16" s="159" t="n">
        <f aca="false">SUM(H16:I16)</f>
        <v>0</v>
      </c>
      <c r="K16" s="301"/>
      <c r="L16" s="301"/>
      <c r="M16" s="301"/>
      <c r="N16" s="51" t="str">
        <f aca="false">C16</f>
        <v>Materialaufwand</v>
      </c>
      <c r="O16" s="51" t="str">
        <f aca="false">D16</f>
        <v>Cost of materials</v>
      </c>
      <c r="P16" s="159"/>
      <c r="Q16" s="159"/>
      <c r="R16" s="159"/>
      <c r="S16" s="421" t="n">
        <f aca="false">SUM(P16:R16)</f>
        <v>0</v>
      </c>
      <c r="T16" s="160"/>
      <c r="U16" s="159" t="n">
        <f aca="false">SUM(S16:T16)</f>
        <v>0</v>
      </c>
      <c r="V16" s="301"/>
      <c r="W16" s="301"/>
      <c r="X16" s="301"/>
      <c r="Y16" s="51" t="str">
        <f aca="false">N16</f>
        <v>Materialaufwand</v>
      </c>
      <c r="Z16" s="51" t="str">
        <f aca="false">O16</f>
        <v>Cost of materials</v>
      </c>
      <c r="AA16" s="159"/>
      <c r="AB16" s="159"/>
      <c r="AC16" s="159"/>
      <c r="AD16" s="421" t="n">
        <f aca="false">SUM(AA16:AC16)</f>
        <v>0</v>
      </c>
      <c r="AE16" s="160"/>
      <c r="AF16" s="159" t="n">
        <f aca="false">SUM(AD16:AE16)</f>
        <v>0</v>
      </c>
      <c r="AG16" s="301"/>
    </row>
    <row r="17" customFormat="false" ht="11.25" hidden="true" customHeight="true" outlineLevel="2" collapsed="false">
      <c r="B17" s="301"/>
      <c r="C17" s="51" t="str">
        <f aca="false">+'Lead PL'!C49</f>
        <v>Dummy 1</v>
      </c>
      <c r="D17" s="51" t="str">
        <f aca="false">+'Lead PL'!D49</f>
        <v>Dummy 1</v>
      </c>
      <c r="E17" s="159"/>
      <c r="F17" s="159"/>
      <c r="G17" s="159"/>
      <c r="H17" s="421" t="n">
        <f aca="false">SUM(E17:G17)</f>
        <v>0</v>
      </c>
      <c r="I17" s="160"/>
      <c r="J17" s="159" t="n">
        <f aca="false">SUM(H17:I17)</f>
        <v>0</v>
      </c>
      <c r="K17" s="301"/>
      <c r="L17" s="301"/>
      <c r="M17" s="301"/>
      <c r="N17" s="51" t="str">
        <f aca="false">C17</f>
        <v>Dummy 1</v>
      </c>
      <c r="O17" s="51" t="str">
        <f aca="false">D17</f>
        <v>Dummy 1</v>
      </c>
      <c r="P17" s="159"/>
      <c r="Q17" s="159"/>
      <c r="R17" s="159"/>
      <c r="S17" s="421" t="n">
        <f aca="false">SUM(P17:R17)</f>
        <v>0</v>
      </c>
      <c r="T17" s="160"/>
      <c r="U17" s="159" t="n">
        <f aca="false">SUM(S17:T17)</f>
        <v>0</v>
      </c>
      <c r="V17" s="301"/>
      <c r="W17" s="301"/>
      <c r="X17" s="301"/>
      <c r="Y17" s="51" t="str">
        <f aca="false">N17</f>
        <v>Dummy 1</v>
      </c>
      <c r="Z17" s="51" t="str">
        <f aca="false">O17</f>
        <v>Dummy 1</v>
      </c>
      <c r="AA17" s="159"/>
      <c r="AB17" s="159"/>
      <c r="AC17" s="159"/>
      <c r="AD17" s="421" t="n">
        <f aca="false">SUM(AA17:AC17)</f>
        <v>0</v>
      </c>
      <c r="AE17" s="160"/>
      <c r="AF17" s="159" t="n">
        <f aca="false">SUM(AD17:AE17)</f>
        <v>0</v>
      </c>
      <c r="AG17" s="301"/>
    </row>
    <row r="18" customFormat="false" ht="11.25" hidden="true" customHeight="true" outlineLevel="2" collapsed="false">
      <c r="B18" s="301"/>
      <c r="C18" s="51" t="str">
        <f aca="false">+'Lead PL'!C50</f>
        <v>Dummy 2</v>
      </c>
      <c r="D18" s="51" t="str">
        <f aca="false">+'Lead PL'!D50</f>
        <v>Dummy 2</v>
      </c>
      <c r="E18" s="159"/>
      <c r="F18" s="159"/>
      <c r="G18" s="159"/>
      <c r="H18" s="421" t="n">
        <f aca="false">SUM(E18:G18)</f>
        <v>0</v>
      </c>
      <c r="I18" s="160"/>
      <c r="J18" s="159" t="n">
        <f aca="false">SUM(H18:I18)</f>
        <v>0</v>
      </c>
      <c r="K18" s="301"/>
      <c r="L18" s="301"/>
      <c r="M18" s="301"/>
      <c r="N18" s="51" t="str">
        <f aca="false">C18</f>
        <v>Dummy 2</v>
      </c>
      <c r="O18" s="51" t="str">
        <f aca="false">D18</f>
        <v>Dummy 2</v>
      </c>
      <c r="P18" s="159"/>
      <c r="Q18" s="159"/>
      <c r="R18" s="159"/>
      <c r="S18" s="421" t="n">
        <f aca="false">SUM(P18:R18)</f>
        <v>0</v>
      </c>
      <c r="T18" s="160"/>
      <c r="U18" s="159" t="n">
        <f aca="false">SUM(S18:T18)</f>
        <v>0</v>
      </c>
      <c r="V18" s="301"/>
      <c r="W18" s="301"/>
      <c r="X18" s="301"/>
      <c r="Y18" s="51" t="str">
        <f aca="false">N18</f>
        <v>Dummy 2</v>
      </c>
      <c r="Z18" s="51" t="str">
        <f aca="false">O18</f>
        <v>Dummy 2</v>
      </c>
      <c r="AA18" s="159"/>
      <c r="AB18" s="159"/>
      <c r="AC18" s="159"/>
      <c r="AD18" s="421" t="n">
        <f aca="false">SUM(AA18:AC18)</f>
        <v>0</v>
      </c>
      <c r="AE18" s="160"/>
      <c r="AF18" s="159" t="n">
        <f aca="false">SUM(AD18:AE18)</f>
        <v>0</v>
      </c>
      <c r="AG18" s="301"/>
    </row>
    <row r="19" customFormat="false" ht="11.25" hidden="true" customHeight="true" outlineLevel="2" collapsed="false">
      <c r="B19" s="301"/>
      <c r="C19" s="54" t="str">
        <f aca="false">+'Lead PL'!C51</f>
        <v>Dummy 3</v>
      </c>
      <c r="D19" s="54" t="str">
        <f aca="false">+'Lead PL'!D51</f>
        <v>Dummy 3</v>
      </c>
      <c r="E19" s="162"/>
      <c r="F19" s="162"/>
      <c r="G19" s="162"/>
      <c r="H19" s="434" t="n">
        <f aca="false">SUM(E19:G19)</f>
        <v>0</v>
      </c>
      <c r="I19" s="163"/>
      <c r="J19" s="162" t="n">
        <f aca="false">SUM(H19:I19)</f>
        <v>0</v>
      </c>
      <c r="K19" s="301"/>
      <c r="L19" s="301"/>
      <c r="M19" s="301"/>
      <c r="N19" s="54" t="str">
        <f aca="false">C19</f>
        <v>Dummy 3</v>
      </c>
      <c r="O19" s="54" t="str">
        <f aca="false">D19</f>
        <v>Dummy 3</v>
      </c>
      <c r="P19" s="162"/>
      <c r="Q19" s="162"/>
      <c r="R19" s="162"/>
      <c r="S19" s="434" t="n">
        <f aca="false">SUM(P19:R19)</f>
        <v>0</v>
      </c>
      <c r="T19" s="163"/>
      <c r="U19" s="162" t="n">
        <f aca="false">SUM(S19:T19)</f>
        <v>0</v>
      </c>
      <c r="V19" s="301"/>
      <c r="W19" s="301"/>
      <c r="X19" s="301"/>
      <c r="Y19" s="54" t="str">
        <f aca="false">N19</f>
        <v>Dummy 3</v>
      </c>
      <c r="Z19" s="54" t="str">
        <f aca="false">O19</f>
        <v>Dummy 3</v>
      </c>
      <c r="AA19" s="162"/>
      <c r="AB19" s="162"/>
      <c r="AC19" s="162"/>
      <c r="AD19" s="434" t="n">
        <f aca="false">SUM(AA19:AC19)</f>
        <v>0</v>
      </c>
      <c r="AE19" s="163"/>
      <c r="AF19" s="162" t="n">
        <f aca="false">SUM(AD19:AE19)</f>
        <v>0</v>
      </c>
      <c r="AG19" s="301"/>
    </row>
    <row r="20" customFormat="false" ht="11.25" hidden="false" customHeight="true" outlineLevel="0" collapsed="false">
      <c r="B20" s="301"/>
      <c r="C20" s="165" t="str">
        <f aca="false">+'Lead PL'!C52</f>
        <v>Rohergebnis</v>
      </c>
      <c r="D20" s="165" t="str">
        <f aca="false">+'Lead PL'!D52</f>
        <v>Gross profit</v>
      </c>
      <c r="E20" s="165" t="n">
        <f aca="false">SUM(E15:E19)</f>
        <v>0</v>
      </c>
      <c r="F20" s="165" t="n">
        <f aca="false">SUM(F15:F19)</f>
        <v>0</v>
      </c>
      <c r="G20" s="165" t="n">
        <f aca="false">SUM(G15:G19)</f>
        <v>0</v>
      </c>
      <c r="H20" s="435" t="n">
        <f aca="false">SUM(H15:H16)</f>
        <v>0</v>
      </c>
      <c r="I20" s="166" t="n">
        <f aca="false">SUM(I15:I19)</f>
        <v>0</v>
      </c>
      <c r="J20" s="165" t="n">
        <f aca="false">SUM(H20:I20)</f>
        <v>0</v>
      </c>
      <c r="K20" s="301"/>
      <c r="L20" s="301"/>
      <c r="M20" s="301"/>
      <c r="N20" s="165" t="str">
        <f aca="false">C20</f>
        <v>Rohergebnis</v>
      </c>
      <c r="O20" s="165" t="str">
        <f aca="false">D20</f>
        <v>Gross profit</v>
      </c>
      <c r="P20" s="165" t="n">
        <f aca="false">SUM(P15:P19)</f>
        <v>0</v>
      </c>
      <c r="Q20" s="165" t="n">
        <f aca="false">SUM(Q15:Q19)</f>
        <v>0</v>
      </c>
      <c r="R20" s="165" t="n">
        <f aca="false">SUM(R15:R19)</f>
        <v>0</v>
      </c>
      <c r="S20" s="435" t="n">
        <f aca="false">SUM(S15:S16)</f>
        <v>0</v>
      </c>
      <c r="T20" s="166" t="n">
        <f aca="false">SUM(T15:T19)</f>
        <v>0</v>
      </c>
      <c r="U20" s="165" t="n">
        <f aca="false">SUM(S20:T20)</f>
        <v>0</v>
      </c>
      <c r="V20" s="301"/>
      <c r="W20" s="301"/>
      <c r="X20" s="301"/>
      <c r="Y20" s="165" t="str">
        <f aca="false">N20</f>
        <v>Rohergebnis</v>
      </c>
      <c r="Z20" s="165" t="str">
        <f aca="false">O20</f>
        <v>Gross profit</v>
      </c>
      <c r="AA20" s="165" t="n">
        <f aca="false">SUM(AA15:AA19)</f>
        <v>0</v>
      </c>
      <c r="AB20" s="165" t="n">
        <f aca="false">SUM(AB15:AB19)</f>
        <v>0</v>
      </c>
      <c r="AC20" s="165" t="n">
        <f aca="false">SUM(AC15:AC19)</f>
        <v>0</v>
      </c>
      <c r="AD20" s="435" t="n">
        <f aca="false">SUM(AD15:AD16)</f>
        <v>0</v>
      </c>
      <c r="AE20" s="166" t="n">
        <f aca="false">SUM(AE15:AE19)</f>
        <v>0</v>
      </c>
      <c r="AF20" s="165" t="n">
        <f aca="false">SUM(AD20:AE20)</f>
        <v>0</v>
      </c>
      <c r="AG20" s="301"/>
    </row>
    <row r="21" customFormat="false" ht="11.25" hidden="false" customHeight="true" outlineLevel="0" collapsed="false">
      <c r="B21" s="301"/>
      <c r="C21" s="51" t="str">
        <f aca="false">+'Lead PL'!C53</f>
        <v>Personalaufwand</v>
      </c>
      <c r="D21" s="51" t="str">
        <f aca="false">+'Lead PL'!D53</f>
        <v>Personnel expenses</v>
      </c>
      <c r="E21" s="159"/>
      <c r="F21" s="159"/>
      <c r="G21" s="159"/>
      <c r="H21" s="421" t="n">
        <f aca="false">SUM(E21:G21)</f>
        <v>0</v>
      </c>
      <c r="I21" s="160"/>
      <c r="J21" s="159" t="n">
        <f aca="false">SUM(H21:I21)</f>
        <v>0</v>
      </c>
      <c r="K21" s="301"/>
      <c r="L21" s="301"/>
      <c r="M21" s="301"/>
      <c r="N21" s="51" t="str">
        <f aca="false">C21</f>
        <v>Personalaufwand</v>
      </c>
      <c r="O21" s="51" t="str">
        <f aca="false">D21</f>
        <v>Personnel expenses</v>
      </c>
      <c r="P21" s="159"/>
      <c r="Q21" s="159"/>
      <c r="R21" s="159"/>
      <c r="S21" s="421" t="n">
        <f aca="false">SUM(P21:R21)</f>
        <v>0</v>
      </c>
      <c r="T21" s="160"/>
      <c r="U21" s="159" t="n">
        <f aca="false">SUM(S21:T21)</f>
        <v>0</v>
      </c>
      <c r="V21" s="301"/>
      <c r="W21" s="301"/>
      <c r="X21" s="301"/>
      <c r="Y21" s="51" t="str">
        <f aca="false">N21</f>
        <v>Personalaufwand</v>
      </c>
      <c r="Z21" s="51" t="str">
        <f aca="false">O21</f>
        <v>Personnel expenses</v>
      </c>
      <c r="AA21" s="159"/>
      <c r="AB21" s="159"/>
      <c r="AC21" s="159"/>
      <c r="AD21" s="421" t="n">
        <f aca="false">SUM(AA21:AC21)</f>
        <v>0</v>
      </c>
      <c r="AE21" s="160"/>
      <c r="AF21" s="159" t="n">
        <f aca="false">SUM(AD21:AE21)</f>
        <v>0</v>
      </c>
      <c r="AG21" s="301"/>
    </row>
    <row r="22" customFormat="false" ht="11.25" hidden="false" customHeight="true" outlineLevel="0" collapsed="false">
      <c r="B22" s="301"/>
      <c r="C22" s="51" t="str">
        <f aca="false">+'Lead PL'!C62</f>
        <v>Raumkosten</v>
      </c>
      <c r="D22" s="51" t="str">
        <f aca="false">+'Lead PL'!D62</f>
        <v>Premise costs</v>
      </c>
      <c r="E22" s="159"/>
      <c r="F22" s="159"/>
      <c r="G22" s="159"/>
      <c r="H22" s="421" t="n">
        <f aca="false">SUM(E22:G22)</f>
        <v>0</v>
      </c>
      <c r="I22" s="160"/>
      <c r="J22" s="159" t="n">
        <f aca="false">SUM(H22:I22)</f>
        <v>0</v>
      </c>
      <c r="K22" s="301"/>
      <c r="L22" s="301"/>
      <c r="M22" s="301"/>
      <c r="N22" s="51" t="str">
        <f aca="false">C22</f>
        <v>Raumkosten</v>
      </c>
      <c r="O22" s="51" t="str">
        <f aca="false">D22</f>
        <v>Premise costs</v>
      </c>
      <c r="P22" s="159"/>
      <c r="Q22" s="159"/>
      <c r="R22" s="159"/>
      <c r="S22" s="421" t="n">
        <f aca="false">SUM(P22:R22)</f>
        <v>0</v>
      </c>
      <c r="T22" s="160"/>
      <c r="U22" s="159" t="n">
        <f aca="false">SUM(S22:T22)</f>
        <v>0</v>
      </c>
      <c r="V22" s="301"/>
      <c r="W22" s="301"/>
      <c r="X22" s="301"/>
      <c r="Y22" s="51" t="str">
        <f aca="false">N22</f>
        <v>Raumkosten</v>
      </c>
      <c r="Z22" s="51" t="str">
        <f aca="false">O22</f>
        <v>Premise costs</v>
      </c>
      <c r="AA22" s="159"/>
      <c r="AB22" s="159"/>
      <c r="AC22" s="159"/>
      <c r="AD22" s="421" t="n">
        <f aca="false">SUM(AA22:AC22)</f>
        <v>0</v>
      </c>
      <c r="AE22" s="160"/>
      <c r="AF22" s="159" t="n">
        <f aca="false">SUM(AD22:AE22)</f>
        <v>0</v>
      </c>
      <c r="AG22" s="301"/>
    </row>
    <row r="23" customFormat="false" ht="11.25" hidden="false" customHeight="true" outlineLevel="0" collapsed="false">
      <c r="B23" s="301"/>
      <c r="C23" s="51" t="str">
        <f aca="false">+'Lead PL'!C125</f>
        <v>Sonstige betriebliche Erträge</v>
      </c>
      <c r="D23" s="51" t="str">
        <f aca="false">+'Lead PL'!D125</f>
        <v>Other operating income</v>
      </c>
      <c r="E23" s="159"/>
      <c r="F23" s="159"/>
      <c r="G23" s="159"/>
      <c r="H23" s="421" t="n">
        <f aca="false">SUM(E23:G23)</f>
        <v>0</v>
      </c>
      <c r="I23" s="160"/>
      <c r="J23" s="159" t="n">
        <f aca="false">SUM(H23:I23)</f>
        <v>0</v>
      </c>
      <c r="K23" s="301"/>
      <c r="L23" s="301"/>
      <c r="M23" s="301"/>
      <c r="N23" s="51" t="str">
        <f aca="false">C23</f>
        <v>Sonstige betriebliche Erträge</v>
      </c>
      <c r="O23" s="51" t="str">
        <f aca="false">D23</f>
        <v>Other operating income</v>
      </c>
      <c r="P23" s="159"/>
      <c r="Q23" s="159"/>
      <c r="R23" s="159"/>
      <c r="S23" s="421" t="n">
        <f aca="false">SUM(P23:R23)</f>
        <v>0</v>
      </c>
      <c r="T23" s="160"/>
      <c r="U23" s="159" t="n">
        <f aca="false">SUM(S23:T23)</f>
        <v>0</v>
      </c>
      <c r="V23" s="301"/>
      <c r="W23" s="301"/>
      <c r="X23" s="301"/>
      <c r="Y23" s="51" t="str">
        <f aca="false">N23</f>
        <v>Sonstige betriebliche Erträge</v>
      </c>
      <c r="Z23" s="51" t="str">
        <f aca="false">O23</f>
        <v>Other operating income</v>
      </c>
      <c r="AA23" s="159"/>
      <c r="AB23" s="159"/>
      <c r="AC23" s="159"/>
      <c r="AD23" s="421" t="n">
        <f aca="false">SUM(AA23:AC23)</f>
        <v>0</v>
      </c>
      <c r="AE23" s="160"/>
      <c r="AF23" s="159" t="n">
        <f aca="false">SUM(AD23:AE23)</f>
        <v>0</v>
      </c>
      <c r="AG23" s="301"/>
    </row>
    <row r="24" customFormat="false" ht="11.25" hidden="true" customHeight="true" outlineLevel="2" collapsed="false">
      <c r="B24" s="301"/>
      <c r="C24" s="51" t="str">
        <f aca="false">+'Lead PL'!C134</f>
        <v>Sonstige betriebliche Aufwendungen</v>
      </c>
      <c r="D24" s="51" t="str">
        <f aca="false">+'Lead PL'!D134</f>
        <v>Other operating expenses</v>
      </c>
      <c r="E24" s="159"/>
      <c r="F24" s="159"/>
      <c r="G24" s="159"/>
      <c r="H24" s="421" t="n">
        <f aca="false">SUM(E24:G24)</f>
        <v>0</v>
      </c>
      <c r="I24" s="160"/>
      <c r="J24" s="159" t="n">
        <f aca="false">SUM(H24:I24)</f>
        <v>0</v>
      </c>
      <c r="K24" s="301"/>
      <c r="L24" s="301"/>
      <c r="M24" s="301"/>
      <c r="N24" s="51" t="str">
        <f aca="false">C24</f>
        <v>Sonstige betriebliche Aufwendungen</v>
      </c>
      <c r="O24" s="51" t="str">
        <f aca="false">D24</f>
        <v>Other operating expenses</v>
      </c>
      <c r="P24" s="159"/>
      <c r="Q24" s="159"/>
      <c r="R24" s="159"/>
      <c r="S24" s="421" t="n">
        <f aca="false">SUM(P24:R24)</f>
        <v>0</v>
      </c>
      <c r="T24" s="160"/>
      <c r="U24" s="159" t="n">
        <f aca="false">SUM(S24:T24)</f>
        <v>0</v>
      </c>
      <c r="V24" s="301"/>
      <c r="W24" s="301"/>
      <c r="X24" s="301"/>
      <c r="Y24" s="51" t="str">
        <f aca="false">N24</f>
        <v>Sonstige betriebliche Aufwendungen</v>
      </c>
      <c r="Z24" s="51" t="str">
        <f aca="false">O24</f>
        <v>Other operating expenses</v>
      </c>
      <c r="AA24" s="159"/>
      <c r="AB24" s="159"/>
      <c r="AC24" s="159"/>
      <c r="AD24" s="421" t="n">
        <f aca="false">SUM(AA24:AC24)</f>
        <v>0</v>
      </c>
      <c r="AE24" s="160"/>
      <c r="AF24" s="159" t="n">
        <f aca="false">SUM(AD24:AE24)</f>
        <v>0</v>
      </c>
      <c r="AG24" s="301"/>
    </row>
    <row r="25" customFormat="false" ht="11.25" hidden="true" customHeight="true" outlineLevel="2" collapsed="false">
      <c r="B25" s="301"/>
      <c r="C25" s="51" t="str">
        <f aca="false">+'Lead PL'!C143</f>
        <v>Dummy 1</v>
      </c>
      <c r="D25" s="51" t="str">
        <f aca="false">+'Lead PL'!D143</f>
        <v>Dummy 1</v>
      </c>
      <c r="E25" s="159"/>
      <c r="F25" s="159"/>
      <c r="G25" s="159"/>
      <c r="H25" s="421" t="n">
        <f aca="false">SUM(E25:G25)</f>
        <v>0</v>
      </c>
      <c r="I25" s="160"/>
      <c r="J25" s="159" t="n">
        <f aca="false">SUM(H25:I25)</f>
        <v>0</v>
      </c>
      <c r="K25" s="301"/>
      <c r="L25" s="301"/>
      <c r="M25" s="301"/>
      <c r="N25" s="51" t="str">
        <f aca="false">C25</f>
        <v>Dummy 1</v>
      </c>
      <c r="O25" s="51" t="str">
        <f aca="false">D25</f>
        <v>Dummy 1</v>
      </c>
      <c r="P25" s="159"/>
      <c r="Q25" s="159"/>
      <c r="R25" s="159"/>
      <c r="S25" s="421" t="n">
        <f aca="false">SUM(P25:R25)</f>
        <v>0</v>
      </c>
      <c r="T25" s="160"/>
      <c r="U25" s="159" t="n">
        <f aca="false">SUM(S25:T25)</f>
        <v>0</v>
      </c>
      <c r="V25" s="301"/>
      <c r="W25" s="301"/>
      <c r="X25" s="301"/>
      <c r="Y25" s="51" t="str">
        <f aca="false">N25</f>
        <v>Dummy 1</v>
      </c>
      <c r="Z25" s="51" t="str">
        <f aca="false">O25</f>
        <v>Dummy 1</v>
      </c>
      <c r="AA25" s="159"/>
      <c r="AB25" s="159"/>
      <c r="AC25" s="159"/>
      <c r="AD25" s="421" t="n">
        <f aca="false">SUM(AA25:AC25)</f>
        <v>0</v>
      </c>
      <c r="AE25" s="160"/>
      <c r="AF25" s="159" t="n">
        <f aca="false">SUM(AD25:AE25)</f>
        <v>0</v>
      </c>
      <c r="AG25" s="301"/>
    </row>
    <row r="26" customFormat="false" ht="11.25" hidden="true" customHeight="true" outlineLevel="2" collapsed="false">
      <c r="B26" s="301"/>
      <c r="C26" s="54" t="str">
        <f aca="false">+'Lead PL'!C144</f>
        <v>Dummy 2</v>
      </c>
      <c r="D26" s="54" t="str">
        <f aca="false">+'Lead PL'!D144</f>
        <v>Dummy 2</v>
      </c>
      <c r="E26" s="162"/>
      <c r="F26" s="162"/>
      <c r="G26" s="162"/>
      <c r="H26" s="434" t="n">
        <f aca="false">SUM(E26:G26)</f>
        <v>0</v>
      </c>
      <c r="I26" s="163"/>
      <c r="J26" s="162" t="n">
        <f aca="false">SUM(H26:I26)</f>
        <v>0</v>
      </c>
      <c r="K26" s="301"/>
      <c r="L26" s="301"/>
      <c r="M26" s="301"/>
      <c r="N26" s="54" t="str">
        <f aca="false">C26</f>
        <v>Dummy 2</v>
      </c>
      <c r="O26" s="54" t="str">
        <f aca="false">D26</f>
        <v>Dummy 2</v>
      </c>
      <c r="P26" s="162"/>
      <c r="Q26" s="162"/>
      <c r="R26" s="162"/>
      <c r="S26" s="434" t="n">
        <f aca="false">SUM(P26:R26)</f>
        <v>0</v>
      </c>
      <c r="T26" s="163"/>
      <c r="U26" s="162" t="n">
        <f aca="false">SUM(S26:T26)</f>
        <v>0</v>
      </c>
      <c r="V26" s="301"/>
      <c r="W26" s="301"/>
      <c r="X26" s="301"/>
      <c r="Y26" s="54" t="str">
        <f aca="false">N26</f>
        <v>Dummy 2</v>
      </c>
      <c r="Z26" s="54" t="str">
        <f aca="false">O26</f>
        <v>Dummy 2</v>
      </c>
      <c r="AA26" s="162"/>
      <c r="AB26" s="162"/>
      <c r="AC26" s="162"/>
      <c r="AD26" s="434" t="n">
        <f aca="false">SUM(AA26:AC26)</f>
        <v>0</v>
      </c>
      <c r="AE26" s="163"/>
      <c r="AF26" s="162" t="n">
        <f aca="false">SUM(AD26:AE26)</f>
        <v>0</v>
      </c>
      <c r="AG26" s="301"/>
    </row>
    <row r="27" customFormat="false" ht="11.25" hidden="false" customHeight="true" outlineLevel="0" collapsed="false">
      <c r="B27" s="301"/>
      <c r="C27" s="165" t="str">
        <f aca="false">+'Lead PL'!C146</f>
        <v>EBITDA</v>
      </c>
      <c r="D27" s="165" t="str">
        <f aca="false">+'Lead PL'!D146</f>
        <v>EBITDA</v>
      </c>
      <c r="E27" s="165" t="n">
        <f aca="false">SUM(E20:E26)</f>
        <v>0</v>
      </c>
      <c r="F27" s="165" t="n">
        <f aca="false">SUM(F20:F26)</f>
        <v>0</v>
      </c>
      <c r="G27" s="165" t="n">
        <f aca="false">SUM(G20:G26)</f>
        <v>0</v>
      </c>
      <c r="H27" s="435" t="n">
        <f aca="false">SUM(H20:H23)</f>
        <v>0</v>
      </c>
      <c r="I27" s="166" t="n">
        <f aca="false">SUM(I20:I26)</f>
        <v>0</v>
      </c>
      <c r="J27" s="165" t="n">
        <f aca="false">SUM(H27:I27)</f>
        <v>0</v>
      </c>
      <c r="K27" s="301"/>
      <c r="L27" s="301"/>
      <c r="M27" s="301"/>
      <c r="N27" s="165" t="str">
        <f aca="false">C27</f>
        <v>EBITDA</v>
      </c>
      <c r="O27" s="165" t="str">
        <f aca="false">D27</f>
        <v>EBITDA</v>
      </c>
      <c r="P27" s="165" t="n">
        <f aca="false">SUM(P20:P26)</f>
        <v>0</v>
      </c>
      <c r="Q27" s="165" t="n">
        <f aca="false">SUM(Q20:Q26)</f>
        <v>0</v>
      </c>
      <c r="R27" s="165" t="n">
        <f aca="false">SUM(R20:R26)</f>
        <v>0</v>
      </c>
      <c r="S27" s="435" t="n">
        <f aca="false">SUM(S20:S23)</f>
        <v>0</v>
      </c>
      <c r="T27" s="166" t="n">
        <f aca="false">SUM(T20:T26)</f>
        <v>0</v>
      </c>
      <c r="U27" s="165" t="n">
        <f aca="false">SUM(S27:T27)</f>
        <v>0</v>
      </c>
      <c r="V27" s="301"/>
      <c r="W27" s="301"/>
      <c r="X27" s="301"/>
      <c r="Y27" s="165" t="str">
        <f aca="false">N27</f>
        <v>EBITDA</v>
      </c>
      <c r="Z27" s="165" t="str">
        <f aca="false">O27</f>
        <v>EBITDA</v>
      </c>
      <c r="AA27" s="165" t="n">
        <f aca="false">SUM(AA20:AA26)</f>
        <v>0</v>
      </c>
      <c r="AB27" s="165" t="n">
        <f aca="false">SUM(AB20:AB26)</f>
        <v>0</v>
      </c>
      <c r="AC27" s="165" t="n">
        <f aca="false">SUM(AC20:AC26)</f>
        <v>0</v>
      </c>
      <c r="AD27" s="435" t="n">
        <f aca="false">SUM(AD20:AD23)</f>
        <v>0</v>
      </c>
      <c r="AE27" s="166" t="n">
        <f aca="false">SUM(AE20:AE26)</f>
        <v>0</v>
      </c>
      <c r="AF27" s="165" t="n">
        <f aca="false">SUM(AD27:AE27)</f>
        <v>0</v>
      </c>
      <c r="AG27" s="301"/>
    </row>
    <row r="28" customFormat="false" ht="11.25" hidden="false" customHeight="true" outlineLevel="0" collapsed="false">
      <c r="B28" s="301"/>
      <c r="C28" s="51" t="str">
        <f aca="false">+'Lead PL'!C147</f>
        <v>Abschreibungen</v>
      </c>
      <c r="D28" s="51" t="str">
        <f aca="false">+'Lead PL'!D147</f>
        <v>Depreciation</v>
      </c>
      <c r="E28" s="159"/>
      <c r="F28" s="159"/>
      <c r="G28" s="159"/>
      <c r="H28" s="421" t="n">
        <f aca="false">SUM(E28:G28)</f>
        <v>0</v>
      </c>
      <c r="I28" s="160"/>
      <c r="J28" s="159" t="n">
        <f aca="false">SUM(H28:I28)</f>
        <v>0</v>
      </c>
      <c r="K28" s="301"/>
      <c r="L28" s="301"/>
      <c r="M28" s="301"/>
      <c r="N28" s="51" t="str">
        <f aca="false">C28</f>
        <v>Abschreibungen</v>
      </c>
      <c r="O28" s="51" t="str">
        <f aca="false">D28</f>
        <v>Depreciation</v>
      </c>
      <c r="P28" s="159"/>
      <c r="Q28" s="159"/>
      <c r="R28" s="159"/>
      <c r="S28" s="421" t="n">
        <f aca="false">SUM(P28:R28)</f>
        <v>0</v>
      </c>
      <c r="T28" s="160"/>
      <c r="U28" s="159" t="n">
        <f aca="false">SUM(S28:T28)</f>
        <v>0</v>
      </c>
      <c r="V28" s="301"/>
      <c r="W28" s="301"/>
      <c r="X28" s="301"/>
      <c r="Y28" s="51" t="str">
        <f aca="false">N28</f>
        <v>Abschreibungen</v>
      </c>
      <c r="Z28" s="51" t="str">
        <f aca="false">O28</f>
        <v>Depreciation</v>
      </c>
      <c r="AA28" s="159"/>
      <c r="AB28" s="159"/>
      <c r="AC28" s="159"/>
      <c r="AD28" s="421" t="n">
        <f aca="false">SUM(AA28:AC28)</f>
        <v>0</v>
      </c>
      <c r="AE28" s="160"/>
      <c r="AF28" s="159" t="n">
        <f aca="false">SUM(AD28:AE28)</f>
        <v>0</v>
      </c>
      <c r="AG28" s="301"/>
    </row>
    <row r="29" customFormat="false" ht="11.25" hidden="true" customHeight="true" outlineLevel="2" collapsed="false">
      <c r="B29" s="301"/>
      <c r="C29" s="51" t="str">
        <f aca="false">+'Lead PL'!C156</f>
        <v>Dummy 1</v>
      </c>
      <c r="D29" s="51" t="str">
        <f aca="false">+'Lead PL'!D156</f>
        <v>Dummy 1</v>
      </c>
      <c r="E29" s="159"/>
      <c r="F29" s="159"/>
      <c r="G29" s="159"/>
      <c r="H29" s="421" t="n">
        <f aca="false">SUM(E29:G29)</f>
        <v>0</v>
      </c>
      <c r="I29" s="160"/>
      <c r="J29" s="159" t="n">
        <f aca="false">SUM(H29:I29)</f>
        <v>0</v>
      </c>
      <c r="K29" s="301"/>
      <c r="L29" s="301"/>
      <c r="M29" s="301"/>
      <c r="N29" s="51" t="str">
        <f aca="false">C29</f>
        <v>Dummy 1</v>
      </c>
      <c r="O29" s="51" t="str">
        <f aca="false">D29</f>
        <v>Dummy 1</v>
      </c>
      <c r="P29" s="159"/>
      <c r="Q29" s="159"/>
      <c r="R29" s="159"/>
      <c r="S29" s="421" t="n">
        <f aca="false">SUM(P29:R29)</f>
        <v>0</v>
      </c>
      <c r="T29" s="160"/>
      <c r="U29" s="159" t="n">
        <f aca="false">SUM(S29:T29)</f>
        <v>0</v>
      </c>
      <c r="V29" s="301"/>
      <c r="W29" s="301"/>
      <c r="X29" s="301"/>
      <c r="Y29" s="51" t="str">
        <f aca="false">N29</f>
        <v>Dummy 1</v>
      </c>
      <c r="Z29" s="51" t="str">
        <f aca="false">O29</f>
        <v>Dummy 1</v>
      </c>
      <c r="AA29" s="159"/>
      <c r="AB29" s="159"/>
      <c r="AC29" s="159"/>
      <c r="AD29" s="421" t="n">
        <f aca="false">SUM(AA29:AC29)</f>
        <v>0</v>
      </c>
      <c r="AE29" s="160"/>
      <c r="AF29" s="159" t="n">
        <f aca="false">SUM(AD29:AE29)</f>
        <v>0</v>
      </c>
      <c r="AG29" s="301"/>
    </row>
    <row r="30" customFormat="false" ht="11.25" hidden="true" customHeight="true" outlineLevel="2" collapsed="false">
      <c r="B30" s="301"/>
      <c r="C30" s="51" t="str">
        <f aca="false">+'Lead PL'!C157</f>
        <v>Dummy 2</v>
      </c>
      <c r="D30" s="51" t="str">
        <f aca="false">+'Lead PL'!D157</f>
        <v>Dummy 2</v>
      </c>
      <c r="E30" s="159"/>
      <c r="F30" s="159"/>
      <c r="G30" s="159"/>
      <c r="H30" s="421" t="n">
        <f aca="false">SUM(E30:G30)</f>
        <v>0</v>
      </c>
      <c r="I30" s="160"/>
      <c r="J30" s="159" t="n">
        <f aca="false">SUM(H30:I30)</f>
        <v>0</v>
      </c>
      <c r="K30" s="301"/>
      <c r="L30" s="301"/>
      <c r="M30" s="301"/>
      <c r="N30" s="51" t="str">
        <f aca="false">C30</f>
        <v>Dummy 2</v>
      </c>
      <c r="O30" s="51" t="str">
        <f aca="false">D30</f>
        <v>Dummy 2</v>
      </c>
      <c r="P30" s="159"/>
      <c r="Q30" s="159"/>
      <c r="R30" s="159"/>
      <c r="S30" s="421" t="n">
        <f aca="false">SUM(P30:R30)</f>
        <v>0</v>
      </c>
      <c r="T30" s="160"/>
      <c r="U30" s="159" t="n">
        <f aca="false">SUM(S30:T30)</f>
        <v>0</v>
      </c>
      <c r="V30" s="301"/>
      <c r="W30" s="301"/>
      <c r="X30" s="301"/>
      <c r="Y30" s="51" t="str">
        <f aca="false">N30</f>
        <v>Dummy 2</v>
      </c>
      <c r="Z30" s="51" t="str">
        <f aca="false">O30</f>
        <v>Dummy 2</v>
      </c>
      <c r="AA30" s="159"/>
      <c r="AB30" s="159"/>
      <c r="AC30" s="159"/>
      <c r="AD30" s="421" t="n">
        <f aca="false">SUM(AA30:AC30)</f>
        <v>0</v>
      </c>
      <c r="AE30" s="160"/>
      <c r="AF30" s="159" t="n">
        <f aca="false">SUM(AD30:AE30)</f>
        <v>0</v>
      </c>
      <c r="AG30" s="301"/>
    </row>
    <row r="31" customFormat="false" ht="11.25" hidden="true" customHeight="true" outlineLevel="2" collapsed="false">
      <c r="B31" s="301"/>
      <c r="C31" s="54" t="str">
        <f aca="false">+'Lead PL'!C158</f>
        <v>Dummy 3</v>
      </c>
      <c r="D31" s="54" t="str">
        <f aca="false">+'Lead PL'!D158</f>
        <v>Dummy 3</v>
      </c>
      <c r="E31" s="162"/>
      <c r="F31" s="162"/>
      <c r="G31" s="162"/>
      <c r="H31" s="434" t="n">
        <f aca="false">SUM(E31:G31)</f>
        <v>0</v>
      </c>
      <c r="I31" s="163"/>
      <c r="J31" s="162" t="n">
        <f aca="false">SUM(H31:I31)</f>
        <v>0</v>
      </c>
      <c r="K31" s="301"/>
      <c r="L31" s="301"/>
      <c r="M31" s="301"/>
      <c r="N31" s="54" t="str">
        <f aca="false">C31</f>
        <v>Dummy 3</v>
      </c>
      <c r="O31" s="54" t="str">
        <f aca="false">D31</f>
        <v>Dummy 3</v>
      </c>
      <c r="P31" s="162"/>
      <c r="Q31" s="162"/>
      <c r="R31" s="162"/>
      <c r="S31" s="434" t="n">
        <f aca="false">SUM(P31:R31)</f>
        <v>0</v>
      </c>
      <c r="T31" s="163"/>
      <c r="U31" s="162" t="n">
        <f aca="false">SUM(S31:T31)</f>
        <v>0</v>
      </c>
      <c r="V31" s="301"/>
      <c r="W31" s="301"/>
      <c r="X31" s="301"/>
      <c r="Y31" s="54" t="str">
        <f aca="false">N31</f>
        <v>Dummy 3</v>
      </c>
      <c r="Z31" s="54" t="str">
        <f aca="false">O31</f>
        <v>Dummy 3</v>
      </c>
      <c r="AA31" s="162"/>
      <c r="AB31" s="162"/>
      <c r="AC31" s="162"/>
      <c r="AD31" s="434" t="n">
        <f aca="false">SUM(AA31:AC31)</f>
        <v>0</v>
      </c>
      <c r="AE31" s="163"/>
      <c r="AF31" s="162" t="n">
        <f aca="false">SUM(AD31:AE31)</f>
        <v>0</v>
      </c>
      <c r="AG31" s="301"/>
    </row>
    <row r="32" customFormat="false" ht="11.25" hidden="false" customHeight="true" outlineLevel="0" collapsed="false">
      <c r="B32" s="301"/>
      <c r="C32" s="165" t="str">
        <f aca="false">+'Lead PL'!C159</f>
        <v>EBIT</v>
      </c>
      <c r="D32" s="165" t="str">
        <f aca="false">+'Lead PL'!D159</f>
        <v>EBIT</v>
      </c>
      <c r="E32" s="165" t="n">
        <f aca="false">SUM(E27:E31)</f>
        <v>0</v>
      </c>
      <c r="F32" s="165" t="n">
        <f aca="false">SUM(F27:F31)</f>
        <v>0</v>
      </c>
      <c r="G32" s="165" t="n">
        <f aca="false">SUM(G27:G31)</f>
        <v>0</v>
      </c>
      <c r="H32" s="435" t="n">
        <f aca="false">SUM(H27:H28)</f>
        <v>0</v>
      </c>
      <c r="I32" s="166" t="n">
        <f aca="false">SUM(I27:I31)</f>
        <v>0</v>
      </c>
      <c r="J32" s="165" t="n">
        <f aca="false">SUM(H32:I32)</f>
        <v>0</v>
      </c>
      <c r="K32" s="301"/>
      <c r="L32" s="301"/>
      <c r="M32" s="301"/>
      <c r="N32" s="165" t="str">
        <f aca="false">C32</f>
        <v>EBIT</v>
      </c>
      <c r="O32" s="165" t="str">
        <f aca="false">D32</f>
        <v>EBIT</v>
      </c>
      <c r="P32" s="165" t="n">
        <f aca="false">SUM(P27:P31)</f>
        <v>0</v>
      </c>
      <c r="Q32" s="165" t="n">
        <f aca="false">SUM(Q27:Q31)</f>
        <v>0</v>
      </c>
      <c r="R32" s="165" t="n">
        <f aca="false">SUM(R27:R31)</f>
        <v>0</v>
      </c>
      <c r="S32" s="435" t="n">
        <f aca="false">SUM(S27:S28)</f>
        <v>0</v>
      </c>
      <c r="T32" s="166" t="n">
        <f aca="false">SUM(T27:T31)</f>
        <v>0</v>
      </c>
      <c r="U32" s="165" t="n">
        <f aca="false">SUM(S32:T32)</f>
        <v>0</v>
      </c>
      <c r="V32" s="301"/>
      <c r="W32" s="301"/>
      <c r="X32" s="301"/>
      <c r="Y32" s="165" t="str">
        <f aca="false">N32</f>
        <v>EBIT</v>
      </c>
      <c r="Z32" s="165" t="str">
        <f aca="false">O32</f>
        <v>EBIT</v>
      </c>
      <c r="AA32" s="165" t="n">
        <f aca="false">SUM(AA27:AA31)</f>
        <v>0</v>
      </c>
      <c r="AB32" s="165" t="n">
        <f aca="false">SUM(AB27:AB31)</f>
        <v>0</v>
      </c>
      <c r="AC32" s="165" t="n">
        <f aca="false">SUM(AC27:AC31)</f>
        <v>0</v>
      </c>
      <c r="AD32" s="435" t="n">
        <f aca="false">SUM(AD27:AD28)</f>
        <v>0</v>
      </c>
      <c r="AE32" s="166" t="n">
        <f aca="false">SUM(AE27:AE31)</f>
        <v>0</v>
      </c>
      <c r="AF32" s="165" t="n">
        <f aca="false">SUM(AD32:AE32)</f>
        <v>0</v>
      </c>
      <c r="AG32" s="301"/>
    </row>
    <row r="33" customFormat="false" ht="11.25" hidden="false" customHeight="true" outlineLevel="1" collapsed="false">
      <c r="B33" s="301"/>
      <c r="C33" s="186" t="str">
        <f aca="false">+'Lead PL'!C160</f>
        <v>Beteiligungsergebnis</v>
      </c>
      <c r="D33" s="186" t="str">
        <f aca="false">+'Lead PL'!D160</f>
        <v>Investment income</v>
      </c>
      <c r="E33" s="159"/>
      <c r="F33" s="159"/>
      <c r="G33" s="159"/>
      <c r="H33" s="421" t="n">
        <f aca="false">SUM(E33:G33)</f>
        <v>0</v>
      </c>
      <c r="I33" s="160"/>
      <c r="J33" s="159" t="n">
        <f aca="false">SUM(H33:I33)</f>
        <v>0</v>
      </c>
      <c r="K33" s="301"/>
      <c r="L33" s="301"/>
      <c r="M33" s="301"/>
      <c r="N33" s="186" t="str">
        <f aca="false">C33</f>
        <v>Beteiligungsergebnis</v>
      </c>
      <c r="O33" s="186" t="str">
        <f aca="false">D33</f>
        <v>Investment income</v>
      </c>
      <c r="P33" s="159"/>
      <c r="Q33" s="159"/>
      <c r="R33" s="159"/>
      <c r="S33" s="421" t="n">
        <f aca="false">SUM(P33:R33)</f>
        <v>0</v>
      </c>
      <c r="T33" s="160"/>
      <c r="U33" s="159" t="n">
        <f aca="false">SUM(S33:T33)</f>
        <v>0</v>
      </c>
      <c r="V33" s="301"/>
      <c r="W33" s="301"/>
      <c r="X33" s="301"/>
      <c r="Y33" s="186" t="str">
        <f aca="false">N33</f>
        <v>Beteiligungsergebnis</v>
      </c>
      <c r="Z33" s="186" t="str">
        <f aca="false">O33</f>
        <v>Investment income</v>
      </c>
      <c r="AA33" s="159"/>
      <c r="AB33" s="159"/>
      <c r="AC33" s="159"/>
      <c r="AD33" s="421" t="n">
        <f aca="false">SUM(AA33:AC33)</f>
        <v>0</v>
      </c>
      <c r="AE33" s="160"/>
      <c r="AF33" s="159" t="n">
        <f aca="false">SUM(AD33:AE33)</f>
        <v>0</v>
      </c>
      <c r="AG33" s="301"/>
    </row>
    <row r="34" customFormat="false" ht="11.25" hidden="false" customHeight="true" outlineLevel="1" collapsed="false">
      <c r="B34" s="301"/>
      <c r="C34" s="186" t="str">
        <f aca="false">+'Lead PL'!C169</f>
        <v>Zinserträge</v>
      </c>
      <c r="D34" s="186" t="str">
        <f aca="false">+'Lead PL'!D169</f>
        <v>Interest income</v>
      </c>
      <c r="E34" s="159"/>
      <c r="F34" s="159"/>
      <c r="G34" s="159"/>
      <c r="H34" s="421" t="n">
        <f aca="false">SUM(E34:G34)</f>
        <v>0</v>
      </c>
      <c r="I34" s="160"/>
      <c r="J34" s="159" t="n">
        <f aca="false">SUM(H34:I34)</f>
        <v>0</v>
      </c>
      <c r="K34" s="301"/>
      <c r="L34" s="301"/>
      <c r="M34" s="301"/>
      <c r="N34" s="186" t="str">
        <f aca="false">C34</f>
        <v>Zinserträge</v>
      </c>
      <c r="O34" s="186" t="str">
        <f aca="false">D34</f>
        <v>Interest income</v>
      </c>
      <c r="P34" s="159"/>
      <c r="Q34" s="159"/>
      <c r="R34" s="159"/>
      <c r="S34" s="421" t="n">
        <f aca="false">SUM(P34:R34)</f>
        <v>0</v>
      </c>
      <c r="T34" s="160"/>
      <c r="U34" s="159" t="n">
        <f aca="false">SUM(S34:T34)</f>
        <v>0</v>
      </c>
      <c r="V34" s="301"/>
      <c r="W34" s="301"/>
      <c r="X34" s="301"/>
      <c r="Y34" s="186" t="str">
        <f aca="false">N34</f>
        <v>Zinserträge</v>
      </c>
      <c r="Z34" s="186" t="str">
        <f aca="false">O34</f>
        <v>Interest income</v>
      </c>
      <c r="AA34" s="159"/>
      <c r="AB34" s="159"/>
      <c r="AC34" s="159"/>
      <c r="AD34" s="421" t="n">
        <f aca="false">SUM(AA34:AC34)</f>
        <v>0</v>
      </c>
      <c r="AE34" s="160"/>
      <c r="AF34" s="159" t="n">
        <f aca="false">SUM(AD34:AE34)</f>
        <v>0</v>
      </c>
      <c r="AG34" s="301"/>
    </row>
    <row r="35" customFormat="false" ht="11.25" hidden="false" customHeight="true" outlineLevel="1" collapsed="false">
      <c r="B35" s="301"/>
      <c r="C35" s="186" t="str">
        <f aca="false">+'Lead PL'!C178</f>
        <v>Zinsaufwendungen</v>
      </c>
      <c r="D35" s="186" t="str">
        <f aca="false">+'Lead PL'!D178</f>
        <v>Interest expenses</v>
      </c>
      <c r="E35" s="159"/>
      <c r="F35" s="159"/>
      <c r="G35" s="159"/>
      <c r="H35" s="421" t="n">
        <f aca="false">SUM(E35:G35)</f>
        <v>0</v>
      </c>
      <c r="I35" s="160"/>
      <c r="J35" s="159" t="n">
        <f aca="false">SUM(H35:I35)</f>
        <v>0</v>
      </c>
      <c r="K35" s="301"/>
      <c r="L35" s="301"/>
      <c r="M35" s="301"/>
      <c r="N35" s="186" t="str">
        <f aca="false">C35</f>
        <v>Zinsaufwendungen</v>
      </c>
      <c r="O35" s="186" t="str">
        <f aca="false">D35</f>
        <v>Interest expenses</v>
      </c>
      <c r="P35" s="159"/>
      <c r="Q35" s="159"/>
      <c r="R35" s="159"/>
      <c r="S35" s="421" t="n">
        <f aca="false">SUM(P35:R35)</f>
        <v>0</v>
      </c>
      <c r="T35" s="160"/>
      <c r="U35" s="159" t="n">
        <f aca="false">SUM(S35:T35)</f>
        <v>0</v>
      </c>
      <c r="V35" s="301"/>
      <c r="W35" s="301"/>
      <c r="X35" s="301"/>
      <c r="Y35" s="186" t="str">
        <f aca="false">N35</f>
        <v>Zinsaufwendungen</v>
      </c>
      <c r="Z35" s="186" t="str">
        <f aca="false">O35</f>
        <v>Interest expenses</v>
      </c>
      <c r="AA35" s="159"/>
      <c r="AB35" s="159"/>
      <c r="AC35" s="159"/>
      <c r="AD35" s="421" t="n">
        <f aca="false">SUM(AA35:AC35)</f>
        <v>0</v>
      </c>
      <c r="AE35" s="160"/>
      <c r="AF35" s="159" t="n">
        <f aca="false">SUM(AD35:AE35)</f>
        <v>0</v>
      </c>
      <c r="AG35" s="301"/>
    </row>
    <row r="36" customFormat="false" ht="11.25" hidden="true" customHeight="true" outlineLevel="2" collapsed="false">
      <c r="B36" s="301"/>
      <c r="C36" s="186" t="str">
        <f aca="false">+'Lead PL'!C187</f>
        <v>Dummy 1</v>
      </c>
      <c r="D36" s="186" t="str">
        <f aca="false">+'Lead PL'!D187</f>
        <v>Dummy 1</v>
      </c>
      <c r="E36" s="159"/>
      <c r="F36" s="159"/>
      <c r="G36" s="159"/>
      <c r="H36" s="421" t="n">
        <f aca="false">SUM(E36:G36)</f>
        <v>0</v>
      </c>
      <c r="I36" s="160"/>
      <c r="J36" s="159" t="n">
        <f aca="false">SUM(H36:I36)</f>
        <v>0</v>
      </c>
      <c r="K36" s="301"/>
      <c r="L36" s="301"/>
      <c r="M36" s="301"/>
      <c r="N36" s="186" t="str">
        <f aca="false">C36</f>
        <v>Dummy 1</v>
      </c>
      <c r="O36" s="186" t="str">
        <f aca="false">D36</f>
        <v>Dummy 1</v>
      </c>
      <c r="P36" s="159"/>
      <c r="Q36" s="159"/>
      <c r="R36" s="159"/>
      <c r="S36" s="421" t="n">
        <f aca="false">SUM(P36:R36)</f>
        <v>0</v>
      </c>
      <c r="T36" s="160"/>
      <c r="U36" s="159" t="n">
        <f aca="false">SUM(S36:T36)</f>
        <v>0</v>
      </c>
      <c r="V36" s="301"/>
      <c r="W36" s="301"/>
      <c r="X36" s="301"/>
      <c r="Y36" s="186" t="str">
        <f aca="false">N36</f>
        <v>Dummy 1</v>
      </c>
      <c r="Z36" s="186" t="str">
        <f aca="false">O36</f>
        <v>Dummy 1</v>
      </c>
      <c r="AA36" s="159"/>
      <c r="AB36" s="159"/>
      <c r="AC36" s="159"/>
      <c r="AD36" s="421" t="n">
        <f aca="false">SUM(AA36:AC36)</f>
        <v>0</v>
      </c>
      <c r="AE36" s="160"/>
      <c r="AF36" s="159" t="n">
        <f aca="false">SUM(AD36:AE36)</f>
        <v>0</v>
      </c>
      <c r="AG36" s="301"/>
    </row>
    <row r="37" customFormat="false" ht="11.25" hidden="true" customHeight="true" outlineLevel="2" collapsed="false">
      <c r="B37" s="301"/>
      <c r="C37" s="186" t="str">
        <f aca="false">+'Lead PL'!C188</f>
        <v>Dummy 2</v>
      </c>
      <c r="D37" s="186" t="str">
        <f aca="false">+'Lead PL'!D188</f>
        <v>Dummy 2</v>
      </c>
      <c r="E37" s="159"/>
      <c r="F37" s="159"/>
      <c r="G37" s="159"/>
      <c r="H37" s="421" t="n">
        <f aca="false">SUM(E37:G37)</f>
        <v>0</v>
      </c>
      <c r="I37" s="160"/>
      <c r="J37" s="159" t="n">
        <f aca="false">SUM(H37:I37)</f>
        <v>0</v>
      </c>
      <c r="K37" s="301"/>
      <c r="L37" s="301"/>
      <c r="M37" s="301"/>
      <c r="N37" s="186" t="str">
        <f aca="false">C37</f>
        <v>Dummy 2</v>
      </c>
      <c r="O37" s="186" t="str">
        <f aca="false">D37</f>
        <v>Dummy 2</v>
      </c>
      <c r="P37" s="159"/>
      <c r="Q37" s="159"/>
      <c r="R37" s="159"/>
      <c r="S37" s="421" t="n">
        <f aca="false">SUM(P37:R37)</f>
        <v>0</v>
      </c>
      <c r="T37" s="160"/>
      <c r="U37" s="159" t="n">
        <f aca="false">SUM(S37:T37)</f>
        <v>0</v>
      </c>
      <c r="V37" s="301"/>
      <c r="W37" s="301"/>
      <c r="X37" s="301"/>
      <c r="Y37" s="186" t="str">
        <f aca="false">N37</f>
        <v>Dummy 2</v>
      </c>
      <c r="Z37" s="186" t="str">
        <f aca="false">O37</f>
        <v>Dummy 2</v>
      </c>
      <c r="AA37" s="159"/>
      <c r="AB37" s="159"/>
      <c r="AC37" s="159"/>
      <c r="AD37" s="421" t="n">
        <f aca="false">SUM(AA37:AC37)</f>
        <v>0</v>
      </c>
      <c r="AE37" s="160"/>
      <c r="AF37" s="159" t="n">
        <f aca="false">SUM(AD37:AE37)</f>
        <v>0</v>
      </c>
      <c r="AG37" s="301"/>
    </row>
    <row r="38" customFormat="false" ht="11.25" hidden="true" customHeight="true" outlineLevel="2" collapsed="false">
      <c r="B38" s="301"/>
      <c r="C38" s="186" t="str">
        <f aca="false">+'Lead PL'!C189</f>
        <v>Dummy 3</v>
      </c>
      <c r="D38" s="186" t="str">
        <f aca="false">+'Lead PL'!D189</f>
        <v>Dummy 3</v>
      </c>
      <c r="E38" s="159"/>
      <c r="F38" s="159"/>
      <c r="G38" s="159"/>
      <c r="H38" s="421" t="n">
        <f aca="false">SUM(E38:G38)</f>
        <v>0</v>
      </c>
      <c r="I38" s="160"/>
      <c r="J38" s="159" t="n">
        <f aca="false">SUM(H38:I38)</f>
        <v>0</v>
      </c>
      <c r="K38" s="301"/>
      <c r="L38" s="301"/>
      <c r="M38" s="301"/>
      <c r="N38" s="186" t="str">
        <f aca="false">C38</f>
        <v>Dummy 3</v>
      </c>
      <c r="O38" s="186" t="str">
        <f aca="false">D38</f>
        <v>Dummy 3</v>
      </c>
      <c r="P38" s="159"/>
      <c r="Q38" s="159"/>
      <c r="R38" s="159"/>
      <c r="S38" s="421" t="n">
        <f aca="false">SUM(P38:R38)</f>
        <v>0</v>
      </c>
      <c r="T38" s="160"/>
      <c r="U38" s="159" t="n">
        <f aca="false">SUM(S38:T38)</f>
        <v>0</v>
      </c>
      <c r="V38" s="301"/>
      <c r="W38" s="301"/>
      <c r="X38" s="301"/>
      <c r="Y38" s="186" t="str">
        <f aca="false">N38</f>
        <v>Dummy 3</v>
      </c>
      <c r="Z38" s="186" t="str">
        <f aca="false">O38</f>
        <v>Dummy 3</v>
      </c>
      <c r="AA38" s="159"/>
      <c r="AB38" s="159"/>
      <c r="AC38" s="159"/>
      <c r="AD38" s="421" t="n">
        <f aca="false">SUM(AA38:AC38)</f>
        <v>0</v>
      </c>
      <c r="AE38" s="160"/>
      <c r="AF38" s="159" t="n">
        <f aca="false">SUM(AD38:AE38)</f>
        <v>0</v>
      </c>
      <c r="AG38" s="301"/>
    </row>
    <row r="39" customFormat="false" ht="11.25" hidden="false" customHeight="true" outlineLevel="0" collapsed="false">
      <c r="B39" s="301"/>
      <c r="C39" s="54" t="str">
        <f aca="false">+'Lead PL'!C190</f>
        <v>Finanzergebnis</v>
      </c>
      <c r="D39" s="54" t="str">
        <f aca="false">+'Lead PL'!D190</f>
        <v>Financial result</v>
      </c>
      <c r="E39" s="162" t="n">
        <f aca="false">SUM(E33:E38)</f>
        <v>0</v>
      </c>
      <c r="F39" s="162" t="n">
        <f aca="false">SUM(F33:F38)</f>
        <v>0</v>
      </c>
      <c r="G39" s="162" t="n">
        <f aca="false">SUM(G33:G38)</f>
        <v>0</v>
      </c>
      <c r="H39" s="434" t="n">
        <f aca="false">SUM(H33:H35)</f>
        <v>0</v>
      </c>
      <c r="I39" s="163" t="n">
        <f aca="false">SUM(I33:I38)</f>
        <v>0</v>
      </c>
      <c r="J39" s="162" t="n">
        <f aca="false">SUM(H39:I39)</f>
        <v>0</v>
      </c>
      <c r="K39" s="301"/>
      <c r="L39" s="301"/>
      <c r="M39" s="301"/>
      <c r="N39" s="54" t="str">
        <f aca="false">C39</f>
        <v>Finanzergebnis</v>
      </c>
      <c r="O39" s="54" t="str">
        <f aca="false">D39</f>
        <v>Financial result</v>
      </c>
      <c r="P39" s="162" t="n">
        <f aca="false">SUM(P33:P38)</f>
        <v>0</v>
      </c>
      <c r="Q39" s="162" t="n">
        <f aca="false">SUM(Q33:Q38)</f>
        <v>0</v>
      </c>
      <c r="R39" s="162" t="n">
        <f aca="false">SUM(R33:R38)</f>
        <v>0</v>
      </c>
      <c r="S39" s="434" t="n">
        <f aca="false">SUM(S33:S35)</f>
        <v>0</v>
      </c>
      <c r="T39" s="163" t="n">
        <f aca="false">SUM(T33:T38)</f>
        <v>0</v>
      </c>
      <c r="U39" s="162" t="n">
        <f aca="false">SUM(S39:T39)</f>
        <v>0</v>
      </c>
      <c r="V39" s="301"/>
      <c r="W39" s="301"/>
      <c r="X39" s="301"/>
      <c r="Y39" s="54" t="str">
        <f aca="false">N39</f>
        <v>Finanzergebnis</v>
      </c>
      <c r="Z39" s="54" t="str">
        <f aca="false">O39</f>
        <v>Financial result</v>
      </c>
      <c r="AA39" s="162" t="n">
        <f aca="false">SUM(AA33:AA38)</f>
        <v>0</v>
      </c>
      <c r="AB39" s="162" t="n">
        <f aca="false">SUM(AB33:AB38)</f>
        <v>0</v>
      </c>
      <c r="AC39" s="162" t="n">
        <f aca="false">SUM(AC33:AC38)</f>
        <v>0</v>
      </c>
      <c r="AD39" s="434" t="n">
        <f aca="false">SUM(AD33:AD35)</f>
        <v>0</v>
      </c>
      <c r="AE39" s="163" t="n">
        <f aca="false">SUM(AE33:AE38)</f>
        <v>0</v>
      </c>
      <c r="AF39" s="162" t="n">
        <f aca="false">SUM(AD39:AE39)</f>
        <v>0</v>
      </c>
      <c r="AG39" s="301"/>
    </row>
    <row r="40" customFormat="false" ht="11.25" hidden="false" customHeight="true" outlineLevel="0" collapsed="false">
      <c r="B40" s="301"/>
      <c r="C40" s="178" t="str">
        <f aca="false">+'Lead PL'!C191</f>
        <v>EBT</v>
      </c>
      <c r="D40" s="178" t="str">
        <f aca="false">+'Lead PL'!D191</f>
        <v>EBT</v>
      </c>
      <c r="E40" s="178" t="n">
        <f aca="false">E39+E32</f>
        <v>0</v>
      </c>
      <c r="F40" s="178" t="n">
        <f aca="false">F39+F32</f>
        <v>0</v>
      </c>
      <c r="G40" s="178" t="n">
        <f aca="false">G39+G32</f>
        <v>0</v>
      </c>
      <c r="H40" s="440" t="n">
        <f aca="false">SUM(H32,H39)</f>
        <v>0</v>
      </c>
      <c r="I40" s="179" t="n">
        <f aca="false">I39+I32</f>
        <v>0</v>
      </c>
      <c r="J40" s="178" t="n">
        <f aca="false">SUM(H40:I40)</f>
        <v>0</v>
      </c>
      <c r="K40" s="301"/>
      <c r="L40" s="301"/>
      <c r="M40" s="301"/>
      <c r="N40" s="178" t="str">
        <f aca="false">C40</f>
        <v>EBT</v>
      </c>
      <c r="O40" s="178" t="str">
        <f aca="false">D40</f>
        <v>EBT</v>
      </c>
      <c r="P40" s="178" t="n">
        <f aca="false">P39+P32</f>
        <v>0</v>
      </c>
      <c r="Q40" s="178" t="n">
        <f aca="false">Q39+Q32</f>
        <v>0</v>
      </c>
      <c r="R40" s="178" t="n">
        <f aca="false">R39+R32</f>
        <v>0</v>
      </c>
      <c r="S40" s="440" t="n">
        <f aca="false">SUM(S32,S39)</f>
        <v>0</v>
      </c>
      <c r="T40" s="179" t="n">
        <f aca="false">T39+T32</f>
        <v>0</v>
      </c>
      <c r="U40" s="178" t="n">
        <f aca="false">SUM(S40:T40)</f>
        <v>0</v>
      </c>
      <c r="V40" s="301"/>
      <c r="W40" s="301"/>
      <c r="X40" s="301"/>
      <c r="Y40" s="178" t="str">
        <f aca="false">N40</f>
        <v>EBT</v>
      </c>
      <c r="Z40" s="178" t="str">
        <f aca="false">O40</f>
        <v>EBT</v>
      </c>
      <c r="AA40" s="178" t="n">
        <f aca="false">AA39+AA32</f>
        <v>0</v>
      </c>
      <c r="AB40" s="178" t="n">
        <f aca="false">AB39+AB32</f>
        <v>0</v>
      </c>
      <c r="AC40" s="178" t="n">
        <f aca="false">AC39+AC32</f>
        <v>0</v>
      </c>
      <c r="AD40" s="440" t="n">
        <f aca="false">SUM(AD32,AD39)</f>
        <v>0</v>
      </c>
      <c r="AE40" s="179" t="n">
        <f aca="false">AE39+AE32</f>
        <v>0</v>
      </c>
      <c r="AF40" s="178" t="n">
        <f aca="false">SUM(AD40:AE40)</f>
        <v>0</v>
      </c>
      <c r="AG40" s="301"/>
    </row>
    <row r="41" customFormat="false" ht="11.25" hidden="false" customHeight="true" outlineLevel="0" collapsed="false">
      <c r="B41" s="301"/>
      <c r="C41" s="51" t="str">
        <f aca="false">+'Lead PL'!C192</f>
        <v>Ertragssteuern</v>
      </c>
      <c r="D41" s="51" t="str">
        <f aca="false">+'Lead PL'!D192</f>
        <v>Income taxes</v>
      </c>
      <c r="E41" s="159"/>
      <c r="F41" s="159"/>
      <c r="G41" s="159"/>
      <c r="H41" s="421" t="n">
        <f aca="false">SUM(E41:G41)</f>
        <v>0</v>
      </c>
      <c r="I41" s="160"/>
      <c r="J41" s="159" t="n">
        <f aca="false">SUM(H41:I41)</f>
        <v>0</v>
      </c>
      <c r="K41" s="301"/>
      <c r="L41" s="301"/>
      <c r="M41" s="301"/>
      <c r="N41" s="51" t="str">
        <f aca="false">C41</f>
        <v>Ertragssteuern</v>
      </c>
      <c r="O41" s="51" t="str">
        <f aca="false">D41</f>
        <v>Income taxes</v>
      </c>
      <c r="P41" s="159"/>
      <c r="Q41" s="159"/>
      <c r="R41" s="159"/>
      <c r="S41" s="421" t="n">
        <f aca="false">SUM(P41:R41)</f>
        <v>0</v>
      </c>
      <c r="T41" s="160"/>
      <c r="U41" s="159" t="n">
        <f aca="false">SUM(S41:T41)</f>
        <v>0</v>
      </c>
      <c r="V41" s="301"/>
      <c r="W41" s="301"/>
      <c r="X41" s="301"/>
      <c r="Y41" s="51" t="str">
        <f aca="false">N41</f>
        <v>Ertragssteuern</v>
      </c>
      <c r="Z41" s="51" t="str">
        <f aca="false">O41</f>
        <v>Income taxes</v>
      </c>
      <c r="AA41" s="159"/>
      <c r="AB41" s="159"/>
      <c r="AC41" s="159"/>
      <c r="AD41" s="421" t="n">
        <f aca="false">SUM(AA41:AC41)</f>
        <v>0</v>
      </c>
      <c r="AE41" s="160"/>
      <c r="AF41" s="159" t="n">
        <f aca="false">SUM(AD41:AE41)</f>
        <v>0</v>
      </c>
      <c r="AG41" s="301"/>
    </row>
    <row r="42" customFormat="false" ht="11.25" hidden="false" customHeight="true" outlineLevel="0" collapsed="false">
      <c r="B42" s="301"/>
      <c r="C42" s="54" t="str">
        <f aca="false">+'Lead PL'!C201</f>
        <v>Sonstige Steuern</v>
      </c>
      <c r="D42" s="54" t="str">
        <f aca="false">+'Lead PL'!D201</f>
        <v>Other taxes</v>
      </c>
      <c r="E42" s="162"/>
      <c r="F42" s="162"/>
      <c r="G42" s="162"/>
      <c r="H42" s="434" t="n">
        <f aca="false">SUM(E42:G42)</f>
        <v>0</v>
      </c>
      <c r="I42" s="163"/>
      <c r="J42" s="162" t="n">
        <f aca="false">SUM(H42:I42)</f>
        <v>0</v>
      </c>
      <c r="K42" s="301"/>
      <c r="L42" s="301"/>
      <c r="M42" s="301"/>
      <c r="N42" s="54" t="str">
        <f aca="false">C42</f>
        <v>Sonstige Steuern</v>
      </c>
      <c r="O42" s="54" t="str">
        <f aca="false">D42</f>
        <v>Other taxes</v>
      </c>
      <c r="P42" s="162"/>
      <c r="Q42" s="162"/>
      <c r="R42" s="162"/>
      <c r="S42" s="434" t="n">
        <f aca="false">SUM(P42:R42)</f>
        <v>0</v>
      </c>
      <c r="T42" s="163"/>
      <c r="U42" s="162" t="n">
        <f aca="false">SUM(S42:T42)</f>
        <v>0</v>
      </c>
      <c r="V42" s="301"/>
      <c r="W42" s="301"/>
      <c r="X42" s="301"/>
      <c r="Y42" s="54" t="str">
        <f aca="false">N42</f>
        <v>Sonstige Steuern</v>
      </c>
      <c r="Z42" s="54" t="str">
        <f aca="false">O42</f>
        <v>Other taxes</v>
      </c>
      <c r="AA42" s="162"/>
      <c r="AB42" s="162"/>
      <c r="AC42" s="162"/>
      <c r="AD42" s="434" t="n">
        <f aca="false">SUM(AA42:AC42)</f>
        <v>0</v>
      </c>
      <c r="AE42" s="163"/>
      <c r="AF42" s="162" t="n">
        <f aca="false">SUM(AD42:AE42)</f>
        <v>0</v>
      </c>
      <c r="AG42" s="301"/>
    </row>
    <row r="43" customFormat="false" ht="11.25" hidden="false" customHeight="true" outlineLevel="0" collapsed="false">
      <c r="B43" s="301"/>
      <c r="C43" s="171" t="str">
        <f aca="false">+'Lead PL'!C210</f>
        <v>Jahresüberschuss</v>
      </c>
      <c r="D43" s="171" t="str">
        <f aca="false">+'Lead PL'!D210</f>
        <v>Profit / Loss</v>
      </c>
      <c r="E43" s="205" t="n">
        <f aca="false">SUM(E40:E42)</f>
        <v>0</v>
      </c>
      <c r="F43" s="205" t="n">
        <f aca="false">SUM(F40:F42)</f>
        <v>0</v>
      </c>
      <c r="G43" s="205" t="n">
        <f aca="false">SUM(G40:G42)</f>
        <v>0</v>
      </c>
      <c r="H43" s="439" t="n">
        <f aca="false">SUM(H40:H42)</f>
        <v>0</v>
      </c>
      <c r="I43" s="207" t="n">
        <f aca="false">SUM(I40:I42)</f>
        <v>0</v>
      </c>
      <c r="J43" s="205" t="n">
        <f aca="false">SUM(H43:I43)</f>
        <v>0</v>
      </c>
      <c r="K43" s="301"/>
      <c r="L43" s="301"/>
      <c r="M43" s="301"/>
      <c r="N43" s="171" t="str">
        <f aca="false">C43</f>
        <v>Jahresüberschuss</v>
      </c>
      <c r="O43" s="171" t="str">
        <f aca="false">D43</f>
        <v>Profit / Loss</v>
      </c>
      <c r="P43" s="205" t="n">
        <f aca="false">SUM(P40:P42)</f>
        <v>0</v>
      </c>
      <c r="Q43" s="205" t="n">
        <f aca="false">SUM(Q40:Q42)</f>
        <v>0</v>
      </c>
      <c r="R43" s="205" t="n">
        <f aca="false">SUM(R40:R42)</f>
        <v>0</v>
      </c>
      <c r="S43" s="439" t="n">
        <f aca="false">SUM(S40:S42)</f>
        <v>0</v>
      </c>
      <c r="T43" s="207" t="n">
        <f aca="false">SUM(T40:T42)</f>
        <v>0</v>
      </c>
      <c r="U43" s="205" t="n">
        <f aca="false">SUM(S43:T43)</f>
        <v>0</v>
      </c>
      <c r="V43" s="301"/>
      <c r="W43" s="301"/>
      <c r="X43" s="301"/>
      <c r="Y43" s="171" t="str">
        <f aca="false">N43</f>
        <v>Jahresüberschuss</v>
      </c>
      <c r="Z43" s="171" t="str">
        <f aca="false">O43</f>
        <v>Profit / Loss</v>
      </c>
      <c r="AA43" s="205" t="n">
        <f aca="false">SUM(AA40:AA42)</f>
        <v>0</v>
      </c>
      <c r="AB43" s="205" t="n">
        <f aca="false">SUM(AB40:AB42)</f>
        <v>0</v>
      </c>
      <c r="AC43" s="205" t="n">
        <f aca="false">SUM(AC40:AC42)</f>
        <v>0</v>
      </c>
      <c r="AD43" s="439" t="n">
        <f aca="false">SUM(AD40:AD42)</f>
        <v>0</v>
      </c>
      <c r="AE43" s="207" t="n">
        <f aca="false">SUM(AE40:AE42)</f>
        <v>0</v>
      </c>
      <c r="AF43" s="205" t="n">
        <f aca="false">SUM(AD43:AE43)</f>
        <v>0</v>
      </c>
      <c r="AG43" s="301"/>
    </row>
    <row r="44" customFormat="false" ht="4.5" hidden="false" customHeight="true" outlineLevel="0" collapsed="false">
      <c r="B44" s="301"/>
      <c r="C44" s="51"/>
      <c r="D44" s="51"/>
      <c r="E44" s="159"/>
      <c r="F44" s="159"/>
      <c r="G44" s="159"/>
      <c r="H44" s="421"/>
      <c r="I44" s="160"/>
      <c r="J44" s="159"/>
      <c r="K44" s="301"/>
      <c r="L44" s="301"/>
      <c r="M44" s="301"/>
      <c r="N44" s="51"/>
      <c r="O44" s="51"/>
      <c r="P44" s="159"/>
      <c r="Q44" s="159"/>
      <c r="R44" s="159"/>
      <c r="S44" s="421"/>
      <c r="T44" s="160"/>
      <c r="U44" s="159"/>
      <c r="V44" s="301"/>
      <c r="W44" s="301"/>
      <c r="X44" s="301"/>
      <c r="Y44" s="51"/>
      <c r="Z44" s="51"/>
      <c r="AA44" s="159"/>
      <c r="AB44" s="159"/>
      <c r="AC44" s="159"/>
      <c r="AD44" s="421"/>
      <c r="AE44" s="160"/>
      <c r="AF44" s="159"/>
      <c r="AG44" s="301"/>
    </row>
    <row r="45" customFormat="false" ht="11.25" hidden="false" customHeight="true" outlineLevel="0" collapsed="false">
      <c r="B45" s="301"/>
      <c r="C45" s="54" t="str">
        <f aca="false">"Quelle: "&amp;Cockpit!$C$7</f>
        <v>Quelle: Datenraum/ eigene Analysen</v>
      </c>
      <c r="D45" s="54" t="str">
        <f aca="false">"Source: "&amp;Cockpit!$C$8</f>
        <v>Source: Virtual Data Room/ Company Information</v>
      </c>
      <c r="E45" s="54"/>
      <c r="F45" s="54"/>
      <c r="G45" s="54"/>
      <c r="H45" s="191"/>
      <c r="I45" s="190"/>
      <c r="J45" s="162"/>
      <c r="K45" s="301"/>
      <c r="L45" s="301"/>
      <c r="M45" s="301"/>
      <c r="N45" s="54" t="str">
        <f aca="false">"Quelle: "&amp;Cockpit!$C$7</f>
        <v>Quelle: Datenraum/ eigene Analysen</v>
      </c>
      <c r="O45" s="54" t="str">
        <f aca="false">"Source: "&amp;Cockpit!$C$8</f>
        <v>Source: Virtual Data Room/ Company Information</v>
      </c>
      <c r="P45" s="54"/>
      <c r="Q45" s="54"/>
      <c r="R45" s="54"/>
      <c r="S45" s="191"/>
      <c r="T45" s="190"/>
      <c r="U45" s="162"/>
      <c r="V45" s="301"/>
      <c r="W45" s="301"/>
      <c r="X45" s="301"/>
      <c r="Y45" s="54" t="str">
        <f aca="false">"Quelle: "&amp;Cockpit!$C$7</f>
        <v>Quelle: Datenraum/ eigene Analysen</v>
      </c>
      <c r="Z45" s="54" t="str">
        <f aca="false">"Source: "&amp;Cockpit!$C$8</f>
        <v>Source: Virtual Data Room/ Company Information</v>
      </c>
      <c r="AA45" s="54"/>
      <c r="AB45" s="54"/>
      <c r="AC45" s="54"/>
      <c r="AD45" s="191"/>
      <c r="AE45" s="190"/>
      <c r="AF45" s="162"/>
      <c r="AG45" s="301"/>
    </row>
    <row r="46" customFormat="false" ht="11.25" hidden="false" customHeight="true" outlineLevel="0" collapsed="false">
      <c r="B46" s="301"/>
      <c r="C46" s="301"/>
      <c r="D46" s="301"/>
      <c r="E46" s="301"/>
      <c r="F46" s="301"/>
      <c r="G46" s="301"/>
      <c r="H46" s="301"/>
      <c r="I46" s="301"/>
      <c r="J46" s="301"/>
      <c r="K46" s="301"/>
      <c r="L46" s="301"/>
      <c r="M46" s="301"/>
      <c r="N46" s="301"/>
      <c r="O46" s="301"/>
      <c r="P46" s="301"/>
      <c r="Q46" s="301"/>
      <c r="R46" s="301"/>
      <c r="S46" s="301"/>
      <c r="T46" s="301"/>
      <c r="U46" s="301"/>
      <c r="V46" s="301"/>
      <c r="W46" s="301"/>
      <c r="X46" s="301"/>
      <c r="Y46" s="301"/>
      <c r="Z46" s="301"/>
      <c r="AA46" s="301"/>
      <c r="AB46" s="301"/>
      <c r="AC46" s="301"/>
      <c r="AD46" s="301"/>
      <c r="AE46" s="301"/>
      <c r="AF46" s="301"/>
      <c r="AG46" s="301"/>
    </row>
    <row r="47" customFormat="false" ht="11.25" hidden="false" customHeight="true" outlineLevel="0" collapsed="false"/>
    <row r="48" customFormat="false" ht="12" hidden="false" customHeight="true" outlineLevel="0" collapsed="false">
      <c r="C48" s="151" t="s">
        <v>469</v>
      </c>
      <c r="D48" s="151" t="s">
        <v>470</v>
      </c>
      <c r="E48" s="152"/>
      <c r="F48" s="152"/>
      <c r="G48" s="152"/>
      <c r="H48" s="152"/>
      <c r="I48" s="152"/>
      <c r="J48" s="152"/>
      <c r="O48" s="151" t="s">
        <v>470</v>
      </c>
      <c r="P48" s="152"/>
      <c r="Q48" s="152"/>
      <c r="R48" s="152"/>
      <c r="S48" s="152"/>
      <c r="T48" s="152"/>
      <c r="U48" s="152"/>
      <c r="Z48" s="151" t="s">
        <v>470</v>
      </c>
      <c r="AA48" s="152"/>
      <c r="AB48" s="152"/>
      <c r="AC48" s="152"/>
      <c r="AD48" s="152"/>
      <c r="AE48" s="152"/>
      <c r="AF48" s="152"/>
    </row>
    <row r="49" customFormat="false" ht="12" hidden="false" customHeight="true" outlineLevel="0" collapsed="false">
      <c r="C49" s="153" t="s">
        <v>245</v>
      </c>
      <c r="D49" s="154" t="s">
        <v>245</v>
      </c>
      <c r="E49" s="155" t="n">
        <f aca="false">E48-E43</f>
        <v>0</v>
      </c>
      <c r="F49" s="155" t="n">
        <f aca="false">F48-F43</f>
        <v>0</v>
      </c>
      <c r="G49" s="155" t="n">
        <f aca="false">G48-G43</f>
        <v>0</v>
      </c>
      <c r="H49" s="155" t="n">
        <f aca="false">H48-H43</f>
        <v>0</v>
      </c>
      <c r="I49" s="155" t="n">
        <f aca="false">I48-I43</f>
        <v>0</v>
      </c>
      <c r="J49" s="155" t="n">
        <f aca="false">J48-J43</f>
        <v>0</v>
      </c>
      <c r="O49" s="154" t="s">
        <v>245</v>
      </c>
      <c r="P49" s="155" t="n">
        <f aca="false">P48-P43</f>
        <v>0</v>
      </c>
      <c r="Q49" s="155" t="n">
        <f aca="false">Q48-Q43</f>
        <v>0</v>
      </c>
      <c r="R49" s="155" t="n">
        <f aca="false">R48-R43</f>
        <v>0</v>
      </c>
      <c r="S49" s="155" t="n">
        <f aca="false">S48-S43</f>
        <v>0</v>
      </c>
      <c r="T49" s="155" t="n">
        <f aca="false">T48-T43</f>
        <v>0</v>
      </c>
      <c r="U49" s="155" t="n">
        <f aca="false">U48-U43</f>
        <v>0</v>
      </c>
      <c r="Z49" s="154" t="s">
        <v>245</v>
      </c>
      <c r="AA49" s="155" t="n">
        <f aca="false">AA48-AA43</f>
        <v>0</v>
      </c>
      <c r="AB49" s="155" t="n">
        <f aca="false">AB48-AB43</f>
        <v>0</v>
      </c>
      <c r="AC49" s="155" t="n">
        <f aca="false">AC48-AC43</f>
        <v>0</v>
      </c>
      <c r="AD49" s="155" t="n">
        <f aca="false">AD48-AD43</f>
        <v>0</v>
      </c>
      <c r="AE49" s="155" t="n">
        <f aca="false">AE48-AE43</f>
        <v>0</v>
      </c>
      <c r="AF49" s="155" t="n">
        <f aca="false">AF48-AF43</f>
        <v>0</v>
      </c>
    </row>
  </sheetData>
  <mergeCells count="12">
    <mergeCell ref="E4:G4"/>
    <mergeCell ref="P4:R4"/>
    <mergeCell ref="AA4:AC4"/>
    <mergeCell ref="E5:G5"/>
    <mergeCell ref="P5:R5"/>
    <mergeCell ref="AA5:AC5"/>
    <mergeCell ref="E7:G7"/>
    <mergeCell ref="P7:R7"/>
    <mergeCell ref="AA7:AC7"/>
    <mergeCell ref="E8:G8"/>
    <mergeCell ref="P8:R8"/>
    <mergeCell ref="AA8:AC8"/>
  </mergeCells>
  <conditionalFormatting sqref="AA49:AF49">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conditionalFormatting sqref="P49:U49">
    <cfRule type="cellIs" priority="5" operator="between" aboveAverage="0" equalAverage="0" bottom="0" percent="0" rank="0" text="" dxfId="2">
      <formula>-1</formula>
      <formula>1</formula>
    </cfRule>
    <cfRule type="cellIs" priority="6" operator="lessThan" aboveAverage="0" equalAverage="0" bottom="0" percent="0" rank="0" text="" dxfId="0">
      <formula>-1</formula>
    </cfRule>
    <cfRule type="cellIs" priority="7" operator="greaterThan" aboveAverage="0" equalAverage="0" bottom="0" percent="0" rank="0" text="" dxfId="0">
      <formula>1</formula>
    </cfRule>
  </conditionalFormatting>
  <conditionalFormatting sqref="E49:J49">
    <cfRule type="cellIs" priority="8" operator="between" aboveAverage="0" equalAverage="0" bottom="0" percent="0" rank="0" text="" dxfId="2">
      <formula>-1</formula>
      <formula>1</formula>
    </cfRule>
    <cfRule type="cellIs" priority="9" operator="lessThan" aboveAverage="0" equalAverage="0" bottom="0" percent="0" rank="0" text="" dxfId="0">
      <formula>-1</formula>
    </cfRule>
    <cfRule type="cellIs" priority="10"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B1:X49"/>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O60" activeCellId="0" sqref="O60"/>
    </sheetView>
  </sheetViews>
  <sheetFormatPr defaultColWidth="11.2890625" defaultRowHeight="11.25" zeroHeight="false" outlineLevelRow="3" outlineLevelCol="2"/>
  <cols>
    <col collapsed="false" customWidth="false" hidden="false" outlineLevel="0" max="1" min="1" style="1" width="11.29"/>
    <col collapsed="false" customWidth="true" hidden="true" outlineLevel="2" max="2" min="2" style="1" width="0.86"/>
    <col collapsed="false" customWidth="true" hidden="true" outlineLevel="2" max="3" min="3" style="1" width="29.14"/>
    <col collapsed="false" customWidth="true" hidden="false" outlineLevel="0" max="4" min="4" style="1" width="29.14"/>
    <col collapsed="false" customWidth="true" hidden="false" outlineLevel="0" max="7" min="5" style="1" width="14.14"/>
    <col collapsed="false" customWidth="true" hidden="true" outlineLevel="2" max="8" min="8" style="1" width="0.86"/>
    <col collapsed="false" customWidth="false" hidden="false" outlineLevel="0" max="9" min="9" style="1" width="11.29"/>
    <col collapsed="false" customWidth="true" hidden="true" outlineLevel="2" max="10" min="10" style="1" width="0.86"/>
    <col collapsed="false" customWidth="true" hidden="true" outlineLevel="2" max="11" min="11" style="1" width="35.57"/>
    <col collapsed="false" customWidth="true" hidden="false" outlineLevel="0" max="12" min="12" style="1" width="35.57"/>
    <col collapsed="false" customWidth="true" hidden="false" outlineLevel="0" max="14" min="13" style="1" width="13.29"/>
    <col collapsed="false" customWidth="true" hidden="false" outlineLevel="0" max="15" min="15" style="1" width="9.42"/>
    <col collapsed="false" customWidth="true" hidden="true" outlineLevel="2" max="16" min="16" style="1" width="0.86"/>
    <col collapsed="false" customWidth="false" hidden="false" outlineLevel="0" max="17" min="17" style="1" width="11.29"/>
    <col collapsed="false" customWidth="true" hidden="true" outlineLevel="2" max="18" min="18" style="1" width="0.86"/>
    <col collapsed="false" customWidth="true" hidden="true" outlineLevel="2" max="19" min="19" style="1" width="35.57"/>
    <col collapsed="false" customWidth="true" hidden="false" outlineLevel="0" max="20" min="20" style="1" width="35.57"/>
    <col collapsed="false" customWidth="true" hidden="false" outlineLevel="0" max="22" min="21" style="1" width="13.29"/>
    <col collapsed="false" customWidth="true" hidden="false" outlineLevel="0" max="23" min="23" style="1" width="9.42"/>
    <col collapsed="false" customWidth="true" hidden="true" outlineLevel="2" max="24" min="24" style="1" width="0.86"/>
    <col collapsed="false" customWidth="false" hidden="false" outlineLevel="0" max="16384" min="25" style="1" width="11.29"/>
  </cols>
  <sheetData>
    <row r="1" customFormat="false" ht="11.25" hidden="true" customHeight="true" outlineLevel="3" collapsed="false"/>
    <row r="3" customFormat="false" ht="11.25" hidden="false" customHeight="true" outlineLevel="0" collapsed="false">
      <c r="B3" s="301"/>
      <c r="H3" s="301"/>
      <c r="J3" s="301"/>
      <c r="P3" s="301"/>
      <c r="R3" s="301"/>
      <c r="X3" s="301"/>
    </row>
    <row r="4" customFormat="false" ht="11.25" hidden="true" customHeight="true" outlineLevel="3" collapsed="false">
      <c r="B4" s="301"/>
      <c r="C4" s="220" t="str">
        <f aca="false">Cockpit!$C$4</f>
        <v>Template</v>
      </c>
      <c r="D4" s="221"/>
      <c r="E4" s="221" t="n">
        <f aca="false">'Lead PL'!F4</f>
        <v>44926</v>
      </c>
      <c r="F4" s="221" t="n">
        <f aca="false">'Lead PL'!F4</f>
        <v>44926</v>
      </c>
      <c r="G4" s="221"/>
      <c r="H4" s="301"/>
      <c r="J4" s="301"/>
      <c r="K4" s="220" t="str">
        <f aca="false">Cockpit!$C$4</f>
        <v>Template</v>
      </c>
      <c r="L4" s="221"/>
      <c r="M4" s="221" t="n">
        <f aca="false">'Lead PL'!G4</f>
        <v>45291</v>
      </c>
      <c r="N4" s="221" t="n">
        <f aca="false">'Lead PL'!G4</f>
        <v>45291</v>
      </c>
      <c r="O4" s="221"/>
      <c r="P4" s="301"/>
      <c r="R4" s="301"/>
      <c r="S4" s="220" t="str">
        <f aca="false">Cockpit!$C$4</f>
        <v>Template</v>
      </c>
      <c r="T4" s="221"/>
      <c r="U4" s="221" t="n">
        <f aca="false">'Lead PL'!H4</f>
        <v>45657</v>
      </c>
      <c r="V4" s="221" t="n">
        <f aca="false">'Lead PL'!H4</f>
        <v>45657</v>
      </c>
      <c r="W4" s="221"/>
      <c r="X4" s="301"/>
    </row>
    <row r="5" customFormat="false" ht="11.25" hidden="true" customHeight="true" outlineLevel="3" collapsed="false">
      <c r="B5" s="301"/>
      <c r="C5" s="220"/>
      <c r="D5" s="221"/>
      <c r="E5" s="221" t="s">
        <v>938</v>
      </c>
      <c r="F5" s="221" t="s">
        <v>939</v>
      </c>
      <c r="G5" s="221"/>
      <c r="H5" s="301"/>
      <c r="J5" s="301"/>
      <c r="K5" s="220"/>
      <c r="L5" s="221"/>
      <c r="M5" s="221" t="s">
        <v>938</v>
      </c>
      <c r="N5" s="221" t="s">
        <v>939</v>
      </c>
      <c r="O5" s="221"/>
      <c r="P5" s="301"/>
      <c r="R5" s="301"/>
      <c r="S5" s="220"/>
      <c r="T5" s="221"/>
      <c r="U5" s="221" t="s">
        <v>938</v>
      </c>
      <c r="V5" s="221" t="s">
        <v>939</v>
      </c>
      <c r="W5" s="221"/>
      <c r="X5" s="301"/>
    </row>
    <row r="6" customFormat="false" ht="11.25" hidden="true" customHeight="true" outlineLevel="3" collapsed="false">
      <c r="B6" s="301"/>
      <c r="C6" s="220" t="str">
        <f aca="false">"in T"&amp;Cockpit!$C$5</f>
        <v>in TEUR</v>
      </c>
      <c r="D6" s="221"/>
      <c r="E6" s="221" t="s">
        <v>940</v>
      </c>
      <c r="F6" s="221" t="s">
        <v>941</v>
      </c>
      <c r="G6" s="221" t="s">
        <v>942</v>
      </c>
      <c r="H6" s="301"/>
      <c r="J6" s="301"/>
      <c r="K6" s="220" t="str">
        <f aca="false">"in T"&amp;Cockpit!$C$5</f>
        <v>in TEUR</v>
      </c>
      <c r="L6" s="221"/>
      <c r="M6" s="221" t="s">
        <v>940</v>
      </c>
      <c r="N6" s="221" t="s">
        <v>941</v>
      </c>
      <c r="O6" s="221" t="s">
        <v>942</v>
      </c>
      <c r="P6" s="301"/>
      <c r="R6" s="301"/>
      <c r="S6" s="220" t="str">
        <f aca="false">"in T"&amp;Cockpit!$C$5</f>
        <v>in TEUR</v>
      </c>
      <c r="T6" s="221"/>
      <c r="U6" s="221" t="s">
        <v>940</v>
      </c>
      <c r="V6" s="221" t="s">
        <v>941</v>
      </c>
      <c r="W6" s="221" t="s">
        <v>942</v>
      </c>
      <c r="X6" s="301"/>
    </row>
    <row r="7" customFormat="false" ht="11.25" hidden="false" customHeight="true" outlineLevel="0" collapsed="false">
      <c r="B7" s="301"/>
      <c r="C7" s="442"/>
      <c r="D7" s="228" t="str">
        <f aca="false">Cockpit!$C$4</f>
        <v>Template</v>
      </c>
      <c r="E7" s="227" t="n">
        <f aca="false">'Lead PL'!F6</f>
        <v>44926</v>
      </c>
      <c r="F7" s="227" t="n">
        <f aca="false">'Lead PL'!F4</f>
        <v>44926</v>
      </c>
      <c r="G7" s="227"/>
      <c r="H7" s="301"/>
      <c r="J7" s="301"/>
      <c r="K7" s="442"/>
      <c r="L7" s="228" t="str">
        <f aca="false">Cockpit!$C$4</f>
        <v>Template</v>
      </c>
      <c r="M7" s="227" t="n">
        <f aca="false">'Lead PL'!G6</f>
        <v>45291</v>
      </c>
      <c r="N7" s="227" t="n">
        <f aca="false">'Lead PL'!G6</f>
        <v>45291</v>
      </c>
      <c r="O7" s="227"/>
      <c r="P7" s="301"/>
      <c r="R7" s="301"/>
      <c r="S7" s="442"/>
      <c r="T7" s="228" t="str">
        <f aca="false">Cockpit!$C$4</f>
        <v>Template</v>
      </c>
      <c r="U7" s="227" t="n">
        <f aca="false">'Lead PL'!H6</f>
        <v>45657</v>
      </c>
      <c r="V7" s="227" t="n">
        <f aca="false">'Lead PL'!H6</f>
        <v>45657</v>
      </c>
      <c r="W7" s="227"/>
      <c r="X7" s="301"/>
    </row>
    <row r="8" customFormat="false" ht="11.25" hidden="false" customHeight="true" outlineLevel="0" collapsed="false">
      <c r="B8" s="301"/>
      <c r="C8" s="443"/>
      <c r="D8" s="228"/>
      <c r="E8" s="227" t="s">
        <v>938</v>
      </c>
      <c r="F8" s="227" t="s">
        <v>943</v>
      </c>
      <c r="G8" s="227"/>
      <c r="H8" s="301"/>
      <c r="J8" s="301"/>
      <c r="K8" s="443"/>
      <c r="L8" s="228"/>
      <c r="M8" s="227" t="s">
        <v>938</v>
      </c>
      <c r="N8" s="227" t="s">
        <v>943</v>
      </c>
      <c r="O8" s="227"/>
      <c r="P8" s="301"/>
      <c r="R8" s="301"/>
      <c r="S8" s="443"/>
      <c r="T8" s="228"/>
      <c r="U8" s="227" t="s">
        <v>938</v>
      </c>
      <c r="V8" s="227" t="s">
        <v>943</v>
      </c>
      <c r="W8" s="227"/>
      <c r="X8" s="301"/>
    </row>
    <row r="9" customFormat="false" ht="11.25" hidden="false" customHeight="true" outlineLevel="0" collapsed="false">
      <c r="B9" s="301"/>
      <c r="C9" s="443"/>
      <c r="D9" s="228" t="str">
        <f aca="false">"in k"&amp;Cockpit!$C$5</f>
        <v>in kEUR</v>
      </c>
      <c r="E9" s="227" t="s">
        <v>940</v>
      </c>
      <c r="F9" s="227" t="s">
        <v>944</v>
      </c>
      <c r="G9" s="227" t="s">
        <v>942</v>
      </c>
      <c r="H9" s="301"/>
      <c r="J9" s="301"/>
      <c r="K9" s="443"/>
      <c r="L9" s="228" t="str">
        <f aca="false">"in k"&amp;Cockpit!$C$5</f>
        <v>in kEUR</v>
      </c>
      <c r="M9" s="227" t="s">
        <v>940</v>
      </c>
      <c r="N9" s="227" t="s">
        <v>944</v>
      </c>
      <c r="O9" s="227" t="s">
        <v>942</v>
      </c>
      <c r="P9" s="301"/>
      <c r="R9" s="301"/>
      <c r="S9" s="443"/>
      <c r="T9" s="228" t="str">
        <f aca="false">"in k"&amp;Cockpit!$C$5</f>
        <v>in kEUR</v>
      </c>
      <c r="U9" s="227" t="s">
        <v>940</v>
      </c>
      <c r="V9" s="227" t="s">
        <v>944</v>
      </c>
      <c r="W9" s="227" t="s">
        <v>942</v>
      </c>
      <c r="X9" s="301"/>
    </row>
    <row r="10" customFormat="false" ht="4.5" hidden="false" customHeight="true" outlineLevel="0" collapsed="false">
      <c r="B10" s="301"/>
      <c r="C10" s="51"/>
      <c r="D10" s="51"/>
      <c r="E10" s="159"/>
      <c r="F10" s="159"/>
      <c r="G10" s="159"/>
      <c r="H10" s="301"/>
      <c r="J10" s="301"/>
      <c r="K10" s="51"/>
      <c r="L10" s="51"/>
      <c r="M10" s="159"/>
      <c r="N10" s="159"/>
      <c r="O10" s="159"/>
      <c r="P10" s="301"/>
      <c r="Q10" s="301"/>
      <c r="R10" s="301"/>
      <c r="S10" s="51"/>
      <c r="T10" s="51"/>
      <c r="U10" s="159"/>
      <c r="V10" s="159"/>
      <c r="W10" s="159"/>
      <c r="X10" s="301"/>
    </row>
    <row r="11" customFormat="false" ht="11.25" hidden="false" customHeight="true" outlineLevel="0" collapsed="false">
      <c r="B11" s="301"/>
      <c r="C11" s="51" t="str">
        <f aca="false">+'Lead PL'!C9</f>
        <v>Umsatzerlöse</v>
      </c>
      <c r="D11" s="51" t="str">
        <f aca="false">+'Lead PL'!D9</f>
        <v>Revenues</v>
      </c>
      <c r="E11" s="159"/>
      <c r="F11" s="159"/>
      <c r="G11" s="159" t="n">
        <f aca="false">F11-E11</f>
        <v>0</v>
      </c>
      <c r="H11" s="301"/>
      <c r="J11" s="301"/>
      <c r="K11" s="51" t="str">
        <f aca="false">C11</f>
        <v>Umsatzerlöse</v>
      </c>
      <c r="L11" s="51" t="str">
        <f aca="false">D11</f>
        <v>Revenues</v>
      </c>
      <c r="M11" s="159"/>
      <c r="N11" s="159"/>
      <c r="O11" s="159" t="n">
        <f aca="false">N11-M11</f>
        <v>0</v>
      </c>
      <c r="P11" s="301"/>
      <c r="Q11" s="301"/>
      <c r="R11" s="301"/>
      <c r="S11" s="51" t="str">
        <f aca="false">K11</f>
        <v>Umsatzerlöse</v>
      </c>
      <c r="T11" s="51" t="str">
        <f aca="false">L11</f>
        <v>Revenues</v>
      </c>
      <c r="U11" s="159"/>
      <c r="V11" s="159"/>
      <c r="W11" s="159" t="n">
        <f aca="false">V11-U11</f>
        <v>0</v>
      </c>
      <c r="X11" s="301"/>
    </row>
    <row r="12" customFormat="false" ht="11.25" hidden="true" customHeight="true" outlineLevel="2" collapsed="false">
      <c r="B12" s="301"/>
      <c r="C12" s="51" t="str">
        <f aca="false">+'Lead PL'!C18</f>
        <v>Bestandsveränderung</v>
      </c>
      <c r="D12" s="51" t="str">
        <f aca="false">+'Lead PL'!D18</f>
        <v>Change in inventory</v>
      </c>
      <c r="E12" s="159"/>
      <c r="F12" s="159"/>
      <c r="G12" s="159" t="n">
        <f aca="false">F12-E12</f>
        <v>0</v>
      </c>
      <c r="H12" s="301"/>
      <c r="J12" s="301"/>
      <c r="K12" s="51" t="str">
        <f aca="false">C12</f>
        <v>Bestandsveränderung</v>
      </c>
      <c r="L12" s="51" t="str">
        <f aca="false">D12</f>
        <v>Change in inventory</v>
      </c>
      <c r="M12" s="159"/>
      <c r="N12" s="159"/>
      <c r="O12" s="159" t="n">
        <f aca="false">N12-M12</f>
        <v>0</v>
      </c>
      <c r="P12" s="301"/>
      <c r="Q12" s="301"/>
      <c r="R12" s="301"/>
      <c r="S12" s="51" t="str">
        <f aca="false">K12</f>
        <v>Bestandsveränderung</v>
      </c>
      <c r="T12" s="51" t="str">
        <f aca="false">L12</f>
        <v>Change in inventory</v>
      </c>
      <c r="U12" s="159"/>
      <c r="V12" s="159"/>
      <c r="W12" s="159" t="n">
        <f aca="false">V12-U12</f>
        <v>0</v>
      </c>
      <c r="X12" s="301"/>
    </row>
    <row r="13" customFormat="false" ht="11.25" hidden="true" customHeight="true" outlineLevel="2" collapsed="false">
      <c r="B13" s="301"/>
      <c r="C13" s="51" t="str">
        <f aca="false">+'Lead PL'!C37</f>
        <v>Dummy 2</v>
      </c>
      <c r="D13" s="51" t="str">
        <f aca="false">+'Lead PL'!D37</f>
        <v>Dummy 2</v>
      </c>
      <c r="E13" s="159"/>
      <c r="F13" s="159"/>
      <c r="G13" s="159" t="n">
        <f aca="false">F13-E13</f>
        <v>0</v>
      </c>
      <c r="H13" s="301"/>
      <c r="J13" s="301"/>
      <c r="K13" s="51" t="str">
        <f aca="false">C13</f>
        <v>Dummy 2</v>
      </c>
      <c r="L13" s="51" t="str">
        <f aca="false">D13</f>
        <v>Dummy 2</v>
      </c>
      <c r="M13" s="159"/>
      <c r="N13" s="159"/>
      <c r="O13" s="159" t="n">
        <f aca="false">N13-M13</f>
        <v>0</v>
      </c>
      <c r="P13" s="301"/>
      <c r="Q13" s="301"/>
      <c r="R13" s="301"/>
      <c r="S13" s="51" t="str">
        <f aca="false">K13</f>
        <v>Dummy 2</v>
      </c>
      <c r="T13" s="51" t="str">
        <f aca="false">L13</f>
        <v>Dummy 2</v>
      </c>
      <c r="U13" s="159"/>
      <c r="V13" s="159"/>
      <c r="W13" s="159" t="n">
        <f aca="false">V13-U13</f>
        <v>0</v>
      </c>
      <c r="X13" s="301"/>
    </row>
    <row r="14" customFormat="false" ht="11.25" hidden="true" customHeight="true" outlineLevel="2" collapsed="false">
      <c r="B14" s="301"/>
      <c r="C14" s="54" t="str">
        <f aca="false">+'Lead PL'!C38</f>
        <v>Dummy 3</v>
      </c>
      <c r="D14" s="54" t="str">
        <f aca="false">+'Lead PL'!D38</f>
        <v>Dummy 3</v>
      </c>
      <c r="E14" s="162"/>
      <c r="F14" s="162"/>
      <c r="G14" s="162" t="n">
        <f aca="false">F14-E14</f>
        <v>0</v>
      </c>
      <c r="H14" s="301"/>
      <c r="J14" s="301"/>
      <c r="K14" s="54" t="str">
        <f aca="false">C14</f>
        <v>Dummy 3</v>
      </c>
      <c r="L14" s="54" t="str">
        <f aca="false">D14</f>
        <v>Dummy 3</v>
      </c>
      <c r="M14" s="162"/>
      <c r="N14" s="162"/>
      <c r="O14" s="162" t="n">
        <f aca="false">N14-M14</f>
        <v>0</v>
      </c>
      <c r="P14" s="301"/>
      <c r="Q14" s="301"/>
      <c r="R14" s="301"/>
      <c r="S14" s="54" t="str">
        <f aca="false">K14</f>
        <v>Dummy 3</v>
      </c>
      <c r="T14" s="54" t="str">
        <f aca="false">L14</f>
        <v>Dummy 3</v>
      </c>
      <c r="U14" s="162"/>
      <c r="V14" s="162"/>
      <c r="W14" s="162" t="n">
        <f aca="false">V14-U14</f>
        <v>0</v>
      </c>
      <c r="X14" s="301"/>
    </row>
    <row r="15" customFormat="false" ht="11.25" hidden="false" customHeight="true" outlineLevel="0" collapsed="false">
      <c r="B15" s="301"/>
      <c r="C15" s="165" t="str">
        <f aca="false">+'Lead PL'!C39</f>
        <v>Gesamtleistung</v>
      </c>
      <c r="D15" s="165" t="str">
        <f aca="false">+'Lead PL'!D39</f>
        <v>Total output</v>
      </c>
      <c r="E15" s="165" t="n">
        <f aca="false">SUM(E11:E14)</f>
        <v>0</v>
      </c>
      <c r="F15" s="165" t="n">
        <f aca="false">SUM(F11:F14)</f>
        <v>0</v>
      </c>
      <c r="G15" s="165" t="n">
        <f aca="false">F15-E15</f>
        <v>0</v>
      </c>
      <c r="H15" s="301"/>
      <c r="J15" s="301"/>
      <c r="K15" s="165" t="str">
        <f aca="false">C15</f>
        <v>Gesamtleistung</v>
      </c>
      <c r="L15" s="165" t="str">
        <f aca="false">D15</f>
        <v>Total output</v>
      </c>
      <c r="M15" s="165" t="n">
        <f aca="false">SUM(M11:M14)</f>
        <v>0</v>
      </c>
      <c r="N15" s="165" t="n">
        <f aca="false">SUM(N11:N14)</f>
        <v>0</v>
      </c>
      <c r="O15" s="165" t="n">
        <f aca="false">N15-M15</f>
        <v>0</v>
      </c>
      <c r="P15" s="301"/>
      <c r="Q15" s="301"/>
      <c r="R15" s="301"/>
      <c r="S15" s="165" t="str">
        <f aca="false">K15</f>
        <v>Gesamtleistung</v>
      </c>
      <c r="T15" s="165" t="str">
        <f aca="false">L15</f>
        <v>Total output</v>
      </c>
      <c r="U15" s="165" t="n">
        <f aca="false">SUM(U11:U14)</f>
        <v>0</v>
      </c>
      <c r="V15" s="165" t="n">
        <f aca="false">SUM(V11:V14)</f>
        <v>0</v>
      </c>
      <c r="W15" s="165" t="n">
        <f aca="false">V15-U15</f>
        <v>0</v>
      </c>
      <c r="X15" s="301"/>
    </row>
    <row r="16" customFormat="false" ht="11.25" hidden="false" customHeight="true" outlineLevel="0" collapsed="false">
      <c r="B16" s="301"/>
      <c r="C16" s="51" t="str">
        <f aca="false">+'Lead PL'!C40</f>
        <v>Materialaufwand</v>
      </c>
      <c r="D16" s="51" t="str">
        <f aca="false">+'Lead PL'!D40</f>
        <v>Cost of materials</v>
      </c>
      <c r="E16" s="159"/>
      <c r="F16" s="159"/>
      <c r="G16" s="159" t="n">
        <f aca="false">F16-E16</f>
        <v>0</v>
      </c>
      <c r="H16" s="301"/>
      <c r="J16" s="301"/>
      <c r="K16" s="51" t="str">
        <f aca="false">C16</f>
        <v>Materialaufwand</v>
      </c>
      <c r="L16" s="51" t="str">
        <f aca="false">D16</f>
        <v>Cost of materials</v>
      </c>
      <c r="M16" s="159"/>
      <c r="N16" s="159"/>
      <c r="O16" s="159" t="n">
        <f aca="false">N16-M16</f>
        <v>0</v>
      </c>
      <c r="P16" s="301"/>
      <c r="Q16" s="301"/>
      <c r="R16" s="301"/>
      <c r="S16" s="51" t="str">
        <f aca="false">K16</f>
        <v>Materialaufwand</v>
      </c>
      <c r="T16" s="51" t="str">
        <f aca="false">L16</f>
        <v>Cost of materials</v>
      </c>
      <c r="U16" s="159"/>
      <c r="V16" s="159"/>
      <c r="W16" s="159" t="n">
        <f aca="false">V16-U16</f>
        <v>0</v>
      </c>
      <c r="X16" s="301"/>
    </row>
    <row r="17" customFormat="false" ht="11.25" hidden="true" customHeight="true" outlineLevel="2" collapsed="false">
      <c r="B17" s="301"/>
      <c r="C17" s="51" t="str">
        <f aca="false">+'Lead PL'!C49</f>
        <v>Dummy 1</v>
      </c>
      <c r="D17" s="51" t="str">
        <f aca="false">+'Lead PL'!D49</f>
        <v>Dummy 1</v>
      </c>
      <c r="E17" s="159"/>
      <c r="F17" s="159"/>
      <c r="G17" s="159" t="n">
        <f aca="false">F17-E17</f>
        <v>0</v>
      </c>
      <c r="H17" s="301"/>
      <c r="J17" s="301"/>
      <c r="K17" s="51" t="str">
        <f aca="false">C17</f>
        <v>Dummy 1</v>
      </c>
      <c r="L17" s="51" t="str">
        <f aca="false">D17</f>
        <v>Dummy 1</v>
      </c>
      <c r="M17" s="159"/>
      <c r="N17" s="159"/>
      <c r="O17" s="159" t="n">
        <f aca="false">N17-M17</f>
        <v>0</v>
      </c>
      <c r="P17" s="301"/>
      <c r="Q17" s="301"/>
      <c r="R17" s="301"/>
      <c r="S17" s="51" t="str">
        <f aca="false">K17</f>
        <v>Dummy 1</v>
      </c>
      <c r="T17" s="51" t="str">
        <f aca="false">L17</f>
        <v>Dummy 1</v>
      </c>
      <c r="U17" s="159"/>
      <c r="V17" s="159"/>
      <c r="W17" s="159" t="n">
        <f aca="false">V17-U17</f>
        <v>0</v>
      </c>
      <c r="X17" s="301"/>
    </row>
    <row r="18" customFormat="false" ht="11.25" hidden="true" customHeight="true" outlineLevel="2" collapsed="false">
      <c r="B18" s="301"/>
      <c r="C18" s="51" t="str">
        <f aca="false">+'Lead PL'!C50</f>
        <v>Dummy 2</v>
      </c>
      <c r="D18" s="51" t="str">
        <f aca="false">+'Lead PL'!D50</f>
        <v>Dummy 2</v>
      </c>
      <c r="E18" s="159"/>
      <c r="F18" s="159"/>
      <c r="G18" s="159" t="n">
        <f aca="false">F18-E18</f>
        <v>0</v>
      </c>
      <c r="H18" s="301"/>
      <c r="J18" s="301"/>
      <c r="K18" s="51" t="str">
        <f aca="false">C18</f>
        <v>Dummy 2</v>
      </c>
      <c r="L18" s="51" t="str">
        <f aca="false">D18</f>
        <v>Dummy 2</v>
      </c>
      <c r="M18" s="159"/>
      <c r="N18" s="159"/>
      <c r="O18" s="159" t="n">
        <f aca="false">N18-M18</f>
        <v>0</v>
      </c>
      <c r="P18" s="301"/>
      <c r="Q18" s="301"/>
      <c r="R18" s="301"/>
      <c r="S18" s="51" t="str">
        <f aca="false">K18</f>
        <v>Dummy 2</v>
      </c>
      <c r="T18" s="51" t="str">
        <f aca="false">L18</f>
        <v>Dummy 2</v>
      </c>
      <c r="U18" s="159"/>
      <c r="V18" s="159"/>
      <c r="W18" s="159" t="n">
        <f aca="false">V18-U18</f>
        <v>0</v>
      </c>
      <c r="X18" s="301"/>
    </row>
    <row r="19" customFormat="false" ht="11.25" hidden="true" customHeight="true" outlineLevel="2" collapsed="false">
      <c r="B19" s="301"/>
      <c r="C19" s="54" t="str">
        <f aca="false">+'Lead PL'!C51</f>
        <v>Dummy 3</v>
      </c>
      <c r="D19" s="54" t="str">
        <f aca="false">+'Lead PL'!D51</f>
        <v>Dummy 3</v>
      </c>
      <c r="E19" s="162"/>
      <c r="F19" s="162"/>
      <c r="G19" s="162" t="n">
        <f aca="false">F19-E19</f>
        <v>0</v>
      </c>
      <c r="H19" s="301"/>
      <c r="J19" s="301"/>
      <c r="K19" s="54" t="str">
        <f aca="false">C19</f>
        <v>Dummy 3</v>
      </c>
      <c r="L19" s="54" t="str">
        <f aca="false">D19</f>
        <v>Dummy 3</v>
      </c>
      <c r="M19" s="162"/>
      <c r="N19" s="162"/>
      <c r="O19" s="162" t="n">
        <f aca="false">N19-M19</f>
        <v>0</v>
      </c>
      <c r="P19" s="301"/>
      <c r="Q19" s="301"/>
      <c r="R19" s="301"/>
      <c r="S19" s="54" t="str">
        <f aca="false">K19</f>
        <v>Dummy 3</v>
      </c>
      <c r="T19" s="54" t="str">
        <f aca="false">L19</f>
        <v>Dummy 3</v>
      </c>
      <c r="U19" s="162"/>
      <c r="V19" s="162"/>
      <c r="W19" s="162" t="n">
        <f aca="false">V19-U19</f>
        <v>0</v>
      </c>
      <c r="X19" s="301"/>
    </row>
    <row r="20" customFormat="false" ht="11.25" hidden="false" customHeight="true" outlineLevel="0" collapsed="false">
      <c r="B20" s="301"/>
      <c r="C20" s="165" t="str">
        <f aca="false">+'Lead PL'!C52</f>
        <v>Rohergebnis</v>
      </c>
      <c r="D20" s="165" t="str">
        <f aca="false">+'Lead PL'!D52</f>
        <v>Gross profit</v>
      </c>
      <c r="E20" s="165" t="n">
        <f aca="false">SUM(E15:E19)</f>
        <v>0</v>
      </c>
      <c r="F20" s="165" t="n">
        <f aca="false">SUM(F15:F19)</f>
        <v>0</v>
      </c>
      <c r="G20" s="165" t="n">
        <f aca="false">F20-E20</f>
        <v>0</v>
      </c>
      <c r="H20" s="301"/>
      <c r="J20" s="301"/>
      <c r="K20" s="165" t="str">
        <f aca="false">C20</f>
        <v>Rohergebnis</v>
      </c>
      <c r="L20" s="165" t="str">
        <f aca="false">D20</f>
        <v>Gross profit</v>
      </c>
      <c r="M20" s="165" t="n">
        <f aca="false">SUM(M15:M19)</f>
        <v>0</v>
      </c>
      <c r="N20" s="165" t="n">
        <f aca="false">SUM(N15:N19)</f>
        <v>0</v>
      </c>
      <c r="O20" s="165" t="n">
        <f aca="false">N20-M20</f>
        <v>0</v>
      </c>
      <c r="P20" s="301"/>
      <c r="Q20" s="301"/>
      <c r="R20" s="301"/>
      <c r="S20" s="165" t="str">
        <f aca="false">K20</f>
        <v>Rohergebnis</v>
      </c>
      <c r="T20" s="165" t="str">
        <f aca="false">L20</f>
        <v>Gross profit</v>
      </c>
      <c r="U20" s="165" t="n">
        <f aca="false">SUM(U15:U19)</f>
        <v>0</v>
      </c>
      <c r="V20" s="165" t="n">
        <f aca="false">SUM(V15:V19)</f>
        <v>0</v>
      </c>
      <c r="W20" s="165" t="n">
        <f aca="false">V20-U20</f>
        <v>0</v>
      </c>
      <c r="X20" s="301"/>
    </row>
    <row r="21" customFormat="false" ht="11.25" hidden="false" customHeight="true" outlineLevel="0" collapsed="false">
      <c r="B21" s="301"/>
      <c r="C21" s="51" t="str">
        <f aca="false">+'Lead PL'!C53</f>
        <v>Personalaufwand</v>
      </c>
      <c r="D21" s="51" t="str">
        <f aca="false">+'Lead PL'!D53</f>
        <v>Personnel expenses</v>
      </c>
      <c r="E21" s="159"/>
      <c r="F21" s="159"/>
      <c r="G21" s="159" t="n">
        <f aca="false">F21-E21</f>
        <v>0</v>
      </c>
      <c r="H21" s="301"/>
      <c r="J21" s="301"/>
      <c r="K21" s="51" t="str">
        <f aca="false">C21</f>
        <v>Personalaufwand</v>
      </c>
      <c r="L21" s="51" t="str">
        <f aca="false">D21</f>
        <v>Personnel expenses</v>
      </c>
      <c r="M21" s="159"/>
      <c r="N21" s="159"/>
      <c r="O21" s="159" t="n">
        <f aca="false">N21-M21</f>
        <v>0</v>
      </c>
      <c r="P21" s="301"/>
      <c r="Q21" s="301"/>
      <c r="R21" s="301"/>
      <c r="S21" s="51" t="str">
        <f aca="false">K21</f>
        <v>Personalaufwand</v>
      </c>
      <c r="T21" s="51" t="str">
        <f aca="false">L21</f>
        <v>Personnel expenses</v>
      </c>
      <c r="U21" s="159"/>
      <c r="V21" s="159"/>
      <c r="W21" s="159" t="n">
        <f aca="false">V21-U21</f>
        <v>0</v>
      </c>
      <c r="X21" s="301"/>
    </row>
    <row r="22" customFormat="false" ht="11.25" hidden="false" customHeight="true" outlineLevel="0" collapsed="false">
      <c r="B22" s="301"/>
      <c r="C22" s="51" t="str">
        <f aca="false">+'Lead PL'!C62</f>
        <v>Raumkosten</v>
      </c>
      <c r="D22" s="51" t="str">
        <f aca="false">+'Lead PL'!D62</f>
        <v>Premise costs</v>
      </c>
      <c r="E22" s="159"/>
      <c r="F22" s="159"/>
      <c r="G22" s="159" t="n">
        <f aca="false">F22-E22</f>
        <v>0</v>
      </c>
      <c r="H22" s="301"/>
      <c r="J22" s="301"/>
      <c r="K22" s="51" t="str">
        <f aca="false">C22</f>
        <v>Raumkosten</v>
      </c>
      <c r="L22" s="51" t="str">
        <f aca="false">D22</f>
        <v>Premise costs</v>
      </c>
      <c r="M22" s="159"/>
      <c r="N22" s="159"/>
      <c r="O22" s="159" t="n">
        <f aca="false">N22-M22</f>
        <v>0</v>
      </c>
      <c r="P22" s="301"/>
      <c r="Q22" s="301"/>
      <c r="R22" s="301"/>
      <c r="S22" s="51" t="str">
        <f aca="false">K22</f>
        <v>Raumkosten</v>
      </c>
      <c r="T22" s="51" t="str">
        <f aca="false">L22</f>
        <v>Premise costs</v>
      </c>
      <c r="U22" s="159"/>
      <c r="V22" s="159"/>
      <c r="W22" s="159" t="n">
        <f aca="false">V22-U22</f>
        <v>0</v>
      </c>
      <c r="X22" s="301"/>
    </row>
    <row r="23" customFormat="false" ht="11.25" hidden="false" customHeight="true" outlineLevel="0" collapsed="false">
      <c r="B23" s="301"/>
      <c r="C23" s="51" t="str">
        <f aca="false">+'Lead PL'!C125</f>
        <v>Sonstige betriebliche Erträge</v>
      </c>
      <c r="D23" s="51" t="str">
        <f aca="false">+'Lead PL'!D125</f>
        <v>Other operating income</v>
      </c>
      <c r="E23" s="159"/>
      <c r="F23" s="159"/>
      <c r="G23" s="159" t="n">
        <f aca="false">F23-E23</f>
        <v>0</v>
      </c>
      <c r="H23" s="301"/>
      <c r="J23" s="301"/>
      <c r="K23" s="51" t="str">
        <f aca="false">C23</f>
        <v>Sonstige betriebliche Erträge</v>
      </c>
      <c r="L23" s="51" t="str">
        <f aca="false">D23</f>
        <v>Other operating income</v>
      </c>
      <c r="M23" s="159"/>
      <c r="N23" s="159"/>
      <c r="O23" s="159" t="n">
        <f aca="false">N23-M23</f>
        <v>0</v>
      </c>
      <c r="P23" s="301"/>
      <c r="Q23" s="301"/>
      <c r="R23" s="301"/>
      <c r="S23" s="51" t="str">
        <f aca="false">K23</f>
        <v>Sonstige betriebliche Erträge</v>
      </c>
      <c r="T23" s="51" t="str">
        <f aca="false">L23</f>
        <v>Other operating income</v>
      </c>
      <c r="U23" s="159"/>
      <c r="V23" s="159"/>
      <c r="W23" s="159" t="n">
        <f aca="false">V23-U23</f>
        <v>0</v>
      </c>
      <c r="X23" s="301"/>
    </row>
    <row r="24" customFormat="false" ht="11.25" hidden="true" customHeight="true" outlineLevel="2" collapsed="false">
      <c r="B24" s="301"/>
      <c r="C24" s="51" t="str">
        <f aca="false">+'Lead PL'!C134</f>
        <v>Sonstige betriebliche Aufwendungen</v>
      </c>
      <c r="D24" s="51" t="str">
        <f aca="false">+'Lead PL'!D134</f>
        <v>Other operating expenses</v>
      </c>
      <c r="E24" s="159"/>
      <c r="F24" s="159"/>
      <c r="G24" s="159" t="n">
        <f aca="false">F24-E24</f>
        <v>0</v>
      </c>
      <c r="H24" s="301"/>
      <c r="J24" s="301"/>
      <c r="K24" s="51" t="str">
        <f aca="false">C24</f>
        <v>Sonstige betriebliche Aufwendungen</v>
      </c>
      <c r="L24" s="51" t="str">
        <f aca="false">D24</f>
        <v>Other operating expenses</v>
      </c>
      <c r="M24" s="159"/>
      <c r="N24" s="159"/>
      <c r="O24" s="159" t="n">
        <f aca="false">N24-M24</f>
        <v>0</v>
      </c>
      <c r="P24" s="301"/>
      <c r="Q24" s="301"/>
      <c r="R24" s="301"/>
      <c r="S24" s="51" t="str">
        <f aca="false">K24</f>
        <v>Sonstige betriebliche Aufwendungen</v>
      </c>
      <c r="T24" s="51" t="str">
        <f aca="false">L24</f>
        <v>Other operating expenses</v>
      </c>
      <c r="U24" s="159"/>
      <c r="V24" s="159"/>
      <c r="W24" s="159" t="n">
        <f aca="false">V24-U24</f>
        <v>0</v>
      </c>
      <c r="X24" s="301"/>
    </row>
    <row r="25" customFormat="false" ht="11.25" hidden="true" customHeight="true" outlineLevel="2" collapsed="false">
      <c r="B25" s="301"/>
      <c r="C25" s="51" t="str">
        <f aca="false">+'Lead PL'!C143</f>
        <v>Dummy 1</v>
      </c>
      <c r="D25" s="51" t="str">
        <f aca="false">+'Lead PL'!D143</f>
        <v>Dummy 1</v>
      </c>
      <c r="E25" s="159"/>
      <c r="F25" s="159"/>
      <c r="G25" s="159" t="n">
        <f aca="false">F25-E25</f>
        <v>0</v>
      </c>
      <c r="H25" s="301"/>
      <c r="J25" s="301"/>
      <c r="K25" s="51" t="str">
        <f aca="false">C25</f>
        <v>Dummy 1</v>
      </c>
      <c r="L25" s="51" t="str">
        <f aca="false">D25</f>
        <v>Dummy 1</v>
      </c>
      <c r="M25" s="159"/>
      <c r="N25" s="159"/>
      <c r="O25" s="159" t="n">
        <f aca="false">N25-M25</f>
        <v>0</v>
      </c>
      <c r="P25" s="301"/>
      <c r="Q25" s="301"/>
      <c r="R25" s="301"/>
      <c r="S25" s="51" t="str">
        <f aca="false">K25</f>
        <v>Dummy 1</v>
      </c>
      <c r="T25" s="51" t="str">
        <f aca="false">L25</f>
        <v>Dummy 1</v>
      </c>
      <c r="U25" s="159"/>
      <c r="V25" s="159"/>
      <c r="W25" s="159" t="n">
        <f aca="false">V25-U25</f>
        <v>0</v>
      </c>
      <c r="X25" s="301"/>
    </row>
    <row r="26" customFormat="false" ht="11.25" hidden="true" customHeight="true" outlineLevel="2" collapsed="false">
      <c r="B26" s="301"/>
      <c r="C26" s="54" t="str">
        <f aca="false">+'Lead PL'!C144</f>
        <v>Dummy 2</v>
      </c>
      <c r="D26" s="54" t="str">
        <f aca="false">+'Lead PL'!D144</f>
        <v>Dummy 2</v>
      </c>
      <c r="E26" s="162"/>
      <c r="F26" s="162"/>
      <c r="G26" s="162" t="n">
        <f aca="false">F26-E26</f>
        <v>0</v>
      </c>
      <c r="H26" s="301"/>
      <c r="J26" s="301"/>
      <c r="K26" s="54" t="str">
        <f aca="false">C26</f>
        <v>Dummy 2</v>
      </c>
      <c r="L26" s="54" t="str">
        <f aca="false">D26</f>
        <v>Dummy 2</v>
      </c>
      <c r="M26" s="162"/>
      <c r="N26" s="162"/>
      <c r="O26" s="162" t="n">
        <f aca="false">N26-M26</f>
        <v>0</v>
      </c>
      <c r="P26" s="301"/>
      <c r="Q26" s="301"/>
      <c r="R26" s="301"/>
      <c r="S26" s="54" t="str">
        <f aca="false">K26</f>
        <v>Dummy 2</v>
      </c>
      <c r="T26" s="54" t="str">
        <f aca="false">L26</f>
        <v>Dummy 2</v>
      </c>
      <c r="U26" s="162"/>
      <c r="V26" s="162"/>
      <c r="W26" s="162" t="n">
        <f aca="false">V26-U26</f>
        <v>0</v>
      </c>
      <c r="X26" s="301"/>
    </row>
    <row r="27" customFormat="false" ht="11.25" hidden="false" customHeight="true" outlineLevel="0" collapsed="false">
      <c r="B27" s="301"/>
      <c r="C27" s="165" t="str">
        <f aca="false">+'Lead PL'!C146</f>
        <v>EBITDA</v>
      </c>
      <c r="D27" s="165" t="str">
        <f aca="false">+'Lead PL'!D146</f>
        <v>EBITDA</v>
      </c>
      <c r="E27" s="165" t="n">
        <f aca="false">SUM(E20:E26)</f>
        <v>0</v>
      </c>
      <c r="F27" s="165" t="n">
        <f aca="false">SUM(F20:F26)</f>
        <v>0</v>
      </c>
      <c r="G27" s="165" t="n">
        <f aca="false">F27-E27</f>
        <v>0</v>
      </c>
      <c r="H27" s="301"/>
      <c r="J27" s="301"/>
      <c r="K27" s="165" t="str">
        <f aca="false">C27</f>
        <v>EBITDA</v>
      </c>
      <c r="L27" s="165" t="str">
        <f aca="false">D27</f>
        <v>EBITDA</v>
      </c>
      <c r="M27" s="165" t="n">
        <f aca="false">SUM(M20:M26)</f>
        <v>0</v>
      </c>
      <c r="N27" s="165" t="n">
        <f aca="false">SUM(N20:N26)</f>
        <v>0</v>
      </c>
      <c r="O27" s="165" t="n">
        <f aca="false">N27-M27</f>
        <v>0</v>
      </c>
      <c r="P27" s="301"/>
      <c r="Q27" s="301"/>
      <c r="R27" s="301"/>
      <c r="S27" s="165" t="str">
        <f aca="false">K27</f>
        <v>EBITDA</v>
      </c>
      <c r="T27" s="165" t="str">
        <f aca="false">L27</f>
        <v>EBITDA</v>
      </c>
      <c r="U27" s="165" t="n">
        <f aca="false">SUM(U20:U26)</f>
        <v>0</v>
      </c>
      <c r="V27" s="165" t="n">
        <f aca="false">SUM(V20:V26)</f>
        <v>0</v>
      </c>
      <c r="W27" s="165" t="n">
        <f aca="false">V27-U27</f>
        <v>0</v>
      </c>
      <c r="X27" s="301"/>
    </row>
    <row r="28" customFormat="false" ht="11.25" hidden="false" customHeight="true" outlineLevel="0" collapsed="false">
      <c r="B28" s="301"/>
      <c r="C28" s="51" t="str">
        <f aca="false">+'Lead PL'!C147</f>
        <v>Abschreibungen</v>
      </c>
      <c r="D28" s="51" t="str">
        <f aca="false">+'Lead PL'!D147</f>
        <v>Depreciation</v>
      </c>
      <c r="E28" s="159"/>
      <c r="F28" s="159"/>
      <c r="G28" s="159" t="n">
        <f aca="false">F28-E28</f>
        <v>0</v>
      </c>
      <c r="H28" s="301"/>
      <c r="J28" s="301"/>
      <c r="K28" s="51" t="str">
        <f aca="false">C28</f>
        <v>Abschreibungen</v>
      </c>
      <c r="L28" s="51" t="str">
        <f aca="false">D28</f>
        <v>Depreciation</v>
      </c>
      <c r="M28" s="159"/>
      <c r="N28" s="159"/>
      <c r="O28" s="159" t="n">
        <f aca="false">N28-M28</f>
        <v>0</v>
      </c>
      <c r="P28" s="301"/>
      <c r="Q28" s="301"/>
      <c r="R28" s="301"/>
      <c r="S28" s="51" t="str">
        <f aca="false">K28</f>
        <v>Abschreibungen</v>
      </c>
      <c r="T28" s="51" t="str">
        <f aca="false">L28</f>
        <v>Depreciation</v>
      </c>
      <c r="U28" s="159"/>
      <c r="V28" s="159"/>
      <c r="W28" s="159" t="n">
        <f aca="false">V28-U28</f>
        <v>0</v>
      </c>
      <c r="X28" s="301"/>
    </row>
    <row r="29" customFormat="false" ht="11.25" hidden="true" customHeight="true" outlineLevel="2" collapsed="false">
      <c r="B29" s="301"/>
      <c r="C29" s="51" t="str">
        <f aca="false">+'Lead PL'!C156</f>
        <v>Dummy 1</v>
      </c>
      <c r="D29" s="51" t="str">
        <f aca="false">+'Lead PL'!D156</f>
        <v>Dummy 1</v>
      </c>
      <c r="E29" s="159"/>
      <c r="F29" s="159"/>
      <c r="G29" s="159" t="n">
        <f aca="false">F29-E29</f>
        <v>0</v>
      </c>
      <c r="H29" s="301"/>
      <c r="J29" s="301"/>
      <c r="K29" s="51" t="str">
        <f aca="false">C29</f>
        <v>Dummy 1</v>
      </c>
      <c r="L29" s="51" t="str">
        <f aca="false">D29</f>
        <v>Dummy 1</v>
      </c>
      <c r="M29" s="159"/>
      <c r="N29" s="159"/>
      <c r="O29" s="159" t="n">
        <f aca="false">N29-M29</f>
        <v>0</v>
      </c>
      <c r="P29" s="301"/>
      <c r="Q29" s="301"/>
      <c r="R29" s="301"/>
      <c r="S29" s="51" t="str">
        <f aca="false">K29</f>
        <v>Dummy 1</v>
      </c>
      <c r="T29" s="51" t="str">
        <f aca="false">L29</f>
        <v>Dummy 1</v>
      </c>
      <c r="U29" s="159"/>
      <c r="V29" s="159"/>
      <c r="W29" s="159" t="n">
        <f aca="false">V29-U29</f>
        <v>0</v>
      </c>
      <c r="X29" s="301"/>
    </row>
    <row r="30" customFormat="false" ht="11.25" hidden="true" customHeight="true" outlineLevel="2" collapsed="false">
      <c r="B30" s="301"/>
      <c r="C30" s="51" t="str">
        <f aca="false">+'Lead PL'!C157</f>
        <v>Dummy 2</v>
      </c>
      <c r="D30" s="51" t="str">
        <f aca="false">+'Lead PL'!D157</f>
        <v>Dummy 2</v>
      </c>
      <c r="E30" s="159"/>
      <c r="F30" s="159"/>
      <c r="G30" s="159" t="n">
        <f aca="false">F30-E30</f>
        <v>0</v>
      </c>
      <c r="H30" s="301"/>
      <c r="J30" s="301"/>
      <c r="K30" s="51" t="str">
        <f aca="false">C30</f>
        <v>Dummy 2</v>
      </c>
      <c r="L30" s="51" t="str">
        <f aca="false">D30</f>
        <v>Dummy 2</v>
      </c>
      <c r="M30" s="159"/>
      <c r="N30" s="159"/>
      <c r="O30" s="159" t="n">
        <f aca="false">N30-M30</f>
        <v>0</v>
      </c>
      <c r="P30" s="301"/>
      <c r="Q30" s="301"/>
      <c r="R30" s="301"/>
      <c r="S30" s="51" t="str">
        <f aca="false">K30</f>
        <v>Dummy 2</v>
      </c>
      <c r="T30" s="51" t="str">
        <f aca="false">L30</f>
        <v>Dummy 2</v>
      </c>
      <c r="U30" s="159"/>
      <c r="V30" s="159"/>
      <c r="W30" s="159" t="n">
        <f aca="false">V30-U30</f>
        <v>0</v>
      </c>
      <c r="X30" s="301"/>
    </row>
    <row r="31" customFormat="false" ht="11.25" hidden="true" customHeight="true" outlineLevel="2" collapsed="false">
      <c r="B31" s="301"/>
      <c r="C31" s="54" t="str">
        <f aca="false">+'Lead PL'!C158</f>
        <v>Dummy 3</v>
      </c>
      <c r="D31" s="54" t="str">
        <f aca="false">+'Lead PL'!D158</f>
        <v>Dummy 3</v>
      </c>
      <c r="E31" s="162"/>
      <c r="F31" s="162"/>
      <c r="G31" s="162" t="n">
        <f aca="false">F31-E31</f>
        <v>0</v>
      </c>
      <c r="H31" s="301"/>
      <c r="J31" s="301"/>
      <c r="K31" s="54" t="str">
        <f aca="false">C31</f>
        <v>Dummy 3</v>
      </c>
      <c r="L31" s="54" t="str">
        <f aca="false">D31</f>
        <v>Dummy 3</v>
      </c>
      <c r="M31" s="162"/>
      <c r="N31" s="162"/>
      <c r="O31" s="162" t="n">
        <f aca="false">N31-M31</f>
        <v>0</v>
      </c>
      <c r="P31" s="301"/>
      <c r="Q31" s="301"/>
      <c r="R31" s="301"/>
      <c r="S31" s="54" t="str">
        <f aca="false">K31</f>
        <v>Dummy 3</v>
      </c>
      <c r="T31" s="54" t="str">
        <f aca="false">L31</f>
        <v>Dummy 3</v>
      </c>
      <c r="U31" s="162"/>
      <c r="V31" s="162"/>
      <c r="W31" s="162" t="n">
        <f aca="false">V31-U31</f>
        <v>0</v>
      </c>
      <c r="X31" s="301"/>
    </row>
    <row r="32" customFormat="false" ht="11.25" hidden="false" customHeight="true" outlineLevel="0" collapsed="false">
      <c r="B32" s="301"/>
      <c r="C32" s="165" t="str">
        <f aca="false">+'Lead PL'!C159</f>
        <v>EBIT</v>
      </c>
      <c r="D32" s="165" t="str">
        <f aca="false">+'Lead PL'!D159</f>
        <v>EBIT</v>
      </c>
      <c r="E32" s="165" t="n">
        <f aca="false">SUM(E27:E31)</f>
        <v>0</v>
      </c>
      <c r="F32" s="165" t="n">
        <f aca="false">SUM(F27:F31)</f>
        <v>0</v>
      </c>
      <c r="G32" s="165" t="n">
        <f aca="false">F32-E32</f>
        <v>0</v>
      </c>
      <c r="H32" s="301"/>
      <c r="J32" s="301"/>
      <c r="K32" s="165" t="str">
        <f aca="false">C32</f>
        <v>EBIT</v>
      </c>
      <c r="L32" s="165" t="str">
        <f aca="false">D32</f>
        <v>EBIT</v>
      </c>
      <c r="M32" s="165" t="n">
        <f aca="false">SUM(M27:M31)</f>
        <v>0</v>
      </c>
      <c r="N32" s="165" t="n">
        <f aca="false">SUM(N27:N31)</f>
        <v>0</v>
      </c>
      <c r="O32" s="165" t="n">
        <f aca="false">N32-M32</f>
        <v>0</v>
      </c>
      <c r="P32" s="301"/>
      <c r="Q32" s="301"/>
      <c r="R32" s="301"/>
      <c r="S32" s="165" t="str">
        <f aca="false">K32</f>
        <v>EBIT</v>
      </c>
      <c r="T32" s="165" t="str">
        <f aca="false">L32</f>
        <v>EBIT</v>
      </c>
      <c r="U32" s="165" t="n">
        <f aca="false">SUM(U27:U31)</f>
        <v>0</v>
      </c>
      <c r="V32" s="165" t="n">
        <f aca="false">SUM(V27:V31)</f>
        <v>0</v>
      </c>
      <c r="W32" s="165" t="n">
        <f aca="false">V32-U32</f>
        <v>0</v>
      </c>
      <c r="X32" s="301"/>
    </row>
    <row r="33" customFormat="false" ht="11.25" hidden="false" customHeight="true" outlineLevel="1" collapsed="false">
      <c r="B33" s="301"/>
      <c r="C33" s="186" t="str">
        <f aca="false">+'Lead PL'!C160</f>
        <v>Beteiligungsergebnis</v>
      </c>
      <c r="D33" s="186" t="str">
        <f aca="false">+'Lead PL'!D160</f>
        <v>Investment income</v>
      </c>
      <c r="E33" s="159"/>
      <c r="F33" s="159"/>
      <c r="G33" s="159" t="n">
        <f aca="false">F33-E33</f>
        <v>0</v>
      </c>
      <c r="H33" s="301"/>
      <c r="J33" s="301"/>
      <c r="K33" s="186" t="str">
        <f aca="false">C33</f>
        <v>Beteiligungsergebnis</v>
      </c>
      <c r="L33" s="186" t="str">
        <f aca="false">D33</f>
        <v>Investment income</v>
      </c>
      <c r="M33" s="159"/>
      <c r="N33" s="159"/>
      <c r="O33" s="159" t="n">
        <f aca="false">N33-M33</f>
        <v>0</v>
      </c>
      <c r="P33" s="301"/>
      <c r="Q33" s="301"/>
      <c r="R33" s="301"/>
      <c r="S33" s="186" t="str">
        <f aca="false">K33</f>
        <v>Beteiligungsergebnis</v>
      </c>
      <c r="T33" s="186" t="str">
        <f aca="false">L33</f>
        <v>Investment income</v>
      </c>
      <c r="U33" s="159"/>
      <c r="V33" s="159"/>
      <c r="W33" s="159" t="n">
        <f aca="false">V33-U33</f>
        <v>0</v>
      </c>
      <c r="X33" s="301"/>
    </row>
    <row r="34" customFormat="false" ht="11.25" hidden="false" customHeight="true" outlineLevel="1" collapsed="false">
      <c r="B34" s="301"/>
      <c r="C34" s="186" t="str">
        <f aca="false">+'Lead PL'!C169</f>
        <v>Zinserträge</v>
      </c>
      <c r="D34" s="186" t="str">
        <f aca="false">+'Lead PL'!D169</f>
        <v>Interest income</v>
      </c>
      <c r="E34" s="159"/>
      <c r="F34" s="159"/>
      <c r="G34" s="159" t="n">
        <f aca="false">F34-E34</f>
        <v>0</v>
      </c>
      <c r="H34" s="301"/>
      <c r="J34" s="301"/>
      <c r="K34" s="186" t="str">
        <f aca="false">C34</f>
        <v>Zinserträge</v>
      </c>
      <c r="L34" s="186" t="str">
        <f aca="false">D34</f>
        <v>Interest income</v>
      </c>
      <c r="M34" s="159"/>
      <c r="N34" s="159"/>
      <c r="O34" s="159" t="n">
        <f aca="false">N34-M34</f>
        <v>0</v>
      </c>
      <c r="P34" s="301"/>
      <c r="Q34" s="301"/>
      <c r="R34" s="301"/>
      <c r="S34" s="186" t="str">
        <f aca="false">K34</f>
        <v>Zinserträge</v>
      </c>
      <c r="T34" s="186" t="str">
        <f aca="false">L34</f>
        <v>Interest income</v>
      </c>
      <c r="U34" s="159"/>
      <c r="V34" s="159"/>
      <c r="W34" s="159" t="n">
        <f aca="false">V34-U34</f>
        <v>0</v>
      </c>
      <c r="X34" s="301"/>
    </row>
    <row r="35" customFormat="false" ht="11.25" hidden="false" customHeight="true" outlineLevel="1" collapsed="false">
      <c r="B35" s="301"/>
      <c r="C35" s="186" t="str">
        <f aca="false">+'Lead PL'!C178</f>
        <v>Zinsaufwendungen</v>
      </c>
      <c r="D35" s="186" t="str">
        <f aca="false">+'Lead PL'!D178</f>
        <v>Interest expenses</v>
      </c>
      <c r="E35" s="159"/>
      <c r="F35" s="159"/>
      <c r="G35" s="159" t="n">
        <f aca="false">F35-E35</f>
        <v>0</v>
      </c>
      <c r="H35" s="301"/>
      <c r="J35" s="301"/>
      <c r="K35" s="186" t="str">
        <f aca="false">C35</f>
        <v>Zinsaufwendungen</v>
      </c>
      <c r="L35" s="186" t="str">
        <f aca="false">D35</f>
        <v>Interest expenses</v>
      </c>
      <c r="M35" s="159"/>
      <c r="N35" s="159"/>
      <c r="O35" s="159" t="n">
        <f aca="false">N35-M35</f>
        <v>0</v>
      </c>
      <c r="P35" s="301"/>
      <c r="Q35" s="301"/>
      <c r="R35" s="301"/>
      <c r="S35" s="186" t="str">
        <f aca="false">K35</f>
        <v>Zinsaufwendungen</v>
      </c>
      <c r="T35" s="186" t="str">
        <f aca="false">L35</f>
        <v>Interest expenses</v>
      </c>
      <c r="U35" s="159"/>
      <c r="V35" s="159"/>
      <c r="W35" s="159" t="n">
        <f aca="false">V35-U35</f>
        <v>0</v>
      </c>
      <c r="X35" s="301"/>
    </row>
    <row r="36" customFormat="false" ht="11.25" hidden="true" customHeight="true" outlineLevel="2" collapsed="false">
      <c r="B36" s="301"/>
      <c r="C36" s="186" t="str">
        <f aca="false">+'Lead PL'!C187</f>
        <v>Dummy 1</v>
      </c>
      <c r="D36" s="186" t="str">
        <f aca="false">+'Lead PL'!D187</f>
        <v>Dummy 1</v>
      </c>
      <c r="E36" s="159"/>
      <c r="F36" s="159"/>
      <c r="G36" s="159" t="n">
        <f aca="false">F36-E36</f>
        <v>0</v>
      </c>
      <c r="H36" s="301"/>
      <c r="J36" s="301"/>
      <c r="K36" s="186" t="str">
        <f aca="false">C36</f>
        <v>Dummy 1</v>
      </c>
      <c r="L36" s="186" t="str">
        <f aca="false">D36</f>
        <v>Dummy 1</v>
      </c>
      <c r="M36" s="159"/>
      <c r="N36" s="159"/>
      <c r="O36" s="159" t="n">
        <f aca="false">N36-M36</f>
        <v>0</v>
      </c>
      <c r="P36" s="301"/>
      <c r="Q36" s="301"/>
      <c r="R36" s="301"/>
      <c r="S36" s="186" t="str">
        <f aca="false">K36</f>
        <v>Dummy 1</v>
      </c>
      <c r="T36" s="186" t="str">
        <f aca="false">L36</f>
        <v>Dummy 1</v>
      </c>
      <c r="U36" s="159"/>
      <c r="V36" s="159"/>
      <c r="W36" s="159" t="n">
        <f aca="false">V36-U36</f>
        <v>0</v>
      </c>
      <c r="X36" s="301"/>
    </row>
    <row r="37" customFormat="false" ht="11.25" hidden="true" customHeight="true" outlineLevel="2" collapsed="false">
      <c r="B37" s="301"/>
      <c r="C37" s="186" t="str">
        <f aca="false">+'Lead PL'!C188</f>
        <v>Dummy 2</v>
      </c>
      <c r="D37" s="186" t="str">
        <f aca="false">+'Lead PL'!D188</f>
        <v>Dummy 2</v>
      </c>
      <c r="E37" s="159"/>
      <c r="F37" s="159"/>
      <c r="G37" s="159" t="n">
        <f aca="false">F37-E37</f>
        <v>0</v>
      </c>
      <c r="H37" s="301"/>
      <c r="J37" s="301"/>
      <c r="K37" s="186" t="str">
        <f aca="false">C37</f>
        <v>Dummy 2</v>
      </c>
      <c r="L37" s="186" t="str">
        <f aca="false">D37</f>
        <v>Dummy 2</v>
      </c>
      <c r="M37" s="159"/>
      <c r="N37" s="159"/>
      <c r="O37" s="159" t="n">
        <f aca="false">N37-M37</f>
        <v>0</v>
      </c>
      <c r="P37" s="301"/>
      <c r="Q37" s="301"/>
      <c r="R37" s="301"/>
      <c r="S37" s="186" t="str">
        <f aca="false">K37</f>
        <v>Dummy 2</v>
      </c>
      <c r="T37" s="186" t="str">
        <f aca="false">L37</f>
        <v>Dummy 2</v>
      </c>
      <c r="U37" s="159"/>
      <c r="V37" s="159"/>
      <c r="W37" s="159" t="n">
        <f aca="false">V37-U37</f>
        <v>0</v>
      </c>
      <c r="X37" s="301"/>
    </row>
    <row r="38" customFormat="false" ht="11.25" hidden="true" customHeight="true" outlineLevel="2" collapsed="false">
      <c r="B38" s="301"/>
      <c r="C38" s="186" t="str">
        <f aca="false">+'Lead PL'!C189</f>
        <v>Dummy 3</v>
      </c>
      <c r="D38" s="186" t="str">
        <f aca="false">+'Lead PL'!D189</f>
        <v>Dummy 3</v>
      </c>
      <c r="E38" s="159"/>
      <c r="F38" s="159"/>
      <c r="G38" s="159" t="n">
        <f aca="false">F38-E38</f>
        <v>0</v>
      </c>
      <c r="H38" s="301"/>
      <c r="J38" s="301"/>
      <c r="K38" s="186" t="str">
        <f aca="false">C38</f>
        <v>Dummy 3</v>
      </c>
      <c r="L38" s="186" t="str">
        <f aca="false">D38</f>
        <v>Dummy 3</v>
      </c>
      <c r="M38" s="159"/>
      <c r="N38" s="159"/>
      <c r="O38" s="159" t="n">
        <f aca="false">N38-M38</f>
        <v>0</v>
      </c>
      <c r="P38" s="301"/>
      <c r="Q38" s="301"/>
      <c r="R38" s="301"/>
      <c r="S38" s="186" t="str">
        <f aca="false">K38</f>
        <v>Dummy 3</v>
      </c>
      <c r="T38" s="186" t="str">
        <f aca="false">L38</f>
        <v>Dummy 3</v>
      </c>
      <c r="U38" s="159"/>
      <c r="V38" s="159"/>
      <c r="W38" s="159" t="n">
        <f aca="false">V38-U38</f>
        <v>0</v>
      </c>
      <c r="X38" s="301"/>
    </row>
    <row r="39" customFormat="false" ht="11.25" hidden="false" customHeight="true" outlineLevel="0" collapsed="false">
      <c r="B39" s="301"/>
      <c r="C39" s="54" t="str">
        <f aca="false">+'Lead PL'!C190</f>
        <v>Finanzergebnis</v>
      </c>
      <c r="D39" s="54" t="str">
        <f aca="false">+'Lead PL'!D190</f>
        <v>Financial result</v>
      </c>
      <c r="E39" s="162" t="n">
        <f aca="false">SUM(E33:E38)</f>
        <v>0</v>
      </c>
      <c r="F39" s="162" t="n">
        <f aca="false">SUM(F33:F38)</f>
        <v>0</v>
      </c>
      <c r="G39" s="162" t="n">
        <f aca="false">F39-E39</f>
        <v>0</v>
      </c>
      <c r="H39" s="301"/>
      <c r="J39" s="301"/>
      <c r="K39" s="54" t="str">
        <f aca="false">C39</f>
        <v>Finanzergebnis</v>
      </c>
      <c r="L39" s="54" t="str">
        <f aca="false">D39</f>
        <v>Financial result</v>
      </c>
      <c r="M39" s="162" t="n">
        <f aca="false">SUM(M33:M38)</f>
        <v>0</v>
      </c>
      <c r="N39" s="162" t="n">
        <f aca="false">SUM(N33:N38)</f>
        <v>0</v>
      </c>
      <c r="O39" s="162" t="n">
        <f aca="false">N39-M39</f>
        <v>0</v>
      </c>
      <c r="P39" s="301"/>
      <c r="Q39" s="301"/>
      <c r="R39" s="301"/>
      <c r="S39" s="54" t="str">
        <f aca="false">K39</f>
        <v>Finanzergebnis</v>
      </c>
      <c r="T39" s="54" t="str">
        <f aca="false">L39</f>
        <v>Financial result</v>
      </c>
      <c r="U39" s="162" t="n">
        <f aca="false">SUM(U33:U38)</f>
        <v>0</v>
      </c>
      <c r="V39" s="162" t="n">
        <f aca="false">SUM(V33:V38)</f>
        <v>0</v>
      </c>
      <c r="W39" s="162" t="n">
        <f aca="false">V39-U39</f>
        <v>0</v>
      </c>
      <c r="X39" s="301"/>
    </row>
    <row r="40" customFormat="false" ht="11.25" hidden="false" customHeight="true" outlineLevel="0" collapsed="false">
      <c r="B40" s="301"/>
      <c r="C40" s="178" t="str">
        <f aca="false">+'Lead PL'!C191</f>
        <v>EBT</v>
      </c>
      <c r="D40" s="178" t="str">
        <f aca="false">+'Lead PL'!D191</f>
        <v>EBT</v>
      </c>
      <c r="E40" s="178" t="n">
        <f aca="false">E39+E32</f>
        <v>0</v>
      </c>
      <c r="F40" s="178" t="n">
        <f aca="false">F39+F32</f>
        <v>0</v>
      </c>
      <c r="G40" s="178" t="n">
        <f aca="false">F40-E40</f>
        <v>0</v>
      </c>
      <c r="H40" s="301"/>
      <c r="J40" s="301"/>
      <c r="K40" s="178" t="str">
        <f aca="false">C40</f>
        <v>EBT</v>
      </c>
      <c r="L40" s="178" t="str">
        <f aca="false">D40</f>
        <v>EBT</v>
      </c>
      <c r="M40" s="178" t="n">
        <f aca="false">M39+M32</f>
        <v>0</v>
      </c>
      <c r="N40" s="178" t="n">
        <f aca="false">N39+N32</f>
        <v>0</v>
      </c>
      <c r="O40" s="178" t="n">
        <f aca="false">N40-M40</f>
        <v>0</v>
      </c>
      <c r="P40" s="301"/>
      <c r="Q40" s="301"/>
      <c r="R40" s="301"/>
      <c r="S40" s="178" t="str">
        <f aca="false">K40</f>
        <v>EBT</v>
      </c>
      <c r="T40" s="178" t="str">
        <f aca="false">L40</f>
        <v>EBT</v>
      </c>
      <c r="U40" s="178" t="n">
        <f aca="false">U39+U32</f>
        <v>0</v>
      </c>
      <c r="V40" s="178" t="n">
        <f aca="false">V39+V32</f>
        <v>0</v>
      </c>
      <c r="W40" s="178" t="n">
        <f aca="false">V40-U40</f>
        <v>0</v>
      </c>
      <c r="X40" s="301"/>
    </row>
    <row r="41" customFormat="false" ht="11.25" hidden="false" customHeight="true" outlineLevel="0" collapsed="false">
      <c r="B41" s="301"/>
      <c r="C41" s="51" t="str">
        <f aca="false">+'Lead PL'!C192</f>
        <v>Ertragssteuern</v>
      </c>
      <c r="D41" s="51" t="str">
        <f aca="false">+'Lead PL'!D192</f>
        <v>Income taxes</v>
      </c>
      <c r="E41" s="159"/>
      <c r="F41" s="159"/>
      <c r="G41" s="159" t="n">
        <f aca="false">F41-E41</f>
        <v>0</v>
      </c>
      <c r="H41" s="301"/>
      <c r="J41" s="301"/>
      <c r="K41" s="51" t="str">
        <f aca="false">C41</f>
        <v>Ertragssteuern</v>
      </c>
      <c r="L41" s="51" t="str">
        <f aca="false">D41</f>
        <v>Income taxes</v>
      </c>
      <c r="M41" s="159"/>
      <c r="N41" s="159"/>
      <c r="O41" s="159" t="n">
        <f aca="false">N41-M41</f>
        <v>0</v>
      </c>
      <c r="P41" s="301"/>
      <c r="Q41" s="301"/>
      <c r="R41" s="301"/>
      <c r="S41" s="51" t="str">
        <f aca="false">K41</f>
        <v>Ertragssteuern</v>
      </c>
      <c r="T41" s="51" t="str">
        <f aca="false">L41</f>
        <v>Income taxes</v>
      </c>
      <c r="U41" s="159"/>
      <c r="V41" s="159"/>
      <c r="W41" s="159" t="n">
        <f aca="false">V41-U41</f>
        <v>0</v>
      </c>
      <c r="X41" s="301"/>
    </row>
    <row r="42" customFormat="false" ht="11.25" hidden="false" customHeight="true" outlineLevel="0" collapsed="false">
      <c r="B42" s="301"/>
      <c r="C42" s="54" t="str">
        <f aca="false">+'Lead PL'!C201</f>
        <v>Sonstige Steuern</v>
      </c>
      <c r="D42" s="54" t="str">
        <f aca="false">+'Lead PL'!D201</f>
        <v>Other taxes</v>
      </c>
      <c r="E42" s="162"/>
      <c r="F42" s="162"/>
      <c r="G42" s="162" t="n">
        <f aca="false">F42-E42</f>
        <v>0</v>
      </c>
      <c r="H42" s="301"/>
      <c r="J42" s="301"/>
      <c r="K42" s="54" t="str">
        <f aca="false">C42</f>
        <v>Sonstige Steuern</v>
      </c>
      <c r="L42" s="54" t="str">
        <f aca="false">D42</f>
        <v>Other taxes</v>
      </c>
      <c r="M42" s="162"/>
      <c r="N42" s="162"/>
      <c r="O42" s="162" t="n">
        <f aca="false">N42-M42</f>
        <v>0</v>
      </c>
      <c r="P42" s="301"/>
      <c r="Q42" s="301"/>
      <c r="R42" s="301"/>
      <c r="S42" s="54" t="str">
        <f aca="false">K42</f>
        <v>Sonstige Steuern</v>
      </c>
      <c r="T42" s="54" t="str">
        <f aca="false">L42</f>
        <v>Other taxes</v>
      </c>
      <c r="U42" s="162"/>
      <c r="V42" s="162"/>
      <c r="W42" s="162" t="n">
        <f aca="false">V42-U42</f>
        <v>0</v>
      </c>
      <c r="X42" s="301"/>
    </row>
    <row r="43" customFormat="false" ht="11.25" hidden="false" customHeight="true" outlineLevel="0" collapsed="false">
      <c r="B43" s="301"/>
      <c r="C43" s="171" t="str">
        <f aca="false">+'Lead PL'!C210</f>
        <v>Jahresüberschuss</v>
      </c>
      <c r="D43" s="171" t="str">
        <f aca="false">+'Lead PL'!D210</f>
        <v>Profit / Loss</v>
      </c>
      <c r="E43" s="205" t="n">
        <f aca="false">SUM(E40:E42)</f>
        <v>0</v>
      </c>
      <c r="F43" s="205" t="n">
        <f aca="false">SUM(F40:F42)</f>
        <v>0</v>
      </c>
      <c r="G43" s="205" t="n">
        <f aca="false">F43-E43</f>
        <v>0</v>
      </c>
      <c r="H43" s="301"/>
      <c r="J43" s="301"/>
      <c r="K43" s="171" t="str">
        <f aca="false">C43</f>
        <v>Jahresüberschuss</v>
      </c>
      <c r="L43" s="171" t="str">
        <f aca="false">D43</f>
        <v>Profit / Loss</v>
      </c>
      <c r="M43" s="205" t="n">
        <f aca="false">SUM(M40:M42)</f>
        <v>0</v>
      </c>
      <c r="N43" s="205" t="n">
        <f aca="false">SUM(N40:N42)</f>
        <v>0</v>
      </c>
      <c r="O43" s="205" t="n">
        <f aca="false">N43-M43</f>
        <v>0</v>
      </c>
      <c r="P43" s="301"/>
      <c r="Q43" s="301"/>
      <c r="R43" s="301"/>
      <c r="S43" s="171" t="str">
        <f aca="false">K43</f>
        <v>Jahresüberschuss</v>
      </c>
      <c r="T43" s="171" t="str">
        <f aca="false">L43</f>
        <v>Profit / Loss</v>
      </c>
      <c r="U43" s="205" t="n">
        <f aca="false">SUM(U40:U42)</f>
        <v>0</v>
      </c>
      <c r="V43" s="205" t="n">
        <f aca="false">SUM(V40:V42)</f>
        <v>0</v>
      </c>
      <c r="W43" s="205" t="n">
        <f aca="false">V43-U43</f>
        <v>0</v>
      </c>
      <c r="X43" s="301"/>
    </row>
    <row r="44" customFormat="false" ht="4.5" hidden="false" customHeight="true" outlineLevel="0" collapsed="false">
      <c r="B44" s="301"/>
      <c r="C44" s="51"/>
      <c r="D44" s="51"/>
      <c r="E44" s="159"/>
      <c r="F44" s="159"/>
      <c r="G44" s="57"/>
      <c r="H44" s="301"/>
      <c r="J44" s="301"/>
      <c r="K44" s="51"/>
      <c r="L44" s="51"/>
      <c r="M44" s="159"/>
      <c r="N44" s="159"/>
      <c r="O44" s="57"/>
      <c r="P44" s="301"/>
      <c r="Q44" s="301"/>
      <c r="R44" s="301"/>
      <c r="S44" s="51"/>
      <c r="T44" s="51"/>
      <c r="U44" s="159"/>
      <c r="V44" s="159"/>
      <c r="W44" s="57"/>
      <c r="X44" s="301"/>
    </row>
    <row r="45" customFormat="false" ht="11.25" hidden="false" customHeight="true" outlineLevel="0" collapsed="false">
      <c r="B45" s="301"/>
      <c r="C45" s="54" t="str">
        <f aca="false">"Quelle: "&amp;Cockpit!$C$7</f>
        <v>Quelle: Datenraum/ eigene Analysen</v>
      </c>
      <c r="D45" s="54" t="str">
        <f aca="false">"Source: "&amp;Cockpit!$C$8</f>
        <v>Source: Virtual Data Room/ Company Information</v>
      </c>
      <c r="E45" s="205"/>
      <c r="F45" s="205"/>
      <c r="G45" s="205"/>
      <c r="H45" s="301"/>
      <c r="J45" s="301"/>
      <c r="K45" s="54" t="str">
        <f aca="false">"Quelle: "&amp;Cockpit!$C$7</f>
        <v>Quelle: Datenraum/ eigene Analysen</v>
      </c>
      <c r="L45" s="54" t="str">
        <f aca="false">"Source: "&amp;Cockpit!$C$8</f>
        <v>Source: Virtual Data Room/ Company Information</v>
      </c>
      <c r="M45" s="205"/>
      <c r="N45" s="205"/>
      <c r="O45" s="205"/>
      <c r="P45" s="301"/>
      <c r="Q45" s="301"/>
      <c r="R45" s="301"/>
      <c r="S45" s="54" t="str">
        <f aca="false">"Quelle: "&amp;Cockpit!$C$7</f>
        <v>Quelle: Datenraum/ eigene Analysen</v>
      </c>
      <c r="T45" s="54" t="str">
        <f aca="false">"Source: "&amp;Cockpit!$C$8</f>
        <v>Source: Virtual Data Room/ Company Information</v>
      </c>
      <c r="U45" s="205"/>
      <c r="V45" s="205"/>
      <c r="W45" s="205"/>
      <c r="X45" s="301"/>
    </row>
    <row r="46" customFormat="false" ht="11.25" hidden="false" customHeight="true" outlineLevel="0" collapsed="false">
      <c r="B46" s="301"/>
      <c r="H46" s="301"/>
      <c r="J46" s="301"/>
      <c r="P46" s="301"/>
      <c r="R46" s="301"/>
      <c r="X46" s="301"/>
    </row>
    <row r="48" customFormat="false" ht="11.25" hidden="false" customHeight="true" outlineLevel="0" collapsed="false">
      <c r="C48" s="151" t="s">
        <v>469</v>
      </c>
      <c r="D48" s="151" t="s">
        <v>470</v>
      </c>
      <c r="E48" s="152"/>
      <c r="F48" s="152"/>
      <c r="G48" s="152" t="n">
        <v>0</v>
      </c>
      <c r="K48" s="151" t="s">
        <v>469</v>
      </c>
      <c r="L48" s="151" t="s">
        <v>470</v>
      </c>
      <c r="M48" s="152"/>
      <c r="N48" s="152"/>
      <c r="O48" s="152" t="n">
        <v>0</v>
      </c>
      <c r="S48" s="151" t="s">
        <v>469</v>
      </c>
      <c r="T48" s="151" t="s">
        <v>470</v>
      </c>
      <c r="U48" s="152"/>
      <c r="V48" s="152"/>
      <c r="W48" s="152" t="n">
        <v>0</v>
      </c>
    </row>
    <row r="49" customFormat="false" ht="11.25" hidden="false" customHeight="true" outlineLevel="0" collapsed="false">
      <c r="C49" s="154" t="s">
        <v>245</v>
      </c>
      <c r="D49" s="154" t="s">
        <v>245</v>
      </c>
      <c r="E49" s="155" t="n">
        <f aca="false">E48-E43</f>
        <v>0</v>
      </c>
      <c r="F49" s="155" t="n">
        <f aca="false">F48-F43</f>
        <v>0</v>
      </c>
      <c r="G49" s="155" t="n">
        <f aca="false">G48-G43</f>
        <v>0</v>
      </c>
      <c r="K49" s="153" t="s">
        <v>245</v>
      </c>
      <c r="L49" s="154" t="s">
        <v>245</v>
      </c>
      <c r="M49" s="155" t="n">
        <f aca="false">M48-M43</f>
        <v>0</v>
      </c>
      <c r="N49" s="155" t="n">
        <f aca="false">N48-N43</f>
        <v>0</v>
      </c>
      <c r="O49" s="155" t="n">
        <f aca="false">O48-O43</f>
        <v>0</v>
      </c>
      <c r="S49" s="153" t="s">
        <v>245</v>
      </c>
      <c r="T49" s="154" t="s">
        <v>245</v>
      </c>
      <c r="U49" s="155" t="n">
        <f aca="false">U48-U43</f>
        <v>0</v>
      </c>
      <c r="V49" s="155" t="n">
        <f aca="false">V48-V43</f>
        <v>0</v>
      </c>
      <c r="W49" s="155" t="n">
        <f aca="false">W48-W43</f>
        <v>0</v>
      </c>
    </row>
  </sheetData>
  <conditionalFormatting sqref="U49:W49">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conditionalFormatting sqref="M49:O49">
    <cfRule type="cellIs" priority="5" operator="between" aboveAverage="0" equalAverage="0" bottom="0" percent="0" rank="0" text="" dxfId="2">
      <formula>-1</formula>
      <formula>1</formula>
    </cfRule>
    <cfRule type="cellIs" priority="6" operator="lessThan" aboveAverage="0" equalAverage="0" bottom="0" percent="0" rank="0" text="" dxfId="0">
      <formula>-1</formula>
    </cfRule>
    <cfRule type="cellIs" priority="7" operator="greaterThan" aboveAverage="0" equalAverage="0" bottom="0" percent="0" rank="0" text="" dxfId="0">
      <formula>1</formula>
    </cfRule>
  </conditionalFormatting>
  <conditionalFormatting sqref="E49:G49">
    <cfRule type="cellIs" priority="8" operator="between" aboveAverage="0" equalAverage="0" bottom="0" percent="0" rank="0" text="" dxfId="2">
      <formula>-1</formula>
      <formula>1</formula>
    </cfRule>
    <cfRule type="cellIs" priority="9" operator="lessThan" aboveAverage="0" equalAverage="0" bottom="0" percent="0" rank="0" text="" dxfId="0">
      <formula>-1</formula>
    </cfRule>
    <cfRule type="cellIs" priority="10"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B1:S8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O60" activeCellId="0" sqref="O60"/>
    </sheetView>
  </sheetViews>
  <sheetFormatPr defaultColWidth="11.2890625" defaultRowHeight="12" zeroHeight="false" outlineLevelRow="3" outlineLevelCol="2"/>
  <cols>
    <col collapsed="false" customWidth="false" hidden="false" outlineLevel="0" max="1" min="1" style="1" width="11.29"/>
    <col collapsed="false" customWidth="true" hidden="true" outlineLevel="2" max="2" min="2" style="1" width="0.86"/>
    <col collapsed="false" customWidth="true" hidden="true" outlineLevel="2" max="3" min="3" style="1" width="29.14"/>
    <col collapsed="false" customWidth="true" hidden="false" outlineLevel="0" max="4" min="4" style="1" width="29.14"/>
    <col collapsed="false" customWidth="true" hidden="false" outlineLevel="0" max="5" min="5" style="286" width="9.42"/>
    <col collapsed="false" customWidth="true" hidden="false" outlineLevel="0" max="8" min="6" style="1" width="9.42"/>
    <col collapsed="false" customWidth="true" hidden="false" outlineLevel="0" max="9" min="9" style="1" width="0.86"/>
    <col collapsed="false" customWidth="true" hidden="false" outlineLevel="0" max="10" min="10" style="286" width="9.42"/>
    <col collapsed="false" customWidth="true" hidden="false" outlineLevel="0" max="13" min="11" style="1" width="9.42"/>
    <col collapsed="false" customWidth="true" hidden="false" outlineLevel="0" max="14" min="14" style="1" width="0.86"/>
    <col collapsed="false" customWidth="true" hidden="false" outlineLevel="0" max="15" min="15" style="286" width="9.42"/>
    <col collapsed="false" customWidth="true" hidden="false" outlineLevel="0" max="18" min="16" style="1" width="9.42"/>
    <col collapsed="false" customWidth="true" hidden="true" outlineLevel="2" max="19" min="19" style="1" width="0.86"/>
    <col collapsed="false" customWidth="false" hidden="false" outlineLevel="0" max="16384" min="20" style="1" width="11.29"/>
  </cols>
  <sheetData>
    <row r="1" customFormat="false" ht="12" hidden="true" customHeight="true" outlineLevel="3" collapsed="false"/>
    <row r="2" customFormat="false" ht="11.25" hidden="false" customHeight="true" outlineLevel="0" collapsed="false"/>
    <row r="3" customFormat="false" ht="10.5" hidden="false" customHeight="true" outlineLevel="0" collapsed="false">
      <c r="B3" s="301"/>
      <c r="S3" s="301"/>
    </row>
    <row r="4" customFormat="false" ht="11.25" hidden="true" customHeight="true" outlineLevel="3" collapsed="false">
      <c r="B4" s="301"/>
      <c r="C4" s="220" t="str">
        <f aca="false">Cockpit!$C$4</f>
        <v>Template</v>
      </c>
      <c r="D4" s="220"/>
      <c r="E4" s="289" t="n">
        <f aca="false">'Lead PL'!F6</f>
        <v>44926</v>
      </c>
      <c r="F4" s="289"/>
      <c r="G4" s="289"/>
      <c r="H4" s="289"/>
      <c r="I4" s="444"/>
      <c r="J4" s="289" t="n">
        <f aca="false">'Lead PL'!G6</f>
        <v>45291</v>
      </c>
      <c r="K4" s="289"/>
      <c r="L4" s="289"/>
      <c r="M4" s="289"/>
      <c r="N4" s="444"/>
      <c r="O4" s="289" t="n">
        <f aca="false">'Lead PL'!H6</f>
        <v>45657</v>
      </c>
      <c r="P4" s="289"/>
      <c r="Q4" s="289"/>
      <c r="R4" s="289"/>
      <c r="S4" s="301"/>
    </row>
    <row r="5" customFormat="false" ht="11.25" hidden="true" customHeight="true" outlineLevel="3" collapsed="false">
      <c r="B5" s="301"/>
      <c r="C5" s="220"/>
      <c r="D5" s="220"/>
      <c r="E5" s="445" t="str">
        <f aca="false">Cockpit!$C$27</f>
        <v>Plan</v>
      </c>
      <c r="F5" s="446" t="str">
        <f aca="false">Cockpit!$C$19</f>
        <v>IST</v>
      </c>
      <c r="G5" s="447" t="s">
        <v>945</v>
      </c>
      <c r="H5" s="447"/>
      <c r="I5" s="448"/>
      <c r="J5" s="445" t="str">
        <f aca="false">Cockpit!$C$27</f>
        <v>Plan</v>
      </c>
      <c r="K5" s="446" t="str">
        <f aca="false">Cockpit!$C$19</f>
        <v>IST</v>
      </c>
      <c r="L5" s="447" t="s">
        <v>945</v>
      </c>
      <c r="M5" s="447"/>
      <c r="N5" s="448"/>
      <c r="O5" s="445" t="str">
        <f aca="false">Cockpit!$C$27</f>
        <v>Plan</v>
      </c>
      <c r="P5" s="446" t="str">
        <f aca="false">Cockpit!$C$19</f>
        <v>IST</v>
      </c>
      <c r="Q5" s="447" t="s">
        <v>945</v>
      </c>
      <c r="R5" s="447"/>
      <c r="S5" s="301"/>
    </row>
    <row r="6" customFormat="false" ht="11.25" hidden="true" customHeight="true" outlineLevel="3" collapsed="false">
      <c r="B6" s="301"/>
      <c r="C6" s="220" t="str">
        <f aca="false">"in T"&amp;Cockpit!$C$5</f>
        <v>in TEUR</v>
      </c>
      <c r="D6" s="220"/>
      <c r="E6" s="449" t="n">
        <f aca="false">$E$7</f>
        <v>44926</v>
      </c>
      <c r="F6" s="450" t="n">
        <f aca="false">$E$7</f>
        <v>44926</v>
      </c>
      <c r="G6" s="451" t="str">
        <f aca="false">$C$6</f>
        <v>in TEUR</v>
      </c>
      <c r="H6" s="451" t="s">
        <v>946</v>
      </c>
      <c r="I6" s="448"/>
      <c r="J6" s="449" t="n">
        <f aca="false">$J$7</f>
        <v>45291</v>
      </c>
      <c r="K6" s="450" t="n">
        <f aca="false">$J$7</f>
        <v>45291</v>
      </c>
      <c r="L6" s="451" t="str">
        <f aca="false">$C$6</f>
        <v>in TEUR</v>
      </c>
      <c r="M6" s="451" t="s">
        <v>946</v>
      </c>
      <c r="N6" s="448"/>
      <c r="O6" s="449" t="n">
        <f aca="false">$O$7</f>
        <v>45657</v>
      </c>
      <c r="P6" s="450" t="n">
        <f aca="false">$O$7</f>
        <v>45657</v>
      </c>
      <c r="Q6" s="451" t="str">
        <f aca="false">$C$6</f>
        <v>in TEUR</v>
      </c>
      <c r="R6" s="451" t="s">
        <v>946</v>
      </c>
      <c r="S6" s="301"/>
    </row>
    <row r="7" customFormat="false" ht="11.25" hidden="false" customHeight="true" outlineLevel="0" collapsed="false">
      <c r="B7" s="301"/>
      <c r="C7" s="228"/>
      <c r="D7" s="228" t="str">
        <f aca="false">Cockpit!$C$4</f>
        <v>Template</v>
      </c>
      <c r="E7" s="452" t="n">
        <f aca="false">'Lead PL'!F6</f>
        <v>44926</v>
      </c>
      <c r="F7" s="452"/>
      <c r="G7" s="452"/>
      <c r="H7" s="452"/>
      <c r="I7" s="290"/>
      <c r="J7" s="452" t="n">
        <f aca="false">'Lead PL'!G6</f>
        <v>45291</v>
      </c>
      <c r="K7" s="452"/>
      <c r="L7" s="452"/>
      <c r="M7" s="452"/>
      <c r="N7" s="290"/>
      <c r="O7" s="452" t="n">
        <f aca="false">'Lead PL'!H6</f>
        <v>45657</v>
      </c>
      <c r="P7" s="452"/>
      <c r="Q7" s="452"/>
      <c r="R7" s="452"/>
      <c r="S7" s="301"/>
    </row>
    <row r="8" customFormat="false" ht="11.25" hidden="false" customHeight="true" outlineLevel="0" collapsed="false">
      <c r="B8" s="301"/>
      <c r="C8" s="228"/>
      <c r="D8" s="228"/>
      <c r="E8" s="453" t="str">
        <f aca="false">Cockpit!$C$27</f>
        <v>Plan</v>
      </c>
      <c r="F8" s="454" t="str">
        <f aca="false">Cockpit!$C$19</f>
        <v>IST</v>
      </c>
      <c r="G8" s="455" t="s">
        <v>947</v>
      </c>
      <c r="H8" s="455"/>
      <c r="I8" s="456"/>
      <c r="J8" s="453" t="str">
        <f aca="false">Cockpit!$C$27</f>
        <v>Plan</v>
      </c>
      <c r="K8" s="454" t="str">
        <f aca="false">Cockpit!$C$19</f>
        <v>IST</v>
      </c>
      <c r="L8" s="455" t="s">
        <v>947</v>
      </c>
      <c r="M8" s="455"/>
      <c r="N8" s="456"/>
      <c r="O8" s="453" t="str">
        <f aca="false">Cockpit!$C$27</f>
        <v>Plan</v>
      </c>
      <c r="P8" s="454" t="str">
        <f aca="false">Cockpit!$C$19</f>
        <v>IST</v>
      </c>
      <c r="Q8" s="455" t="s">
        <v>947</v>
      </c>
      <c r="R8" s="455"/>
      <c r="S8" s="301"/>
    </row>
    <row r="9" customFormat="false" ht="11.25" hidden="false" customHeight="true" outlineLevel="0" collapsed="false">
      <c r="B9" s="301"/>
      <c r="C9" s="228"/>
      <c r="D9" s="228" t="str">
        <f aca="false">"in k"&amp;Cockpit!$C$5</f>
        <v>in kEUR</v>
      </c>
      <c r="E9" s="453" t="n">
        <f aca="false">$E$7</f>
        <v>44926</v>
      </c>
      <c r="F9" s="227" t="n">
        <f aca="false">$E$7</f>
        <v>44926</v>
      </c>
      <c r="G9" s="227" t="str">
        <f aca="false">$D$9</f>
        <v>in kEUR</v>
      </c>
      <c r="H9" s="227" t="s">
        <v>946</v>
      </c>
      <c r="I9" s="291"/>
      <c r="J9" s="453" t="n">
        <f aca="false">$J$7</f>
        <v>45291</v>
      </c>
      <c r="K9" s="227" t="n">
        <f aca="false">$J$7</f>
        <v>45291</v>
      </c>
      <c r="L9" s="227" t="str">
        <f aca="false">$D9</f>
        <v>in kEUR</v>
      </c>
      <c r="M9" s="227" t="s">
        <v>946</v>
      </c>
      <c r="N9" s="291"/>
      <c r="O9" s="453" t="n">
        <f aca="false">$O$7</f>
        <v>45657</v>
      </c>
      <c r="P9" s="227" t="n">
        <f aca="false">$O$7</f>
        <v>45657</v>
      </c>
      <c r="Q9" s="227" t="str">
        <f aca="false">$D$9</f>
        <v>in kEUR</v>
      </c>
      <c r="R9" s="227" t="s">
        <v>946</v>
      </c>
      <c r="S9" s="301"/>
    </row>
    <row r="10" customFormat="false" ht="4.5" hidden="false" customHeight="true" outlineLevel="0" collapsed="false">
      <c r="B10" s="301"/>
      <c r="C10" s="51"/>
      <c r="D10" s="51"/>
      <c r="E10" s="51"/>
      <c r="F10" s="51"/>
      <c r="G10" s="51"/>
      <c r="H10" s="51"/>
      <c r="I10" s="51"/>
      <c r="J10" s="51"/>
      <c r="K10" s="51"/>
      <c r="L10" s="51"/>
      <c r="M10" s="51"/>
      <c r="N10" s="51"/>
      <c r="O10" s="51"/>
      <c r="P10" s="51"/>
      <c r="Q10" s="51"/>
      <c r="R10" s="51"/>
      <c r="S10" s="301"/>
    </row>
    <row r="11" customFormat="false" ht="11.25" hidden="false" customHeight="true" outlineLevel="0" collapsed="false">
      <c r="B11" s="301"/>
      <c r="C11" s="51" t="str">
        <f aca="false">'Lead PL'!C9</f>
        <v>Umsatzerlöse</v>
      </c>
      <c r="D11" s="51" t="str">
        <f aca="false">'Lead PL'!D9</f>
        <v>Revenues</v>
      </c>
      <c r="E11" s="161"/>
      <c r="F11" s="159"/>
      <c r="G11" s="159" t="n">
        <f aca="false">F11-E11</f>
        <v>0</v>
      </c>
      <c r="H11" s="57" t="str">
        <f aca="false">IFERROR(F11/E11,"n/a")</f>
        <v>n/a</v>
      </c>
      <c r="I11" s="159"/>
      <c r="J11" s="161"/>
      <c r="K11" s="159"/>
      <c r="L11" s="159" t="n">
        <f aca="false">K11-J11</f>
        <v>0</v>
      </c>
      <c r="M11" s="57" t="str">
        <f aca="false">IFERROR(K11/J11,"n/a")</f>
        <v>n/a</v>
      </c>
      <c r="N11" s="159"/>
      <c r="O11" s="161"/>
      <c r="P11" s="159"/>
      <c r="Q11" s="159" t="n">
        <f aca="false">P11-O11</f>
        <v>0</v>
      </c>
      <c r="R11" s="57" t="str">
        <f aca="false">IFERROR(P11/O11,"n/a")</f>
        <v>n/a</v>
      </c>
      <c r="S11" s="301"/>
    </row>
    <row r="12" customFormat="false" ht="11.25" hidden="true" customHeight="true" outlineLevel="2" collapsed="false">
      <c r="B12" s="301"/>
      <c r="C12" s="51" t="str">
        <f aca="false">'Lead PL'!C18</f>
        <v>Bestandsveränderung</v>
      </c>
      <c r="D12" s="51" t="str">
        <f aca="false">'Lead PL'!D18</f>
        <v>Change in inventory</v>
      </c>
      <c r="E12" s="161"/>
      <c r="F12" s="159"/>
      <c r="G12" s="159" t="n">
        <f aca="false">F12-E12</f>
        <v>0</v>
      </c>
      <c r="H12" s="57" t="str">
        <f aca="false">IFERROR(F12/E12,"n/a")</f>
        <v>n/a</v>
      </c>
      <c r="I12" s="159"/>
      <c r="J12" s="161"/>
      <c r="K12" s="159"/>
      <c r="L12" s="159" t="n">
        <f aca="false">K12-J12</f>
        <v>0</v>
      </c>
      <c r="M12" s="57" t="str">
        <f aca="false">IFERROR(K12/J12,"n/a")</f>
        <v>n/a</v>
      </c>
      <c r="N12" s="159"/>
      <c r="O12" s="161"/>
      <c r="P12" s="159"/>
      <c r="Q12" s="159" t="n">
        <f aca="false">P12-O12</f>
        <v>0</v>
      </c>
      <c r="R12" s="57" t="str">
        <f aca="false">IFERROR(P12/O12,"n/a")</f>
        <v>n/a</v>
      </c>
      <c r="S12" s="301"/>
    </row>
    <row r="13" customFormat="false" ht="11.25" hidden="true" customHeight="true" outlineLevel="2" collapsed="false">
      <c r="B13" s="301"/>
      <c r="C13" s="51" t="str">
        <f aca="false">'Lead PL'!C37</f>
        <v>Dummy 2</v>
      </c>
      <c r="D13" s="51" t="str">
        <f aca="false">'Lead PL'!D37</f>
        <v>Dummy 2</v>
      </c>
      <c r="E13" s="161"/>
      <c r="F13" s="159"/>
      <c r="G13" s="159" t="n">
        <f aca="false">F13-E13</f>
        <v>0</v>
      </c>
      <c r="H13" s="57" t="str">
        <f aca="false">IFERROR(F13/E13,"n/a")</f>
        <v>n/a</v>
      </c>
      <c r="I13" s="159"/>
      <c r="J13" s="161"/>
      <c r="K13" s="159"/>
      <c r="L13" s="159" t="n">
        <f aca="false">K13-J13</f>
        <v>0</v>
      </c>
      <c r="M13" s="57" t="str">
        <f aca="false">IFERROR(K13/J13,"n/a")</f>
        <v>n/a</v>
      </c>
      <c r="N13" s="159"/>
      <c r="O13" s="161"/>
      <c r="P13" s="159"/>
      <c r="Q13" s="159" t="n">
        <f aca="false">P13-O13</f>
        <v>0</v>
      </c>
      <c r="R13" s="57" t="str">
        <f aca="false">IFERROR(P13/O13,"n/a")</f>
        <v>n/a</v>
      </c>
      <c r="S13" s="301"/>
    </row>
    <row r="14" customFormat="false" ht="11.25" hidden="true" customHeight="true" outlineLevel="2" collapsed="false">
      <c r="B14" s="301"/>
      <c r="C14" s="54" t="str">
        <f aca="false">'Lead PL'!C38</f>
        <v>Dummy 3</v>
      </c>
      <c r="D14" s="54" t="str">
        <f aca="false">'Lead PL'!D38</f>
        <v>Dummy 3</v>
      </c>
      <c r="E14" s="164"/>
      <c r="F14" s="162"/>
      <c r="G14" s="162" t="n">
        <f aca="false">F14-E14</f>
        <v>0</v>
      </c>
      <c r="H14" s="55" t="str">
        <f aca="false">IFERROR(F14/E14,"n/a")</f>
        <v>n/a</v>
      </c>
      <c r="I14" s="159"/>
      <c r="J14" s="164"/>
      <c r="K14" s="162"/>
      <c r="L14" s="162" t="n">
        <f aca="false">K14-J14</f>
        <v>0</v>
      </c>
      <c r="M14" s="55" t="str">
        <f aca="false">IFERROR(K14/J14,"n/a")</f>
        <v>n/a</v>
      </c>
      <c r="N14" s="159"/>
      <c r="O14" s="164"/>
      <c r="P14" s="162"/>
      <c r="Q14" s="162" t="n">
        <f aca="false">P14-O14</f>
        <v>0</v>
      </c>
      <c r="R14" s="55" t="str">
        <f aca="false">IFERROR(P14/O14,"n/a")</f>
        <v>n/a</v>
      </c>
      <c r="S14" s="301"/>
    </row>
    <row r="15" customFormat="false" ht="11.25" hidden="false" customHeight="true" outlineLevel="0" collapsed="false">
      <c r="B15" s="301"/>
      <c r="C15" s="296" t="str">
        <f aca="false">'Lead PL'!C39</f>
        <v>Gesamtleistung</v>
      </c>
      <c r="D15" s="296" t="str">
        <f aca="false">'Lead PL'!D39</f>
        <v>Total output</v>
      </c>
      <c r="E15" s="167" t="n">
        <f aca="false">SUM(E11:E14)</f>
        <v>0</v>
      </c>
      <c r="F15" s="165" t="n">
        <f aca="false">SUM(F11:F14)</f>
        <v>0</v>
      </c>
      <c r="G15" s="165" t="n">
        <f aca="false">F15-E15</f>
        <v>0</v>
      </c>
      <c r="H15" s="273" t="str">
        <f aca="false">IFERROR(F15/E15,"n/a")</f>
        <v>n/a</v>
      </c>
      <c r="I15" s="159"/>
      <c r="J15" s="167" t="n">
        <f aca="false">SUM(J11:J14)</f>
        <v>0</v>
      </c>
      <c r="K15" s="165" t="n">
        <f aca="false">SUM(K11:K14)</f>
        <v>0</v>
      </c>
      <c r="L15" s="165" t="n">
        <f aca="false">K15-J15</f>
        <v>0</v>
      </c>
      <c r="M15" s="273" t="str">
        <f aca="false">IFERROR(K15/J15,"n/a")</f>
        <v>n/a</v>
      </c>
      <c r="N15" s="159"/>
      <c r="O15" s="167" t="n">
        <f aca="false">SUM(O11:O14)</f>
        <v>0</v>
      </c>
      <c r="P15" s="165" t="n">
        <f aca="false">SUM(P11:P14)</f>
        <v>0</v>
      </c>
      <c r="Q15" s="165" t="n">
        <f aca="false">P15-O15</f>
        <v>0</v>
      </c>
      <c r="R15" s="273" t="str">
        <f aca="false">IFERROR(P15/O15,"n/a")</f>
        <v>n/a</v>
      </c>
      <c r="S15" s="301"/>
    </row>
    <row r="16" customFormat="false" ht="11.25" hidden="false" customHeight="true" outlineLevel="0" collapsed="false">
      <c r="B16" s="301"/>
      <c r="C16" s="51" t="str">
        <f aca="false">'Lead PL'!C40</f>
        <v>Materialaufwand</v>
      </c>
      <c r="D16" s="51" t="str">
        <f aca="false">'Lead PL'!D40</f>
        <v>Cost of materials</v>
      </c>
      <c r="E16" s="161"/>
      <c r="F16" s="159"/>
      <c r="G16" s="159" t="n">
        <f aca="false">F16-E16</f>
        <v>0</v>
      </c>
      <c r="H16" s="57" t="str">
        <f aca="false">IFERROR(F16/E16,"n/a")</f>
        <v>n/a</v>
      </c>
      <c r="I16" s="159"/>
      <c r="J16" s="161"/>
      <c r="K16" s="159"/>
      <c r="L16" s="159" t="n">
        <f aca="false">K16-J16</f>
        <v>0</v>
      </c>
      <c r="M16" s="57" t="str">
        <f aca="false">IFERROR(K16/J16,"n/a")</f>
        <v>n/a</v>
      </c>
      <c r="N16" s="159"/>
      <c r="O16" s="161"/>
      <c r="P16" s="159"/>
      <c r="Q16" s="159" t="n">
        <f aca="false">P16-O16</f>
        <v>0</v>
      </c>
      <c r="R16" s="57" t="str">
        <f aca="false">IFERROR(P16/O16,"n/a")</f>
        <v>n/a</v>
      </c>
      <c r="S16" s="301"/>
    </row>
    <row r="17" customFormat="false" ht="11.25" hidden="true" customHeight="true" outlineLevel="2" collapsed="false">
      <c r="B17" s="301"/>
      <c r="C17" s="51" t="str">
        <f aca="false">'Lead PL'!C49</f>
        <v>Dummy 1</v>
      </c>
      <c r="D17" s="51" t="str">
        <f aca="false">'Lead PL'!D49</f>
        <v>Dummy 1</v>
      </c>
      <c r="E17" s="161"/>
      <c r="F17" s="159"/>
      <c r="G17" s="159" t="n">
        <f aca="false">F17-E17</f>
        <v>0</v>
      </c>
      <c r="H17" s="57" t="str">
        <f aca="false">IFERROR(F17/E17,"n/a")</f>
        <v>n/a</v>
      </c>
      <c r="I17" s="159"/>
      <c r="J17" s="161"/>
      <c r="K17" s="159"/>
      <c r="L17" s="159" t="n">
        <f aca="false">K17-J17</f>
        <v>0</v>
      </c>
      <c r="M17" s="57" t="str">
        <f aca="false">IFERROR(K17/J17,"n/a")</f>
        <v>n/a</v>
      </c>
      <c r="N17" s="159"/>
      <c r="O17" s="161"/>
      <c r="P17" s="159"/>
      <c r="Q17" s="159" t="n">
        <f aca="false">P17-O17</f>
        <v>0</v>
      </c>
      <c r="R17" s="57" t="str">
        <f aca="false">IFERROR(P17/O17,"n/a")</f>
        <v>n/a</v>
      </c>
      <c r="S17" s="301"/>
    </row>
    <row r="18" customFormat="false" ht="11.25" hidden="true" customHeight="true" outlineLevel="2" collapsed="false">
      <c r="B18" s="301"/>
      <c r="C18" s="51" t="str">
        <f aca="false">'Lead PL'!C50</f>
        <v>Dummy 2</v>
      </c>
      <c r="D18" s="51" t="str">
        <f aca="false">'Lead PL'!D50</f>
        <v>Dummy 2</v>
      </c>
      <c r="E18" s="161"/>
      <c r="F18" s="159"/>
      <c r="G18" s="159" t="n">
        <f aca="false">F18-E18</f>
        <v>0</v>
      </c>
      <c r="H18" s="57" t="str">
        <f aca="false">IFERROR(F18/E18,"n/a")</f>
        <v>n/a</v>
      </c>
      <c r="I18" s="159"/>
      <c r="J18" s="161"/>
      <c r="K18" s="159"/>
      <c r="L18" s="159" t="n">
        <f aca="false">K18-J18</f>
        <v>0</v>
      </c>
      <c r="M18" s="57" t="str">
        <f aca="false">IFERROR(K18/J18,"n/a")</f>
        <v>n/a</v>
      </c>
      <c r="N18" s="159"/>
      <c r="O18" s="161"/>
      <c r="P18" s="159"/>
      <c r="Q18" s="159" t="n">
        <f aca="false">P18-O18</f>
        <v>0</v>
      </c>
      <c r="R18" s="57" t="str">
        <f aca="false">IFERROR(P18/O18,"n/a")</f>
        <v>n/a</v>
      </c>
      <c r="S18" s="301"/>
    </row>
    <row r="19" customFormat="false" ht="11.25" hidden="true" customHeight="true" outlineLevel="2" collapsed="false">
      <c r="B19" s="301"/>
      <c r="C19" s="54" t="str">
        <f aca="false">'Lead PL'!C51</f>
        <v>Dummy 3</v>
      </c>
      <c r="D19" s="54" t="str">
        <f aca="false">'Lead PL'!D51</f>
        <v>Dummy 3</v>
      </c>
      <c r="E19" s="164"/>
      <c r="F19" s="162"/>
      <c r="G19" s="162" t="n">
        <f aca="false">F19-E19</f>
        <v>0</v>
      </c>
      <c r="H19" s="55" t="str">
        <f aca="false">IFERROR(F19/E19,"n/a")</f>
        <v>n/a</v>
      </c>
      <c r="I19" s="159"/>
      <c r="J19" s="164"/>
      <c r="K19" s="162"/>
      <c r="L19" s="162" t="n">
        <f aca="false">K19-J19</f>
        <v>0</v>
      </c>
      <c r="M19" s="55" t="str">
        <f aca="false">IFERROR(K19/J19,"n/a")</f>
        <v>n/a</v>
      </c>
      <c r="N19" s="159"/>
      <c r="O19" s="164"/>
      <c r="P19" s="162"/>
      <c r="Q19" s="162" t="n">
        <f aca="false">P19-O19</f>
        <v>0</v>
      </c>
      <c r="R19" s="55" t="str">
        <f aca="false">IFERROR(P19/O19,"n/a")</f>
        <v>n/a</v>
      </c>
      <c r="S19" s="301"/>
    </row>
    <row r="20" customFormat="false" ht="11.25" hidden="false" customHeight="true" outlineLevel="0" collapsed="false">
      <c r="B20" s="301"/>
      <c r="C20" s="296" t="str">
        <f aca="false">'Lead PL'!C52</f>
        <v>Rohergebnis</v>
      </c>
      <c r="D20" s="296" t="str">
        <f aca="false">'Lead PL'!D52</f>
        <v>Gross profit</v>
      </c>
      <c r="E20" s="167" t="n">
        <f aca="false">SUM(E15:E19)</f>
        <v>0</v>
      </c>
      <c r="F20" s="165" t="n">
        <f aca="false">SUM(F15:F19)</f>
        <v>0</v>
      </c>
      <c r="G20" s="165" t="n">
        <f aca="false">F20-E20</f>
        <v>0</v>
      </c>
      <c r="H20" s="273" t="str">
        <f aca="false">IFERROR(F20/E20,"n/a")</f>
        <v>n/a</v>
      </c>
      <c r="I20" s="159"/>
      <c r="J20" s="167" t="n">
        <f aca="false">SUM(J15:J19)</f>
        <v>0</v>
      </c>
      <c r="K20" s="165" t="n">
        <f aca="false">SUM(K15:K19)</f>
        <v>0</v>
      </c>
      <c r="L20" s="165" t="n">
        <f aca="false">K20-J20</f>
        <v>0</v>
      </c>
      <c r="M20" s="273" t="str">
        <f aca="false">IFERROR(K20/J20,"n/a")</f>
        <v>n/a</v>
      </c>
      <c r="N20" s="159"/>
      <c r="O20" s="167" t="n">
        <f aca="false">SUM(O15:O19)</f>
        <v>0</v>
      </c>
      <c r="P20" s="165" t="n">
        <f aca="false">SUM(P15:P19)</f>
        <v>0</v>
      </c>
      <c r="Q20" s="165" t="n">
        <f aca="false">P20-O20</f>
        <v>0</v>
      </c>
      <c r="R20" s="273" t="str">
        <f aca="false">IFERROR(P20/O20,"n/a")</f>
        <v>n/a</v>
      </c>
      <c r="S20" s="301"/>
    </row>
    <row r="21" customFormat="false" ht="11.25" hidden="false" customHeight="true" outlineLevel="0" collapsed="false">
      <c r="B21" s="301"/>
      <c r="C21" s="51" t="str">
        <f aca="false">'Lead PL'!C53</f>
        <v>Personalaufwand</v>
      </c>
      <c r="D21" s="51" t="str">
        <f aca="false">'Lead PL'!D53</f>
        <v>Personnel expenses</v>
      </c>
      <c r="E21" s="161"/>
      <c r="F21" s="159"/>
      <c r="G21" s="159" t="n">
        <f aca="false">F21-E21</f>
        <v>0</v>
      </c>
      <c r="H21" s="57" t="str">
        <f aca="false">IFERROR(F21/E21,"n/a")</f>
        <v>n/a</v>
      </c>
      <c r="I21" s="159"/>
      <c r="J21" s="161"/>
      <c r="K21" s="159"/>
      <c r="L21" s="159" t="n">
        <f aca="false">K21-J21</f>
        <v>0</v>
      </c>
      <c r="M21" s="57" t="str">
        <f aca="false">IFERROR(K21/J21,"n/a")</f>
        <v>n/a</v>
      </c>
      <c r="N21" s="159"/>
      <c r="O21" s="161"/>
      <c r="P21" s="159"/>
      <c r="Q21" s="159" t="n">
        <f aca="false">P21-O21</f>
        <v>0</v>
      </c>
      <c r="R21" s="57" t="str">
        <f aca="false">IFERROR(P21/O21,"n/a")</f>
        <v>n/a</v>
      </c>
      <c r="S21" s="301"/>
    </row>
    <row r="22" customFormat="false" ht="11.25" hidden="false" customHeight="true" outlineLevel="0" collapsed="false">
      <c r="B22" s="301"/>
      <c r="C22" s="51" t="str">
        <f aca="false">'Lead PL'!C62</f>
        <v>Raumkosten</v>
      </c>
      <c r="D22" s="51" t="str">
        <f aca="false">'Lead PL'!D62</f>
        <v>Premise costs</v>
      </c>
      <c r="E22" s="161"/>
      <c r="F22" s="159"/>
      <c r="G22" s="159" t="n">
        <f aca="false">F22-E22</f>
        <v>0</v>
      </c>
      <c r="H22" s="57" t="str">
        <f aca="false">IFERROR(F22/E22,"n/a")</f>
        <v>n/a</v>
      </c>
      <c r="I22" s="159"/>
      <c r="J22" s="161"/>
      <c r="K22" s="159"/>
      <c r="L22" s="159" t="n">
        <f aca="false">K22-J22</f>
        <v>0</v>
      </c>
      <c r="M22" s="57" t="str">
        <f aca="false">IFERROR(K22/J22,"n/a")</f>
        <v>n/a</v>
      </c>
      <c r="N22" s="159"/>
      <c r="O22" s="161"/>
      <c r="P22" s="159"/>
      <c r="Q22" s="159" t="n">
        <f aca="false">P22-O22</f>
        <v>0</v>
      </c>
      <c r="R22" s="57" t="str">
        <f aca="false">IFERROR(P22/O22,"n/a")</f>
        <v>n/a</v>
      </c>
      <c r="S22" s="301"/>
    </row>
    <row r="23" customFormat="false" ht="11.25" hidden="false" customHeight="true" outlineLevel="0" collapsed="false">
      <c r="B23" s="301"/>
      <c r="C23" s="51" t="str">
        <f aca="false">'Lead PL'!C125</f>
        <v>Sonstige betriebliche Erträge</v>
      </c>
      <c r="D23" s="51" t="str">
        <f aca="false">'Lead PL'!D125</f>
        <v>Other operating income</v>
      </c>
      <c r="E23" s="161"/>
      <c r="F23" s="159"/>
      <c r="G23" s="159" t="n">
        <f aca="false">F23-E23</f>
        <v>0</v>
      </c>
      <c r="H23" s="57" t="str">
        <f aca="false">IFERROR(F23/E23,"n/a")</f>
        <v>n/a</v>
      </c>
      <c r="I23" s="159"/>
      <c r="J23" s="161"/>
      <c r="K23" s="159"/>
      <c r="L23" s="159" t="n">
        <f aca="false">K23-J23</f>
        <v>0</v>
      </c>
      <c r="M23" s="57" t="str">
        <f aca="false">IFERROR(K23/J23,"n/a")</f>
        <v>n/a</v>
      </c>
      <c r="N23" s="159"/>
      <c r="O23" s="161"/>
      <c r="P23" s="159"/>
      <c r="Q23" s="159" t="n">
        <f aca="false">P23-O23</f>
        <v>0</v>
      </c>
      <c r="R23" s="57" t="str">
        <f aca="false">IFERROR(P23/O23,"n/a")</f>
        <v>n/a</v>
      </c>
      <c r="S23" s="301"/>
    </row>
    <row r="24" customFormat="false" ht="11.25" hidden="true" customHeight="true" outlineLevel="2" collapsed="false">
      <c r="B24" s="301"/>
      <c r="C24" s="51" t="str">
        <f aca="false">'Lead PL'!C134</f>
        <v>Sonstige betriebliche Aufwendungen</v>
      </c>
      <c r="D24" s="51" t="str">
        <f aca="false">'Lead PL'!D134</f>
        <v>Other operating expenses</v>
      </c>
      <c r="E24" s="161"/>
      <c r="F24" s="159"/>
      <c r="G24" s="159" t="n">
        <f aca="false">F24-E24</f>
        <v>0</v>
      </c>
      <c r="H24" s="57" t="str">
        <f aca="false">IFERROR(F24/E24,"n/a")</f>
        <v>n/a</v>
      </c>
      <c r="I24" s="159"/>
      <c r="J24" s="161"/>
      <c r="K24" s="159"/>
      <c r="L24" s="159" t="n">
        <f aca="false">K24-J24</f>
        <v>0</v>
      </c>
      <c r="M24" s="57" t="str">
        <f aca="false">IFERROR(K24/J24,"n/a")</f>
        <v>n/a</v>
      </c>
      <c r="N24" s="159"/>
      <c r="O24" s="161"/>
      <c r="P24" s="159"/>
      <c r="Q24" s="159" t="n">
        <f aca="false">P24-O24</f>
        <v>0</v>
      </c>
      <c r="R24" s="57" t="str">
        <f aca="false">IFERROR(P24/O24,"n/a")</f>
        <v>n/a</v>
      </c>
      <c r="S24" s="301"/>
    </row>
    <row r="25" customFormat="false" ht="11.25" hidden="true" customHeight="true" outlineLevel="2" collapsed="false">
      <c r="B25" s="301"/>
      <c r="C25" s="51" t="str">
        <f aca="false">'Lead PL'!C143</f>
        <v>Dummy 1</v>
      </c>
      <c r="D25" s="51" t="str">
        <f aca="false">'Lead PL'!D143</f>
        <v>Dummy 1</v>
      </c>
      <c r="E25" s="161"/>
      <c r="F25" s="159"/>
      <c r="G25" s="159" t="n">
        <f aca="false">F25-E25</f>
        <v>0</v>
      </c>
      <c r="H25" s="57" t="str">
        <f aca="false">IFERROR(F25/E25,"n/a")</f>
        <v>n/a</v>
      </c>
      <c r="I25" s="159"/>
      <c r="J25" s="161"/>
      <c r="K25" s="159"/>
      <c r="L25" s="159" t="n">
        <f aca="false">K25-J25</f>
        <v>0</v>
      </c>
      <c r="M25" s="57" t="str">
        <f aca="false">IFERROR(K25/J25,"n/a")</f>
        <v>n/a</v>
      </c>
      <c r="N25" s="159"/>
      <c r="O25" s="161"/>
      <c r="P25" s="159"/>
      <c r="Q25" s="159" t="n">
        <f aca="false">P25-O25</f>
        <v>0</v>
      </c>
      <c r="R25" s="57" t="str">
        <f aca="false">IFERROR(P25/O25,"n/a")</f>
        <v>n/a</v>
      </c>
      <c r="S25" s="301"/>
    </row>
    <row r="26" customFormat="false" ht="11.25" hidden="true" customHeight="true" outlineLevel="2" collapsed="false">
      <c r="B26" s="301"/>
      <c r="C26" s="54" t="str">
        <f aca="false">'Lead PL'!C144</f>
        <v>Dummy 2</v>
      </c>
      <c r="D26" s="54" t="str">
        <f aca="false">'Lead PL'!D144</f>
        <v>Dummy 2</v>
      </c>
      <c r="E26" s="164"/>
      <c r="F26" s="162"/>
      <c r="G26" s="162" t="n">
        <f aca="false">F26-E26</f>
        <v>0</v>
      </c>
      <c r="H26" s="55" t="str">
        <f aca="false">IFERROR(F26/E26,"n/a")</f>
        <v>n/a</v>
      </c>
      <c r="I26" s="159"/>
      <c r="J26" s="164"/>
      <c r="K26" s="162"/>
      <c r="L26" s="162" t="n">
        <f aca="false">K26-J26</f>
        <v>0</v>
      </c>
      <c r="M26" s="55" t="str">
        <f aca="false">IFERROR(K26/J26,"n/a")</f>
        <v>n/a</v>
      </c>
      <c r="N26" s="159"/>
      <c r="O26" s="164"/>
      <c r="P26" s="162"/>
      <c r="Q26" s="162" t="n">
        <f aca="false">P26-O26</f>
        <v>0</v>
      </c>
      <c r="R26" s="55" t="str">
        <f aca="false">IFERROR(P26/O26,"n/a")</f>
        <v>n/a</v>
      </c>
      <c r="S26" s="301"/>
    </row>
    <row r="27" customFormat="false" ht="11.25" hidden="false" customHeight="true" outlineLevel="0" collapsed="false">
      <c r="B27" s="301"/>
      <c r="C27" s="296" t="str">
        <f aca="false">'Lead PL'!C146</f>
        <v>EBITDA</v>
      </c>
      <c r="D27" s="296" t="str">
        <f aca="false">'Lead PL'!D146</f>
        <v>EBITDA</v>
      </c>
      <c r="E27" s="167" t="n">
        <f aca="false">SUM(E20:E26)</f>
        <v>0</v>
      </c>
      <c r="F27" s="165" t="n">
        <f aca="false">SUM(F20:F26)</f>
        <v>0</v>
      </c>
      <c r="G27" s="165" t="n">
        <f aca="false">F27-E27</f>
        <v>0</v>
      </c>
      <c r="H27" s="273" t="str">
        <f aca="false">IFERROR(F27/E27,"n/a")</f>
        <v>n/a</v>
      </c>
      <c r="I27" s="159"/>
      <c r="J27" s="167" t="n">
        <f aca="false">SUM(J20:J26)</f>
        <v>0</v>
      </c>
      <c r="K27" s="165" t="n">
        <f aca="false">SUM(K20:K26)</f>
        <v>0</v>
      </c>
      <c r="L27" s="165" t="n">
        <f aca="false">K27-J27</f>
        <v>0</v>
      </c>
      <c r="M27" s="273" t="str">
        <f aca="false">IFERROR(K27/J27,"n/a")</f>
        <v>n/a</v>
      </c>
      <c r="N27" s="159"/>
      <c r="O27" s="167" t="n">
        <f aca="false">SUM(O20:O26)</f>
        <v>0</v>
      </c>
      <c r="P27" s="165" t="n">
        <f aca="false">SUM(P20:P26)</f>
        <v>0</v>
      </c>
      <c r="Q27" s="165" t="n">
        <f aca="false">P27-O27</f>
        <v>0</v>
      </c>
      <c r="R27" s="273" t="str">
        <f aca="false">IFERROR(P27/O27,"n/a")</f>
        <v>n/a</v>
      </c>
      <c r="S27" s="301"/>
    </row>
    <row r="28" customFormat="false" ht="11.25" hidden="false" customHeight="true" outlineLevel="0" collapsed="false">
      <c r="B28" s="301"/>
      <c r="C28" s="51" t="str">
        <f aca="false">'Lead PL'!C147</f>
        <v>Abschreibungen</v>
      </c>
      <c r="D28" s="51" t="str">
        <f aca="false">'Lead PL'!D147</f>
        <v>Depreciation</v>
      </c>
      <c r="E28" s="161"/>
      <c r="F28" s="159"/>
      <c r="G28" s="159" t="n">
        <f aca="false">F28-E28</f>
        <v>0</v>
      </c>
      <c r="H28" s="57" t="str">
        <f aca="false">IFERROR(F28/E28,"n/a")</f>
        <v>n/a</v>
      </c>
      <c r="I28" s="159"/>
      <c r="J28" s="161"/>
      <c r="K28" s="159"/>
      <c r="L28" s="159" t="n">
        <f aca="false">K28-J28</f>
        <v>0</v>
      </c>
      <c r="M28" s="57" t="str">
        <f aca="false">IFERROR(K28/J28,"n/a")</f>
        <v>n/a</v>
      </c>
      <c r="N28" s="159"/>
      <c r="O28" s="161"/>
      <c r="P28" s="159"/>
      <c r="Q28" s="159" t="n">
        <f aca="false">P28-O28</f>
        <v>0</v>
      </c>
      <c r="R28" s="57" t="str">
        <f aca="false">IFERROR(P28/O28,"n/a")</f>
        <v>n/a</v>
      </c>
      <c r="S28" s="301"/>
    </row>
    <row r="29" customFormat="false" ht="11.25" hidden="true" customHeight="true" outlineLevel="2" collapsed="false">
      <c r="B29" s="301"/>
      <c r="C29" s="51" t="str">
        <f aca="false">'Lead PL'!C156</f>
        <v>Dummy 1</v>
      </c>
      <c r="D29" s="51" t="str">
        <f aca="false">'Lead PL'!D156</f>
        <v>Dummy 1</v>
      </c>
      <c r="E29" s="161"/>
      <c r="F29" s="159"/>
      <c r="G29" s="159" t="n">
        <f aca="false">F29-E29</f>
        <v>0</v>
      </c>
      <c r="H29" s="57" t="str">
        <f aca="false">IFERROR(F29/E29,"n/a")</f>
        <v>n/a</v>
      </c>
      <c r="I29" s="159"/>
      <c r="J29" s="161"/>
      <c r="K29" s="159"/>
      <c r="L29" s="159" t="n">
        <f aca="false">K29-J29</f>
        <v>0</v>
      </c>
      <c r="M29" s="57" t="str">
        <f aca="false">IFERROR(K29/J29,"n/a")</f>
        <v>n/a</v>
      </c>
      <c r="N29" s="159"/>
      <c r="O29" s="161"/>
      <c r="P29" s="159"/>
      <c r="Q29" s="159" t="n">
        <f aca="false">P29-O29</f>
        <v>0</v>
      </c>
      <c r="R29" s="57" t="str">
        <f aca="false">IFERROR(P29/O29,"n/a")</f>
        <v>n/a</v>
      </c>
      <c r="S29" s="301"/>
    </row>
    <row r="30" customFormat="false" ht="11.25" hidden="true" customHeight="true" outlineLevel="2" collapsed="false">
      <c r="B30" s="301"/>
      <c r="C30" s="51" t="str">
        <f aca="false">'Lead PL'!C157</f>
        <v>Dummy 2</v>
      </c>
      <c r="D30" s="51" t="str">
        <f aca="false">'Lead PL'!D157</f>
        <v>Dummy 2</v>
      </c>
      <c r="E30" s="161"/>
      <c r="F30" s="159"/>
      <c r="G30" s="159" t="n">
        <f aca="false">F30-E30</f>
        <v>0</v>
      </c>
      <c r="H30" s="57" t="str">
        <f aca="false">IFERROR(F30/E30,"n/a")</f>
        <v>n/a</v>
      </c>
      <c r="I30" s="159"/>
      <c r="J30" s="161"/>
      <c r="K30" s="159"/>
      <c r="L30" s="159" t="n">
        <f aca="false">K30-J30</f>
        <v>0</v>
      </c>
      <c r="M30" s="57" t="str">
        <f aca="false">IFERROR(K30/J30,"n/a")</f>
        <v>n/a</v>
      </c>
      <c r="N30" s="159"/>
      <c r="O30" s="161"/>
      <c r="P30" s="159"/>
      <c r="Q30" s="159" t="n">
        <f aca="false">P30-O30</f>
        <v>0</v>
      </c>
      <c r="R30" s="57" t="str">
        <f aca="false">IFERROR(P30/O30,"n/a")</f>
        <v>n/a</v>
      </c>
      <c r="S30" s="301"/>
    </row>
    <row r="31" customFormat="false" ht="11.25" hidden="true" customHeight="true" outlineLevel="2" collapsed="false">
      <c r="B31" s="301"/>
      <c r="C31" s="54" t="str">
        <f aca="false">'Lead PL'!C158</f>
        <v>Dummy 3</v>
      </c>
      <c r="D31" s="54" t="str">
        <f aca="false">'Lead PL'!D158</f>
        <v>Dummy 3</v>
      </c>
      <c r="E31" s="164"/>
      <c r="F31" s="162"/>
      <c r="G31" s="162" t="n">
        <f aca="false">F31-E31</f>
        <v>0</v>
      </c>
      <c r="H31" s="55" t="str">
        <f aca="false">IFERROR(F31/E31,"n/a")</f>
        <v>n/a</v>
      </c>
      <c r="I31" s="159"/>
      <c r="J31" s="164"/>
      <c r="K31" s="162"/>
      <c r="L31" s="162" t="n">
        <f aca="false">K31-J31</f>
        <v>0</v>
      </c>
      <c r="M31" s="55" t="str">
        <f aca="false">IFERROR(K31/J31,"n/a")</f>
        <v>n/a</v>
      </c>
      <c r="N31" s="159"/>
      <c r="O31" s="164"/>
      <c r="P31" s="162"/>
      <c r="Q31" s="162" t="n">
        <f aca="false">P31-O31</f>
        <v>0</v>
      </c>
      <c r="R31" s="55" t="str">
        <f aca="false">IFERROR(P31/O31,"n/a")</f>
        <v>n/a</v>
      </c>
      <c r="S31" s="301"/>
    </row>
    <row r="32" customFormat="false" ht="11.25" hidden="false" customHeight="true" outlineLevel="0" collapsed="false">
      <c r="B32" s="301"/>
      <c r="C32" s="296" t="str">
        <f aca="false">'Lead PL'!C159</f>
        <v>EBIT</v>
      </c>
      <c r="D32" s="296" t="str">
        <f aca="false">'Lead PL'!D159</f>
        <v>EBIT</v>
      </c>
      <c r="E32" s="167" t="n">
        <f aca="false">SUM(E27:E31)</f>
        <v>0</v>
      </c>
      <c r="F32" s="165" t="n">
        <f aca="false">SUM(F27:F31)</f>
        <v>0</v>
      </c>
      <c r="G32" s="165" t="n">
        <f aca="false">F32-E32</f>
        <v>0</v>
      </c>
      <c r="H32" s="273" t="str">
        <f aca="false">IFERROR(F32/E32,"n/a")</f>
        <v>n/a</v>
      </c>
      <c r="I32" s="159"/>
      <c r="J32" s="167" t="n">
        <f aca="false">SUM(J27:J31)</f>
        <v>0</v>
      </c>
      <c r="K32" s="165" t="n">
        <f aca="false">SUM(K27:K31)</f>
        <v>0</v>
      </c>
      <c r="L32" s="165" t="n">
        <f aca="false">K32-J32</f>
        <v>0</v>
      </c>
      <c r="M32" s="273" t="str">
        <f aca="false">IFERROR(K32/J32,"n/a")</f>
        <v>n/a</v>
      </c>
      <c r="N32" s="159"/>
      <c r="O32" s="167" t="n">
        <f aca="false">SUM(O27:O31)</f>
        <v>0</v>
      </c>
      <c r="P32" s="165" t="n">
        <f aca="false">SUM(P27:P31)</f>
        <v>0</v>
      </c>
      <c r="Q32" s="165" t="n">
        <f aca="false">P32-O32</f>
        <v>0</v>
      </c>
      <c r="R32" s="273" t="str">
        <f aca="false">IFERROR(P32/O32,"n/a")</f>
        <v>n/a</v>
      </c>
      <c r="S32" s="301"/>
    </row>
    <row r="33" customFormat="false" ht="11.25" hidden="false" customHeight="true" outlineLevel="1" collapsed="false">
      <c r="B33" s="301"/>
      <c r="C33" s="186" t="str">
        <f aca="false">'Lead PL'!C160</f>
        <v>Beteiligungsergebnis</v>
      </c>
      <c r="D33" s="186" t="str">
        <f aca="false">'Lead PL'!D160</f>
        <v>Investment income</v>
      </c>
      <c r="E33" s="161"/>
      <c r="F33" s="159"/>
      <c r="G33" s="159" t="n">
        <f aca="false">F33-E33</f>
        <v>0</v>
      </c>
      <c r="H33" s="57" t="str">
        <f aca="false">IFERROR(F33/E33,"n/a")</f>
        <v>n/a</v>
      </c>
      <c r="I33" s="159"/>
      <c r="J33" s="161"/>
      <c r="K33" s="159"/>
      <c r="L33" s="159" t="n">
        <f aca="false">K33-J33</f>
        <v>0</v>
      </c>
      <c r="M33" s="57" t="str">
        <f aca="false">IFERROR(K33/J33,"n/a")</f>
        <v>n/a</v>
      </c>
      <c r="N33" s="159"/>
      <c r="O33" s="161"/>
      <c r="P33" s="159"/>
      <c r="Q33" s="159" t="n">
        <f aca="false">P33-O33</f>
        <v>0</v>
      </c>
      <c r="R33" s="57" t="str">
        <f aca="false">IFERROR(P33/O33,"n/a")</f>
        <v>n/a</v>
      </c>
      <c r="S33" s="301"/>
    </row>
    <row r="34" customFormat="false" ht="11.25" hidden="false" customHeight="true" outlineLevel="1" collapsed="false">
      <c r="B34" s="301"/>
      <c r="C34" s="186" t="str">
        <f aca="false">'Lead PL'!C169</f>
        <v>Zinserträge</v>
      </c>
      <c r="D34" s="186" t="str">
        <f aca="false">'Lead PL'!D169</f>
        <v>Interest income</v>
      </c>
      <c r="E34" s="161"/>
      <c r="F34" s="159"/>
      <c r="G34" s="159" t="n">
        <f aca="false">F34-E34</f>
        <v>0</v>
      </c>
      <c r="H34" s="57" t="str">
        <f aca="false">IFERROR(F34/E34,"n/a")</f>
        <v>n/a</v>
      </c>
      <c r="I34" s="159"/>
      <c r="J34" s="161"/>
      <c r="K34" s="159"/>
      <c r="L34" s="159" t="n">
        <f aca="false">K34-J34</f>
        <v>0</v>
      </c>
      <c r="M34" s="57" t="str">
        <f aca="false">IFERROR(K34/J34,"n/a")</f>
        <v>n/a</v>
      </c>
      <c r="N34" s="159"/>
      <c r="O34" s="161"/>
      <c r="P34" s="159"/>
      <c r="Q34" s="159" t="n">
        <f aca="false">P34-O34</f>
        <v>0</v>
      </c>
      <c r="R34" s="57" t="str">
        <f aca="false">IFERROR(P34/O34,"n/a")</f>
        <v>n/a</v>
      </c>
      <c r="S34" s="301"/>
    </row>
    <row r="35" customFormat="false" ht="11.25" hidden="false" customHeight="true" outlineLevel="1" collapsed="false">
      <c r="B35" s="301"/>
      <c r="C35" s="186" t="str">
        <f aca="false">'Lead PL'!C178</f>
        <v>Zinsaufwendungen</v>
      </c>
      <c r="D35" s="186" t="str">
        <f aca="false">'Lead PL'!D178</f>
        <v>Interest expenses</v>
      </c>
      <c r="E35" s="161"/>
      <c r="F35" s="159"/>
      <c r="G35" s="159" t="n">
        <f aca="false">F35-E35</f>
        <v>0</v>
      </c>
      <c r="H35" s="57" t="str">
        <f aca="false">IFERROR(F35/E35,"n/a")</f>
        <v>n/a</v>
      </c>
      <c r="I35" s="159"/>
      <c r="J35" s="161"/>
      <c r="K35" s="159"/>
      <c r="L35" s="159" t="n">
        <f aca="false">K35-J35</f>
        <v>0</v>
      </c>
      <c r="M35" s="57" t="str">
        <f aca="false">IFERROR(K35/J35,"n/a")</f>
        <v>n/a</v>
      </c>
      <c r="N35" s="159"/>
      <c r="O35" s="161"/>
      <c r="P35" s="159"/>
      <c r="Q35" s="159" t="n">
        <f aca="false">P35-O35</f>
        <v>0</v>
      </c>
      <c r="R35" s="57" t="str">
        <f aca="false">IFERROR(P35/O35,"n/a")</f>
        <v>n/a</v>
      </c>
      <c r="S35" s="301"/>
    </row>
    <row r="36" customFormat="false" ht="11.25" hidden="true" customHeight="true" outlineLevel="2" collapsed="false">
      <c r="B36" s="301"/>
      <c r="C36" s="186" t="str">
        <f aca="false">'Lead PL'!C187</f>
        <v>Dummy 1</v>
      </c>
      <c r="D36" s="186" t="str">
        <f aca="false">'Lead PL'!D187</f>
        <v>Dummy 1</v>
      </c>
      <c r="E36" s="161"/>
      <c r="F36" s="159"/>
      <c r="G36" s="159" t="n">
        <f aca="false">F36-E36</f>
        <v>0</v>
      </c>
      <c r="H36" s="57" t="str">
        <f aca="false">IFERROR(F36/E36,"n/a")</f>
        <v>n/a</v>
      </c>
      <c r="I36" s="159"/>
      <c r="J36" s="161"/>
      <c r="K36" s="159"/>
      <c r="L36" s="159" t="n">
        <f aca="false">K36-J36</f>
        <v>0</v>
      </c>
      <c r="M36" s="57" t="str">
        <f aca="false">IFERROR(K36/J36,"n/a")</f>
        <v>n/a</v>
      </c>
      <c r="N36" s="159"/>
      <c r="O36" s="161"/>
      <c r="P36" s="159"/>
      <c r="Q36" s="159" t="n">
        <f aca="false">P36-O36</f>
        <v>0</v>
      </c>
      <c r="R36" s="57" t="str">
        <f aca="false">IFERROR(P36/O36,"n/a")</f>
        <v>n/a</v>
      </c>
      <c r="S36" s="301"/>
    </row>
    <row r="37" customFormat="false" ht="11.25" hidden="true" customHeight="true" outlineLevel="2" collapsed="false">
      <c r="B37" s="301"/>
      <c r="C37" s="186" t="str">
        <f aca="false">'Lead PL'!C188</f>
        <v>Dummy 2</v>
      </c>
      <c r="D37" s="186" t="str">
        <f aca="false">'Lead PL'!D188</f>
        <v>Dummy 2</v>
      </c>
      <c r="E37" s="161"/>
      <c r="F37" s="159"/>
      <c r="G37" s="159" t="n">
        <f aca="false">F37-E37</f>
        <v>0</v>
      </c>
      <c r="H37" s="57" t="str">
        <f aca="false">IFERROR(F37/E37,"n/a")</f>
        <v>n/a</v>
      </c>
      <c r="I37" s="159"/>
      <c r="J37" s="161"/>
      <c r="K37" s="159"/>
      <c r="L37" s="159" t="n">
        <f aca="false">K37-J37</f>
        <v>0</v>
      </c>
      <c r="M37" s="57" t="str">
        <f aca="false">IFERROR(K37/J37,"n/a")</f>
        <v>n/a</v>
      </c>
      <c r="N37" s="159"/>
      <c r="O37" s="161"/>
      <c r="P37" s="159"/>
      <c r="Q37" s="159" t="n">
        <f aca="false">P37-O37</f>
        <v>0</v>
      </c>
      <c r="R37" s="57" t="str">
        <f aca="false">IFERROR(P37/O37,"n/a")</f>
        <v>n/a</v>
      </c>
      <c r="S37" s="301"/>
    </row>
    <row r="38" customFormat="false" ht="11.25" hidden="true" customHeight="true" outlineLevel="2" collapsed="false">
      <c r="B38" s="301"/>
      <c r="C38" s="186" t="str">
        <f aca="false">'Lead PL'!C189</f>
        <v>Dummy 3</v>
      </c>
      <c r="D38" s="186" t="str">
        <f aca="false">'Lead PL'!D189</f>
        <v>Dummy 3</v>
      </c>
      <c r="E38" s="161"/>
      <c r="F38" s="159"/>
      <c r="G38" s="159" t="n">
        <f aca="false">F38-E38</f>
        <v>0</v>
      </c>
      <c r="H38" s="57" t="str">
        <f aca="false">IFERROR(F38/E38,"n/a")</f>
        <v>n/a</v>
      </c>
      <c r="I38" s="159"/>
      <c r="J38" s="161"/>
      <c r="K38" s="159"/>
      <c r="L38" s="159" t="n">
        <f aca="false">K38-J38</f>
        <v>0</v>
      </c>
      <c r="M38" s="57" t="str">
        <f aca="false">IFERROR(K38/J38,"n/a")</f>
        <v>n/a</v>
      </c>
      <c r="N38" s="159"/>
      <c r="O38" s="161"/>
      <c r="P38" s="159"/>
      <c r="Q38" s="159" t="n">
        <f aca="false">P38-O38</f>
        <v>0</v>
      </c>
      <c r="R38" s="57" t="str">
        <f aca="false">IFERROR(P38/O38,"n/a")</f>
        <v>n/a</v>
      </c>
      <c r="S38" s="301"/>
    </row>
    <row r="39" customFormat="false" ht="11.25" hidden="false" customHeight="true" outlineLevel="0" collapsed="false">
      <c r="B39" s="301"/>
      <c r="C39" s="54" t="str">
        <f aca="false">'Lead PL'!C190</f>
        <v>Finanzergebnis</v>
      </c>
      <c r="D39" s="54" t="str">
        <f aca="false">'Lead PL'!D190</f>
        <v>Financial result</v>
      </c>
      <c r="E39" s="164" t="n">
        <f aca="false">SUM(E33:E38)</f>
        <v>0</v>
      </c>
      <c r="F39" s="162" t="n">
        <f aca="false">SUM(F33:F38)</f>
        <v>0</v>
      </c>
      <c r="G39" s="162" t="n">
        <f aca="false">F39-E39</f>
        <v>0</v>
      </c>
      <c r="H39" s="55" t="str">
        <f aca="false">IFERROR(F39/E39,"n/a")</f>
        <v>n/a</v>
      </c>
      <c r="I39" s="159"/>
      <c r="J39" s="164" t="n">
        <f aca="false">SUM(J33:J38)</f>
        <v>0</v>
      </c>
      <c r="K39" s="162" t="n">
        <f aca="false">SUM(K33:K38)</f>
        <v>0</v>
      </c>
      <c r="L39" s="162" t="n">
        <f aca="false">K39-J39</f>
        <v>0</v>
      </c>
      <c r="M39" s="55" t="str">
        <f aca="false">IFERROR(K39/J39,"n/a")</f>
        <v>n/a</v>
      </c>
      <c r="N39" s="159"/>
      <c r="O39" s="164" t="n">
        <f aca="false">SUM(O33:O38)</f>
        <v>0</v>
      </c>
      <c r="P39" s="162" t="n">
        <f aca="false">SUM(P33:P38)</f>
        <v>0</v>
      </c>
      <c r="Q39" s="162" t="n">
        <f aca="false">P39-O39</f>
        <v>0</v>
      </c>
      <c r="R39" s="55" t="str">
        <f aca="false">IFERROR(P39/O39,"n/a")</f>
        <v>n/a</v>
      </c>
      <c r="S39" s="301"/>
    </row>
    <row r="40" customFormat="false" ht="11.25" hidden="false" customHeight="true" outlineLevel="0" collapsed="false">
      <c r="B40" s="301"/>
      <c r="C40" s="296" t="str">
        <f aca="false">'Lead PL'!C191</f>
        <v>EBT</v>
      </c>
      <c r="D40" s="296" t="str">
        <f aca="false">'Lead PL'!D191</f>
        <v>EBT</v>
      </c>
      <c r="E40" s="167" t="n">
        <f aca="false">E39+E32</f>
        <v>0</v>
      </c>
      <c r="F40" s="165" t="n">
        <f aca="false">F39+F32</f>
        <v>0</v>
      </c>
      <c r="G40" s="165" t="n">
        <f aca="false">F40-E40</f>
        <v>0</v>
      </c>
      <c r="H40" s="273" t="str">
        <f aca="false">IFERROR(F40/E40,"n/a")</f>
        <v>n/a</v>
      </c>
      <c r="I40" s="159"/>
      <c r="J40" s="167" t="n">
        <f aca="false">J39+J32</f>
        <v>0</v>
      </c>
      <c r="K40" s="165" t="n">
        <f aca="false">K39+K32</f>
        <v>0</v>
      </c>
      <c r="L40" s="165" t="n">
        <f aca="false">K40-J40</f>
        <v>0</v>
      </c>
      <c r="M40" s="273" t="str">
        <f aca="false">IFERROR(K40/J40,"n/a")</f>
        <v>n/a</v>
      </c>
      <c r="N40" s="159"/>
      <c r="O40" s="167" t="n">
        <f aca="false">O39+O32</f>
        <v>0</v>
      </c>
      <c r="P40" s="165" t="n">
        <f aca="false">P39+P32</f>
        <v>0</v>
      </c>
      <c r="Q40" s="165" t="n">
        <f aca="false">P40-O40</f>
        <v>0</v>
      </c>
      <c r="R40" s="273" t="str">
        <f aca="false">IFERROR(P40/O40,"n/a")</f>
        <v>n/a</v>
      </c>
      <c r="S40" s="301"/>
    </row>
    <row r="41" customFormat="false" ht="11.25" hidden="false" customHeight="true" outlineLevel="0" collapsed="false">
      <c r="B41" s="301"/>
      <c r="C41" s="51" t="str">
        <f aca="false">'Lead PL'!C192</f>
        <v>Ertragssteuern</v>
      </c>
      <c r="D41" s="51" t="str">
        <f aca="false">'Lead PL'!D192</f>
        <v>Income taxes</v>
      </c>
      <c r="E41" s="161"/>
      <c r="F41" s="159"/>
      <c r="G41" s="159" t="n">
        <f aca="false">F41-E41</f>
        <v>0</v>
      </c>
      <c r="H41" s="57" t="str">
        <f aca="false">IFERROR(F41/E41,"n/a")</f>
        <v>n/a</v>
      </c>
      <c r="I41" s="159"/>
      <c r="J41" s="161"/>
      <c r="K41" s="159"/>
      <c r="L41" s="159" t="n">
        <f aca="false">K41-J41</f>
        <v>0</v>
      </c>
      <c r="M41" s="57" t="str">
        <f aca="false">IFERROR(K41/J41,"n/a")</f>
        <v>n/a</v>
      </c>
      <c r="N41" s="159"/>
      <c r="O41" s="161"/>
      <c r="P41" s="159"/>
      <c r="Q41" s="159" t="n">
        <f aca="false">P41-O41</f>
        <v>0</v>
      </c>
      <c r="R41" s="57" t="str">
        <f aca="false">IFERROR(P41/O41,"n/a")</f>
        <v>n/a</v>
      </c>
      <c r="S41" s="301"/>
    </row>
    <row r="42" customFormat="false" ht="11.25" hidden="false" customHeight="true" outlineLevel="0" collapsed="false">
      <c r="B42" s="301"/>
      <c r="C42" s="54" t="str">
        <f aca="false">'Lead PL'!C201</f>
        <v>Sonstige Steuern</v>
      </c>
      <c r="D42" s="54" t="str">
        <f aca="false">'Lead PL'!D201</f>
        <v>Other taxes</v>
      </c>
      <c r="E42" s="164"/>
      <c r="F42" s="162"/>
      <c r="G42" s="162" t="n">
        <f aca="false">F42-E42</f>
        <v>0</v>
      </c>
      <c r="H42" s="55" t="str">
        <f aca="false">IFERROR(F42/E42,"n/a")</f>
        <v>n/a</v>
      </c>
      <c r="I42" s="159"/>
      <c r="J42" s="164"/>
      <c r="K42" s="162"/>
      <c r="L42" s="162" t="n">
        <f aca="false">K42-J42</f>
        <v>0</v>
      </c>
      <c r="M42" s="55" t="str">
        <f aca="false">IFERROR(K42/J42,"n/a")</f>
        <v>n/a</v>
      </c>
      <c r="N42" s="159"/>
      <c r="O42" s="164"/>
      <c r="P42" s="162"/>
      <c r="Q42" s="162" t="n">
        <f aca="false">P42-O42</f>
        <v>0</v>
      </c>
      <c r="R42" s="55" t="str">
        <f aca="false">IFERROR(P42/O42,"n/a")</f>
        <v>n/a</v>
      </c>
      <c r="S42" s="301"/>
    </row>
    <row r="43" customFormat="false" ht="11.25" hidden="false" customHeight="true" outlineLevel="0" collapsed="false">
      <c r="B43" s="301"/>
      <c r="C43" s="181" t="str">
        <f aca="false">'Lead PL'!C210</f>
        <v>Jahresüberschuss</v>
      </c>
      <c r="D43" s="181" t="str">
        <f aca="false">'Lead PL'!D210</f>
        <v>Profit / Loss</v>
      </c>
      <c r="E43" s="177" t="n">
        <f aca="false">SUM(E40:E42)</f>
        <v>0</v>
      </c>
      <c r="F43" s="175" t="n">
        <f aca="false">SUM(F40:F42)</f>
        <v>0</v>
      </c>
      <c r="G43" s="175" t="n">
        <f aca="false">F43-E43</f>
        <v>0</v>
      </c>
      <c r="H43" s="283" t="str">
        <f aca="false">IFERROR(F43/E43,"n/a")</f>
        <v>n/a</v>
      </c>
      <c r="I43" s="159"/>
      <c r="J43" s="177" t="n">
        <f aca="false">SUM(J40:J42)</f>
        <v>0</v>
      </c>
      <c r="K43" s="175" t="n">
        <f aca="false">SUM(K40:K42)</f>
        <v>0</v>
      </c>
      <c r="L43" s="175" t="n">
        <f aca="false">K43-J43</f>
        <v>0</v>
      </c>
      <c r="M43" s="283" t="str">
        <f aca="false">IFERROR(K43/J43,"n/a")</f>
        <v>n/a</v>
      </c>
      <c r="N43" s="159"/>
      <c r="O43" s="177" t="n">
        <f aca="false">SUM(O40:O42)</f>
        <v>0</v>
      </c>
      <c r="P43" s="175" t="n">
        <f aca="false">SUM(P40:P42)</f>
        <v>0</v>
      </c>
      <c r="Q43" s="175" t="n">
        <f aca="false">P43-O43</f>
        <v>0</v>
      </c>
      <c r="R43" s="283" t="str">
        <f aca="false">IFERROR(P43/O43,"n/a")</f>
        <v>n/a</v>
      </c>
      <c r="S43" s="301"/>
    </row>
    <row r="44" customFormat="false" ht="4.5" hidden="false" customHeight="true" outlineLevel="0" collapsed="false">
      <c r="B44" s="301"/>
      <c r="C44" s="51"/>
      <c r="D44" s="51"/>
      <c r="E44" s="161"/>
      <c r="F44" s="159"/>
      <c r="G44" s="159"/>
      <c r="H44" s="159"/>
      <c r="I44" s="159"/>
      <c r="J44" s="161"/>
      <c r="K44" s="159"/>
      <c r="L44" s="159"/>
      <c r="M44" s="159"/>
      <c r="N44" s="159"/>
      <c r="O44" s="161"/>
      <c r="P44" s="159"/>
      <c r="Q44" s="159"/>
      <c r="R44" s="159"/>
      <c r="S44" s="301"/>
    </row>
    <row r="45" customFormat="false" ht="11.25" hidden="false" customHeight="true" outlineLevel="0" collapsed="false">
      <c r="B45" s="301"/>
      <c r="C45" s="132" t="str">
        <f aca="false">"In % der "&amp;C15</f>
        <v>In % der Gesamtleistung</v>
      </c>
      <c r="D45" s="132" t="str">
        <f aca="false">"In % of "&amp;D15</f>
        <v>In % of Total output</v>
      </c>
      <c r="E45" s="139"/>
      <c r="F45" s="159"/>
      <c r="G45" s="159"/>
      <c r="H45" s="159"/>
      <c r="I45" s="159"/>
      <c r="J45" s="139"/>
      <c r="K45" s="159"/>
      <c r="L45" s="159"/>
      <c r="M45" s="159"/>
      <c r="N45" s="159"/>
      <c r="O45" s="139"/>
      <c r="P45" s="159"/>
      <c r="Q45" s="159"/>
      <c r="R45" s="159"/>
      <c r="S45" s="301"/>
    </row>
    <row r="46" customFormat="false" ht="11.25" hidden="false" customHeight="true" outlineLevel="0" collapsed="false">
      <c r="B46" s="301"/>
      <c r="C46" s="51" t="str">
        <f aca="false">C11</f>
        <v>Umsatzerlöse</v>
      </c>
      <c r="D46" s="51" t="str">
        <f aca="false">D11</f>
        <v>Revenues</v>
      </c>
      <c r="E46" s="139" t="str">
        <f aca="false">IFERROR(E11/E$15,"n/a")</f>
        <v>n/a</v>
      </c>
      <c r="F46" s="57" t="str">
        <f aca="false">IFERROR(F11/F$15,"n/a")</f>
        <v>n/a</v>
      </c>
      <c r="G46" s="57" t="str">
        <f aca="false">IFERROR(G11/G$15,"n/a")</f>
        <v>n/a</v>
      </c>
      <c r="H46" s="159"/>
      <c r="I46" s="159"/>
      <c r="J46" s="139" t="str">
        <f aca="false">IFERROR(J11/J$15,"n/a")</f>
        <v>n/a</v>
      </c>
      <c r="K46" s="57" t="str">
        <f aca="false">IFERROR(K11/K$15,"n/a")</f>
        <v>n/a</v>
      </c>
      <c r="L46" s="57" t="str">
        <f aca="false">IFERROR(L11/L$15,"n/a")</f>
        <v>n/a</v>
      </c>
      <c r="M46" s="159"/>
      <c r="N46" s="159"/>
      <c r="O46" s="139" t="str">
        <f aca="false">IFERROR(O11/O$15,"n/a")</f>
        <v>n/a</v>
      </c>
      <c r="P46" s="57" t="str">
        <f aca="false">IFERROR(P11/P$15,"n/a")</f>
        <v>n/a</v>
      </c>
      <c r="Q46" s="57" t="str">
        <f aca="false">IFERROR(Q11/Q$15,"n/a")</f>
        <v>n/a</v>
      </c>
      <c r="R46" s="159"/>
      <c r="S46" s="301"/>
    </row>
    <row r="47" customFormat="false" ht="11.25" hidden="true" customHeight="true" outlineLevel="2" collapsed="false">
      <c r="C47" s="51" t="str">
        <f aca="false">C12</f>
        <v>Bestandsveränderung</v>
      </c>
      <c r="D47" s="51" t="str">
        <f aca="false">D12</f>
        <v>Change in inventory</v>
      </c>
      <c r="E47" s="139" t="str">
        <f aca="false">IFERROR(E12/E$15,"n/a")</f>
        <v>n/a</v>
      </c>
      <c r="F47" s="57" t="str">
        <f aca="false">IFERROR(F12/F$15,"n/a")</f>
        <v>n/a</v>
      </c>
      <c r="G47" s="57" t="str">
        <f aca="false">IFERROR(G12/G$15,"n/a")</f>
        <v>n/a</v>
      </c>
      <c r="H47" s="159"/>
      <c r="I47" s="159"/>
      <c r="J47" s="139" t="str">
        <f aca="false">IFERROR(J12/J$15,"n/a")</f>
        <v>n/a</v>
      </c>
      <c r="K47" s="57" t="str">
        <f aca="false">IFERROR(K12/K$15,"n/a")</f>
        <v>n/a</v>
      </c>
      <c r="L47" s="57" t="str">
        <f aca="false">IFERROR(L12/L$15,"n/a")</f>
        <v>n/a</v>
      </c>
      <c r="M47" s="159"/>
      <c r="N47" s="159"/>
      <c r="O47" s="139" t="str">
        <f aca="false">IFERROR(O12/O$15,"n/a")</f>
        <v>n/a</v>
      </c>
      <c r="P47" s="57" t="str">
        <f aca="false">IFERROR(P12/P$15,"n/a")</f>
        <v>n/a</v>
      </c>
      <c r="Q47" s="57" t="str">
        <f aca="false">IFERROR(Q12/Q$15,"n/a")</f>
        <v>n/a</v>
      </c>
      <c r="R47" s="159"/>
    </row>
    <row r="48" customFormat="false" ht="11.25" hidden="true" customHeight="true" outlineLevel="2" collapsed="false">
      <c r="C48" s="51" t="str">
        <f aca="false">C13</f>
        <v>Dummy 2</v>
      </c>
      <c r="D48" s="51" t="str">
        <f aca="false">D13</f>
        <v>Dummy 2</v>
      </c>
      <c r="E48" s="139" t="str">
        <f aca="false">IFERROR(E13/E$15,"n/a")</f>
        <v>n/a</v>
      </c>
      <c r="F48" s="57" t="str">
        <f aca="false">IFERROR(F13/F$15,"n/a")</f>
        <v>n/a</v>
      </c>
      <c r="G48" s="57" t="str">
        <f aca="false">IFERROR(G13/G$15,"n/a")</f>
        <v>n/a</v>
      </c>
      <c r="H48" s="159"/>
      <c r="I48" s="159"/>
      <c r="J48" s="139" t="str">
        <f aca="false">IFERROR(J13/J$15,"n/a")</f>
        <v>n/a</v>
      </c>
      <c r="K48" s="57" t="str">
        <f aca="false">IFERROR(K13/K$15,"n/a")</f>
        <v>n/a</v>
      </c>
      <c r="L48" s="57" t="str">
        <f aca="false">IFERROR(L13/L$15,"n/a")</f>
        <v>n/a</v>
      </c>
      <c r="M48" s="159"/>
      <c r="N48" s="159"/>
      <c r="O48" s="139" t="str">
        <f aca="false">IFERROR(O13/O$15,"n/a")</f>
        <v>n/a</v>
      </c>
      <c r="P48" s="57" t="str">
        <f aca="false">IFERROR(P13/P$15,"n/a")</f>
        <v>n/a</v>
      </c>
      <c r="Q48" s="57" t="str">
        <f aca="false">IFERROR(Q13/Q$15,"n/a")</f>
        <v>n/a</v>
      </c>
      <c r="R48" s="159"/>
    </row>
    <row r="49" customFormat="false" ht="11.25" hidden="true" customHeight="true" outlineLevel="2" collapsed="false">
      <c r="C49" s="51" t="str">
        <f aca="false">C14</f>
        <v>Dummy 3</v>
      </c>
      <c r="D49" s="51" t="str">
        <f aca="false">D14</f>
        <v>Dummy 3</v>
      </c>
      <c r="E49" s="139" t="str">
        <f aca="false">IFERROR(E14/E$15,"n/a")</f>
        <v>n/a</v>
      </c>
      <c r="F49" s="57" t="str">
        <f aca="false">IFERROR(F14/F$15,"n/a")</f>
        <v>n/a</v>
      </c>
      <c r="G49" s="57" t="str">
        <f aca="false">IFERROR(G14/G$15,"n/a")</f>
        <v>n/a</v>
      </c>
      <c r="H49" s="159"/>
      <c r="I49" s="159"/>
      <c r="J49" s="139" t="str">
        <f aca="false">IFERROR(J14/J$15,"n/a")</f>
        <v>n/a</v>
      </c>
      <c r="K49" s="57" t="str">
        <f aca="false">IFERROR(K14/K$15,"n/a")</f>
        <v>n/a</v>
      </c>
      <c r="L49" s="57" t="str">
        <f aca="false">IFERROR(L14/L$15,"n/a")</f>
        <v>n/a</v>
      </c>
      <c r="M49" s="159"/>
      <c r="N49" s="159"/>
      <c r="O49" s="139" t="str">
        <f aca="false">IFERROR(O14/O$15,"n/a")</f>
        <v>n/a</v>
      </c>
      <c r="P49" s="57" t="str">
        <f aca="false">IFERROR(P14/P$15,"n/a")</f>
        <v>n/a</v>
      </c>
      <c r="Q49" s="57" t="str">
        <f aca="false">IFERROR(Q14/Q$15,"n/a")</f>
        <v>n/a</v>
      </c>
      <c r="R49" s="159"/>
    </row>
    <row r="50" customFormat="false" ht="11.25" hidden="false" customHeight="true" outlineLevel="0" collapsed="false">
      <c r="C50" s="132" t="str">
        <f aca="false">C15</f>
        <v>Gesamtleistung</v>
      </c>
      <c r="D50" s="132" t="str">
        <f aca="false">D15</f>
        <v>Total output</v>
      </c>
      <c r="E50" s="147" t="str">
        <f aca="false">IFERROR(E15/E$15,"n/a")</f>
        <v>n/a</v>
      </c>
      <c r="F50" s="144" t="str">
        <f aca="false">IFERROR(F15/F$15,"n/a")</f>
        <v>n/a</v>
      </c>
      <c r="G50" s="144" t="str">
        <f aca="false">IFERROR(G15/G$15,"n/a")</f>
        <v>n/a</v>
      </c>
      <c r="H50" s="159"/>
      <c r="I50" s="159"/>
      <c r="J50" s="147" t="str">
        <f aca="false">IFERROR(J15/J$15,"n/a")</f>
        <v>n/a</v>
      </c>
      <c r="K50" s="144" t="str">
        <f aca="false">IFERROR(K15/K$15,"n/a")</f>
        <v>n/a</v>
      </c>
      <c r="L50" s="144" t="str">
        <f aca="false">IFERROR(L15/L$15,"n/a")</f>
        <v>n/a</v>
      </c>
      <c r="M50" s="159"/>
      <c r="N50" s="159"/>
      <c r="O50" s="147" t="str">
        <f aca="false">IFERROR(O15/O$15,"n/a")</f>
        <v>n/a</v>
      </c>
      <c r="P50" s="144" t="str">
        <f aca="false">IFERROR(P15/P$15,"n/a")</f>
        <v>n/a</v>
      </c>
      <c r="Q50" s="144" t="str">
        <f aca="false">IFERROR(Q15/Q$15,"n/a")</f>
        <v>n/a</v>
      </c>
      <c r="R50" s="159"/>
    </row>
    <row r="51" customFormat="false" ht="11.25" hidden="false" customHeight="true" outlineLevel="0" collapsed="false">
      <c r="C51" s="51" t="str">
        <f aca="false">C16</f>
        <v>Materialaufwand</v>
      </c>
      <c r="D51" s="51" t="str">
        <f aca="false">D16</f>
        <v>Cost of materials</v>
      </c>
      <c r="E51" s="139" t="str">
        <f aca="false">IFERROR(E16/E$15,"n/a")</f>
        <v>n/a</v>
      </c>
      <c r="F51" s="57" t="str">
        <f aca="false">IFERROR(F16/F$15,"n/a")</f>
        <v>n/a</v>
      </c>
      <c r="G51" s="57" t="str">
        <f aca="false">IFERROR(G16/G$15,"n/a")</f>
        <v>n/a</v>
      </c>
      <c r="H51" s="159"/>
      <c r="I51" s="159"/>
      <c r="J51" s="139" t="str">
        <f aca="false">IFERROR(J16/J$15,"n/a")</f>
        <v>n/a</v>
      </c>
      <c r="K51" s="57" t="str">
        <f aca="false">IFERROR(K16/K$15,"n/a")</f>
        <v>n/a</v>
      </c>
      <c r="L51" s="57" t="str">
        <f aca="false">IFERROR(L16/L$15,"n/a")</f>
        <v>n/a</v>
      </c>
      <c r="M51" s="159"/>
      <c r="N51" s="159"/>
      <c r="O51" s="139" t="str">
        <f aca="false">IFERROR(O16/O$15,"n/a")</f>
        <v>n/a</v>
      </c>
      <c r="P51" s="57" t="str">
        <f aca="false">IFERROR(P16/P$15,"n/a")</f>
        <v>n/a</v>
      </c>
      <c r="Q51" s="57" t="str">
        <f aca="false">IFERROR(Q16/Q$15,"n/a")</f>
        <v>n/a</v>
      </c>
      <c r="R51" s="159"/>
    </row>
    <row r="52" customFormat="false" ht="11.25" hidden="true" customHeight="true" outlineLevel="2" collapsed="false">
      <c r="C52" s="51" t="str">
        <f aca="false">C17</f>
        <v>Dummy 1</v>
      </c>
      <c r="D52" s="51" t="str">
        <f aca="false">D17</f>
        <v>Dummy 1</v>
      </c>
      <c r="E52" s="139" t="str">
        <f aca="false">IFERROR(E17/E$15,"n/a")</f>
        <v>n/a</v>
      </c>
      <c r="F52" s="57" t="str">
        <f aca="false">IFERROR(F17/F$15,"n/a")</f>
        <v>n/a</v>
      </c>
      <c r="G52" s="57" t="str">
        <f aca="false">IFERROR(G17/G$15,"n/a")</f>
        <v>n/a</v>
      </c>
      <c r="H52" s="159"/>
      <c r="I52" s="159"/>
      <c r="J52" s="139" t="str">
        <f aca="false">IFERROR(J17/J$15,"n/a")</f>
        <v>n/a</v>
      </c>
      <c r="K52" s="57" t="str">
        <f aca="false">IFERROR(K17/K$15,"n/a")</f>
        <v>n/a</v>
      </c>
      <c r="L52" s="57" t="str">
        <f aca="false">IFERROR(L17/L$15,"n/a")</f>
        <v>n/a</v>
      </c>
      <c r="M52" s="159"/>
      <c r="N52" s="159"/>
      <c r="O52" s="139" t="str">
        <f aca="false">IFERROR(O17/O$15,"n/a")</f>
        <v>n/a</v>
      </c>
      <c r="P52" s="57" t="str">
        <f aca="false">IFERROR(P17/P$15,"n/a")</f>
        <v>n/a</v>
      </c>
      <c r="Q52" s="57" t="str">
        <f aca="false">IFERROR(Q17/Q$15,"n/a")</f>
        <v>n/a</v>
      </c>
      <c r="R52" s="159"/>
    </row>
    <row r="53" customFormat="false" ht="11.25" hidden="true" customHeight="true" outlineLevel="2" collapsed="false">
      <c r="C53" s="51" t="str">
        <f aca="false">C18</f>
        <v>Dummy 2</v>
      </c>
      <c r="D53" s="51" t="str">
        <f aca="false">D18</f>
        <v>Dummy 2</v>
      </c>
      <c r="E53" s="139" t="str">
        <f aca="false">IFERROR(E18/E$15,"n/a")</f>
        <v>n/a</v>
      </c>
      <c r="F53" s="57" t="str">
        <f aca="false">IFERROR(F18/F$15,"n/a")</f>
        <v>n/a</v>
      </c>
      <c r="G53" s="57" t="str">
        <f aca="false">IFERROR(G18/G$15,"n/a")</f>
        <v>n/a</v>
      </c>
      <c r="H53" s="159"/>
      <c r="I53" s="159"/>
      <c r="J53" s="139" t="str">
        <f aca="false">IFERROR(J18/J$15,"n/a")</f>
        <v>n/a</v>
      </c>
      <c r="K53" s="57" t="str">
        <f aca="false">IFERROR(K18/K$15,"n/a")</f>
        <v>n/a</v>
      </c>
      <c r="L53" s="57" t="str">
        <f aca="false">IFERROR(L18/L$15,"n/a")</f>
        <v>n/a</v>
      </c>
      <c r="M53" s="159"/>
      <c r="N53" s="159"/>
      <c r="O53" s="139" t="str">
        <f aca="false">IFERROR(O18/O$15,"n/a")</f>
        <v>n/a</v>
      </c>
      <c r="P53" s="57" t="str">
        <f aca="false">IFERROR(P18/P$15,"n/a")</f>
        <v>n/a</v>
      </c>
      <c r="Q53" s="57" t="str">
        <f aca="false">IFERROR(Q18/Q$15,"n/a")</f>
        <v>n/a</v>
      </c>
      <c r="R53" s="159"/>
    </row>
    <row r="54" customFormat="false" ht="11.25" hidden="true" customHeight="true" outlineLevel="2" collapsed="false">
      <c r="C54" s="51" t="str">
        <f aca="false">C19</f>
        <v>Dummy 3</v>
      </c>
      <c r="D54" s="51" t="str">
        <f aca="false">D19</f>
        <v>Dummy 3</v>
      </c>
      <c r="E54" s="139" t="str">
        <f aca="false">IFERROR(E19/E$15,"n/a")</f>
        <v>n/a</v>
      </c>
      <c r="F54" s="57" t="str">
        <f aca="false">IFERROR(F19/F$15,"n/a")</f>
        <v>n/a</v>
      </c>
      <c r="G54" s="57" t="str">
        <f aca="false">IFERROR(G19/G$15,"n/a")</f>
        <v>n/a</v>
      </c>
      <c r="H54" s="159"/>
      <c r="I54" s="159"/>
      <c r="J54" s="139" t="str">
        <f aca="false">IFERROR(J19/J$15,"n/a")</f>
        <v>n/a</v>
      </c>
      <c r="K54" s="57" t="str">
        <f aca="false">IFERROR(K19/K$15,"n/a")</f>
        <v>n/a</v>
      </c>
      <c r="L54" s="57" t="str">
        <f aca="false">IFERROR(L19/L$15,"n/a")</f>
        <v>n/a</v>
      </c>
      <c r="M54" s="159"/>
      <c r="N54" s="159"/>
      <c r="O54" s="139" t="str">
        <f aca="false">IFERROR(O19/O$15,"n/a")</f>
        <v>n/a</v>
      </c>
      <c r="P54" s="57" t="str">
        <f aca="false">IFERROR(P19/P$15,"n/a")</f>
        <v>n/a</v>
      </c>
      <c r="Q54" s="57" t="str">
        <f aca="false">IFERROR(Q19/Q$15,"n/a")</f>
        <v>n/a</v>
      </c>
      <c r="R54" s="159"/>
    </row>
    <row r="55" customFormat="false" ht="11.25" hidden="false" customHeight="true" outlineLevel="0" collapsed="false">
      <c r="C55" s="132" t="str">
        <f aca="false">C20</f>
        <v>Rohergebnis</v>
      </c>
      <c r="D55" s="132" t="str">
        <f aca="false">D20</f>
        <v>Gross profit</v>
      </c>
      <c r="E55" s="147" t="str">
        <f aca="false">IFERROR(E20/E$15,"n/a")</f>
        <v>n/a</v>
      </c>
      <c r="F55" s="144" t="str">
        <f aca="false">IFERROR(F20/F$15,"n/a")</f>
        <v>n/a</v>
      </c>
      <c r="G55" s="144" t="str">
        <f aca="false">IFERROR(G20/G$15,"n/a")</f>
        <v>n/a</v>
      </c>
      <c r="H55" s="159"/>
      <c r="I55" s="159"/>
      <c r="J55" s="147" t="str">
        <f aca="false">IFERROR(J20/J$15,"n/a")</f>
        <v>n/a</v>
      </c>
      <c r="K55" s="144" t="str">
        <f aca="false">IFERROR(K20/K$15,"n/a")</f>
        <v>n/a</v>
      </c>
      <c r="L55" s="144" t="str">
        <f aca="false">IFERROR(L20/L$15,"n/a")</f>
        <v>n/a</v>
      </c>
      <c r="M55" s="159"/>
      <c r="N55" s="159"/>
      <c r="O55" s="147" t="str">
        <f aca="false">IFERROR(O20/O$15,"n/a")</f>
        <v>n/a</v>
      </c>
      <c r="P55" s="144" t="str">
        <f aca="false">IFERROR(P20/P$15,"n/a")</f>
        <v>n/a</v>
      </c>
      <c r="Q55" s="144" t="str">
        <f aca="false">IFERROR(Q20/Q$15,"n/a")</f>
        <v>n/a</v>
      </c>
      <c r="R55" s="159"/>
    </row>
    <row r="56" customFormat="false" ht="11.25" hidden="false" customHeight="true" outlineLevel="0" collapsed="false">
      <c r="C56" s="51" t="str">
        <f aca="false">C21</f>
        <v>Personalaufwand</v>
      </c>
      <c r="D56" s="51" t="str">
        <f aca="false">D21</f>
        <v>Personnel expenses</v>
      </c>
      <c r="E56" s="139" t="str">
        <f aca="false">IFERROR(E21/E$15,"n/a")</f>
        <v>n/a</v>
      </c>
      <c r="F56" s="57" t="str">
        <f aca="false">IFERROR(F21/F$15,"n/a")</f>
        <v>n/a</v>
      </c>
      <c r="G56" s="57" t="str">
        <f aca="false">IFERROR(G21/G$15,"n/a")</f>
        <v>n/a</v>
      </c>
      <c r="H56" s="159"/>
      <c r="I56" s="159"/>
      <c r="J56" s="139" t="str">
        <f aca="false">IFERROR(J21/J$15,"n/a")</f>
        <v>n/a</v>
      </c>
      <c r="K56" s="57" t="str">
        <f aca="false">IFERROR(K21/K$15,"n/a")</f>
        <v>n/a</v>
      </c>
      <c r="L56" s="57" t="str">
        <f aca="false">IFERROR(L21/L$15,"n/a")</f>
        <v>n/a</v>
      </c>
      <c r="M56" s="159"/>
      <c r="N56" s="159"/>
      <c r="O56" s="139" t="str">
        <f aca="false">IFERROR(O21/O$15,"n/a")</f>
        <v>n/a</v>
      </c>
      <c r="P56" s="57" t="str">
        <f aca="false">IFERROR(P21/P$15,"n/a")</f>
        <v>n/a</v>
      </c>
      <c r="Q56" s="57" t="str">
        <f aca="false">IFERROR(Q21/Q$15,"n/a")</f>
        <v>n/a</v>
      </c>
      <c r="R56" s="159"/>
    </row>
    <row r="57" customFormat="false" ht="11.25" hidden="false" customHeight="true" outlineLevel="0" collapsed="false">
      <c r="C57" s="51" t="str">
        <f aca="false">C22</f>
        <v>Raumkosten</v>
      </c>
      <c r="D57" s="51" t="str">
        <f aca="false">D22</f>
        <v>Premise costs</v>
      </c>
      <c r="E57" s="139" t="str">
        <f aca="false">IFERROR(E22/E$15,"n/a")</f>
        <v>n/a</v>
      </c>
      <c r="F57" s="57" t="str">
        <f aca="false">IFERROR(F22/F$15,"n/a")</f>
        <v>n/a</v>
      </c>
      <c r="G57" s="57" t="str">
        <f aca="false">IFERROR(G22/G$15,"n/a")</f>
        <v>n/a</v>
      </c>
      <c r="H57" s="159"/>
      <c r="I57" s="159"/>
      <c r="J57" s="139" t="str">
        <f aca="false">IFERROR(J22/J$15,"n/a")</f>
        <v>n/a</v>
      </c>
      <c r="K57" s="57" t="str">
        <f aca="false">IFERROR(K22/K$15,"n/a")</f>
        <v>n/a</v>
      </c>
      <c r="L57" s="57" t="str">
        <f aca="false">IFERROR(L22/L$15,"n/a")</f>
        <v>n/a</v>
      </c>
      <c r="M57" s="159"/>
      <c r="N57" s="159"/>
      <c r="O57" s="139" t="str">
        <f aca="false">IFERROR(O22/O$15,"n/a")</f>
        <v>n/a</v>
      </c>
      <c r="P57" s="57" t="str">
        <f aca="false">IFERROR(P22/P$15,"n/a")</f>
        <v>n/a</v>
      </c>
      <c r="Q57" s="57" t="str">
        <f aca="false">IFERROR(Q22/Q$15,"n/a")</f>
        <v>n/a</v>
      </c>
      <c r="R57" s="159"/>
    </row>
    <row r="58" customFormat="false" ht="11.25" hidden="false" customHeight="true" outlineLevel="0" collapsed="false">
      <c r="C58" s="51" t="str">
        <f aca="false">C23</f>
        <v>Sonstige betriebliche Erträge</v>
      </c>
      <c r="D58" s="51" t="str">
        <f aca="false">D23</f>
        <v>Other operating income</v>
      </c>
      <c r="E58" s="139" t="str">
        <f aca="false">IFERROR(E23/E$15,"n/a")</f>
        <v>n/a</v>
      </c>
      <c r="F58" s="57" t="str">
        <f aca="false">IFERROR(F23/F$15,"n/a")</f>
        <v>n/a</v>
      </c>
      <c r="G58" s="57" t="str">
        <f aca="false">IFERROR(G23/G$15,"n/a")</f>
        <v>n/a</v>
      </c>
      <c r="H58" s="159"/>
      <c r="I58" s="159"/>
      <c r="J58" s="139" t="str">
        <f aca="false">IFERROR(J23/J$15,"n/a")</f>
        <v>n/a</v>
      </c>
      <c r="K58" s="57" t="str">
        <f aca="false">IFERROR(K23/K$15,"n/a")</f>
        <v>n/a</v>
      </c>
      <c r="L58" s="57" t="str">
        <f aca="false">IFERROR(L23/L$15,"n/a")</f>
        <v>n/a</v>
      </c>
      <c r="M58" s="159"/>
      <c r="N58" s="159"/>
      <c r="O58" s="139" t="str">
        <f aca="false">IFERROR(O23/O$15,"n/a")</f>
        <v>n/a</v>
      </c>
      <c r="P58" s="57" t="str">
        <f aca="false">IFERROR(P23/P$15,"n/a")</f>
        <v>n/a</v>
      </c>
      <c r="Q58" s="57" t="str">
        <f aca="false">IFERROR(Q23/Q$15,"n/a")</f>
        <v>n/a</v>
      </c>
      <c r="R58" s="159"/>
    </row>
    <row r="59" customFormat="false" ht="11.25" hidden="true" customHeight="true" outlineLevel="2" collapsed="false">
      <c r="C59" s="51" t="str">
        <f aca="false">C24</f>
        <v>Sonstige betriebliche Aufwendungen</v>
      </c>
      <c r="D59" s="51" t="str">
        <f aca="false">D24</f>
        <v>Other operating expenses</v>
      </c>
      <c r="E59" s="139" t="str">
        <f aca="false">IFERROR(E24/E$15,"n/a")</f>
        <v>n/a</v>
      </c>
      <c r="F59" s="57" t="str">
        <f aca="false">IFERROR(F24/F$15,"n/a")</f>
        <v>n/a</v>
      </c>
      <c r="G59" s="57" t="str">
        <f aca="false">IFERROR(G24/G$15,"n/a")</f>
        <v>n/a</v>
      </c>
      <c r="H59" s="159"/>
      <c r="I59" s="159"/>
      <c r="J59" s="139" t="str">
        <f aca="false">IFERROR(J24/J$15,"n/a")</f>
        <v>n/a</v>
      </c>
      <c r="K59" s="57" t="str">
        <f aca="false">IFERROR(K24/K$15,"n/a")</f>
        <v>n/a</v>
      </c>
      <c r="L59" s="57" t="str">
        <f aca="false">IFERROR(L24/L$15,"n/a")</f>
        <v>n/a</v>
      </c>
      <c r="M59" s="159"/>
      <c r="N59" s="159"/>
      <c r="O59" s="139" t="str">
        <f aca="false">IFERROR(O24/O$15,"n/a")</f>
        <v>n/a</v>
      </c>
      <c r="P59" s="57" t="str">
        <f aca="false">IFERROR(P24/P$15,"n/a")</f>
        <v>n/a</v>
      </c>
      <c r="Q59" s="57" t="str">
        <f aca="false">IFERROR(Q24/Q$15,"n/a")</f>
        <v>n/a</v>
      </c>
      <c r="R59" s="159"/>
    </row>
    <row r="60" customFormat="false" ht="11.25" hidden="true" customHeight="true" outlineLevel="2" collapsed="false">
      <c r="C60" s="51" t="str">
        <f aca="false">C25</f>
        <v>Dummy 1</v>
      </c>
      <c r="D60" s="51" t="str">
        <f aca="false">D25</f>
        <v>Dummy 1</v>
      </c>
      <c r="E60" s="139" t="str">
        <f aca="false">IFERROR(E25/E$15,"n/a")</f>
        <v>n/a</v>
      </c>
      <c r="F60" s="57" t="str">
        <f aca="false">IFERROR(F25/F$15,"n/a")</f>
        <v>n/a</v>
      </c>
      <c r="G60" s="57" t="str">
        <f aca="false">IFERROR(G25/G$15,"n/a")</f>
        <v>n/a</v>
      </c>
      <c r="H60" s="159"/>
      <c r="I60" s="159"/>
      <c r="J60" s="139" t="str">
        <f aca="false">IFERROR(J25/J$15,"n/a")</f>
        <v>n/a</v>
      </c>
      <c r="K60" s="57" t="str">
        <f aca="false">IFERROR(K25/K$15,"n/a")</f>
        <v>n/a</v>
      </c>
      <c r="L60" s="57" t="str">
        <f aca="false">IFERROR(L25/L$15,"n/a")</f>
        <v>n/a</v>
      </c>
      <c r="M60" s="159"/>
      <c r="N60" s="159"/>
      <c r="O60" s="139" t="str">
        <f aca="false">IFERROR(O25/O$15,"n/a")</f>
        <v>n/a</v>
      </c>
      <c r="P60" s="57" t="str">
        <f aca="false">IFERROR(P25/P$15,"n/a")</f>
        <v>n/a</v>
      </c>
      <c r="Q60" s="57" t="str">
        <f aca="false">IFERROR(Q25/Q$15,"n/a")</f>
        <v>n/a</v>
      </c>
      <c r="R60" s="159"/>
    </row>
    <row r="61" customFormat="false" ht="11.25" hidden="true" customHeight="true" outlineLevel="2" collapsed="false">
      <c r="C61" s="51" t="str">
        <f aca="false">C26</f>
        <v>Dummy 2</v>
      </c>
      <c r="D61" s="51" t="str">
        <f aca="false">D26</f>
        <v>Dummy 2</v>
      </c>
      <c r="E61" s="139" t="str">
        <f aca="false">IFERROR(E26/E$15,"n/a")</f>
        <v>n/a</v>
      </c>
      <c r="F61" s="57" t="str">
        <f aca="false">IFERROR(F26/F$15,"n/a")</f>
        <v>n/a</v>
      </c>
      <c r="G61" s="57" t="str">
        <f aca="false">IFERROR(G26/G$15,"n/a")</f>
        <v>n/a</v>
      </c>
      <c r="H61" s="159"/>
      <c r="I61" s="159"/>
      <c r="J61" s="139" t="str">
        <f aca="false">IFERROR(J26/J$15,"n/a")</f>
        <v>n/a</v>
      </c>
      <c r="K61" s="57" t="str">
        <f aca="false">IFERROR(K26/K$15,"n/a")</f>
        <v>n/a</v>
      </c>
      <c r="L61" s="57" t="str">
        <f aca="false">IFERROR(L26/L$15,"n/a")</f>
        <v>n/a</v>
      </c>
      <c r="M61" s="159"/>
      <c r="N61" s="159"/>
      <c r="O61" s="139" t="str">
        <f aca="false">IFERROR(O26/O$15,"n/a")</f>
        <v>n/a</v>
      </c>
      <c r="P61" s="57" t="str">
        <f aca="false">IFERROR(P26/P$15,"n/a")</f>
        <v>n/a</v>
      </c>
      <c r="Q61" s="57" t="str">
        <f aca="false">IFERROR(Q26/Q$15,"n/a")</f>
        <v>n/a</v>
      </c>
      <c r="R61" s="159"/>
    </row>
    <row r="62" customFormat="false" ht="11.25" hidden="false" customHeight="true" outlineLevel="0" collapsed="false">
      <c r="C62" s="132" t="str">
        <f aca="false">C27</f>
        <v>EBITDA</v>
      </c>
      <c r="D62" s="132" t="str">
        <f aca="false">D27</f>
        <v>EBITDA</v>
      </c>
      <c r="E62" s="147" t="str">
        <f aca="false">IFERROR(E27/E$15,"n/a")</f>
        <v>n/a</v>
      </c>
      <c r="F62" s="144" t="str">
        <f aca="false">IFERROR(F27/F$15,"n/a")</f>
        <v>n/a</v>
      </c>
      <c r="G62" s="144" t="str">
        <f aca="false">IFERROR(G27/G$15,"n/a")</f>
        <v>n/a</v>
      </c>
      <c r="H62" s="159"/>
      <c r="I62" s="159"/>
      <c r="J62" s="147" t="str">
        <f aca="false">IFERROR(J27/J$15,"n/a")</f>
        <v>n/a</v>
      </c>
      <c r="K62" s="144" t="str">
        <f aca="false">IFERROR(K27/K$15,"n/a")</f>
        <v>n/a</v>
      </c>
      <c r="L62" s="144" t="str">
        <f aca="false">IFERROR(L27/L$15,"n/a")</f>
        <v>n/a</v>
      </c>
      <c r="M62" s="159"/>
      <c r="N62" s="159"/>
      <c r="O62" s="147" t="str">
        <f aca="false">IFERROR(O27/O$15,"n/a")</f>
        <v>n/a</v>
      </c>
      <c r="P62" s="144" t="str">
        <f aca="false">IFERROR(P27/P$15,"n/a")</f>
        <v>n/a</v>
      </c>
      <c r="Q62" s="144" t="str">
        <f aca="false">IFERROR(Q27/Q$15,"n/a")</f>
        <v>n/a</v>
      </c>
      <c r="R62" s="159"/>
    </row>
    <row r="63" customFormat="false" ht="11.25" hidden="false" customHeight="true" outlineLevel="0" collapsed="false">
      <c r="C63" s="51" t="str">
        <f aca="false">C28</f>
        <v>Abschreibungen</v>
      </c>
      <c r="D63" s="51" t="str">
        <f aca="false">D28</f>
        <v>Depreciation</v>
      </c>
      <c r="E63" s="139" t="str">
        <f aca="false">IFERROR(E28/E$15,"n/a")</f>
        <v>n/a</v>
      </c>
      <c r="F63" s="57" t="str">
        <f aca="false">IFERROR(F28/F$15,"n/a")</f>
        <v>n/a</v>
      </c>
      <c r="G63" s="57" t="str">
        <f aca="false">IFERROR(G28/G$15,"n/a")</f>
        <v>n/a</v>
      </c>
      <c r="H63" s="159"/>
      <c r="I63" s="159"/>
      <c r="J63" s="139" t="str">
        <f aca="false">IFERROR(J28/J$15,"n/a")</f>
        <v>n/a</v>
      </c>
      <c r="K63" s="57" t="str">
        <f aca="false">IFERROR(K28/K$15,"n/a")</f>
        <v>n/a</v>
      </c>
      <c r="L63" s="57" t="str">
        <f aca="false">IFERROR(L28/L$15,"n/a")</f>
        <v>n/a</v>
      </c>
      <c r="M63" s="159"/>
      <c r="N63" s="159"/>
      <c r="O63" s="139" t="str">
        <f aca="false">IFERROR(O28/O$15,"n/a")</f>
        <v>n/a</v>
      </c>
      <c r="P63" s="57" t="str">
        <f aca="false">IFERROR(P28/P$15,"n/a")</f>
        <v>n/a</v>
      </c>
      <c r="Q63" s="57" t="str">
        <f aca="false">IFERROR(Q28/Q$15,"n/a")</f>
        <v>n/a</v>
      </c>
      <c r="R63" s="159"/>
    </row>
    <row r="64" customFormat="false" ht="11.25" hidden="true" customHeight="true" outlineLevel="2" collapsed="false">
      <c r="C64" s="51" t="str">
        <f aca="false">C29</f>
        <v>Dummy 1</v>
      </c>
      <c r="D64" s="51" t="str">
        <f aca="false">D29</f>
        <v>Dummy 1</v>
      </c>
      <c r="E64" s="139" t="str">
        <f aca="false">IFERROR(E29/E$15,"n/a")</f>
        <v>n/a</v>
      </c>
      <c r="F64" s="57" t="str">
        <f aca="false">IFERROR(F29/F$15,"n/a")</f>
        <v>n/a</v>
      </c>
      <c r="G64" s="57" t="str">
        <f aca="false">IFERROR(G29/G$15,"n/a")</f>
        <v>n/a</v>
      </c>
      <c r="H64" s="159"/>
      <c r="I64" s="159"/>
      <c r="J64" s="139" t="str">
        <f aca="false">IFERROR(J29/J$15,"n/a")</f>
        <v>n/a</v>
      </c>
      <c r="K64" s="57" t="str">
        <f aca="false">IFERROR(K29/K$15,"n/a")</f>
        <v>n/a</v>
      </c>
      <c r="L64" s="57" t="str">
        <f aca="false">IFERROR(L29/L$15,"n/a")</f>
        <v>n/a</v>
      </c>
      <c r="M64" s="159"/>
      <c r="N64" s="159"/>
      <c r="O64" s="139" t="str">
        <f aca="false">IFERROR(O29/O$15,"n/a")</f>
        <v>n/a</v>
      </c>
      <c r="P64" s="57" t="str">
        <f aca="false">IFERROR(P29/P$15,"n/a")</f>
        <v>n/a</v>
      </c>
      <c r="Q64" s="57" t="str">
        <f aca="false">IFERROR(Q29/Q$15,"n/a")</f>
        <v>n/a</v>
      </c>
      <c r="R64" s="159"/>
    </row>
    <row r="65" customFormat="false" ht="11.25" hidden="true" customHeight="true" outlineLevel="2" collapsed="false">
      <c r="C65" s="51" t="str">
        <f aca="false">C30</f>
        <v>Dummy 2</v>
      </c>
      <c r="D65" s="51" t="str">
        <f aca="false">D30</f>
        <v>Dummy 2</v>
      </c>
      <c r="E65" s="139" t="str">
        <f aca="false">IFERROR(E30/E$15,"n/a")</f>
        <v>n/a</v>
      </c>
      <c r="F65" s="57" t="str">
        <f aca="false">IFERROR(F30/F$15,"n/a")</f>
        <v>n/a</v>
      </c>
      <c r="G65" s="57" t="str">
        <f aca="false">IFERROR(G30/G$15,"n/a")</f>
        <v>n/a</v>
      </c>
      <c r="H65" s="159"/>
      <c r="I65" s="159"/>
      <c r="J65" s="139" t="str">
        <f aca="false">IFERROR(J30/J$15,"n/a")</f>
        <v>n/a</v>
      </c>
      <c r="K65" s="57" t="str">
        <f aca="false">IFERROR(K30/K$15,"n/a")</f>
        <v>n/a</v>
      </c>
      <c r="L65" s="57" t="str">
        <f aca="false">IFERROR(L30/L$15,"n/a")</f>
        <v>n/a</v>
      </c>
      <c r="M65" s="159"/>
      <c r="N65" s="159"/>
      <c r="O65" s="139" t="str">
        <f aca="false">IFERROR(O30/O$15,"n/a")</f>
        <v>n/a</v>
      </c>
      <c r="P65" s="57" t="str">
        <f aca="false">IFERROR(P30/P$15,"n/a")</f>
        <v>n/a</v>
      </c>
      <c r="Q65" s="57" t="str">
        <f aca="false">IFERROR(Q30/Q$15,"n/a")</f>
        <v>n/a</v>
      </c>
      <c r="R65" s="159"/>
    </row>
    <row r="66" customFormat="false" ht="11.25" hidden="true" customHeight="true" outlineLevel="2" collapsed="false">
      <c r="C66" s="51" t="str">
        <f aca="false">C31</f>
        <v>Dummy 3</v>
      </c>
      <c r="D66" s="51" t="str">
        <f aca="false">D31</f>
        <v>Dummy 3</v>
      </c>
      <c r="E66" s="139" t="str">
        <f aca="false">IFERROR(E31/E$15,"n/a")</f>
        <v>n/a</v>
      </c>
      <c r="F66" s="57" t="str">
        <f aca="false">IFERROR(F31/F$15,"n/a")</f>
        <v>n/a</v>
      </c>
      <c r="G66" s="57" t="str">
        <f aca="false">IFERROR(G31/G$15,"n/a")</f>
        <v>n/a</v>
      </c>
      <c r="H66" s="159"/>
      <c r="I66" s="159"/>
      <c r="J66" s="139" t="str">
        <f aca="false">IFERROR(J31/J$15,"n/a")</f>
        <v>n/a</v>
      </c>
      <c r="K66" s="57" t="str">
        <f aca="false">IFERROR(K31/K$15,"n/a")</f>
        <v>n/a</v>
      </c>
      <c r="L66" s="57" t="str">
        <f aca="false">IFERROR(L31/L$15,"n/a")</f>
        <v>n/a</v>
      </c>
      <c r="M66" s="159"/>
      <c r="N66" s="159"/>
      <c r="O66" s="139" t="str">
        <f aca="false">IFERROR(O31/O$15,"n/a")</f>
        <v>n/a</v>
      </c>
      <c r="P66" s="57" t="str">
        <f aca="false">IFERROR(P31/P$15,"n/a")</f>
        <v>n/a</v>
      </c>
      <c r="Q66" s="57" t="str">
        <f aca="false">IFERROR(Q31/Q$15,"n/a")</f>
        <v>n/a</v>
      </c>
      <c r="R66" s="159"/>
    </row>
    <row r="67" customFormat="false" ht="11.25" hidden="false" customHeight="true" outlineLevel="0" collapsed="false">
      <c r="C67" s="132" t="str">
        <f aca="false">C32</f>
        <v>EBIT</v>
      </c>
      <c r="D67" s="132" t="str">
        <f aca="false">D32</f>
        <v>EBIT</v>
      </c>
      <c r="E67" s="147" t="str">
        <f aca="false">IFERROR(E32/E$15,"n/a")</f>
        <v>n/a</v>
      </c>
      <c r="F67" s="144" t="str">
        <f aca="false">IFERROR(F32/F$15,"n/a")</f>
        <v>n/a</v>
      </c>
      <c r="G67" s="144" t="str">
        <f aca="false">IFERROR(G32/G$15,"n/a")</f>
        <v>n/a</v>
      </c>
      <c r="H67" s="159"/>
      <c r="I67" s="159"/>
      <c r="J67" s="147" t="str">
        <f aca="false">IFERROR(J32/J$15,"n/a")</f>
        <v>n/a</v>
      </c>
      <c r="K67" s="144" t="str">
        <f aca="false">IFERROR(K32/K$15,"n/a")</f>
        <v>n/a</v>
      </c>
      <c r="L67" s="144" t="str">
        <f aca="false">IFERROR(L32/L$15,"n/a")</f>
        <v>n/a</v>
      </c>
      <c r="M67" s="159"/>
      <c r="N67" s="159"/>
      <c r="O67" s="147" t="str">
        <f aca="false">IFERROR(O32/O$15,"n/a")</f>
        <v>n/a</v>
      </c>
      <c r="P67" s="144" t="str">
        <f aca="false">IFERROR(P32/P$15,"n/a")</f>
        <v>n/a</v>
      </c>
      <c r="Q67" s="144" t="str">
        <f aca="false">IFERROR(Q32/Q$15,"n/a")</f>
        <v>n/a</v>
      </c>
      <c r="R67" s="159"/>
    </row>
    <row r="68" customFormat="false" ht="11.25" hidden="false" customHeight="true" outlineLevel="1" collapsed="false">
      <c r="C68" s="51" t="str">
        <f aca="false">C33</f>
        <v>Beteiligungsergebnis</v>
      </c>
      <c r="D68" s="51" t="str">
        <f aca="false">D33</f>
        <v>Investment income</v>
      </c>
      <c r="E68" s="139" t="str">
        <f aca="false">IFERROR(E33/E$15,"n/a")</f>
        <v>n/a</v>
      </c>
      <c r="F68" s="57" t="str">
        <f aca="false">IFERROR(F33/F$15,"n/a")</f>
        <v>n/a</v>
      </c>
      <c r="G68" s="57" t="str">
        <f aca="false">IFERROR(G33/G$15,"n/a")</f>
        <v>n/a</v>
      </c>
      <c r="H68" s="159"/>
      <c r="I68" s="159"/>
      <c r="J68" s="139" t="str">
        <f aca="false">IFERROR(J33/J$15,"n/a")</f>
        <v>n/a</v>
      </c>
      <c r="K68" s="57" t="str">
        <f aca="false">IFERROR(K33/K$15,"n/a")</f>
        <v>n/a</v>
      </c>
      <c r="L68" s="57" t="str">
        <f aca="false">IFERROR(L33/L$15,"n/a")</f>
        <v>n/a</v>
      </c>
      <c r="M68" s="159"/>
      <c r="N68" s="159"/>
      <c r="O68" s="139" t="str">
        <f aca="false">IFERROR(O33/O$15,"n/a")</f>
        <v>n/a</v>
      </c>
      <c r="P68" s="57" t="str">
        <f aca="false">IFERROR(P33/P$15,"n/a")</f>
        <v>n/a</v>
      </c>
      <c r="Q68" s="57" t="str">
        <f aca="false">IFERROR(Q33/Q$15,"n/a")</f>
        <v>n/a</v>
      </c>
      <c r="R68" s="159"/>
    </row>
    <row r="69" customFormat="false" ht="11.25" hidden="false" customHeight="true" outlineLevel="1" collapsed="false">
      <c r="C69" s="51" t="str">
        <f aca="false">C34</f>
        <v>Zinserträge</v>
      </c>
      <c r="D69" s="51" t="str">
        <f aca="false">D34</f>
        <v>Interest income</v>
      </c>
      <c r="E69" s="139" t="str">
        <f aca="false">IFERROR(E34/E$15,"n/a")</f>
        <v>n/a</v>
      </c>
      <c r="F69" s="57" t="str">
        <f aca="false">IFERROR(F34/F$15,"n/a")</f>
        <v>n/a</v>
      </c>
      <c r="G69" s="57" t="str">
        <f aca="false">IFERROR(G34/G$15,"n/a")</f>
        <v>n/a</v>
      </c>
      <c r="H69" s="159"/>
      <c r="I69" s="159"/>
      <c r="J69" s="139" t="str">
        <f aca="false">IFERROR(J34/J$15,"n/a")</f>
        <v>n/a</v>
      </c>
      <c r="K69" s="57" t="str">
        <f aca="false">IFERROR(K34/K$15,"n/a")</f>
        <v>n/a</v>
      </c>
      <c r="L69" s="57" t="str">
        <f aca="false">IFERROR(L34/L$15,"n/a")</f>
        <v>n/a</v>
      </c>
      <c r="M69" s="159"/>
      <c r="N69" s="159"/>
      <c r="O69" s="139" t="str">
        <f aca="false">IFERROR(O34/O$15,"n/a")</f>
        <v>n/a</v>
      </c>
      <c r="P69" s="57" t="str">
        <f aca="false">IFERROR(P34/P$15,"n/a")</f>
        <v>n/a</v>
      </c>
      <c r="Q69" s="57" t="str">
        <f aca="false">IFERROR(Q34/Q$15,"n/a")</f>
        <v>n/a</v>
      </c>
      <c r="R69" s="159"/>
    </row>
    <row r="70" customFormat="false" ht="11.25" hidden="false" customHeight="true" outlineLevel="1" collapsed="false">
      <c r="C70" s="51" t="str">
        <f aca="false">C35</f>
        <v>Zinsaufwendungen</v>
      </c>
      <c r="D70" s="51" t="str">
        <f aca="false">D35</f>
        <v>Interest expenses</v>
      </c>
      <c r="E70" s="139" t="str">
        <f aca="false">IFERROR(E35/E$15,"n/a")</f>
        <v>n/a</v>
      </c>
      <c r="F70" s="57" t="str">
        <f aca="false">IFERROR(F35/F$15,"n/a")</f>
        <v>n/a</v>
      </c>
      <c r="G70" s="57" t="str">
        <f aca="false">IFERROR(G35/G$15,"n/a")</f>
        <v>n/a</v>
      </c>
      <c r="H70" s="159"/>
      <c r="I70" s="159"/>
      <c r="J70" s="139" t="str">
        <f aca="false">IFERROR(J35/J$15,"n/a")</f>
        <v>n/a</v>
      </c>
      <c r="K70" s="57" t="str">
        <f aca="false">IFERROR(K35/K$15,"n/a")</f>
        <v>n/a</v>
      </c>
      <c r="L70" s="57" t="str">
        <f aca="false">IFERROR(L35/L$15,"n/a")</f>
        <v>n/a</v>
      </c>
      <c r="M70" s="159"/>
      <c r="N70" s="159"/>
      <c r="O70" s="139" t="str">
        <f aca="false">IFERROR(O35/O$15,"n/a")</f>
        <v>n/a</v>
      </c>
      <c r="P70" s="57" t="str">
        <f aca="false">IFERROR(P35/P$15,"n/a")</f>
        <v>n/a</v>
      </c>
      <c r="Q70" s="57" t="str">
        <f aca="false">IFERROR(Q35/Q$15,"n/a")</f>
        <v>n/a</v>
      </c>
      <c r="R70" s="159"/>
    </row>
    <row r="71" customFormat="false" ht="11.25" hidden="true" customHeight="true" outlineLevel="2" collapsed="false">
      <c r="C71" s="51" t="str">
        <f aca="false">C36</f>
        <v>Dummy 1</v>
      </c>
      <c r="D71" s="51" t="str">
        <f aca="false">D36</f>
        <v>Dummy 1</v>
      </c>
      <c r="E71" s="139" t="str">
        <f aca="false">IFERROR(E36/E$15,"n/a")</f>
        <v>n/a</v>
      </c>
      <c r="F71" s="57" t="str">
        <f aca="false">IFERROR(F36/F$15,"n/a")</f>
        <v>n/a</v>
      </c>
      <c r="G71" s="57" t="str">
        <f aca="false">IFERROR(G36/G$15,"n/a")</f>
        <v>n/a</v>
      </c>
      <c r="H71" s="159"/>
      <c r="I71" s="159"/>
      <c r="J71" s="139" t="str">
        <f aca="false">IFERROR(J36/J$15,"n/a")</f>
        <v>n/a</v>
      </c>
      <c r="K71" s="57" t="str">
        <f aca="false">IFERROR(K36/K$15,"n/a")</f>
        <v>n/a</v>
      </c>
      <c r="L71" s="57" t="str">
        <f aca="false">IFERROR(L36/L$15,"n/a")</f>
        <v>n/a</v>
      </c>
      <c r="M71" s="159"/>
      <c r="N71" s="159"/>
      <c r="O71" s="139" t="str">
        <f aca="false">IFERROR(O36/O$15,"n/a")</f>
        <v>n/a</v>
      </c>
      <c r="P71" s="57" t="str">
        <f aca="false">IFERROR(P36/P$15,"n/a")</f>
        <v>n/a</v>
      </c>
      <c r="Q71" s="57" t="str">
        <f aca="false">IFERROR(Q36/Q$15,"n/a")</f>
        <v>n/a</v>
      </c>
      <c r="R71" s="159"/>
    </row>
    <row r="72" customFormat="false" ht="11.25" hidden="true" customHeight="true" outlineLevel="2" collapsed="false">
      <c r="C72" s="51" t="str">
        <f aca="false">C37</f>
        <v>Dummy 2</v>
      </c>
      <c r="D72" s="51" t="str">
        <f aca="false">D37</f>
        <v>Dummy 2</v>
      </c>
      <c r="E72" s="139" t="str">
        <f aca="false">IFERROR(E37/E$15,"n/a")</f>
        <v>n/a</v>
      </c>
      <c r="F72" s="57" t="str">
        <f aca="false">IFERROR(F37/F$15,"n/a")</f>
        <v>n/a</v>
      </c>
      <c r="G72" s="57" t="str">
        <f aca="false">IFERROR(G37/G$15,"n/a")</f>
        <v>n/a</v>
      </c>
      <c r="H72" s="159"/>
      <c r="I72" s="159"/>
      <c r="J72" s="139" t="str">
        <f aca="false">IFERROR(J37/J$15,"n/a")</f>
        <v>n/a</v>
      </c>
      <c r="K72" s="57" t="str">
        <f aca="false">IFERROR(K37/K$15,"n/a")</f>
        <v>n/a</v>
      </c>
      <c r="L72" s="57" t="str">
        <f aca="false">IFERROR(L37/L$15,"n/a")</f>
        <v>n/a</v>
      </c>
      <c r="M72" s="159"/>
      <c r="N72" s="159"/>
      <c r="O72" s="139" t="str">
        <f aca="false">IFERROR(O37/O$15,"n/a")</f>
        <v>n/a</v>
      </c>
      <c r="P72" s="57" t="str">
        <f aca="false">IFERROR(P37/P$15,"n/a")</f>
        <v>n/a</v>
      </c>
      <c r="Q72" s="57" t="str">
        <f aca="false">IFERROR(Q37/Q$15,"n/a")</f>
        <v>n/a</v>
      </c>
      <c r="R72" s="159"/>
    </row>
    <row r="73" customFormat="false" ht="11.25" hidden="true" customHeight="true" outlineLevel="2" collapsed="false">
      <c r="C73" s="51" t="str">
        <f aca="false">C38</f>
        <v>Dummy 3</v>
      </c>
      <c r="D73" s="51" t="str">
        <f aca="false">D38</f>
        <v>Dummy 3</v>
      </c>
      <c r="E73" s="139" t="str">
        <f aca="false">IFERROR(E38/E$15,"n/a")</f>
        <v>n/a</v>
      </c>
      <c r="F73" s="57" t="str">
        <f aca="false">IFERROR(F38/F$15,"n/a")</f>
        <v>n/a</v>
      </c>
      <c r="G73" s="57" t="str">
        <f aca="false">IFERROR(G38/G$15,"n/a")</f>
        <v>n/a</v>
      </c>
      <c r="H73" s="159"/>
      <c r="I73" s="159"/>
      <c r="J73" s="139" t="str">
        <f aca="false">IFERROR(J38/J$15,"n/a")</f>
        <v>n/a</v>
      </c>
      <c r="K73" s="57" t="str">
        <f aca="false">IFERROR(K38/K$15,"n/a")</f>
        <v>n/a</v>
      </c>
      <c r="L73" s="57" t="str">
        <f aca="false">IFERROR(L38/L$15,"n/a")</f>
        <v>n/a</v>
      </c>
      <c r="M73" s="159"/>
      <c r="N73" s="159"/>
      <c r="O73" s="139" t="str">
        <f aca="false">IFERROR(O38/O$15,"n/a")</f>
        <v>n/a</v>
      </c>
      <c r="P73" s="57" t="str">
        <f aca="false">IFERROR(P38/P$15,"n/a")</f>
        <v>n/a</v>
      </c>
      <c r="Q73" s="57" t="str">
        <f aca="false">IFERROR(Q38/Q$15,"n/a")</f>
        <v>n/a</v>
      </c>
      <c r="R73" s="159"/>
    </row>
    <row r="74" customFormat="false" ht="11.25" hidden="false" customHeight="true" outlineLevel="0" collapsed="false">
      <c r="C74" s="51" t="str">
        <f aca="false">C39</f>
        <v>Finanzergebnis</v>
      </c>
      <c r="D74" s="51" t="str">
        <f aca="false">D39</f>
        <v>Financial result</v>
      </c>
      <c r="E74" s="139" t="str">
        <f aca="false">IFERROR(E39/E$15,"n/a")</f>
        <v>n/a</v>
      </c>
      <c r="F74" s="57" t="str">
        <f aca="false">IFERROR(F39/F$15,"n/a")</f>
        <v>n/a</v>
      </c>
      <c r="G74" s="57" t="str">
        <f aca="false">IFERROR(G39/G$15,"n/a")</f>
        <v>n/a</v>
      </c>
      <c r="H74" s="159"/>
      <c r="I74" s="159"/>
      <c r="J74" s="139" t="str">
        <f aca="false">IFERROR(J39/J$15,"n/a")</f>
        <v>n/a</v>
      </c>
      <c r="K74" s="57" t="str">
        <f aca="false">IFERROR(K39/K$15,"n/a")</f>
        <v>n/a</v>
      </c>
      <c r="L74" s="57" t="str">
        <f aca="false">IFERROR(L39/L$15,"n/a")</f>
        <v>n/a</v>
      </c>
      <c r="M74" s="159"/>
      <c r="N74" s="159"/>
      <c r="O74" s="139" t="str">
        <f aca="false">IFERROR(O39/O$15,"n/a")</f>
        <v>n/a</v>
      </c>
      <c r="P74" s="57" t="str">
        <f aca="false">IFERROR(P39/P$15,"n/a")</f>
        <v>n/a</v>
      </c>
      <c r="Q74" s="57" t="str">
        <f aca="false">IFERROR(Q39/Q$15,"n/a")</f>
        <v>n/a</v>
      </c>
      <c r="R74" s="159"/>
    </row>
    <row r="75" customFormat="false" ht="11.25" hidden="false" customHeight="true" outlineLevel="0" collapsed="false">
      <c r="C75" s="132" t="str">
        <f aca="false">C40</f>
        <v>EBT</v>
      </c>
      <c r="D75" s="132" t="str">
        <f aca="false">D40</f>
        <v>EBT</v>
      </c>
      <c r="E75" s="147" t="str">
        <f aca="false">IFERROR(E40/E$15,"n/a")</f>
        <v>n/a</v>
      </c>
      <c r="F75" s="144" t="str">
        <f aca="false">IFERROR(F40/F$15,"n/a")</f>
        <v>n/a</v>
      </c>
      <c r="G75" s="144" t="str">
        <f aca="false">IFERROR(G40/G$15,"n/a")</f>
        <v>n/a</v>
      </c>
      <c r="H75" s="159"/>
      <c r="I75" s="159"/>
      <c r="J75" s="147" t="str">
        <f aca="false">IFERROR(J40/J$15,"n/a")</f>
        <v>n/a</v>
      </c>
      <c r="K75" s="144" t="str">
        <f aca="false">IFERROR(K40/K$15,"n/a")</f>
        <v>n/a</v>
      </c>
      <c r="L75" s="144" t="str">
        <f aca="false">IFERROR(L40/L$15,"n/a")</f>
        <v>n/a</v>
      </c>
      <c r="M75" s="159"/>
      <c r="N75" s="159"/>
      <c r="O75" s="147" t="str">
        <f aca="false">IFERROR(O40/O$15,"n/a")</f>
        <v>n/a</v>
      </c>
      <c r="P75" s="144" t="str">
        <f aca="false">IFERROR(P40/P$15,"n/a")</f>
        <v>n/a</v>
      </c>
      <c r="Q75" s="144" t="str">
        <f aca="false">IFERROR(Q40/Q$15,"n/a")</f>
        <v>n/a</v>
      </c>
      <c r="R75" s="159"/>
    </row>
    <row r="76" customFormat="false" ht="11.25" hidden="false" customHeight="true" outlineLevel="0" collapsed="false">
      <c r="C76" s="51" t="str">
        <f aca="false">C41</f>
        <v>Ertragssteuern</v>
      </c>
      <c r="D76" s="51" t="str">
        <f aca="false">D41</f>
        <v>Income taxes</v>
      </c>
      <c r="E76" s="139" t="str">
        <f aca="false">IFERROR(E41/E$15,"n/a")</f>
        <v>n/a</v>
      </c>
      <c r="F76" s="57" t="str">
        <f aca="false">IFERROR(F41/F$15,"n/a")</f>
        <v>n/a</v>
      </c>
      <c r="G76" s="57" t="str">
        <f aca="false">IFERROR(G41/G$15,"n/a")</f>
        <v>n/a</v>
      </c>
      <c r="H76" s="159"/>
      <c r="I76" s="159"/>
      <c r="J76" s="139" t="str">
        <f aca="false">IFERROR(J41/J$15,"n/a")</f>
        <v>n/a</v>
      </c>
      <c r="K76" s="57" t="str">
        <f aca="false">IFERROR(K41/K$15,"n/a")</f>
        <v>n/a</v>
      </c>
      <c r="L76" s="57" t="str">
        <f aca="false">IFERROR(L41/L$15,"n/a")</f>
        <v>n/a</v>
      </c>
      <c r="M76" s="159"/>
      <c r="N76" s="159"/>
      <c r="O76" s="139" t="str">
        <f aca="false">IFERROR(O41/O$15,"n/a")</f>
        <v>n/a</v>
      </c>
      <c r="P76" s="57" t="str">
        <f aca="false">IFERROR(P41/P$15,"n/a")</f>
        <v>n/a</v>
      </c>
      <c r="Q76" s="57" t="str">
        <f aca="false">IFERROR(Q41/Q$15,"n/a")</f>
        <v>n/a</v>
      </c>
      <c r="R76" s="159"/>
    </row>
    <row r="77" customFormat="false" ht="11.25" hidden="false" customHeight="true" outlineLevel="0" collapsed="false">
      <c r="C77" s="51" t="str">
        <f aca="false">C42</f>
        <v>Sonstige Steuern</v>
      </c>
      <c r="D77" s="51" t="str">
        <f aca="false">D42</f>
        <v>Other taxes</v>
      </c>
      <c r="E77" s="139" t="str">
        <f aca="false">IFERROR(E42/E$15,"n/a")</f>
        <v>n/a</v>
      </c>
      <c r="F77" s="57" t="str">
        <f aca="false">IFERROR(F42/F$15,"n/a")</f>
        <v>n/a</v>
      </c>
      <c r="G77" s="57" t="str">
        <f aca="false">IFERROR(G42/G$15,"n/a")</f>
        <v>n/a</v>
      </c>
      <c r="H77" s="159"/>
      <c r="I77" s="159"/>
      <c r="J77" s="139" t="str">
        <f aca="false">IFERROR(J42/J$15,"n/a")</f>
        <v>n/a</v>
      </c>
      <c r="K77" s="57" t="str">
        <f aca="false">IFERROR(K42/K$15,"n/a")</f>
        <v>n/a</v>
      </c>
      <c r="L77" s="57" t="str">
        <f aca="false">IFERROR(L42/L$15,"n/a")</f>
        <v>n/a</v>
      </c>
      <c r="M77" s="159"/>
      <c r="N77" s="159"/>
      <c r="O77" s="139" t="str">
        <f aca="false">IFERROR(O42/O$15,"n/a")</f>
        <v>n/a</v>
      </c>
      <c r="P77" s="57" t="str">
        <f aca="false">IFERROR(P42/P$15,"n/a")</f>
        <v>n/a</v>
      </c>
      <c r="Q77" s="57" t="str">
        <f aca="false">IFERROR(Q42/Q$15,"n/a")</f>
        <v>n/a</v>
      </c>
      <c r="R77" s="159"/>
    </row>
    <row r="78" customFormat="false" ht="11.25" hidden="false" customHeight="true" outlineLevel="0" collapsed="false">
      <c r="C78" s="132" t="str">
        <f aca="false">C43</f>
        <v>Jahresüberschuss</v>
      </c>
      <c r="D78" s="132" t="str">
        <f aca="false">D43</f>
        <v>Profit / Loss</v>
      </c>
      <c r="E78" s="147" t="str">
        <f aca="false">IFERROR(E43/E$15,"n/a")</f>
        <v>n/a</v>
      </c>
      <c r="F78" s="144" t="str">
        <f aca="false">IFERROR(F43/F$15,"n/a")</f>
        <v>n/a</v>
      </c>
      <c r="G78" s="144" t="str">
        <f aca="false">IFERROR(G43/G$15,"n/a")</f>
        <v>n/a</v>
      </c>
      <c r="H78" s="159"/>
      <c r="I78" s="159"/>
      <c r="J78" s="147" t="str">
        <f aca="false">IFERROR(J43/J$15,"n/a")</f>
        <v>n/a</v>
      </c>
      <c r="K78" s="144" t="str">
        <f aca="false">IFERROR(K43/K$15,"n/a")</f>
        <v>n/a</v>
      </c>
      <c r="L78" s="144" t="str">
        <f aca="false">IFERROR(L43/L$15,"n/a")</f>
        <v>n/a</v>
      </c>
      <c r="M78" s="159"/>
      <c r="N78" s="159"/>
      <c r="O78" s="147" t="str">
        <f aca="false">IFERROR(O43/O$15,"n/a")</f>
        <v>n/a</v>
      </c>
      <c r="P78" s="144" t="str">
        <f aca="false">IFERROR(P43/P$15,"n/a")</f>
        <v>n/a</v>
      </c>
      <c r="Q78" s="144" t="str">
        <f aca="false">IFERROR(Q43/Q$15,"n/a")</f>
        <v>n/a</v>
      </c>
      <c r="R78" s="159"/>
    </row>
    <row r="79" customFormat="false" ht="4.5" hidden="false" customHeight="true" outlineLevel="0" collapsed="false">
      <c r="C79" s="51"/>
      <c r="D79" s="51"/>
      <c r="E79" s="161"/>
      <c r="F79" s="57"/>
      <c r="G79" s="57"/>
      <c r="H79" s="159"/>
      <c r="I79" s="159"/>
      <c r="J79" s="161"/>
      <c r="K79" s="57"/>
      <c r="L79" s="57"/>
      <c r="M79" s="159"/>
      <c r="N79" s="159"/>
      <c r="O79" s="161"/>
      <c r="P79" s="57"/>
      <c r="Q79" s="57"/>
      <c r="R79" s="159"/>
    </row>
    <row r="80" customFormat="false" ht="11.25" hidden="false" customHeight="true" outlineLevel="0" collapsed="false">
      <c r="C80" s="54" t="str">
        <f aca="false">"Quelle: "&amp;Cockpit!$C$7</f>
        <v>Quelle: Datenraum/ eigene Analysen</v>
      </c>
      <c r="D80" s="54" t="str">
        <f aca="false">"Source: "&amp;Cockpit!$C$8</f>
        <v>Source: Virtual Data Room/ Company Information</v>
      </c>
      <c r="E80" s="55"/>
      <c r="F80" s="55"/>
      <c r="G80" s="55"/>
      <c r="H80" s="55"/>
      <c r="I80" s="57"/>
      <c r="J80" s="55"/>
      <c r="K80" s="55"/>
      <c r="L80" s="55"/>
      <c r="M80" s="55"/>
      <c r="N80" s="57"/>
      <c r="O80" s="55"/>
      <c r="P80" s="55"/>
      <c r="Q80" s="55"/>
      <c r="R80" s="55"/>
    </row>
    <row r="81" customFormat="false" ht="11.25" hidden="false" customHeight="true" outlineLevel="0" collapsed="false"/>
    <row r="82" customFormat="false" ht="11.25" hidden="false" customHeight="true" outlineLevel="0" collapsed="false"/>
    <row r="84" customFormat="false" ht="12" hidden="false" customHeight="true" outlineLevel="0" collapsed="false">
      <c r="D84" s="151" t="s">
        <v>948</v>
      </c>
      <c r="F84" s="152" t="n">
        <f aca="false">'Lead PL'!F210</f>
        <v>0</v>
      </c>
      <c r="K84" s="152" t="n">
        <f aca="false">'Lead PL'!G210</f>
        <v>0</v>
      </c>
      <c r="P84" s="152" t="n">
        <f aca="false">'Lead PL'!H210</f>
        <v>0</v>
      </c>
    </row>
    <row r="85" customFormat="false" ht="12" hidden="false" customHeight="true" outlineLevel="0" collapsed="false">
      <c r="D85" s="153" t="s">
        <v>245</v>
      </c>
      <c r="E85" s="457"/>
      <c r="F85" s="217" t="n">
        <f aca="false">F84-F43</f>
        <v>0</v>
      </c>
      <c r="G85" s="303"/>
      <c r="H85" s="303"/>
      <c r="I85" s="303"/>
      <c r="J85" s="457"/>
      <c r="K85" s="218" t="n">
        <f aca="false">K84-K43</f>
        <v>0</v>
      </c>
      <c r="L85" s="303"/>
      <c r="M85" s="303"/>
      <c r="N85" s="303"/>
      <c r="O85" s="457"/>
      <c r="P85" s="218" t="n">
        <f aca="false">P84-P43</f>
        <v>0</v>
      </c>
    </row>
  </sheetData>
  <mergeCells count="12">
    <mergeCell ref="E4:H4"/>
    <mergeCell ref="J4:M4"/>
    <mergeCell ref="O4:R4"/>
    <mergeCell ref="G5:H5"/>
    <mergeCell ref="L5:M5"/>
    <mergeCell ref="Q5:R5"/>
    <mergeCell ref="E7:H7"/>
    <mergeCell ref="J7:M7"/>
    <mergeCell ref="O7:R7"/>
    <mergeCell ref="G8:H8"/>
    <mergeCell ref="L8:M8"/>
    <mergeCell ref="Q8:R8"/>
  </mergeCells>
  <conditionalFormatting sqref="P85">
    <cfRule type="cellIs" priority="2" operator="between" aboveAverage="0" equalAverage="0" bottom="0" percent="0" rank="0" text="" dxfId="2">
      <formula>-1</formula>
      <formula>1</formula>
    </cfRule>
    <cfRule type="cellIs" priority="3" operator="lessThan" aboveAverage="0" equalAverage="0" bottom="0" percent="0" rank="0" text="" dxfId="0">
      <formula>-1</formula>
    </cfRule>
    <cfRule type="cellIs" priority="4" operator="greaterThan" aboveAverage="0" equalAverage="0" bottom="0" percent="0" rank="0" text="" dxfId="0">
      <formula>1</formula>
    </cfRule>
  </conditionalFormatting>
  <conditionalFormatting sqref="K85">
    <cfRule type="cellIs" priority="5" operator="between" aboveAverage="0" equalAverage="0" bottom="0" percent="0" rank="0" text="" dxfId="2">
      <formula>-1</formula>
      <formula>1</formula>
    </cfRule>
    <cfRule type="cellIs" priority="6" operator="lessThan" aboveAverage="0" equalAverage="0" bottom="0" percent="0" rank="0" text="" dxfId="0">
      <formula>-1</formula>
    </cfRule>
    <cfRule type="cellIs" priority="7" operator="greaterThan" aboveAverage="0" equalAverage="0" bottom="0" percent="0" rank="0" text="" dxfId="0">
      <formula>1</formula>
    </cfRule>
  </conditionalFormatting>
  <conditionalFormatting sqref="F85">
    <cfRule type="cellIs" priority="8" operator="between" aboveAverage="0" equalAverage="0" bottom="0" percent="0" rank="0" text="" dxfId="2">
      <formula>-1</formula>
      <formula>1</formula>
    </cfRule>
    <cfRule type="cellIs" priority="9" operator="lessThan" aboveAverage="0" equalAverage="0" bottom="0" percent="0" rank="0" text="" dxfId="0">
      <formula>-1</formula>
    </cfRule>
    <cfRule type="cellIs" priority="10" operator="greaterThan" aboveAverage="0" equalAverage="0" bottom="0" percent="0" rank="0" text="" dxfId="0">
      <formula>1</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zeroHeight="false" outlineLevelRow="0" outlineLevelCol="0"/>
  <cols>
    <col collapsed="false" customWidth="true" hidden="false" outlineLevel="0" max="4" min="3" style="32" width="35.57"/>
    <col collapsed="false" customWidth="true" hidden="false" outlineLevel="0" max="89" min="5" style="32" width="9.42"/>
  </cols>
  <sheetData>
    <row r="1" customFormat="false" ht="15" hidden="false" customHeight="true" outlineLevel="0" collapsed="false">
      <c r="A1" s="32" t="n">
        <v>109</v>
      </c>
      <c r="B1" s="32" t="n">
        <v>89</v>
      </c>
    </row>
    <row r="29" customFormat="false" ht="15" hidden="false" customHeight="true" outlineLevel="0" collapsed="false">
      <c r="D29" s="51"/>
    </row>
    <row r="107" customFormat="false" ht="15" hidden="false" customHeight="true" outlineLevel="0" collapsed="false">
      <c r="C107" s="458"/>
      <c r="D107" s="459"/>
      <c r="E107" s="459"/>
      <c r="F107" s="460"/>
      <c r="G107" s="460"/>
      <c r="H107" s="460"/>
      <c r="I107" s="460"/>
      <c r="J107" s="460"/>
      <c r="K107" s="460"/>
      <c r="L107" s="460"/>
      <c r="M107" s="460"/>
      <c r="N107" s="460"/>
      <c r="O107" s="460"/>
      <c r="P107" s="460"/>
      <c r="Q107" s="461"/>
      <c r="R107" s="461"/>
      <c r="S107" s="461"/>
      <c r="T107" s="461"/>
      <c r="U107" s="461"/>
      <c r="V107" s="461"/>
      <c r="W107" s="461"/>
      <c r="X107" s="461"/>
      <c r="Y107" s="461"/>
      <c r="Z107" s="461"/>
      <c r="AA107" s="461"/>
      <c r="AB107" s="461"/>
      <c r="AC107" s="461"/>
      <c r="AD107" s="461"/>
      <c r="AE107" s="461"/>
      <c r="AF107" s="461"/>
      <c r="AG107" s="461"/>
      <c r="AH107" s="461"/>
      <c r="AI107" s="461"/>
      <c r="AJ107" s="461"/>
      <c r="AK107" s="461"/>
      <c r="AL107" s="461"/>
      <c r="AM107" s="461"/>
      <c r="AN107" s="461"/>
      <c r="AO107" s="461"/>
      <c r="AP107" s="461"/>
      <c r="AQ107" s="461"/>
      <c r="AR107" s="461"/>
      <c r="AS107" s="461"/>
      <c r="AT107" s="461"/>
      <c r="AU107" s="461"/>
      <c r="AV107" s="461"/>
      <c r="AW107" s="461"/>
      <c r="AX107" s="461"/>
      <c r="AY107" s="461"/>
      <c r="AZ107" s="461"/>
      <c r="BA107" s="461"/>
      <c r="BB107" s="461"/>
      <c r="BC107" s="461"/>
      <c r="BD107" s="461"/>
      <c r="BE107" s="461"/>
      <c r="BF107" s="461"/>
      <c r="BG107" s="461"/>
      <c r="BH107" s="461"/>
      <c r="BI107" s="461"/>
      <c r="BJ107" s="461"/>
      <c r="BK107" s="461"/>
      <c r="BL107" s="461"/>
      <c r="BM107" s="461"/>
      <c r="BN107" s="461"/>
      <c r="BO107" s="461"/>
      <c r="BP107" s="461"/>
      <c r="BQ107" s="461"/>
      <c r="BR107" s="461"/>
      <c r="BS107" s="461"/>
      <c r="BT107" s="461"/>
      <c r="BU107" s="461"/>
      <c r="BV107" s="461"/>
      <c r="BW107" s="461"/>
      <c r="BX107" s="461"/>
      <c r="BY107" s="461"/>
      <c r="BZ107" s="461"/>
      <c r="CA107" s="461"/>
      <c r="CB107" s="461"/>
      <c r="CC107" s="461"/>
      <c r="CD107" s="461"/>
      <c r="CE107" s="461"/>
      <c r="CF107" s="461"/>
      <c r="CG107" s="461"/>
      <c r="CH107" s="461"/>
      <c r="CI107" s="461"/>
      <c r="CJ107" s="461"/>
      <c r="CK107" s="462"/>
    </row>
    <row r="108" customFormat="false" ht="15" hidden="false" customHeight="true" outlineLevel="0" collapsed="false">
      <c r="C108" s="463"/>
      <c r="D108" s="345"/>
      <c r="E108" s="345"/>
      <c r="F108" s="464"/>
      <c r="G108" s="464"/>
      <c r="H108" s="464"/>
      <c r="I108" s="464"/>
      <c r="J108" s="464"/>
      <c r="K108" s="464"/>
      <c r="L108" s="464"/>
      <c r="M108" s="464"/>
      <c r="N108" s="464"/>
      <c r="O108" s="464"/>
      <c r="P108" s="464"/>
      <c r="Q108" s="464"/>
      <c r="R108" s="464"/>
      <c r="S108" s="464"/>
      <c r="T108" s="464"/>
      <c r="U108" s="464"/>
      <c r="V108" s="464"/>
      <c r="W108" s="464"/>
      <c r="X108" s="464"/>
      <c r="Y108" s="464"/>
      <c r="Z108" s="464"/>
      <c r="AA108" s="464"/>
      <c r="AB108" s="464"/>
      <c r="AC108" s="464"/>
      <c r="AD108" s="464"/>
      <c r="AE108" s="464"/>
      <c r="AF108" s="464"/>
      <c r="AG108" s="464"/>
      <c r="AH108" s="464"/>
      <c r="AI108" s="464"/>
      <c r="AJ108" s="464"/>
      <c r="AK108" s="464"/>
      <c r="AL108" s="464"/>
      <c r="AM108" s="464"/>
      <c r="AN108" s="464"/>
      <c r="AO108" s="464"/>
      <c r="AP108" s="464"/>
      <c r="AQ108" s="464"/>
      <c r="AR108" s="464"/>
      <c r="AS108" s="464"/>
      <c r="AT108" s="464"/>
      <c r="AU108" s="464"/>
      <c r="AV108" s="464"/>
      <c r="AW108" s="464"/>
      <c r="AX108" s="464"/>
      <c r="AY108" s="464"/>
      <c r="AZ108" s="464"/>
      <c r="BA108" s="464"/>
      <c r="BB108" s="464"/>
      <c r="BC108" s="464"/>
      <c r="BD108" s="464"/>
      <c r="BE108" s="464"/>
      <c r="BF108" s="464"/>
      <c r="BG108" s="464"/>
      <c r="BH108" s="464"/>
      <c r="BI108" s="464"/>
      <c r="BJ108" s="464"/>
      <c r="BK108" s="464"/>
      <c r="BL108" s="464"/>
      <c r="BM108" s="464"/>
      <c r="BN108" s="464"/>
      <c r="BO108" s="464"/>
      <c r="BP108" s="464"/>
      <c r="BQ108" s="464"/>
      <c r="BR108" s="464"/>
      <c r="BS108" s="464"/>
      <c r="BT108" s="464"/>
      <c r="BU108" s="464"/>
      <c r="BV108" s="464"/>
      <c r="BW108" s="464"/>
      <c r="BX108" s="464"/>
      <c r="BY108" s="464"/>
      <c r="BZ108" s="464"/>
      <c r="CA108" s="464"/>
      <c r="CB108" s="464"/>
      <c r="CC108" s="464"/>
      <c r="CD108" s="464"/>
      <c r="CE108" s="464"/>
      <c r="CF108" s="464"/>
      <c r="CG108" s="464"/>
      <c r="CH108" s="464"/>
      <c r="CI108" s="464"/>
      <c r="CJ108" s="464"/>
      <c r="CK108" s="465"/>
    </row>
    <row r="109" customFormat="false" ht="15" hidden="false" customHeight="true" outlineLevel="0" collapsed="false">
      <c r="C109" s="466"/>
      <c r="D109" s="467"/>
      <c r="E109" s="467"/>
      <c r="F109" s="468"/>
      <c r="G109" s="468"/>
      <c r="H109" s="468"/>
      <c r="I109" s="468"/>
      <c r="J109" s="468"/>
      <c r="K109" s="468"/>
      <c r="L109" s="468"/>
      <c r="M109" s="468"/>
      <c r="N109" s="468"/>
      <c r="O109" s="468"/>
      <c r="P109" s="468"/>
      <c r="Q109" s="468"/>
      <c r="R109" s="468"/>
      <c r="S109" s="468"/>
      <c r="T109" s="468"/>
      <c r="U109" s="468"/>
      <c r="V109" s="468"/>
      <c r="W109" s="468"/>
      <c r="X109" s="468"/>
      <c r="Y109" s="468"/>
      <c r="Z109" s="468"/>
      <c r="AA109" s="468"/>
      <c r="AB109" s="468"/>
      <c r="AC109" s="468"/>
      <c r="AD109" s="468"/>
      <c r="AE109" s="468"/>
      <c r="AF109" s="468"/>
      <c r="AG109" s="468"/>
      <c r="AH109" s="468"/>
      <c r="AI109" s="468"/>
      <c r="AJ109" s="468"/>
      <c r="AK109" s="468"/>
      <c r="AL109" s="468"/>
      <c r="AM109" s="468"/>
      <c r="AN109" s="468"/>
      <c r="AO109" s="468"/>
      <c r="AP109" s="468"/>
      <c r="AQ109" s="468"/>
      <c r="AR109" s="468"/>
      <c r="AS109" s="468"/>
      <c r="AT109" s="468"/>
      <c r="AU109" s="468"/>
      <c r="AV109" s="468"/>
      <c r="AW109" s="468"/>
      <c r="AX109" s="468"/>
      <c r="AY109" s="468"/>
      <c r="AZ109" s="468"/>
      <c r="BA109" s="468"/>
      <c r="BB109" s="468"/>
      <c r="BC109" s="468"/>
      <c r="BD109" s="468"/>
      <c r="BE109" s="468"/>
      <c r="BF109" s="468"/>
      <c r="BG109" s="468"/>
      <c r="BH109" s="468"/>
      <c r="BI109" s="468"/>
      <c r="BJ109" s="468"/>
      <c r="BK109" s="468"/>
      <c r="BL109" s="468"/>
      <c r="BM109" s="468"/>
      <c r="BN109" s="468"/>
      <c r="BO109" s="468"/>
      <c r="BP109" s="468"/>
      <c r="BQ109" s="468"/>
      <c r="BR109" s="468"/>
      <c r="BS109" s="468"/>
      <c r="BT109" s="468"/>
      <c r="BU109" s="468"/>
      <c r="BV109" s="468"/>
      <c r="BW109" s="468"/>
      <c r="BX109" s="468"/>
      <c r="BY109" s="468"/>
      <c r="BZ109" s="468"/>
      <c r="CA109" s="468"/>
      <c r="CB109" s="468"/>
      <c r="CC109" s="468"/>
      <c r="CD109" s="468"/>
      <c r="CE109" s="468"/>
      <c r="CF109" s="468"/>
      <c r="CG109" s="468"/>
      <c r="CH109" s="468"/>
      <c r="CI109" s="468"/>
      <c r="CJ109" s="468"/>
      <c r="CK109" s="469"/>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K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zeroHeight="false" outlineLevelRow="0" outlineLevelCol="0"/>
  <cols>
    <col collapsed="false" customWidth="true" hidden="false" outlineLevel="0" max="4" min="3" style="32" width="35.57"/>
    <col collapsed="false" customWidth="true" hidden="false" outlineLevel="0" max="89" min="5" style="32" width="9.42"/>
  </cols>
  <sheetData>
    <row r="1" customFormat="false" ht="15" hidden="false" customHeight="true" outlineLevel="0" collapsed="false">
      <c r="A1" s="32" t="n">
        <v>109</v>
      </c>
      <c r="B1" s="32" t="n">
        <v>89</v>
      </c>
    </row>
    <row r="29" customFormat="false" ht="15" hidden="false" customHeight="true" outlineLevel="0" collapsed="false">
      <c r="D29" s="51"/>
    </row>
    <row r="107" customFormat="false" ht="15" hidden="false" customHeight="true" outlineLevel="0" collapsed="false">
      <c r="C107" s="458"/>
      <c r="D107" s="459"/>
      <c r="E107" s="459"/>
      <c r="F107" s="460"/>
      <c r="G107" s="460"/>
      <c r="H107" s="460"/>
      <c r="I107" s="460"/>
      <c r="J107" s="460"/>
      <c r="K107" s="460"/>
      <c r="L107" s="460"/>
      <c r="M107" s="460"/>
      <c r="N107" s="460"/>
      <c r="O107" s="460"/>
      <c r="P107" s="460"/>
      <c r="Q107" s="461"/>
      <c r="R107" s="461"/>
      <c r="S107" s="461"/>
      <c r="T107" s="461"/>
      <c r="U107" s="461"/>
      <c r="V107" s="461"/>
      <c r="W107" s="461"/>
      <c r="X107" s="461"/>
      <c r="Y107" s="461"/>
      <c r="Z107" s="461"/>
      <c r="AA107" s="461"/>
      <c r="AB107" s="461"/>
      <c r="AC107" s="461"/>
      <c r="AD107" s="461"/>
      <c r="AE107" s="461"/>
      <c r="AF107" s="461"/>
      <c r="AG107" s="461"/>
      <c r="AH107" s="461"/>
      <c r="AI107" s="461"/>
      <c r="AJ107" s="461"/>
      <c r="AK107" s="461"/>
      <c r="AL107" s="461"/>
      <c r="AM107" s="461"/>
      <c r="AN107" s="461"/>
      <c r="AO107" s="461"/>
      <c r="AP107" s="461"/>
      <c r="AQ107" s="461"/>
      <c r="AR107" s="461"/>
      <c r="AS107" s="461"/>
      <c r="AT107" s="461"/>
      <c r="AU107" s="461"/>
      <c r="AV107" s="461"/>
      <c r="AW107" s="461"/>
      <c r="AX107" s="461"/>
      <c r="AY107" s="461"/>
      <c r="AZ107" s="461"/>
      <c r="BA107" s="461"/>
      <c r="BB107" s="461"/>
      <c r="BC107" s="461"/>
      <c r="BD107" s="461"/>
      <c r="BE107" s="461"/>
      <c r="BF107" s="461"/>
      <c r="BG107" s="461"/>
      <c r="BH107" s="461"/>
      <c r="BI107" s="461"/>
      <c r="BJ107" s="461"/>
      <c r="BK107" s="461"/>
      <c r="BL107" s="461"/>
      <c r="BM107" s="461"/>
      <c r="BN107" s="461"/>
      <c r="BO107" s="461"/>
      <c r="BP107" s="461"/>
      <c r="BQ107" s="461"/>
      <c r="BR107" s="461"/>
      <c r="BS107" s="461"/>
      <c r="BT107" s="461"/>
      <c r="BU107" s="461"/>
      <c r="BV107" s="461"/>
      <c r="BW107" s="461"/>
      <c r="BX107" s="461"/>
      <c r="BY107" s="461"/>
      <c r="BZ107" s="461"/>
      <c r="CA107" s="461"/>
      <c r="CB107" s="461"/>
      <c r="CC107" s="461"/>
      <c r="CD107" s="461"/>
      <c r="CE107" s="461"/>
      <c r="CF107" s="461"/>
      <c r="CG107" s="461"/>
      <c r="CH107" s="461"/>
      <c r="CI107" s="461"/>
      <c r="CJ107" s="461"/>
      <c r="CK107" s="462"/>
    </row>
    <row r="108" customFormat="false" ht="15" hidden="false" customHeight="true" outlineLevel="0" collapsed="false">
      <c r="C108" s="463"/>
      <c r="D108" s="345"/>
      <c r="E108" s="345"/>
      <c r="F108" s="464"/>
      <c r="G108" s="464"/>
      <c r="H108" s="464"/>
      <c r="I108" s="464"/>
      <c r="J108" s="464"/>
      <c r="K108" s="464"/>
      <c r="L108" s="464"/>
      <c r="M108" s="464"/>
      <c r="N108" s="464"/>
      <c r="O108" s="464"/>
      <c r="P108" s="464"/>
      <c r="Q108" s="464"/>
      <c r="R108" s="464"/>
      <c r="S108" s="464"/>
      <c r="T108" s="464"/>
      <c r="U108" s="464"/>
      <c r="V108" s="464"/>
      <c r="W108" s="464"/>
      <c r="X108" s="464"/>
      <c r="Y108" s="464"/>
      <c r="Z108" s="464"/>
      <c r="AA108" s="464"/>
      <c r="AB108" s="464"/>
      <c r="AC108" s="464"/>
      <c r="AD108" s="464"/>
      <c r="AE108" s="464"/>
      <c r="AF108" s="464"/>
      <c r="AG108" s="464"/>
      <c r="AH108" s="464"/>
      <c r="AI108" s="464"/>
      <c r="AJ108" s="464"/>
      <c r="AK108" s="464"/>
      <c r="AL108" s="464"/>
      <c r="AM108" s="464"/>
      <c r="AN108" s="464"/>
      <c r="AO108" s="464"/>
      <c r="AP108" s="464"/>
      <c r="AQ108" s="464"/>
      <c r="AR108" s="464"/>
      <c r="AS108" s="464"/>
      <c r="AT108" s="464"/>
      <c r="AU108" s="464"/>
      <c r="AV108" s="464"/>
      <c r="AW108" s="464"/>
      <c r="AX108" s="464"/>
      <c r="AY108" s="464"/>
      <c r="AZ108" s="464"/>
      <c r="BA108" s="464"/>
      <c r="BB108" s="464"/>
      <c r="BC108" s="464"/>
      <c r="BD108" s="464"/>
      <c r="BE108" s="464"/>
      <c r="BF108" s="464"/>
      <c r="BG108" s="464"/>
      <c r="BH108" s="464"/>
      <c r="BI108" s="464"/>
      <c r="BJ108" s="464"/>
      <c r="BK108" s="464"/>
      <c r="BL108" s="464"/>
      <c r="BM108" s="464"/>
      <c r="BN108" s="464"/>
      <c r="BO108" s="464"/>
      <c r="BP108" s="464"/>
      <c r="BQ108" s="464"/>
      <c r="BR108" s="464"/>
      <c r="BS108" s="464"/>
      <c r="BT108" s="464"/>
      <c r="BU108" s="464"/>
      <c r="BV108" s="464"/>
      <c r="BW108" s="464"/>
      <c r="BX108" s="464"/>
      <c r="BY108" s="464"/>
      <c r="BZ108" s="464"/>
      <c r="CA108" s="464"/>
      <c r="CB108" s="464"/>
      <c r="CC108" s="464"/>
      <c r="CD108" s="464"/>
      <c r="CE108" s="464"/>
      <c r="CF108" s="464"/>
      <c r="CG108" s="464"/>
      <c r="CH108" s="464"/>
      <c r="CI108" s="464"/>
      <c r="CJ108" s="464"/>
      <c r="CK108" s="465"/>
    </row>
    <row r="109" customFormat="false" ht="15" hidden="false" customHeight="true" outlineLevel="0" collapsed="false">
      <c r="C109" s="466"/>
      <c r="D109" s="467"/>
      <c r="E109" s="467"/>
      <c r="F109" s="468"/>
      <c r="G109" s="468"/>
      <c r="H109" s="468"/>
      <c r="I109" s="468"/>
      <c r="J109" s="468"/>
      <c r="K109" s="468"/>
      <c r="L109" s="468"/>
      <c r="M109" s="468"/>
      <c r="N109" s="468"/>
      <c r="O109" s="468"/>
      <c r="P109" s="468"/>
      <c r="Q109" s="468"/>
      <c r="R109" s="468"/>
      <c r="S109" s="468"/>
      <c r="T109" s="468"/>
      <c r="U109" s="468"/>
      <c r="V109" s="468"/>
      <c r="W109" s="468"/>
      <c r="X109" s="468"/>
      <c r="Y109" s="468"/>
      <c r="Z109" s="468"/>
      <c r="AA109" s="468"/>
      <c r="AB109" s="468"/>
      <c r="AC109" s="468"/>
      <c r="AD109" s="468"/>
      <c r="AE109" s="468"/>
      <c r="AF109" s="468"/>
      <c r="AG109" s="468"/>
      <c r="AH109" s="468"/>
      <c r="AI109" s="468"/>
      <c r="AJ109" s="468"/>
      <c r="AK109" s="468"/>
      <c r="AL109" s="468"/>
      <c r="AM109" s="468"/>
      <c r="AN109" s="468"/>
      <c r="AO109" s="468"/>
      <c r="AP109" s="468"/>
      <c r="AQ109" s="468"/>
      <c r="AR109" s="468"/>
      <c r="AS109" s="468"/>
      <c r="AT109" s="468"/>
      <c r="AU109" s="468"/>
      <c r="AV109" s="468"/>
      <c r="AW109" s="468"/>
      <c r="AX109" s="468"/>
      <c r="AY109" s="468"/>
      <c r="AZ109" s="468"/>
      <c r="BA109" s="468"/>
      <c r="BB109" s="468"/>
      <c r="BC109" s="468"/>
      <c r="BD109" s="468"/>
      <c r="BE109" s="468"/>
      <c r="BF109" s="468"/>
      <c r="BG109" s="468"/>
      <c r="BH109" s="468"/>
      <c r="BI109" s="468"/>
      <c r="BJ109" s="468"/>
      <c r="BK109" s="468"/>
      <c r="BL109" s="468"/>
      <c r="BM109" s="468"/>
      <c r="BN109" s="468"/>
      <c r="BO109" s="468"/>
      <c r="BP109" s="468"/>
      <c r="BQ109" s="468"/>
      <c r="BR109" s="468"/>
      <c r="BS109" s="468"/>
      <c r="BT109" s="468"/>
      <c r="BU109" s="468"/>
      <c r="BV109" s="468"/>
      <c r="BW109" s="468"/>
      <c r="BX109" s="468"/>
      <c r="BY109" s="468"/>
      <c r="BZ109" s="468"/>
      <c r="CA109" s="468"/>
      <c r="CB109" s="468"/>
      <c r="CC109" s="468"/>
      <c r="CD109" s="468"/>
      <c r="CE109" s="468"/>
      <c r="CF109" s="468"/>
      <c r="CG109" s="468"/>
      <c r="CH109" s="468"/>
      <c r="CI109" s="468"/>
      <c r="CJ109" s="468"/>
      <c r="CK109" s="469"/>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Hafner Sebastian (SHE)</dc:creator>
  <dc:description/>
  <dc:language>en-US</dc:language>
  <cp:lastModifiedBy/>
  <dcterms:modified xsi:type="dcterms:W3CDTF">2026-09-01T08:34:57Z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UpSlide_1867486830468.586029[DESTINATION]">
    <vt:lpwstr>Powerpoint, 385</vt:lpwstr>
  </property>
  <property fmtid="{D5CDD505-2E9C-101B-9397-08002B2CF9AE}" pid="3" name="UpSlide_1867486830468.586029[PATH]">
    <vt:lpwstr>https://btde-my.sharepoint.com/personal/felix_ptok_bakertilly_de/Documents/Template FDD LDD LDD/FDD TDD LDD Template Englisch.pptx</vt:lpwstr>
  </property>
  <property fmtid="{D5CDD505-2E9C-101B-9397-08002B2CF9AE}" pid="4" name="UpSlide_2019486833588.272053[DESTINATION]">
    <vt:lpwstr>Powerpoint, 484</vt:lpwstr>
  </property>
  <property fmtid="{D5CDD505-2E9C-101B-9397-08002B2CF9AE}" pid="5" name="UpSlide_2019486833588.272053[PATH]">
    <vt:lpwstr>https://btde-my.sharepoint.com/personal/felix_ptok_bakertilly_de/Documents/Template FDD LDD LDD/FDD TDD LDD Template Englisch.pptx</vt:lpwstr>
  </property>
  <property fmtid="{D5CDD505-2E9C-101B-9397-08002B2CF9AE}" pid="6" name="UpSlide_3435414287581.838639[DESTINATION]">
    <vt:lpwstr>Powerpoint, 457</vt:lpwstr>
  </property>
  <property fmtid="{D5CDD505-2E9C-101B-9397-08002B2CF9AE}" pid="7" name="UpSlide_3435414287581.838639[PATH]">
    <vt:lpwstr>https://btde-my.sharepoint.com/personal/felix_ptok_bakertilly_de/Documents/Template FDD LDD LDD/FDD TDD LDD Template Englisch.pptx</vt:lpwstr>
  </property>
  <property fmtid="{D5CDD505-2E9C-101B-9397-08002B2CF9AE}" pid="8" name="UpSlide_4196414287258.165405[DESTINATION]">
    <vt:lpwstr>Powerpoint, 454</vt:lpwstr>
  </property>
  <property fmtid="{D5CDD505-2E9C-101B-9397-08002B2CF9AE}" pid="9" name="UpSlide_4196414287258.165405[PATH]">
    <vt:lpwstr>https://btde-my.sharepoint.com/personal/felix_ptok_bakertilly_de/Documents/Template FDD LDD LDD/FDD TDD LDD Template Englisch.pptx</vt:lpwstr>
  </property>
  <property fmtid="{D5CDD505-2E9C-101B-9397-08002B2CF9AE}" pid="10" name="UpSlide_4321486752067.395956[DESTINATION]">
    <vt:lpwstr>Powerpoint, 1782</vt:lpwstr>
  </property>
  <property fmtid="{D5CDD505-2E9C-101B-9397-08002B2CF9AE}" pid="11" name="UpSlide_4321486752067.395956[PATH]">
    <vt:lpwstr>https://btde-my.sharepoint.com/personal/felix_ptok_bakertilly_de/Documents/Template FDD LDD LDD/FDD TDD LDD Template Deutsch.pptx</vt:lpwstr>
  </property>
  <property fmtid="{D5CDD505-2E9C-101B-9397-08002B2CF9AE}" pid="12" name="UpSlide_4947486830351.061158[DESTINATION]">
    <vt:lpwstr>Powerpoint, 385</vt:lpwstr>
  </property>
  <property fmtid="{D5CDD505-2E9C-101B-9397-08002B2CF9AE}" pid="13" name="UpSlide_4947486830351.061158[PATH]">
    <vt:lpwstr>https://btde-my.sharepoint.com/personal/felix_ptok_bakertilly_de/Documents/Template FDD LDD LDD/FDD TDD LDD Template Deutsch.pptx</vt:lpwstr>
  </property>
  <property fmtid="{D5CDD505-2E9C-101B-9397-08002B2CF9AE}" pid="14" name="UpSlide_6069486830493.093058[DESTINATION]">
    <vt:lpwstr>Powerpoint, 385</vt:lpwstr>
  </property>
  <property fmtid="{D5CDD505-2E9C-101B-9397-08002B2CF9AE}" pid="15" name="UpSlide_6069486830493.093058[PATH]">
    <vt:lpwstr>https://btde-my.sharepoint.com/personal/felix_ptok_bakertilly_de/Documents/Template FDD LDD LDD/FDD TDD LDD Template Englisch.pptx</vt:lpwstr>
  </property>
  <property fmtid="{D5CDD505-2E9C-101B-9397-08002B2CF9AE}" pid="16" name="UpSlide_7192486809367.873384[DESTINATION]">
    <vt:lpwstr>Powerpoint, 454</vt:lpwstr>
  </property>
  <property fmtid="{D5CDD505-2E9C-101B-9397-08002B2CF9AE}" pid="17" name="UpSlide_7192486809367.873384[PATH]">
    <vt:lpwstr>https://btde-my.sharepoint.com/personal/felix_ptok_bakertilly_de/Documents/Template FDD LDD LDD/FDD TDD LDD Template Englisch.pptx</vt:lpwstr>
  </property>
  <property fmtid="{D5CDD505-2E9C-101B-9397-08002B2CF9AE}" pid="18" name="UpSlide_7495486751992.581873[DESTINATION]">
    <vt:lpwstr>Powerpoint, 483</vt:lpwstr>
  </property>
  <property fmtid="{D5CDD505-2E9C-101B-9397-08002B2CF9AE}" pid="19" name="UpSlide_7495486751992.581873[PATH]">
    <vt:lpwstr>https://btde-my.sharepoint.com/personal/felix_ptok_bakertilly_de/Documents/Template FDD LDD LDD/FDD TDD LDD Template Englisch.pptx</vt:lpwstr>
  </property>
  <property fmtid="{D5CDD505-2E9C-101B-9397-08002B2CF9AE}" pid="20" name="UpSlide_800486830934.447347[DESTINATION]">
    <vt:lpwstr>Powerpoint, 300</vt:lpwstr>
  </property>
  <property fmtid="{D5CDD505-2E9C-101B-9397-08002B2CF9AE}" pid="21" name="UpSlide_800486830934.447347[PATH]">
    <vt:lpwstr>https://btde-my.sharepoint.com/personal/felix_ptok_bakertilly_de/Documents/Template FDD LDD LDD/FDD TDD LDD Template Deutsch.pptx</vt:lpwstr>
  </property>
  <property fmtid="{D5CDD505-2E9C-101B-9397-08002B2CF9AE}" pid="22" name="UpSlide_888486810197.875492[DESTINATION]">
    <vt:lpwstr>Powerpoint, 296</vt:lpwstr>
  </property>
  <property fmtid="{D5CDD505-2E9C-101B-9397-08002B2CF9AE}" pid="23" name="UpSlide_888486810197.875492[PATH]">
    <vt:lpwstr>https://btde-my.sharepoint.com/personal/felix_ptok_bakertilly_de/Documents/Template FDD LDD LDD/FDD TDD LDD Template Deutsch.pptx</vt:lpwstr>
  </property>
  <property fmtid="{D5CDD505-2E9C-101B-9397-08002B2CF9AE}" pid="24" name="UpSlide_900486834307.20537[DESTINATION]">
    <vt:lpwstr>Powerpoint, 1801</vt:lpwstr>
  </property>
  <property fmtid="{D5CDD505-2E9C-101B-9397-08002B2CF9AE}" pid="25" name="UpSlide_900486834307.20537[PATH]">
    <vt:lpwstr>https://btde-my.sharepoint.com/personal/felix_ptok_bakertilly_de/Documents/Template FDD LDD LDD/FDD TDD LDD Template Deutsch.pptx</vt:lpwstr>
  </property>
  <property fmtid="{D5CDD505-2E9C-101B-9397-08002B2CF9AE}" pid="26" name="UpSlide_9549486830199.166586[DESTINATION]">
    <vt:lpwstr>Powerpoint, 385</vt:lpwstr>
  </property>
  <property fmtid="{D5CDD505-2E9C-101B-9397-08002B2CF9AE}" pid="27" name="UpSlide_9549486830199.166586[PATH]">
    <vt:lpwstr>https://btde-my.sharepoint.com/personal/felix_ptok_bakertilly_de/Documents/Template FDD LDD LDD/FDD TDD LDD Template Deutsch.pptx</vt:lpwstr>
  </property>
</Properties>
</file>